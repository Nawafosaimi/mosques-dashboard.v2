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bahdalis\OneDrive - Ministry of Energy\Desktop\_VS\mosq\37. pipeline from raw to MAC for each quarter\34_2. QuarterReport\38. QuarterReport_Enhancement\"/>
    </mc:Choice>
  </mc:AlternateContent>
  <xr:revisionPtr revIDLastSave="0" documentId="13_ncr:1_{9FDC513A-90EB-4937-A5D6-EDC9B4D8A7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محافظات شمال الرياض" sheetId="1" r:id="rId1"/>
    <sheet name="محافظات جنوب الرياض" sheetId="2" r:id="rId2"/>
    <sheet name="محافظات غرب الرياض" sheetId="3" r:id="rId3"/>
    <sheet name="مدينة الرياض" sheetId="4" r:id="rId4"/>
    <sheet name="مدينة الرياض2" sheetId="5" state="hidden" r:id="rId5"/>
  </sheets>
  <definedNames>
    <definedName name="_xlnm._FilterDatabase" localSheetId="0" hidden="1">'محافظات شمال الرياض'!$A$1:$F$203</definedName>
    <definedName name="_xlnm._FilterDatabase" localSheetId="3" hidden="1">'مدينة الرياض'!$A$1:$F$2547</definedName>
    <definedName name="_xlnm._FilterDatabase" localSheetId="4" hidden="1">'مدينة الرياض2'!$A$1:$F$2547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47" i="5" l="1"/>
  <c r="F2546" i="5"/>
  <c r="F2545" i="5"/>
  <c r="F2544" i="5"/>
  <c r="F2543" i="5"/>
  <c r="F2542" i="5"/>
  <c r="F2541" i="5"/>
  <c r="F2540" i="5"/>
  <c r="F2539" i="5"/>
  <c r="F2538" i="5"/>
  <c r="F2537" i="5"/>
  <c r="F2536" i="5"/>
  <c r="F2535" i="5"/>
  <c r="F2534" i="5"/>
  <c r="F2533" i="5"/>
  <c r="F2532" i="5"/>
  <c r="F2531" i="5"/>
  <c r="F2530" i="5"/>
  <c r="F2529" i="5"/>
  <c r="F2528" i="5"/>
  <c r="F2527" i="5"/>
  <c r="F2526" i="5"/>
  <c r="F2525" i="5"/>
  <c r="F2524" i="5"/>
  <c r="F2523" i="5"/>
  <c r="F2522" i="5"/>
  <c r="F2521" i="5"/>
  <c r="F2520" i="5"/>
  <c r="F2519" i="5"/>
  <c r="F2518" i="5"/>
  <c r="F2517" i="5"/>
  <c r="F2516" i="5"/>
  <c r="F2515" i="5"/>
  <c r="F2514" i="5"/>
  <c r="F2513" i="5"/>
  <c r="F2512" i="5"/>
  <c r="F2511" i="5"/>
  <c r="F2510" i="5"/>
  <c r="F2509" i="5"/>
  <c r="F2508" i="5"/>
  <c r="F2507" i="5"/>
  <c r="F2506" i="5"/>
  <c r="F2505" i="5"/>
  <c r="F2504" i="5"/>
  <c r="F2503" i="5"/>
  <c r="F2502" i="5"/>
  <c r="F2501" i="5"/>
  <c r="F2500" i="5"/>
  <c r="F2499" i="5"/>
  <c r="F2498" i="5"/>
  <c r="F2497" i="5"/>
  <c r="F2496" i="5"/>
  <c r="F2495" i="5"/>
  <c r="F2494" i="5"/>
  <c r="F2493" i="5"/>
  <c r="F2492" i="5"/>
  <c r="F2491" i="5"/>
  <c r="F2490" i="5"/>
  <c r="F2489" i="5"/>
  <c r="F2488" i="5"/>
  <c r="F2487" i="5"/>
  <c r="F2486" i="5"/>
  <c r="F2485" i="5"/>
  <c r="F2484" i="5"/>
  <c r="F2483" i="5"/>
  <c r="F2482" i="5"/>
  <c r="F2481" i="5"/>
  <c r="F2480" i="5"/>
  <c r="F2479" i="5"/>
  <c r="F2478" i="5"/>
  <c r="F2477" i="5"/>
  <c r="F2476" i="5"/>
  <c r="F2475" i="5"/>
  <c r="F2474" i="5"/>
  <c r="F2473" i="5"/>
  <c r="F2472" i="5"/>
  <c r="F2471" i="5"/>
  <c r="F2470" i="5"/>
  <c r="F2469" i="5"/>
  <c r="F2468" i="5"/>
  <c r="F2467" i="5"/>
  <c r="F2466" i="5"/>
  <c r="F2465" i="5"/>
  <c r="F2464" i="5"/>
  <c r="F2463" i="5"/>
  <c r="F2462" i="5"/>
  <c r="F2461" i="5"/>
  <c r="F2460" i="5"/>
  <c r="F2459" i="5"/>
  <c r="F2458" i="5"/>
  <c r="F2457" i="5"/>
  <c r="F2456" i="5"/>
  <c r="F2455" i="5"/>
  <c r="F2454" i="5"/>
  <c r="F2453" i="5"/>
  <c r="F2452" i="5"/>
  <c r="F2451" i="5"/>
  <c r="F2450" i="5"/>
  <c r="F2449" i="5"/>
  <c r="F2448" i="5"/>
  <c r="F2447" i="5"/>
  <c r="F2446" i="5"/>
  <c r="F2445" i="5"/>
  <c r="F2444" i="5"/>
  <c r="F2443" i="5"/>
  <c r="F2442" i="5"/>
  <c r="F2441" i="5"/>
  <c r="F2440" i="5"/>
  <c r="F2439" i="5"/>
  <c r="F2438" i="5"/>
  <c r="F2437" i="5"/>
  <c r="F2436" i="5"/>
  <c r="F2435" i="5"/>
  <c r="F2434" i="5"/>
  <c r="F2433" i="5"/>
  <c r="F2432" i="5"/>
  <c r="F2431" i="5"/>
  <c r="F2430" i="5"/>
  <c r="F2429" i="5"/>
  <c r="F2428" i="5"/>
  <c r="F2427" i="5"/>
  <c r="F2426" i="5"/>
  <c r="F2425" i="5"/>
  <c r="F2424" i="5"/>
  <c r="F2423" i="5"/>
  <c r="F2422" i="5"/>
  <c r="F2421" i="5"/>
  <c r="F2420" i="5"/>
  <c r="F2419" i="5"/>
  <c r="F2418" i="5"/>
  <c r="F2417" i="5"/>
  <c r="F2416" i="5"/>
  <c r="F2415" i="5"/>
  <c r="F2414" i="5"/>
  <c r="F2413" i="5"/>
  <c r="F2412" i="5"/>
  <c r="F2411" i="5"/>
  <c r="F2410" i="5"/>
  <c r="F2409" i="5"/>
  <c r="F2408" i="5"/>
  <c r="F2407" i="5"/>
  <c r="F2406" i="5"/>
  <c r="F2405" i="5"/>
  <c r="F2404" i="5"/>
  <c r="F2403" i="5"/>
  <c r="F2402" i="5"/>
  <c r="F2401" i="5"/>
  <c r="F2400" i="5"/>
  <c r="F2399" i="5"/>
  <c r="F2398" i="5"/>
  <c r="F2397" i="5"/>
  <c r="F2396" i="5"/>
  <c r="F2395" i="5"/>
  <c r="F2394" i="5"/>
  <c r="F2393" i="5"/>
  <c r="F2392" i="5"/>
  <c r="F2391" i="5"/>
  <c r="F2390" i="5"/>
  <c r="F2389" i="5"/>
  <c r="F2388" i="5"/>
  <c r="F2387" i="5"/>
  <c r="F2386" i="5"/>
  <c r="F2385" i="5"/>
  <c r="F2384" i="5"/>
  <c r="F2383" i="5"/>
  <c r="F2382" i="5"/>
  <c r="F2381" i="5"/>
  <c r="F2380" i="5"/>
  <c r="F2379" i="5"/>
  <c r="F2378" i="5"/>
  <c r="F2377" i="5"/>
  <c r="F2376" i="5"/>
  <c r="F2375" i="5"/>
  <c r="F2374" i="5"/>
  <c r="F2373" i="5"/>
  <c r="F2372" i="5"/>
  <c r="F2371" i="5"/>
  <c r="F2370" i="5"/>
  <c r="F2369" i="5"/>
  <c r="F2368" i="5"/>
  <c r="F2367" i="5"/>
  <c r="F2366" i="5"/>
  <c r="F2365" i="5"/>
  <c r="F2364" i="5"/>
  <c r="F2363" i="5"/>
  <c r="F2362" i="5"/>
  <c r="F2361" i="5"/>
  <c r="F2360" i="5"/>
  <c r="F2359" i="5"/>
  <c r="F2358" i="5"/>
  <c r="F2357" i="5"/>
  <c r="F2356" i="5"/>
  <c r="F2355" i="5"/>
  <c r="F2354" i="5"/>
  <c r="F2353" i="5"/>
  <c r="F2352" i="5"/>
  <c r="F2351" i="5"/>
  <c r="F2350" i="5"/>
  <c r="F2349" i="5"/>
  <c r="F2348" i="5"/>
  <c r="F2347" i="5"/>
  <c r="F2346" i="5"/>
  <c r="F2345" i="5"/>
  <c r="F2344" i="5"/>
  <c r="F2343" i="5"/>
  <c r="F2342" i="5"/>
  <c r="F2341" i="5"/>
  <c r="F2340" i="5"/>
  <c r="F2339" i="5"/>
  <c r="F2338" i="5"/>
  <c r="F2337" i="5"/>
  <c r="F2336" i="5"/>
  <c r="F2335" i="5"/>
  <c r="F2334" i="5"/>
  <c r="F2333" i="5"/>
  <c r="F2332" i="5"/>
  <c r="F2331" i="5"/>
  <c r="F2330" i="5"/>
  <c r="F2329" i="5"/>
  <c r="F2328" i="5"/>
  <c r="F2327" i="5"/>
  <c r="F2326" i="5"/>
  <c r="F2325" i="5"/>
  <c r="F2324" i="5"/>
  <c r="F2323" i="5"/>
  <c r="F2322" i="5"/>
  <c r="F2321" i="5"/>
  <c r="F2320" i="5"/>
  <c r="F2319" i="5"/>
  <c r="F2318" i="5"/>
  <c r="F2317" i="5"/>
  <c r="F2316" i="5"/>
  <c r="F2315" i="5"/>
  <c r="F2314" i="5"/>
  <c r="F2313" i="5"/>
  <c r="F2312" i="5"/>
  <c r="F2311" i="5"/>
  <c r="F2310" i="5"/>
  <c r="F2309" i="5"/>
  <c r="F2308" i="5"/>
  <c r="F2307" i="5"/>
  <c r="F2306" i="5"/>
  <c r="F2305" i="5"/>
  <c r="F2304" i="5"/>
  <c r="F2303" i="5"/>
  <c r="F2302" i="5"/>
  <c r="F2301" i="5"/>
  <c r="F2300" i="5"/>
  <c r="F2299" i="5"/>
  <c r="F2298" i="5"/>
  <c r="F2297" i="5"/>
  <c r="F2296" i="5"/>
  <c r="F2295" i="5"/>
  <c r="F2294" i="5"/>
  <c r="F2293" i="5"/>
  <c r="F2292" i="5"/>
  <c r="F2291" i="5"/>
  <c r="F2290" i="5"/>
  <c r="F2289" i="5"/>
  <c r="F2288" i="5"/>
  <c r="F2287" i="5"/>
  <c r="F2286" i="5"/>
  <c r="F2285" i="5"/>
  <c r="F2284" i="5"/>
  <c r="F2283" i="5"/>
  <c r="F2282" i="5"/>
  <c r="F2281" i="5"/>
  <c r="F2280" i="5"/>
  <c r="F2279" i="5"/>
  <c r="F2278" i="5"/>
  <c r="F2277" i="5"/>
  <c r="F2276" i="5"/>
  <c r="F2275" i="5"/>
  <c r="F2274" i="5"/>
  <c r="F2273" i="5"/>
  <c r="F2272" i="5"/>
  <c r="F2271" i="5"/>
  <c r="F2270" i="5"/>
  <c r="F2269" i="5"/>
  <c r="F2268" i="5"/>
  <c r="F2267" i="5"/>
  <c r="F2266" i="5"/>
  <c r="F2265" i="5"/>
  <c r="F2264" i="5"/>
  <c r="F2263" i="5"/>
  <c r="F2262" i="5"/>
  <c r="F2261" i="5"/>
  <c r="F2260" i="5"/>
  <c r="F2259" i="5"/>
  <c r="F2258" i="5"/>
  <c r="F2257" i="5"/>
  <c r="F2256" i="5"/>
  <c r="F2255" i="5"/>
  <c r="F2254" i="5"/>
  <c r="F2253" i="5"/>
  <c r="F2252" i="5"/>
  <c r="F2251" i="5"/>
  <c r="F2250" i="5"/>
  <c r="F2249" i="5"/>
  <c r="F2248" i="5"/>
  <c r="F2247" i="5"/>
  <c r="F2246" i="5"/>
  <c r="F2245" i="5"/>
  <c r="F2244" i="5"/>
  <c r="F2243" i="5"/>
  <c r="F2242" i="5"/>
  <c r="F2241" i="5"/>
  <c r="F2240" i="5"/>
  <c r="F2239" i="5"/>
  <c r="F2238" i="5"/>
  <c r="F2237" i="5"/>
  <c r="F2236" i="5"/>
  <c r="F2235" i="5"/>
  <c r="F2234" i="5"/>
  <c r="F2233" i="5"/>
  <c r="F2232" i="5"/>
  <c r="F2231" i="5"/>
  <c r="F2230" i="5"/>
  <c r="F2229" i="5"/>
  <c r="F2228" i="5"/>
  <c r="F2227" i="5"/>
  <c r="F2226" i="5"/>
  <c r="F2225" i="5"/>
  <c r="F2224" i="5"/>
  <c r="F2223" i="5"/>
  <c r="F2222" i="5"/>
  <c r="F2221" i="5"/>
  <c r="F2220" i="5"/>
  <c r="F2219" i="5"/>
  <c r="F2218" i="5"/>
  <c r="F2217" i="5"/>
  <c r="F2216" i="5"/>
  <c r="F2215" i="5"/>
  <c r="F2214" i="5"/>
  <c r="F2213" i="5"/>
  <c r="F2212" i="5"/>
  <c r="F2211" i="5"/>
  <c r="F2210" i="5"/>
  <c r="F2209" i="5"/>
  <c r="F2208" i="5"/>
  <c r="F2207" i="5"/>
  <c r="F2206" i="5"/>
  <c r="F2205" i="5"/>
  <c r="F2204" i="5"/>
  <c r="F2203" i="5"/>
  <c r="F2202" i="5"/>
  <c r="F2201" i="5"/>
  <c r="F2200" i="5"/>
  <c r="F2199" i="5"/>
  <c r="F2198" i="5"/>
  <c r="F2197" i="5"/>
  <c r="F2196" i="5"/>
  <c r="F2195" i="5"/>
  <c r="F2194" i="5"/>
  <c r="F2193" i="5"/>
  <c r="F2192" i="5"/>
  <c r="F2191" i="5"/>
  <c r="F2190" i="5"/>
  <c r="F2189" i="5"/>
  <c r="F2188" i="5"/>
  <c r="F2187" i="5"/>
  <c r="F2186" i="5"/>
  <c r="F2185" i="5"/>
  <c r="F2184" i="5"/>
  <c r="F2183" i="5"/>
  <c r="F2182" i="5"/>
  <c r="F2181" i="5"/>
  <c r="F2180" i="5"/>
  <c r="F2179" i="5"/>
  <c r="F2178" i="5"/>
  <c r="F2177" i="5"/>
  <c r="F2176" i="5"/>
  <c r="F2175" i="5"/>
  <c r="F2174" i="5"/>
  <c r="F2173" i="5"/>
  <c r="F2172" i="5"/>
  <c r="F2171" i="5"/>
  <c r="F2170" i="5"/>
  <c r="F2169" i="5"/>
  <c r="F2168" i="5"/>
  <c r="F2167" i="5"/>
  <c r="F2166" i="5"/>
  <c r="F2165" i="5"/>
  <c r="F2164" i="5"/>
  <c r="F2163" i="5"/>
  <c r="F2162" i="5"/>
  <c r="F2161" i="5"/>
  <c r="F2160" i="5"/>
  <c r="F2159" i="5"/>
  <c r="F2158" i="5"/>
  <c r="F2157" i="5"/>
  <c r="F2156" i="5"/>
  <c r="F2155" i="5"/>
  <c r="F2154" i="5"/>
  <c r="F2153" i="5"/>
  <c r="F2152" i="5"/>
  <c r="F2151" i="5"/>
  <c r="F2150" i="5"/>
  <c r="F2149" i="5"/>
  <c r="F2148" i="5"/>
  <c r="F2147" i="5"/>
  <c r="F2146" i="5"/>
  <c r="F2145" i="5"/>
  <c r="F2144" i="5"/>
  <c r="F2143" i="5"/>
  <c r="F2142" i="5"/>
  <c r="F2141" i="5"/>
  <c r="F2140" i="5"/>
  <c r="F2139" i="5"/>
  <c r="F2138" i="5"/>
  <c r="F2137" i="5"/>
  <c r="F2136" i="5"/>
  <c r="F2135" i="5"/>
  <c r="F2134" i="5"/>
  <c r="F2133" i="5"/>
  <c r="F2132" i="5"/>
  <c r="F2131" i="5"/>
  <c r="F2130" i="5"/>
  <c r="F2129" i="5"/>
  <c r="F2128" i="5"/>
  <c r="F2127" i="5"/>
  <c r="F2126" i="5"/>
  <c r="F2125" i="5"/>
  <c r="F2124" i="5"/>
  <c r="F2123" i="5"/>
  <c r="F2122" i="5"/>
  <c r="F2121" i="5"/>
  <c r="F2120" i="5"/>
  <c r="F2119" i="5"/>
  <c r="F2118" i="5"/>
  <c r="F2117" i="5"/>
  <c r="F2116" i="5"/>
  <c r="F2115" i="5"/>
  <c r="F2114" i="5"/>
  <c r="F2113" i="5"/>
  <c r="F2112" i="5"/>
  <c r="F2111" i="5"/>
  <c r="F2110" i="5"/>
  <c r="F2109" i="5"/>
  <c r="F2108" i="5"/>
  <c r="F2107" i="5"/>
  <c r="F2106" i="5"/>
  <c r="F2105" i="5"/>
  <c r="F2104" i="5"/>
  <c r="F2103" i="5"/>
  <c r="F2102" i="5"/>
  <c r="F2101" i="5"/>
  <c r="F2100" i="5"/>
  <c r="F2099" i="5"/>
  <c r="F2098" i="5"/>
  <c r="F2097" i="5"/>
  <c r="F2096" i="5"/>
  <c r="F2095" i="5"/>
  <c r="F2094" i="5"/>
  <c r="F2093" i="5"/>
  <c r="F2092" i="5"/>
  <c r="F2091" i="5"/>
  <c r="F2090" i="5"/>
  <c r="F2089" i="5"/>
  <c r="F2088" i="5"/>
  <c r="F2087" i="5"/>
  <c r="F2086" i="5"/>
  <c r="F2085" i="5"/>
  <c r="F2084" i="5"/>
  <c r="F2083" i="5"/>
  <c r="F2082" i="5"/>
  <c r="F2081" i="5"/>
  <c r="F2080" i="5"/>
  <c r="F2079" i="5"/>
  <c r="F2078" i="5"/>
  <c r="F2077" i="5"/>
  <c r="F2076" i="5"/>
  <c r="F2075" i="5"/>
  <c r="F2074" i="5"/>
  <c r="F2073" i="5"/>
  <c r="F2072" i="5"/>
  <c r="F2071" i="5"/>
  <c r="F2070" i="5"/>
  <c r="F2069" i="5"/>
  <c r="F2068" i="5"/>
  <c r="F2067" i="5"/>
  <c r="F2066" i="5"/>
  <c r="F2065" i="5"/>
  <c r="F2064" i="5"/>
  <c r="F2063" i="5"/>
  <c r="F2062" i="5"/>
  <c r="F2061" i="5"/>
  <c r="F2060" i="5"/>
  <c r="F2059" i="5"/>
  <c r="F2058" i="5"/>
  <c r="F2057" i="5"/>
  <c r="F2056" i="5"/>
  <c r="F2055" i="5"/>
  <c r="F2054" i="5"/>
  <c r="F2053" i="5"/>
  <c r="F2052" i="5"/>
  <c r="F2051" i="5"/>
  <c r="F2050" i="5"/>
  <c r="F2049" i="5"/>
  <c r="F2048" i="5"/>
  <c r="F2047" i="5"/>
  <c r="F2046" i="5"/>
  <c r="F2045" i="5"/>
  <c r="F2044" i="5"/>
  <c r="F2043" i="5"/>
  <c r="F2042" i="5"/>
  <c r="F2041" i="5"/>
  <c r="F2040" i="5"/>
  <c r="F2039" i="5"/>
  <c r="F2038" i="5"/>
  <c r="F2037" i="5"/>
  <c r="F2036" i="5"/>
  <c r="F2035" i="5"/>
  <c r="F2034" i="5"/>
  <c r="F2033" i="5"/>
  <c r="F2032" i="5"/>
  <c r="F2031" i="5"/>
  <c r="F2030" i="5"/>
  <c r="F2029" i="5"/>
  <c r="F2028" i="5"/>
  <c r="F2027" i="5"/>
  <c r="F2026" i="5"/>
  <c r="F2025" i="5"/>
  <c r="F2024" i="5"/>
  <c r="F2023" i="5"/>
  <c r="F2022" i="5"/>
  <c r="F2021" i="5"/>
  <c r="F2020" i="5"/>
  <c r="F2019" i="5"/>
  <c r="F2018" i="5"/>
  <c r="F2017" i="5"/>
  <c r="F2016" i="5"/>
  <c r="F2015" i="5"/>
  <c r="F2014" i="5"/>
  <c r="F2013" i="5"/>
  <c r="F2012" i="5"/>
  <c r="F2011" i="5"/>
  <c r="F2010" i="5"/>
  <c r="F2009" i="5"/>
  <c r="F2008" i="5"/>
  <c r="F2007" i="5"/>
  <c r="F2006" i="5"/>
  <c r="F2005" i="5"/>
  <c r="F2004" i="5"/>
  <c r="F2003" i="5"/>
  <c r="F2002" i="5"/>
  <c r="F2001" i="5"/>
  <c r="F2000" i="5"/>
  <c r="F1999" i="5"/>
  <c r="F1998" i="5"/>
  <c r="F1997" i="5"/>
  <c r="F1996" i="5"/>
  <c r="F1995" i="5"/>
  <c r="F1994" i="5"/>
  <c r="F1993" i="5"/>
  <c r="F1992" i="5"/>
  <c r="F1991" i="5"/>
  <c r="F1990" i="5"/>
  <c r="F1989" i="5"/>
  <c r="F1988" i="5"/>
  <c r="F1987" i="5"/>
  <c r="F1986" i="5"/>
  <c r="F1985" i="5"/>
  <c r="F1984" i="5"/>
  <c r="F1983" i="5"/>
  <c r="F1982" i="5"/>
  <c r="F1981" i="5"/>
  <c r="F1980" i="5"/>
  <c r="F1979" i="5"/>
  <c r="F1978" i="5"/>
  <c r="F1977" i="5"/>
  <c r="F1976" i="5"/>
  <c r="F1975" i="5"/>
  <c r="F1974" i="5"/>
  <c r="F1973" i="5"/>
  <c r="F1972" i="5"/>
  <c r="F1971" i="5"/>
  <c r="F1970" i="5"/>
  <c r="F1969" i="5"/>
  <c r="F1968" i="5"/>
  <c r="F1967" i="5"/>
  <c r="F1966" i="5"/>
  <c r="F1965" i="5"/>
  <c r="F1964" i="5"/>
  <c r="F1963" i="5"/>
  <c r="F1962" i="5"/>
  <c r="F1961" i="5"/>
  <c r="F1960" i="5"/>
  <c r="F1959" i="5"/>
  <c r="F1958" i="5"/>
  <c r="F1957" i="5"/>
  <c r="F1956" i="5"/>
  <c r="F1955" i="5"/>
  <c r="F1954" i="5"/>
  <c r="F1953" i="5"/>
  <c r="F1952" i="5"/>
  <c r="F1951" i="5"/>
  <c r="F1950" i="5"/>
  <c r="F1949" i="5"/>
  <c r="F1948" i="5"/>
  <c r="F1947" i="5"/>
  <c r="F1946" i="5"/>
  <c r="F1945" i="5"/>
  <c r="F1944" i="5"/>
  <c r="F1943" i="5"/>
  <c r="F1942" i="5"/>
  <c r="F1941" i="5"/>
  <c r="F1940" i="5"/>
  <c r="F1939" i="5"/>
  <c r="F1938" i="5"/>
  <c r="F1937" i="5"/>
  <c r="F1936" i="5"/>
  <c r="F1935" i="5"/>
  <c r="F1934" i="5"/>
  <c r="F1933" i="5"/>
  <c r="F1932" i="5"/>
  <c r="F1931" i="5"/>
  <c r="F1930" i="5"/>
  <c r="F1929" i="5"/>
  <c r="F1928" i="5"/>
  <c r="F1927" i="5"/>
  <c r="F1926" i="5"/>
  <c r="F1925" i="5"/>
  <c r="F1924" i="5"/>
  <c r="F1923" i="5"/>
  <c r="F1922" i="5"/>
  <c r="F1921" i="5"/>
  <c r="F1920" i="5"/>
  <c r="F1919" i="5"/>
  <c r="F1918" i="5"/>
  <c r="F1917" i="5"/>
  <c r="F1916" i="5"/>
  <c r="F1915" i="5"/>
  <c r="F1914" i="5"/>
  <c r="F1913" i="5"/>
  <c r="F1912" i="5"/>
  <c r="F1911" i="5"/>
  <c r="F1910" i="5"/>
  <c r="F1909" i="5"/>
  <c r="F1908" i="5"/>
  <c r="F1907" i="5"/>
  <c r="F1906" i="5"/>
  <c r="F1905" i="5"/>
  <c r="F1904" i="5"/>
  <c r="F1903" i="5"/>
  <c r="F1902" i="5"/>
  <c r="F1901" i="5"/>
  <c r="F1900" i="5"/>
  <c r="F1899" i="5"/>
  <c r="F1898" i="5"/>
  <c r="F1897" i="5"/>
  <c r="F1896" i="5"/>
  <c r="F1895" i="5"/>
  <c r="F1894" i="5"/>
  <c r="F1893" i="5"/>
  <c r="F1892" i="5"/>
  <c r="F1891" i="5"/>
  <c r="F1890" i="5"/>
  <c r="F1889" i="5"/>
  <c r="F1888" i="5"/>
  <c r="F1887" i="5"/>
  <c r="F1886" i="5"/>
  <c r="F1885" i="5"/>
  <c r="F1884" i="5"/>
  <c r="F1883" i="5"/>
  <c r="F1882" i="5"/>
  <c r="F1881" i="5"/>
  <c r="F1880" i="5"/>
  <c r="F1879" i="5"/>
  <c r="F1878" i="5"/>
  <c r="F1877" i="5"/>
  <c r="F1876" i="5"/>
  <c r="F1875" i="5"/>
  <c r="F1874" i="5"/>
  <c r="F1873" i="5"/>
  <c r="F1872" i="5"/>
  <c r="F1871" i="5"/>
  <c r="F1870" i="5"/>
  <c r="F1869" i="5"/>
  <c r="F1868" i="5"/>
  <c r="F1867" i="5"/>
  <c r="F1866" i="5"/>
  <c r="F1865" i="5"/>
  <c r="F1864" i="5"/>
  <c r="F1863" i="5"/>
  <c r="F1862" i="5"/>
  <c r="F1861" i="5"/>
  <c r="F1860" i="5"/>
  <c r="F1859" i="5"/>
  <c r="F1858" i="5"/>
  <c r="F1857" i="5"/>
  <c r="F1856" i="5"/>
  <c r="F1855" i="5"/>
  <c r="F1854" i="5"/>
  <c r="F1853" i="5"/>
  <c r="F1852" i="5"/>
  <c r="F1851" i="5"/>
  <c r="F1850" i="5"/>
  <c r="F1849" i="5"/>
  <c r="F1848" i="5"/>
  <c r="F1847" i="5"/>
  <c r="F1846" i="5"/>
  <c r="F1845" i="5"/>
  <c r="F1844" i="5"/>
  <c r="F1843" i="5"/>
  <c r="F1842" i="5"/>
  <c r="F1841" i="5"/>
  <c r="F1840" i="5"/>
  <c r="F1839" i="5"/>
  <c r="F1838" i="5"/>
  <c r="F1837" i="5"/>
  <c r="F1836" i="5"/>
  <c r="F1835" i="5"/>
  <c r="F1834" i="5"/>
  <c r="F1833" i="5"/>
  <c r="F1832" i="5"/>
  <c r="F1831" i="5"/>
  <c r="F1830" i="5"/>
  <c r="F1829" i="5"/>
  <c r="F1828" i="5"/>
  <c r="F1827" i="5"/>
  <c r="F1826" i="5"/>
  <c r="F1825" i="5"/>
  <c r="F1824" i="5"/>
  <c r="F1823" i="5"/>
  <c r="F1822" i="5"/>
  <c r="F1821" i="5"/>
  <c r="F1820" i="5"/>
  <c r="F1819" i="5"/>
  <c r="F1818" i="5"/>
  <c r="F1817" i="5"/>
  <c r="F1816" i="5"/>
  <c r="F1815" i="5"/>
  <c r="F1814" i="5"/>
  <c r="F1813" i="5"/>
  <c r="F1812" i="5"/>
  <c r="F1811" i="5"/>
  <c r="F1810" i="5"/>
  <c r="F1809" i="5"/>
  <c r="F1808" i="5"/>
  <c r="F1807" i="5"/>
  <c r="F1806" i="5"/>
  <c r="F1805" i="5"/>
  <c r="F1804" i="5"/>
  <c r="F1803" i="5"/>
  <c r="F1802" i="5"/>
  <c r="F1801" i="5"/>
  <c r="F1800" i="5"/>
  <c r="F1799" i="5"/>
  <c r="F1798" i="5"/>
  <c r="F1797" i="5"/>
  <c r="F1796" i="5"/>
  <c r="F1795" i="5"/>
  <c r="F1794" i="5"/>
  <c r="F1793" i="5"/>
  <c r="F1792" i="5"/>
  <c r="F1791" i="5"/>
  <c r="F1790" i="5"/>
  <c r="F1789" i="5"/>
  <c r="F1788" i="5"/>
  <c r="F1787" i="5"/>
  <c r="F1786" i="5"/>
  <c r="F1785" i="5"/>
  <c r="F1784" i="5"/>
  <c r="F1783" i="5"/>
  <c r="F1782" i="5"/>
  <c r="F1781" i="5"/>
  <c r="F1780" i="5"/>
  <c r="F1779" i="5"/>
  <c r="F1778" i="5"/>
  <c r="F1777" i="5"/>
  <c r="F1776" i="5"/>
  <c r="F1775" i="5"/>
  <c r="F1774" i="5"/>
  <c r="F1773" i="5"/>
  <c r="F1772" i="5"/>
  <c r="F1771" i="5"/>
  <c r="F1770" i="5"/>
  <c r="F1769" i="5"/>
  <c r="F1768" i="5"/>
  <c r="F1767" i="5"/>
  <c r="F1766" i="5"/>
  <c r="F1765" i="5"/>
  <c r="F1764" i="5"/>
  <c r="F1763" i="5"/>
  <c r="F1762" i="5"/>
  <c r="F1761" i="5"/>
  <c r="F1760" i="5"/>
  <c r="F1759" i="5"/>
  <c r="F1758" i="5"/>
  <c r="F1757" i="5"/>
  <c r="F1756" i="5"/>
  <c r="F1755" i="5"/>
  <c r="F1754" i="5"/>
  <c r="F1753" i="5"/>
  <c r="F1752" i="5"/>
  <c r="F1751" i="5"/>
  <c r="F1750" i="5"/>
  <c r="F1749" i="5"/>
  <c r="F1748" i="5"/>
  <c r="F1747" i="5"/>
  <c r="F1746" i="5"/>
  <c r="F1745" i="5"/>
  <c r="F1744" i="5"/>
  <c r="F1743" i="5"/>
  <c r="F1742" i="5"/>
  <c r="F1741" i="5"/>
  <c r="F1740" i="5"/>
  <c r="F1739" i="5"/>
  <c r="F1738" i="5"/>
  <c r="F1737" i="5"/>
  <c r="F1736" i="5"/>
  <c r="F1735" i="5"/>
  <c r="F1734" i="5"/>
  <c r="F1733" i="5"/>
  <c r="F1732" i="5"/>
  <c r="F1731" i="5"/>
  <c r="F1730" i="5"/>
  <c r="F1729" i="5"/>
  <c r="F1728" i="5"/>
  <c r="F1727" i="5"/>
  <c r="F1726" i="5"/>
  <c r="F1725" i="5"/>
  <c r="F1724" i="5"/>
  <c r="F1723" i="5"/>
  <c r="F1722" i="5"/>
  <c r="F1721" i="5"/>
  <c r="F1720" i="5"/>
  <c r="F1719" i="5"/>
  <c r="F1718" i="5"/>
  <c r="F1717" i="5"/>
  <c r="F1716" i="5"/>
  <c r="F1715" i="5"/>
  <c r="F1714" i="5"/>
  <c r="F1713" i="5"/>
  <c r="F1712" i="5"/>
  <c r="F1711" i="5"/>
  <c r="F1710" i="5"/>
  <c r="F1709" i="5"/>
  <c r="F1708" i="5"/>
  <c r="F1707" i="5"/>
  <c r="F1706" i="5"/>
  <c r="F1705" i="5"/>
  <c r="F1704" i="5"/>
  <c r="F1703" i="5"/>
  <c r="F1702" i="5"/>
  <c r="F1701" i="5"/>
  <c r="F1700" i="5"/>
  <c r="F1699" i="5"/>
  <c r="F1698" i="5"/>
  <c r="F1697" i="5"/>
  <c r="F1696" i="5"/>
  <c r="F1695" i="5"/>
  <c r="F1694" i="5"/>
  <c r="F1693" i="5"/>
  <c r="F1692" i="5"/>
  <c r="F1691" i="5"/>
  <c r="F1690" i="5"/>
  <c r="F1689" i="5"/>
  <c r="F1688" i="5"/>
  <c r="F1687" i="5"/>
  <c r="F1686" i="5"/>
  <c r="F1685" i="5"/>
  <c r="F1684" i="5"/>
  <c r="F1683" i="5"/>
  <c r="F1682" i="5"/>
  <c r="F1681" i="5"/>
  <c r="F1680" i="5"/>
  <c r="F1679" i="5"/>
  <c r="F1678" i="5"/>
  <c r="F1677" i="5"/>
  <c r="F1676" i="5"/>
  <c r="F1675" i="5"/>
  <c r="F1674" i="5"/>
  <c r="F1673" i="5"/>
  <c r="F1672" i="5"/>
  <c r="F1671" i="5"/>
  <c r="F1670" i="5"/>
  <c r="F1669" i="5"/>
  <c r="F1668" i="5"/>
  <c r="F1667" i="5"/>
  <c r="F1666" i="5"/>
  <c r="F1665" i="5"/>
  <c r="F1664" i="5"/>
  <c r="F1663" i="5"/>
  <c r="F1662" i="5"/>
  <c r="F1661" i="5"/>
  <c r="F1660" i="5"/>
  <c r="F1659" i="5"/>
  <c r="F1658" i="5"/>
  <c r="F1657" i="5"/>
  <c r="F1656" i="5"/>
  <c r="F1655" i="5"/>
  <c r="F1654" i="5"/>
  <c r="F1653" i="5"/>
  <c r="F1652" i="5"/>
  <c r="F1651" i="5"/>
  <c r="F1650" i="5"/>
  <c r="F1649" i="5"/>
  <c r="F1648" i="5"/>
  <c r="F1647" i="5"/>
  <c r="F1646" i="5"/>
  <c r="F1645" i="5"/>
  <c r="F1644" i="5"/>
  <c r="F1643" i="5"/>
  <c r="F1642" i="5"/>
  <c r="F1641" i="5"/>
  <c r="F1640" i="5"/>
  <c r="F1639" i="5"/>
  <c r="F1638" i="5"/>
  <c r="F1637" i="5"/>
  <c r="F1636" i="5"/>
  <c r="F1635" i="5"/>
  <c r="F1634" i="5"/>
  <c r="F1633" i="5"/>
  <c r="F1632" i="5"/>
  <c r="F1631" i="5"/>
  <c r="F1630" i="5"/>
  <c r="F1629" i="5"/>
  <c r="F1628" i="5"/>
  <c r="F1627" i="5"/>
  <c r="F1626" i="5"/>
  <c r="F1625" i="5"/>
  <c r="F1624" i="5"/>
  <c r="F1623" i="5"/>
  <c r="F1622" i="5"/>
  <c r="F1621" i="5"/>
  <c r="F1620" i="5"/>
  <c r="F1619" i="5"/>
  <c r="F1618" i="5"/>
  <c r="F1617" i="5"/>
  <c r="F1616" i="5"/>
  <c r="F1615" i="5"/>
  <c r="F1614" i="5"/>
  <c r="F1613" i="5"/>
  <c r="F1612" i="5"/>
  <c r="F1611" i="5"/>
  <c r="F1610" i="5"/>
  <c r="F1609" i="5"/>
  <c r="F1608" i="5"/>
  <c r="F1607" i="5"/>
  <c r="F1606" i="5"/>
  <c r="F1605" i="5"/>
  <c r="F1604" i="5"/>
  <c r="F1603" i="5"/>
  <c r="F1602" i="5"/>
  <c r="F1601" i="5"/>
  <c r="F1600" i="5"/>
  <c r="F1599" i="5"/>
  <c r="F1598" i="5"/>
  <c r="F1597" i="5"/>
  <c r="F1596" i="5"/>
  <c r="F1595" i="5"/>
  <c r="F1594" i="5"/>
  <c r="F1593" i="5"/>
  <c r="F1592" i="5"/>
  <c r="F1591" i="5"/>
  <c r="F1590" i="5"/>
  <c r="F1589" i="5"/>
  <c r="F1588" i="5"/>
  <c r="F1587" i="5"/>
  <c r="F1586" i="5"/>
  <c r="F1585" i="5"/>
  <c r="F1584" i="5"/>
  <c r="F1583" i="5"/>
  <c r="F1582" i="5"/>
  <c r="F1581" i="5"/>
  <c r="F1580" i="5"/>
  <c r="F1579" i="5"/>
  <c r="F1578" i="5"/>
  <c r="F1577" i="5"/>
  <c r="F1576" i="5"/>
  <c r="F1575" i="5"/>
  <c r="F1574" i="5"/>
  <c r="F1573" i="5"/>
  <c r="F1572" i="5"/>
  <c r="F1571" i="5"/>
  <c r="F1570" i="5"/>
  <c r="F1569" i="5"/>
  <c r="F1568" i="5"/>
  <c r="F1567" i="5"/>
  <c r="F1566" i="5"/>
  <c r="F1565" i="5"/>
  <c r="F1564" i="5"/>
  <c r="F1563" i="5"/>
  <c r="F1562" i="5"/>
  <c r="F1561" i="5"/>
  <c r="F1560" i="5"/>
  <c r="F1559" i="5"/>
  <c r="F1558" i="5"/>
  <c r="F1557" i="5"/>
  <c r="F1556" i="5"/>
  <c r="F1555" i="5"/>
  <c r="F1554" i="5"/>
  <c r="F1553" i="5"/>
  <c r="F1552" i="5"/>
  <c r="F1551" i="5"/>
  <c r="F1550" i="5"/>
  <c r="F1549" i="5"/>
  <c r="F1548" i="5"/>
  <c r="F1547" i="5"/>
  <c r="F1546" i="5"/>
  <c r="F1545" i="5"/>
  <c r="F1544" i="5"/>
  <c r="F1543" i="5"/>
  <c r="F1542" i="5"/>
  <c r="F1541" i="5"/>
  <c r="F1540" i="5"/>
  <c r="F1539" i="5"/>
  <c r="F1538" i="5"/>
  <c r="F1537" i="5"/>
  <c r="F1536" i="5"/>
  <c r="F1535" i="5"/>
  <c r="F1534" i="5"/>
  <c r="F1533" i="5"/>
  <c r="F1532" i="5"/>
  <c r="F1531" i="5"/>
  <c r="F1530" i="5"/>
  <c r="F1529" i="5"/>
  <c r="F1528" i="5"/>
  <c r="F1527" i="5"/>
  <c r="F1526" i="5"/>
  <c r="F1525" i="5"/>
  <c r="F1524" i="5"/>
  <c r="F1523" i="5"/>
  <c r="F1522" i="5"/>
  <c r="F1521" i="5"/>
  <c r="F1520" i="5"/>
  <c r="F1519" i="5"/>
  <c r="F1518" i="5"/>
  <c r="F1517" i="5"/>
  <c r="F1516" i="5"/>
  <c r="F1515" i="5"/>
  <c r="F1514" i="5"/>
  <c r="F1513" i="5"/>
  <c r="F1512" i="5"/>
  <c r="F1511" i="5"/>
  <c r="F1510" i="5"/>
  <c r="F1509" i="5"/>
  <c r="F1508" i="5"/>
  <c r="F1507" i="5"/>
  <c r="F1506" i="5"/>
  <c r="F1505" i="5"/>
  <c r="F1504" i="5"/>
  <c r="F1503" i="5"/>
  <c r="F1502" i="5"/>
  <c r="F1501" i="5"/>
  <c r="F1500" i="5"/>
  <c r="F1499" i="5"/>
  <c r="F1498" i="5"/>
  <c r="F1497" i="5"/>
  <c r="F1496" i="5"/>
  <c r="F1495" i="5"/>
  <c r="F1494" i="5"/>
  <c r="F1493" i="5"/>
  <c r="F1492" i="5"/>
  <c r="F1491" i="5"/>
  <c r="F1490" i="5"/>
  <c r="F1489" i="5"/>
  <c r="F1488" i="5"/>
  <c r="F1487" i="5"/>
  <c r="F1486" i="5"/>
  <c r="F1485" i="5"/>
  <c r="F1484" i="5"/>
  <c r="F1483" i="5"/>
  <c r="F1482" i="5"/>
  <c r="F1481" i="5"/>
  <c r="F1480" i="5"/>
  <c r="F1479" i="5"/>
  <c r="F1478" i="5"/>
  <c r="F1477" i="5"/>
  <c r="F1476" i="5"/>
  <c r="F1475" i="5"/>
  <c r="F1474" i="5"/>
  <c r="F1473" i="5"/>
  <c r="F1472" i="5"/>
  <c r="F1471" i="5"/>
  <c r="F1470" i="5"/>
  <c r="F1469" i="5"/>
  <c r="F1468" i="5"/>
  <c r="F1467" i="5"/>
  <c r="F1466" i="5"/>
  <c r="F1465" i="5"/>
  <c r="F1464" i="5"/>
  <c r="F1463" i="5"/>
  <c r="F1462" i="5"/>
  <c r="F1461" i="5"/>
  <c r="F1460" i="5"/>
  <c r="F1459" i="5"/>
  <c r="F1458" i="5"/>
  <c r="F1457" i="5"/>
  <c r="F1456" i="5"/>
  <c r="F1455" i="5"/>
  <c r="F1454" i="5"/>
  <c r="F1453" i="5"/>
  <c r="F1452" i="5"/>
  <c r="F1451" i="5"/>
  <c r="F1450" i="5"/>
  <c r="F1449" i="5"/>
  <c r="F1448" i="5"/>
  <c r="F1447" i="5"/>
  <c r="F1446" i="5"/>
  <c r="F1445" i="5"/>
  <c r="F1444" i="5"/>
  <c r="F1443" i="5"/>
  <c r="F1442" i="5"/>
  <c r="F1441" i="5"/>
  <c r="F1440" i="5"/>
  <c r="F1439" i="5"/>
  <c r="F1438" i="5"/>
  <c r="F1437" i="5"/>
  <c r="F1436" i="5"/>
  <c r="F1435" i="5"/>
  <c r="F1434" i="5"/>
  <c r="F1433" i="5"/>
  <c r="F1432" i="5"/>
  <c r="F1431" i="5"/>
  <c r="F1430" i="5"/>
  <c r="F1429" i="5"/>
  <c r="F1428" i="5"/>
  <c r="F1427" i="5"/>
  <c r="F1426" i="5"/>
  <c r="F1425" i="5"/>
  <c r="F1424" i="5"/>
  <c r="F1423" i="5"/>
  <c r="F1422" i="5"/>
  <c r="F1421" i="5"/>
  <c r="F1420" i="5"/>
  <c r="F1419" i="5"/>
  <c r="F1418" i="5"/>
  <c r="F1417" i="5"/>
  <c r="F1416" i="5"/>
  <c r="F1415" i="5"/>
  <c r="F1414" i="5"/>
  <c r="F1413" i="5"/>
  <c r="F1412" i="5"/>
  <c r="F1411" i="5"/>
  <c r="F1410" i="5"/>
  <c r="F1409" i="5"/>
  <c r="F1408" i="5"/>
  <c r="F1407" i="5"/>
  <c r="F1406" i="5"/>
  <c r="F1405" i="5"/>
  <c r="F1404" i="5"/>
  <c r="F1403" i="5"/>
  <c r="F1402" i="5"/>
  <c r="F1401" i="5"/>
  <c r="F1400" i="5"/>
  <c r="F1399" i="5"/>
  <c r="F1398" i="5"/>
  <c r="F1397" i="5"/>
  <c r="F1396" i="5"/>
  <c r="F1395" i="5"/>
  <c r="F1394" i="5"/>
  <c r="F1393" i="5"/>
  <c r="F1392" i="5"/>
  <c r="F1391" i="5"/>
  <c r="F1390" i="5"/>
  <c r="F1389" i="5"/>
  <c r="F1388" i="5"/>
  <c r="F1387" i="5"/>
  <c r="F1386" i="5"/>
  <c r="F1385" i="5"/>
  <c r="F1384" i="5"/>
  <c r="F1383" i="5"/>
  <c r="F1382" i="5"/>
  <c r="F1381" i="5"/>
  <c r="F1380" i="5"/>
  <c r="F1379" i="5"/>
  <c r="F1378" i="5"/>
  <c r="F1377" i="5"/>
  <c r="F1376" i="5"/>
  <c r="F1375" i="5"/>
  <c r="F1374" i="5"/>
  <c r="F1373" i="5"/>
  <c r="F1372" i="5"/>
  <c r="F1371" i="5"/>
  <c r="F1370" i="5"/>
  <c r="F1369" i="5"/>
  <c r="F1368" i="5"/>
  <c r="F1367" i="5"/>
  <c r="F1366" i="5"/>
  <c r="F1365" i="5"/>
  <c r="F1364" i="5"/>
  <c r="F1363" i="5"/>
  <c r="F1362" i="5"/>
  <c r="F1361" i="5"/>
  <c r="F1360" i="5"/>
  <c r="F1359" i="5"/>
  <c r="F1358" i="5"/>
  <c r="F1357" i="5"/>
  <c r="F1356" i="5"/>
  <c r="F1355" i="5"/>
  <c r="F1354" i="5"/>
  <c r="F1353" i="5"/>
  <c r="F1352" i="5"/>
  <c r="F1351" i="5"/>
  <c r="F1350" i="5"/>
  <c r="F1349" i="5"/>
  <c r="F1348" i="5"/>
  <c r="F1347" i="5"/>
  <c r="F1346" i="5"/>
  <c r="F1345" i="5"/>
  <c r="F1344" i="5"/>
  <c r="F1343" i="5"/>
  <c r="F1342" i="5"/>
  <c r="F1341" i="5"/>
  <c r="F1340" i="5"/>
  <c r="F1339" i="5"/>
  <c r="F1338" i="5"/>
  <c r="F1337" i="5"/>
  <c r="F1336" i="5"/>
  <c r="F1335" i="5"/>
  <c r="F1334" i="5"/>
  <c r="F1333" i="5"/>
  <c r="F1332" i="5"/>
  <c r="F1331" i="5"/>
  <c r="F1330" i="5"/>
  <c r="F1329" i="5"/>
  <c r="F1328" i="5"/>
  <c r="F1327" i="5"/>
  <c r="F1326" i="5"/>
  <c r="F1325" i="5"/>
  <c r="F1324" i="5"/>
  <c r="F1323" i="5"/>
  <c r="F1322" i="5"/>
  <c r="F1321" i="5"/>
  <c r="F1320" i="5"/>
  <c r="F1319" i="5"/>
  <c r="F1318" i="5"/>
  <c r="F1317" i="5"/>
  <c r="F1316" i="5"/>
  <c r="F1315" i="5"/>
  <c r="F1314" i="5"/>
  <c r="F1313" i="5"/>
  <c r="F1312" i="5"/>
  <c r="F1311" i="5"/>
  <c r="F1310" i="5"/>
  <c r="F1309" i="5"/>
  <c r="F1308" i="5"/>
  <c r="F1307" i="5"/>
  <c r="F1306" i="5"/>
  <c r="F1305" i="5"/>
  <c r="F1304" i="5"/>
  <c r="F1303" i="5"/>
  <c r="F1302" i="5"/>
  <c r="F1301" i="5"/>
  <c r="F1300" i="5"/>
  <c r="F1299" i="5"/>
  <c r="F1298" i="5"/>
  <c r="F1297" i="5"/>
  <c r="F1296" i="5"/>
  <c r="F1295" i="5"/>
  <c r="F1294" i="5"/>
  <c r="F1293" i="5"/>
  <c r="F1292" i="5"/>
  <c r="F1291" i="5"/>
  <c r="F1290" i="5"/>
  <c r="F1289" i="5"/>
  <c r="F1288" i="5"/>
  <c r="F1287" i="5"/>
  <c r="F1286" i="5"/>
  <c r="F1285" i="5"/>
  <c r="F1284" i="5"/>
  <c r="F1283" i="5"/>
  <c r="F1282" i="5"/>
  <c r="F1281" i="5"/>
  <c r="F1280" i="5"/>
  <c r="F1279" i="5"/>
  <c r="F1278" i="5"/>
  <c r="F1277" i="5"/>
  <c r="F1276" i="5"/>
  <c r="F1275" i="5"/>
  <c r="F1274" i="5"/>
  <c r="F1273" i="5"/>
  <c r="F1272" i="5"/>
  <c r="F1271" i="5"/>
  <c r="F1270" i="5"/>
  <c r="F1269" i="5"/>
  <c r="F1268" i="5"/>
  <c r="F1267" i="5"/>
  <c r="F1266" i="5"/>
  <c r="F1265" i="5"/>
  <c r="F1264" i="5"/>
  <c r="F1263" i="5"/>
  <c r="F1262" i="5"/>
  <c r="F1261" i="5"/>
  <c r="F1260" i="5"/>
  <c r="F1259" i="5"/>
  <c r="F1258" i="5"/>
  <c r="F1257" i="5"/>
  <c r="F1256" i="5"/>
  <c r="F1255" i="5"/>
  <c r="F1254" i="5"/>
  <c r="F1253" i="5"/>
  <c r="F1252" i="5"/>
  <c r="F1251" i="5"/>
  <c r="F1250" i="5"/>
  <c r="F1249" i="5"/>
  <c r="F1248" i="5"/>
  <c r="F1247" i="5"/>
  <c r="F1246" i="5"/>
  <c r="F1245" i="5"/>
  <c r="F1244" i="5"/>
  <c r="F1243" i="5"/>
  <c r="F1242" i="5"/>
  <c r="F1241" i="5"/>
  <c r="F1240" i="5"/>
  <c r="F1239" i="5"/>
  <c r="F1238" i="5"/>
  <c r="F1237" i="5"/>
  <c r="F1236" i="5"/>
  <c r="F1235" i="5"/>
  <c r="F1234" i="5"/>
  <c r="F1233" i="5"/>
  <c r="F1232" i="5"/>
  <c r="F1231" i="5"/>
  <c r="F1230" i="5"/>
  <c r="F1229" i="5"/>
  <c r="F1228" i="5"/>
  <c r="F1227" i="5"/>
  <c r="F1226" i="5"/>
  <c r="F1225" i="5"/>
  <c r="F1224" i="5"/>
  <c r="F1223" i="5"/>
  <c r="F1222" i="5"/>
  <c r="F1221" i="5"/>
  <c r="F1220" i="5"/>
  <c r="F1219" i="5"/>
  <c r="F1218" i="5"/>
  <c r="F1217" i="5"/>
  <c r="F1216" i="5"/>
  <c r="F1215" i="5"/>
  <c r="F1214" i="5"/>
  <c r="F1213" i="5"/>
  <c r="F1212" i="5"/>
  <c r="F1211" i="5"/>
  <c r="F1210" i="5"/>
  <c r="F1209" i="5"/>
  <c r="F1208" i="5"/>
  <c r="F1207" i="5"/>
  <c r="F1206" i="5"/>
  <c r="F1205" i="5"/>
  <c r="F1204" i="5"/>
  <c r="F1203" i="5"/>
  <c r="F1202" i="5"/>
  <c r="F1201" i="5"/>
  <c r="F1200" i="5"/>
  <c r="F1199" i="5"/>
  <c r="F1198" i="5"/>
  <c r="F1197" i="5"/>
  <c r="F1196" i="5"/>
  <c r="F1195" i="5"/>
  <c r="F1194" i="5"/>
  <c r="F1193" i="5"/>
  <c r="F1192" i="5"/>
  <c r="F1191" i="5"/>
  <c r="F1190" i="5"/>
  <c r="F1189" i="5"/>
  <c r="F1188" i="5"/>
  <c r="F1187" i="5"/>
  <c r="F1186" i="5"/>
  <c r="F1185" i="5"/>
  <c r="F1184" i="5"/>
  <c r="F1183" i="5"/>
  <c r="F1182" i="5"/>
  <c r="F1181" i="5"/>
  <c r="F1180" i="5"/>
  <c r="F1179" i="5"/>
  <c r="F1178" i="5"/>
  <c r="F1177" i="5"/>
  <c r="F1176" i="5"/>
  <c r="F1175" i="5"/>
  <c r="F1174" i="5"/>
  <c r="F1173" i="5"/>
  <c r="F1172" i="5"/>
  <c r="F1171" i="5"/>
  <c r="F1170" i="5"/>
  <c r="F1169" i="5"/>
  <c r="F1168" i="5"/>
  <c r="F1167" i="5"/>
  <c r="F1166" i="5"/>
  <c r="F1165" i="5"/>
  <c r="F1164" i="5"/>
  <c r="F1163" i="5"/>
  <c r="F1162" i="5"/>
  <c r="F1161" i="5"/>
  <c r="F1160" i="5"/>
  <c r="F1159" i="5"/>
  <c r="F1158" i="5"/>
  <c r="F1157" i="5"/>
  <c r="F1156" i="5"/>
  <c r="F1155" i="5"/>
  <c r="F1154" i="5"/>
  <c r="F1153" i="5"/>
  <c r="F1152" i="5"/>
  <c r="F1151" i="5"/>
  <c r="F1150" i="5"/>
  <c r="F1149" i="5"/>
  <c r="F1148" i="5"/>
  <c r="F1147" i="5"/>
  <c r="F1146" i="5"/>
  <c r="F1145" i="5"/>
  <c r="F1144" i="5"/>
  <c r="F1143" i="5"/>
  <c r="F1142" i="5"/>
  <c r="F1141" i="5"/>
  <c r="F1140" i="5"/>
  <c r="F1139" i="5"/>
  <c r="F1138" i="5"/>
  <c r="F1137" i="5"/>
  <c r="F1136" i="5"/>
  <c r="F1135" i="5"/>
  <c r="F1134" i="5"/>
  <c r="F1133" i="5"/>
  <c r="F1132" i="5"/>
  <c r="F1131" i="5"/>
  <c r="F1130" i="5"/>
  <c r="F1129" i="5"/>
  <c r="F1128" i="5"/>
  <c r="F1127" i="5"/>
  <c r="F1126" i="5"/>
  <c r="F1125" i="5"/>
  <c r="F1124" i="5"/>
  <c r="F1123" i="5"/>
  <c r="F1122" i="5"/>
  <c r="F1121" i="5"/>
  <c r="F1120" i="5"/>
  <c r="F1119" i="5"/>
  <c r="F1118" i="5"/>
  <c r="F1117" i="5"/>
  <c r="F1116" i="5"/>
  <c r="F1115" i="5"/>
  <c r="F1114" i="5"/>
  <c r="F1113" i="5"/>
  <c r="F1112" i="5"/>
  <c r="F1111" i="5"/>
  <c r="F1110" i="5"/>
  <c r="F1109" i="5"/>
  <c r="F1108" i="5"/>
  <c r="F1107" i="5"/>
  <c r="F1106" i="5"/>
  <c r="F1105" i="5"/>
  <c r="F1104" i="5"/>
  <c r="F1103" i="5"/>
  <c r="F1102" i="5"/>
  <c r="F1101" i="5"/>
  <c r="F1100" i="5"/>
  <c r="F1099" i="5"/>
  <c r="F1098" i="5"/>
  <c r="F1097" i="5"/>
  <c r="F1096" i="5"/>
  <c r="F1095" i="5"/>
  <c r="F1094" i="5"/>
  <c r="F1093" i="5"/>
  <c r="F1092" i="5"/>
  <c r="F1091" i="5"/>
  <c r="F1090" i="5"/>
  <c r="F1089" i="5"/>
  <c r="F1088" i="5"/>
  <c r="F1087" i="5"/>
  <c r="F1086" i="5"/>
  <c r="F1085" i="5"/>
  <c r="F1084" i="5"/>
  <c r="F1083" i="5"/>
  <c r="F1082" i="5"/>
  <c r="F1081" i="5"/>
  <c r="F1080" i="5"/>
  <c r="F1079" i="5"/>
  <c r="F1078" i="5"/>
  <c r="F1077" i="5"/>
  <c r="F1076" i="5"/>
  <c r="F1075" i="5"/>
  <c r="F1074" i="5"/>
  <c r="F1073" i="5"/>
  <c r="F1072" i="5"/>
  <c r="F1071" i="5"/>
  <c r="F1070" i="5"/>
  <c r="F1069" i="5"/>
  <c r="F1068" i="5"/>
  <c r="F1067" i="5"/>
  <c r="F1066" i="5"/>
  <c r="F1065" i="5"/>
  <c r="F1064" i="5"/>
  <c r="F1063" i="5"/>
  <c r="F1062" i="5"/>
  <c r="F1061" i="5"/>
  <c r="F1060" i="5"/>
  <c r="F1059" i="5"/>
  <c r="F1058" i="5"/>
  <c r="F1057" i="5"/>
  <c r="F1056" i="5"/>
  <c r="F1055" i="5"/>
  <c r="F1054" i="5"/>
  <c r="F1053" i="5"/>
  <c r="F1052" i="5"/>
  <c r="F1051" i="5"/>
  <c r="F1050" i="5"/>
  <c r="F1049" i="5"/>
  <c r="F1048" i="5"/>
  <c r="F1047" i="5"/>
  <c r="F1046" i="5"/>
  <c r="F1045" i="5"/>
  <c r="F1044" i="5"/>
  <c r="F1043" i="5"/>
  <c r="F1042" i="5"/>
  <c r="F1041" i="5"/>
  <c r="F1040" i="5"/>
  <c r="F1039" i="5"/>
  <c r="F1038" i="5"/>
  <c r="F1037" i="5"/>
  <c r="F1036" i="5"/>
  <c r="F1035" i="5"/>
  <c r="F1034" i="5"/>
  <c r="F1033" i="5"/>
  <c r="F1032" i="5"/>
  <c r="F1031" i="5"/>
  <c r="F1030" i="5"/>
  <c r="F1029" i="5"/>
  <c r="F1028" i="5"/>
  <c r="F1027" i="5"/>
  <c r="F1026" i="5"/>
  <c r="F1025" i="5"/>
  <c r="F1024" i="5"/>
  <c r="F1023" i="5"/>
  <c r="F1022" i="5"/>
  <c r="F1021" i="5"/>
  <c r="F1020" i="5"/>
  <c r="F1019" i="5"/>
  <c r="F1018" i="5"/>
  <c r="F1017" i="5"/>
  <c r="F1016" i="5"/>
  <c r="F1015" i="5"/>
  <c r="F1014" i="5"/>
  <c r="F1013" i="5"/>
  <c r="F1012" i="5"/>
  <c r="F1011" i="5"/>
  <c r="F1010" i="5"/>
  <c r="F1009" i="5"/>
  <c r="F1008" i="5"/>
  <c r="F1007" i="5"/>
  <c r="F1006" i="5"/>
  <c r="F1005" i="5"/>
  <c r="F1004" i="5"/>
  <c r="F1003" i="5"/>
  <c r="F1002" i="5"/>
  <c r="F1001" i="5"/>
  <c r="F1000" i="5"/>
  <c r="F999" i="5"/>
  <c r="F998" i="5"/>
  <c r="F997" i="5"/>
  <c r="F996" i="5"/>
  <c r="F995" i="5"/>
  <c r="F994" i="5"/>
  <c r="F993" i="5"/>
  <c r="F992" i="5"/>
  <c r="F991" i="5"/>
  <c r="F990" i="5"/>
  <c r="F989" i="5"/>
  <c r="F988" i="5"/>
  <c r="F987" i="5"/>
  <c r="F986" i="5"/>
  <c r="F985" i="5"/>
  <c r="F984" i="5"/>
  <c r="F983" i="5"/>
  <c r="F982" i="5"/>
  <c r="F981" i="5"/>
  <c r="F980" i="5"/>
  <c r="F979" i="5"/>
  <c r="F978" i="5"/>
  <c r="F977" i="5"/>
  <c r="F976" i="5"/>
  <c r="F975" i="5"/>
  <c r="F974" i="5"/>
  <c r="F973" i="5"/>
  <c r="F972" i="5"/>
  <c r="F971" i="5"/>
  <c r="F970" i="5"/>
  <c r="F969" i="5"/>
  <c r="F968" i="5"/>
  <c r="F967" i="5"/>
  <c r="F966" i="5"/>
  <c r="F965" i="5"/>
  <c r="F964" i="5"/>
  <c r="F963" i="5"/>
  <c r="F962" i="5"/>
  <c r="F961" i="5"/>
  <c r="F960" i="5"/>
  <c r="F959" i="5"/>
  <c r="F958" i="5"/>
  <c r="F957" i="5"/>
  <c r="F956" i="5"/>
  <c r="F955" i="5"/>
  <c r="F954" i="5"/>
  <c r="F953" i="5"/>
  <c r="F952" i="5"/>
  <c r="F951" i="5"/>
  <c r="F950" i="5"/>
  <c r="F949" i="5"/>
  <c r="F948" i="5"/>
  <c r="F947" i="5"/>
  <c r="F946" i="5"/>
  <c r="F945" i="5"/>
  <c r="F944" i="5"/>
  <c r="F943" i="5"/>
  <c r="F942" i="5"/>
  <c r="F941" i="5"/>
  <c r="F940" i="5"/>
  <c r="F939" i="5"/>
  <c r="F938" i="5"/>
  <c r="F937" i="5"/>
  <c r="F936" i="5"/>
  <c r="F935" i="5"/>
  <c r="F934" i="5"/>
  <c r="F933" i="5"/>
  <c r="F932" i="5"/>
  <c r="F931" i="5"/>
  <c r="F930" i="5"/>
  <c r="F929" i="5"/>
  <c r="F928" i="5"/>
  <c r="F927" i="5"/>
  <c r="F926" i="5"/>
  <c r="F925" i="5"/>
  <c r="F924" i="5"/>
  <c r="F923" i="5"/>
  <c r="F922" i="5"/>
  <c r="F921" i="5"/>
  <c r="F920" i="5"/>
  <c r="F919" i="5"/>
  <c r="F918" i="5"/>
  <c r="F917" i="5"/>
  <c r="F916" i="5"/>
  <c r="F915" i="5"/>
  <c r="F914" i="5"/>
  <c r="F913" i="5"/>
  <c r="F912" i="5"/>
  <c r="F911" i="5"/>
  <c r="F910" i="5"/>
  <c r="F909" i="5"/>
  <c r="F908" i="5"/>
  <c r="F907" i="5"/>
  <c r="F906" i="5"/>
  <c r="F905" i="5"/>
  <c r="F904" i="5"/>
  <c r="F903" i="5"/>
  <c r="F902" i="5"/>
  <c r="F901" i="5"/>
  <c r="F900" i="5"/>
  <c r="F899" i="5"/>
  <c r="F898" i="5"/>
  <c r="F897" i="5"/>
  <c r="F896" i="5"/>
  <c r="F895" i="5"/>
  <c r="F894" i="5"/>
  <c r="F893" i="5"/>
  <c r="F892" i="5"/>
  <c r="F891" i="5"/>
  <c r="F890" i="5"/>
  <c r="F889" i="5"/>
  <c r="F888" i="5"/>
  <c r="F887" i="5"/>
  <c r="F886" i="5"/>
  <c r="F885" i="5"/>
  <c r="F884" i="5"/>
  <c r="F883" i="5"/>
  <c r="F882" i="5"/>
  <c r="F881" i="5"/>
  <c r="F880" i="5"/>
  <c r="F879" i="5"/>
  <c r="F878" i="5"/>
  <c r="F877" i="5"/>
  <c r="F876" i="5"/>
  <c r="F875" i="5"/>
  <c r="F874" i="5"/>
  <c r="F873" i="5"/>
  <c r="F872" i="5"/>
  <c r="F871" i="5"/>
  <c r="F870" i="5"/>
  <c r="F869" i="5"/>
  <c r="F868" i="5"/>
  <c r="F867" i="5"/>
  <c r="F866" i="5"/>
  <c r="F865" i="5"/>
  <c r="F864" i="5"/>
  <c r="F863" i="5"/>
  <c r="F862" i="5"/>
  <c r="F861" i="5"/>
  <c r="F860" i="5"/>
  <c r="F859" i="5"/>
  <c r="F858" i="5"/>
  <c r="F857" i="5"/>
  <c r="F856" i="5"/>
  <c r="F855" i="5"/>
  <c r="F854" i="5"/>
  <c r="F853" i="5"/>
  <c r="F852" i="5"/>
  <c r="F851" i="5"/>
  <c r="F850" i="5"/>
  <c r="F849" i="5"/>
  <c r="F848" i="5"/>
  <c r="F847" i="5"/>
  <c r="F846" i="5"/>
  <c r="F845" i="5"/>
  <c r="F844" i="5"/>
  <c r="F843" i="5"/>
  <c r="F842" i="5"/>
  <c r="F841" i="5"/>
  <c r="F840" i="5"/>
  <c r="F839" i="5"/>
  <c r="F838" i="5"/>
  <c r="F837" i="5"/>
  <c r="F836" i="5"/>
  <c r="F835" i="5"/>
  <c r="F834" i="5"/>
  <c r="F833" i="5"/>
  <c r="F832" i="5"/>
  <c r="F831" i="5"/>
  <c r="F830" i="5"/>
  <c r="F829" i="5"/>
  <c r="F828" i="5"/>
  <c r="F827" i="5"/>
  <c r="F826" i="5"/>
  <c r="F825" i="5"/>
  <c r="F824" i="5"/>
  <c r="F823" i="5"/>
  <c r="F822" i="5"/>
  <c r="F821" i="5"/>
  <c r="F820" i="5"/>
  <c r="F819" i="5"/>
  <c r="F818" i="5"/>
  <c r="F817" i="5"/>
  <c r="F816" i="5"/>
  <c r="F815" i="5"/>
  <c r="F814" i="5"/>
  <c r="F813" i="5"/>
  <c r="F812" i="5"/>
  <c r="F811" i="5"/>
  <c r="F810" i="5"/>
  <c r="F809" i="5"/>
  <c r="F808" i="5"/>
  <c r="F807" i="5"/>
  <c r="F806" i="5"/>
  <c r="F805" i="5"/>
  <c r="F804" i="5"/>
  <c r="F803" i="5"/>
  <c r="F802" i="5"/>
  <c r="F801" i="5"/>
  <c r="F800" i="5"/>
  <c r="F799" i="5"/>
  <c r="F798" i="5"/>
  <c r="F797" i="5"/>
  <c r="F796" i="5"/>
  <c r="F795" i="5"/>
  <c r="F794" i="5"/>
  <c r="F793" i="5"/>
  <c r="F792" i="5"/>
  <c r="F791" i="5"/>
  <c r="F790" i="5"/>
  <c r="F789" i="5"/>
  <c r="F788" i="5"/>
  <c r="F787" i="5"/>
  <c r="F786" i="5"/>
  <c r="F785" i="5"/>
  <c r="F784" i="5"/>
  <c r="F783" i="5"/>
  <c r="F782" i="5"/>
  <c r="F781" i="5"/>
  <c r="F780" i="5"/>
  <c r="F779" i="5"/>
  <c r="F778" i="5"/>
  <c r="F777" i="5"/>
  <c r="F776" i="5"/>
  <c r="F775" i="5"/>
  <c r="F774" i="5"/>
  <c r="F773" i="5"/>
  <c r="F772" i="5"/>
  <c r="F771" i="5"/>
  <c r="F770" i="5"/>
  <c r="F769" i="5"/>
  <c r="F768" i="5"/>
  <c r="F767" i="5"/>
  <c r="F766" i="5"/>
  <c r="F765" i="5"/>
  <c r="F764" i="5"/>
  <c r="F763" i="5"/>
  <c r="F762" i="5"/>
  <c r="F761" i="5"/>
  <c r="F760" i="5"/>
  <c r="F759" i="5"/>
  <c r="F758" i="5"/>
  <c r="F757" i="5"/>
  <c r="F756" i="5"/>
  <c r="F755" i="5"/>
  <c r="F754" i="5"/>
  <c r="F753" i="5"/>
  <c r="F752" i="5"/>
  <c r="F751" i="5"/>
  <c r="F750" i="5"/>
  <c r="F749" i="5"/>
  <c r="F748" i="5"/>
  <c r="F747" i="5"/>
  <c r="F746" i="5"/>
  <c r="F745" i="5"/>
  <c r="F744" i="5"/>
  <c r="F743" i="5"/>
  <c r="F742" i="5"/>
  <c r="F741" i="5"/>
  <c r="F740" i="5"/>
  <c r="F739" i="5"/>
  <c r="F738" i="5"/>
  <c r="F737" i="5"/>
  <c r="F736" i="5"/>
  <c r="F735" i="5"/>
  <c r="F734" i="5"/>
  <c r="F733" i="5"/>
  <c r="F732" i="5"/>
  <c r="F731" i="5"/>
  <c r="F730" i="5"/>
  <c r="F729" i="5"/>
  <c r="F728" i="5"/>
  <c r="F727" i="5"/>
  <c r="F726" i="5"/>
  <c r="F725" i="5"/>
  <c r="F724" i="5"/>
  <c r="F723" i="5"/>
  <c r="F722" i="5"/>
  <c r="F721" i="5"/>
  <c r="F720" i="5"/>
  <c r="F719" i="5"/>
  <c r="F718" i="5"/>
  <c r="F717" i="5"/>
  <c r="F716" i="5"/>
  <c r="F715" i="5"/>
  <c r="F714" i="5"/>
  <c r="F713" i="5"/>
  <c r="F712" i="5"/>
  <c r="F711" i="5"/>
  <c r="F710" i="5"/>
  <c r="F709" i="5"/>
  <c r="F708" i="5"/>
  <c r="F707" i="5"/>
  <c r="F706" i="5"/>
  <c r="F705" i="5"/>
  <c r="F704" i="5"/>
  <c r="F703" i="5"/>
  <c r="F702" i="5"/>
  <c r="F701" i="5"/>
  <c r="F700" i="5"/>
  <c r="F699" i="5"/>
  <c r="F698" i="5"/>
  <c r="F697" i="5"/>
  <c r="F696" i="5"/>
  <c r="F695" i="5"/>
  <c r="F694" i="5"/>
  <c r="F693" i="5"/>
  <c r="F692" i="5"/>
  <c r="F691" i="5"/>
  <c r="F690" i="5"/>
  <c r="F689" i="5"/>
  <c r="F688" i="5"/>
  <c r="F687" i="5"/>
  <c r="F686" i="5"/>
  <c r="F685" i="5"/>
  <c r="F684" i="5"/>
  <c r="F683" i="5"/>
  <c r="F682" i="5"/>
  <c r="F681" i="5"/>
  <c r="F680" i="5"/>
  <c r="F679" i="5"/>
  <c r="F678" i="5"/>
  <c r="F677" i="5"/>
  <c r="F676" i="5"/>
  <c r="F675" i="5"/>
  <c r="F674" i="5"/>
  <c r="F673" i="5"/>
  <c r="F672" i="5"/>
  <c r="F671" i="5"/>
  <c r="F670" i="5"/>
  <c r="F669" i="5"/>
  <c r="F668" i="5"/>
  <c r="F667" i="5"/>
  <c r="F666" i="5"/>
  <c r="F665" i="5"/>
  <c r="F664" i="5"/>
  <c r="F663" i="5"/>
  <c r="F662" i="5"/>
  <c r="F661" i="5"/>
  <c r="F660" i="5"/>
  <c r="F659" i="5"/>
  <c r="F658" i="5"/>
  <c r="F657" i="5"/>
  <c r="F656" i="5"/>
  <c r="F655" i="5"/>
  <c r="F654" i="5"/>
  <c r="F653" i="5"/>
  <c r="F652" i="5"/>
  <c r="F651" i="5"/>
  <c r="F650" i="5"/>
  <c r="F649" i="5"/>
  <c r="F648" i="5"/>
  <c r="F647" i="5"/>
  <c r="F646" i="5"/>
  <c r="F645" i="5"/>
  <c r="F644" i="5"/>
  <c r="F643" i="5"/>
  <c r="F642" i="5"/>
  <c r="F641" i="5"/>
  <c r="F640" i="5"/>
  <c r="F639" i="5"/>
  <c r="F638" i="5"/>
  <c r="F637" i="5"/>
  <c r="F636" i="5"/>
  <c r="F635" i="5"/>
  <c r="F634" i="5"/>
  <c r="F633" i="5"/>
  <c r="F632" i="5"/>
  <c r="F631" i="5"/>
  <c r="F630" i="5"/>
  <c r="F629" i="5"/>
  <c r="F628" i="5"/>
  <c r="F627" i="5"/>
  <c r="F626" i="5"/>
  <c r="F625" i="5"/>
  <c r="F624" i="5"/>
  <c r="F623" i="5"/>
  <c r="F622" i="5"/>
  <c r="F621" i="5"/>
  <c r="F620" i="5"/>
  <c r="F619" i="5"/>
  <c r="F618" i="5"/>
  <c r="F617" i="5"/>
  <c r="F616" i="5"/>
  <c r="F615" i="5"/>
  <c r="F614" i="5"/>
  <c r="F613" i="5"/>
  <c r="F612" i="5"/>
  <c r="F611" i="5"/>
  <c r="F610" i="5"/>
  <c r="F609" i="5"/>
  <c r="F608" i="5"/>
  <c r="F607" i="5"/>
  <c r="F606" i="5"/>
  <c r="F605" i="5"/>
  <c r="F604" i="5"/>
  <c r="F603" i="5"/>
  <c r="F602" i="5"/>
  <c r="F601" i="5"/>
  <c r="F600" i="5"/>
  <c r="F599" i="5"/>
  <c r="F598" i="5"/>
  <c r="F597" i="5"/>
  <c r="F596" i="5"/>
  <c r="F595" i="5"/>
  <c r="F594" i="5"/>
  <c r="F593" i="5"/>
  <c r="F592" i="5"/>
  <c r="F591" i="5"/>
  <c r="F590" i="5"/>
  <c r="F589" i="5"/>
  <c r="F588" i="5"/>
  <c r="F587" i="5"/>
  <c r="F586" i="5"/>
  <c r="F585" i="5"/>
  <c r="F584" i="5"/>
  <c r="F583" i="5"/>
  <c r="F582" i="5"/>
  <c r="F581" i="5"/>
  <c r="F580" i="5"/>
  <c r="F579" i="5"/>
  <c r="F578" i="5"/>
  <c r="F577" i="5"/>
  <c r="F576" i="5"/>
  <c r="F575" i="5"/>
  <c r="F574" i="5"/>
  <c r="F573" i="5"/>
  <c r="F572" i="5"/>
  <c r="F571" i="5"/>
  <c r="F570" i="5"/>
  <c r="F569" i="5"/>
  <c r="F568" i="5"/>
  <c r="F567" i="5"/>
  <c r="F566" i="5"/>
  <c r="F565" i="5"/>
  <c r="F564" i="5"/>
  <c r="F563" i="5"/>
  <c r="F562" i="5"/>
  <c r="F561" i="5"/>
  <c r="F560" i="5"/>
  <c r="F559" i="5"/>
  <c r="F558" i="5"/>
  <c r="F557" i="5"/>
  <c r="F556" i="5"/>
  <c r="F555" i="5"/>
  <c r="F554" i="5"/>
  <c r="F553" i="5"/>
  <c r="F552" i="5"/>
  <c r="F551" i="5"/>
  <c r="F550" i="5"/>
  <c r="F549" i="5"/>
  <c r="F548" i="5"/>
  <c r="F547" i="5"/>
  <c r="F546" i="5"/>
  <c r="F545" i="5"/>
  <c r="F544" i="5"/>
  <c r="F543" i="5"/>
  <c r="F542" i="5"/>
  <c r="F541" i="5"/>
  <c r="F540" i="5"/>
  <c r="F539" i="5"/>
  <c r="F538" i="5"/>
  <c r="F537" i="5"/>
  <c r="F536" i="5"/>
  <c r="F535" i="5"/>
  <c r="F534" i="5"/>
  <c r="F533" i="5"/>
  <c r="F532" i="5"/>
  <c r="F531" i="5"/>
  <c r="F530" i="5"/>
  <c r="F529" i="5"/>
  <c r="F528" i="5"/>
  <c r="F527" i="5"/>
  <c r="F526" i="5"/>
  <c r="F525" i="5"/>
  <c r="F524" i="5"/>
  <c r="F523" i="5"/>
  <c r="F522" i="5"/>
  <c r="F521" i="5"/>
  <c r="F520" i="5"/>
  <c r="F519" i="5"/>
  <c r="F518" i="5"/>
  <c r="F517" i="5"/>
  <c r="F516" i="5"/>
  <c r="F515" i="5"/>
  <c r="F514" i="5"/>
  <c r="F513" i="5"/>
  <c r="F512" i="5"/>
  <c r="F511" i="5"/>
  <c r="F510" i="5"/>
  <c r="F509" i="5"/>
  <c r="F508" i="5"/>
  <c r="F507" i="5"/>
  <c r="F506" i="5"/>
  <c r="F505" i="5"/>
  <c r="F504" i="5"/>
  <c r="F503" i="5"/>
  <c r="F502" i="5"/>
  <c r="F501" i="5"/>
  <c r="F500" i="5"/>
  <c r="F499" i="5"/>
  <c r="F498" i="5"/>
  <c r="F497" i="5"/>
  <c r="F496" i="5"/>
  <c r="F495" i="5"/>
  <c r="F494" i="5"/>
  <c r="F493" i="5"/>
  <c r="F492" i="5"/>
  <c r="F491" i="5"/>
  <c r="F490" i="5"/>
  <c r="F489" i="5"/>
  <c r="F488" i="5"/>
  <c r="F487" i="5"/>
  <c r="F486" i="5"/>
  <c r="F485" i="5"/>
  <c r="F484" i="5"/>
  <c r="F483" i="5"/>
  <c r="F482" i="5"/>
  <c r="F481" i="5"/>
  <c r="F480" i="5"/>
  <c r="F479" i="5"/>
  <c r="F478" i="5"/>
  <c r="F477" i="5"/>
  <c r="F476" i="5"/>
  <c r="F475" i="5"/>
  <c r="F474" i="5"/>
  <c r="F473" i="5"/>
  <c r="F472" i="5"/>
  <c r="F471" i="5"/>
  <c r="F470" i="5"/>
  <c r="F469" i="5"/>
  <c r="F468" i="5"/>
  <c r="F467" i="5"/>
  <c r="F466" i="5"/>
  <c r="F465" i="5"/>
  <c r="F464" i="5"/>
  <c r="F463" i="5"/>
  <c r="F462" i="5"/>
  <c r="F461" i="5"/>
  <c r="F460" i="5"/>
  <c r="F459" i="5"/>
  <c r="F458" i="5"/>
  <c r="F457" i="5"/>
  <c r="F456" i="5"/>
  <c r="F455" i="5"/>
  <c r="F454" i="5"/>
  <c r="F453" i="5"/>
  <c r="F452" i="5"/>
  <c r="F451" i="5"/>
  <c r="F450" i="5"/>
  <c r="F449" i="5"/>
  <c r="F448" i="5"/>
  <c r="F447" i="5"/>
  <c r="F446" i="5"/>
  <c r="F445" i="5"/>
  <c r="F444" i="5"/>
  <c r="F443" i="5"/>
  <c r="F442" i="5"/>
  <c r="F441" i="5"/>
  <c r="F440" i="5"/>
  <c r="F439" i="5"/>
  <c r="F438" i="5"/>
  <c r="F437" i="5"/>
  <c r="F436" i="5"/>
  <c r="F435" i="5"/>
  <c r="F434" i="5"/>
  <c r="F433" i="5"/>
  <c r="F432" i="5"/>
  <c r="F431" i="5"/>
  <c r="F430" i="5"/>
  <c r="F429" i="5"/>
  <c r="F428" i="5"/>
  <c r="F427" i="5"/>
  <c r="F426" i="5"/>
  <c r="F425" i="5"/>
  <c r="F424" i="5"/>
  <c r="F423" i="5"/>
  <c r="F422" i="5"/>
  <c r="F421" i="5"/>
  <c r="F420" i="5"/>
  <c r="F419" i="5"/>
  <c r="F418" i="5"/>
  <c r="F417" i="5"/>
  <c r="F416" i="5"/>
  <c r="F415" i="5"/>
  <c r="F414" i="5"/>
  <c r="F413" i="5"/>
  <c r="F412" i="5"/>
  <c r="F411" i="5"/>
  <c r="F410" i="5"/>
  <c r="F409" i="5"/>
  <c r="F408" i="5"/>
  <c r="F407" i="5"/>
  <c r="F406" i="5"/>
  <c r="F405" i="5"/>
  <c r="F404" i="5"/>
  <c r="F403" i="5"/>
  <c r="F402" i="5"/>
  <c r="F401" i="5"/>
  <c r="F400" i="5"/>
  <c r="F399" i="5"/>
  <c r="F398" i="5"/>
  <c r="F397" i="5"/>
  <c r="F396" i="5"/>
  <c r="F395" i="5"/>
  <c r="F394" i="5"/>
  <c r="F393" i="5"/>
  <c r="F392" i="5"/>
  <c r="F391" i="5"/>
  <c r="F390" i="5"/>
  <c r="F389" i="5"/>
  <c r="F388" i="5"/>
  <c r="F387" i="5"/>
  <c r="F386" i="5"/>
  <c r="F385" i="5"/>
  <c r="F384" i="5"/>
  <c r="F383" i="5"/>
  <c r="F382" i="5"/>
  <c r="F381" i="5"/>
  <c r="F380" i="5"/>
  <c r="F379" i="5"/>
  <c r="F378" i="5"/>
  <c r="F377" i="5"/>
  <c r="F376" i="5"/>
  <c r="F375" i="5"/>
  <c r="F374" i="5"/>
  <c r="F373" i="5"/>
  <c r="F372" i="5"/>
  <c r="F371" i="5"/>
  <c r="F370" i="5"/>
  <c r="F369" i="5"/>
  <c r="F368" i="5"/>
  <c r="F367" i="5"/>
  <c r="F366" i="5"/>
  <c r="F365" i="5"/>
  <c r="F364" i="5"/>
  <c r="F363" i="5"/>
  <c r="F362" i="5"/>
  <c r="F361" i="5"/>
  <c r="F360" i="5"/>
  <c r="F359" i="5"/>
  <c r="F358" i="5"/>
  <c r="F357" i="5"/>
  <c r="F356" i="5"/>
  <c r="F355" i="5"/>
  <c r="F354" i="5"/>
  <c r="F353" i="5"/>
  <c r="F352" i="5"/>
  <c r="F351" i="5"/>
  <c r="F350" i="5"/>
  <c r="F349" i="5"/>
  <c r="F348" i="5"/>
  <c r="F347" i="5"/>
  <c r="F346" i="5"/>
  <c r="F345" i="5"/>
  <c r="F344" i="5"/>
  <c r="F343" i="5"/>
  <c r="F342" i="5"/>
  <c r="F341" i="5"/>
  <c r="F340" i="5"/>
  <c r="F339" i="5"/>
  <c r="F338" i="5"/>
  <c r="F337" i="5"/>
  <c r="F336" i="5"/>
  <c r="F335" i="5"/>
  <c r="F334" i="5"/>
  <c r="F333" i="5"/>
  <c r="F332" i="5"/>
  <c r="F331" i="5"/>
  <c r="F330" i="5"/>
  <c r="F329" i="5"/>
  <c r="F328" i="5"/>
  <c r="F327" i="5"/>
  <c r="F326" i="5"/>
  <c r="F325" i="5"/>
  <c r="F324" i="5"/>
  <c r="F323" i="5"/>
  <c r="F322" i="5"/>
  <c r="F321" i="5"/>
  <c r="F320" i="5"/>
  <c r="F319" i="5"/>
  <c r="F318" i="5"/>
  <c r="F317" i="5"/>
  <c r="F316" i="5"/>
  <c r="F315" i="5"/>
  <c r="F314" i="5"/>
  <c r="F313" i="5"/>
  <c r="F312" i="5"/>
  <c r="F311" i="5"/>
  <c r="F310" i="5"/>
  <c r="F309" i="5"/>
  <c r="F308" i="5"/>
  <c r="F307" i="5"/>
  <c r="F306" i="5"/>
  <c r="F305" i="5"/>
  <c r="F304" i="5"/>
  <c r="F303" i="5"/>
  <c r="F302" i="5"/>
  <c r="F301" i="5"/>
  <c r="F300" i="5"/>
  <c r="F299" i="5"/>
  <c r="F298" i="5"/>
  <c r="F297" i="5"/>
  <c r="F296" i="5"/>
  <c r="F295" i="5"/>
  <c r="F294" i="5"/>
  <c r="F293" i="5"/>
  <c r="F292" i="5"/>
  <c r="F291" i="5"/>
  <c r="F290" i="5"/>
  <c r="F289" i="5"/>
  <c r="F288" i="5"/>
  <c r="F287" i="5"/>
  <c r="F286" i="5"/>
  <c r="F285" i="5"/>
  <c r="F284" i="5"/>
  <c r="F283" i="5"/>
  <c r="F282" i="5"/>
  <c r="F281" i="5"/>
  <c r="F280" i="5"/>
  <c r="F279" i="5"/>
  <c r="F278" i="5"/>
  <c r="F277" i="5"/>
  <c r="F276" i="5"/>
  <c r="F275" i="5"/>
  <c r="F274" i="5"/>
  <c r="F273" i="5"/>
  <c r="F272" i="5"/>
  <c r="F271" i="5"/>
  <c r="F270" i="5"/>
  <c r="F269" i="5"/>
  <c r="F268" i="5"/>
  <c r="F267" i="5"/>
  <c r="F266" i="5"/>
  <c r="F265" i="5"/>
  <c r="F264" i="5"/>
  <c r="F263" i="5"/>
  <c r="F262" i="5"/>
  <c r="F261" i="5"/>
  <c r="F260" i="5"/>
  <c r="F259" i="5"/>
  <c r="F258" i="5"/>
  <c r="F257" i="5"/>
  <c r="F256" i="5"/>
  <c r="F255" i="5"/>
  <c r="F254" i="5"/>
  <c r="F253" i="5"/>
  <c r="F252" i="5"/>
  <c r="F251" i="5"/>
  <c r="F250" i="5"/>
  <c r="F249" i="5"/>
  <c r="F248" i="5"/>
  <c r="F247" i="5"/>
  <c r="F246" i="5"/>
  <c r="F245" i="5"/>
  <c r="F244" i="5"/>
  <c r="F243" i="5"/>
  <c r="F242" i="5"/>
  <c r="F241" i="5"/>
  <c r="F240" i="5"/>
  <c r="F239" i="5"/>
  <c r="F238" i="5"/>
  <c r="F237" i="5"/>
  <c r="F236" i="5"/>
  <c r="F235" i="5"/>
  <c r="F234" i="5"/>
  <c r="F233" i="5"/>
  <c r="F232" i="5"/>
  <c r="F231" i="5"/>
  <c r="F230" i="5"/>
  <c r="F229" i="5"/>
  <c r="F228" i="5"/>
  <c r="F227" i="5"/>
  <c r="F226" i="5"/>
  <c r="F225" i="5"/>
  <c r="F224" i="5"/>
  <c r="F223" i="5"/>
  <c r="F222" i="5"/>
  <c r="F221" i="5"/>
  <c r="F220" i="5"/>
  <c r="F219" i="5"/>
  <c r="F218" i="5"/>
  <c r="F217" i="5"/>
  <c r="F216" i="5"/>
  <c r="F215" i="5"/>
  <c r="F214" i="5"/>
  <c r="F213" i="5"/>
  <c r="F212" i="5"/>
  <c r="F211" i="5"/>
  <c r="F210" i="5"/>
  <c r="F209" i="5"/>
  <c r="F208" i="5"/>
  <c r="F207" i="5"/>
  <c r="F206" i="5"/>
  <c r="F205" i="5"/>
  <c r="F204" i="5"/>
  <c r="F203" i="5"/>
  <c r="F202" i="5"/>
  <c r="F201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F179" i="5"/>
  <c r="F178" i="5"/>
  <c r="F177" i="5"/>
  <c r="F176" i="5"/>
  <c r="F175" i="5"/>
  <c r="F174" i="5"/>
  <c r="F173" i="5"/>
  <c r="F172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F2" i="1"/>
  <c r="F2547" i="4"/>
  <c r="F2546" i="4"/>
  <c r="F2545" i="4"/>
  <c r="F2544" i="4"/>
  <c r="F2543" i="4"/>
  <c r="F2542" i="4"/>
  <c r="F2541" i="4"/>
  <c r="F2540" i="4"/>
  <c r="F2539" i="4"/>
  <c r="F2538" i="4"/>
  <c r="F2537" i="4"/>
  <c r="F2536" i="4"/>
  <c r="F2535" i="4"/>
  <c r="F2534" i="4"/>
  <c r="F2533" i="4"/>
  <c r="F2532" i="4"/>
  <c r="F2531" i="4"/>
  <c r="F2530" i="4"/>
  <c r="F2529" i="4"/>
  <c r="F2528" i="4"/>
  <c r="F2527" i="4"/>
  <c r="F2526" i="4"/>
  <c r="F2525" i="4"/>
  <c r="F2524" i="4"/>
  <c r="F2523" i="4"/>
  <c r="F2522" i="4"/>
  <c r="F2521" i="4"/>
  <c r="F2520" i="4"/>
  <c r="F2519" i="4"/>
  <c r="F2518" i="4"/>
  <c r="F2517" i="4"/>
  <c r="F2516" i="4"/>
  <c r="F2515" i="4"/>
  <c r="F2514" i="4"/>
  <c r="F2513" i="4"/>
  <c r="F2512" i="4"/>
  <c r="F2511" i="4"/>
  <c r="F2510" i="4"/>
  <c r="F2509" i="4"/>
  <c r="F2508" i="4"/>
  <c r="F2507" i="4"/>
  <c r="F2506" i="4"/>
  <c r="F2505" i="4"/>
  <c r="F2504" i="4"/>
  <c r="F2503" i="4"/>
  <c r="F2502" i="4"/>
  <c r="F2501" i="4"/>
  <c r="F2500" i="4"/>
  <c r="F2499" i="4"/>
  <c r="F2498" i="4"/>
  <c r="F2497" i="4"/>
  <c r="F2496" i="4"/>
  <c r="F2495" i="4"/>
  <c r="F2494" i="4"/>
  <c r="F2493" i="4"/>
  <c r="F2492" i="4"/>
  <c r="F2491" i="4"/>
  <c r="F2490" i="4"/>
  <c r="F2489" i="4"/>
  <c r="F2488" i="4"/>
  <c r="F2487" i="4"/>
  <c r="F2486" i="4"/>
  <c r="F2485" i="4"/>
  <c r="F2484" i="4"/>
  <c r="F2483" i="4"/>
  <c r="F2482" i="4"/>
  <c r="F2481" i="4"/>
  <c r="F2480" i="4"/>
  <c r="F2479" i="4"/>
  <c r="F2478" i="4"/>
  <c r="F2477" i="4"/>
  <c r="F2476" i="4"/>
  <c r="F2475" i="4"/>
  <c r="F2474" i="4"/>
  <c r="F2473" i="4"/>
  <c r="F2472" i="4"/>
  <c r="F2471" i="4"/>
  <c r="F2470" i="4"/>
  <c r="F2469" i="4"/>
  <c r="F2468" i="4"/>
  <c r="F2467" i="4"/>
  <c r="F2466" i="4"/>
  <c r="F2465" i="4"/>
  <c r="F2464" i="4"/>
  <c r="F2463" i="4"/>
  <c r="F2462" i="4"/>
  <c r="F2461" i="4"/>
  <c r="F2460" i="4"/>
  <c r="F2459" i="4"/>
  <c r="F2458" i="4"/>
  <c r="F2457" i="4"/>
  <c r="F2456" i="4"/>
  <c r="F2455" i="4"/>
  <c r="F2454" i="4"/>
  <c r="F2453" i="4"/>
  <c r="F2452" i="4"/>
  <c r="F2451" i="4"/>
  <c r="F2450" i="4"/>
  <c r="F2449" i="4"/>
  <c r="F2448" i="4"/>
  <c r="F2447" i="4"/>
  <c r="F2446" i="4"/>
  <c r="F2445" i="4"/>
  <c r="F2444" i="4"/>
  <c r="F2443" i="4"/>
  <c r="F2442" i="4"/>
  <c r="F2441" i="4"/>
  <c r="F2440" i="4"/>
  <c r="F2439" i="4"/>
  <c r="F2438" i="4"/>
  <c r="F2437" i="4"/>
  <c r="F2436" i="4"/>
  <c r="F2435" i="4"/>
  <c r="F2434" i="4"/>
  <c r="F2433" i="4"/>
  <c r="F2432" i="4"/>
  <c r="F2431" i="4"/>
  <c r="F2430" i="4"/>
  <c r="F2429" i="4"/>
  <c r="F2428" i="4"/>
  <c r="F2427" i="4"/>
  <c r="F2426" i="4"/>
  <c r="F2425" i="4"/>
  <c r="F2424" i="4"/>
  <c r="F2423" i="4"/>
  <c r="F2422" i="4"/>
  <c r="F2421" i="4"/>
  <c r="F2420" i="4"/>
  <c r="F2419" i="4"/>
  <c r="F2418" i="4"/>
  <c r="F2417" i="4"/>
  <c r="F2416" i="4"/>
  <c r="F2415" i="4"/>
  <c r="F2414" i="4"/>
  <c r="F2413" i="4"/>
  <c r="F2412" i="4"/>
  <c r="F2411" i="4"/>
  <c r="F2410" i="4"/>
  <c r="F2409" i="4"/>
  <c r="F2408" i="4"/>
  <c r="F2407" i="4"/>
  <c r="F2406" i="4"/>
  <c r="F2405" i="4"/>
  <c r="F2404" i="4"/>
  <c r="F2403" i="4"/>
  <c r="F2402" i="4"/>
  <c r="F2401" i="4"/>
  <c r="F2400" i="4"/>
  <c r="F2399" i="4"/>
  <c r="F2398" i="4"/>
  <c r="F2397" i="4"/>
  <c r="F2396" i="4"/>
  <c r="F2395" i="4"/>
  <c r="F2394" i="4"/>
  <c r="F2393" i="4"/>
  <c r="F2392" i="4"/>
  <c r="F2391" i="4"/>
  <c r="F2390" i="4"/>
  <c r="F2389" i="4"/>
  <c r="F2388" i="4"/>
  <c r="F2387" i="4"/>
  <c r="F2386" i="4"/>
  <c r="F2385" i="4"/>
  <c r="F2384" i="4"/>
  <c r="F2383" i="4"/>
  <c r="F2382" i="4"/>
  <c r="F2381" i="4"/>
  <c r="F2380" i="4"/>
  <c r="F2379" i="4"/>
  <c r="F2378" i="4"/>
  <c r="F2377" i="4"/>
  <c r="F2376" i="4"/>
  <c r="F2375" i="4"/>
  <c r="F2374" i="4"/>
  <c r="F2373" i="4"/>
  <c r="F2372" i="4"/>
  <c r="F2371" i="4"/>
  <c r="F2370" i="4"/>
  <c r="F2369" i="4"/>
  <c r="F2368" i="4"/>
  <c r="F2367" i="4"/>
  <c r="F2366" i="4"/>
  <c r="F2365" i="4"/>
  <c r="F2364" i="4"/>
  <c r="F2363" i="4"/>
  <c r="F2362" i="4"/>
  <c r="F2361" i="4"/>
  <c r="F2360" i="4"/>
  <c r="F2359" i="4"/>
  <c r="F2358" i="4"/>
  <c r="F2357" i="4"/>
  <c r="F2356" i="4"/>
  <c r="F2355" i="4"/>
  <c r="F2354" i="4"/>
  <c r="F2353" i="4"/>
  <c r="F2352" i="4"/>
  <c r="F2351" i="4"/>
  <c r="F2350" i="4"/>
  <c r="F2349" i="4"/>
  <c r="F2348" i="4"/>
  <c r="F2347" i="4"/>
  <c r="F2346" i="4"/>
  <c r="F2345" i="4"/>
  <c r="F2344" i="4"/>
  <c r="F2343" i="4"/>
  <c r="F2342" i="4"/>
  <c r="F2341" i="4"/>
  <c r="F2340" i="4"/>
  <c r="F2339" i="4"/>
  <c r="F2338" i="4"/>
  <c r="F2337" i="4"/>
  <c r="F2336" i="4"/>
  <c r="F2335" i="4"/>
  <c r="F2334" i="4"/>
  <c r="F2333" i="4"/>
  <c r="F2332" i="4"/>
  <c r="F2331" i="4"/>
  <c r="F2330" i="4"/>
  <c r="F2329" i="4"/>
  <c r="F2328" i="4"/>
  <c r="F2327" i="4"/>
  <c r="F2326" i="4"/>
  <c r="F2325" i="4"/>
  <c r="F2324" i="4"/>
  <c r="F2323" i="4"/>
  <c r="F2322" i="4"/>
  <c r="F2321" i="4"/>
  <c r="F2320" i="4"/>
  <c r="F2319" i="4"/>
  <c r="F2318" i="4"/>
  <c r="F2317" i="4"/>
  <c r="F2316" i="4"/>
  <c r="F2315" i="4"/>
  <c r="F2314" i="4"/>
  <c r="F2313" i="4"/>
  <c r="F2312" i="4"/>
  <c r="F2311" i="4"/>
  <c r="F2310" i="4"/>
  <c r="F2309" i="4"/>
  <c r="F2308" i="4"/>
  <c r="F2307" i="4"/>
  <c r="F2306" i="4"/>
  <c r="F2305" i="4"/>
  <c r="F2304" i="4"/>
  <c r="F2303" i="4"/>
  <c r="F2302" i="4"/>
  <c r="F2301" i="4"/>
  <c r="F2300" i="4"/>
  <c r="F2299" i="4"/>
  <c r="F2298" i="4"/>
  <c r="F2297" i="4"/>
  <c r="F2296" i="4"/>
  <c r="F2295" i="4"/>
  <c r="F2294" i="4"/>
  <c r="F2293" i="4"/>
  <c r="F2292" i="4"/>
  <c r="F2291" i="4"/>
  <c r="F2290" i="4"/>
  <c r="F2289" i="4"/>
  <c r="F2288" i="4"/>
  <c r="F2287" i="4"/>
  <c r="F2286" i="4"/>
  <c r="F2285" i="4"/>
  <c r="F2284" i="4"/>
  <c r="F2283" i="4"/>
  <c r="F2282" i="4"/>
  <c r="F2281" i="4"/>
  <c r="F2280" i="4"/>
  <c r="F2279" i="4"/>
  <c r="F2278" i="4"/>
  <c r="F2277" i="4"/>
  <c r="F2276" i="4"/>
  <c r="F2275" i="4"/>
  <c r="F2274" i="4"/>
  <c r="F2273" i="4"/>
  <c r="F2272" i="4"/>
  <c r="F2271" i="4"/>
  <c r="F2270" i="4"/>
  <c r="F2269" i="4"/>
  <c r="F2268" i="4"/>
  <c r="F2267" i="4"/>
  <c r="F2266" i="4"/>
  <c r="F2265" i="4"/>
  <c r="F2264" i="4"/>
  <c r="F2263" i="4"/>
  <c r="F2262" i="4"/>
  <c r="F2261" i="4"/>
  <c r="F2260" i="4"/>
  <c r="F2259" i="4"/>
  <c r="F2258" i="4"/>
  <c r="F2257" i="4"/>
  <c r="F2256" i="4"/>
  <c r="F2255" i="4"/>
  <c r="F2254" i="4"/>
  <c r="F2253" i="4"/>
  <c r="F2252" i="4"/>
  <c r="F2251" i="4"/>
  <c r="F2250" i="4"/>
  <c r="F2249" i="4"/>
  <c r="F2248" i="4"/>
  <c r="F2247" i="4"/>
  <c r="F2246" i="4"/>
  <c r="F2245" i="4"/>
  <c r="F2244" i="4"/>
  <c r="F2243" i="4"/>
  <c r="F2242" i="4"/>
  <c r="F2241" i="4"/>
  <c r="F2240" i="4"/>
  <c r="F2239" i="4"/>
  <c r="F2238" i="4"/>
  <c r="F2237" i="4"/>
  <c r="F2236" i="4"/>
  <c r="F2235" i="4"/>
  <c r="F2234" i="4"/>
  <c r="F2233" i="4"/>
  <c r="F2232" i="4"/>
  <c r="F2231" i="4"/>
  <c r="F2230" i="4"/>
  <c r="F2229" i="4"/>
  <c r="F2228" i="4"/>
  <c r="F2227" i="4"/>
  <c r="F2226" i="4"/>
  <c r="F2225" i="4"/>
  <c r="F2224" i="4"/>
  <c r="F2223" i="4"/>
  <c r="F2222" i="4"/>
  <c r="F2221" i="4"/>
  <c r="F2220" i="4"/>
  <c r="F2219" i="4"/>
  <c r="F2218" i="4"/>
  <c r="F2217" i="4"/>
  <c r="F2216" i="4"/>
  <c r="F2215" i="4"/>
  <c r="F2214" i="4"/>
  <c r="F2213" i="4"/>
  <c r="F2212" i="4"/>
  <c r="F2211" i="4"/>
  <c r="F2210" i="4"/>
  <c r="F2209" i="4"/>
  <c r="F2208" i="4"/>
  <c r="F2207" i="4"/>
  <c r="F2206" i="4"/>
  <c r="F2205" i="4"/>
  <c r="F2204" i="4"/>
  <c r="F2203" i="4"/>
  <c r="F2202" i="4"/>
  <c r="F2201" i="4"/>
  <c r="F2200" i="4"/>
  <c r="F2199" i="4"/>
  <c r="F2198" i="4"/>
  <c r="F2197" i="4"/>
  <c r="F2196" i="4"/>
  <c r="F2195" i="4"/>
  <c r="F2194" i="4"/>
  <c r="F2193" i="4"/>
  <c r="F2192" i="4"/>
  <c r="F2191" i="4"/>
  <c r="F2190" i="4"/>
  <c r="F2189" i="4"/>
  <c r="F2188" i="4"/>
  <c r="F2187" i="4"/>
  <c r="F2186" i="4"/>
  <c r="F2185" i="4"/>
  <c r="F2184" i="4"/>
  <c r="F2183" i="4"/>
  <c r="F2182" i="4"/>
  <c r="F2181" i="4"/>
  <c r="F2180" i="4"/>
  <c r="F2179" i="4"/>
  <c r="F2178" i="4"/>
  <c r="F2177" i="4"/>
  <c r="F2176" i="4"/>
  <c r="F2175" i="4"/>
  <c r="F2174" i="4"/>
  <c r="F2173" i="4"/>
  <c r="F2172" i="4"/>
  <c r="F2171" i="4"/>
  <c r="F2170" i="4"/>
  <c r="F2169" i="4"/>
  <c r="F2168" i="4"/>
  <c r="F2167" i="4"/>
  <c r="F2166" i="4"/>
  <c r="F2165" i="4"/>
  <c r="F2164" i="4"/>
  <c r="F2163" i="4"/>
  <c r="F2162" i="4"/>
  <c r="F2161" i="4"/>
  <c r="F2160" i="4"/>
  <c r="F2159" i="4"/>
  <c r="F2158" i="4"/>
  <c r="F2157" i="4"/>
  <c r="F2156" i="4"/>
  <c r="F2155" i="4"/>
  <c r="F2154" i="4"/>
  <c r="F2153" i="4"/>
  <c r="F2152" i="4"/>
  <c r="F2151" i="4"/>
  <c r="F2150" i="4"/>
  <c r="F2149" i="4"/>
  <c r="F2148" i="4"/>
  <c r="F2147" i="4"/>
  <c r="F2146" i="4"/>
  <c r="F2145" i="4"/>
  <c r="F2144" i="4"/>
  <c r="F2143" i="4"/>
  <c r="F2142" i="4"/>
  <c r="F2141" i="4"/>
  <c r="F2140" i="4"/>
  <c r="F2139" i="4"/>
  <c r="F2138" i="4"/>
  <c r="F2137" i="4"/>
  <c r="F2136" i="4"/>
  <c r="F2135" i="4"/>
  <c r="F2134" i="4"/>
  <c r="F2133" i="4"/>
  <c r="F2132" i="4"/>
  <c r="F2131" i="4"/>
  <c r="F2130" i="4"/>
  <c r="F2129" i="4"/>
  <c r="F2128" i="4"/>
  <c r="F2127" i="4"/>
  <c r="F2126" i="4"/>
  <c r="F2125" i="4"/>
  <c r="F2124" i="4"/>
  <c r="F2123" i="4"/>
  <c r="F2122" i="4"/>
  <c r="F2121" i="4"/>
  <c r="F2120" i="4"/>
  <c r="F2119" i="4"/>
  <c r="F2118" i="4"/>
  <c r="F2117" i="4"/>
  <c r="F2116" i="4"/>
  <c r="F2115" i="4"/>
  <c r="F2114" i="4"/>
  <c r="F2113" i="4"/>
  <c r="F2112" i="4"/>
  <c r="F2111" i="4"/>
  <c r="F2110" i="4"/>
  <c r="F2109" i="4"/>
  <c r="F2108" i="4"/>
  <c r="F2107" i="4"/>
  <c r="F2106" i="4"/>
  <c r="F2105" i="4"/>
  <c r="F2104" i="4"/>
  <c r="F2103" i="4"/>
  <c r="F2102" i="4"/>
  <c r="F2101" i="4"/>
  <c r="F2100" i="4"/>
  <c r="F2099" i="4"/>
  <c r="F2098" i="4"/>
  <c r="F2097" i="4"/>
  <c r="F2096" i="4"/>
  <c r="F2095" i="4"/>
  <c r="F2094" i="4"/>
  <c r="F2093" i="4"/>
  <c r="F2092" i="4"/>
  <c r="F2091" i="4"/>
  <c r="F2090" i="4"/>
  <c r="F2089" i="4"/>
  <c r="F2088" i="4"/>
  <c r="F2087" i="4"/>
  <c r="F2086" i="4"/>
  <c r="F2085" i="4"/>
  <c r="F2084" i="4"/>
  <c r="F2083" i="4"/>
  <c r="F2082" i="4"/>
  <c r="F2081" i="4"/>
  <c r="F2080" i="4"/>
  <c r="F2079" i="4"/>
  <c r="F2078" i="4"/>
  <c r="F2077" i="4"/>
  <c r="F2076" i="4"/>
  <c r="F2075" i="4"/>
  <c r="F2074" i="4"/>
  <c r="F2073" i="4"/>
  <c r="F2072" i="4"/>
  <c r="F2071" i="4"/>
  <c r="F2070" i="4"/>
  <c r="F2069" i="4"/>
  <c r="F2068" i="4"/>
  <c r="F2067" i="4"/>
  <c r="F2066" i="4"/>
  <c r="F2065" i="4"/>
  <c r="F2064" i="4"/>
  <c r="F2063" i="4"/>
  <c r="F2062" i="4"/>
  <c r="F2061" i="4"/>
  <c r="F2060" i="4"/>
  <c r="F2059" i="4"/>
  <c r="F2058" i="4"/>
  <c r="F2057" i="4"/>
  <c r="F2056" i="4"/>
  <c r="F2055" i="4"/>
  <c r="F2054" i="4"/>
  <c r="F2053" i="4"/>
  <c r="F2052" i="4"/>
  <c r="F2051" i="4"/>
  <c r="F2050" i="4"/>
  <c r="F2049" i="4"/>
  <c r="F2048" i="4"/>
  <c r="F2047" i="4"/>
  <c r="F2046" i="4"/>
  <c r="F2045" i="4"/>
  <c r="F2044" i="4"/>
  <c r="F2043" i="4"/>
  <c r="F2042" i="4"/>
  <c r="F2041" i="4"/>
  <c r="F2040" i="4"/>
  <c r="F2039" i="4"/>
  <c r="F2038" i="4"/>
  <c r="F2037" i="4"/>
  <c r="F2036" i="4"/>
  <c r="F2035" i="4"/>
  <c r="F2034" i="4"/>
  <c r="F2033" i="4"/>
  <c r="F2032" i="4"/>
  <c r="F2031" i="4"/>
  <c r="F2030" i="4"/>
  <c r="F2029" i="4"/>
  <c r="F2028" i="4"/>
  <c r="F2027" i="4"/>
  <c r="F2026" i="4"/>
  <c r="F2025" i="4"/>
  <c r="F2024" i="4"/>
  <c r="F2023" i="4"/>
  <c r="F2022" i="4"/>
  <c r="F2021" i="4"/>
  <c r="F2020" i="4"/>
  <c r="F2019" i="4"/>
  <c r="F2018" i="4"/>
  <c r="F2017" i="4"/>
  <c r="F2016" i="4"/>
  <c r="F2015" i="4"/>
  <c r="F2014" i="4"/>
  <c r="F2013" i="4"/>
  <c r="F2012" i="4"/>
  <c r="F2011" i="4"/>
  <c r="F2010" i="4"/>
  <c r="F2009" i="4"/>
  <c r="F2008" i="4"/>
  <c r="F2007" i="4"/>
  <c r="F2006" i="4"/>
  <c r="F2005" i="4"/>
  <c r="F2004" i="4"/>
  <c r="F2003" i="4"/>
  <c r="F2002" i="4"/>
  <c r="F2001" i="4"/>
  <c r="F2000" i="4"/>
  <c r="F1999" i="4"/>
  <c r="F1998" i="4"/>
  <c r="F1997" i="4"/>
  <c r="F1996" i="4"/>
  <c r="F1995" i="4"/>
  <c r="F1994" i="4"/>
  <c r="F1993" i="4"/>
  <c r="F1992" i="4"/>
  <c r="F1991" i="4"/>
  <c r="F1990" i="4"/>
  <c r="F1989" i="4"/>
  <c r="F1988" i="4"/>
  <c r="F1987" i="4"/>
  <c r="F1986" i="4"/>
  <c r="F1985" i="4"/>
  <c r="F1984" i="4"/>
  <c r="F1983" i="4"/>
  <c r="F1982" i="4"/>
  <c r="F1981" i="4"/>
  <c r="F1980" i="4"/>
  <c r="F1979" i="4"/>
  <c r="F1978" i="4"/>
  <c r="F1977" i="4"/>
  <c r="F1976" i="4"/>
  <c r="F1975" i="4"/>
  <c r="F1974" i="4"/>
  <c r="F1973" i="4"/>
  <c r="F1972" i="4"/>
  <c r="F1971" i="4"/>
  <c r="F1970" i="4"/>
  <c r="F1969" i="4"/>
  <c r="F1968" i="4"/>
  <c r="F1967" i="4"/>
  <c r="F1966" i="4"/>
  <c r="F1965" i="4"/>
  <c r="F1964" i="4"/>
  <c r="F1963" i="4"/>
  <c r="F1962" i="4"/>
  <c r="F1961" i="4"/>
  <c r="F1960" i="4"/>
  <c r="F1959" i="4"/>
  <c r="F1958" i="4"/>
  <c r="F1957" i="4"/>
  <c r="F1956" i="4"/>
  <c r="F1955" i="4"/>
  <c r="F1954" i="4"/>
  <c r="F1953" i="4"/>
  <c r="F1952" i="4"/>
  <c r="F1951" i="4"/>
  <c r="F1950" i="4"/>
  <c r="F1949" i="4"/>
  <c r="F1948" i="4"/>
  <c r="F1947" i="4"/>
  <c r="F1946" i="4"/>
  <c r="F1945" i="4"/>
  <c r="F1944" i="4"/>
  <c r="F1943" i="4"/>
  <c r="F1942" i="4"/>
  <c r="F1941" i="4"/>
  <c r="F1940" i="4"/>
  <c r="F1939" i="4"/>
  <c r="F1938" i="4"/>
  <c r="F1937" i="4"/>
  <c r="F1936" i="4"/>
  <c r="F1935" i="4"/>
  <c r="F1934" i="4"/>
  <c r="F1933" i="4"/>
  <c r="F1932" i="4"/>
  <c r="F1931" i="4"/>
  <c r="F1930" i="4"/>
  <c r="F1929" i="4"/>
  <c r="F1928" i="4"/>
  <c r="F1927" i="4"/>
  <c r="F1926" i="4"/>
  <c r="F1925" i="4"/>
  <c r="F1924" i="4"/>
  <c r="F1923" i="4"/>
  <c r="F1922" i="4"/>
  <c r="F1921" i="4"/>
  <c r="F1920" i="4"/>
  <c r="F1919" i="4"/>
  <c r="F1918" i="4"/>
  <c r="F1917" i="4"/>
  <c r="F1916" i="4"/>
  <c r="F1915" i="4"/>
  <c r="F1914" i="4"/>
  <c r="F1913" i="4"/>
  <c r="F1912" i="4"/>
  <c r="F1911" i="4"/>
  <c r="F1910" i="4"/>
  <c r="F1909" i="4"/>
  <c r="F1908" i="4"/>
  <c r="F1907" i="4"/>
  <c r="F1906" i="4"/>
  <c r="F1905" i="4"/>
  <c r="F1904" i="4"/>
  <c r="F1903" i="4"/>
  <c r="F1902" i="4"/>
  <c r="F1901" i="4"/>
  <c r="F1900" i="4"/>
  <c r="F1899" i="4"/>
  <c r="F1898" i="4"/>
  <c r="F1897" i="4"/>
  <c r="F1896" i="4"/>
  <c r="F1895" i="4"/>
  <c r="F1894" i="4"/>
  <c r="F1893" i="4"/>
  <c r="F1892" i="4"/>
  <c r="F1891" i="4"/>
  <c r="F1890" i="4"/>
  <c r="F1889" i="4"/>
  <c r="F1888" i="4"/>
  <c r="F1887" i="4"/>
  <c r="F1886" i="4"/>
  <c r="F1885" i="4"/>
  <c r="F1884" i="4"/>
  <c r="F1883" i="4"/>
  <c r="F1882" i="4"/>
  <c r="F1881" i="4"/>
  <c r="F1880" i="4"/>
  <c r="F1879" i="4"/>
  <c r="F1878" i="4"/>
  <c r="F1877" i="4"/>
  <c r="F1876" i="4"/>
  <c r="F1875" i="4"/>
  <c r="F1874" i="4"/>
  <c r="F1873" i="4"/>
  <c r="F1872" i="4"/>
  <c r="F1871" i="4"/>
  <c r="F1870" i="4"/>
  <c r="F1869" i="4"/>
  <c r="F1868" i="4"/>
  <c r="F1867" i="4"/>
  <c r="F1866" i="4"/>
  <c r="F1865" i="4"/>
  <c r="F1864" i="4"/>
  <c r="F1863" i="4"/>
  <c r="F1862" i="4"/>
  <c r="F1861" i="4"/>
  <c r="F1860" i="4"/>
  <c r="F1859" i="4"/>
  <c r="F1858" i="4"/>
  <c r="F1857" i="4"/>
  <c r="F1856" i="4"/>
  <c r="F1855" i="4"/>
  <c r="F1854" i="4"/>
  <c r="F1853" i="4"/>
  <c r="F1852" i="4"/>
  <c r="F1851" i="4"/>
  <c r="F1850" i="4"/>
  <c r="F1849" i="4"/>
  <c r="F1848" i="4"/>
  <c r="F1847" i="4"/>
  <c r="F1846" i="4"/>
  <c r="F1845" i="4"/>
  <c r="F1844" i="4"/>
  <c r="F1843" i="4"/>
  <c r="F1842" i="4"/>
  <c r="F1841" i="4"/>
  <c r="F1840" i="4"/>
  <c r="F1839" i="4"/>
  <c r="F1838" i="4"/>
  <c r="F1837" i="4"/>
  <c r="F1836" i="4"/>
  <c r="F1835" i="4"/>
  <c r="F1834" i="4"/>
  <c r="F1833" i="4"/>
  <c r="F1832" i="4"/>
  <c r="F1831" i="4"/>
  <c r="F1830" i="4"/>
  <c r="F1829" i="4"/>
  <c r="F1828" i="4"/>
  <c r="F1827" i="4"/>
  <c r="F1826" i="4"/>
  <c r="F1825" i="4"/>
  <c r="F1824" i="4"/>
  <c r="F1823" i="4"/>
  <c r="F1822" i="4"/>
  <c r="F1821" i="4"/>
  <c r="F1820" i="4"/>
  <c r="F1819" i="4"/>
  <c r="F1818" i="4"/>
  <c r="F1817" i="4"/>
  <c r="F1816" i="4"/>
  <c r="F1815" i="4"/>
  <c r="F1814" i="4"/>
  <c r="F1813" i="4"/>
  <c r="F1812" i="4"/>
  <c r="F1811" i="4"/>
  <c r="F1810" i="4"/>
  <c r="F1809" i="4"/>
  <c r="F1808" i="4"/>
  <c r="F1807" i="4"/>
  <c r="F1806" i="4"/>
  <c r="F1805" i="4"/>
  <c r="F1804" i="4"/>
  <c r="F1803" i="4"/>
  <c r="F1802" i="4"/>
  <c r="F1801" i="4"/>
  <c r="F1800" i="4"/>
  <c r="F1799" i="4"/>
  <c r="F1798" i="4"/>
  <c r="F1797" i="4"/>
  <c r="F1796" i="4"/>
  <c r="F1795" i="4"/>
  <c r="F1794" i="4"/>
  <c r="F1793" i="4"/>
  <c r="F1792" i="4"/>
  <c r="F1791" i="4"/>
  <c r="F1790" i="4"/>
  <c r="F1789" i="4"/>
  <c r="F1788" i="4"/>
  <c r="F1787" i="4"/>
  <c r="F1786" i="4"/>
  <c r="F1785" i="4"/>
  <c r="F1784" i="4"/>
  <c r="F1783" i="4"/>
  <c r="F1782" i="4"/>
  <c r="F1781" i="4"/>
  <c r="F1780" i="4"/>
  <c r="F1779" i="4"/>
  <c r="F1778" i="4"/>
  <c r="F1777" i="4"/>
  <c r="F1776" i="4"/>
  <c r="F1775" i="4"/>
  <c r="F1774" i="4"/>
  <c r="F1773" i="4"/>
  <c r="F1772" i="4"/>
  <c r="F1771" i="4"/>
  <c r="F1770" i="4"/>
  <c r="F1769" i="4"/>
  <c r="F1768" i="4"/>
  <c r="F1767" i="4"/>
  <c r="F1766" i="4"/>
  <c r="F1765" i="4"/>
  <c r="F1764" i="4"/>
  <c r="F1763" i="4"/>
  <c r="F1762" i="4"/>
  <c r="F1761" i="4"/>
  <c r="F1760" i="4"/>
  <c r="F1759" i="4"/>
  <c r="F1758" i="4"/>
  <c r="F1757" i="4"/>
  <c r="F1756" i="4"/>
  <c r="F1755" i="4"/>
  <c r="F1754" i="4"/>
  <c r="F1753" i="4"/>
  <c r="F1752" i="4"/>
  <c r="F1751" i="4"/>
  <c r="F1750" i="4"/>
  <c r="F1749" i="4"/>
  <c r="F1748" i="4"/>
  <c r="F1747" i="4"/>
  <c r="F1746" i="4"/>
  <c r="F1745" i="4"/>
  <c r="F1744" i="4"/>
  <c r="F1743" i="4"/>
  <c r="F1742" i="4"/>
  <c r="F1741" i="4"/>
  <c r="F1740" i="4"/>
  <c r="F1739" i="4"/>
  <c r="F1738" i="4"/>
  <c r="F1737" i="4"/>
  <c r="F1736" i="4"/>
  <c r="F1735" i="4"/>
  <c r="F1734" i="4"/>
  <c r="F1733" i="4"/>
  <c r="F1732" i="4"/>
  <c r="F1731" i="4"/>
  <c r="F1730" i="4"/>
  <c r="F1729" i="4"/>
  <c r="F1728" i="4"/>
  <c r="F1727" i="4"/>
  <c r="F1726" i="4"/>
  <c r="F1725" i="4"/>
  <c r="F1724" i="4"/>
  <c r="F1723" i="4"/>
  <c r="F1722" i="4"/>
  <c r="F1721" i="4"/>
  <c r="F1720" i="4"/>
  <c r="F1719" i="4"/>
  <c r="F1718" i="4"/>
  <c r="F1717" i="4"/>
  <c r="F1716" i="4"/>
  <c r="F1715" i="4"/>
  <c r="F1714" i="4"/>
  <c r="F1713" i="4"/>
  <c r="F1712" i="4"/>
  <c r="F1711" i="4"/>
  <c r="F1710" i="4"/>
  <c r="F1709" i="4"/>
  <c r="F1708" i="4"/>
  <c r="F1707" i="4"/>
  <c r="F1706" i="4"/>
  <c r="F1705" i="4"/>
  <c r="F1704" i="4"/>
  <c r="F1703" i="4"/>
  <c r="F1702" i="4"/>
  <c r="F1701" i="4"/>
  <c r="F1700" i="4"/>
  <c r="F1699" i="4"/>
  <c r="F1698" i="4"/>
  <c r="F1697" i="4"/>
  <c r="F1696" i="4"/>
  <c r="F1695" i="4"/>
  <c r="F1694" i="4"/>
  <c r="F1693" i="4"/>
  <c r="F1692" i="4"/>
  <c r="F1691" i="4"/>
  <c r="F1690" i="4"/>
  <c r="F1689" i="4"/>
  <c r="F1688" i="4"/>
  <c r="F1687" i="4"/>
  <c r="F1686" i="4"/>
  <c r="F1685" i="4"/>
  <c r="F1684" i="4"/>
  <c r="F1683" i="4"/>
  <c r="F1682" i="4"/>
  <c r="F1681" i="4"/>
  <c r="F1680" i="4"/>
  <c r="F1679" i="4"/>
  <c r="F1678" i="4"/>
  <c r="F1677" i="4"/>
  <c r="F1676" i="4"/>
  <c r="F1675" i="4"/>
  <c r="F1674" i="4"/>
  <c r="F1673" i="4"/>
  <c r="F1672" i="4"/>
  <c r="F1671" i="4"/>
  <c r="F1670" i="4"/>
  <c r="F1669" i="4"/>
  <c r="F1668" i="4"/>
  <c r="F1667" i="4"/>
  <c r="F1666" i="4"/>
  <c r="F1665" i="4"/>
  <c r="F1664" i="4"/>
  <c r="F1663" i="4"/>
  <c r="F1662" i="4"/>
  <c r="F1661" i="4"/>
  <c r="F1660" i="4"/>
  <c r="F1659" i="4"/>
  <c r="F1658" i="4"/>
  <c r="F1657" i="4"/>
  <c r="F1656" i="4"/>
  <c r="F1655" i="4"/>
  <c r="F1654" i="4"/>
  <c r="F1653" i="4"/>
  <c r="F1652" i="4"/>
  <c r="F1651" i="4"/>
  <c r="F1650" i="4"/>
  <c r="F1649" i="4"/>
  <c r="F1648" i="4"/>
  <c r="F1647" i="4"/>
  <c r="F1646" i="4"/>
  <c r="F1645" i="4"/>
  <c r="F1644" i="4"/>
  <c r="F1643" i="4"/>
  <c r="F1642" i="4"/>
  <c r="F1641" i="4"/>
  <c r="F1640" i="4"/>
  <c r="F1639" i="4"/>
  <c r="F1638" i="4"/>
  <c r="F1637" i="4"/>
  <c r="F1636" i="4"/>
  <c r="F1635" i="4"/>
  <c r="F1634" i="4"/>
  <c r="F1633" i="4"/>
  <c r="F1632" i="4"/>
  <c r="F1631" i="4"/>
  <c r="F1630" i="4"/>
  <c r="F1629" i="4"/>
  <c r="F1628" i="4"/>
  <c r="F1627" i="4"/>
  <c r="F1626" i="4"/>
  <c r="F1625" i="4"/>
  <c r="F1624" i="4"/>
  <c r="F1623" i="4"/>
  <c r="F1622" i="4"/>
  <c r="F1621" i="4"/>
  <c r="F1620" i="4"/>
  <c r="F1619" i="4"/>
  <c r="F1618" i="4"/>
  <c r="F1617" i="4"/>
  <c r="F1616" i="4"/>
  <c r="F1615" i="4"/>
  <c r="F1614" i="4"/>
  <c r="F1613" i="4"/>
  <c r="F1612" i="4"/>
  <c r="F1611" i="4"/>
  <c r="F1610" i="4"/>
  <c r="F1609" i="4"/>
  <c r="F1608" i="4"/>
  <c r="F1607" i="4"/>
  <c r="F1606" i="4"/>
  <c r="F1605" i="4"/>
  <c r="F1604" i="4"/>
  <c r="F1603" i="4"/>
  <c r="F1602" i="4"/>
  <c r="F1601" i="4"/>
  <c r="F1600" i="4"/>
  <c r="F1599" i="4"/>
  <c r="F1598" i="4"/>
  <c r="F1597" i="4"/>
  <c r="F1596" i="4"/>
  <c r="F1595" i="4"/>
  <c r="F1594" i="4"/>
  <c r="F1593" i="4"/>
  <c r="F1592" i="4"/>
  <c r="F1591" i="4"/>
  <c r="F1590" i="4"/>
  <c r="F1589" i="4"/>
  <c r="F1588" i="4"/>
  <c r="F1587" i="4"/>
  <c r="F1586" i="4"/>
  <c r="F1585" i="4"/>
  <c r="F1584" i="4"/>
  <c r="F1583" i="4"/>
  <c r="F1582" i="4"/>
  <c r="F1581" i="4"/>
  <c r="F1580" i="4"/>
  <c r="F1579" i="4"/>
  <c r="F1578" i="4"/>
  <c r="F1577" i="4"/>
  <c r="F1576" i="4"/>
  <c r="F1575" i="4"/>
  <c r="F1574" i="4"/>
  <c r="F1573" i="4"/>
  <c r="F1572" i="4"/>
  <c r="F1571" i="4"/>
  <c r="F1570" i="4"/>
  <c r="F1569" i="4"/>
  <c r="F1568" i="4"/>
  <c r="F1567" i="4"/>
  <c r="F1566" i="4"/>
  <c r="F1565" i="4"/>
  <c r="F1564" i="4"/>
  <c r="F1563" i="4"/>
  <c r="F1562" i="4"/>
  <c r="F1561" i="4"/>
  <c r="F1560" i="4"/>
  <c r="F1559" i="4"/>
  <c r="F1558" i="4"/>
  <c r="F1557" i="4"/>
  <c r="F1556" i="4"/>
  <c r="F1555" i="4"/>
  <c r="F1554" i="4"/>
  <c r="F1553" i="4"/>
  <c r="F1552" i="4"/>
  <c r="F1551" i="4"/>
  <c r="F1550" i="4"/>
  <c r="F1549" i="4"/>
  <c r="F1548" i="4"/>
  <c r="F1547" i="4"/>
  <c r="F1546" i="4"/>
  <c r="F1545" i="4"/>
  <c r="F1544" i="4"/>
  <c r="F1543" i="4"/>
  <c r="F1542" i="4"/>
  <c r="F1541" i="4"/>
  <c r="F1540" i="4"/>
  <c r="F1539" i="4"/>
  <c r="F1538" i="4"/>
  <c r="F1537" i="4"/>
  <c r="F1536" i="4"/>
  <c r="F1535" i="4"/>
  <c r="F1534" i="4"/>
  <c r="F1533" i="4"/>
  <c r="F1532" i="4"/>
  <c r="F1531" i="4"/>
  <c r="F1530" i="4"/>
  <c r="F1529" i="4"/>
  <c r="F1528" i="4"/>
  <c r="F1527" i="4"/>
  <c r="F1526" i="4"/>
  <c r="F1525" i="4"/>
  <c r="F1524" i="4"/>
  <c r="F1523" i="4"/>
  <c r="F1522" i="4"/>
  <c r="F1521" i="4"/>
  <c r="F1520" i="4"/>
  <c r="F1519" i="4"/>
  <c r="F1518" i="4"/>
  <c r="F1517" i="4"/>
  <c r="F1516" i="4"/>
  <c r="F1515" i="4"/>
  <c r="F1514" i="4"/>
  <c r="F1513" i="4"/>
  <c r="F1512" i="4"/>
  <c r="F1511" i="4"/>
  <c r="F1510" i="4"/>
  <c r="F1509" i="4"/>
  <c r="F1508" i="4"/>
  <c r="F1507" i="4"/>
  <c r="F1506" i="4"/>
  <c r="F1505" i="4"/>
  <c r="F1504" i="4"/>
  <c r="F1503" i="4"/>
  <c r="F1502" i="4"/>
  <c r="F1501" i="4"/>
  <c r="F1500" i="4"/>
  <c r="F1499" i="4"/>
  <c r="F1498" i="4"/>
  <c r="F1497" i="4"/>
  <c r="F1496" i="4"/>
  <c r="F1495" i="4"/>
  <c r="F1494" i="4"/>
  <c r="F1493" i="4"/>
  <c r="F1492" i="4"/>
  <c r="F1491" i="4"/>
  <c r="F1490" i="4"/>
  <c r="F1489" i="4"/>
  <c r="F1488" i="4"/>
  <c r="F1487" i="4"/>
  <c r="F1486" i="4"/>
  <c r="F1485" i="4"/>
  <c r="F1484" i="4"/>
  <c r="F1483" i="4"/>
  <c r="F1482" i="4"/>
  <c r="F1481" i="4"/>
  <c r="F1480" i="4"/>
  <c r="F1479" i="4"/>
  <c r="F1478" i="4"/>
  <c r="F1477" i="4"/>
  <c r="F1476" i="4"/>
  <c r="F1475" i="4"/>
  <c r="F1474" i="4"/>
  <c r="F1473" i="4"/>
  <c r="F1472" i="4"/>
  <c r="F1471" i="4"/>
  <c r="F1470" i="4"/>
  <c r="F1469" i="4"/>
  <c r="F1468" i="4"/>
  <c r="F1467" i="4"/>
  <c r="F1466" i="4"/>
  <c r="F1465" i="4"/>
  <c r="F1464" i="4"/>
  <c r="F1463" i="4"/>
  <c r="F1462" i="4"/>
  <c r="F1461" i="4"/>
  <c r="F1460" i="4"/>
  <c r="F1459" i="4"/>
  <c r="F1458" i="4"/>
  <c r="F1457" i="4"/>
  <c r="F1456" i="4"/>
  <c r="F1455" i="4"/>
  <c r="F1454" i="4"/>
  <c r="F1453" i="4"/>
  <c r="F1452" i="4"/>
  <c r="F1451" i="4"/>
  <c r="F1450" i="4"/>
  <c r="F1449" i="4"/>
  <c r="F1448" i="4"/>
  <c r="F1447" i="4"/>
  <c r="F1446" i="4"/>
  <c r="F1445" i="4"/>
  <c r="F1444" i="4"/>
  <c r="F1443" i="4"/>
  <c r="F1442" i="4"/>
  <c r="F1441" i="4"/>
  <c r="F1440" i="4"/>
  <c r="F1439" i="4"/>
  <c r="F1438" i="4"/>
  <c r="F1437" i="4"/>
  <c r="F1436" i="4"/>
  <c r="F1435" i="4"/>
  <c r="F1434" i="4"/>
  <c r="F1433" i="4"/>
  <c r="F1432" i="4"/>
  <c r="F1431" i="4"/>
  <c r="F1430" i="4"/>
  <c r="F1429" i="4"/>
  <c r="F1428" i="4"/>
  <c r="F1427" i="4"/>
  <c r="F1426" i="4"/>
  <c r="F1425" i="4"/>
  <c r="F1424" i="4"/>
  <c r="F1423" i="4"/>
  <c r="F1422" i="4"/>
  <c r="F1421" i="4"/>
  <c r="F1420" i="4"/>
  <c r="F1419" i="4"/>
  <c r="F1418" i="4"/>
  <c r="F1417" i="4"/>
  <c r="F1416" i="4"/>
  <c r="F1415" i="4"/>
  <c r="F1414" i="4"/>
  <c r="F1413" i="4"/>
  <c r="F1412" i="4"/>
  <c r="F1411" i="4"/>
  <c r="F1410" i="4"/>
  <c r="F1409" i="4"/>
  <c r="F1408" i="4"/>
  <c r="F1407" i="4"/>
  <c r="F1406" i="4"/>
  <c r="F1405" i="4"/>
  <c r="F1404" i="4"/>
  <c r="F1403" i="4"/>
  <c r="F1402" i="4"/>
  <c r="F1401" i="4"/>
  <c r="F1400" i="4"/>
  <c r="F1399" i="4"/>
  <c r="F1398" i="4"/>
  <c r="F1397" i="4"/>
  <c r="F1396" i="4"/>
  <c r="F1395" i="4"/>
  <c r="F1394" i="4"/>
  <c r="F1393" i="4"/>
  <c r="F1392" i="4"/>
  <c r="F1391" i="4"/>
  <c r="F1390" i="4"/>
  <c r="F1389" i="4"/>
  <c r="F1388" i="4"/>
  <c r="F1387" i="4"/>
  <c r="F1386" i="4"/>
  <c r="F1385" i="4"/>
  <c r="F1384" i="4"/>
  <c r="F1383" i="4"/>
  <c r="F1382" i="4"/>
  <c r="F1381" i="4"/>
  <c r="F1380" i="4"/>
  <c r="F1379" i="4"/>
  <c r="F1378" i="4"/>
  <c r="F1377" i="4"/>
  <c r="F1376" i="4"/>
  <c r="F1375" i="4"/>
  <c r="F1374" i="4"/>
  <c r="F1373" i="4"/>
  <c r="F1372" i="4"/>
  <c r="F1371" i="4"/>
  <c r="F1370" i="4"/>
  <c r="F1369" i="4"/>
  <c r="F1368" i="4"/>
  <c r="F1367" i="4"/>
  <c r="F1366" i="4"/>
  <c r="F1365" i="4"/>
  <c r="F1364" i="4"/>
  <c r="F1363" i="4"/>
  <c r="F1362" i="4"/>
  <c r="F1361" i="4"/>
  <c r="F1360" i="4"/>
  <c r="F1359" i="4"/>
  <c r="F1358" i="4"/>
  <c r="F1357" i="4"/>
  <c r="F1356" i="4"/>
  <c r="F1355" i="4"/>
  <c r="F1354" i="4"/>
  <c r="F1353" i="4"/>
  <c r="F1352" i="4"/>
  <c r="F1351" i="4"/>
  <c r="F1350" i="4"/>
  <c r="F1349" i="4"/>
  <c r="F1348" i="4"/>
  <c r="F1347" i="4"/>
  <c r="F1346" i="4"/>
  <c r="F1345" i="4"/>
  <c r="F1344" i="4"/>
  <c r="F1343" i="4"/>
  <c r="F1342" i="4"/>
  <c r="F1341" i="4"/>
  <c r="F1340" i="4"/>
  <c r="F1339" i="4"/>
  <c r="F1338" i="4"/>
  <c r="F1337" i="4"/>
  <c r="F1336" i="4"/>
  <c r="F1335" i="4"/>
  <c r="F1334" i="4"/>
  <c r="F1333" i="4"/>
  <c r="F1332" i="4"/>
  <c r="F1331" i="4"/>
  <c r="F1330" i="4"/>
  <c r="F1329" i="4"/>
  <c r="F1328" i="4"/>
  <c r="F1327" i="4"/>
  <c r="F1326" i="4"/>
  <c r="F1325" i="4"/>
  <c r="F1324" i="4"/>
  <c r="F1323" i="4"/>
  <c r="F1322" i="4"/>
  <c r="F1321" i="4"/>
  <c r="F1320" i="4"/>
  <c r="F1319" i="4"/>
  <c r="F1318" i="4"/>
  <c r="F1317" i="4"/>
  <c r="F1316" i="4"/>
  <c r="F1315" i="4"/>
  <c r="F1314" i="4"/>
  <c r="F1313" i="4"/>
  <c r="F1312" i="4"/>
  <c r="F1311" i="4"/>
  <c r="F1310" i="4"/>
  <c r="F1309" i="4"/>
  <c r="F1308" i="4"/>
  <c r="F1307" i="4"/>
  <c r="F1306" i="4"/>
  <c r="F1305" i="4"/>
  <c r="F1304" i="4"/>
  <c r="F1303" i="4"/>
  <c r="F1302" i="4"/>
  <c r="F1301" i="4"/>
  <c r="F1300" i="4"/>
  <c r="F1299" i="4"/>
  <c r="F1298" i="4"/>
  <c r="F1297" i="4"/>
  <c r="F1296" i="4"/>
  <c r="F1295" i="4"/>
  <c r="F1294" i="4"/>
  <c r="F1293" i="4"/>
  <c r="F1292" i="4"/>
  <c r="F1291" i="4"/>
  <c r="F1290" i="4"/>
  <c r="F1289" i="4"/>
  <c r="F1288" i="4"/>
  <c r="F1287" i="4"/>
  <c r="F1286" i="4"/>
  <c r="F1285" i="4"/>
  <c r="F1284" i="4"/>
  <c r="F1283" i="4"/>
  <c r="F1282" i="4"/>
  <c r="F1281" i="4"/>
  <c r="F1280" i="4"/>
  <c r="F1279" i="4"/>
  <c r="F1278" i="4"/>
  <c r="F1277" i="4"/>
  <c r="F1276" i="4"/>
  <c r="F1275" i="4"/>
  <c r="F1274" i="4"/>
  <c r="F1273" i="4"/>
  <c r="F1272" i="4"/>
  <c r="F1271" i="4"/>
  <c r="F1270" i="4"/>
  <c r="F1269" i="4"/>
  <c r="F1268" i="4"/>
  <c r="F1267" i="4"/>
  <c r="F1266" i="4"/>
  <c r="F1265" i="4"/>
  <c r="F1264" i="4"/>
  <c r="F1263" i="4"/>
  <c r="F1262" i="4"/>
  <c r="F1261" i="4"/>
  <c r="F1260" i="4"/>
  <c r="F1259" i="4"/>
  <c r="F1258" i="4"/>
  <c r="F1257" i="4"/>
  <c r="F1256" i="4"/>
  <c r="F1255" i="4"/>
  <c r="F1254" i="4"/>
  <c r="F1253" i="4"/>
  <c r="F1252" i="4"/>
  <c r="F1251" i="4"/>
  <c r="F1250" i="4"/>
  <c r="F1249" i="4"/>
  <c r="F1248" i="4"/>
  <c r="F1247" i="4"/>
  <c r="F1246" i="4"/>
  <c r="F1245" i="4"/>
  <c r="F1244" i="4"/>
  <c r="F1243" i="4"/>
  <c r="F1242" i="4"/>
  <c r="F1241" i="4"/>
  <c r="F1240" i="4"/>
  <c r="F1239" i="4"/>
  <c r="F1238" i="4"/>
  <c r="F1237" i="4"/>
  <c r="F1236" i="4"/>
  <c r="F1235" i="4"/>
  <c r="F1234" i="4"/>
  <c r="F1233" i="4"/>
  <c r="F1232" i="4"/>
  <c r="F1231" i="4"/>
  <c r="F1230" i="4"/>
  <c r="F1229" i="4"/>
  <c r="F1228" i="4"/>
  <c r="F1227" i="4"/>
  <c r="F1226" i="4"/>
  <c r="F1225" i="4"/>
  <c r="F1224" i="4"/>
  <c r="F1223" i="4"/>
  <c r="F1222" i="4"/>
  <c r="F1221" i="4"/>
  <c r="F1220" i="4"/>
  <c r="F1219" i="4"/>
  <c r="F1218" i="4"/>
  <c r="F1217" i="4"/>
  <c r="F1216" i="4"/>
  <c r="F1215" i="4"/>
  <c r="F1214" i="4"/>
  <c r="F1213" i="4"/>
  <c r="F1212" i="4"/>
  <c r="F1211" i="4"/>
  <c r="F1210" i="4"/>
  <c r="F1209" i="4"/>
  <c r="F1208" i="4"/>
  <c r="F1207" i="4"/>
  <c r="F1206" i="4"/>
  <c r="F1205" i="4"/>
  <c r="F1204" i="4"/>
  <c r="F1203" i="4"/>
  <c r="F1202" i="4"/>
  <c r="F1201" i="4"/>
  <c r="F1200" i="4"/>
  <c r="F1199" i="4"/>
  <c r="F1198" i="4"/>
  <c r="F1197" i="4"/>
  <c r="F1196" i="4"/>
  <c r="F1195" i="4"/>
  <c r="F1194" i="4"/>
  <c r="F1193" i="4"/>
  <c r="F1192" i="4"/>
  <c r="F1191" i="4"/>
  <c r="F1190" i="4"/>
  <c r="F1189" i="4"/>
  <c r="F1188" i="4"/>
  <c r="F1187" i="4"/>
  <c r="F1186" i="4"/>
  <c r="F1185" i="4"/>
  <c r="F1184" i="4"/>
  <c r="F1183" i="4"/>
  <c r="F1182" i="4"/>
  <c r="F1181" i="4"/>
  <c r="F1180" i="4"/>
  <c r="F1179" i="4"/>
  <c r="F1178" i="4"/>
  <c r="F1177" i="4"/>
  <c r="F1176" i="4"/>
  <c r="F1175" i="4"/>
  <c r="F1174" i="4"/>
  <c r="F1173" i="4"/>
  <c r="F1172" i="4"/>
  <c r="F1171" i="4"/>
  <c r="F1170" i="4"/>
  <c r="F1169" i="4"/>
  <c r="F1168" i="4"/>
  <c r="F1167" i="4"/>
  <c r="F1166" i="4"/>
  <c r="F1165" i="4"/>
  <c r="F1164" i="4"/>
  <c r="F1163" i="4"/>
  <c r="F1162" i="4"/>
  <c r="F1161" i="4"/>
  <c r="F1160" i="4"/>
  <c r="F1159" i="4"/>
  <c r="F1158" i="4"/>
  <c r="F1157" i="4"/>
  <c r="F1156" i="4"/>
  <c r="F1155" i="4"/>
  <c r="F1154" i="4"/>
  <c r="F1153" i="4"/>
  <c r="F1152" i="4"/>
  <c r="F1151" i="4"/>
  <c r="F1150" i="4"/>
  <c r="F1149" i="4"/>
  <c r="F1148" i="4"/>
  <c r="F1147" i="4"/>
  <c r="F1146" i="4"/>
  <c r="F1145" i="4"/>
  <c r="F1144" i="4"/>
  <c r="F1143" i="4"/>
  <c r="F1142" i="4"/>
  <c r="F1141" i="4"/>
  <c r="F1140" i="4"/>
  <c r="F1139" i="4"/>
  <c r="F1138" i="4"/>
  <c r="F1137" i="4"/>
  <c r="F1136" i="4"/>
  <c r="F1135" i="4"/>
  <c r="F1134" i="4"/>
  <c r="F1133" i="4"/>
  <c r="F1132" i="4"/>
  <c r="F1131" i="4"/>
  <c r="F1130" i="4"/>
  <c r="F1129" i="4"/>
  <c r="F1128" i="4"/>
  <c r="F1127" i="4"/>
  <c r="F1126" i="4"/>
  <c r="F1125" i="4"/>
  <c r="F1124" i="4"/>
  <c r="F1123" i="4"/>
  <c r="F1122" i="4"/>
  <c r="F1121" i="4"/>
  <c r="F1120" i="4"/>
  <c r="F1119" i="4"/>
  <c r="F1118" i="4"/>
  <c r="F1117" i="4"/>
  <c r="F1116" i="4"/>
  <c r="F1115" i="4"/>
  <c r="F1114" i="4"/>
  <c r="F1113" i="4"/>
  <c r="F1112" i="4"/>
  <c r="F1111" i="4"/>
  <c r="F1110" i="4"/>
  <c r="F1109" i="4"/>
  <c r="F1108" i="4"/>
  <c r="F1107" i="4"/>
  <c r="F1106" i="4"/>
  <c r="F1105" i="4"/>
  <c r="F1104" i="4"/>
  <c r="F1103" i="4"/>
  <c r="F1102" i="4"/>
  <c r="F1101" i="4"/>
  <c r="F1100" i="4"/>
  <c r="F1099" i="4"/>
  <c r="F1098" i="4"/>
  <c r="F1097" i="4"/>
  <c r="F1096" i="4"/>
  <c r="F1095" i="4"/>
  <c r="F1094" i="4"/>
  <c r="F1093" i="4"/>
  <c r="F1092" i="4"/>
  <c r="F1091" i="4"/>
  <c r="F1090" i="4"/>
  <c r="F1089" i="4"/>
  <c r="F1088" i="4"/>
  <c r="F1087" i="4"/>
  <c r="F1086" i="4"/>
  <c r="F1085" i="4"/>
  <c r="F1084" i="4"/>
  <c r="F1083" i="4"/>
  <c r="F1082" i="4"/>
  <c r="F1081" i="4"/>
  <c r="F1080" i="4"/>
  <c r="F1079" i="4"/>
  <c r="F1078" i="4"/>
  <c r="F1077" i="4"/>
  <c r="F1076" i="4"/>
  <c r="F1075" i="4"/>
  <c r="F1074" i="4"/>
  <c r="F1073" i="4"/>
  <c r="F1072" i="4"/>
  <c r="F1071" i="4"/>
  <c r="F1070" i="4"/>
  <c r="F1069" i="4"/>
  <c r="F1068" i="4"/>
  <c r="F1067" i="4"/>
  <c r="F1066" i="4"/>
  <c r="F1065" i="4"/>
  <c r="F1064" i="4"/>
  <c r="F1063" i="4"/>
  <c r="F1062" i="4"/>
  <c r="F1061" i="4"/>
  <c r="F1060" i="4"/>
  <c r="F1059" i="4"/>
  <c r="F1058" i="4"/>
  <c r="F1057" i="4"/>
  <c r="F1056" i="4"/>
  <c r="F1055" i="4"/>
  <c r="F1054" i="4"/>
  <c r="F1053" i="4"/>
  <c r="F1052" i="4"/>
  <c r="F1051" i="4"/>
  <c r="F1050" i="4"/>
  <c r="F1049" i="4"/>
  <c r="F1048" i="4"/>
  <c r="F1047" i="4"/>
  <c r="F1046" i="4"/>
  <c r="F1045" i="4"/>
  <c r="F1044" i="4"/>
  <c r="F1043" i="4"/>
  <c r="F1042" i="4"/>
  <c r="F1041" i="4"/>
  <c r="F1040" i="4"/>
  <c r="F1039" i="4"/>
  <c r="F1038" i="4"/>
  <c r="F1037" i="4"/>
  <c r="F1036" i="4"/>
  <c r="F1035" i="4"/>
  <c r="F1034" i="4"/>
  <c r="F1033" i="4"/>
  <c r="F1032" i="4"/>
  <c r="F1031" i="4"/>
  <c r="F1030" i="4"/>
  <c r="F1029" i="4"/>
  <c r="F1028" i="4"/>
  <c r="F1027" i="4"/>
  <c r="F1026" i="4"/>
  <c r="F1025" i="4"/>
  <c r="F1024" i="4"/>
  <c r="F1023" i="4"/>
  <c r="F1022" i="4"/>
  <c r="F1021" i="4"/>
  <c r="F1020" i="4"/>
  <c r="F1019" i="4"/>
  <c r="F1018" i="4"/>
  <c r="F1017" i="4"/>
  <c r="F1016" i="4"/>
  <c r="F1015" i="4"/>
  <c r="F1014" i="4"/>
  <c r="F1013" i="4"/>
  <c r="F1012" i="4"/>
  <c r="F1011" i="4"/>
  <c r="F1010" i="4"/>
  <c r="F1009" i="4"/>
  <c r="F1008" i="4"/>
  <c r="F1007" i="4"/>
  <c r="F1006" i="4"/>
  <c r="F1005" i="4"/>
  <c r="F1004" i="4"/>
  <c r="F1003" i="4"/>
  <c r="F1002" i="4"/>
  <c r="F1001" i="4"/>
  <c r="F1000" i="4"/>
  <c r="F999" i="4"/>
  <c r="F998" i="4"/>
  <c r="F997" i="4"/>
  <c r="F996" i="4"/>
  <c r="F995" i="4"/>
  <c r="F994" i="4"/>
  <c r="F993" i="4"/>
  <c r="F992" i="4"/>
  <c r="F991" i="4"/>
  <c r="F990" i="4"/>
  <c r="F989" i="4"/>
  <c r="F988" i="4"/>
  <c r="F987" i="4"/>
  <c r="F986" i="4"/>
  <c r="F985" i="4"/>
  <c r="F984" i="4"/>
  <c r="F983" i="4"/>
  <c r="F982" i="4"/>
  <c r="F981" i="4"/>
  <c r="F980" i="4"/>
  <c r="F979" i="4"/>
  <c r="F978" i="4"/>
  <c r="F977" i="4"/>
  <c r="F976" i="4"/>
  <c r="F975" i="4"/>
  <c r="F974" i="4"/>
  <c r="F973" i="4"/>
  <c r="F972" i="4"/>
  <c r="F971" i="4"/>
  <c r="F970" i="4"/>
  <c r="F969" i="4"/>
  <c r="F968" i="4"/>
  <c r="F967" i="4"/>
  <c r="F966" i="4"/>
  <c r="F965" i="4"/>
  <c r="F964" i="4"/>
  <c r="F963" i="4"/>
  <c r="F962" i="4"/>
  <c r="F961" i="4"/>
  <c r="F960" i="4"/>
  <c r="F959" i="4"/>
  <c r="F958" i="4"/>
  <c r="F957" i="4"/>
  <c r="F956" i="4"/>
  <c r="F955" i="4"/>
  <c r="F954" i="4"/>
  <c r="F953" i="4"/>
  <c r="F952" i="4"/>
  <c r="F951" i="4"/>
  <c r="F950" i="4"/>
  <c r="F949" i="4"/>
  <c r="F948" i="4"/>
  <c r="F947" i="4"/>
  <c r="F946" i="4"/>
  <c r="F945" i="4"/>
  <c r="F944" i="4"/>
  <c r="F943" i="4"/>
  <c r="F942" i="4"/>
  <c r="F941" i="4"/>
  <c r="F940" i="4"/>
  <c r="F939" i="4"/>
  <c r="F938" i="4"/>
  <c r="F937" i="4"/>
  <c r="F936" i="4"/>
  <c r="F935" i="4"/>
  <c r="F934" i="4"/>
  <c r="F933" i="4"/>
  <c r="F932" i="4"/>
  <c r="F931" i="4"/>
  <c r="F930" i="4"/>
  <c r="F929" i="4"/>
  <c r="F928" i="4"/>
  <c r="F927" i="4"/>
  <c r="F926" i="4"/>
  <c r="F925" i="4"/>
  <c r="F924" i="4"/>
  <c r="F923" i="4"/>
  <c r="F922" i="4"/>
  <c r="F921" i="4"/>
  <c r="F920" i="4"/>
  <c r="F919" i="4"/>
  <c r="F918" i="4"/>
  <c r="F917" i="4"/>
  <c r="F916" i="4"/>
  <c r="F915" i="4"/>
  <c r="F914" i="4"/>
  <c r="F913" i="4"/>
  <c r="F912" i="4"/>
  <c r="F911" i="4"/>
  <c r="F910" i="4"/>
  <c r="F909" i="4"/>
  <c r="F908" i="4"/>
  <c r="F907" i="4"/>
  <c r="F906" i="4"/>
  <c r="F905" i="4"/>
  <c r="F904" i="4"/>
  <c r="F903" i="4"/>
  <c r="F902" i="4"/>
  <c r="F901" i="4"/>
  <c r="F900" i="4"/>
  <c r="F899" i="4"/>
  <c r="F898" i="4"/>
  <c r="F897" i="4"/>
  <c r="F896" i="4"/>
  <c r="F895" i="4"/>
  <c r="F894" i="4"/>
  <c r="F893" i="4"/>
  <c r="F892" i="4"/>
  <c r="F891" i="4"/>
  <c r="F890" i="4"/>
  <c r="F889" i="4"/>
  <c r="F888" i="4"/>
  <c r="F887" i="4"/>
  <c r="F886" i="4"/>
  <c r="F885" i="4"/>
  <c r="F884" i="4"/>
  <c r="F883" i="4"/>
  <c r="F882" i="4"/>
  <c r="F881" i="4"/>
  <c r="F880" i="4"/>
  <c r="F879" i="4"/>
  <c r="F878" i="4"/>
  <c r="F877" i="4"/>
  <c r="F876" i="4"/>
  <c r="F875" i="4"/>
  <c r="F874" i="4"/>
  <c r="F873" i="4"/>
  <c r="F872" i="4"/>
  <c r="F871" i="4"/>
  <c r="F870" i="4"/>
  <c r="F869" i="4"/>
  <c r="F868" i="4"/>
  <c r="F867" i="4"/>
  <c r="F866" i="4"/>
  <c r="F865" i="4"/>
  <c r="F864" i="4"/>
  <c r="F863" i="4"/>
  <c r="F862" i="4"/>
  <c r="F861" i="4"/>
  <c r="F860" i="4"/>
  <c r="F859" i="4"/>
  <c r="F858" i="4"/>
  <c r="F857" i="4"/>
  <c r="F856" i="4"/>
  <c r="F855" i="4"/>
  <c r="F854" i="4"/>
  <c r="F853" i="4"/>
  <c r="F852" i="4"/>
  <c r="F851" i="4"/>
  <c r="F850" i="4"/>
  <c r="F849" i="4"/>
  <c r="F848" i="4"/>
  <c r="F847" i="4"/>
  <c r="F846" i="4"/>
  <c r="F845" i="4"/>
  <c r="F844" i="4"/>
  <c r="F843" i="4"/>
  <c r="F842" i="4"/>
  <c r="F841" i="4"/>
  <c r="F840" i="4"/>
  <c r="F839" i="4"/>
  <c r="F838" i="4"/>
  <c r="F837" i="4"/>
  <c r="F836" i="4"/>
  <c r="F835" i="4"/>
  <c r="F834" i="4"/>
  <c r="F833" i="4"/>
  <c r="F832" i="4"/>
  <c r="F831" i="4"/>
  <c r="F830" i="4"/>
  <c r="F829" i="4"/>
  <c r="F828" i="4"/>
  <c r="F827" i="4"/>
  <c r="F826" i="4"/>
  <c r="F825" i="4"/>
  <c r="F824" i="4"/>
  <c r="F823" i="4"/>
  <c r="F822" i="4"/>
  <c r="F821" i="4"/>
  <c r="F820" i="4"/>
  <c r="F819" i="4"/>
  <c r="F818" i="4"/>
  <c r="F817" i="4"/>
  <c r="F816" i="4"/>
  <c r="F815" i="4"/>
  <c r="F814" i="4"/>
  <c r="F813" i="4"/>
  <c r="F812" i="4"/>
  <c r="F811" i="4"/>
  <c r="F810" i="4"/>
  <c r="F809" i="4"/>
  <c r="F808" i="4"/>
  <c r="F807" i="4"/>
  <c r="F806" i="4"/>
  <c r="F805" i="4"/>
  <c r="F804" i="4"/>
  <c r="F803" i="4"/>
  <c r="F802" i="4"/>
  <c r="F801" i="4"/>
  <c r="F800" i="4"/>
  <c r="F799" i="4"/>
  <c r="F798" i="4"/>
  <c r="F797" i="4"/>
  <c r="F796" i="4"/>
  <c r="F795" i="4"/>
  <c r="F794" i="4"/>
  <c r="F793" i="4"/>
  <c r="F792" i="4"/>
  <c r="F791" i="4"/>
  <c r="F790" i="4"/>
  <c r="F789" i="4"/>
  <c r="F788" i="4"/>
  <c r="F787" i="4"/>
  <c r="F786" i="4"/>
  <c r="F785" i="4"/>
  <c r="F784" i="4"/>
  <c r="F783" i="4"/>
  <c r="F782" i="4"/>
  <c r="F781" i="4"/>
  <c r="F780" i="4"/>
  <c r="F779" i="4"/>
  <c r="F778" i="4"/>
  <c r="F777" i="4"/>
  <c r="F776" i="4"/>
  <c r="F775" i="4"/>
  <c r="F774" i="4"/>
  <c r="F773" i="4"/>
  <c r="F772" i="4"/>
  <c r="F771" i="4"/>
  <c r="F770" i="4"/>
  <c r="F769" i="4"/>
  <c r="F768" i="4"/>
  <c r="F767" i="4"/>
  <c r="F766" i="4"/>
  <c r="F765" i="4"/>
  <c r="F764" i="4"/>
  <c r="F763" i="4"/>
  <c r="F762" i="4"/>
  <c r="F761" i="4"/>
  <c r="F760" i="4"/>
  <c r="F759" i="4"/>
  <c r="F758" i="4"/>
  <c r="F757" i="4"/>
  <c r="F756" i="4"/>
  <c r="F755" i="4"/>
  <c r="F754" i="4"/>
  <c r="F753" i="4"/>
  <c r="F752" i="4"/>
  <c r="F751" i="4"/>
  <c r="F750" i="4"/>
  <c r="F749" i="4"/>
  <c r="F748" i="4"/>
  <c r="F747" i="4"/>
  <c r="F746" i="4"/>
  <c r="F745" i="4"/>
  <c r="F744" i="4"/>
  <c r="F743" i="4"/>
  <c r="F742" i="4"/>
  <c r="F741" i="4"/>
  <c r="F740" i="4"/>
  <c r="F739" i="4"/>
  <c r="F738" i="4"/>
  <c r="F737" i="4"/>
  <c r="F736" i="4"/>
  <c r="F735" i="4"/>
  <c r="F734" i="4"/>
  <c r="F733" i="4"/>
  <c r="F732" i="4"/>
  <c r="F731" i="4"/>
  <c r="F730" i="4"/>
  <c r="F729" i="4"/>
  <c r="F728" i="4"/>
  <c r="F727" i="4"/>
  <c r="F726" i="4"/>
  <c r="F725" i="4"/>
  <c r="F724" i="4"/>
  <c r="F723" i="4"/>
  <c r="F722" i="4"/>
  <c r="F721" i="4"/>
  <c r="F720" i="4"/>
  <c r="F719" i="4"/>
  <c r="F718" i="4"/>
  <c r="F717" i="4"/>
  <c r="F716" i="4"/>
  <c r="F715" i="4"/>
  <c r="F714" i="4"/>
  <c r="F713" i="4"/>
  <c r="F712" i="4"/>
  <c r="F711" i="4"/>
  <c r="F710" i="4"/>
  <c r="F709" i="4"/>
  <c r="F708" i="4"/>
  <c r="F707" i="4"/>
  <c r="F706" i="4"/>
  <c r="F705" i="4"/>
  <c r="F704" i="4"/>
  <c r="F703" i="4"/>
  <c r="F702" i="4"/>
  <c r="F701" i="4"/>
  <c r="F700" i="4"/>
  <c r="F699" i="4"/>
  <c r="F698" i="4"/>
  <c r="F697" i="4"/>
  <c r="F696" i="4"/>
  <c r="F695" i="4"/>
  <c r="F694" i="4"/>
  <c r="F693" i="4"/>
  <c r="F692" i="4"/>
  <c r="F691" i="4"/>
  <c r="F690" i="4"/>
  <c r="F689" i="4"/>
  <c r="F688" i="4"/>
  <c r="F687" i="4"/>
  <c r="F686" i="4"/>
  <c r="F685" i="4"/>
  <c r="F684" i="4"/>
  <c r="F683" i="4"/>
  <c r="F682" i="4"/>
  <c r="F681" i="4"/>
  <c r="F680" i="4"/>
  <c r="F679" i="4"/>
  <c r="F678" i="4"/>
  <c r="F677" i="4"/>
  <c r="F676" i="4"/>
  <c r="F675" i="4"/>
  <c r="F674" i="4"/>
  <c r="F673" i="4"/>
  <c r="F672" i="4"/>
  <c r="F671" i="4"/>
  <c r="F670" i="4"/>
  <c r="F669" i="4"/>
  <c r="F668" i="4"/>
  <c r="F667" i="4"/>
  <c r="F666" i="4"/>
  <c r="F665" i="4"/>
  <c r="F664" i="4"/>
  <c r="F663" i="4"/>
  <c r="F662" i="4"/>
  <c r="F661" i="4"/>
  <c r="F660" i="4"/>
  <c r="F659" i="4"/>
  <c r="F658" i="4"/>
  <c r="F657" i="4"/>
  <c r="F656" i="4"/>
  <c r="F655" i="4"/>
  <c r="F654" i="4"/>
  <c r="F653" i="4"/>
  <c r="F652" i="4"/>
  <c r="F651" i="4"/>
  <c r="F650" i="4"/>
  <c r="F649" i="4"/>
  <c r="F648" i="4"/>
  <c r="F647" i="4"/>
  <c r="F646" i="4"/>
  <c r="F645" i="4"/>
  <c r="F644" i="4"/>
  <c r="F643" i="4"/>
  <c r="F642" i="4"/>
  <c r="F641" i="4"/>
  <c r="F640" i="4"/>
  <c r="F639" i="4"/>
  <c r="F638" i="4"/>
  <c r="F637" i="4"/>
  <c r="F636" i="4"/>
  <c r="F635" i="4"/>
  <c r="F634" i="4"/>
  <c r="F633" i="4"/>
  <c r="F632" i="4"/>
  <c r="F631" i="4"/>
  <c r="F630" i="4"/>
  <c r="F629" i="4"/>
  <c r="F628" i="4"/>
  <c r="F627" i="4"/>
  <c r="F626" i="4"/>
  <c r="F625" i="4"/>
  <c r="F624" i="4"/>
  <c r="F623" i="4"/>
  <c r="F622" i="4"/>
  <c r="F621" i="4"/>
  <c r="F620" i="4"/>
  <c r="F619" i="4"/>
  <c r="F618" i="4"/>
  <c r="F617" i="4"/>
  <c r="F616" i="4"/>
  <c r="F615" i="4"/>
  <c r="F614" i="4"/>
  <c r="F613" i="4"/>
  <c r="F612" i="4"/>
  <c r="F611" i="4"/>
  <c r="F610" i="4"/>
  <c r="F609" i="4"/>
  <c r="F608" i="4"/>
  <c r="F607" i="4"/>
  <c r="F606" i="4"/>
  <c r="F605" i="4"/>
  <c r="F604" i="4"/>
  <c r="F603" i="4"/>
  <c r="F602" i="4"/>
  <c r="F601" i="4"/>
  <c r="F600" i="4"/>
  <c r="F599" i="4"/>
  <c r="F598" i="4"/>
  <c r="F597" i="4"/>
  <c r="F596" i="4"/>
  <c r="F595" i="4"/>
  <c r="F594" i="4"/>
  <c r="F593" i="4"/>
  <c r="F592" i="4"/>
  <c r="F591" i="4"/>
  <c r="F590" i="4"/>
  <c r="F589" i="4"/>
  <c r="F588" i="4"/>
  <c r="F587" i="4"/>
  <c r="F586" i="4"/>
  <c r="F585" i="4"/>
  <c r="F584" i="4"/>
  <c r="F583" i="4"/>
  <c r="F582" i="4"/>
  <c r="F581" i="4"/>
  <c r="F580" i="4"/>
  <c r="F579" i="4"/>
  <c r="F578" i="4"/>
  <c r="F577" i="4"/>
  <c r="F576" i="4"/>
  <c r="F575" i="4"/>
  <c r="F574" i="4"/>
  <c r="F573" i="4"/>
  <c r="F572" i="4"/>
  <c r="F571" i="4"/>
  <c r="F570" i="4"/>
  <c r="F569" i="4"/>
  <c r="F568" i="4"/>
  <c r="F567" i="4"/>
  <c r="F566" i="4"/>
  <c r="F565" i="4"/>
  <c r="F564" i="4"/>
  <c r="F563" i="4"/>
  <c r="F562" i="4"/>
  <c r="F561" i="4"/>
  <c r="F560" i="4"/>
  <c r="F559" i="4"/>
  <c r="F558" i="4"/>
  <c r="F557" i="4"/>
  <c r="F556" i="4"/>
  <c r="F555" i="4"/>
  <c r="F554" i="4"/>
  <c r="F553" i="4"/>
  <c r="F552" i="4"/>
  <c r="F551" i="4"/>
  <c r="F550" i="4"/>
  <c r="F549" i="4"/>
  <c r="F548" i="4"/>
  <c r="F547" i="4"/>
  <c r="F546" i="4"/>
  <c r="F545" i="4"/>
  <c r="F544" i="4"/>
  <c r="F543" i="4"/>
  <c r="F542" i="4"/>
  <c r="F541" i="4"/>
  <c r="F540" i="4"/>
  <c r="F539" i="4"/>
  <c r="F538" i="4"/>
  <c r="F537" i="4"/>
  <c r="F536" i="4"/>
  <c r="F535" i="4"/>
  <c r="F534" i="4"/>
  <c r="F533" i="4"/>
  <c r="F532" i="4"/>
  <c r="F531" i="4"/>
  <c r="F530" i="4"/>
  <c r="F529" i="4"/>
  <c r="F528" i="4"/>
  <c r="F527" i="4"/>
  <c r="F526" i="4"/>
  <c r="F525" i="4"/>
  <c r="F524" i="4"/>
  <c r="F523" i="4"/>
  <c r="F522" i="4"/>
  <c r="F521" i="4"/>
  <c r="F520" i="4"/>
  <c r="F519" i="4"/>
  <c r="F518" i="4"/>
  <c r="F517" i="4"/>
  <c r="F516" i="4"/>
  <c r="F515" i="4"/>
  <c r="F514" i="4"/>
  <c r="F513" i="4"/>
  <c r="F512" i="4"/>
  <c r="F511" i="4"/>
  <c r="F510" i="4"/>
  <c r="F509" i="4"/>
  <c r="F508" i="4"/>
  <c r="F507" i="4"/>
  <c r="F506" i="4"/>
  <c r="F505" i="4"/>
  <c r="F504" i="4"/>
  <c r="F503" i="4"/>
  <c r="F502" i="4"/>
  <c r="F501" i="4"/>
  <c r="F500" i="4"/>
  <c r="F499" i="4"/>
  <c r="F498" i="4"/>
  <c r="F497" i="4"/>
  <c r="F496" i="4"/>
  <c r="F495" i="4"/>
  <c r="F494" i="4"/>
  <c r="F493" i="4"/>
  <c r="F492" i="4"/>
  <c r="F491" i="4"/>
  <c r="F490" i="4"/>
  <c r="F489" i="4"/>
  <c r="F488" i="4"/>
  <c r="F487" i="4"/>
  <c r="F486" i="4"/>
  <c r="F485" i="4"/>
  <c r="F484" i="4"/>
  <c r="F483" i="4"/>
  <c r="F482" i="4"/>
  <c r="F481" i="4"/>
  <c r="F480" i="4"/>
  <c r="F479" i="4"/>
  <c r="F478" i="4"/>
  <c r="F477" i="4"/>
  <c r="F476" i="4"/>
  <c r="F475" i="4"/>
  <c r="F474" i="4"/>
  <c r="F473" i="4"/>
  <c r="F472" i="4"/>
  <c r="F471" i="4"/>
  <c r="F470" i="4"/>
  <c r="F469" i="4"/>
  <c r="F468" i="4"/>
  <c r="F467" i="4"/>
  <c r="F466" i="4"/>
  <c r="F465" i="4"/>
  <c r="F464" i="4"/>
  <c r="F463" i="4"/>
  <c r="F462" i="4"/>
  <c r="F461" i="4"/>
  <c r="F460" i="4"/>
  <c r="F459" i="4"/>
  <c r="F458" i="4"/>
  <c r="F457" i="4"/>
  <c r="F456" i="4"/>
  <c r="F455" i="4"/>
  <c r="F454" i="4"/>
  <c r="F453" i="4"/>
  <c r="F452" i="4"/>
  <c r="F451" i="4"/>
  <c r="F450" i="4"/>
  <c r="F449" i="4"/>
  <c r="F448" i="4"/>
  <c r="F447" i="4"/>
  <c r="F446" i="4"/>
  <c r="F445" i="4"/>
  <c r="F444" i="4"/>
  <c r="F443" i="4"/>
  <c r="F442" i="4"/>
  <c r="F441" i="4"/>
  <c r="F440" i="4"/>
  <c r="F439" i="4"/>
  <c r="F438" i="4"/>
  <c r="F437" i="4"/>
  <c r="F436" i="4"/>
  <c r="F435" i="4"/>
  <c r="F434" i="4"/>
  <c r="F433" i="4"/>
  <c r="F432" i="4"/>
  <c r="F431" i="4"/>
  <c r="F430" i="4"/>
  <c r="F429" i="4"/>
  <c r="F428" i="4"/>
  <c r="F427" i="4"/>
  <c r="F426" i="4"/>
  <c r="F425" i="4"/>
  <c r="F424" i="4"/>
  <c r="F423" i="4"/>
  <c r="F422" i="4"/>
  <c r="F421" i="4"/>
  <c r="F420" i="4"/>
  <c r="F419" i="4"/>
  <c r="F418" i="4"/>
  <c r="F417" i="4"/>
  <c r="F416" i="4"/>
  <c r="F415" i="4"/>
  <c r="F414" i="4"/>
  <c r="F413" i="4"/>
  <c r="F412" i="4"/>
  <c r="F411" i="4"/>
  <c r="F410" i="4"/>
  <c r="F409" i="4"/>
  <c r="F408" i="4"/>
  <c r="F407" i="4"/>
  <c r="F406" i="4"/>
  <c r="F405" i="4"/>
  <c r="F404" i="4"/>
  <c r="F403" i="4"/>
  <c r="F402" i="4"/>
  <c r="F401" i="4"/>
  <c r="F400" i="4"/>
  <c r="F399" i="4"/>
  <c r="F398" i="4"/>
  <c r="F397" i="4"/>
  <c r="F396" i="4"/>
  <c r="F395" i="4"/>
  <c r="F394" i="4"/>
  <c r="F393" i="4"/>
  <c r="F392" i="4"/>
  <c r="F391" i="4"/>
  <c r="F390" i="4"/>
  <c r="F389" i="4"/>
  <c r="F388" i="4"/>
  <c r="F387" i="4"/>
  <c r="F386" i="4"/>
  <c r="F385" i="4"/>
  <c r="F384" i="4"/>
  <c r="F383" i="4"/>
  <c r="F382" i="4"/>
  <c r="F381" i="4"/>
  <c r="F380" i="4"/>
  <c r="F379" i="4"/>
  <c r="F378" i="4"/>
  <c r="F377" i="4"/>
  <c r="F376" i="4"/>
  <c r="F375" i="4"/>
  <c r="F374" i="4"/>
  <c r="F373" i="4"/>
  <c r="F372" i="4"/>
  <c r="F371" i="4"/>
  <c r="F370" i="4"/>
  <c r="F369" i="4"/>
  <c r="F368" i="4"/>
  <c r="F367" i="4"/>
  <c r="F366" i="4"/>
  <c r="F365" i="4"/>
  <c r="F364" i="4"/>
  <c r="F363" i="4"/>
  <c r="F362" i="4"/>
  <c r="F361" i="4"/>
  <c r="F360" i="4"/>
  <c r="F359" i="4"/>
  <c r="F358" i="4"/>
  <c r="F357" i="4"/>
  <c r="F356" i="4"/>
  <c r="F355" i="4"/>
  <c r="F354" i="4"/>
  <c r="F353" i="4"/>
  <c r="F352" i="4"/>
  <c r="F351" i="4"/>
  <c r="F350" i="4"/>
  <c r="F349" i="4"/>
  <c r="F348" i="4"/>
  <c r="F347" i="4"/>
  <c r="F346" i="4"/>
  <c r="F345" i="4"/>
  <c r="F344" i="4"/>
  <c r="F343" i="4"/>
  <c r="F342" i="4"/>
  <c r="F341" i="4"/>
  <c r="F340" i="4"/>
  <c r="F339" i="4"/>
  <c r="F338" i="4"/>
  <c r="F337" i="4"/>
  <c r="F336" i="4"/>
  <c r="F335" i="4"/>
  <c r="F334" i="4"/>
  <c r="F333" i="4"/>
  <c r="F332" i="4"/>
  <c r="F331" i="4"/>
  <c r="F330" i="4"/>
  <c r="F329" i="4"/>
  <c r="F328" i="4"/>
  <c r="F327" i="4"/>
  <c r="F326" i="4"/>
  <c r="F325" i="4"/>
  <c r="F324" i="4"/>
  <c r="F323" i="4"/>
  <c r="F322" i="4"/>
  <c r="F321" i="4"/>
  <c r="F320" i="4"/>
  <c r="F319" i="4"/>
  <c r="F318" i="4"/>
  <c r="F317" i="4"/>
  <c r="F316" i="4"/>
  <c r="F315" i="4"/>
  <c r="F314" i="4"/>
  <c r="F313" i="4"/>
  <c r="F312" i="4"/>
  <c r="F311" i="4"/>
  <c r="F310" i="4"/>
  <c r="F309" i="4"/>
  <c r="F308" i="4"/>
  <c r="F307" i="4"/>
  <c r="F306" i="4"/>
  <c r="F305" i="4"/>
  <c r="F304" i="4"/>
  <c r="F303" i="4"/>
  <c r="F302" i="4"/>
  <c r="F301" i="4"/>
  <c r="F300" i="4"/>
  <c r="F299" i="4"/>
  <c r="F298" i="4"/>
  <c r="F297" i="4"/>
  <c r="F296" i="4"/>
  <c r="F295" i="4"/>
  <c r="F294" i="4"/>
  <c r="F293" i="4"/>
  <c r="F292" i="4"/>
  <c r="F291" i="4"/>
  <c r="F290" i="4"/>
  <c r="F289" i="4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71" i="4"/>
  <c r="F270" i="4"/>
  <c r="F269" i="4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F396" i="3"/>
  <c r="F395" i="3"/>
  <c r="F394" i="3"/>
  <c r="F393" i="3"/>
  <c r="F392" i="3"/>
  <c r="F391" i="3"/>
  <c r="F390" i="3"/>
  <c r="F389" i="3"/>
  <c r="F388" i="3"/>
  <c r="F387" i="3"/>
  <c r="F386" i="3"/>
  <c r="F385" i="3"/>
  <c r="F384" i="3"/>
  <c r="F383" i="3"/>
  <c r="F382" i="3"/>
  <c r="F381" i="3"/>
  <c r="F380" i="3"/>
  <c r="F379" i="3"/>
  <c r="F378" i="3"/>
  <c r="F377" i="3"/>
  <c r="F376" i="3"/>
  <c r="F375" i="3"/>
  <c r="F374" i="3"/>
  <c r="F373" i="3"/>
  <c r="F372" i="3"/>
  <c r="F371" i="3"/>
  <c r="F370" i="3"/>
  <c r="F369" i="3"/>
  <c r="F368" i="3"/>
  <c r="F367" i="3"/>
  <c r="F366" i="3"/>
  <c r="F365" i="3"/>
  <c r="F364" i="3"/>
  <c r="F363" i="3"/>
  <c r="F362" i="3"/>
  <c r="F361" i="3"/>
  <c r="F360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F347" i="3"/>
  <c r="F346" i="3"/>
  <c r="F345" i="3"/>
  <c r="F344" i="3"/>
  <c r="F343" i="3"/>
  <c r="F342" i="3"/>
  <c r="F341" i="3"/>
  <c r="F340" i="3"/>
  <c r="F339" i="3"/>
  <c r="F338" i="3"/>
  <c r="F337" i="3"/>
  <c r="F336" i="3"/>
  <c r="F335" i="3"/>
  <c r="F334" i="3"/>
  <c r="F333" i="3"/>
  <c r="F332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F319" i="3"/>
  <c r="F318" i="3"/>
  <c r="F317" i="3"/>
  <c r="F316" i="3"/>
  <c r="F315" i="3"/>
  <c r="F314" i="3"/>
  <c r="F313" i="3"/>
  <c r="F312" i="3"/>
  <c r="F311" i="3"/>
  <c r="F310" i="3"/>
  <c r="F309" i="3"/>
  <c r="F308" i="3"/>
  <c r="F307" i="3"/>
  <c r="F306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<sst xmlns="http://schemas.openxmlformats.org/spreadsheetml/2006/main" count="24282" uniqueCount="7616">
  <si>
    <t>اسم المسجد</t>
  </si>
  <si>
    <t>رقم العداد</t>
  </si>
  <si>
    <t>المحافظة</t>
  </si>
  <si>
    <t>الفترة صباحا/مساءا</t>
  </si>
  <si>
    <t>قيمة الفاتورة الإجمالي</t>
  </si>
  <si>
    <t>الموقع</t>
  </si>
  <si>
    <t>مكتب الا وقاف والمساجد .</t>
  </si>
  <si>
    <t>AES2120896548260</t>
  </si>
  <si>
    <t>المجمعة</t>
  </si>
  <si>
    <t>مساءا</t>
  </si>
  <si>
    <t xml:space="preserve">   جامع الامام فيصل بن تركي .</t>
  </si>
  <si>
    <t>KFM2020560001048</t>
  </si>
  <si>
    <t>الزلفي</t>
  </si>
  <si>
    <t>كلا الفترتين</t>
  </si>
  <si>
    <t xml:space="preserve">   مسجد حاضره الداهنه .</t>
  </si>
  <si>
    <t>AES2020896444331</t>
  </si>
  <si>
    <t>شقراء</t>
  </si>
  <si>
    <t xml:space="preserve">   جامع الأمير بندر بن محمد .</t>
  </si>
  <si>
    <t>KFM2020660150049</t>
  </si>
  <si>
    <t xml:space="preserve">   جامع الملك عبدالعزيز .</t>
  </si>
  <si>
    <t>KFM2020660188225</t>
  </si>
  <si>
    <t xml:space="preserve"> جامع/الشيخ عبدالعزيز ابراهيم المهنا .</t>
  </si>
  <si>
    <t>KFM2020660200674</t>
  </si>
  <si>
    <t xml:space="preserve">      مسجدعبدالله العذل .</t>
  </si>
  <si>
    <t>KFM2020660150363</t>
  </si>
  <si>
    <t>ﻓﺭﻉ ﺍﻻﻭﻗﺎﻑ ﻭﺍﻟﻤﺴﺎﺠﺩ .</t>
  </si>
  <si>
    <t>KFM2120660284428</t>
  </si>
  <si>
    <t>ثادق</t>
  </si>
  <si>
    <t xml:space="preserve">   مسجد      الجردة بعودةسدير .</t>
  </si>
  <si>
    <t>KFM2020660210582</t>
  </si>
  <si>
    <t>ﻓﺭﻉ ﺍﻻﻭﻗﺎﻑ ﺒﺤﻭﻁﻩ ﺴﺩﻴﺭ .</t>
  </si>
  <si>
    <t>KFM2120660270194</t>
  </si>
  <si>
    <t xml:space="preserve">   مسجد الذييب .</t>
  </si>
  <si>
    <t>KFM2120655003328</t>
  </si>
  <si>
    <t>ﺍﺩﺍﺭﻩ ﺍﻻﻭﻗﺎﻑ ﻭﺍﻟﻤﺴﺎﺠﺩ .</t>
  </si>
  <si>
    <t>SMR2220661018602</t>
  </si>
  <si>
    <t>جامع خادم الحرمين الشريفين بالغاط .</t>
  </si>
  <si>
    <t>KFM2120660273867</t>
  </si>
  <si>
    <t>الغاط</t>
  </si>
  <si>
    <t xml:space="preserve">   جامع اشيقر .</t>
  </si>
  <si>
    <t>KFM2020660173745</t>
  </si>
  <si>
    <t xml:space="preserve">   مسجد  سعيد بن جبير .</t>
  </si>
  <si>
    <t>KFM2020660207130</t>
  </si>
  <si>
    <t>ﻤﻜﺘﺏ ﺍﻻﻭﻗﺎﻑ ﻭﺍﻟﻤﺴﺎﺠﺩ .</t>
  </si>
  <si>
    <t>SMR2220661006693</t>
  </si>
  <si>
    <t xml:space="preserve">   مسجد الجامع تمير .</t>
  </si>
  <si>
    <t>KFM2020660195717</t>
  </si>
  <si>
    <t>ﺍﻭﻗﺎﻑ ﻭﻤﺴﺎﺠﺩ ( ) .</t>
  </si>
  <si>
    <t>KFM2120660262462</t>
  </si>
  <si>
    <t>ﺃﻭﻗﺎﻑ ﻭﻤﺴﺎﺠﺩ ﺭﻤﺎﺡ .</t>
  </si>
  <si>
    <t>KFM2020660199681</t>
  </si>
  <si>
    <t>رماح</t>
  </si>
  <si>
    <t xml:space="preserve">      مـسـجـد العيد بثادق .</t>
  </si>
  <si>
    <t>ECC2020811085216</t>
  </si>
  <si>
    <t>الجامع الكبير بالمجمعة .</t>
  </si>
  <si>
    <t>KFM2020660225265</t>
  </si>
  <si>
    <t>KFM2120660240920</t>
  </si>
  <si>
    <t>حريملاء</t>
  </si>
  <si>
    <t>KFM2020660195778</t>
  </si>
  <si>
    <t xml:space="preserve">   جامع الملك فهد بمرات-مخطط1056 .</t>
  </si>
  <si>
    <t>KFM2120660242945</t>
  </si>
  <si>
    <t>مرات</t>
  </si>
  <si>
    <t xml:space="preserve">   مسجدالجامع بالمخطط الجديد .</t>
  </si>
  <si>
    <t>KFM2120660273515</t>
  </si>
  <si>
    <t>مسجد رقم 14 مخطط 113 بالقصب .</t>
  </si>
  <si>
    <t>KFM2120660243062</t>
  </si>
  <si>
    <t xml:space="preserve">   جامع بلدة غسله بالقرائن .</t>
  </si>
  <si>
    <t>KFM2120660270118</t>
  </si>
  <si>
    <t>مسجد الاسكان .</t>
  </si>
  <si>
    <t>KFM2120660244060</t>
  </si>
  <si>
    <t>ﻤﻜﺘﺏ ﺍﻭﻗﺎﻑ ﺍﻟﻤﺠﻤﻌﻩ (ﺍﻟﻤﺴﺎﺠﺩ) .</t>
  </si>
  <si>
    <t>KFM2120655001336</t>
  </si>
  <si>
    <t>KFM2120660280283</t>
  </si>
  <si>
    <t xml:space="preserve">   جامع حي الزهره .</t>
  </si>
  <si>
    <t>KFM2020660228075</t>
  </si>
  <si>
    <t>مسجد حبيس عبدالله الحبيس .</t>
  </si>
  <si>
    <t>KFM2120660280300</t>
  </si>
  <si>
    <t>مسجد عبدالله الثابت / 182 .</t>
  </si>
  <si>
    <t>KFM2020660212247</t>
  </si>
  <si>
    <t xml:space="preserve">   ادارة     الا وقاف   (المسجدالجام .</t>
  </si>
  <si>
    <t>KFM2120660242986</t>
  </si>
  <si>
    <t xml:space="preserve">      مسجد الغزى .</t>
  </si>
  <si>
    <t>KFM2020660204033</t>
  </si>
  <si>
    <t>ﺃﻭﻗﺎﻑ ﻭﻤﺴﺎﺠﺩ ﺍﻟﻭﺸﻡ .</t>
  </si>
  <si>
    <t>SMR2220661018797</t>
  </si>
  <si>
    <t xml:space="preserve">   الجامع الا وسط .</t>
  </si>
  <si>
    <t>KFM2020660207357</t>
  </si>
  <si>
    <t xml:space="preserve">   جامع النور مخطط رقم 428 بشقراء .</t>
  </si>
  <si>
    <t>KFM2020660200010</t>
  </si>
  <si>
    <t xml:space="preserve">   جامع الديره صالة المحاضرات .</t>
  </si>
  <si>
    <t>KFM2020660195715</t>
  </si>
  <si>
    <t>جامع منيره التويجري .</t>
  </si>
  <si>
    <t>KFM2020660210009</t>
  </si>
  <si>
    <t xml:space="preserve">   مكتب اوقافومساجد    مسجد الجوهره .</t>
  </si>
  <si>
    <t>KFM2120660279067</t>
  </si>
  <si>
    <t xml:space="preserve">   ادارة     الأوقاف    والدعوه .</t>
  </si>
  <si>
    <t>ECC2320831052495</t>
  </si>
  <si>
    <t>ECC2020811090526</t>
  </si>
  <si>
    <t xml:space="preserve">   مسجد/ابراهيم المحارب .</t>
  </si>
  <si>
    <t>KFM2020760020374</t>
  </si>
  <si>
    <t xml:space="preserve">   مسجدمحمدالبابطين حي الشفاء .</t>
  </si>
  <si>
    <t>KFM2120660279213</t>
  </si>
  <si>
    <t xml:space="preserve">   جامع رماح .</t>
  </si>
  <si>
    <t>KFM2020660199584</t>
  </si>
  <si>
    <t xml:space="preserve">   مسجدبريدةبن الحصيب .</t>
  </si>
  <si>
    <t>KFM2020660201603</t>
  </si>
  <si>
    <t xml:space="preserve">   مسجد / الداود .</t>
  </si>
  <si>
    <t>KFM2120660284482</t>
  </si>
  <si>
    <t xml:space="preserve">   مسجدالعصيمي .</t>
  </si>
  <si>
    <t>KFM2120660262436</t>
  </si>
  <si>
    <t>KFM2120660281568</t>
  </si>
  <si>
    <t xml:space="preserve">   اوقاف  تمير  مسجد الثلاثين .</t>
  </si>
  <si>
    <t>KFM2020660209951</t>
  </si>
  <si>
    <t>KFM2020660210556</t>
  </si>
  <si>
    <t xml:space="preserve">   مسجد الرشيد .</t>
  </si>
  <si>
    <t>KFM2020660201531</t>
  </si>
  <si>
    <t>SMR2420868000834</t>
  </si>
  <si>
    <t>KFM2120660272078</t>
  </si>
  <si>
    <t xml:space="preserve">   مسجد الحىرقم 8 المطار .</t>
  </si>
  <si>
    <t>KFM2020660201591</t>
  </si>
  <si>
    <t xml:space="preserve">   مسجد /عبدالله الفرهود .</t>
  </si>
  <si>
    <t>KFM2020660188288</t>
  </si>
  <si>
    <t xml:space="preserve">   مسجد الدويش .</t>
  </si>
  <si>
    <t>KFM2120660262696</t>
  </si>
  <si>
    <t xml:space="preserve">   جامع عمربن عبدالعزيز .</t>
  </si>
  <si>
    <t>KFM2020660188222</t>
  </si>
  <si>
    <t xml:space="preserve">   مسجدالمديد .</t>
  </si>
  <si>
    <t>KFM2020660199257</t>
  </si>
  <si>
    <t xml:space="preserve">   المسجد الجنوبى بالحى الجديد .</t>
  </si>
  <si>
    <t>KFM2020766085768</t>
  </si>
  <si>
    <t>SMR2420761037999</t>
  </si>
  <si>
    <t>KFM2020766158162</t>
  </si>
  <si>
    <t xml:space="preserve">   مسجد بني عامر .</t>
  </si>
  <si>
    <t>KFM2020660199543</t>
  </si>
  <si>
    <t xml:space="preserve">   اوقاف     تمبر      مبايض .</t>
  </si>
  <si>
    <t>KFM2020660195734</t>
  </si>
  <si>
    <t xml:space="preserve">   وزارة الحجوالأوقاف   م بن جرالله .</t>
  </si>
  <si>
    <t>KFM2120660250913</t>
  </si>
  <si>
    <t xml:space="preserve">   مسجد العليويه .</t>
  </si>
  <si>
    <t>KFM2020660153954</t>
  </si>
  <si>
    <t>KFM2120660244056</t>
  </si>
  <si>
    <t>وقاف ومساجد الزلفي مسجدمحمدالمنصور .</t>
  </si>
  <si>
    <t>KFM2120660280279</t>
  </si>
  <si>
    <t xml:space="preserve">   مسجد القشعمى .</t>
  </si>
  <si>
    <t>KFM2020660228121</t>
  </si>
  <si>
    <t>مسجد مهنا المدالله .</t>
  </si>
  <si>
    <t>KFM2020660207111</t>
  </si>
  <si>
    <t xml:space="preserve">   جامع التميمي بالمسمى .</t>
  </si>
  <si>
    <t>KFM2020660199997</t>
  </si>
  <si>
    <t xml:space="preserve">   جامع الشيخ/سعود تراحيب الديحاني .</t>
  </si>
  <si>
    <t>KFM2020660188300</t>
  </si>
  <si>
    <t xml:space="preserve">     مسجد ادارة التعليم .</t>
  </si>
  <si>
    <t>KFM2020660160325</t>
  </si>
  <si>
    <t xml:space="preserve">   اوقاف الزلفي مسجد علي الطيار .</t>
  </si>
  <si>
    <t>KFM2020660134426</t>
  </si>
  <si>
    <t xml:space="preserve">   مسجد      الجامع    الصفرات .</t>
  </si>
  <si>
    <t>KFM2120660284478</t>
  </si>
  <si>
    <t xml:space="preserve">   مسجد نموذجيه جلاجل .</t>
  </si>
  <si>
    <t>KFM2020660211663</t>
  </si>
  <si>
    <t xml:space="preserve">    مسجد خديجه بنت خويلد .</t>
  </si>
  <si>
    <t>KFM2120660250034</t>
  </si>
  <si>
    <t xml:space="preserve">      مسجد الامير سلطان بن سعود بن .</t>
  </si>
  <si>
    <t>KFM2020660202132</t>
  </si>
  <si>
    <t xml:space="preserve">      مسجد الحى رقم 2 المطار .</t>
  </si>
  <si>
    <t>KFM2020766162067</t>
  </si>
  <si>
    <t xml:space="preserve">   مسجدالماضي بحرمه .</t>
  </si>
  <si>
    <t>KFM2120660242973</t>
  </si>
  <si>
    <t xml:space="preserve">   مسجدجامع الفرعة .</t>
  </si>
  <si>
    <t>KFM2020660173742</t>
  </si>
  <si>
    <t xml:space="preserve">      مسجد الداخله .</t>
  </si>
  <si>
    <t>KFM2020660211623</t>
  </si>
  <si>
    <t>جامع  مخطط 46 رماح .</t>
  </si>
  <si>
    <t>KFM2020660150022</t>
  </si>
  <si>
    <t xml:space="preserve">   مسجد      هجره      غالب ماجد .</t>
  </si>
  <si>
    <t>KFM2120660267491</t>
  </si>
  <si>
    <t>AES2120896563834</t>
  </si>
  <si>
    <t xml:space="preserve">   اوقاف الزلفى / مسجد الحديقه .</t>
  </si>
  <si>
    <t>KFM2020660150362</t>
  </si>
  <si>
    <t>KFM2120660272127</t>
  </si>
  <si>
    <t>مسجد خالد بن الوليد .</t>
  </si>
  <si>
    <t>KFM2020660199650</t>
  </si>
  <si>
    <t xml:space="preserve">      مسجد الغنام .</t>
  </si>
  <si>
    <t>KFM2020660207369</t>
  </si>
  <si>
    <t xml:space="preserve">   الاوقاف والمساجدمسجدالدريبي السلام .</t>
  </si>
  <si>
    <t>KFM2020660150136</t>
  </si>
  <si>
    <t xml:space="preserve">   اوقاف الزلفي(مسجدماجدالمنيع) .</t>
  </si>
  <si>
    <t>KFM2020766158139</t>
  </si>
  <si>
    <t xml:space="preserve">   مسجد الجنوبيه .</t>
  </si>
  <si>
    <t>KFM2020660210700</t>
  </si>
  <si>
    <t>KFM2020660190654</t>
  </si>
  <si>
    <t xml:space="preserve">   مسجد      محمد      الداود .</t>
  </si>
  <si>
    <t>KFM2120660236129</t>
  </si>
  <si>
    <t xml:space="preserve">   مسجد المعتق .</t>
  </si>
  <si>
    <t>KFM2020766073457</t>
  </si>
  <si>
    <t xml:space="preserve">   مسجد      النايفه   ملهم صلبوخ .</t>
  </si>
  <si>
    <t>SMR2320661022934</t>
  </si>
  <si>
    <t xml:space="preserve">   مسجد/الدحيم .</t>
  </si>
  <si>
    <t>KFM2020766128592</t>
  </si>
  <si>
    <t xml:space="preserve">            مسجد  حمد  الدهش رقم3 .</t>
  </si>
  <si>
    <t>KFM2120660241095</t>
  </si>
  <si>
    <t xml:space="preserve">   مسجد الهيئه .</t>
  </si>
  <si>
    <t>KFM2020766161972</t>
  </si>
  <si>
    <t xml:space="preserve">   مسجد ابو عتيق .</t>
  </si>
  <si>
    <t>KFM2020660188229</t>
  </si>
  <si>
    <t xml:space="preserve">   مسجد      الصناعية  الصناعية .</t>
  </si>
  <si>
    <t>KFM2020660150429</t>
  </si>
  <si>
    <t xml:space="preserve">      مسجد بن عمار بالحزم .</t>
  </si>
  <si>
    <t>KFM2020760160112</t>
  </si>
  <si>
    <t>SMR2220661018311</t>
  </si>
  <si>
    <t xml:space="preserve">   مسجدعبدالله ناصر الوهيب .</t>
  </si>
  <si>
    <t>SMR2120765009973</t>
  </si>
  <si>
    <t xml:space="preserve">   مسجد/الاوزاعي .</t>
  </si>
  <si>
    <t>KFM2020660210459</t>
  </si>
  <si>
    <t>مسجد ابن العمى .</t>
  </si>
  <si>
    <t>AEC2020830317894</t>
  </si>
  <si>
    <t xml:space="preserve">   اوقاف الزلفي مسجدمحمدالمقحم .</t>
  </si>
  <si>
    <t>KFM2020766158115</t>
  </si>
  <si>
    <t xml:space="preserve">   مسجد/ابراهيم صالح العجلان .</t>
  </si>
  <si>
    <t>KFM2120660284447</t>
  </si>
  <si>
    <t>SMR2320661030362</t>
  </si>
  <si>
    <t xml:space="preserve">   جامع الشيخ ابن عثمين .</t>
  </si>
  <si>
    <t>KFM2020660209930</t>
  </si>
  <si>
    <t>مسجد/ بشير العوام لوالدية .</t>
  </si>
  <si>
    <t>SMR2220761004422</t>
  </si>
  <si>
    <t xml:space="preserve">   مسجد      المصخ     رماح .</t>
  </si>
  <si>
    <t>KFM2120655004250</t>
  </si>
  <si>
    <t xml:space="preserve">      مسجد بن تويم .</t>
  </si>
  <si>
    <t>AES2020896450737</t>
  </si>
  <si>
    <t>KFM2120655002474</t>
  </si>
  <si>
    <t xml:space="preserve">   مسجد الوقف الثانى .</t>
  </si>
  <si>
    <t>KFM2020660200662</t>
  </si>
  <si>
    <t xml:space="preserve">    مصلى العيد باثيثية .</t>
  </si>
  <si>
    <t>AES2120896571433</t>
  </si>
  <si>
    <t xml:space="preserve">  FRI. MOSQUE  ا   المسجد الجامع بملهم .</t>
  </si>
  <si>
    <t>KFM2120660244139</t>
  </si>
  <si>
    <t xml:space="preserve">   وزارة الحج والاوقاف / فرع ثادق .</t>
  </si>
  <si>
    <t>KFM2120660275824</t>
  </si>
  <si>
    <t xml:space="preserve">   مسجد الجنوبى شيمان .</t>
  </si>
  <si>
    <t>AES2020896080615</t>
  </si>
  <si>
    <t>KFM2020766158184</t>
  </si>
  <si>
    <t>KFM2120660240928</t>
  </si>
  <si>
    <t xml:space="preserve">   مسجد الحى رقم 2 المطار .</t>
  </si>
  <si>
    <t>KFM2020660160320</t>
  </si>
  <si>
    <t xml:space="preserve">   مسجد الطرفيه .</t>
  </si>
  <si>
    <t>ECC2020811047005</t>
  </si>
  <si>
    <t xml:space="preserve">   مسجدالدخل المحدودرقم 3 .</t>
  </si>
  <si>
    <t>KFM2020660210646</t>
  </si>
  <si>
    <t xml:space="preserve">   مسجد العصيمي .</t>
  </si>
  <si>
    <t>KFM2020766054657</t>
  </si>
  <si>
    <t xml:space="preserve">   مسجدالمستشفى .</t>
  </si>
  <si>
    <t>SMR2320661021465</t>
  </si>
  <si>
    <t xml:space="preserve">   جامع ابي بكر الصديق .</t>
  </si>
  <si>
    <t>KFM2020660188304</t>
  </si>
  <si>
    <t xml:space="preserve">   مسجد/ ماجد فالح المديري .</t>
  </si>
  <si>
    <t>KFM2020760229528</t>
  </si>
  <si>
    <t>جامع الامير محمد بن سعود .</t>
  </si>
  <si>
    <t>KFM2120660242947</t>
  </si>
  <si>
    <t>جامع ناصر السهو ( عشيرة ) .</t>
  </si>
  <si>
    <t>KFM2020660150034</t>
  </si>
  <si>
    <t xml:space="preserve">      مسجد الجامع بهلم .</t>
  </si>
  <si>
    <t>KFM2120660244169</t>
  </si>
  <si>
    <t xml:space="preserve">   مسجد      المحارب بملهم .</t>
  </si>
  <si>
    <t>KFM2120660244134</t>
  </si>
  <si>
    <t>SMR2220761004316</t>
  </si>
  <si>
    <t xml:space="preserve">   جامع جوي 11 .</t>
  </si>
  <si>
    <t>KFM2020660226049</t>
  </si>
  <si>
    <t xml:space="preserve">      مسجد الشهباء .</t>
  </si>
  <si>
    <t>KFM2020660192448</t>
  </si>
  <si>
    <t xml:space="preserve">   مسجد بن عمير .</t>
  </si>
  <si>
    <t>AES2020896434912</t>
  </si>
  <si>
    <t>ECC2420831031779</t>
  </si>
  <si>
    <t xml:space="preserve">   مسجد عثمان ابراهيم .</t>
  </si>
  <si>
    <t>KFM2020660225947</t>
  </si>
  <si>
    <t xml:space="preserve">   مسجد الميلم .</t>
  </si>
  <si>
    <t>KFM2020660156017</t>
  </si>
  <si>
    <t xml:space="preserve">   مـسـجـدالحميضى بالمخطط 366 .</t>
  </si>
  <si>
    <t>KFM2020760212547</t>
  </si>
  <si>
    <t xml:space="preserve">   اوقاف مرات مسجدحي واسط جنوب لبخه .</t>
  </si>
  <si>
    <t>KFM2020766122226</t>
  </si>
  <si>
    <t xml:space="preserve">   مسجد.الحي رقم 15 .</t>
  </si>
  <si>
    <t>KFM2020766057488</t>
  </si>
  <si>
    <t xml:space="preserve">   مسجد صلا ح الدين .</t>
  </si>
  <si>
    <t>KFM2020660160385</t>
  </si>
  <si>
    <t>SMR2220761015734</t>
  </si>
  <si>
    <t>AES2120896552211</t>
  </si>
  <si>
    <t xml:space="preserve">   جامع علقه(عثمان بن مضعون) .</t>
  </si>
  <si>
    <t>KFM2020660209929</t>
  </si>
  <si>
    <t xml:space="preserve">   مسجد الشيخ ابراهيم على الناصر .</t>
  </si>
  <si>
    <t>KFM2020766048364</t>
  </si>
  <si>
    <t xml:space="preserve">   جامع الثليماء/اوقاف القويعيه .</t>
  </si>
  <si>
    <t>KFM2020660206847</t>
  </si>
  <si>
    <t xml:space="preserve">   مسجدرقم(1)بمخطط(28)في القصب .</t>
  </si>
  <si>
    <t>KFM2020766156327</t>
  </si>
  <si>
    <t xml:space="preserve">   وزارةالحج /   مخطط 111 .</t>
  </si>
  <si>
    <t>KFM2120660272168</t>
  </si>
  <si>
    <t xml:space="preserve">   مسجد عثمان بن عفان .</t>
  </si>
  <si>
    <t>KFM2020660201573</t>
  </si>
  <si>
    <t xml:space="preserve">   مسجدفهدعلي الفايز .</t>
  </si>
  <si>
    <t>KFM2020766034106</t>
  </si>
  <si>
    <t xml:space="preserve">   مسجد مخطط518 بحي الرحبة بشقراء .</t>
  </si>
  <si>
    <t>AES2020896443826</t>
  </si>
  <si>
    <t>AEC2020830325430</t>
  </si>
  <si>
    <t xml:space="preserve">   اوقاف الزلفي مسجد الترمذى .</t>
  </si>
  <si>
    <t>KFM2020766054653</t>
  </si>
  <si>
    <t xml:space="preserve">   مسجدصالح اليحي .</t>
  </si>
  <si>
    <t>KFM2020660160326</t>
  </si>
  <si>
    <t>مسجد والدة سليمان محمد السليم .</t>
  </si>
  <si>
    <t>SMR2320661020719</t>
  </si>
  <si>
    <t xml:space="preserve">   مسجدجعفربن ابي طالب .</t>
  </si>
  <si>
    <t>KFM2020766161997</t>
  </si>
  <si>
    <t>مسجد علي شليان .</t>
  </si>
  <si>
    <t>AEC2020830543719</t>
  </si>
  <si>
    <t xml:space="preserve">   مسجد المعيجل .</t>
  </si>
  <si>
    <t>AES2120896573875</t>
  </si>
  <si>
    <t xml:space="preserve">   اوقاف الزلفي مسجدالسلام .</t>
  </si>
  <si>
    <t>KFM2020660228126</t>
  </si>
  <si>
    <t xml:space="preserve">   مسجدرقم(8)بحي التاهيل الشامل .</t>
  </si>
  <si>
    <t>KFM2020660200682</t>
  </si>
  <si>
    <t>صباحا</t>
  </si>
  <si>
    <t xml:space="preserve">   مسجد      منيره     الثميري .</t>
  </si>
  <si>
    <t>KFM2020760178279</t>
  </si>
  <si>
    <t xml:space="preserve">   الاوقاف مسجد السعدون .</t>
  </si>
  <si>
    <t>AES2120896551500</t>
  </si>
  <si>
    <t>MMF2020800217164</t>
  </si>
  <si>
    <t xml:space="preserve">   مسجد/عبدالله مساعد القطيان .</t>
  </si>
  <si>
    <t>KFM2020760232962</t>
  </si>
  <si>
    <t xml:space="preserve">    مسجد  مخطط عشيره .</t>
  </si>
  <si>
    <t>KFM2020660210659</t>
  </si>
  <si>
    <t xml:space="preserve">   مسجد حى المستشفي بتمير .</t>
  </si>
  <si>
    <t>KFM2020766154357</t>
  </si>
  <si>
    <t>جامع(الخريف)مسجد أحمد بن حنبل سابقا مرات .</t>
  </si>
  <si>
    <t>KFM2120660268897</t>
  </si>
  <si>
    <t>KFM2020660206827</t>
  </si>
  <si>
    <t xml:space="preserve">   مسجد/ السيف بعلقه .</t>
  </si>
  <si>
    <t>AES2020896423946</t>
  </si>
  <si>
    <t xml:space="preserve">   اوقاف الزلفي مسجدعقبه بن عامر .</t>
  </si>
  <si>
    <t>KFM2020766158250</t>
  </si>
  <si>
    <t xml:space="preserve">   مسجد الجامع القديم بروضة سدير .</t>
  </si>
  <si>
    <t>KFM2020660211590</t>
  </si>
  <si>
    <t>KFM2020660200665</t>
  </si>
  <si>
    <t xml:space="preserve">   مسجد العواد بجلاجل .</t>
  </si>
  <si>
    <t>AES2020896447533</t>
  </si>
  <si>
    <t>AEC2020830082783</t>
  </si>
  <si>
    <t xml:space="preserve">   جامع ودارتحفيظ و مغسلة القدس .</t>
  </si>
  <si>
    <t>KFM2020660188263</t>
  </si>
  <si>
    <t>KFM2020760203041</t>
  </si>
  <si>
    <t>MMF2020800217453</t>
  </si>
  <si>
    <t xml:space="preserve">      مـسـجـد المليح .</t>
  </si>
  <si>
    <t>AEC2020830564088</t>
  </si>
  <si>
    <t xml:space="preserve">   مسجد      الشيخ     جماز .</t>
  </si>
  <si>
    <t>KFM2020660168508</t>
  </si>
  <si>
    <t>ﻫﻴﺌﺓﺍﻟﻤﺩﻥ ﺍﻟﺼﻨﺎﻋﻴﺓ ﻀﻭﺍﺤﻲ ﺍﻟﺭﻴﺎﺽ .</t>
  </si>
  <si>
    <t>ECC2420831023882</t>
  </si>
  <si>
    <t xml:space="preserve">   جامع والدةأبناء سعد الصيفي .</t>
  </si>
  <si>
    <t>KFM2020660199594</t>
  </si>
  <si>
    <t>ASH2420800013442</t>
  </si>
  <si>
    <t>KFM2020660177617</t>
  </si>
  <si>
    <t xml:space="preserve">        مسجد الشيخ /عبدلعزيز الصالح .</t>
  </si>
  <si>
    <t>KFM2020760203201</t>
  </si>
  <si>
    <t xml:space="preserve">   جامع تركي السديري بالغاط .</t>
  </si>
  <si>
    <t>KFM2120660287359</t>
  </si>
  <si>
    <t xml:space="preserve">   مسجد/دشنة .</t>
  </si>
  <si>
    <t>KFM2020766154310</t>
  </si>
  <si>
    <t xml:space="preserve">      مسجد الجامع بحريملاء .</t>
  </si>
  <si>
    <t>KFM2020660208834</t>
  </si>
  <si>
    <t xml:space="preserve">   جامع عثمان بن عفان بحي الجزيرة .</t>
  </si>
  <si>
    <t>KFM2020660200573</t>
  </si>
  <si>
    <t xml:space="preserve">   مسجد المنخاس .</t>
  </si>
  <si>
    <t>KFM2020660138161</t>
  </si>
  <si>
    <t>KFM2020660207158</t>
  </si>
  <si>
    <t xml:space="preserve">   مسجد/ زياد شحيبان .</t>
  </si>
  <si>
    <t>AES2120896571837</t>
  </si>
  <si>
    <t xml:space="preserve"> جامع/عبدالعزيزناصرالمنقوربحي الجبل .</t>
  </si>
  <si>
    <t>KFM2020660050198</t>
  </si>
  <si>
    <t>مسجد أم المؤمنين خديجة بنت خويلد .</t>
  </si>
  <si>
    <t>KFM2020760131783</t>
  </si>
  <si>
    <t xml:space="preserve">   مسجد المخطط الشرقي بالروضه .</t>
  </si>
  <si>
    <t>KFM2020766062279</t>
  </si>
  <si>
    <t xml:space="preserve">    مسجداسعد بن يزيد .</t>
  </si>
  <si>
    <t>KFM2020766073452</t>
  </si>
  <si>
    <t xml:space="preserve">   اوقاف الزلفى مسجد حمود الشايع .</t>
  </si>
  <si>
    <t>KFM2020660188228</t>
  </si>
  <si>
    <t xml:space="preserve">   مسجدسعودالطيار .</t>
  </si>
  <si>
    <t>KFM2020660110706</t>
  </si>
  <si>
    <t xml:space="preserve">    مسجدالمهاجرين .</t>
  </si>
  <si>
    <t>KFM2020766057447</t>
  </si>
  <si>
    <t xml:space="preserve">            مسجد  رقم5 مخطط(913) .</t>
  </si>
  <si>
    <t>ECC2020810859092</t>
  </si>
  <si>
    <t xml:space="preserve">  اوقاف الخرج /جامع الملك عبدالعزيز .</t>
  </si>
  <si>
    <t>KFM2120660270821</t>
  </si>
  <si>
    <t>الخرج</t>
  </si>
  <si>
    <t>ﻤﺴﺎﺠﺩﺍﻟﺨـﺭﺝ .</t>
  </si>
  <si>
    <t>SMR2220661004487</t>
  </si>
  <si>
    <t xml:space="preserve">  مسجد عبدالله ابن كعب /اوقاف السليل .</t>
  </si>
  <si>
    <t>AES2020896349534</t>
  </si>
  <si>
    <t>السليل</t>
  </si>
  <si>
    <t>SMR2220661003002</t>
  </si>
  <si>
    <t xml:space="preserve">   جامع      ال مطرف   اوقاف الدواس .</t>
  </si>
  <si>
    <t>KFM2020660212686</t>
  </si>
  <si>
    <t>وادي الدواسر</t>
  </si>
  <si>
    <t xml:space="preserve">    مسجد/عاصم بن ثابت .</t>
  </si>
  <si>
    <t>KFM2120660260510</t>
  </si>
  <si>
    <t xml:space="preserve">   جامع الملك عبدالله بن عبدالعزيز .</t>
  </si>
  <si>
    <t>KFM2020660170239</t>
  </si>
  <si>
    <t>الأفلاج</t>
  </si>
  <si>
    <t>المساجد والدعوة والإرشاد - الافلاج .</t>
  </si>
  <si>
    <t>KFM2020660165150</t>
  </si>
  <si>
    <t>ﻤﺴﺎﺠﺩ ﻭﺤﺩﺓ ﺍﻟﺤﺭﻴﻕ .</t>
  </si>
  <si>
    <t>KFM2120660272838</t>
  </si>
  <si>
    <t xml:space="preserve"> جامع الامير مشعل بن عبدالعزيز ال سعود .</t>
  </si>
  <si>
    <t>KFM2020660200908</t>
  </si>
  <si>
    <t>حوطة بني تميم</t>
  </si>
  <si>
    <t xml:space="preserve">    الموسسه العامه للصناعات الحربيه .</t>
  </si>
  <si>
    <t>KFM2120660250471</t>
  </si>
  <si>
    <t>KFM2020660177688</t>
  </si>
  <si>
    <t>الحريق</t>
  </si>
  <si>
    <t xml:space="preserve">   مسسجد خالد بن الوليد .</t>
  </si>
  <si>
    <t>KFM2120660260567</t>
  </si>
  <si>
    <t>KFM2020660170236</t>
  </si>
  <si>
    <t xml:space="preserve">      مسجد التوفيق الجامع .</t>
  </si>
  <si>
    <t>SMR2220661004329</t>
  </si>
  <si>
    <t>الدلم</t>
  </si>
  <si>
    <t xml:space="preserve">   جامع/ راشد صالح الخنين .</t>
  </si>
  <si>
    <t>KFM2020660177832</t>
  </si>
  <si>
    <t xml:space="preserve">   مسجد       مبارك     ال عريمه .</t>
  </si>
  <si>
    <t>KFM2020660177877</t>
  </si>
  <si>
    <t>KFM2020660207930</t>
  </si>
  <si>
    <t>ﺍﻟﻤﺴﺎﺠﺩﻭﺍﻟﺩﻋﻭﻩ ﺍﻻﺭﺸﺎﺩ ﺒﺎﻻﻓﻼﺝ .</t>
  </si>
  <si>
    <t>KFM2120660259915</t>
  </si>
  <si>
    <t xml:space="preserve">   مسجد دغيم الشمري .</t>
  </si>
  <si>
    <t>KFM2020660211780</t>
  </si>
  <si>
    <t xml:space="preserve">   مسجدآل حفيظ بالنزهه .</t>
  </si>
  <si>
    <t>KFM2120660260644</t>
  </si>
  <si>
    <t xml:space="preserve">   اوقاف الخرج / مسجديوسف السالم .</t>
  </si>
  <si>
    <t>KFM2120660245994</t>
  </si>
  <si>
    <t>KFM2120660248794</t>
  </si>
  <si>
    <t xml:space="preserve">   مسجد/ محمد ناصر اليوسف .</t>
  </si>
  <si>
    <t>KFM2120660264303</t>
  </si>
  <si>
    <t>ﻤﺴﺎﺠﺩ ﺍﻟﺨﻤﺎﺴﻴﻥ .</t>
  </si>
  <si>
    <t>SMR2220661004664</t>
  </si>
  <si>
    <t>KFM2020660212763</t>
  </si>
  <si>
    <t xml:space="preserve">   مسجدجامع الحـريدى .</t>
  </si>
  <si>
    <t>KFM2020660212945</t>
  </si>
  <si>
    <t xml:space="preserve">      مسجد حى العاليه .</t>
  </si>
  <si>
    <t>KFM2120660300267</t>
  </si>
  <si>
    <t>SMR2220661003267</t>
  </si>
  <si>
    <t xml:space="preserve">      مسجد الجامع بالرفيعه .</t>
  </si>
  <si>
    <t>KFM2020660200846</t>
  </si>
  <si>
    <t xml:space="preserve">   اوقاف الخرج/مسجد الامام البخارى .</t>
  </si>
  <si>
    <t>KFM2020660174636</t>
  </si>
  <si>
    <t xml:space="preserve">   اوقاف الدواسر/ جامع الولامين .</t>
  </si>
  <si>
    <t>KFM2020660206127</t>
  </si>
  <si>
    <t>مساجد الخماسين .</t>
  </si>
  <si>
    <t>SMR2220661004671</t>
  </si>
  <si>
    <t xml:space="preserve">   مسجد / مفرج البياع .</t>
  </si>
  <si>
    <t>KFM2120660302740</t>
  </si>
  <si>
    <t xml:space="preserve">   مغسلة الموتى التابعةلمسجدمتعب .</t>
  </si>
  <si>
    <t>KFM2020660174661</t>
  </si>
  <si>
    <t>ﺍﻭﻗﺎﻑ ﺍﻟﺩﻟﻡ / ﺍﻟﻤﺴــــــﺎﺠـﺩ .</t>
  </si>
  <si>
    <t>KFM2020660177843</t>
  </si>
  <si>
    <t xml:space="preserve">   جامع حي النهضـه .</t>
  </si>
  <si>
    <t>KFM2120660264343</t>
  </si>
  <si>
    <t xml:space="preserve">      مسجد حى الناصريه الجامع .</t>
  </si>
  <si>
    <t>KFM2020660125098</t>
  </si>
  <si>
    <t xml:space="preserve">   جامع النويعمه /اوقاف الدواســ .</t>
  </si>
  <si>
    <t>KFM2020660177897</t>
  </si>
  <si>
    <t xml:space="preserve">   مسجد/محمد احمد الطهيفي .</t>
  </si>
  <si>
    <t>KFM2120660257281</t>
  </si>
  <si>
    <t xml:space="preserve">   مسجد / ابو بكر الصديق .</t>
  </si>
  <si>
    <t>SMR2320661021313</t>
  </si>
  <si>
    <t xml:space="preserve">      مسجد الشعيبى .</t>
  </si>
  <si>
    <t>KFM2020660204239</t>
  </si>
  <si>
    <t xml:space="preserve">   اوقاف الخرج / مسجد نعجان .</t>
  </si>
  <si>
    <t>KFM2020660212384</t>
  </si>
  <si>
    <t xml:space="preserve">      مسجد حله السعوديه5/ .</t>
  </si>
  <si>
    <t>KFM2020660208012</t>
  </si>
  <si>
    <t xml:space="preserve">   مسجد/ال سويكت .</t>
  </si>
  <si>
    <t>KFM2020660223654</t>
  </si>
  <si>
    <t>ﻤﺴﺎﺠﺩ ﺍﻟﺤﻭﻁﻩ .</t>
  </si>
  <si>
    <t>KFM2020660177752</t>
  </si>
  <si>
    <t>SMR2220661016938</t>
  </si>
  <si>
    <t xml:space="preserve">   مسجد حى الفيصليه رقم(8) .</t>
  </si>
  <si>
    <t>KFM2020660230761</t>
  </si>
  <si>
    <t>AEC2020830171245</t>
  </si>
  <si>
    <t>KFM2020660210979</t>
  </si>
  <si>
    <t xml:space="preserve">   مسجد       حلة        3/ .</t>
  </si>
  <si>
    <t>KFM2120660272949</t>
  </si>
  <si>
    <t>KFM2020660230873</t>
  </si>
  <si>
    <t xml:space="preserve"> اوقاف الخرج/مسجد عبدالعزيز/مجمع الف .</t>
  </si>
  <si>
    <t>KFM2120660260574</t>
  </si>
  <si>
    <t xml:space="preserve">   اوقاف الدلم / جامع السلمانية .</t>
  </si>
  <si>
    <t>KFM2020660170466</t>
  </si>
  <si>
    <t xml:space="preserve"> مسجد الشهداء .</t>
  </si>
  <si>
    <t>KFM2120660272831</t>
  </si>
  <si>
    <t xml:space="preserve">   ادارة الا وقاف مسجد التراضي .</t>
  </si>
  <si>
    <t>KFM2120660245992</t>
  </si>
  <si>
    <t xml:space="preserve">   اوقاف الخرج - مسجدابراهيم الصغير .</t>
  </si>
  <si>
    <t>KFM2120660245969</t>
  </si>
  <si>
    <t xml:space="preserve">      اوقاف الدواسر/مسجد مباركحمدجا .</t>
  </si>
  <si>
    <t>KFM2020660174600</t>
  </si>
  <si>
    <t xml:space="preserve">   اوقاف الخرج /  مسجد حلة المحاسنه .</t>
  </si>
  <si>
    <t>KFM2020660174637</t>
  </si>
  <si>
    <t xml:space="preserve">   مسجد الأبرار .</t>
  </si>
  <si>
    <t>KFM2020660137753</t>
  </si>
  <si>
    <t xml:space="preserve">      مسجد جامع حى الرفاع .</t>
  </si>
  <si>
    <t>KFM2020660207897</t>
  </si>
  <si>
    <t xml:space="preserve">   اوقاف الخرج / مسجد ال هتلان .</t>
  </si>
  <si>
    <t>KFM2020660207867</t>
  </si>
  <si>
    <t xml:space="preserve">      مسجد/محمد بن صالح العقيل .</t>
  </si>
  <si>
    <t>KFM2020660177762</t>
  </si>
  <si>
    <t xml:space="preserve">      مسجد / صالح الحسن .</t>
  </si>
  <si>
    <t>KFM2120660264320</t>
  </si>
  <si>
    <t xml:space="preserve">   مسجد      فرج       ابو سنيه .</t>
  </si>
  <si>
    <t>KFM2020760204251</t>
  </si>
  <si>
    <t xml:space="preserve">   مسجد/محمد بن        عبدالوهاب .</t>
  </si>
  <si>
    <t>KFM2120660271543</t>
  </si>
  <si>
    <t xml:space="preserve"> مسجد الشيخ / عبدالعزيز بن باز .</t>
  </si>
  <si>
    <t>KFM2020660223929</t>
  </si>
  <si>
    <t xml:space="preserve">   مسجد صالح الخشان .</t>
  </si>
  <si>
    <t>KFM2020660177795</t>
  </si>
  <si>
    <t>KFM2020660211778</t>
  </si>
  <si>
    <t xml:space="preserve">   مسجد/ تميم الداري .</t>
  </si>
  <si>
    <t>KFM2120660249793</t>
  </si>
  <si>
    <t xml:space="preserve">   مسجد/ معاويه بن ابي سفيان .</t>
  </si>
  <si>
    <t>KFM2120660260583</t>
  </si>
  <si>
    <t xml:space="preserve">   مسجدالمخطط(1)/اوقاف الدواسر .</t>
  </si>
  <si>
    <t>KFM2020760052883</t>
  </si>
  <si>
    <t xml:space="preserve">   أدارةالا وقاف(مسجد جامع الخرفه  ) .</t>
  </si>
  <si>
    <t>KFM2020660176109</t>
  </si>
  <si>
    <t>KFM2020660212601</t>
  </si>
  <si>
    <t xml:space="preserve">      اوقاف الدواسر/مسجد متعب .</t>
  </si>
  <si>
    <t>KFM2020660206085</t>
  </si>
  <si>
    <t>AEC2020830024523</t>
  </si>
  <si>
    <t>KFM2020660211807</t>
  </si>
  <si>
    <t>KFM2020660212775</t>
  </si>
  <si>
    <t xml:space="preserve">   مسجد جامع الزهره .</t>
  </si>
  <si>
    <t>KFM2120660272295</t>
  </si>
  <si>
    <t>KFM2120660263435</t>
  </si>
  <si>
    <t xml:space="preserve">      مسجد حى الفيصليه .</t>
  </si>
  <si>
    <t>KFM2020660231520</t>
  </si>
  <si>
    <t xml:space="preserve">   مسجد      عبدالله   ال صقر .</t>
  </si>
  <si>
    <t>KFM2020660176030</t>
  </si>
  <si>
    <t xml:space="preserve">   مسجد / عبدالعزيز اليمني .</t>
  </si>
  <si>
    <t>KFM2120660245967</t>
  </si>
  <si>
    <t xml:space="preserve">   أوقاف و مساجدالسليل/ مسجد الرقة .</t>
  </si>
  <si>
    <t>KFM2120660270771</t>
  </si>
  <si>
    <t xml:space="preserve">   اوقاف الخرج/ مسجدسعيدعامرالجمحي .</t>
  </si>
  <si>
    <t>KFM2020660211777</t>
  </si>
  <si>
    <t xml:space="preserve"> اوقاف الخرج/مسجدعبدالله صالح العسكر .</t>
  </si>
  <si>
    <t>KFM2020660230150</t>
  </si>
  <si>
    <t xml:space="preserve">   مسجد /حي ال برزان .</t>
  </si>
  <si>
    <t>AEC2020830311436</t>
  </si>
  <si>
    <t>KFM2020660210977</t>
  </si>
  <si>
    <t xml:space="preserve">     مسجدالجامع الكبير .</t>
  </si>
  <si>
    <t>KFM2120660270881</t>
  </si>
  <si>
    <t>KFM2020660212433</t>
  </si>
  <si>
    <t xml:space="preserve">   مسجد محطة فالح فهيدعايض .</t>
  </si>
  <si>
    <t>AES2020896469318</t>
  </si>
  <si>
    <t xml:space="preserve">   مسجدعمر بن الخطاب/اوقاف الدواسر .</t>
  </si>
  <si>
    <t>MMF2420601015880</t>
  </si>
  <si>
    <t>KFM2020760220647</t>
  </si>
  <si>
    <t>MMF2020800319402</t>
  </si>
  <si>
    <t>KFM2020660206130</t>
  </si>
  <si>
    <t xml:space="preserve">      اوقاف الدواسر/مسجد بن جماهر .</t>
  </si>
  <si>
    <t>KFM2020660206215</t>
  </si>
  <si>
    <t xml:space="preserve">   جامع يوسف على العمرى .</t>
  </si>
  <si>
    <t>KFM2020660230850</t>
  </si>
  <si>
    <t xml:space="preserve">   جامع الملك فهد .</t>
  </si>
  <si>
    <t>KFM2120660260690</t>
  </si>
  <si>
    <t xml:space="preserve"> مسجد مصعب بن عمير الا وقاف والمساجد .</t>
  </si>
  <si>
    <t>KFM2020660176099</t>
  </si>
  <si>
    <t>AES2020896464182</t>
  </si>
  <si>
    <t xml:space="preserve">   مسجد الكريس  رقم (1) .</t>
  </si>
  <si>
    <t>KFM2020660230802</t>
  </si>
  <si>
    <t xml:space="preserve">   مسجد   محمد مبارك الفرج .</t>
  </si>
  <si>
    <t>KFM2020660230856</t>
  </si>
  <si>
    <t xml:space="preserve">   مسجد / عائشه بنت الصديق .</t>
  </si>
  <si>
    <t>KFM2020660230227</t>
  </si>
  <si>
    <t xml:space="preserve">   مسجد تجمع حي النهضة .</t>
  </si>
  <si>
    <t>KFM2120660247687</t>
  </si>
  <si>
    <t>KFM2120660256214</t>
  </si>
  <si>
    <t>مسجد محطة السلام .</t>
  </si>
  <si>
    <t>MMF2020800299662</t>
  </si>
  <si>
    <t xml:space="preserve">   مسجد/ سمره بن جندب .</t>
  </si>
  <si>
    <t>KFM2020660230167</t>
  </si>
  <si>
    <t xml:space="preserve">   مسجد حى السلام .</t>
  </si>
  <si>
    <t>KFM2020660177924</t>
  </si>
  <si>
    <t xml:space="preserve">   جامع العز بن        عبدالسلام .</t>
  </si>
  <si>
    <t>KFM2120660246007</t>
  </si>
  <si>
    <t>AEC2020830275655</t>
  </si>
  <si>
    <t>MMF2020800311288</t>
  </si>
  <si>
    <t xml:space="preserve">   مسجد حي المطار .</t>
  </si>
  <si>
    <t>ECC2020810834367</t>
  </si>
  <si>
    <t>KFM2120660256744</t>
  </si>
  <si>
    <t xml:space="preserve">   اوقاف الدواسر/ جامع بهجه .</t>
  </si>
  <si>
    <t>KFM2020660212751</t>
  </si>
  <si>
    <t>MMF2020800310729</t>
  </si>
  <si>
    <t xml:space="preserve">   مسجد مران ناشرالاوقاف والارشاد .</t>
  </si>
  <si>
    <t>AEC2020830176095</t>
  </si>
  <si>
    <t>KFM2020760001596</t>
  </si>
  <si>
    <t xml:space="preserve">   مسجد / خالد القسري (حي الريان) .</t>
  </si>
  <si>
    <t>MMF2020800309389</t>
  </si>
  <si>
    <t>KFM2020760053071</t>
  </si>
  <si>
    <t>SMR2220661011051</t>
  </si>
  <si>
    <t>مسجد ابن خلدون .</t>
  </si>
  <si>
    <t>KFM2020760204108</t>
  </si>
  <si>
    <t xml:space="preserve">   مسجد الامام الذهبي .</t>
  </si>
  <si>
    <t>KFM2120660257182</t>
  </si>
  <si>
    <t xml:space="preserve"> وزارةالحجوألاوقافمسجدألاماممحمدبنسعود .</t>
  </si>
  <si>
    <t>KFM2020660170207</t>
  </si>
  <si>
    <t>KFM2020660176176</t>
  </si>
  <si>
    <t>ﺃﻭﻗﺎﻑ ﻭﻤﺴﺎﺠﺩ ﺍﻟﻗﻭﻴﻌﻴﻩ .</t>
  </si>
  <si>
    <t>AES2020896523426</t>
  </si>
  <si>
    <t xml:space="preserve">   مسجد جامع الصفيه .</t>
  </si>
  <si>
    <t>KFM2020660234461</t>
  </si>
  <si>
    <t xml:space="preserve">   مسجد      جامع      . .</t>
  </si>
  <si>
    <t>KFM2120660271507</t>
  </si>
  <si>
    <t xml:space="preserve">   مسجد ذو النورين .</t>
  </si>
  <si>
    <t>KFM2120660260565</t>
  </si>
  <si>
    <t xml:space="preserve">      مسجد الجامع الكبير .</t>
  </si>
  <si>
    <t>KFM2020660170441</t>
  </si>
  <si>
    <t xml:space="preserve">   مسجدبن كهف /اوقاف الدواسر .</t>
  </si>
  <si>
    <t>MMF2020800259580</t>
  </si>
  <si>
    <t xml:space="preserve">      مسجد آل حشان .</t>
  </si>
  <si>
    <t>KFM2020660177741</t>
  </si>
  <si>
    <t xml:space="preserve">   ادارة     الأوقاف    مسجد حسان بن .</t>
  </si>
  <si>
    <t>KFM2120660271512</t>
  </si>
  <si>
    <t xml:space="preserve">    مسجدالشيخ/عبدالعزيز بن باز .</t>
  </si>
  <si>
    <t>MMF2020800219175</t>
  </si>
  <si>
    <t xml:space="preserve">   اوقاف الخرج/ مسجد علي الوابل .</t>
  </si>
  <si>
    <t>KFM2020660230136</t>
  </si>
  <si>
    <t>جامع حي الشرف بالحنيه /اوقاف الخرج .</t>
  </si>
  <si>
    <t>KFM2020660176064</t>
  </si>
  <si>
    <t xml:space="preserve">   ادارةاوقاف(مسجد جنوب الخزان جديد .</t>
  </si>
  <si>
    <t>KFM2020660165159</t>
  </si>
  <si>
    <t xml:space="preserve">   اوقاف الدواسر/جامع سوق النويعمة .</t>
  </si>
  <si>
    <t>KFM2020660174594</t>
  </si>
  <si>
    <t xml:space="preserve">               منزل امام وخطيب جامع .</t>
  </si>
  <si>
    <t>MMF2020800301261</t>
  </si>
  <si>
    <t>KFM2020660206129</t>
  </si>
  <si>
    <t>ECC2020810917709</t>
  </si>
  <si>
    <t>MMF2020800299650</t>
  </si>
  <si>
    <t xml:space="preserve">   ادارة الاوقاف - جامع الراشدية .</t>
  </si>
  <si>
    <t>KFM2120660246032</t>
  </si>
  <si>
    <t xml:space="preserve">      جامع كمدا/اوقاف الدواسر .</t>
  </si>
  <si>
    <t>KFM2120660247622</t>
  </si>
  <si>
    <t>SMR2220661003239</t>
  </si>
  <si>
    <t xml:space="preserve">   اوقاف الدواسر/ جامع ال ناهش .</t>
  </si>
  <si>
    <t>KFM2020660174684</t>
  </si>
  <si>
    <t xml:space="preserve">   جامع   خيران .</t>
  </si>
  <si>
    <t>KFM2120660263423</t>
  </si>
  <si>
    <t xml:space="preserve">   مسجد جامع السلميه .</t>
  </si>
  <si>
    <t>KFM2020660202728</t>
  </si>
  <si>
    <t>KFM2020660212921</t>
  </si>
  <si>
    <t>SMR2220661004489</t>
  </si>
  <si>
    <t xml:space="preserve">   الموسسه العامه للصناعات الحرب .</t>
  </si>
  <si>
    <t>KFM2020760001442</t>
  </si>
  <si>
    <t xml:space="preserve">   مسجد اسامه بن زيد .</t>
  </si>
  <si>
    <t>KFM2020660177857</t>
  </si>
  <si>
    <t>KFM2020760053027</t>
  </si>
  <si>
    <t xml:space="preserve">      جامع سويدان .</t>
  </si>
  <si>
    <t>KFM2120660302747</t>
  </si>
  <si>
    <t xml:space="preserve">   مسجد / سعيد بن المسيب .</t>
  </si>
  <si>
    <t>KFM2120660270820</t>
  </si>
  <si>
    <t xml:space="preserve">   مسجد      بن تيمية  الجديدة .</t>
  </si>
  <si>
    <t>KFM2020660177749</t>
  </si>
  <si>
    <t>KFM2020660230142</t>
  </si>
  <si>
    <t xml:space="preserve">   اوقاف الخرج --مسجدعبدالله جعوني .</t>
  </si>
  <si>
    <t>KFM2020660231430</t>
  </si>
  <si>
    <t>KFM2020660212408</t>
  </si>
  <si>
    <t>KFM2120660273253</t>
  </si>
  <si>
    <t xml:space="preserve">   مسجدجامعحراضه .</t>
  </si>
  <si>
    <t>MMF2420701008287</t>
  </si>
  <si>
    <t xml:space="preserve">   اوقاف الدلم /مسجد ال مترك .</t>
  </si>
  <si>
    <t>KFM2020760220596</t>
  </si>
  <si>
    <t xml:space="preserve">   جامع الساحبه ببرك .</t>
  </si>
  <si>
    <t>KFM2020660193202</t>
  </si>
  <si>
    <t>KFM2020660205842</t>
  </si>
  <si>
    <t xml:space="preserve">   مسجدمحطةال سلطان .</t>
  </si>
  <si>
    <t>KFM2020660174674</t>
  </si>
  <si>
    <t xml:space="preserve">      مسجد  الفيصليه .</t>
  </si>
  <si>
    <t>KFM2020660230766</t>
  </si>
  <si>
    <t>SMR2320761026409</t>
  </si>
  <si>
    <t xml:space="preserve">   مسجد/ سعيد بن زيد .</t>
  </si>
  <si>
    <t>KFM2120660273268</t>
  </si>
  <si>
    <t xml:space="preserve">   مسجد حى الروضه .</t>
  </si>
  <si>
    <t>KFM2020660211786</t>
  </si>
  <si>
    <t>KFM2020660210990</t>
  </si>
  <si>
    <t xml:space="preserve">   جامع السهباء .</t>
  </si>
  <si>
    <t>KFM2020660230893</t>
  </si>
  <si>
    <t xml:space="preserve">   اوقاف الخرج / مسجد ال هيف .</t>
  </si>
  <si>
    <t>KFM2020660205792</t>
  </si>
  <si>
    <t xml:space="preserve">      مسجد/حسن عبدالهادى .</t>
  </si>
  <si>
    <t>MMF2020800219033</t>
  </si>
  <si>
    <t xml:space="preserve">   مسجد عبدالله بن عمر .</t>
  </si>
  <si>
    <t>KFM2020660208013</t>
  </si>
  <si>
    <t xml:space="preserve">   ادارة     الأوقاف    مسجد الصلا لي .</t>
  </si>
  <si>
    <t>MMF2020800259538</t>
  </si>
  <si>
    <t xml:space="preserve">   مسجد/ منيره عبدالله القعود .</t>
  </si>
  <si>
    <t>KFM2020660210976</t>
  </si>
  <si>
    <t>KFM2020760202469</t>
  </si>
  <si>
    <t>لمساجدوالدعوه الا رشاد بالا فل .</t>
  </si>
  <si>
    <t>KFM2020660176173</t>
  </si>
  <si>
    <t>SMR2220661004402</t>
  </si>
  <si>
    <t xml:space="preserve">   مسجد عمربن عبدالعزيز .</t>
  </si>
  <si>
    <t>KFM2120660263478</t>
  </si>
  <si>
    <t xml:space="preserve">   مسجدالشيخ صالح ال ع ال الشيخ .</t>
  </si>
  <si>
    <t>KFM2120660292713</t>
  </si>
  <si>
    <t>SMR2320761024338</t>
  </si>
  <si>
    <t xml:space="preserve">   مسجد / عبدالرحمن القاسم .</t>
  </si>
  <si>
    <t>KFM2020660233577</t>
  </si>
  <si>
    <t xml:space="preserve">   مسجد ابى ايوب الانصارى .</t>
  </si>
  <si>
    <t>KFM2020660212211</t>
  </si>
  <si>
    <t xml:space="preserve">   مسجدجامع  المرشد .</t>
  </si>
  <si>
    <t>KFM2020660234569</t>
  </si>
  <si>
    <t xml:space="preserve">    الا وقاف ولمساجد(مسجدالهيصميه..) .</t>
  </si>
  <si>
    <t>AES2020896073609</t>
  </si>
  <si>
    <t xml:space="preserve">   مسجد حله العبتان .</t>
  </si>
  <si>
    <t>KFM2020660204237</t>
  </si>
  <si>
    <t>KFM2020660212769</t>
  </si>
  <si>
    <t xml:space="preserve">   مسجد / آل وافي .</t>
  </si>
  <si>
    <t>KFM2120660247559</t>
  </si>
  <si>
    <t xml:space="preserve">   اوقاف الخرج /مسجد الشوكاني .</t>
  </si>
  <si>
    <t>KFM2020660231486</t>
  </si>
  <si>
    <t xml:space="preserve">    مسجد جامع ال حنيش /اوقاف السليل .</t>
  </si>
  <si>
    <t>KFM2120660271463</t>
  </si>
  <si>
    <t>SMR2220661019351</t>
  </si>
  <si>
    <t>KFM2120660263441</t>
  </si>
  <si>
    <t xml:space="preserve">   مسجد مترك بن نفل /اوقاف الدواسر .</t>
  </si>
  <si>
    <t>AEC2020830323574</t>
  </si>
  <si>
    <t xml:space="preserve">   اوقاف الخرج/مسجد حى العدامه .</t>
  </si>
  <si>
    <t>KFM2120660245966</t>
  </si>
  <si>
    <t>KFM2020760018052</t>
  </si>
  <si>
    <t xml:space="preserve">   اوقاف الخرج / مسجد حي الزاهر .</t>
  </si>
  <si>
    <t>KFM2020660230162</t>
  </si>
  <si>
    <t xml:space="preserve">   أوقاف السليل / مسجد رقم 7 .</t>
  </si>
  <si>
    <t>KFM2120660271539</t>
  </si>
  <si>
    <t xml:space="preserve">   الاوقاف مسجدمسلم حفيظ هجرةالثليما .</t>
  </si>
  <si>
    <t>ECC2020811041636</t>
  </si>
  <si>
    <t xml:space="preserve">   اوقاف الخرج/ مسجد الندى .</t>
  </si>
  <si>
    <t>KFM2120660264298</t>
  </si>
  <si>
    <t>SMR2220661004277</t>
  </si>
  <si>
    <t xml:space="preserve">   جامع الا مام القرطبي .</t>
  </si>
  <si>
    <t>KFM2020660207924</t>
  </si>
  <si>
    <t xml:space="preserve">      اوقاف الدواسر/مسجد ال وثيله .</t>
  </si>
  <si>
    <t>KFM2020760181897</t>
  </si>
  <si>
    <t>KFM2020760001525</t>
  </si>
  <si>
    <t xml:space="preserve">   ادارة     الأوقاف    مسجد محمد فه .</t>
  </si>
  <si>
    <t>AEC2020830311360</t>
  </si>
  <si>
    <t xml:space="preserve">   اوقاف الدلم/ جامع ال سعيدان .</t>
  </si>
  <si>
    <t>SMR2220661016836</t>
  </si>
  <si>
    <t xml:space="preserve">   مسجد بن كثير .</t>
  </si>
  <si>
    <t>KFM2020660170159</t>
  </si>
  <si>
    <t>KFM2020760006879</t>
  </si>
  <si>
    <t>KFM2020760176414</t>
  </si>
  <si>
    <t xml:space="preserve">     جامع الموقفه القبلي .</t>
  </si>
  <si>
    <t>KFM2020660166957</t>
  </si>
  <si>
    <t>KFM2020660223896</t>
  </si>
  <si>
    <t xml:space="preserve">  وزارةالحج والاوقاف/مسجدجامع آل طله .</t>
  </si>
  <si>
    <t>KFM2020766096124</t>
  </si>
  <si>
    <t xml:space="preserve">   الاوقاف والدعوةولارشادمسجدال راكان .</t>
  </si>
  <si>
    <t>KFM2020660206137</t>
  </si>
  <si>
    <t xml:space="preserve">   مسجد لؤلؤة منصور الرميح .</t>
  </si>
  <si>
    <t>KFM2020660210913</t>
  </si>
  <si>
    <t>SMR2220661004676</t>
  </si>
  <si>
    <t xml:space="preserve">   اوقاف الدواسر/مسجد تميم مترك .</t>
  </si>
  <si>
    <t>SMR2220661004530</t>
  </si>
  <si>
    <t xml:space="preserve">   مسجد / جامع الحسن البصري .</t>
  </si>
  <si>
    <t>KFM2020660228474</t>
  </si>
  <si>
    <t xml:space="preserve">   مسجد عائشة بنت أبي بكر .</t>
  </si>
  <si>
    <t>KFM2020660223959</t>
  </si>
  <si>
    <t xml:space="preserve">   جامع ال وديان الاوقاف والمساجد .</t>
  </si>
  <si>
    <t>KFM2020660206197</t>
  </si>
  <si>
    <t xml:space="preserve">      مسجد بدر حمود العماج .</t>
  </si>
  <si>
    <t>KFM2020660200921</t>
  </si>
  <si>
    <t>KFM2120660302795</t>
  </si>
  <si>
    <t xml:space="preserve">   اوقاف الدواسر - مسجد/جامع آلمفيز .</t>
  </si>
  <si>
    <t>KFM2020660206019</t>
  </si>
  <si>
    <t xml:space="preserve">      مسجد حى الدوائر .</t>
  </si>
  <si>
    <t>KFM2020660170237</t>
  </si>
  <si>
    <t xml:space="preserve">      المسجد الجامع .</t>
  </si>
  <si>
    <t>MMF2420601018393</t>
  </si>
  <si>
    <t xml:space="preserve">   الاوقاف / مسجدالامام الليث بن سعد .</t>
  </si>
  <si>
    <t>KFM2020660169726</t>
  </si>
  <si>
    <t xml:space="preserve">   مسجد المقداد بن الاسود .</t>
  </si>
  <si>
    <t>KFM2020660210989</t>
  </si>
  <si>
    <t xml:space="preserve">   اوقاف الدلم/ مسجد سعد الدريهم .</t>
  </si>
  <si>
    <t>KFM2020660169736</t>
  </si>
  <si>
    <t xml:space="preserve">   مسجد الفايزيه/ اوقاف الدواسر .</t>
  </si>
  <si>
    <t>KFM2120660259982</t>
  </si>
  <si>
    <t xml:space="preserve">   مسجد السبيعى .</t>
  </si>
  <si>
    <t>KFM2020660229231</t>
  </si>
  <si>
    <t xml:space="preserve">   ادارةاوقاف(مسجدالا مام مسلم حي ال .</t>
  </si>
  <si>
    <t>KFM2020660170209</t>
  </si>
  <si>
    <t xml:space="preserve">      اوقاف الدواسر/جامع الصالحيه .</t>
  </si>
  <si>
    <t>KFM2020660223651</t>
  </si>
  <si>
    <t>مسجد عبدالله عبدالعزيز العجالي .</t>
  </si>
  <si>
    <t>KFM2020660165157</t>
  </si>
  <si>
    <t xml:space="preserve">      مسجد جامع الصغو .</t>
  </si>
  <si>
    <t>KFM2120660252773</t>
  </si>
  <si>
    <t>KFM2020660193329</t>
  </si>
  <si>
    <t>KFM2020660174703</t>
  </si>
  <si>
    <t xml:space="preserve">      مسجد حى المساعره .</t>
  </si>
  <si>
    <t>KFM2020660203839</t>
  </si>
  <si>
    <t xml:space="preserve">   مسجد / عبدالعزيز الخنين .</t>
  </si>
  <si>
    <t>KFM2120660249819</t>
  </si>
  <si>
    <t xml:space="preserve">   اوقاف الخرج / مسجد عمر الحارثي .</t>
  </si>
  <si>
    <t>KFM2120660270849</t>
  </si>
  <si>
    <t xml:space="preserve">   مسجد      محمد      آل محيش .</t>
  </si>
  <si>
    <t>KFM2020660212721</t>
  </si>
  <si>
    <t>SMR2220761016943</t>
  </si>
  <si>
    <t xml:space="preserve">   اوقاف الدلم/مسجدخالدالغانم .</t>
  </si>
  <si>
    <t>KFM2120660249816</t>
  </si>
  <si>
    <t xml:space="preserve">   اوقاف الخرج / مسجد عبدالعزيزالشد .</t>
  </si>
  <si>
    <t>KFM2120660260570</t>
  </si>
  <si>
    <t xml:space="preserve">      مسجد السليمانيه .</t>
  </si>
  <si>
    <t>KFM2020660229216</t>
  </si>
  <si>
    <t>MMF2020800319405</t>
  </si>
  <si>
    <t>KFM2020760208694</t>
  </si>
  <si>
    <t xml:space="preserve">   مسجد الملك عبدالعزيز ال سعود .</t>
  </si>
  <si>
    <t>KFM2020660230849</t>
  </si>
  <si>
    <t>جامع الفيصلية .</t>
  </si>
  <si>
    <t>AEC2020830326015</t>
  </si>
  <si>
    <t>MMF2020800147746</t>
  </si>
  <si>
    <t xml:space="preserve">   ادارة     الاوقاف    شمال الخالدي .</t>
  </si>
  <si>
    <t>KFM2020766134705</t>
  </si>
  <si>
    <t>مسجد ام نايف عبدالله ابالحسن .</t>
  </si>
  <si>
    <t>KFM2020660170515</t>
  </si>
  <si>
    <t>AEC2020830242719</t>
  </si>
  <si>
    <t xml:space="preserve">   جامع الحسايه بالباطن .</t>
  </si>
  <si>
    <t>KFM2120660292726</t>
  </si>
  <si>
    <t xml:space="preserve">   اوقاف الخرج / مسجدحسين بن علي .</t>
  </si>
  <si>
    <t>KFM2120660270832</t>
  </si>
  <si>
    <t>KFM2020660230203</t>
  </si>
  <si>
    <t xml:space="preserve">      مسجد/حسين محمدالحسن .</t>
  </si>
  <si>
    <t>SMR2220661000522</t>
  </si>
  <si>
    <t>SMR2220661016885</t>
  </si>
  <si>
    <t>KFM2020760211305</t>
  </si>
  <si>
    <t xml:space="preserve">   مسجد موسى بن نصير .</t>
  </si>
  <si>
    <t>KFM2120660274609</t>
  </si>
  <si>
    <t xml:space="preserve">      اوقاف الدواسر/مسجد مران قويد .</t>
  </si>
  <si>
    <t>KFM2020660174657</t>
  </si>
  <si>
    <t xml:space="preserve">   مسجد مهدي ال رشيد .</t>
  </si>
  <si>
    <t>KFM2020660169669</t>
  </si>
  <si>
    <t>SMR2320661030827</t>
  </si>
  <si>
    <t xml:space="preserve">    اوقاف الدواسر/مسجد محمد بن علوش .</t>
  </si>
  <si>
    <t>KFM2120660247670</t>
  </si>
  <si>
    <t>KFM2020660169701</t>
  </si>
  <si>
    <t xml:space="preserve">   مسجد محماس الهدلاء .</t>
  </si>
  <si>
    <t>MMF2020800311315</t>
  </si>
  <si>
    <t>KFM2020660211850</t>
  </si>
  <si>
    <t xml:space="preserve">   اوقاف الخرج/مسجد الملك فيصل .</t>
  </si>
  <si>
    <t>KFM2120660260637</t>
  </si>
  <si>
    <t xml:space="preserve">     مسجد / فالح فهيد عايض .</t>
  </si>
  <si>
    <t>LYE2020810266527</t>
  </si>
  <si>
    <t xml:space="preserve">        مسجد المدينة ج الثاني .</t>
  </si>
  <si>
    <t>KFM2020660177745</t>
  </si>
  <si>
    <t>KFM2120660272869</t>
  </si>
  <si>
    <t xml:space="preserve">   مسجدالعيدبالعطيان .</t>
  </si>
  <si>
    <t>ECC2020811029060</t>
  </si>
  <si>
    <t xml:space="preserve">       جامع البصري .</t>
  </si>
  <si>
    <t>KFM2020660210948</t>
  </si>
  <si>
    <t>KFM2020660212802</t>
  </si>
  <si>
    <t xml:space="preserve">   مسجد      جامع      بالافلاج .</t>
  </si>
  <si>
    <t>KFM2120660252757</t>
  </si>
  <si>
    <t xml:space="preserve">   مسجد حي المنيفيه الجديد .</t>
  </si>
  <si>
    <t>KFM2020760229883</t>
  </si>
  <si>
    <t xml:space="preserve">   اوقاف الخرج / مسجد  بن عايش .</t>
  </si>
  <si>
    <t>KFM2020660193146</t>
  </si>
  <si>
    <t>KFM2020760206461</t>
  </si>
  <si>
    <t>مسجد المطران/عيد حضرم الحربى / مخلوع .</t>
  </si>
  <si>
    <t>SMR2220661004338</t>
  </si>
  <si>
    <t xml:space="preserve">   مسجد عبدالرحمن النفيعي .</t>
  </si>
  <si>
    <t>KFM2020660230217</t>
  </si>
  <si>
    <t xml:space="preserve">   مسجد ال جروان .</t>
  </si>
  <si>
    <t>KFM2020660206116</t>
  </si>
  <si>
    <t xml:space="preserve">   ادارةاوقافمسجد      بالافلاج .</t>
  </si>
  <si>
    <t>KFM2020766000952</t>
  </si>
  <si>
    <t>MMF2020800259425</t>
  </si>
  <si>
    <t xml:space="preserve">   اوقاف الخرج --مسجد حمد بن ظبان .</t>
  </si>
  <si>
    <t>KFM2020660212871</t>
  </si>
  <si>
    <t>KFM2020660212795</t>
  </si>
  <si>
    <t xml:space="preserve">   اوقاف الخرج /مسجد رياض الصالحين .</t>
  </si>
  <si>
    <t>KFM2120660249939</t>
  </si>
  <si>
    <t xml:space="preserve">   مسجدالبديعهبالبديع .</t>
  </si>
  <si>
    <t>KFM2020766167875</t>
  </si>
  <si>
    <t>KFM2020660223663</t>
  </si>
  <si>
    <t xml:space="preserve">      اوقاف الدواسر/جامع الخماسين .</t>
  </si>
  <si>
    <t>KFM2020660177858</t>
  </si>
  <si>
    <t xml:space="preserve">      مسجد/عباده بن الصامت .</t>
  </si>
  <si>
    <t>KFM2020660228569</t>
  </si>
  <si>
    <t xml:space="preserve">   مسجد الخالدية .</t>
  </si>
  <si>
    <t>SMR2220661011067</t>
  </si>
  <si>
    <t xml:space="preserve">   جامع الا مام مالك بن انس .</t>
  </si>
  <si>
    <t>KFM2020660172281</t>
  </si>
  <si>
    <t xml:space="preserve">   ادارة     الأوقاف    مسجد آل جنبا .</t>
  </si>
  <si>
    <t>ECC2020820004726</t>
  </si>
  <si>
    <t>MMF2020800259524</t>
  </si>
  <si>
    <t>KFM2020660230857</t>
  </si>
  <si>
    <t xml:space="preserve">   جامع ماوان .</t>
  </si>
  <si>
    <t>KFM2120660249856</t>
  </si>
  <si>
    <t xml:space="preserve">   مسجد ال صفيان/اوقاف السليل .</t>
  </si>
  <si>
    <t>KFM2120660263527</t>
  </si>
  <si>
    <t xml:space="preserve">      مسجد/محسن بن ماضى العرجانى .</t>
  </si>
  <si>
    <t>MMF2020800219042</t>
  </si>
  <si>
    <t xml:space="preserve">      جامع الزير .</t>
  </si>
  <si>
    <t>SMR2020765000191</t>
  </si>
  <si>
    <t xml:space="preserve">   مسجد/ عبدالعزيز الجريوي .</t>
  </si>
  <si>
    <t>KFM2020660196017</t>
  </si>
  <si>
    <t xml:space="preserve">   مســجد مليـحه .</t>
  </si>
  <si>
    <t>KFM2020660212376</t>
  </si>
  <si>
    <t>DZG2020890012868</t>
  </si>
  <si>
    <t>KFM2020660195485</t>
  </si>
  <si>
    <t>KFM2120660257162</t>
  </si>
  <si>
    <t>دارةالاوقاف(مسجدحي الملك فهد117) .</t>
  </si>
  <si>
    <t>KFM2020766111069</t>
  </si>
  <si>
    <t xml:space="preserve">     مسجد ال معجب .</t>
  </si>
  <si>
    <t>KFM2020766121799</t>
  </si>
  <si>
    <t>KFM2020760229979</t>
  </si>
  <si>
    <t xml:space="preserve">   اوقاف الدواسر/مسجد مريس  دعيكان .</t>
  </si>
  <si>
    <t>KFM2020660206050</t>
  </si>
  <si>
    <t>KFM2020660195873</t>
  </si>
  <si>
    <t xml:space="preserve">   الحج والاوقاف مسجدال سويدان .</t>
  </si>
  <si>
    <t>AEC2020830311383</t>
  </si>
  <si>
    <t xml:space="preserve">      مسجد العيون /عبداللهالسحيبانى .</t>
  </si>
  <si>
    <t>MMF2020800218822</t>
  </si>
  <si>
    <t>مسجد سكن العمال ببلدية محافظة الدلم .</t>
  </si>
  <si>
    <t>KFM2120660260549</t>
  </si>
  <si>
    <t xml:space="preserve">   مسجد      المقابلة  بالخرج .</t>
  </si>
  <si>
    <t>KFM2020660228349</t>
  </si>
  <si>
    <t>مسجد نوره ساير الحربي بحي الهد .</t>
  </si>
  <si>
    <t>KFM2120660246012</t>
  </si>
  <si>
    <t xml:space="preserve">   مسجد حى السعوديه .</t>
  </si>
  <si>
    <t>KFM2120660260519</t>
  </si>
  <si>
    <t xml:space="preserve">    مسجدطارقبنزياد/ادارةالا وقاف .</t>
  </si>
  <si>
    <t>KFM2020660170941</t>
  </si>
  <si>
    <t xml:space="preserve">   مسجد/ محمع الاميرسلمان-اسكان خيري .</t>
  </si>
  <si>
    <t>KFM2120660274742</t>
  </si>
  <si>
    <t xml:space="preserve">   مسجد/محمدناصرتميم .</t>
  </si>
  <si>
    <t>KFM2020660205978</t>
  </si>
  <si>
    <t xml:space="preserve">   مسجد العيدبالحلوة .</t>
  </si>
  <si>
    <t>AES2020896436414</t>
  </si>
  <si>
    <t>KFM2020660223578</t>
  </si>
  <si>
    <t xml:space="preserve">   مسجد عبادةبن الصامت مخطط 384 .</t>
  </si>
  <si>
    <t>KFM2120660270870</t>
  </si>
  <si>
    <t xml:space="preserve">   اوقاف الخرج/مسجدالنابيه .</t>
  </si>
  <si>
    <t>KFM2020660210920</t>
  </si>
  <si>
    <t xml:space="preserve">   مسجد الرفيعة بحي العزيزية .</t>
  </si>
  <si>
    <t>KFM2120660264221</t>
  </si>
  <si>
    <t xml:space="preserve">      مسجد البره .</t>
  </si>
  <si>
    <t>KFM2020760076369</t>
  </si>
  <si>
    <t xml:space="preserve"> مسجد علي زيد ابو حيد .</t>
  </si>
  <si>
    <t>KFM2020760229890</t>
  </si>
  <si>
    <t xml:space="preserve">   مسجدالخالدية- الاوقاف .</t>
  </si>
  <si>
    <t>KFM2020660174599</t>
  </si>
  <si>
    <t xml:space="preserve">   مسجد/عبدالله بن عباس .</t>
  </si>
  <si>
    <t>KFM2120660260654</t>
  </si>
  <si>
    <t xml:space="preserve"> الحج والاوقافـ/مسجد استراحه الخالديه .</t>
  </si>
  <si>
    <t>KFM2020760208220</t>
  </si>
  <si>
    <t xml:space="preserve">   أوقاف     ومساجد    مسجد المعيوف .</t>
  </si>
  <si>
    <t>KFM2120660271508</t>
  </si>
  <si>
    <t xml:space="preserve">   مسجد بلال بن رباح .</t>
  </si>
  <si>
    <t>KFM2020660170105</t>
  </si>
  <si>
    <t xml:space="preserve">      مسجد جامع بنعرفج .</t>
  </si>
  <si>
    <t>KFM2020660165224</t>
  </si>
  <si>
    <t xml:space="preserve">   مسجد حي العمائرالشمالي .</t>
  </si>
  <si>
    <t>AES2120896559022</t>
  </si>
  <si>
    <t xml:space="preserve">   مسجد الرمضةبالجوبة .</t>
  </si>
  <si>
    <t>KFM2120660247567</t>
  </si>
  <si>
    <t xml:space="preserve">   مسجد/حى العمور .</t>
  </si>
  <si>
    <t>KFM2020660177656</t>
  </si>
  <si>
    <t xml:space="preserve">      ادارة الأوقاف والمساجد بالحريق .</t>
  </si>
  <si>
    <t>AES2320896641508</t>
  </si>
  <si>
    <t xml:space="preserve">   مسجد حمزة .</t>
  </si>
  <si>
    <t>MMF2020800259403</t>
  </si>
  <si>
    <t xml:space="preserve">      اوقاف الدواسر/ جامع اللدام .</t>
  </si>
  <si>
    <t>KFM2020660176056</t>
  </si>
  <si>
    <t xml:space="preserve">   مسجد ال نابى/ اوقاف الدواسر .</t>
  </si>
  <si>
    <t>KFM2120660272267</t>
  </si>
  <si>
    <t>ECC2320831067324</t>
  </si>
  <si>
    <t xml:space="preserve">   ادارةالا وقاف(مسجد شرق الخزان ..) .</t>
  </si>
  <si>
    <t>KFM2020660223633</t>
  </si>
  <si>
    <t>SMR2420768001826</t>
  </si>
  <si>
    <t xml:space="preserve">      مسجد الملك فيصل .</t>
  </si>
  <si>
    <t>KFM2020760012259</t>
  </si>
  <si>
    <t xml:space="preserve">   جامع الفاروق .</t>
  </si>
  <si>
    <t>KFM2120660260563</t>
  </si>
  <si>
    <t xml:space="preserve">      مسجد اهل البئر .</t>
  </si>
  <si>
    <t>KFM2020660212460</t>
  </si>
  <si>
    <t xml:space="preserve">   مسجدالحزم الشمالي/اوقاف السليل .</t>
  </si>
  <si>
    <t>AES2020896081730</t>
  </si>
  <si>
    <t xml:space="preserve">   مسجد حديقه البلديه .</t>
  </si>
  <si>
    <t>KFM2120660246100</t>
  </si>
  <si>
    <t>MMF2020800321321</t>
  </si>
  <si>
    <t>مسجد شجاع مبارك .</t>
  </si>
  <si>
    <t>KFM2120660256277</t>
  </si>
  <si>
    <t xml:space="preserve">   مسجد/مبارك الغيمه .</t>
  </si>
  <si>
    <t>KFM2020660169706</t>
  </si>
  <si>
    <t xml:space="preserve">     مسجد حي الفيصليه -صهيب الرومي- .</t>
  </si>
  <si>
    <t>KFM2020660229287</t>
  </si>
  <si>
    <t>مساجد السليل .</t>
  </si>
  <si>
    <t>KFM2120660270755</t>
  </si>
  <si>
    <t xml:space="preserve">   ادارة     الأوقاف    مسجد جنبان ف .</t>
  </si>
  <si>
    <t>KFM2020660205941</t>
  </si>
  <si>
    <t>KFM2120660245978</t>
  </si>
  <si>
    <t>SMR2320761031123</t>
  </si>
  <si>
    <t xml:space="preserve">   مسجد العين الحارةالحج والاوقاف .</t>
  </si>
  <si>
    <t>AEC2020830241230</t>
  </si>
  <si>
    <t xml:space="preserve">    اوقاف السليل / مسجدابن تيميه .</t>
  </si>
  <si>
    <t>KFM2020766165238</t>
  </si>
  <si>
    <t xml:space="preserve">   مسـجد الحي الأخضــر .</t>
  </si>
  <si>
    <t>KFM2020660210912</t>
  </si>
  <si>
    <t xml:space="preserve">   مسجد عيد مفوز الشمرى .</t>
  </si>
  <si>
    <t>KFM2020660177798</t>
  </si>
  <si>
    <t>AES2020896363275</t>
  </si>
  <si>
    <t xml:space="preserve">   اوقاف السليل / مسجد رقم 8 .</t>
  </si>
  <si>
    <t>KFM2020766165863</t>
  </si>
  <si>
    <t>KFM2020760211328</t>
  </si>
  <si>
    <t xml:space="preserve">      مسجد الحله بالعزيزيه .</t>
  </si>
  <si>
    <t>KFM2020760009879</t>
  </si>
  <si>
    <t>KFM2020760006757</t>
  </si>
  <si>
    <t xml:space="preserve">   جامع العزيزيةادارةالاوقاف بالخرج .</t>
  </si>
  <si>
    <t>KFM2020660229240</t>
  </si>
  <si>
    <t xml:space="preserve">   اوقاف الدواسر/مسجد الرفاع .</t>
  </si>
  <si>
    <t>KFM2020760220646</t>
  </si>
  <si>
    <t>KFM2120660295413</t>
  </si>
  <si>
    <t>KFM2020760214512</t>
  </si>
  <si>
    <t xml:space="preserve">   مسجد      سعد       الحطيم .</t>
  </si>
  <si>
    <t>KFM2020660177650</t>
  </si>
  <si>
    <t xml:space="preserve">   ادارةالاوقاف(مسجد متعب بالبديع ش) .</t>
  </si>
  <si>
    <t>AES2120896542792</t>
  </si>
  <si>
    <t xml:space="preserve">   مسجد/ هادي محمد شتين الدوسري .</t>
  </si>
  <si>
    <t>KFM2020660230779</t>
  </si>
  <si>
    <t>MMF2020800307864</t>
  </si>
  <si>
    <t xml:space="preserve">   ادارة     الأوقاف    مسجد الجوهرة .</t>
  </si>
  <si>
    <t>KFM2020660206255</t>
  </si>
  <si>
    <t xml:space="preserve">   مسجد الامام النووي .</t>
  </si>
  <si>
    <t>KFM2120660270799</t>
  </si>
  <si>
    <t xml:space="preserve">      مسجد العزيزيه .</t>
  </si>
  <si>
    <t>KFM2020760200687</t>
  </si>
  <si>
    <t xml:space="preserve">   اوقاف الدلم / مسجد الخزامي .</t>
  </si>
  <si>
    <t>KFM2120660249823</t>
  </si>
  <si>
    <t xml:space="preserve">   مسجد/محمد عبدالله آل ذيب الدوسري .</t>
  </si>
  <si>
    <t>KFM2020760211546</t>
  </si>
  <si>
    <t xml:space="preserve">      جامع الوداعين بالهدار .</t>
  </si>
  <si>
    <t>SMR2220661016890</t>
  </si>
  <si>
    <t xml:space="preserve">     مـسـجـد الجزع (اوقاف القويعيه) .</t>
  </si>
  <si>
    <t>AES2020896468011</t>
  </si>
  <si>
    <t>الرين</t>
  </si>
  <si>
    <t xml:space="preserve">   مسجد المالحه .</t>
  </si>
  <si>
    <t>AES2020896325079</t>
  </si>
  <si>
    <t>القويعية</t>
  </si>
  <si>
    <t xml:space="preserve">   اوقاف المزاحميه مسجدالنوربتبراك .</t>
  </si>
  <si>
    <t>AES2020896459812</t>
  </si>
  <si>
    <t xml:space="preserve">   مسجد      مطلق      الصالحي .</t>
  </si>
  <si>
    <t>AES2020896446239</t>
  </si>
  <si>
    <t>الدوادمي</t>
  </si>
  <si>
    <t xml:space="preserve">   مسجد/عمربن الخطاب/ الاوقاف .</t>
  </si>
  <si>
    <t>AES2120896610676</t>
  </si>
  <si>
    <t xml:space="preserve">   اوقاف الحصاة/مسجدمخطط وادي الركا .</t>
  </si>
  <si>
    <t>AES2120896536265</t>
  </si>
  <si>
    <t xml:space="preserve">      مسجد ضاوى عسكر الغنامى .</t>
  </si>
  <si>
    <t>AES2120896608943</t>
  </si>
  <si>
    <t>عفيف</t>
  </si>
  <si>
    <t>SMR2220661005983</t>
  </si>
  <si>
    <t xml:space="preserve">   مسجد الراجحي .</t>
  </si>
  <si>
    <t>KFM2020660172466</t>
  </si>
  <si>
    <t xml:space="preserve">   مسجد      فرعة      بالحصاة .</t>
  </si>
  <si>
    <t>KFM2120660301699</t>
  </si>
  <si>
    <t xml:space="preserve">      جامع سوق  طحى .</t>
  </si>
  <si>
    <t>SMR2220661011880</t>
  </si>
  <si>
    <t xml:space="preserve">      مسجد البيز .</t>
  </si>
  <si>
    <t>AES2120896544402</t>
  </si>
  <si>
    <t>أوقاف ومساجد القويعيه .</t>
  </si>
  <si>
    <t>KFM2020660167711</t>
  </si>
  <si>
    <t xml:space="preserve">   مسجد/ضيف الله مسحل الحزيمي .</t>
  </si>
  <si>
    <t>AES2120896585560</t>
  </si>
  <si>
    <t>حمد عبدالله الدوسري .</t>
  </si>
  <si>
    <t>KFM2020660137642</t>
  </si>
  <si>
    <t xml:space="preserve">   اوقاف القويعية/جامع ابوبكرالصديق .</t>
  </si>
  <si>
    <t>KFM2120660240473</t>
  </si>
  <si>
    <t xml:space="preserve">   جامع ابوبكرالصديق البويق الرين .</t>
  </si>
  <si>
    <t>KFM2120660264012</t>
  </si>
  <si>
    <t>KFM2120660241031</t>
  </si>
  <si>
    <t>SMR2020850089100</t>
  </si>
  <si>
    <t>ﻭﺯﺍﺭﺓﺍﻻﻭﻗﺎﻑ ـ ﺍﻭﻗﺎﻑ ﺍﻟﺩﻭﺍﺩﻤﻲ .</t>
  </si>
  <si>
    <t>KFM2020660204168</t>
  </si>
  <si>
    <t xml:space="preserve">   الجامع الكبير بساجر .</t>
  </si>
  <si>
    <t>KFM2020660126677</t>
  </si>
  <si>
    <t xml:space="preserve">   مسجد/سعد سعود المسعدالكرشمي .</t>
  </si>
  <si>
    <t>KFM2020660204281</t>
  </si>
  <si>
    <t xml:space="preserve">     اوقاف المزاحميه/جامع حلاة الجله .</t>
  </si>
  <si>
    <t>KFM2020660209326</t>
  </si>
  <si>
    <t>ﺍﻭﻗﺎﻑ ﻭﻤﺴﺎﺠﺩ ﻀﺭﻤﺎء .</t>
  </si>
  <si>
    <t>SMR2220661006664</t>
  </si>
  <si>
    <t>ضرما</t>
  </si>
  <si>
    <t xml:space="preserve">   جامع الايمان .</t>
  </si>
  <si>
    <t>KFM2020660204405</t>
  </si>
  <si>
    <t xml:space="preserve">   مسجد      خط الحجاز 0 .</t>
  </si>
  <si>
    <t>KFM2020660176219</t>
  </si>
  <si>
    <t xml:space="preserve">   مسجد الربوة .</t>
  </si>
  <si>
    <t>KFM2020660204407</t>
  </si>
  <si>
    <t>جامع مسجد مخطط  581 عفيف       0 .</t>
  </si>
  <si>
    <t>KFM2020660204263</t>
  </si>
  <si>
    <t xml:space="preserve">   اوفاف القويعيه /مسجدالجوير .</t>
  </si>
  <si>
    <t>AEC2020830568665</t>
  </si>
  <si>
    <t xml:space="preserve">   مسجد      الا وقاف   . .</t>
  </si>
  <si>
    <t>KFM2020660171136</t>
  </si>
  <si>
    <t>مسجد .</t>
  </si>
  <si>
    <t>KFM2020660204211</t>
  </si>
  <si>
    <t xml:space="preserve">    اوقاف الرين / جامع القزعان .</t>
  </si>
  <si>
    <t>KFM2020660196822</t>
  </si>
  <si>
    <t>مسجد الاسكان ( 2 ) .</t>
  </si>
  <si>
    <t>KFM2020660200624</t>
  </si>
  <si>
    <t xml:space="preserve">   مسجد  المسلط  نوارة .</t>
  </si>
  <si>
    <t>KFM2020660206782</t>
  </si>
  <si>
    <t>المزاحمية</t>
  </si>
  <si>
    <t>جامع      سعود      الزياد .</t>
  </si>
  <si>
    <t>KFM2020660203705</t>
  </si>
  <si>
    <t xml:space="preserve">   مسجدالأ ميربدر بن عبدالعزيز .</t>
  </si>
  <si>
    <t>KFM2120660280915</t>
  </si>
  <si>
    <t xml:space="preserve">   مسجد عسيله الشرقي .</t>
  </si>
  <si>
    <t>KFM2020660153886</t>
  </si>
  <si>
    <t xml:space="preserve">   مسجد      المخطط    //////////// .</t>
  </si>
  <si>
    <t>KFM2020660172463</t>
  </si>
  <si>
    <t xml:space="preserve">   اوقاف المزاحمية مسجد ال منصور .</t>
  </si>
  <si>
    <t>AEC2020830558052</t>
  </si>
  <si>
    <t xml:space="preserve">   مسجـد مخطط 433 .</t>
  </si>
  <si>
    <t>KFM2020660163311</t>
  </si>
  <si>
    <t xml:space="preserve">   مسجد قرية الروسان .</t>
  </si>
  <si>
    <t>KFM2120660253514</t>
  </si>
  <si>
    <t xml:space="preserve">   اوقاف المزاحميه/جامع سلطانه .</t>
  </si>
  <si>
    <t>KFM2020660200302</t>
  </si>
  <si>
    <t xml:space="preserve">   جامع      الرويضه   القديم .</t>
  </si>
  <si>
    <t>KFM2020660171216</t>
  </si>
  <si>
    <t xml:space="preserve">   مسجد/ عبدالرحمن سعد المشوح .</t>
  </si>
  <si>
    <t>KFM2020660129415</t>
  </si>
  <si>
    <t xml:space="preserve">   جامع      ابوسليم   ا .</t>
  </si>
  <si>
    <t>KFM2020660190629</t>
  </si>
  <si>
    <t xml:space="preserve">       المسجد الجامع .</t>
  </si>
  <si>
    <t>KFM2020660171166</t>
  </si>
  <si>
    <t xml:space="preserve">      المسجد الجامع الكبير .</t>
  </si>
  <si>
    <t>KFM2020660176242</t>
  </si>
  <si>
    <t xml:space="preserve">      جامع الجفونيه .</t>
  </si>
  <si>
    <t>KFM2120660240466</t>
  </si>
  <si>
    <t>AES2020896448164</t>
  </si>
  <si>
    <t xml:space="preserve">      مسجد/بندر حميان حمود .</t>
  </si>
  <si>
    <t>KFM2020660129416</t>
  </si>
  <si>
    <t xml:space="preserve">   جامع      جلالة      بسنام .</t>
  </si>
  <si>
    <t>KFM2020660199297</t>
  </si>
  <si>
    <t xml:space="preserve">      مسجد الهويدى بالدخل المحدود .</t>
  </si>
  <si>
    <t>KFM2020660209367</t>
  </si>
  <si>
    <t>KFM2020660189758</t>
  </si>
  <si>
    <t xml:space="preserve">   اوقاف المزاحميه/جامع حزام بن عمر .</t>
  </si>
  <si>
    <t>KFM2020660177266</t>
  </si>
  <si>
    <t xml:space="preserve">   مسجد/ نورة القحطانى .م.بن هريس .</t>
  </si>
  <si>
    <t>KFM2020766147253</t>
  </si>
  <si>
    <t xml:space="preserve">   المسجدالجامع/جفين سعدالمشعلى .</t>
  </si>
  <si>
    <t>KFM2020660233275</t>
  </si>
  <si>
    <t xml:space="preserve">   مسجد      الدخل     //////////// .</t>
  </si>
  <si>
    <t>KFM2020660189978</t>
  </si>
  <si>
    <t>وقاف ومساجد الامزاحميه .</t>
  </si>
  <si>
    <t>KFM2020660228266</t>
  </si>
  <si>
    <t xml:space="preserve">   مسجد      فرعه      بالحصاه .</t>
  </si>
  <si>
    <t>AES2020896460984</t>
  </si>
  <si>
    <t>ﺍﻭﻗﺎﻑ ﻭﻤﺴﺎﺠﺩ ﺍﻟﻤﺯﺍﺤﻤﻴﻩ .</t>
  </si>
  <si>
    <t>KFM2020660199779</t>
  </si>
  <si>
    <t xml:space="preserve">   اوقاف     القويعيه  1 .</t>
  </si>
  <si>
    <t>KFM2020660190602</t>
  </si>
  <si>
    <t xml:space="preserve">   مسجد   جامع   قرية  ثرب        0 .</t>
  </si>
  <si>
    <t>KFM2020660209839</t>
  </si>
  <si>
    <t>المهد</t>
  </si>
  <si>
    <t xml:space="preserve">    مسجد جامع العماير  بجو .</t>
  </si>
  <si>
    <t>KFM2020660191515</t>
  </si>
  <si>
    <t>KFM2120660293952</t>
  </si>
  <si>
    <t>KFM2020660199736</t>
  </si>
  <si>
    <t>SMR2220661006794</t>
  </si>
  <si>
    <t xml:space="preserve">      مسجد/سعود عبدالعزيز المقبل .</t>
  </si>
  <si>
    <t>KFM2020660209346</t>
  </si>
  <si>
    <t xml:space="preserve">   مسجد      النهضه    بالدوادمي .</t>
  </si>
  <si>
    <t>KFM2020660172350</t>
  </si>
  <si>
    <t xml:space="preserve">      مسجد الرفيعه بالسر .</t>
  </si>
  <si>
    <t>KFM2020660204489</t>
  </si>
  <si>
    <t>SMR2220661006449</t>
  </si>
  <si>
    <t xml:space="preserve">        اوقاف الرين/مسجد عمر بتماني .</t>
  </si>
  <si>
    <t>AES2020896468127</t>
  </si>
  <si>
    <t xml:space="preserve">   اوقاف المزاحميةجامع فهدبن سلطان .</t>
  </si>
  <si>
    <t>KFM2020660209307</t>
  </si>
  <si>
    <t xml:space="preserve">   جامع      الرفايع   ////////// .</t>
  </si>
  <si>
    <t>KFM2020660172831</t>
  </si>
  <si>
    <t xml:space="preserve">   الجامع القديم .</t>
  </si>
  <si>
    <t>KFM2020660212316</t>
  </si>
  <si>
    <t xml:space="preserve">   مسجد/حي الشهبا/محمدبن صقر .</t>
  </si>
  <si>
    <t>KFM2020766102002</t>
  </si>
  <si>
    <t xml:space="preserve">   مسجد      الحميضي   //////////// .</t>
  </si>
  <si>
    <t>KFM2020660153743</t>
  </si>
  <si>
    <t xml:space="preserve">   مسجد      عواض      //////////// .</t>
  </si>
  <si>
    <t>KFM2020660225211</t>
  </si>
  <si>
    <t xml:space="preserve">   مسجد      طلحه      عبيد الله .</t>
  </si>
  <si>
    <t>KFM2020660172380</t>
  </si>
  <si>
    <t xml:space="preserve">   مسجد .</t>
  </si>
  <si>
    <t>KFM2020660189771</t>
  </si>
  <si>
    <t xml:space="preserve">   مسجد/حسين عبدالله الاسعدي .</t>
  </si>
  <si>
    <t>KFM2020660123162</t>
  </si>
  <si>
    <t xml:space="preserve">   جامع      الحميدي   (509) .</t>
  </si>
  <si>
    <t>KFM2020660192453</t>
  </si>
  <si>
    <t xml:space="preserve">      مسجد ضيف الله خويطر .</t>
  </si>
  <si>
    <t>KFM2020766133975</t>
  </si>
  <si>
    <t xml:space="preserve">   مسجد المخطط الغربى ـ أوثيلان .</t>
  </si>
  <si>
    <t>SMR2320761022434</t>
  </si>
  <si>
    <t xml:space="preserve">    مسجد/الجديدة .</t>
  </si>
  <si>
    <t>KFM2020766086273</t>
  </si>
  <si>
    <t xml:space="preserve">   مسجدجامع النغر .</t>
  </si>
  <si>
    <t>AES2020896532699</t>
  </si>
  <si>
    <t xml:space="preserve">   مسجد      الركيان   /// .</t>
  </si>
  <si>
    <t>KFM2020660225197</t>
  </si>
  <si>
    <t xml:space="preserve">   اوقاف القويعيةمقابل سوق الهويمل .</t>
  </si>
  <si>
    <t>KFM2120660240435</t>
  </si>
  <si>
    <t>مسجد جريس  محمد الجريس .</t>
  </si>
  <si>
    <t>KFM2020660204336</t>
  </si>
  <si>
    <t xml:space="preserve">      مسجد الجامع بحضار .</t>
  </si>
  <si>
    <t>KFM2020660207314</t>
  </si>
  <si>
    <t xml:space="preserve">   المسجدالجامع بالخفيفية .</t>
  </si>
  <si>
    <t>KFM2020660173189</t>
  </si>
  <si>
    <t xml:space="preserve">   مسجدالربوةبوادي عصيل .</t>
  </si>
  <si>
    <t>AES2120896586369</t>
  </si>
  <si>
    <t xml:space="preserve">   اوقاف القويعيه / مسجد ام سلم .</t>
  </si>
  <si>
    <t>KFM2020766159932</t>
  </si>
  <si>
    <t xml:space="preserve">   مسجد/     القعره    ///////// .</t>
  </si>
  <si>
    <t>AES2120896610491</t>
  </si>
  <si>
    <t xml:space="preserve">   جامع      الرجع     القويعيه .</t>
  </si>
  <si>
    <t>SMR2220661017593</t>
  </si>
  <si>
    <t>ﻭﺯﺍﺭﺓﺍﻻﻭﻗﺎﻑ ـ ﺍﻭﻗﺎﻑ ﺴﺎﺠﺭ .</t>
  </si>
  <si>
    <t>SMR2420861005317</t>
  </si>
  <si>
    <t xml:space="preserve">   مسجد البدرانيه بالسر ارطاوى .</t>
  </si>
  <si>
    <t>AES2020896454948</t>
  </si>
  <si>
    <t>مسجد      ابراهيم   التمامي .</t>
  </si>
  <si>
    <t>KFM2020660209322</t>
  </si>
  <si>
    <t xml:space="preserve">    جــامـع الجدعاء(اوقاف القويعيه) .</t>
  </si>
  <si>
    <t>AES2120896536302</t>
  </si>
  <si>
    <t xml:space="preserve">   اوقاف القويعيه/جامع الرين القديم .</t>
  </si>
  <si>
    <t>SMR2320661020690</t>
  </si>
  <si>
    <t>وقاف ومساجد ضرماء .</t>
  </si>
  <si>
    <t>KFM2120660280840</t>
  </si>
  <si>
    <t>KFM2120660241035</t>
  </si>
  <si>
    <t xml:space="preserve">   مسجد/ ضيف الله سعود العتيبي .</t>
  </si>
  <si>
    <t>KFM2020766096059</t>
  </si>
  <si>
    <t xml:space="preserve">   جامع      ام سليم   بحلبان .</t>
  </si>
  <si>
    <t>KFM2120660238312</t>
  </si>
  <si>
    <t>KFM2020660200170</t>
  </si>
  <si>
    <t xml:space="preserve">   جامع      مزعل      مزعل .</t>
  </si>
  <si>
    <t>KFM2020660234251</t>
  </si>
  <si>
    <t>KFM2020760203347</t>
  </si>
  <si>
    <t>AEC2020830536532</t>
  </si>
  <si>
    <t xml:space="preserve">   مسجد      الفيصلية  الاوقاف .</t>
  </si>
  <si>
    <t>KFM2020766086171</t>
  </si>
  <si>
    <t xml:space="preserve">   جامع حديجه .</t>
  </si>
  <si>
    <t>KFM2020660212325</t>
  </si>
  <si>
    <t xml:space="preserve">   مسجد      مطر       المرشدي .</t>
  </si>
  <si>
    <t>AES2120896538136</t>
  </si>
  <si>
    <t xml:space="preserve">   اوقاف     المزاحميه الحوطه .</t>
  </si>
  <si>
    <t>KFM2020660227533</t>
  </si>
  <si>
    <t>KFM2020660192454</t>
  </si>
  <si>
    <t xml:space="preserve">   اوقاف القويعية/جامع البساتين .</t>
  </si>
  <si>
    <t>KFM2120660240474</t>
  </si>
  <si>
    <t xml:space="preserve">   مسجد عبدالرحمن بن عوف .</t>
  </si>
  <si>
    <t>KFM2020766090311</t>
  </si>
  <si>
    <t xml:space="preserve">   مسجد الريان .</t>
  </si>
  <si>
    <t>KFM2020660199309</t>
  </si>
  <si>
    <t xml:space="preserve">  مسجد فرعة الخشبى - اوقاف القويعية .</t>
  </si>
  <si>
    <t>AES2020896448213</t>
  </si>
  <si>
    <t>KFM2120655001427</t>
  </si>
  <si>
    <t>مسجد      المزموم   بالمزاحمية .</t>
  </si>
  <si>
    <t>KFM2020660206750</t>
  </si>
  <si>
    <t xml:space="preserve">   اوقاف القويعيه/ جامع الفويلق .</t>
  </si>
  <si>
    <t>KFM2020660209965</t>
  </si>
  <si>
    <t xml:space="preserve">   مسـجد هـجرة السالميه .</t>
  </si>
  <si>
    <t>AEC2020830323545</t>
  </si>
  <si>
    <t>وقاف ومساجد الرين .</t>
  </si>
  <si>
    <t>KFM2020660196830</t>
  </si>
  <si>
    <t xml:space="preserve">   مسجد/السليميه الجنوبي .</t>
  </si>
  <si>
    <t>KFM2020660131278</t>
  </si>
  <si>
    <t xml:space="preserve">    اوقاف الرين / مسجد المعتلا .</t>
  </si>
  <si>
    <t>AES2020896468012</t>
  </si>
  <si>
    <t xml:space="preserve">   مسجد      جامع      طحي .</t>
  </si>
  <si>
    <t>KFM2020660192436</t>
  </si>
  <si>
    <t xml:space="preserve">   مسجد/ابن  مجلاد      عواضة .</t>
  </si>
  <si>
    <t>AES2120896535863</t>
  </si>
  <si>
    <t xml:space="preserve">   مسجد جامع دباس  (دباس دايغ العتي .</t>
  </si>
  <si>
    <t>KFM2020660233525</t>
  </si>
  <si>
    <t xml:space="preserve">   اوقاف القويعيه مسجد الرقميه .</t>
  </si>
  <si>
    <t>AEC2020830563609</t>
  </si>
  <si>
    <t xml:space="preserve">   مسجد  مالك  بن  انس            0 .</t>
  </si>
  <si>
    <t>KFM2020660176222</t>
  </si>
  <si>
    <t xml:space="preserve">   مسجد هويلة .          . .</t>
  </si>
  <si>
    <t>KFM2020660189662</t>
  </si>
  <si>
    <t xml:space="preserve">   مصلىالعيدبالبرود .</t>
  </si>
  <si>
    <t>KFM2020766085501</t>
  </si>
  <si>
    <t>مسجد      منيرة     بنوارة .</t>
  </si>
  <si>
    <t>KFM2020660177279</t>
  </si>
  <si>
    <t>ﻭﺯﺍﺭﺓﺍﻻﻭﻗﺎﻑ ـ ﺍﻭﻗﺎﻑ ﻋﻓﻴﻑ .</t>
  </si>
  <si>
    <t>KFM2020660188240</t>
  </si>
  <si>
    <t xml:space="preserve">      مسجد جعفر بن أبي طالب .</t>
  </si>
  <si>
    <t>KFM2020660233254</t>
  </si>
  <si>
    <t xml:space="preserve">    مسجد/متعب تركىمحيا .</t>
  </si>
  <si>
    <t>KFM2020766090119</t>
  </si>
  <si>
    <t xml:space="preserve">   مسجد/الانصار .</t>
  </si>
  <si>
    <t>KFM2020660204406</t>
  </si>
  <si>
    <t>مسجد قرية الاطويلة .</t>
  </si>
  <si>
    <t>AES2120896611939</t>
  </si>
  <si>
    <t>AES2020896460076</t>
  </si>
  <si>
    <t xml:space="preserve">   مسجد الخير مخطط 264 بالمزاحمية .</t>
  </si>
  <si>
    <t>KFM2020660203941</t>
  </si>
  <si>
    <t xml:space="preserve">      مسجد الرفايع بالحصاه .</t>
  </si>
  <si>
    <t>AES2020896446801</t>
  </si>
  <si>
    <t xml:space="preserve">   جامع الا وبيرق الجديد .</t>
  </si>
  <si>
    <t>KFM2020660200039</t>
  </si>
  <si>
    <t xml:space="preserve">   اوقاف ومساجد حمود محمدبن مريحة .</t>
  </si>
  <si>
    <t>AES2320896640644</t>
  </si>
  <si>
    <t>ﻭﺯﺍﺭﺓﺍﻻﻭﻗﺎﻑ _ ﺍﻭﻗﺎﻑ ﺍﻟﺒﺠﺎﺩﻴﻩ .</t>
  </si>
  <si>
    <t>KFM2020660223746</t>
  </si>
  <si>
    <t>KFM2020760058665</t>
  </si>
  <si>
    <t xml:space="preserve">   مسجد      الجامع    //////////// .</t>
  </si>
  <si>
    <t>KFM2020660233540</t>
  </si>
  <si>
    <t xml:space="preserve">   مسجد  جامع  المجهولية ك 20     0 .</t>
  </si>
  <si>
    <t>KFM2020660171065</t>
  </si>
  <si>
    <t xml:space="preserve">   المسجد    الجامع    بالفيحاء .</t>
  </si>
  <si>
    <t>KFM2020660195908</t>
  </si>
  <si>
    <t xml:space="preserve">   جامع      السيحاني  //////////// .</t>
  </si>
  <si>
    <t>KFM2020660204112</t>
  </si>
  <si>
    <t>ECC2320831055029</t>
  </si>
  <si>
    <t>مسجد      المقبل    مخطط 352 .</t>
  </si>
  <si>
    <t>KFM2020660206831</t>
  </si>
  <si>
    <t>مسجد ال وهطان بالفويلق .</t>
  </si>
  <si>
    <t>KFM2120660240350</t>
  </si>
  <si>
    <t xml:space="preserve">     اوقاف المزاحميه / جامع قنيفذاء .</t>
  </si>
  <si>
    <t>KFM2020660177285</t>
  </si>
  <si>
    <t xml:space="preserve">   جامع      الرفايع   . .</t>
  </si>
  <si>
    <t>KFM2120660241365</t>
  </si>
  <si>
    <t xml:space="preserve">   مسجد الجامع بالعماريه بالجمش .</t>
  </si>
  <si>
    <t>SMR2220661011884</t>
  </si>
  <si>
    <t xml:space="preserve">   مسجد      المنصور   0 .</t>
  </si>
  <si>
    <t>KFM2020760082651</t>
  </si>
  <si>
    <t xml:space="preserve">    جــامـع الناصفه(اوقاف القويعيه) .</t>
  </si>
  <si>
    <t>KFM2020766163511</t>
  </si>
  <si>
    <t>ﻭﺯﺍﺭﺓﺍﻷﻭﻗﺎﻑ _ ﺍﻭﻗﺎﻑ ﺍﻟﺭﻭﻴﻀﻩ .</t>
  </si>
  <si>
    <t>AES2120896563529</t>
  </si>
  <si>
    <t xml:space="preserve">      مسجد الصقر5 .</t>
  </si>
  <si>
    <t>AES2120896609912</t>
  </si>
  <si>
    <t xml:space="preserve">   مسجد أم سليم .</t>
  </si>
  <si>
    <t>KFM2020660204417</t>
  </si>
  <si>
    <t xml:space="preserve">   اوقاف القويعيه/جامع زعيفان بصماخ .</t>
  </si>
  <si>
    <t>AEC2020830574166</t>
  </si>
  <si>
    <t>KFM2120660267416</t>
  </si>
  <si>
    <t xml:space="preserve">   اوقاف     القويعيه  القويعية .</t>
  </si>
  <si>
    <t>KFM2020660190670</t>
  </si>
  <si>
    <t xml:space="preserve">   جامع سويلمفي        حلبان .</t>
  </si>
  <si>
    <t>KFM2120660241366</t>
  </si>
  <si>
    <t xml:space="preserve">   مسجد      ابوزيد    ابوزيد .</t>
  </si>
  <si>
    <t>KFM2020660204182</t>
  </si>
  <si>
    <t xml:space="preserve">   مسجد/محمد شويفين هلال الحنتوشي .</t>
  </si>
  <si>
    <t>AES2020896432084</t>
  </si>
  <si>
    <t xml:space="preserve">   اوقاف     القويعيه  الملك فيصل .</t>
  </si>
  <si>
    <t>KFM2020660208179</t>
  </si>
  <si>
    <t xml:space="preserve">   اوقاف الحصاة/جامع هجرةمسدح .</t>
  </si>
  <si>
    <t>KFM2020766138372</t>
  </si>
  <si>
    <t xml:space="preserve">   مسجد جامع الشيخ عبدالله .</t>
  </si>
  <si>
    <t>KFM2020660225539</t>
  </si>
  <si>
    <t>ﻭﺯﺍﺭﺓﺍﻻﻭﻗﺎﻑ _ﺍﻭﻗﺎﻑ ﺍﻟﺠﻤﺵ .</t>
  </si>
  <si>
    <t>SMR2220661004077</t>
  </si>
  <si>
    <t>مسجد عمر  بن الخطاب الزباير 0</t>
  </si>
  <si>
    <t>KFM2020660176971</t>
  </si>
  <si>
    <t>MMF2020800111745</t>
  </si>
  <si>
    <t>LYE2020810262772</t>
  </si>
  <si>
    <t>KFM2020660204189</t>
  </si>
  <si>
    <t xml:space="preserve">   اوقاف القويعيه .</t>
  </si>
  <si>
    <t>AES2020896279125</t>
  </si>
  <si>
    <t xml:space="preserve">              مسجد مخلدالتوم .</t>
  </si>
  <si>
    <t>AES2120896573420</t>
  </si>
  <si>
    <t xml:space="preserve">   مسجد      اسامة     زيد .</t>
  </si>
  <si>
    <t>KFM2020660161309</t>
  </si>
  <si>
    <t xml:space="preserve">   مسجد      الذيبية   بالجمش .</t>
  </si>
  <si>
    <t>AES2120896579381</t>
  </si>
  <si>
    <t xml:space="preserve">   مسجد      الروضه    ///// .</t>
  </si>
  <si>
    <t>KFM2020660172444</t>
  </si>
  <si>
    <t xml:space="preserve">   جامع البرود الجديد .</t>
  </si>
  <si>
    <t>KFM2020660202854</t>
  </si>
  <si>
    <t>KFM2020660188204</t>
  </si>
  <si>
    <t>KFM2020760082710</t>
  </si>
  <si>
    <t xml:space="preserve">      مـسـجـد عبدالله سعد الزمامى .</t>
  </si>
  <si>
    <t>AEC2020830524735</t>
  </si>
  <si>
    <t xml:space="preserve">   اوقاف الرويضه  مسجدالسرداح .</t>
  </si>
  <si>
    <t>KFM2020766039351</t>
  </si>
  <si>
    <t>KFM2020660206787</t>
  </si>
  <si>
    <t xml:space="preserve">   مسجد المشنوطية .</t>
  </si>
  <si>
    <t>AEC2120830595949</t>
  </si>
  <si>
    <t>SMR2220761016781</t>
  </si>
  <si>
    <t xml:space="preserve">   جامع عين البراحه .</t>
  </si>
  <si>
    <t>SMR2220661011248</t>
  </si>
  <si>
    <t xml:space="preserve">   جامع المنح الصريحة .</t>
  </si>
  <si>
    <t>KFM2020660177173</t>
  </si>
  <si>
    <t xml:space="preserve">   اوقاف     الرين     المجمعة .</t>
  </si>
  <si>
    <t>KFM2020660196377</t>
  </si>
  <si>
    <t>AEC2020830249967</t>
  </si>
  <si>
    <t xml:space="preserve">   مسجد      سليمان    الثنيان .</t>
  </si>
  <si>
    <t>KFM2020660200603</t>
  </si>
  <si>
    <t xml:space="preserve">   جامع/ جفن الجديد .</t>
  </si>
  <si>
    <t>KFM2020660153754</t>
  </si>
  <si>
    <t xml:space="preserve">      مسجد النسق الجديد الاوقاف .</t>
  </si>
  <si>
    <t>KFM2020766167798</t>
  </si>
  <si>
    <t xml:space="preserve">   اوقاف الزهور/حي الزهور الشمالي .</t>
  </si>
  <si>
    <t>KFM2020660229153</t>
  </si>
  <si>
    <t>SMR2020765003981</t>
  </si>
  <si>
    <t xml:space="preserve">      مسجد .</t>
  </si>
  <si>
    <t>AES2020896448253</t>
  </si>
  <si>
    <t xml:space="preserve">   مسجد مخطط العبدالعزيز .</t>
  </si>
  <si>
    <t>KFM2020660191469</t>
  </si>
  <si>
    <t xml:space="preserve">   مسجد      محيميد    النخيش .</t>
  </si>
  <si>
    <t>KFM2120660238372</t>
  </si>
  <si>
    <t xml:space="preserve">   مسجد/خالد بن الوليد بنجخ .</t>
  </si>
  <si>
    <t>KFM2020660172903</t>
  </si>
  <si>
    <t>ECC2020810688141</t>
  </si>
  <si>
    <t xml:space="preserve">   مسجد      ناصر      القريني .</t>
  </si>
  <si>
    <t>KFM2120660257046</t>
  </si>
  <si>
    <t xml:space="preserve">      مسجد المحطه .</t>
  </si>
  <si>
    <t>KFM2020760082919</t>
  </si>
  <si>
    <t xml:space="preserve">   مسجد      ابوشيح    حى ابوشيح .</t>
  </si>
  <si>
    <t>KFM2020766162189</t>
  </si>
  <si>
    <t xml:space="preserve">   مسجد      التوحيد   العين .</t>
  </si>
  <si>
    <t>KFM2020766149446</t>
  </si>
  <si>
    <t xml:space="preserve">   مسجد الثماله .</t>
  </si>
  <si>
    <t>AES2020896471398</t>
  </si>
  <si>
    <t>ECC2420841079718</t>
  </si>
  <si>
    <t xml:space="preserve">   مسجد الهرجابيه ـ اوقاف القويعيه .</t>
  </si>
  <si>
    <t>SMR2220661006298</t>
  </si>
  <si>
    <t xml:space="preserve">      مسجد/حمود ناصر الجهيمى .</t>
  </si>
  <si>
    <t>KFM2020766152309</t>
  </si>
  <si>
    <t xml:space="preserve">   المسجد    الجامع    بوادي عصيل .</t>
  </si>
  <si>
    <t>KFM2020660192488</t>
  </si>
  <si>
    <t>وزارةالا وقاف اوقاف الدوادمي .</t>
  </si>
  <si>
    <t>KFM2020660204339</t>
  </si>
  <si>
    <t xml:space="preserve">   اوقاف القويعيه /مسجدالشفا .</t>
  </si>
  <si>
    <t>KFM2020660229501</t>
  </si>
  <si>
    <t xml:space="preserve">   مسجد - سعدعبدالرحمن الزير .</t>
  </si>
  <si>
    <t>KFM2020660209440</t>
  </si>
  <si>
    <t xml:space="preserve">   مسجد هجرة العمائر .</t>
  </si>
  <si>
    <t>AES2020896336761</t>
  </si>
  <si>
    <t xml:space="preserve">   مسجد حى السويد .</t>
  </si>
  <si>
    <t>AES2120896563503</t>
  </si>
  <si>
    <t>SMR2320661034418</t>
  </si>
  <si>
    <t>AES2020896453721</t>
  </si>
  <si>
    <t xml:space="preserve">   اوقاف الرين /مسجدالمحمديه .</t>
  </si>
  <si>
    <t>KFM2120660247456</t>
  </si>
  <si>
    <t xml:space="preserve">   مسجد      مرزوق     بنواره .</t>
  </si>
  <si>
    <t>KFM2020660206834</t>
  </si>
  <si>
    <t xml:space="preserve">   مسجد الاماره بدراويش .</t>
  </si>
  <si>
    <t>KFM2020760229659</t>
  </si>
  <si>
    <t xml:space="preserve">      مسجد السلمى .</t>
  </si>
  <si>
    <t>AES2020896045265</t>
  </si>
  <si>
    <t xml:space="preserve">   مسجد - القاع بالبرود .</t>
  </si>
  <si>
    <t>AES2120896591647</t>
  </si>
  <si>
    <t xml:space="preserve">   مسجد الناصريه/وزاره الا وقاف والم .</t>
  </si>
  <si>
    <t>KFM2020760189043</t>
  </si>
  <si>
    <t xml:space="preserve">   مسجد      منيره     الرويس .</t>
  </si>
  <si>
    <t>KFM2020660210720</t>
  </si>
  <si>
    <t xml:space="preserve">   مسجد/بجاد سلطان خلف العتيبي .</t>
  </si>
  <si>
    <t>AES2020896377700</t>
  </si>
  <si>
    <t xml:space="preserve">   اوقاف القويعيةمسجدهجرةال طراد .</t>
  </si>
  <si>
    <t>AES2020896158806</t>
  </si>
  <si>
    <t xml:space="preserve">   مسجد      الشيخ     الحمود وسيله .</t>
  </si>
  <si>
    <t>KFM2020660228282</t>
  </si>
  <si>
    <t xml:space="preserve">   جامع.     ابن       نومه .</t>
  </si>
  <si>
    <t>AES2020896318166</t>
  </si>
  <si>
    <t xml:space="preserve">   مسجد      مخطط      بالبجادية .</t>
  </si>
  <si>
    <t>KFM2120660252072</t>
  </si>
  <si>
    <t xml:space="preserve">   مسجد      عبدالله   622 مخطط .</t>
  </si>
  <si>
    <t>SMR2020850055553</t>
  </si>
  <si>
    <t xml:space="preserve">   مسجد      جامع      بالغطغط .</t>
  </si>
  <si>
    <t>KFM2020660199622</t>
  </si>
  <si>
    <t xml:space="preserve">   مسجد/ مجمع ساجر التجاري .</t>
  </si>
  <si>
    <t>KFM2020660233475</t>
  </si>
  <si>
    <t xml:space="preserve">   مسجد/ندي  غازي هلال العتيبي .</t>
  </si>
  <si>
    <t>KFM2020760204487</t>
  </si>
  <si>
    <t xml:space="preserve">   أوقاف القويعية/جامع فيضةبن سعيد .</t>
  </si>
  <si>
    <t>KFM2020766152332</t>
  </si>
  <si>
    <t xml:space="preserve">      مسجدالآمام فيصل بن تركي .</t>
  </si>
  <si>
    <t>KFM2020660191496</t>
  </si>
  <si>
    <t xml:space="preserve">   مسجد/غازي النفيعي .</t>
  </si>
  <si>
    <t>MMF2420801307039</t>
  </si>
  <si>
    <t>KFM2020660204076</t>
  </si>
  <si>
    <t xml:space="preserve">   مسجد عفريه - اوقاف المزاحميه .</t>
  </si>
  <si>
    <t>KFM2020766066292</t>
  </si>
  <si>
    <t xml:space="preserve">       جامع السكران الجديد .</t>
  </si>
  <si>
    <t>KFM2020660153693</t>
  </si>
  <si>
    <t>KFM2020660208413</t>
  </si>
  <si>
    <t xml:space="preserve">   مسجدنايف  مسفر العصيمي .</t>
  </si>
  <si>
    <t>AES2120896610335</t>
  </si>
  <si>
    <t xml:space="preserve">   جامع/ الحي الشمالي .</t>
  </si>
  <si>
    <t>KFM2120660241438</t>
  </si>
  <si>
    <t>AEC2020830564390</t>
  </si>
  <si>
    <t xml:space="preserve">   مسجد رفايع الدسمه .</t>
  </si>
  <si>
    <t>SMR2020850103386</t>
  </si>
  <si>
    <t xml:space="preserve">   مسـجـد حى الزهور(الاوقاف) .</t>
  </si>
  <si>
    <t>KFM2020660229241</t>
  </si>
  <si>
    <t>KFM2020766167842</t>
  </si>
  <si>
    <t xml:space="preserve">    اوقافمسجدعبدالمحسنويفلعائيض القو .</t>
  </si>
  <si>
    <t>AEC2020830580212</t>
  </si>
  <si>
    <t>AEC2020830539463</t>
  </si>
  <si>
    <t xml:space="preserve">   مسجد/عبدالعزيزعبدالله البويليد .</t>
  </si>
  <si>
    <t>AES2120896566212</t>
  </si>
  <si>
    <t xml:space="preserve">   المسجد  الشمالي الشرقي .</t>
  </si>
  <si>
    <t>KFM2020660126622</t>
  </si>
  <si>
    <t xml:space="preserve">   المسجد الجنوبى بالفيضيه .</t>
  </si>
  <si>
    <t>SMR2220661016801</t>
  </si>
  <si>
    <t xml:space="preserve"> اوقاف القويعيه/جامع الخنيقيه العليا .</t>
  </si>
  <si>
    <t>KFM2020766148249</t>
  </si>
  <si>
    <t xml:space="preserve">   اوقاف القويعيه / مسجدمحمدالهويمل .</t>
  </si>
  <si>
    <t>AEC2020830325385</t>
  </si>
  <si>
    <t>KFM2020660200045</t>
  </si>
  <si>
    <t xml:space="preserve">   المسجد الجامع بالحيد .</t>
  </si>
  <si>
    <t>KFM2020660223805</t>
  </si>
  <si>
    <t xml:space="preserve">   مسجد /     دغيثر    بن سعد .</t>
  </si>
  <si>
    <t>KFM2020660204134</t>
  </si>
  <si>
    <t xml:space="preserve">      مسجد محمد بن بداح .</t>
  </si>
  <si>
    <t>KFM2020760051317</t>
  </si>
  <si>
    <t xml:space="preserve">   مسجد      الهلاليه   0 .</t>
  </si>
  <si>
    <t>AES2120896610689</t>
  </si>
  <si>
    <t>ﺍﻭﻗﺎﻑ ﻭﻤﺴﺎﺠﺩ ﺍﻟﺭﻴﻥ .</t>
  </si>
  <si>
    <t>KFM2120861247407</t>
  </si>
  <si>
    <t>KFM2020766085363</t>
  </si>
  <si>
    <t xml:space="preserve">   مسجد / سعود عبدالرحمن الجبرين .</t>
  </si>
  <si>
    <t>KFM2020660177166</t>
  </si>
  <si>
    <t xml:space="preserve">   مسجد/الأساعده .</t>
  </si>
  <si>
    <t>KFM2020660202855</t>
  </si>
  <si>
    <t>SMR2020850038827</t>
  </si>
  <si>
    <t xml:space="preserve">   مسجد      عسكرةبنت  حي نوارة .</t>
  </si>
  <si>
    <t>KFM2020660225595</t>
  </si>
  <si>
    <t>SMR2020850099556</t>
  </si>
  <si>
    <t xml:space="preserve">      مسجد الابرقيه بالسر .</t>
  </si>
  <si>
    <t>KFM2020760210408</t>
  </si>
  <si>
    <t>AES2120896612529</t>
  </si>
  <si>
    <t xml:space="preserve">   اوقاف القويعيةمسجدالزهرةبالفويلق .</t>
  </si>
  <si>
    <t>AES2120896590387</t>
  </si>
  <si>
    <t>KFM2020660203707</t>
  </si>
  <si>
    <t xml:space="preserve">      مسجد الصقيران .</t>
  </si>
  <si>
    <t>KFM2020660155931</t>
  </si>
  <si>
    <t xml:space="preserve">   اوقاف القويعيه/مسجد الصناعية .</t>
  </si>
  <si>
    <t>KFM2020660190643</t>
  </si>
  <si>
    <t xml:space="preserve">   مسجدأبوبكرالصديق .</t>
  </si>
  <si>
    <t>KFM2020766090281</t>
  </si>
  <si>
    <t>KFM2120660252064</t>
  </si>
  <si>
    <t xml:space="preserve">      جامع امالشبرم .</t>
  </si>
  <si>
    <t>KFM2020660234217</t>
  </si>
  <si>
    <t xml:space="preserve">   اوقاف القويعيه  جامع ابن عقاب .</t>
  </si>
  <si>
    <t>KFM2120660240361</t>
  </si>
  <si>
    <t xml:space="preserve">   مسجد      الدعجاني  ي .</t>
  </si>
  <si>
    <t>AEC2020830243106</t>
  </si>
  <si>
    <t xml:space="preserve">     جامع عصيله .</t>
  </si>
  <si>
    <t>KFM2020766096031</t>
  </si>
  <si>
    <t xml:space="preserve">   مسجد      عبدالله   العويس .</t>
  </si>
  <si>
    <t>KFM2020660206838</t>
  </si>
  <si>
    <t>KFM2020660172901</t>
  </si>
  <si>
    <t>KFM2020660200164</t>
  </si>
  <si>
    <t xml:space="preserve">      جامع مزعل .</t>
  </si>
  <si>
    <t>KFM2020766107121</t>
  </si>
  <si>
    <t xml:space="preserve">   مسجدجامع هجرةالفيحاء .</t>
  </si>
  <si>
    <t>AES2020896336776</t>
  </si>
  <si>
    <t xml:space="preserve">   جامع      ام سريحة  . .</t>
  </si>
  <si>
    <t>KFM2020660192432</t>
  </si>
  <si>
    <t xml:space="preserve">   مسجد/     الجحفه    //////// .</t>
  </si>
  <si>
    <t>KFM2120660252073</t>
  </si>
  <si>
    <t xml:space="preserve">      مسجد هذال .</t>
  </si>
  <si>
    <t>MMF2020800247562</t>
  </si>
  <si>
    <t xml:space="preserve">   اوقاف المزاحميه .</t>
  </si>
  <si>
    <t>AEC2020830114458</t>
  </si>
  <si>
    <t xml:space="preserve">   مسجد سليمان عبدالعزيز النشوان .</t>
  </si>
  <si>
    <t>KFM2020660209314</t>
  </si>
  <si>
    <t xml:space="preserve">   جامع السرداح اوقاف القويعية .</t>
  </si>
  <si>
    <t>KFM2020660190636</t>
  </si>
  <si>
    <t xml:space="preserve">   أوقاف القويعية/مسجد أم المؤمنين .</t>
  </si>
  <si>
    <t>KFM2020660224588</t>
  </si>
  <si>
    <t xml:space="preserve">   مسجد الهويمل .</t>
  </si>
  <si>
    <t>KFM2120660265045</t>
  </si>
  <si>
    <t xml:space="preserve">   مسجد/حي منيفة بالقرين .</t>
  </si>
  <si>
    <t>AES2020896450558</t>
  </si>
  <si>
    <t xml:space="preserve">   مسجد / برزان .</t>
  </si>
  <si>
    <t>AEC2020830312149</t>
  </si>
  <si>
    <t xml:space="preserve">   مسجد الديريه .</t>
  </si>
  <si>
    <t>KFM2120660241412</t>
  </si>
  <si>
    <t xml:space="preserve">   مسجد / ال حميدان بصبحاء .</t>
  </si>
  <si>
    <t>KFM2020766077173</t>
  </si>
  <si>
    <t xml:space="preserve">       مسجد الحى الجنوبى بالمطط الجد .</t>
  </si>
  <si>
    <t>KFM2020760058295</t>
  </si>
  <si>
    <t>KFM2020766075870</t>
  </si>
  <si>
    <t xml:space="preserve">   مسجد/ الحي الشمالي بالمستجده .</t>
  </si>
  <si>
    <t>AEC2020830293597</t>
  </si>
  <si>
    <t xml:space="preserve">                مسجد      النايف .</t>
  </si>
  <si>
    <t>KFM2020660223814</t>
  </si>
  <si>
    <t xml:space="preserve">       مسجد شمال الامار5 .</t>
  </si>
  <si>
    <t>KFM2020660224601</t>
  </si>
  <si>
    <t xml:space="preserve">   مسجد ال ثلا ب   برزان - لجعه .</t>
  </si>
  <si>
    <t>AES2120896608301</t>
  </si>
  <si>
    <t xml:space="preserve">   مسجد بن سمحان - اوفاق القويهيه .</t>
  </si>
  <si>
    <t>AES2020896362394</t>
  </si>
  <si>
    <t xml:space="preserve">     مـسـجـد البويق (اوقاف القويعيه) .</t>
  </si>
  <si>
    <t>KFM2020660150069</t>
  </si>
  <si>
    <t>مسجد ام رضمه .</t>
  </si>
  <si>
    <t>AEC2020830323445</t>
  </si>
  <si>
    <t xml:space="preserve">   مسجد      ابن باز   نساح .</t>
  </si>
  <si>
    <t>KFM2020766162268</t>
  </si>
  <si>
    <t>KFM2020660229508</t>
  </si>
  <si>
    <t xml:space="preserve">   مسجد الحج والأوقاف .</t>
  </si>
  <si>
    <t>AEC2020830314012</t>
  </si>
  <si>
    <t>انارة بلدية .</t>
  </si>
  <si>
    <t>LYE2020810584369</t>
  </si>
  <si>
    <t xml:space="preserve">   اوقاف     المزاحميه الرفيعه .</t>
  </si>
  <si>
    <t>KFM2020660209400</t>
  </si>
  <si>
    <t xml:space="preserve">   مسجد الخفيفية الجديد .</t>
  </si>
  <si>
    <t>KFM2020660210709</t>
  </si>
  <si>
    <t xml:space="preserve">   مسجدعمر بنعبدالعزيز السلسمانيه .</t>
  </si>
  <si>
    <t>KFM2020766102316</t>
  </si>
  <si>
    <t>KFM2020766054682</t>
  </si>
  <si>
    <t xml:space="preserve">   مسجدابوبكرالصديق بالشرمية .</t>
  </si>
  <si>
    <t>AES2020896464867</t>
  </si>
  <si>
    <t xml:space="preserve">   مسجد الأوقاف بعقلة الغويري .</t>
  </si>
  <si>
    <t>KFM2020660171135</t>
  </si>
  <si>
    <t xml:space="preserve">   مسجد/ فيحان  سليمان .</t>
  </si>
  <si>
    <t>KFM2020660208378</t>
  </si>
  <si>
    <t xml:space="preserve">   مسجدهجرةالوسط .</t>
  </si>
  <si>
    <t>AEC2020830565774</t>
  </si>
  <si>
    <t xml:space="preserve">   مسجد      ابي       الا ندلس .</t>
  </si>
  <si>
    <t>KFM2020660199633</t>
  </si>
  <si>
    <t xml:space="preserve">   مسجد      عسيلة     الوسطى .</t>
  </si>
  <si>
    <t>MMF2420801282934</t>
  </si>
  <si>
    <t xml:space="preserve">   مسجد/     العبل     وزارةالاوقاف .</t>
  </si>
  <si>
    <t>KFM2020660223755</t>
  </si>
  <si>
    <t xml:space="preserve">   مسجد/ حمد مترك العتيبي .</t>
  </si>
  <si>
    <t>KFM2020660204322</t>
  </si>
  <si>
    <t xml:space="preserve">       مسجد / حمد محمد القحطاني .</t>
  </si>
  <si>
    <t>AEC2020830312321</t>
  </si>
  <si>
    <t xml:space="preserve">   مسجد الحصيني .</t>
  </si>
  <si>
    <t>KFM2020660173181</t>
  </si>
  <si>
    <t xml:space="preserve">   جامع هجرة النيصية .</t>
  </si>
  <si>
    <t>AES2020896440722</t>
  </si>
  <si>
    <t>KFM2020660176323</t>
  </si>
  <si>
    <t xml:space="preserve">   مسجد/ محمد شويفين  هلال .</t>
  </si>
  <si>
    <t>KFM2020660204379</t>
  </si>
  <si>
    <t xml:space="preserve">   جامع      الشواة .</t>
  </si>
  <si>
    <t>KFM2020760227481</t>
  </si>
  <si>
    <t>AEC2020830204355</t>
  </si>
  <si>
    <t xml:space="preserve">   جامع      الحاوي    الحاوي .</t>
  </si>
  <si>
    <t>AES2020896454052</t>
  </si>
  <si>
    <t xml:space="preserve">   مسجد  الحي  الشرقي  الشواطن    0 .</t>
  </si>
  <si>
    <t>KFM2020660231753</t>
  </si>
  <si>
    <t xml:space="preserve">    مسجد      صقر       الدلبحي .</t>
  </si>
  <si>
    <t>AES2020896453529</t>
  </si>
  <si>
    <t xml:space="preserve">   مسجد      هجرة      صويه .</t>
  </si>
  <si>
    <t>KFM2020766138412</t>
  </si>
  <si>
    <t xml:space="preserve">     جامع الناصرية .</t>
  </si>
  <si>
    <t>AES2120896576323</t>
  </si>
  <si>
    <t xml:space="preserve">      مسجد غزاى طحى .</t>
  </si>
  <si>
    <t>KFM2120660299594</t>
  </si>
  <si>
    <t xml:space="preserve">   مسجد عائشة بنت الصديق .</t>
  </si>
  <si>
    <t>KFM2020660208356</t>
  </si>
  <si>
    <t xml:space="preserve">   مسجد حي السليمانية بالقرين .</t>
  </si>
  <si>
    <t>AES2020896450318</t>
  </si>
  <si>
    <t xml:space="preserve">   جامع      فرعة      عصيل .</t>
  </si>
  <si>
    <t>KFM2120660303187</t>
  </si>
  <si>
    <t xml:space="preserve">   مسجد / حارة الشفاءبطحي .</t>
  </si>
  <si>
    <t>AES2120896580521</t>
  </si>
  <si>
    <t xml:space="preserve">   مسجد/     هجرة      ///////// .</t>
  </si>
  <si>
    <t>ECC2020811107689</t>
  </si>
  <si>
    <t xml:space="preserve">      مسجد سعود الشنيفى .</t>
  </si>
  <si>
    <t>KFM2020766147247</t>
  </si>
  <si>
    <t>KFM2020660200022</t>
  </si>
  <si>
    <t xml:space="preserve">   مسجد  قرية  منازل  ابن صهيب    0 .</t>
  </si>
  <si>
    <t>AES2020896464534</t>
  </si>
  <si>
    <t>KFM2120660241406</t>
  </si>
  <si>
    <t>KFM2020766163522</t>
  </si>
  <si>
    <t xml:space="preserve">   مسجد سوق الغنم والا علا ف .</t>
  </si>
  <si>
    <t>SMR2020850105627</t>
  </si>
  <si>
    <t xml:space="preserve">   مسجد      عثمان     بن عفان .</t>
  </si>
  <si>
    <t>KFM2020660171220</t>
  </si>
  <si>
    <t xml:space="preserve">      مسجدالمبوغم/اوقاف المزاحميه .</t>
  </si>
  <si>
    <t>KFM2020766065366</t>
  </si>
  <si>
    <t xml:space="preserve">   مسجـــد   حميـــد   0 .</t>
  </si>
  <si>
    <t>KFM2020760082678</t>
  </si>
  <si>
    <t xml:space="preserve">   اوقاف الحصاة .</t>
  </si>
  <si>
    <t>KFM2020766032972</t>
  </si>
  <si>
    <t xml:space="preserve">         مسجد/الخالدية .</t>
  </si>
  <si>
    <t>KFM2020760145133</t>
  </si>
  <si>
    <t>SMR2220761003021</t>
  </si>
  <si>
    <t xml:space="preserve">   اوقاف الحصاة /مسجدبينه بالرقميه .</t>
  </si>
  <si>
    <t>AES2020896462840</t>
  </si>
  <si>
    <t>KFM2020660172464</t>
  </si>
  <si>
    <t xml:space="preserve">   جامع / المغزل .</t>
  </si>
  <si>
    <t>KFM2120660248773</t>
  </si>
  <si>
    <t xml:space="preserve">      مسجد على شجاع .</t>
  </si>
  <si>
    <t>KFM2020660233503</t>
  </si>
  <si>
    <t xml:space="preserve">   مسجد المدرع .</t>
  </si>
  <si>
    <t>KFM2020766086276</t>
  </si>
  <si>
    <t xml:space="preserve">   مسجد الراجحي الشارع العام  عفيف .</t>
  </si>
  <si>
    <t>KFM2120660265028</t>
  </si>
  <si>
    <t>ECC2020810888291</t>
  </si>
  <si>
    <t xml:space="preserve">   مسجد      النداح    //////// .</t>
  </si>
  <si>
    <t>KFM2020760082761</t>
  </si>
  <si>
    <t xml:space="preserve">   جــا مـع الـثـنـدوة .</t>
  </si>
  <si>
    <t>KFM2020766162228</t>
  </si>
  <si>
    <t xml:space="preserve">   مسجد محمد سيف اوقاف المزاحمية .</t>
  </si>
  <si>
    <t>AES2020896471717</t>
  </si>
  <si>
    <t>KFM2020760208815</t>
  </si>
  <si>
    <t xml:space="preserve">   مسجد جامع الامير/سلطان بالبجاديه .</t>
  </si>
  <si>
    <t>KFM2020660208960</t>
  </si>
  <si>
    <t>KFM2120660264017</t>
  </si>
  <si>
    <t>AES2020896462200</t>
  </si>
  <si>
    <t xml:space="preserve">   اوقاف القويعيه /جامع الامار .</t>
  </si>
  <si>
    <t>KFM2020760140460</t>
  </si>
  <si>
    <t xml:space="preserve">   اوقاف الحصاة/مسجد ام علبه .</t>
  </si>
  <si>
    <t>AES2020896452168</t>
  </si>
  <si>
    <t>SMR2320761027672</t>
  </si>
  <si>
    <t>AES2020896335648</t>
  </si>
  <si>
    <t xml:space="preserve">   مسجد      رقم3      حي طويق .</t>
  </si>
  <si>
    <t>KFM2020660225572</t>
  </si>
  <si>
    <t xml:space="preserve">    مسجد البواردي .</t>
  </si>
  <si>
    <t>KFM2020660202827</t>
  </si>
  <si>
    <t>AES2120896565853</t>
  </si>
  <si>
    <t>KFM2120660267432</t>
  </si>
  <si>
    <t xml:space="preserve">   مسجد الطريق العام /م 487 .</t>
  </si>
  <si>
    <t>KFM2020660156064</t>
  </si>
  <si>
    <t xml:space="preserve">   مسجد المستجده الجامع .</t>
  </si>
  <si>
    <t>KFM2020766077051</t>
  </si>
  <si>
    <t>KFM2020660171148</t>
  </si>
  <si>
    <t xml:space="preserve">   مسجد جامع المحمديه .</t>
  </si>
  <si>
    <t>KFM2020660160733</t>
  </si>
  <si>
    <t>KFM2020766155502</t>
  </si>
  <si>
    <t xml:space="preserve">   مسجد  / جامع   ام المدابغ .</t>
  </si>
  <si>
    <t>AES2120896611129</t>
  </si>
  <si>
    <t>مكتب أوقاف الجمش .</t>
  </si>
  <si>
    <t>AES2020896456967</t>
  </si>
  <si>
    <t xml:space="preserve">   مسجد الحنابج                   . .</t>
  </si>
  <si>
    <t>AES2120896535923</t>
  </si>
  <si>
    <t xml:space="preserve">   مسجد العقله .</t>
  </si>
  <si>
    <t>KFM2020760051186</t>
  </si>
  <si>
    <t xml:space="preserve">   مسجد/روابينجد الغربيالقحطاني .</t>
  </si>
  <si>
    <t>AES2020896461564</t>
  </si>
  <si>
    <t xml:space="preserve">    مسجد جامع  قرية  المصيفقية    0 .</t>
  </si>
  <si>
    <t>KFM2020766084686</t>
  </si>
  <si>
    <t xml:space="preserve">      جـامـع الملك خالد بالحفيره .</t>
  </si>
  <si>
    <t>KFM2020660166273</t>
  </si>
  <si>
    <t xml:space="preserve">   اوقاف القويعية/جامع الخنقية .</t>
  </si>
  <si>
    <t>KFM2020766148378</t>
  </si>
  <si>
    <t xml:space="preserve">   مسجـــد جـامــع العـدامـه .</t>
  </si>
  <si>
    <t>KFM2020766077765</t>
  </si>
  <si>
    <t xml:space="preserve">   مسجدلجع .</t>
  </si>
  <si>
    <t>KFM2020660196364</t>
  </si>
  <si>
    <t>KFM2020760135950</t>
  </si>
  <si>
    <t>AEC2020830301620</t>
  </si>
  <si>
    <t xml:space="preserve">     مســـــجد عـــوض  التــــوم .</t>
  </si>
  <si>
    <t>AES2120896582024</t>
  </si>
  <si>
    <t xml:space="preserve">   مسجد      التقوى    //// .</t>
  </si>
  <si>
    <t>KFM2020760082921</t>
  </si>
  <si>
    <t xml:space="preserve">   مسجد / نورة .</t>
  </si>
  <si>
    <t>KFM2020660209448</t>
  </si>
  <si>
    <t>KFM2020660196369</t>
  </si>
  <si>
    <t>وقاف القويعيه .</t>
  </si>
  <si>
    <t>KFM2120660240457</t>
  </si>
  <si>
    <t>مسجد معاذ بن ابي جبل .</t>
  </si>
  <si>
    <t>KFM2120660251055</t>
  </si>
  <si>
    <t xml:space="preserve">   مسجد      فيضة      //////////// .</t>
  </si>
  <si>
    <t>MMF2020800077670</t>
  </si>
  <si>
    <t xml:space="preserve">   مسجد      النور     بحلبان .</t>
  </si>
  <si>
    <t>KFM2020766077803</t>
  </si>
  <si>
    <t xml:space="preserve">   مسجد      مطلق      الشيباني .</t>
  </si>
  <si>
    <t>AES2120896593355</t>
  </si>
  <si>
    <t>مسجد الامام تركي بـــنعبدالله .</t>
  </si>
  <si>
    <t>KFM2020560000132</t>
  </si>
  <si>
    <t>الرياض</t>
  </si>
  <si>
    <t>مسجد  الملك عبدالله بن عبدالعزيز ال سعود .</t>
  </si>
  <si>
    <t>KFM2020560002341</t>
  </si>
  <si>
    <t xml:space="preserve">   مسجد جامع سليمان عبدالعزيز الراج .</t>
  </si>
  <si>
    <t>KFM2020560002295</t>
  </si>
  <si>
    <t xml:space="preserve">   مسجدالملك خالدبن عبدالعزيز .</t>
  </si>
  <si>
    <t>KFM2120660272398</t>
  </si>
  <si>
    <t>مسجدالشيخ  محمد بن ابراهيم .</t>
  </si>
  <si>
    <t>KFM2020660177136</t>
  </si>
  <si>
    <t xml:space="preserve">   جامع الملك فهد بن عبدالعزيز .</t>
  </si>
  <si>
    <t>KFM2120660300949</t>
  </si>
  <si>
    <t xml:space="preserve">   الحرس  الوطني مسجد عثمان بن عفان .</t>
  </si>
  <si>
    <t>KFM2020660193591</t>
  </si>
  <si>
    <t>KFM2120660272401</t>
  </si>
  <si>
    <t xml:space="preserve">   مسجد عمر بن الخطاب .</t>
  </si>
  <si>
    <t>KFM2020660193535</t>
  </si>
  <si>
    <t xml:space="preserve">   مسجد      الشئون    والاوقاف .</t>
  </si>
  <si>
    <t>KFM2020660201442</t>
  </si>
  <si>
    <t>مساجد .</t>
  </si>
  <si>
    <t>KFM2020660049915</t>
  </si>
  <si>
    <t xml:space="preserve">   مسجد / الحرس الوطني .</t>
  </si>
  <si>
    <t>KFM2120655003281</t>
  </si>
  <si>
    <t>ﻤﺴﺎﺠﺩ .</t>
  </si>
  <si>
    <t>KFM2020660145886</t>
  </si>
  <si>
    <t xml:space="preserve">   مسجد عبدالله بن مسعود .</t>
  </si>
  <si>
    <t>KFM2020660175298</t>
  </si>
  <si>
    <t xml:space="preserve">   مسجد/الاميرطلال بن عبدالعزيز .</t>
  </si>
  <si>
    <t>KFM2120660262195</t>
  </si>
  <si>
    <t>مسجد/الامير سعد بن محمد ال  سعود .</t>
  </si>
  <si>
    <t>SMR2320661021344</t>
  </si>
  <si>
    <t xml:space="preserve">   مساجد .</t>
  </si>
  <si>
    <t>KFM2020660176771</t>
  </si>
  <si>
    <t xml:space="preserve">   مسجد مكتب الدعوةوالارشاد والمكتب .</t>
  </si>
  <si>
    <t>KFM2120660303877</t>
  </si>
  <si>
    <t xml:space="preserve">   مسجد  السعود .</t>
  </si>
  <si>
    <t>KFM2120660239379</t>
  </si>
  <si>
    <t xml:space="preserve">     مسجد الناصر .</t>
  </si>
  <si>
    <t>KFM2020660171416</t>
  </si>
  <si>
    <t>KFM2020660207557</t>
  </si>
  <si>
    <t>.     مسجد      الجفال .</t>
  </si>
  <si>
    <t>KFM2020660018905</t>
  </si>
  <si>
    <t xml:space="preserve">   جامع      الهاجري .</t>
  </si>
  <si>
    <t>KFM2120660282678</t>
  </si>
  <si>
    <t>KFM2120660264382</t>
  </si>
  <si>
    <t xml:space="preserve">   مسجد جامع حلة العنوز .</t>
  </si>
  <si>
    <t>KFM2120660301941</t>
  </si>
  <si>
    <t>KFM2120660255564</t>
  </si>
  <si>
    <t>KFM2020660027400</t>
  </si>
  <si>
    <t>KFM2020660202036</t>
  </si>
  <si>
    <t xml:space="preserve">   مسجد حى المروج .</t>
  </si>
  <si>
    <t>KFM2020660173656</t>
  </si>
  <si>
    <t xml:space="preserve">   وزارة     الشون     . .</t>
  </si>
  <si>
    <t>KFM2020660213089</t>
  </si>
  <si>
    <t>KFM2020660172269</t>
  </si>
  <si>
    <t>KFM2020660053662</t>
  </si>
  <si>
    <t>مسجد جامع  الدخل  المحدود .</t>
  </si>
  <si>
    <t>KFM2020660164488</t>
  </si>
  <si>
    <t xml:space="preserve">   مسجد العواد .</t>
  </si>
  <si>
    <t>KFM2020660193557</t>
  </si>
  <si>
    <t xml:space="preserve">         مسجد جامع الناصريه .</t>
  </si>
  <si>
    <t>KFM2120660272469</t>
  </si>
  <si>
    <t xml:space="preserve">   جامع الملز الثانى .</t>
  </si>
  <si>
    <t>KFM2120660283305</t>
  </si>
  <si>
    <t>مسجد/محمدعبدالعزيزالراجحى ومرافقة .</t>
  </si>
  <si>
    <t>KFM2020660051622</t>
  </si>
  <si>
    <t xml:space="preserve">   وزارة     الاوقاف و  الدعوه و الار .</t>
  </si>
  <si>
    <t>KFM2020660060525</t>
  </si>
  <si>
    <t>الدرعية</t>
  </si>
  <si>
    <t xml:space="preserve">   الحرس  الوطني مسجد أسيد بن حفير .</t>
  </si>
  <si>
    <t>KFM2120655003238</t>
  </si>
  <si>
    <t>KFM2120660302798</t>
  </si>
  <si>
    <t>مسجد حي طويق .</t>
  </si>
  <si>
    <t>KFM2020660173463</t>
  </si>
  <si>
    <t xml:space="preserve"> وزارةالشئون الاسلاميةجامع ناصر الطيار .</t>
  </si>
  <si>
    <t>KFM2120660257432</t>
  </si>
  <si>
    <t xml:space="preserve">   مسجد اشبيليه .</t>
  </si>
  <si>
    <t>KFM2020660040631</t>
  </si>
  <si>
    <t xml:space="preserve">   مسجد عبدالمحسن سعد سعيد .</t>
  </si>
  <si>
    <t>KFM2120660302341</t>
  </si>
  <si>
    <t>KFM2120660260234</t>
  </si>
  <si>
    <t>KFM2020660019980</t>
  </si>
  <si>
    <t xml:space="preserve">   مسجد      سلمه      ابن الآ كوع .</t>
  </si>
  <si>
    <t>KFM2020660175379</t>
  </si>
  <si>
    <t xml:space="preserve">   مسجد الأمير سلطان .</t>
  </si>
  <si>
    <t>KFM2020660170878</t>
  </si>
  <si>
    <t xml:space="preserve">   مسجد الخضير .</t>
  </si>
  <si>
    <t>KFM2020660195200</t>
  </si>
  <si>
    <t xml:space="preserve">   مسجدالتعاون وسكن الامام والمؤذن .</t>
  </si>
  <si>
    <t>KFM2020660173879</t>
  </si>
  <si>
    <t xml:space="preserve">   الحرس  الوطني مسجد زيد بن حارثه .</t>
  </si>
  <si>
    <t>KFM2020660175359</t>
  </si>
  <si>
    <t xml:space="preserve">   جامع الامير سلطان بن عبدالعزيز .</t>
  </si>
  <si>
    <t>KFM2120660286809</t>
  </si>
  <si>
    <t>KFM2120660255395</t>
  </si>
  <si>
    <t xml:space="preserve">   المدينه الطبيه / مسجد .</t>
  </si>
  <si>
    <t>KFM2020660193672</t>
  </si>
  <si>
    <t xml:space="preserve">   جامع الاميرفيصل بن فهد .</t>
  </si>
  <si>
    <t>KFM2020660173351</t>
  </si>
  <si>
    <t>KFM2120660256039</t>
  </si>
  <si>
    <t>جامع الامير طلا ل بن فهد بن محمد .</t>
  </si>
  <si>
    <t>KFM2020660191336</t>
  </si>
  <si>
    <t>KFM2020660192256</t>
  </si>
  <si>
    <t>SMR2220661001721</t>
  </si>
  <si>
    <t>4  مسجد العريجاء بلك .</t>
  </si>
  <si>
    <t>KFM2020660203439</t>
  </si>
  <si>
    <t xml:space="preserve">   مسجد وسكن فهد الفهيد .</t>
  </si>
  <si>
    <t>KFM2020660174441</t>
  </si>
  <si>
    <t xml:space="preserve">   مسجد الشيخ عبدالعزيز بن باز .</t>
  </si>
  <si>
    <t>KFM2020660232954</t>
  </si>
  <si>
    <t xml:space="preserve">   جامع الحمراء .</t>
  </si>
  <si>
    <t>KFM2020660133855</t>
  </si>
  <si>
    <t>KFM2020660191332</t>
  </si>
  <si>
    <t xml:space="preserve">   مسجد      منيرة     . .</t>
  </si>
  <si>
    <t>KFM2020660191224</t>
  </si>
  <si>
    <t xml:space="preserve">   مسجد الاميره حصة بنت عبدالعزيز .</t>
  </si>
  <si>
    <t>KFM2020660174485</t>
  </si>
  <si>
    <t>KFM2020660202794</t>
  </si>
  <si>
    <t xml:space="preserve">   مسجدابراهيم السليمبحيالصحافه .</t>
  </si>
  <si>
    <t>KFM2020660207660</t>
  </si>
  <si>
    <t xml:space="preserve">   مسجد والدة عبدالعزيز بن سليم .</t>
  </si>
  <si>
    <t>KFM2020660135549</t>
  </si>
  <si>
    <t>مسجد والدة  /عبدالله  بن عبدالرحمن .</t>
  </si>
  <si>
    <t>KFM2020660051431</t>
  </si>
  <si>
    <t xml:space="preserve">   مسجد جامع الخير .</t>
  </si>
  <si>
    <t>KFM2120660249157</t>
  </si>
  <si>
    <t xml:space="preserve">   الحرس  الوطني مسجد مصعب بن عمير .</t>
  </si>
  <si>
    <t>KFM2020660191687</t>
  </si>
  <si>
    <t xml:space="preserve">   جامع خادم الحرمين الشريفين/فروسي .</t>
  </si>
  <si>
    <t>KFM2120660279587</t>
  </si>
  <si>
    <t>مسجد      اسامه      بن زيد .</t>
  </si>
  <si>
    <t>KFM2020660171782</t>
  </si>
  <si>
    <t>وزارة الشئون الاسلاميه والاوقاف .</t>
  </si>
  <si>
    <t>KFM2020660212034</t>
  </si>
  <si>
    <t>SMR2320661024549</t>
  </si>
  <si>
    <t xml:space="preserve">   مسجدعبدالعزيزالتويجري .</t>
  </si>
  <si>
    <t>KFM2120660257932</t>
  </si>
  <si>
    <t xml:space="preserve">   مسجد الاسكان رقم 2 .</t>
  </si>
  <si>
    <t>KFM2120660290575</t>
  </si>
  <si>
    <t>KFM2020660209284</t>
  </si>
  <si>
    <t>مدرسة خولة بنت حكيم لتحفيظ القرآن .</t>
  </si>
  <si>
    <t>KFM2120660300550</t>
  </si>
  <si>
    <t xml:space="preserve">   جامع المحارب .</t>
  </si>
  <si>
    <t>KFM2020660209212</t>
  </si>
  <si>
    <t xml:space="preserve">   مسجدالمجمع السكنى بالملز .</t>
  </si>
  <si>
    <t>KFM2120660299699</t>
  </si>
  <si>
    <t xml:space="preserve">   مسجد حي الزهره .</t>
  </si>
  <si>
    <t>KFM2020660133313</t>
  </si>
  <si>
    <t xml:space="preserve">   مسجد      جعفر بن   ابي طالب .</t>
  </si>
  <si>
    <t>KFM2020660192967</t>
  </si>
  <si>
    <t xml:space="preserve">   جامع      فهد       الهريش .</t>
  </si>
  <si>
    <t>KFM2020660190244</t>
  </si>
  <si>
    <t xml:space="preserve">   مسجد سليمان الدريبي .</t>
  </si>
  <si>
    <t>KFM2120660257442</t>
  </si>
  <si>
    <t xml:space="preserve">   جامع الاماممحمدبن    عبدالوهاب .</t>
  </si>
  <si>
    <t>KFM2020560001936</t>
  </si>
  <si>
    <t xml:space="preserve">   مسجدحي الغدير .</t>
  </si>
  <si>
    <t>KFM2120660257860</t>
  </si>
  <si>
    <t xml:space="preserve">   جامع سلمان الفارسي .</t>
  </si>
  <si>
    <t>KFM2020660174270</t>
  </si>
  <si>
    <t xml:space="preserve">   مسجد حى المنصورة .</t>
  </si>
  <si>
    <t>KFM2120660299174</t>
  </si>
  <si>
    <t xml:space="preserve">   حرس وطني  مسجد      أبي هريره .</t>
  </si>
  <si>
    <t>KFM2020660192116</t>
  </si>
  <si>
    <t>مسجدالاميره  /هيابنت  عبدالعزيزال  سعود .</t>
  </si>
  <si>
    <t>KFM2020660199060</t>
  </si>
  <si>
    <t>مسجدعلي الناصر .</t>
  </si>
  <si>
    <t>KFM2120660266028</t>
  </si>
  <si>
    <t>مسجد جامع الملك  عبدالعزيز .</t>
  </si>
  <si>
    <t>KFM2020660051599</t>
  </si>
  <si>
    <t xml:space="preserve">   جامع سيد الشهداء .</t>
  </si>
  <si>
    <t>KFM2020660193461</t>
  </si>
  <si>
    <t>ﻭﺯﺍﺭﺓﺍﻟﺸﺌﻭﻥ ﺍﻻﺴﻼﻤﻴﺓﻭﺍﻻﻭﻗﺎﻑ .</t>
  </si>
  <si>
    <t>KFM2120660281607</t>
  </si>
  <si>
    <t xml:space="preserve">   مسجدمحمدصالح اللحيدان .</t>
  </si>
  <si>
    <t>KFM2020660213020</t>
  </si>
  <si>
    <t xml:space="preserve">         مسجد    حي     الغدير .</t>
  </si>
  <si>
    <t>KFM2120660240848</t>
  </si>
  <si>
    <t>KFM2020660232973</t>
  </si>
  <si>
    <t>KFM2020660038815</t>
  </si>
  <si>
    <t xml:space="preserve">   جامع غرب المستشفى العسكري .</t>
  </si>
  <si>
    <t>KFM2020660227154</t>
  </si>
  <si>
    <t>KFM2020660187652</t>
  </si>
  <si>
    <t xml:space="preserve">   مسجد سموالامير/سلطان بن عبدالعزيز .</t>
  </si>
  <si>
    <t>KFM2020660174142</t>
  </si>
  <si>
    <t xml:space="preserve">   مسجد  الا مير خالد بن مساعد .</t>
  </si>
  <si>
    <t>KFM2020660174421</t>
  </si>
  <si>
    <t xml:space="preserve">   الحرس  الوطني  مسجد .</t>
  </si>
  <si>
    <t>KFM2020660178113</t>
  </si>
  <si>
    <t xml:space="preserve">   مسجد      أحمد      الدهش .</t>
  </si>
  <si>
    <t>KFM2020660193681</t>
  </si>
  <si>
    <t xml:space="preserve">   مسجد عبدالله بن عباس .</t>
  </si>
  <si>
    <t>KFM2020660193481</t>
  </si>
  <si>
    <t xml:space="preserve">   مسجد الامام البخاري .</t>
  </si>
  <si>
    <t>KFM2020660139820</t>
  </si>
  <si>
    <t>KFM2020660193653</t>
  </si>
  <si>
    <t xml:space="preserve">   مسجدالاميرفيصل بن سعدالواقع المرب .</t>
  </si>
  <si>
    <t>KFM2120660257895</t>
  </si>
  <si>
    <t xml:space="preserve">   مسجد محمد عبدالله الملوحى .</t>
  </si>
  <si>
    <t>KFM2020660099570</t>
  </si>
  <si>
    <t>KFM2120660304945</t>
  </si>
  <si>
    <t xml:space="preserve">   مسجد حي الملك فيصل .</t>
  </si>
  <si>
    <t>KFM2120660256145</t>
  </si>
  <si>
    <t xml:space="preserve"> مسجدالجبل  جامع الحقباني .</t>
  </si>
  <si>
    <t>KFM2020660203970</t>
  </si>
  <si>
    <t>مسجد صالح  الصانع .</t>
  </si>
  <si>
    <t>KFM2020660200899</t>
  </si>
  <si>
    <t xml:space="preserve">   جامع وسكن مترك عايض الجعيد .</t>
  </si>
  <si>
    <t>KFM2020660174503</t>
  </si>
  <si>
    <t>KFM2020660191719</t>
  </si>
  <si>
    <t xml:space="preserve">   مسجد حي الصحافه ومرافقه .</t>
  </si>
  <si>
    <t>KFM2020660100105</t>
  </si>
  <si>
    <t xml:space="preserve">   وزارةالشؤن الاسلاميه مسجدالنخيل غ .</t>
  </si>
  <si>
    <t>KFM2020660197521</t>
  </si>
  <si>
    <t xml:space="preserve">   مسجد      عبدالله   سكن .</t>
  </si>
  <si>
    <t>KFM2020660178251</t>
  </si>
  <si>
    <t>KFM2120660249230</t>
  </si>
  <si>
    <t>مسجد      ناصر      الصفيان .</t>
  </si>
  <si>
    <t>KFM2020660192620</t>
  </si>
  <si>
    <t>SMR2220661001854</t>
  </si>
  <si>
    <t xml:space="preserve">   مسجد معاذ بن جبل .</t>
  </si>
  <si>
    <t>KFM2120660256844</t>
  </si>
  <si>
    <t xml:space="preserve">   جامع الامام محمد بن سعود .</t>
  </si>
  <si>
    <t>KFM2020660172102</t>
  </si>
  <si>
    <t>KFM2120660248692</t>
  </si>
  <si>
    <t xml:space="preserve">   مسجد حى المنح .</t>
  </si>
  <si>
    <t>KFM2120660299847</t>
  </si>
  <si>
    <t xml:space="preserve">   مسجد سهيل بن عمرو .</t>
  </si>
  <si>
    <t>KFM2120660273470</t>
  </si>
  <si>
    <t>KFM2020660197195</t>
  </si>
  <si>
    <t xml:space="preserve">   مسجد وسكن الشيخ محمد القاسم .</t>
  </si>
  <si>
    <t>KFM2020660174333</t>
  </si>
  <si>
    <t xml:space="preserve">   مسجد حي غرناطة الغربي .</t>
  </si>
  <si>
    <t>KFM2020660178142</t>
  </si>
  <si>
    <t xml:space="preserve">   جامع   العساف .</t>
  </si>
  <si>
    <t>KFM2020660193694</t>
  </si>
  <si>
    <t>SMR2220661002729</t>
  </si>
  <si>
    <t>SMR2220661002529</t>
  </si>
  <si>
    <t xml:space="preserve">   مشروع مصلى نساءالحي السكني و.الخ .</t>
  </si>
  <si>
    <t>KFM2020660197043</t>
  </si>
  <si>
    <t xml:space="preserve">   جامع الأمير سلطان بن فهد .</t>
  </si>
  <si>
    <t>KFM2020660195139</t>
  </si>
  <si>
    <t xml:space="preserve">   مسجد      بن        . .</t>
  </si>
  <si>
    <t>KFM2020660209660</t>
  </si>
  <si>
    <t>مسجد المصمك .</t>
  </si>
  <si>
    <t>KFM2020660044537</t>
  </si>
  <si>
    <t>, مسجد      ناصر عبيد .</t>
  </si>
  <si>
    <t>KFM2020660057815</t>
  </si>
  <si>
    <t xml:space="preserve">   مسجد اليرموك .</t>
  </si>
  <si>
    <t>KFM2020660171967</t>
  </si>
  <si>
    <t xml:space="preserve">   مسجد سوق الخضار .</t>
  </si>
  <si>
    <t>KFM2020660170805</t>
  </si>
  <si>
    <t xml:space="preserve">   مسجدالاميرعبدالرحمن عبدالله .</t>
  </si>
  <si>
    <t>KFM2120660272391</t>
  </si>
  <si>
    <t>KFM2020660193364</t>
  </si>
  <si>
    <t xml:space="preserve">   مسجد عبدالله حذافة السهمي .</t>
  </si>
  <si>
    <t>KFM2020660057260</t>
  </si>
  <si>
    <t xml:space="preserve">   مسجدالشيخ عبدالرحمن علي الجريسي .</t>
  </si>
  <si>
    <t>KFM2020660104165</t>
  </si>
  <si>
    <t>KFM2120660236172</t>
  </si>
  <si>
    <t xml:space="preserve">   مسجد حى الضباط .</t>
  </si>
  <si>
    <t>KFM2120660286028</t>
  </si>
  <si>
    <t xml:space="preserve">   مسجدحي النخيل الغربي .</t>
  </si>
  <si>
    <t>KFM2020660019830</t>
  </si>
  <si>
    <t xml:space="preserve">   مسجد /الشيخ عبدالله الهويش .</t>
  </si>
  <si>
    <t>KFM2120660279591</t>
  </si>
  <si>
    <t>مدرسه  تحفيظ  لمسجد صالح  الصانع .</t>
  </si>
  <si>
    <t>KFM2020660051614</t>
  </si>
  <si>
    <t xml:space="preserve">   مسجدمحمدوعبدالرحمن السعدالبواردي .</t>
  </si>
  <si>
    <t>KFM2020660162287</t>
  </si>
  <si>
    <t xml:space="preserve">   جامع نورة بنت عبدالعزيزالحقباني .</t>
  </si>
  <si>
    <t>KFM2020660192983</t>
  </si>
  <si>
    <t>KFM2120660304637</t>
  </si>
  <si>
    <t>KFM2120660256969</t>
  </si>
  <si>
    <t>KFM2020660042256</t>
  </si>
  <si>
    <t>KFM2020660169305</t>
  </si>
  <si>
    <t xml:space="preserve">   مسجد حمزه بن عبدالمطلب .</t>
  </si>
  <si>
    <t>KFM2020660178127</t>
  </si>
  <si>
    <t xml:space="preserve">   مسجد عبدالرحمن بن ثنيان العبيكان .</t>
  </si>
  <si>
    <t>KFM2020660197463</t>
  </si>
  <si>
    <t>KFM2020660174021</t>
  </si>
  <si>
    <t xml:space="preserve">   مسجد عبدالله العسكر .</t>
  </si>
  <si>
    <t>KFM2020660197146</t>
  </si>
  <si>
    <t>KFM2020660013550</t>
  </si>
  <si>
    <t xml:space="preserve">   مسـجد وزارة الدفاع والطيران .</t>
  </si>
  <si>
    <t>KFM2020660160544</t>
  </si>
  <si>
    <t xml:space="preserve">   وزارة الشئون الا سلا مية والا وقاف .</t>
  </si>
  <si>
    <t>KFM2020660127836</t>
  </si>
  <si>
    <t xml:space="preserve">   مسجد   حى السفارات .</t>
  </si>
  <si>
    <t>KFM2020660188586</t>
  </si>
  <si>
    <t xml:space="preserve">   مسجد الامير متعب بن عبدالعزيز .</t>
  </si>
  <si>
    <t>KFM2120660276309</t>
  </si>
  <si>
    <t xml:space="preserve">   جامع الريس    // مغسلة الأموات .</t>
  </si>
  <si>
    <t>KFM2120660304107</t>
  </si>
  <si>
    <t>KFM2020660031434</t>
  </si>
  <si>
    <t xml:space="preserve">   مسجد شرق غبيرا-أبوبكرالصديق .</t>
  </si>
  <si>
    <t>KFM2120660299306</t>
  </si>
  <si>
    <t>KFM2020660023300</t>
  </si>
  <si>
    <t>SMR2220621001186</t>
  </si>
  <si>
    <t xml:space="preserve">   مسجد      الرواف    . .</t>
  </si>
  <si>
    <t>KFM2020660097327</t>
  </si>
  <si>
    <t>KFM2120660257373</t>
  </si>
  <si>
    <t>KFM2020660008262</t>
  </si>
  <si>
    <t xml:space="preserve">  مسجد جمعيه البر الخيريه باالدرعيه .</t>
  </si>
  <si>
    <t>KFM2120660270649</t>
  </si>
  <si>
    <t>مسجدالغنيم .</t>
  </si>
  <si>
    <t>KFM2020660225630</t>
  </si>
  <si>
    <t>.   مسجد      الراجحي .</t>
  </si>
  <si>
    <t>KFM2020660191142</t>
  </si>
  <si>
    <t>مسجد جامع  حله  بن دايل .</t>
  </si>
  <si>
    <t>KFM2020660196868</t>
  </si>
  <si>
    <t>KFM2020660174341</t>
  </si>
  <si>
    <t xml:space="preserve">   وزاره الشئون الاسلاميه ولاوقاف .</t>
  </si>
  <si>
    <t>KFM2020660035649</t>
  </si>
  <si>
    <t>KFM2020660050627</t>
  </si>
  <si>
    <t>KFM2020660008745</t>
  </si>
  <si>
    <t xml:space="preserve">   مسجد شمال سوق الخضار .</t>
  </si>
  <si>
    <t>KFM2020660195199</t>
  </si>
  <si>
    <t xml:space="preserve">   مسجد      كتاب      العتيبي .</t>
  </si>
  <si>
    <t>KFM2020660053595</t>
  </si>
  <si>
    <t xml:space="preserve">   جامع وسكن  حمود اللحيدان .</t>
  </si>
  <si>
    <t>KFM2020660176371</t>
  </si>
  <si>
    <t xml:space="preserve">   جامع/عبدالعزيزبن محمد النصار .</t>
  </si>
  <si>
    <t>KFM2020660187962</t>
  </si>
  <si>
    <t xml:space="preserve">   مسجد/حمد   محمد     بن سعيدان .</t>
  </si>
  <si>
    <t>KFM2020660174120</t>
  </si>
  <si>
    <t xml:space="preserve">   مسجد/الشيخ صالح عبدالله السدلان .</t>
  </si>
  <si>
    <t>KFM2020660167513</t>
  </si>
  <si>
    <t>KFM2020660026981</t>
  </si>
  <si>
    <t>KFM2020660052559</t>
  </si>
  <si>
    <t xml:space="preserve">   مسجد فهد الدهمش .</t>
  </si>
  <si>
    <t>KFM2020660127514</t>
  </si>
  <si>
    <t xml:space="preserve">   مسجدصالح القفاري .</t>
  </si>
  <si>
    <t>KFM2020660193721</t>
  </si>
  <si>
    <t xml:space="preserve">   مسجد حى النزهه .</t>
  </si>
  <si>
    <t>KFM2020660173087</t>
  </si>
  <si>
    <t xml:space="preserve">   جامع عثمان بن عفان .</t>
  </si>
  <si>
    <t>KFM2020660169503</t>
  </si>
  <si>
    <t>KFM2020660211309</t>
  </si>
  <si>
    <t xml:space="preserve">    مسجد حي الملقا .</t>
  </si>
  <si>
    <t>KFM2020660045241</t>
  </si>
  <si>
    <t xml:space="preserve">   جامع فهد العويضة .</t>
  </si>
  <si>
    <t>KFM2120660300169</t>
  </si>
  <si>
    <t>KFM2020660201690</t>
  </si>
  <si>
    <t xml:space="preserve">   مسجد رقم 5 .</t>
  </si>
  <si>
    <t>KFM2120660260336</t>
  </si>
  <si>
    <t xml:space="preserve">   مسجد حي الوادي .</t>
  </si>
  <si>
    <t>KFM2020660201105</t>
  </si>
  <si>
    <t>KFM2120660246985</t>
  </si>
  <si>
    <t xml:space="preserve">   مسجد الفاروق .</t>
  </si>
  <si>
    <t>KFM2020660176777</t>
  </si>
  <si>
    <t xml:space="preserve">   مسجد فهد المقيل .</t>
  </si>
  <si>
    <t>KFM2120660262691</t>
  </si>
  <si>
    <t xml:space="preserve">   مسجد حي السعاده .</t>
  </si>
  <si>
    <t>KFM2120660305466</t>
  </si>
  <si>
    <t xml:space="preserve">   جامع      سلطان     السلطان .</t>
  </si>
  <si>
    <t>KFM2020660104863</t>
  </si>
  <si>
    <t xml:space="preserve">     مسجدالمقدادحي بدر اسكان الحرس .</t>
  </si>
  <si>
    <t>KFM2020660190118</t>
  </si>
  <si>
    <t xml:space="preserve">   وزاره الشؤن الاسلاميه ولاوقاف .</t>
  </si>
  <si>
    <t>KFM2020660224415</t>
  </si>
  <si>
    <t>KFM2020660104259</t>
  </si>
  <si>
    <t>SMR2220661006884</t>
  </si>
  <si>
    <t>KFM2020660173546</t>
  </si>
  <si>
    <t xml:space="preserve">   مسجد جامع الملك خالد .</t>
  </si>
  <si>
    <t>KFM2020760028034</t>
  </si>
  <si>
    <t xml:space="preserve">   مسجد جامع الذياب .</t>
  </si>
  <si>
    <t>KFM2120660274158</t>
  </si>
  <si>
    <t>SMR2320661030446</t>
  </si>
  <si>
    <t xml:space="preserve">   مسجد حي الخليج .</t>
  </si>
  <si>
    <t>KFM2020660190969</t>
  </si>
  <si>
    <t>KFM2020660046514</t>
  </si>
  <si>
    <t xml:space="preserve">   مسجد شرق حي الملك فيصل .</t>
  </si>
  <si>
    <t>KFM2020660025581</t>
  </si>
  <si>
    <t xml:space="preserve">   مسجد الأمير عبدالله بن عبدالعزيز .</t>
  </si>
  <si>
    <t>KFM2020660132573</t>
  </si>
  <si>
    <t>جامع الشويعر .</t>
  </si>
  <si>
    <t>KFM2020660104875</t>
  </si>
  <si>
    <t>مسجد القحطانى .</t>
  </si>
  <si>
    <t>KFM2020660015391</t>
  </si>
  <si>
    <t xml:space="preserve">   مسجد الشيخ موفق الميدانى .</t>
  </si>
  <si>
    <t>KFM2020660167287</t>
  </si>
  <si>
    <t>KFM2120660255402</t>
  </si>
  <si>
    <t>KFM2120660255702</t>
  </si>
  <si>
    <t>KFM2020660174804</t>
  </si>
  <si>
    <t xml:space="preserve">   وزارة الشئون الاسلاميةومسجد وسكن .</t>
  </si>
  <si>
    <t>KFM2020660013515</t>
  </si>
  <si>
    <t>مسجد جامع  بن خثيله .</t>
  </si>
  <si>
    <t>KFM2020660053824</t>
  </si>
  <si>
    <t xml:space="preserve">   مسجد      لطيفه     ال الشيخ .</t>
  </si>
  <si>
    <t>KFM2020660190936</t>
  </si>
  <si>
    <t>KFM2020660142235</t>
  </si>
  <si>
    <t xml:space="preserve">   مسجد الغليقة مع سكن الامام المؤذن .</t>
  </si>
  <si>
    <t>KFM2020660193579</t>
  </si>
  <si>
    <t>SMR2220661000002</t>
  </si>
  <si>
    <t xml:space="preserve">   مسجد/طارق بن زياد 6/3435</t>
  </si>
  <si>
    <t>KFM2120660299246</t>
  </si>
  <si>
    <t xml:space="preserve">   مسجد الطويان .</t>
  </si>
  <si>
    <t>KFM2020660169860</t>
  </si>
  <si>
    <t xml:space="preserve">   جامع عبدالله ابراهيم الهداب .</t>
  </si>
  <si>
    <t>KFM2020660208622</t>
  </si>
  <si>
    <t xml:space="preserve">   مسجد المفدى .</t>
  </si>
  <si>
    <t>KFM2120660240857</t>
  </si>
  <si>
    <t xml:space="preserve">   وزارة الشئون الاسلامية والاوقاف .</t>
  </si>
  <si>
    <t>KFM2020660197492</t>
  </si>
  <si>
    <t>.    مسجد      السويدي .</t>
  </si>
  <si>
    <t>KFM2020660199450</t>
  </si>
  <si>
    <t xml:space="preserve">   مسجد حي بن لادن .</t>
  </si>
  <si>
    <t>KFM2120660247985</t>
  </si>
  <si>
    <t>KFM2020660192940</t>
  </si>
  <si>
    <t xml:space="preserve">   مسجد والده السليمي .</t>
  </si>
  <si>
    <t>KFM2020660191845</t>
  </si>
  <si>
    <t>مسجد      .         الهويمل .</t>
  </si>
  <si>
    <t>KFM2020660025691</t>
  </si>
  <si>
    <t>1638 مسجدبظهره  البديعه  مخطط .</t>
  </si>
  <si>
    <t>KFM2020660044499</t>
  </si>
  <si>
    <t>KFM2020660171810</t>
  </si>
  <si>
    <t xml:space="preserve">   جامع الامام احمد بن حنبل .</t>
  </si>
  <si>
    <t>KFM2020660175825</t>
  </si>
  <si>
    <t>KFM2020660187990</t>
  </si>
  <si>
    <t xml:space="preserve">   مسجدام المؤمنين  خديجه بنت خويلد .</t>
  </si>
  <si>
    <t>KFM2020660056935</t>
  </si>
  <si>
    <t>KFM2120660299310</t>
  </si>
  <si>
    <t>KFM2020660061118</t>
  </si>
  <si>
    <t>مسجد الداؤد/الحزم .</t>
  </si>
  <si>
    <t>KFM2020660099244</t>
  </si>
  <si>
    <t>SMR2320661030289</t>
  </si>
  <si>
    <t>ﺍﻟﻬﻴﺌﺓﺍﻟﻌﻟﻴﺎﻟﺘﻁﻭﻴﺭﻤﺩﻴﻨﺓﺍﻟﺭﻴﺎﺽ .</t>
  </si>
  <si>
    <t>KFM2120660301998</t>
  </si>
  <si>
    <t xml:space="preserve">   مسجد وسكن امام ومؤذن مسجدالهاجري .</t>
  </si>
  <si>
    <t>KFM2020660187615</t>
  </si>
  <si>
    <t>KFM2120660300948</t>
  </si>
  <si>
    <t xml:space="preserve">   مسجد حي الربوه غرب الاسواق .</t>
  </si>
  <si>
    <t>KFM2120660268725</t>
  </si>
  <si>
    <t>KFM2020660053113</t>
  </si>
  <si>
    <t xml:space="preserve">    جامع ابويوسف  مع سكن الا مام .</t>
  </si>
  <si>
    <t>KFM2020660176857</t>
  </si>
  <si>
    <t xml:space="preserve">   جامع الأ ميرة العنود .</t>
  </si>
  <si>
    <t>KFM2120660257437</t>
  </si>
  <si>
    <t xml:space="preserve">   مسجد حطين .</t>
  </si>
  <si>
    <t>KFM2020660193091</t>
  </si>
  <si>
    <t xml:space="preserve">   مسجد الحميد .</t>
  </si>
  <si>
    <t>KFM2120660295057</t>
  </si>
  <si>
    <t xml:space="preserve">    مسجدبحي لبن وزارةالشؤون الاسلامية .</t>
  </si>
  <si>
    <t>KFM2020660197669</t>
  </si>
  <si>
    <t xml:space="preserve">   مسجد حى خنشليله .</t>
  </si>
  <si>
    <t>KFM2120660253473</t>
  </si>
  <si>
    <t xml:space="preserve">   مسجد عمر بن سعيد الأنصار .</t>
  </si>
  <si>
    <t>KFM2020660025552</t>
  </si>
  <si>
    <t xml:space="preserve">   مسجد موءقت .</t>
  </si>
  <si>
    <t>KFM2120660236611</t>
  </si>
  <si>
    <t>KFM2020660174896</t>
  </si>
  <si>
    <t xml:space="preserve">   مسجدحى الفلاح .</t>
  </si>
  <si>
    <t>KFM2020660206424</t>
  </si>
  <si>
    <t>KFM2020660187873</t>
  </si>
  <si>
    <t>مسجد /محمد عبدالعزيز بن عياف .</t>
  </si>
  <si>
    <t>KFM2020660043964</t>
  </si>
  <si>
    <t xml:space="preserve">   مسجدلولوةعبدالعزيزالمطوع الصحافة .</t>
  </si>
  <si>
    <t>KFM2120660262476</t>
  </si>
  <si>
    <t>KFM2020660174867</t>
  </si>
  <si>
    <t xml:space="preserve">   مسجدالحمد .</t>
  </si>
  <si>
    <t>KFM2020660190933</t>
  </si>
  <si>
    <t xml:space="preserve">   مسجد بن خميس .</t>
  </si>
  <si>
    <t>KFM2120660281691</t>
  </si>
  <si>
    <t xml:space="preserve">   جامع الشيخ محمد بن عبدالوهاب .</t>
  </si>
  <si>
    <t>KFM2020660091272</t>
  </si>
  <si>
    <t xml:space="preserve">   مسجد      عبدالله بنرواحه .</t>
  </si>
  <si>
    <t>KFM2020660176451</t>
  </si>
  <si>
    <t>KFM2020660213001</t>
  </si>
  <si>
    <t xml:space="preserve">   مسجدحي الفلاح .</t>
  </si>
  <si>
    <t>KFM2120660257336</t>
  </si>
  <si>
    <t xml:space="preserve">   مسجد حي الريان .</t>
  </si>
  <si>
    <t>KFM2020660167835</t>
  </si>
  <si>
    <t xml:space="preserve">   مسجد السبيعي متعب الفهاد .</t>
  </si>
  <si>
    <t>KFM2120660276280</t>
  </si>
  <si>
    <t xml:space="preserve">   مسجد العيسى .</t>
  </si>
  <si>
    <t>KFM2020660139776</t>
  </si>
  <si>
    <t xml:space="preserve">   جامع الاميره الجوهره بن مساعدومرا .</t>
  </si>
  <si>
    <t>KFM2020660203256</t>
  </si>
  <si>
    <t xml:space="preserve">   جامع الامير/ تركي بن عبدالله ال س .</t>
  </si>
  <si>
    <t>KFM2120660273709</t>
  </si>
  <si>
    <t xml:space="preserve">   مسجد صالح بن غصون .</t>
  </si>
  <si>
    <t>KFM2020660229807</t>
  </si>
  <si>
    <t xml:space="preserve">   مسجدحي الربيع .</t>
  </si>
  <si>
    <t>KFM2020660208626</t>
  </si>
  <si>
    <t xml:space="preserve">   مسجد الدغيثر .</t>
  </si>
  <si>
    <t>KFM2020660197485</t>
  </si>
  <si>
    <t>KFM2020660202060</t>
  </si>
  <si>
    <t xml:space="preserve">   مسجد      عبدالعظيم السكن .</t>
  </si>
  <si>
    <t>KFM2020660232960</t>
  </si>
  <si>
    <t>مسجد بن غيث .</t>
  </si>
  <si>
    <t>KFM2020660023260</t>
  </si>
  <si>
    <t xml:space="preserve">   مسجد/ سليمان العيسى .</t>
  </si>
  <si>
    <t>KFM2020660190501</t>
  </si>
  <si>
    <t xml:space="preserve">      مسجد فهد العويضه ومرافقه .</t>
  </si>
  <si>
    <t>KFM2020660169616</t>
  </si>
  <si>
    <t xml:space="preserve">   مسجد العمور .</t>
  </si>
  <si>
    <t>KFM2120660282664</t>
  </si>
  <si>
    <t xml:space="preserve">   مسجد عبداللهالحيدان .</t>
  </si>
  <si>
    <t>KFM2020660170786</t>
  </si>
  <si>
    <t>وزارة الشئون الاسلامية والاوقاف .</t>
  </si>
  <si>
    <t>SMR2220661001868</t>
  </si>
  <si>
    <t xml:space="preserve">   مسجد الشيخ سليمان عبدالعزيز .</t>
  </si>
  <si>
    <t>KFM2120660273771</t>
  </si>
  <si>
    <t xml:space="preserve">   مسجد اللحيدان .</t>
  </si>
  <si>
    <t>KFM2020660174498</t>
  </si>
  <si>
    <t>SMR2220661007391</t>
  </si>
  <si>
    <t>SMR2320661033900</t>
  </si>
  <si>
    <t xml:space="preserve">   مسجد الشرفيه .</t>
  </si>
  <si>
    <t>KFM2020660209243</t>
  </si>
  <si>
    <t xml:space="preserve">   مسجد حي العقيق .</t>
  </si>
  <si>
    <t>KFM2120660302037</t>
  </si>
  <si>
    <t>KFM2020660190976</t>
  </si>
  <si>
    <t xml:space="preserve">   مسجد مانع الجهني .</t>
  </si>
  <si>
    <t>KFM2020660173032</t>
  </si>
  <si>
    <t>KFM2020660046433</t>
  </si>
  <si>
    <t xml:space="preserve">   مسجد الحي السكنى بوزارةالخارجيه .</t>
  </si>
  <si>
    <t>KFM2020660197124</t>
  </si>
  <si>
    <t>SMR2420661036166</t>
  </si>
  <si>
    <t xml:space="preserve">   مسجد الصحافة .</t>
  </si>
  <si>
    <t>KFM2020660135546</t>
  </si>
  <si>
    <t xml:space="preserve">   مسجد حي اليرموك .</t>
  </si>
  <si>
    <t>KFM2020660175733</t>
  </si>
  <si>
    <t>KFM2020660190339</t>
  </si>
  <si>
    <t>مسجد / طارق  بن زياد .</t>
  </si>
  <si>
    <t>KFM2020660056208</t>
  </si>
  <si>
    <t xml:space="preserve">   مسجد الفريج .</t>
  </si>
  <si>
    <t>KFM2020660229825</t>
  </si>
  <si>
    <t>KFM2020660196745</t>
  </si>
  <si>
    <t>KFM2020660195117</t>
  </si>
  <si>
    <t xml:space="preserve">   مسجدوالدة خالد بن عمر البلطان .</t>
  </si>
  <si>
    <t>KFM2020660197653</t>
  </si>
  <si>
    <t>جامع سماحة المفتي .</t>
  </si>
  <si>
    <t>KFM2020660198294</t>
  </si>
  <si>
    <t xml:space="preserve">   مسجد الرميزان .</t>
  </si>
  <si>
    <t>KFM2020660214051</t>
  </si>
  <si>
    <t>KFM2120660247025</t>
  </si>
  <si>
    <t>مسجد      الرفيعة .</t>
  </si>
  <si>
    <t>KFM2020660015215</t>
  </si>
  <si>
    <t>KFM2120660262527</t>
  </si>
  <si>
    <t>MMF2420601016333</t>
  </si>
  <si>
    <t>مسجد الدريهمى .</t>
  </si>
  <si>
    <t>KFM2020660051593</t>
  </si>
  <si>
    <t xml:space="preserve">   مسجد الصديق .</t>
  </si>
  <si>
    <t>KFM2020660129800</t>
  </si>
  <si>
    <t>مسجد      عبدالعزيز الحمدان .</t>
  </si>
  <si>
    <t>KFM2020660023421</t>
  </si>
  <si>
    <t xml:space="preserve">   مسجد كريم الشمري .</t>
  </si>
  <si>
    <t>KFM2020660012502</t>
  </si>
  <si>
    <t>KFM2120660270642</t>
  </si>
  <si>
    <t>SMR2420661038484</t>
  </si>
  <si>
    <t xml:space="preserve">   مسجد الجوهره .</t>
  </si>
  <si>
    <t>KFM2020660060077</t>
  </si>
  <si>
    <t xml:space="preserve">   وزاره الشؤن الاسلاميه والاوقاف .</t>
  </si>
  <si>
    <t>KFM2020660031225</t>
  </si>
  <si>
    <t xml:space="preserve">   مسجد ج حى السفارات .</t>
  </si>
  <si>
    <t>KFM2020660225653</t>
  </si>
  <si>
    <t xml:space="preserve">   مسجد محمدبن زيد ين سعد الجويعد .</t>
  </si>
  <si>
    <t>KFM2020660162803</t>
  </si>
  <si>
    <t>KFM2020660201954</t>
  </si>
  <si>
    <t xml:space="preserve">   مسجد بلشرف .</t>
  </si>
  <si>
    <t>KFM2020660209146</t>
  </si>
  <si>
    <t xml:space="preserve">   مسجد حي المحمدية .</t>
  </si>
  <si>
    <t>KFM2020660188982</t>
  </si>
  <si>
    <t>KFM2120660241089</t>
  </si>
  <si>
    <t>KFM2020660175744</t>
  </si>
  <si>
    <t>KFM2020660013485</t>
  </si>
  <si>
    <t xml:space="preserve">   مسجد مجاهد المجاهد .</t>
  </si>
  <si>
    <t>KFM2120660299671</t>
  </si>
  <si>
    <t xml:space="preserve">   مسجد منصور  الراجحي .</t>
  </si>
  <si>
    <t>KFM2020660175256</t>
  </si>
  <si>
    <t xml:space="preserve">   مسجد بن ماضي .</t>
  </si>
  <si>
    <t>KFM2120660276276</t>
  </si>
  <si>
    <t xml:space="preserve">   مسجد      بحي       ا .</t>
  </si>
  <si>
    <t>KFM2120660262240</t>
  </si>
  <si>
    <t>KFM2120660256929</t>
  </si>
  <si>
    <t>KFM2020660007883</t>
  </si>
  <si>
    <t xml:space="preserve">   مسجد الا   ندلس و سكنوالمؤذن .</t>
  </si>
  <si>
    <t>KFM2020660174463</t>
  </si>
  <si>
    <t xml:space="preserve">   مسجد المقيل .</t>
  </si>
  <si>
    <t>KFM2020660090803</t>
  </si>
  <si>
    <t>KFM2020660057094</t>
  </si>
  <si>
    <t>مسجد الامير/ محمد بن عبدالعزيز .</t>
  </si>
  <si>
    <t>KFM2020660197081</t>
  </si>
  <si>
    <t xml:space="preserve">   مسجد/     ابراهيم   سعيدان .</t>
  </si>
  <si>
    <t>KFM2020660213507</t>
  </si>
  <si>
    <t xml:space="preserve">   مسجد      ال جري    - .</t>
  </si>
  <si>
    <t>KFM2120660299300</t>
  </si>
  <si>
    <t>مسجد بن عدوان .</t>
  </si>
  <si>
    <t>KFM2020660198930</t>
  </si>
  <si>
    <t>KFM2120660302656</t>
  </si>
  <si>
    <t xml:space="preserve">   مسجد الراجحى .</t>
  </si>
  <si>
    <t>KFM2120660247991</t>
  </si>
  <si>
    <t>KFM2020660174454</t>
  </si>
  <si>
    <t xml:space="preserve">   مسجد حي حطين .</t>
  </si>
  <si>
    <t>KFM2020660031810</t>
  </si>
  <si>
    <t xml:space="preserve">   جامع      حطين      . .</t>
  </si>
  <si>
    <t>KFM2020660187918</t>
  </si>
  <si>
    <t xml:space="preserve">  مسجدوالدةالامير/ ماجد بن عبدالعزيز .</t>
  </si>
  <si>
    <t>KFM2120660299075</t>
  </si>
  <si>
    <t xml:space="preserve">   مسجد حي النهضه .</t>
  </si>
  <si>
    <t>KFM2020660012512</t>
  </si>
  <si>
    <t xml:space="preserve">   مسجداليمامة .</t>
  </si>
  <si>
    <t>KFM2020660193542</t>
  </si>
  <si>
    <t>مسجد      محمد      الماجد .</t>
  </si>
  <si>
    <t>KFM2020660015351</t>
  </si>
  <si>
    <t>KFM2120660241580</t>
  </si>
  <si>
    <t xml:space="preserve"> مسجدجامع الحى السكنى وزارة الخارجيه .</t>
  </si>
  <si>
    <t>KFM2120660266104</t>
  </si>
  <si>
    <t xml:space="preserve">   مسجدالصانع بحي الصحافة .</t>
  </si>
  <si>
    <t>KFM2120660302243</t>
  </si>
  <si>
    <t xml:space="preserve">   جامع فالح عبدالرحمن الحارثي .</t>
  </si>
  <si>
    <t>KFM2120660239068</t>
  </si>
  <si>
    <t xml:space="preserve">   مسجد الربوه .</t>
  </si>
  <si>
    <t>KFM2020660193587</t>
  </si>
  <si>
    <t xml:space="preserve">   مسجد احمد عبدالقادر .</t>
  </si>
  <si>
    <t>KFM2020660156098</t>
  </si>
  <si>
    <t xml:space="preserve">   مسجدحي الجزيره .</t>
  </si>
  <si>
    <t>KFM2020660031613</t>
  </si>
  <si>
    <t xml:space="preserve">   مسجد عبدالله التركى .</t>
  </si>
  <si>
    <t>KFM2020660026482</t>
  </si>
  <si>
    <t xml:space="preserve">   مسجد حي المنصورة .</t>
  </si>
  <si>
    <t>KFM2120660290531</t>
  </si>
  <si>
    <t>KFM2020660170634</t>
  </si>
  <si>
    <t xml:space="preserve">   مسجد اسواق طيبه .</t>
  </si>
  <si>
    <t>KFM2020660209167</t>
  </si>
  <si>
    <t xml:space="preserve">   مسجد التوحيد .</t>
  </si>
  <si>
    <t>KFM2120660271569</t>
  </si>
  <si>
    <t xml:space="preserve">   مسجد /عبدالله علي بن سلمه .</t>
  </si>
  <si>
    <t>KFM2020660006131</t>
  </si>
  <si>
    <t>KFM2020660191843</t>
  </si>
  <si>
    <t xml:space="preserve">   مسجد وسكن الامام والمؤذن وخدمات .</t>
  </si>
  <si>
    <t>KFM2120660271679</t>
  </si>
  <si>
    <t xml:space="preserve">   مسجد فهد عبدالله ال حسين .</t>
  </si>
  <si>
    <t>KFM2120660305455</t>
  </si>
  <si>
    <t xml:space="preserve">   مسجد حي الغدير .</t>
  </si>
  <si>
    <t>KFM2020660030110</t>
  </si>
  <si>
    <t xml:space="preserve">   مسجد وسكن عبدالله المغامس .</t>
  </si>
  <si>
    <t>KFM2020660174893</t>
  </si>
  <si>
    <t>مسجد الامير متعب بن عبدالله آل سعود .</t>
  </si>
  <si>
    <t>KFM2120660300106</t>
  </si>
  <si>
    <t>KFM2020660190532</t>
  </si>
  <si>
    <t>مسجد عبدالعزيز التويجرى .</t>
  </si>
  <si>
    <t>KFM2020660054763</t>
  </si>
  <si>
    <t>KFM2020660211238</t>
  </si>
  <si>
    <t>KFM2020660026524</t>
  </si>
  <si>
    <t>SMR2220661006080</t>
  </si>
  <si>
    <t>مسجد وزاره  الاعلام .</t>
  </si>
  <si>
    <t>KFM2020660014135</t>
  </si>
  <si>
    <t xml:space="preserve">   مسجد فراج .</t>
  </si>
  <si>
    <t>KFM2020660053513</t>
  </si>
  <si>
    <t>KFM2020660145887</t>
  </si>
  <si>
    <t xml:space="preserve">   مسجد الامام عبدالرحمن الفيصل سعود .</t>
  </si>
  <si>
    <t>KFM2020660189585</t>
  </si>
  <si>
    <t>KFM2020660224402</t>
  </si>
  <si>
    <t xml:space="preserve">   بيت الامام المسجد ا .</t>
  </si>
  <si>
    <t>KFM2020660188582</t>
  </si>
  <si>
    <t>SMR2220661000484</t>
  </si>
  <si>
    <t xml:space="preserve">   مسجد ام الحمام شرق مجلس التعاون .</t>
  </si>
  <si>
    <t>KFM2020660175533</t>
  </si>
  <si>
    <t>KFM2020660174861</t>
  </si>
  <si>
    <t>مسجد      خالد      سعود .</t>
  </si>
  <si>
    <t>KFM2020660200373</t>
  </si>
  <si>
    <t xml:space="preserve">   مسجد حي النظيم .</t>
  </si>
  <si>
    <t>KFM2020660191587</t>
  </si>
  <si>
    <t xml:space="preserve">   مسجد طيبه النسيم الشرقي .</t>
  </si>
  <si>
    <t>KFM2020660054560</t>
  </si>
  <si>
    <t>KFM2020660189356</t>
  </si>
  <si>
    <t xml:space="preserve">   مسجد وزارة الشئون الاسلاميةوالاوقاف .</t>
  </si>
  <si>
    <t>KFM2120660304924</t>
  </si>
  <si>
    <t xml:space="preserve">   جامع      عرقة      . .</t>
  </si>
  <si>
    <t>KFM2120660270676</t>
  </si>
  <si>
    <t>KFM2120660273712</t>
  </si>
  <si>
    <t>KFM2120660257430</t>
  </si>
  <si>
    <t xml:space="preserve">   مسجد      ابراهيم    السالم .</t>
  </si>
  <si>
    <t>KFM2020660090788</t>
  </si>
  <si>
    <t xml:space="preserve">   مسجدحي الصحافةوسكن الامام والمؤذن .</t>
  </si>
  <si>
    <t>KFM2020660189549</t>
  </si>
  <si>
    <t>وزارة الشؤون الاسلامية والاوقاف-مسجد .</t>
  </si>
  <si>
    <t>KFM2120660304160</t>
  </si>
  <si>
    <t xml:space="preserve">   جامع الاحسان .</t>
  </si>
  <si>
    <t>KFM2020660031113</t>
  </si>
  <si>
    <t>KFM2020660018865</t>
  </si>
  <si>
    <t xml:space="preserve">   مسجد/ عمر بن  عبدالعزيز .</t>
  </si>
  <si>
    <t>KFM2020660197660</t>
  </si>
  <si>
    <t xml:space="preserve">   جامع الربع بالربوه .</t>
  </si>
  <si>
    <t>KFM2120660267447</t>
  </si>
  <si>
    <t xml:space="preserve"> مسجدالامير تركي بن عبدالرحمن ال سعود .</t>
  </si>
  <si>
    <t>KFM2020660133859</t>
  </si>
  <si>
    <t>KFM2020660008678</t>
  </si>
  <si>
    <t>مسجد الامير هذلول  بن سعود .</t>
  </si>
  <si>
    <t>KFM2020660098883</t>
  </si>
  <si>
    <t>KFM2020660053846</t>
  </si>
  <si>
    <t>KFM2120655002498</t>
  </si>
  <si>
    <t xml:space="preserve">   مسجدوسكن الامام والمؤذن الصحافه .</t>
  </si>
  <si>
    <t>KFM2120660250942</t>
  </si>
  <si>
    <t xml:space="preserve">   مشروع الاسكان العاجل / المسجد .</t>
  </si>
  <si>
    <t>KFM2020660188427</t>
  </si>
  <si>
    <t>KFM2020660203983</t>
  </si>
  <si>
    <t xml:space="preserve">   مسجد العواد بحي الربيع .</t>
  </si>
  <si>
    <t>KFM2120660253065</t>
  </si>
  <si>
    <t>KFM2120660247448</t>
  </si>
  <si>
    <t>KFM2020660203739</t>
  </si>
  <si>
    <t xml:space="preserve">   مسجد الناصر .</t>
  </si>
  <si>
    <t>KFM2020660044941</t>
  </si>
  <si>
    <t>KFM2020660190982</t>
  </si>
  <si>
    <t>KFM2020660191296</t>
  </si>
  <si>
    <t>مسجد ولي العهد الامير عبدالله  بن .</t>
  </si>
  <si>
    <t>KFM2020660189329</t>
  </si>
  <si>
    <t xml:space="preserve">   مسجد منيره ابراهيم العثيمين .</t>
  </si>
  <si>
    <t>KFM2020660123002</t>
  </si>
  <si>
    <t xml:space="preserve">   مسجد المشعليه .</t>
  </si>
  <si>
    <t>KFM2020660193556</t>
  </si>
  <si>
    <t xml:space="preserve">   مسجد الصفوة وبيتي الامام والمؤذن .</t>
  </si>
  <si>
    <t>KFM2020660031455</t>
  </si>
  <si>
    <t xml:space="preserve">   مسجد حي المروج .</t>
  </si>
  <si>
    <t>KFM2020660213538</t>
  </si>
  <si>
    <t xml:space="preserve">   مسجد الرحمانيه .</t>
  </si>
  <si>
    <t>KFM2120660265972</t>
  </si>
  <si>
    <t xml:space="preserve">   مسجد / عبدالله العريض .</t>
  </si>
  <si>
    <t>KFM2120660299637</t>
  </si>
  <si>
    <t>مسجد حي طريق  ديراب .</t>
  </si>
  <si>
    <t>KFM2020660200434</t>
  </si>
  <si>
    <t xml:space="preserve">   مسجد ابو ايوب الانصاري . .</t>
  </si>
  <si>
    <t>KFM2020660232955</t>
  </si>
  <si>
    <t xml:space="preserve">   مســــــــجد / على بن ابى طالب .</t>
  </si>
  <si>
    <t>KFM2020660135772</t>
  </si>
  <si>
    <t>KFM2020660171292</t>
  </si>
  <si>
    <t xml:space="preserve">   مسجد الضلعان .</t>
  </si>
  <si>
    <t>KFM2020660056810</t>
  </si>
  <si>
    <t>KFM2020660171378</t>
  </si>
  <si>
    <t>KFM2020660207289</t>
  </si>
  <si>
    <t xml:space="preserve">   مسجد      محمد      القاضي .</t>
  </si>
  <si>
    <t>KFM2020660133790</t>
  </si>
  <si>
    <t xml:space="preserve">   مسجد حي الرمال .</t>
  </si>
  <si>
    <t>KFM2020660174358</t>
  </si>
  <si>
    <t>KFM2020660201953</t>
  </si>
  <si>
    <t xml:space="preserve">   مسجدسليمان سالم .</t>
  </si>
  <si>
    <t>KFM2020660036716</t>
  </si>
  <si>
    <t xml:space="preserve">   مسجد حي السلام .</t>
  </si>
  <si>
    <t>KFM2020660145821</t>
  </si>
  <si>
    <t>SMR2420661038802</t>
  </si>
  <si>
    <t>SMR2220661018237</t>
  </si>
  <si>
    <t>SMR2420661035947</t>
  </si>
  <si>
    <t>KFM2120660271638</t>
  </si>
  <si>
    <t xml:space="preserve">    مسجد حي الصحافه .</t>
  </si>
  <si>
    <t>KFM2120660257388</t>
  </si>
  <si>
    <t xml:space="preserve">   جامع الريس    // دعوة الجاليات .</t>
  </si>
  <si>
    <t>KFM2120660253462</t>
  </si>
  <si>
    <t xml:space="preserve">   مسجد الفضيلي .</t>
  </si>
  <si>
    <t>KFM2020660124984</t>
  </si>
  <si>
    <t xml:space="preserve">   مسجد      حي        الروابي .</t>
  </si>
  <si>
    <t>KFM2020660166602</t>
  </si>
  <si>
    <t>KFM2120660255403</t>
  </si>
  <si>
    <t xml:space="preserve">   مسجدالبصير .</t>
  </si>
  <si>
    <t>KFM2120660305399</t>
  </si>
  <si>
    <t xml:space="preserve">   مسجد      ام        الغربيه .</t>
  </si>
  <si>
    <t>LYE2020830270129</t>
  </si>
  <si>
    <t xml:space="preserve">   مسجدسليمانعبدالله الحماد .</t>
  </si>
  <si>
    <t>KFM2020660192182</t>
  </si>
  <si>
    <t xml:space="preserve">   مسجد الطيار .</t>
  </si>
  <si>
    <t>KFM2120660268853</t>
  </si>
  <si>
    <t xml:space="preserve">   مسجد العبري .</t>
  </si>
  <si>
    <t>KFM2020660145848</t>
  </si>
  <si>
    <t>KFM2020660137727</t>
  </si>
  <si>
    <t>KFM2020660174551</t>
  </si>
  <si>
    <t>KFM2120660303781</t>
  </si>
  <si>
    <t xml:space="preserve">   مسجد      الشيخ     الراجحى .</t>
  </si>
  <si>
    <t>KFM2020660214067</t>
  </si>
  <si>
    <t>KFM2020660053322</t>
  </si>
  <si>
    <t xml:space="preserve">   مسجد حي العزيزية .</t>
  </si>
  <si>
    <t>KFM2120660256931</t>
  </si>
  <si>
    <t>KFM2020660127563</t>
  </si>
  <si>
    <t>مسجد      الامير     بن عبدالعزيز .</t>
  </si>
  <si>
    <t>KFM2020660196444</t>
  </si>
  <si>
    <t xml:space="preserve">   مسجد السليمانيه .</t>
  </si>
  <si>
    <t>KFM2020660165852</t>
  </si>
  <si>
    <t xml:space="preserve">   مسجدمحمدبن سلطان .</t>
  </si>
  <si>
    <t>KFM2120660257389</t>
  </si>
  <si>
    <t>KFM2020660212130</t>
  </si>
  <si>
    <t xml:space="preserve">   مسجد عبدالهادي الصفوق .</t>
  </si>
  <si>
    <t>KFM2120660246741</t>
  </si>
  <si>
    <t xml:space="preserve">   جامع الريس .</t>
  </si>
  <si>
    <t>KFM2120660304053</t>
  </si>
  <si>
    <t>مسجد جامع  بن تركى .</t>
  </si>
  <si>
    <t>KFM2020660035609</t>
  </si>
  <si>
    <t>مسجد الفارس .</t>
  </si>
  <si>
    <t>KFM2020660019170</t>
  </si>
  <si>
    <t xml:space="preserve">   جامع المصيف .</t>
  </si>
  <si>
    <t>KFM2020660173819</t>
  </si>
  <si>
    <t xml:space="preserve">   مسجد      سعد بن    معاذ .</t>
  </si>
  <si>
    <t>KFM2020660056844</t>
  </si>
  <si>
    <t xml:space="preserve">   مسجد وسكن عبدالمحسن المهيدب .</t>
  </si>
  <si>
    <t>KFM2020660053319</t>
  </si>
  <si>
    <t xml:space="preserve">   مسجد الشيخ عبدالله البليهد .</t>
  </si>
  <si>
    <t>KFM2020660169927</t>
  </si>
  <si>
    <t xml:space="preserve">   جامع الريس    // افطار صائم .</t>
  </si>
  <si>
    <t>KFM2120660253464</t>
  </si>
  <si>
    <t>KFM2120660246993</t>
  </si>
  <si>
    <t xml:space="preserve">   مسجد  عبدالله بن مسعود .</t>
  </si>
  <si>
    <t>KFM2120660257446</t>
  </si>
  <si>
    <t xml:space="preserve">   مسجد الشيخ عبدالعزيز ال الشيخ .</t>
  </si>
  <si>
    <t>KFM2020660174026</t>
  </si>
  <si>
    <t xml:space="preserve">    مسجد  ال سعيدان .</t>
  </si>
  <si>
    <t>KFM2120660256805</t>
  </si>
  <si>
    <t>KFM2020660036398</t>
  </si>
  <si>
    <t>KFM2020660143133</t>
  </si>
  <si>
    <t>KFM2020660031360</t>
  </si>
  <si>
    <t xml:space="preserve">   مسجدغرب الدفاع .</t>
  </si>
  <si>
    <t>KFM2120660291747</t>
  </si>
  <si>
    <t>KFM2020660046558</t>
  </si>
  <si>
    <t>SMR2420661038587</t>
  </si>
  <si>
    <t>مسجد ابوبكر الصديق .</t>
  </si>
  <si>
    <t>KFM2020660042285</t>
  </si>
  <si>
    <t xml:space="preserve">   مسجدحى المعذر .</t>
  </si>
  <si>
    <t>KFM2020660031211</t>
  </si>
  <si>
    <t>KFM2020660004034</t>
  </si>
  <si>
    <t xml:space="preserve">   مسجد جامع الحائر .</t>
  </si>
  <si>
    <t>KFM2120660268931</t>
  </si>
  <si>
    <t xml:space="preserve">   بيت       الامام     السفارات .</t>
  </si>
  <si>
    <t>KFM2120660262236</t>
  </si>
  <si>
    <t>KFM2020660052625</t>
  </si>
  <si>
    <t xml:space="preserve">   مسجدالسحيم مع سكن الامام والمؤذن .</t>
  </si>
  <si>
    <t>KFM2020660053564</t>
  </si>
  <si>
    <t>KFM2120655004082</t>
  </si>
  <si>
    <t>KFM2020660213540</t>
  </si>
  <si>
    <t xml:space="preserve">   مسجد      الياسمين  . .</t>
  </si>
  <si>
    <t>KFM2020660104277</t>
  </si>
  <si>
    <t>KFM2020660178134</t>
  </si>
  <si>
    <t>مسجد الداخله .</t>
  </si>
  <si>
    <t>KFM2020660098990</t>
  </si>
  <si>
    <t>KFM2020660053287</t>
  </si>
  <si>
    <t>مسجد سعد الكريديسى .</t>
  </si>
  <si>
    <t>KFM2020660051474</t>
  </si>
  <si>
    <t>KFM2020660193120</t>
  </si>
  <si>
    <t>مسجد ابن   قدامه      الغربي .</t>
  </si>
  <si>
    <t>KFM2020660051658</t>
  </si>
  <si>
    <t xml:space="preserve">   مسجد وسكن والدي محمد الدباسي .</t>
  </si>
  <si>
    <t>KFM2020660056943</t>
  </si>
  <si>
    <t>مسجدالشيخ  عبدالعزيزبن سحيم .</t>
  </si>
  <si>
    <t>KFM2020660051637</t>
  </si>
  <si>
    <t xml:space="preserve">   مسجدموسى عبدالرحمن ال اسماعيل .</t>
  </si>
  <si>
    <t>KFM2020660130020</t>
  </si>
  <si>
    <t>مسجد التركى .</t>
  </si>
  <si>
    <t>KFM2020660034096</t>
  </si>
  <si>
    <t xml:space="preserve">   مسجد المحيسن .</t>
  </si>
  <si>
    <t>SMR2220661002104</t>
  </si>
  <si>
    <t xml:space="preserve">   مسجد حي النخيل .</t>
  </si>
  <si>
    <t>KFM2120660258265</t>
  </si>
  <si>
    <t>00     مسجد      التقوى .</t>
  </si>
  <si>
    <t>KFM2020660202712</t>
  </si>
  <si>
    <t xml:space="preserve">   جامع خالد الجبري .</t>
  </si>
  <si>
    <t>KFM2020660176815</t>
  </si>
  <si>
    <t xml:space="preserve">   مسجد  ام ثامر .</t>
  </si>
  <si>
    <t>KFM2020660211062</t>
  </si>
  <si>
    <t xml:space="preserve">   مسجدالفلاح .</t>
  </si>
  <si>
    <t>KFM2020660206988</t>
  </si>
  <si>
    <t xml:space="preserve"> مسجدالامير/تركى بن عبدالعزيزال سعود .</t>
  </si>
  <si>
    <t>KFM2120660246121</t>
  </si>
  <si>
    <t>مسجد      هيله       العوده .</t>
  </si>
  <si>
    <t>KFM2020660054999</t>
  </si>
  <si>
    <t>مسجدبن سعيد .</t>
  </si>
  <si>
    <t>KFM2020660200405</t>
  </si>
  <si>
    <t>KFM2120660304567</t>
  </si>
  <si>
    <t xml:space="preserve">   مسجد منيرة عبدالله المزروع .</t>
  </si>
  <si>
    <t>KFM2020660049887</t>
  </si>
  <si>
    <t>AEC2020830323453</t>
  </si>
  <si>
    <t>وزارة الشئون الا سلا مية والا اوقاف .</t>
  </si>
  <si>
    <t>KFM2020660007882</t>
  </si>
  <si>
    <t xml:space="preserve">   مسجد مؤقت      / .</t>
  </si>
  <si>
    <t>SMR2220661000711</t>
  </si>
  <si>
    <t>مسجدالشيخ  حمود التويجري .</t>
  </si>
  <si>
    <t>KFM2020660177040</t>
  </si>
  <si>
    <t>مسجد الراجحي .</t>
  </si>
  <si>
    <t>KFM2020660191150</t>
  </si>
  <si>
    <t xml:space="preserve">   مسجدالسلي حي الجزيره .</t>
  </si>
  <si>
    <t>KFM2120660271546</t>
  </si>
  <si>
    <t xml:space="preserve">   مسجد صالح العليان .</t>
  </si>
  <si>
    <t>KFM2020660018703</t>
  </si>
  <si>
    <t xml:space="preserve">   جامع حي المروج .</t>
  </si>
  <si>
    <t>KFM2020660213557</t>
  </si>
  <si>
    <t xml:space="preserve">   مسجدعمر   بن        عبدالعزيز .</t>
  </si>
  <si>
    <t>KFM2020660036973</t>
  </si>
  <si>
    <t>KFM2120660300605</t>
  </si>
  <si>
    <t>KFM2020660190180</t>
  </si>
  <si>
    <t xml:space="preserve">   مسجد عبدالله البشر .</t>
  </si>
  <si>
    <t>KFM2120660254671</t>
  </si>
  <si>
    <t>KFM2120660255401</t>
  </si>
  <si>
    <t>.    مسجد      الخرجي .</t>
  </si>
  <si>
    <t>KFM2020660054991</t>
  </si>
  <si>
    <t xml:space="preserve">   مسجد حي الخالديه  و مرفقاته .</t>
  </si>
  <si>
    <t>KFM2120660287345</t>
  </si>
  <si>
    <t xml:space="preserve">   مسجد جامع حى الفيحاء .</t>
  </si>
  <si>
    <t>KFM2120660299428</t>
  </si>
  <si>
    <t xml:space="preserve">   مسجد / ابراهيم السلمان .</t>
  </si>
  <si>
    <t>SMR2220661011644</t>
  </si>
  <si>
    <t xml:space="preserve">   مسجد مركز المملكةالعليا .</t>
  </si>
  <si>
    <t>KFM2020660173459</t>
  </si>
  <si>
    <t xml:space="preserve">   مسجد/ ابراهيم بن عبدالله الجريسي .</t>
  </si>
  <si>
    <t>KFM2020660212123</t>
  </si>
  <si>
    <t>KFM2020660213610</t>
  </si>
  <si>
    <t xml:space="preserve">   مسجد طريق الخرج .</t>
  </si>
  <si>
    <t>KFM2020660234164</t>
  </si>
  <si>
    <t xml:space="preserve">   مسجد الشويب القديم .</t>
  </si>
  <si>
    <t>KFM2020660054725</t>
  </si>
  <si>
    <t xml:space="preserve">   مسجد / علي فهد الهزاع .</t>
  </si>
  <si>
    <t>KFM2020660057274</t>
  </si>
  <si>
    <t>جامع سعد الموسى .</t>
  </si>
  <si>
    <t>KFM2020660196695</t>
  </si>
  <si>
    <t>مسجد العريجاء .</t>
  </si>
  <si>
    <t>KFM2020660199000</t>
  </si>
  <si>
    <t>SMR2220661011699</t>
  </si>
  <si>
    <t>مسجدجامع  الحى .</t>
  </si>
  <si>
    <t>KFM2020660200355</t>
  </si>
  <si>
    <t xml:space="preserve">   وزارة الشئون الاسلاميه والاوقاف .</t>
  </si>
  <si>
    <t>KFM2020660197296</t>
  </si>
  <si>
    <t xml:space="preserve">   مسجد/ محمد بن سعيدان .</t>
  </si>
  <si>
    <t>KFM2020660008664</t>
  </si>
  <si>
    <t>SMR2320661028757</t>
  </si>
  <si>
    <t xml:space="preserve">   مسجد/محمد باعبدالله .</t>
  </si>
  <si>
    <t>KFM2020660169853</t>
  </si>
  <si>
    <t>KFM2020660012634</t>
  </si>
  <si>
    <t xml:space="preserve">   مسجد   سلمه ابن  الآكوع .</t>
  </si>
  <si>
    <t>KFM2020660127239</t>
  </si>
  <si>
    <t xml:space="preserve">   مسجد      صالح      الحديثي .</t>
  </si>
  <si>
    <t>KFM2020660056669</t>
  </si>
  <si>
    <t>KFM2020660191830</t>
  </si>
  <si>
    <t>KFM2020660061251</t>
  </si>
  <si>
    <t>KFM2020660154705</t>
  </si>
  <si>
    <t xml:space="preserve">   مسجد التقوى .</t>
  </si>
  <si>
    <t>KFM2120660251608</t>
  </si>
  <si>
    <t>KFM2020660178121</t>
  </si>
  <si>
    <t>مسجد      سعد       العريفي .</t>
  </si>
  <si>
    <t>KFM2020660057773</t>
  </si>
  <si>
    <t>مسجد المنصوريات .</t>
  </si>
  <si>
    <t>KFM2020660039193</t>
  </si>
  <si>
    <t xml:space="preserve">   مسجد حي الأندلس .</t>
  </si>
  <si>
    <t>KFM2020660139698</t>
  </si>
  <si>
    <t>KFM2020760026162</t>
  </si>
  <si>
    <t>جامع ابي  هريره .</t>
  </si>
  <si>
    <t>KFM2020660202669</t>
  </si>
  <si>
    <t>KFM2020660190472</t>
  </si>
  <si>
    <t>وزارة     الشئون    والاوقاف .</t>
  </si>
  <si>
    <t>KFM2120660270636</t>
  </si>
  <si>
    <t>KFM2020660018985</t>
  </si>
  <si>
    <t xml:space="preserve">   مسجد علي بن ابي طالب .</t>
  </si>
  <si>
    <t>KFM2020660162856</t>
  </si>
  <si>
    <t>جامع الرميح .</t>
  </si>
  <si>
    <t>KFM2020660098856</t>
  </si>
  <si>
    <t>SMR2420661036124</t>
  </si>
  <si>
    <t xml:space="preserve">   مسجدعبدالله النملة ومرافقيه .</t>
  </si>
  <si>
    <t>KFM2120660253018</t>
  </si>
  <si>
    <t>KFM2020660213986</t>
  </si>
  <si>
    <t xml:space="preserve">   مسجد حي الضباط .</t>
  </si>
  <si>
    <t>KFM2020660192117</t>
  </si>
  <si>
    <t xml:space="preserve"> مسجد زيد بن الحارثة مسجدالجربوع .</t>
  </si>
  <si>
    <t>KFM2020660203418</t>
  </si>
  <si>
    <t xml:space="preserve">   مسجد الامير/ متعب بن عبدالعزيز .</t>
  </si>
  <si>
    <t>KFM2020660178010</t>
  </si>
  <si>
    <t>مسجد الشفاء .</t>
  </si>
  <si>
    <t>KFM2020660087445</t>
  </si>
  <si>
    <t xml:space="preserve"> وزاره الشئون والاوقاف (مسجدحي النفل) .</t>
  </si>
  <si>
    <t>KFM2020660052796</t>
  </si>
  <si>
    <t xml:space="preserve">   مسجد خالد بن الوليد .</t>
  </si>
  <si>
    <t>KFM2020660041926</t>
  </si>
  <si>
    <t>مسجدالعريفي /صناعية   الموسى .</t>
  </si>
  <si>
    <t>KFM2020660019453</t>
  </si>
  <si>
    <t>مسجد ظ البديعة  غرب  الدائري .</t>
  </si>
  <si>
    <t>KFM2020660201774</t>
  </si>
  <si>
    <t>مسجد حمود بن محمد الصالح .</t>
  </si>
  <si>
    <t>KFM2020660031565</t>
  </si>
  <si>
    <t xml:space="preserve">   مسجد حي   الياسمين .</t>
  </si>
  <si>
    <t>KFM2020660206925</t>
  </si>
  <si>
    <t>KFM2120660237182</t>
  </si>
  <si>
    <t>مشروع  الاميرسلمان/4/ مسجد المجمع .</t>
  </si>
  <si>
    <t>KFM2020660166800</t>
  </si>
  <si>
    <t>مسجد شمال  شرق  الخزان .</t>
  </si>
  <si>
    <t>KFM2120660264474</t>
  </si>
  <si>
    <t>مسجد عيسى  بن راشد بن عويسى .</t>
  </si>
  <si>
    <t>KFM2020660056097</t>
  </si>
  <si>
    <t xml:space="preserve">   مسجد حي الملك فهد .</t>
  </si>
  <si>
    <t>KFM2020660165551</t>
  </si>
  <si>
    <t xml:space="preserve">   مسجد عبدالله يوسف .</t>
  </si>
  <si>
    <t>KFM2020660042001</t>
  </si>
  <si>
    <t>SMR2420661036137</t>
  </si>
  <si>
    <t xml:space="preserve">   مسجد أمهات المؤمنين .</t>
  </si>
  <si>
    <t>KFM2120660274160</t>
  </si>
  <si>
    <t>KFM2120660257404</t>
  </si>
  <si>
    <t>SMR2320661030331</t>
  </si>
  <si>
    <t>3) مسجد    /مشروع  الامير سلمان .</t>
  </si>
  <si>
    <t>KFM2020660166799</t>
  </si>
  <si>
    <t xml:space="preserve">   مسجد عبدالله السديس .</t>
  </si>
  <si>
    <t>KFM2020660145073</t>
  </si>
  <si>
    <t>مسجد الجارود .</t>
  </si>
  <si>
    <t>KFM2020660229378</t>
  </si>
  <si>
    <t xml:space="preserve">   جامع الشيخ/فهد بن زرعه .</t>
  </si>
  <si>
    <t>KFM2020660053110</t>
  </si>
  <si>
    <t>KFM2020660160575</t>
  </si>
  <si>
    <t xml:space="preserve">  مسجد وزارة الشئون الاسلاميه والاوقاف .</t>
  </si>
  <si>
    <t>KFM2120660299280</t>
  </si>
  <si>
    <t>KFM2020660040837</t>
  </si>
  <si>
    <t>KFM2020660133789</t>
  </si>
  <si>
    <t xml:space="preserve">   مسجد طيبه .</t>
  </si>
  <si>
    <t>KFM2120660300640</t>
  </si>
  <si>
    <t>KFM2020660051385</t>
  </si>
  <si>
    <t>KFM2120660260335</t>
  </si>
  <si>
    <t xml:space="preserve">   مسجد      محمد      عمران .</t>
  </si>
  <si>
    <t>KFM2020660227219</t>
  </si>
  <si>
    <t xml:space="preserve">   مسجدالامير سلطان ابن ال سعود .</t>
  </si>
  <si>
    <t>KFM2120660262259</t>
  </si>
  <si>
    <t>مسجد      جامع      شبرا .</t>
  </si>
  <si>
    <t>KFM2020660049448</t>
  </si>
  <si>
    <t xml:space="preserve">    مسجد العليا .</t>
  </si>
  <si>
    <t>KFM2020660165482</t>
  </si>
  <si>
    <t xml:space="preserve"> مسجد حي السعادة مدرسة تحفيظ القرآن .</t>
  </si>
  <si>
    <t>KFM2120660242157</t>
  </si>
  <si>
    <t>مسجد البديعه  وسكن الامام  والمؤذن .</t>
  </si>
  <si>
    <t>KFM2020660173520</t>
  </si>
  <si>
    <t xml:space="preserve">   مسجدابن القيم .</t>
  </si>
  <si>
    <t>KFM2020660133317</t>
  </si>
  <si>
    <t xml:space="preserve">         مسجدسليمان القزلان حىالفلاح .</t>
  </si>
  <si>
    <t>KFM2020660214092</t>
  </si>
  <si>
    <t xml:space="preserve">   مسجداحد بحي التعاون .</t>
  </si>
  <si>
    <t>KFM2020660213008</t>
  </si>
  <si>
    <t xml:space="preserve"> مسجد الامير سعود بن فهد بن عبدالعزيز .</t>
  </si>
  <si>
    <t>KFM2020660043469</t>
  </si>
  <si>
    <t xml:space="preserve">   مسجد/ ذات النطاقين .</t>
  </si>
  <si>
    <t>KFM2020660041276</t>
  </si>
  <si>
    <t xml:space="preserve">   مسجد ابي عبدالله البخاري .</t>
  </si>
  <si>
    <t>KFM2020660049737</t>
  </si>
  <si>
    <t xml:space="preserve">   بيت الامام المسجد ة .</t>
  </si>
  <si>
    <t>KFM2120660255697</t>
  </si>
  <si>
    <t>مسجد / محمد ابوشنق .</t>
  </si>
  <si>
    <t>KFM2020660013836</t>
  </si>
  <si>
    <t xml:space="preserve">   مسجدالاميرعبدالعزيزمساعدبن جلوي .</t>
  </si>
  <si>
    <t>KFM2120660303832</t>
  </si>
  <si>
    <t xml:space="preserve">   مسجد      حجاب      / .</t>
  </si>
  <si>
    <t>KFM2020660132572</t>
  </si>
  <si>
    <t>KFM2120660239074</t>
  </si>
  <si>
    <t xml:space="preserve">   مسجد محمد لافي الحربي+ سكن +مدرسه .</t>
  </si>
  <si>
    <t>KFM2020660176385</t>
  </si>
  <si>
    <t xml:space="preserve">   وزاره الشؤون الاسلاميه -مسجدالفلاح .</t>
  </si>
  <si>
    <t>KFM2020660211499</t>
  </si>
  <si>
    <t>KFM2020660174330</t>
  </si>
  <si>
    <t>KFM2020660187628</t>
  </si>
  <si>
    <t xml:space="preserve">   مسجد سعد بن معاذ .</t>
  </si>
  <si>
    <t>KFM2120660281717</t>
  </si>
  <si>
    <t xml:space="preserve">  مسجدالاميره/العنودعبدالعزيزبن جلوي .</t>
  </si>
  <si>
    <t>KFM2120660236101</t>
  </si>
  <si>
    <t>مسجد جامع  طلعه .</t>
  </si>
  <si>
    <t>KFM2020660056107</t>
  </si>
  <si>
    <t>مسجد حي الرفيعه .</t>
  </si>
  <si>
    <t>KFM2120660304421</t>
  </si>
  <si>
    <t>مسجد محمد عبدالله  العشوخ .</t>
  </si>
  <si>
    <t>KFM2020660055021</t>
  </si>
  <si>
    <t>KFM2020660039177</t>
  </si>
  <si>
    <t>KFM2020660060430</t>
  </si>
  <si>
    <t xml:space="preserve">   مسجد حى النسيم .</t>
  </si>
  <si>
    <t>KFM2020660018671</t>
  </si>
  <si>
    <t xml:space="preserve">   مسجد رجاء العتيبي .</t>
  </si>
  <si>
    <t>KFM2020660161276</t>
  </si>
  <si>
    <t xml:space="preserve">   مسجد الياسمين .</t>
  </si>
  <si>
    <t>KFM2120660240863</t>
  </si>
  <si>
    <t xml:space="preserve">      مسجد   محمد  حمد صالح المطوع .</t>
  </si>
  <si>
    <t>KFM2020660053285</t>
  </si>
  <si>
    <t xml:space="preserve">   مسجد السديري .</t>
  </si>
  <si>
    <t>KFM2120660236542</t>
  </si>
  <si>
    <t>KFM2020660041143</t>
  </si>
  <si>
    <t xml:space="preserve">   مسجد الشهيد ايمن الفتى .</t>
  </si>
  <si>
    <t>KFM2120660247053</t>
  </si>
  <si>
    <t>مسجد/ الامير محمد بن سعود الكبير .</t>
  </si>
  <si>
    <t>KFM2020660198342</t>
  </si>
  <si>
    <t>SMR2220661006778</t>
  </si>
  <si>
    <t>KFM2020660207342</t>
  </si>
  <si>
    <t xml:space="preserve">   مسجد حي المليحيه .</t>
  </si>
  <si>
    <t>KFM2020660040867</t>
  </si>
  <si>
    <t>KFM2020660202303</t>
  </si>
  <si>
    <t>KFM2020660176819</t>
  </si>
  <si>
    <t>KFM2120660276222</t>
  </si>
  <si>
    <t>KFM2120660251280</t>
  </si>
  <si>
    <t xml:space="preserve">   مسجد      سوق       الربوه .</t>
  </si>
  <si>
    <t>KFM2020660145017</t>
  </si>
  <si>
    <t xml:space="preserve">   مسجد      القرني .</t>
  </si>
  <si>
    <t>KFM2020660139721</t>
  </si>
  <si>
    <t>KFM2020660197752</t>
  </si>
  <si>
    <t>KFM2020660192841</t>
  </si>
  <si>
    <t xml:space="preserve">   مسجد عمر بن عبدالعزيز .</t>
  </si>
  <si>
    <t>KFM2020660040632</t>
  </si>
  <si>
    <t>وزارة الشئون الا سلا مية والااوقاف .</t>
  </si>
  <si>
    <t>KFM2020660057865</t>
  </si>
  <si>
    <t>KFM2020660206949</t>
  </si>
  <si>
    <t>KFM2120660270726</t>
  </si>
  <si>
    <t xml:space="preserve">   مسجدضاحيةلبن الثاني .</t>
  </si>
  <si>
    <t>KFM2020660192603</t>
  </si>
  <si>
    <t>KFM2020660191333</t>
  </si>
  <si>
    <t xml:space="preserve">   وزارة الشئون الاسلامية مسجدالواصل .</t>
  </si>
  <si>
    <t>KFM2020660202785</t>
  </si>
  <si>
    <t>KFM2020660047215</t>
  </si>
  <si>
    <t>KFM2020660177020</t>
  </si>
  <si>
    <t xml:space="preserve">   مسجد حي النور .</t>
  </si>
  <si>
    <t>KFM2120660299666</t>
  </si>
  <si>
    <t xml:space="preserve">   مدرسة حبيبه بنت جحش بحى الاسكان .</t>
  </si>
  <si>
    <t>KFM2020660162807</t>
  </si>
  <si>
    <t>KFM2020660202889</t>
  </si>
  <si>
    <t>KFM2020660191653</t>
  </si>
  <si>
    <t xml:space="preserve">   مسجد حى الازدهار .</t>
  </si>
  <si>
    <t>KFM2020660173125</t>
  </si>
  <si>
    <t xml:space="preserve">   مسجد نورة زيدالغملاس .</t>
  </si>
  <si>
    <t>KFM2020660201104</t>
  </si>
  <si>
    <t>KFM2020660170640</t>
  </si>
  <si>
    <t xml:space="preserve">   مسجد اسواق الهودج .</t>
  </si>
  <si>
    <t>KFM2120660268731</t>
  </si>
  <si>
    <t>مسجد/ بن تيميه .</t>
  </si>
  <si>
    <t>KFM2020660098752</t>
  </si>
  <si>
    <t>مسجد حي شبرا .</t>
  </si>
  <si>
    <t>KFM2020660039919</t>
  </si>
  <si>
    <t xml:space="preserve">   مسجد العقيق .</t>
  </si>
  <si>
    <t>KFM2020660187994</t>
  </si>
  <si>
    <t xml:space="preserve">   مسجد عكاشه .</t>
  </si>
  <si>
    <t>KFM2120660258945</t>
  </si>
  <si>
    <t xml:space="preserve">   جامع باجد .</t>
  </si>
  <si>
    <t>KFM2020660145764</t>
  </si>
  <si>
    <t>KFM2020660035616</t>
  </si>
  <si>
    <t xml:space="preserve">   مسجد نايف الحديثي .</t>
  </si>
  <si>
    <t>KFM2020660060079</t>
  </si>
  <si>
    <t xml:space="preserve">   مسجد المطرودي .</t>
  </si>
  <si>
    <t>KFM2120660270372</t>
  </si>
  <si>
    <t>KFM2120660283896</t>
  </si>
  <si>
    <t xml:space="preserve">   جامع العرنوس .</t>
  </si>
  <si>
    <t>KFM2020660162754</t>
  </si>
  <si>
    <t xml:space="preserve">   مسجد حي السلام الشرقي .</t>
  </si>
  <si>
    <t>KFM2020660145825</t>
  </si>
  <si>
    <t>KFM2020660043388</t>
  </si>
  <si>
    <t xml:space="preserve">   مسجد حي الا ندلس .</t>
  </si>
  <si>
    <t>KFM2020660060147</t>
  </si>
  <si>
    <t xml:space="preserve">   مسجد العلياء .</t>
  </si>
  <si>
    <t>KFM2120660236030</t>
  </si>
  <si>
    <t xml:space="preserve"> مسجد الامير فيصل بن طلال بن عبدالعزيز .</t>
  </si>
  <si>
    <t>KFM2020660202768</t>
  </si>
  <si>
    <t xml:space="preserve">    جامع الأميرة سارة بنت تركي .</t>
  </si>
  <si>
    <t>KFM2120660246244</t>
  </si>
  <si>
    <t xml:space="preserve">   مسجد عبدالعزيز الجميح .</t>
  </si>
  <si>
    <t>KFM2120660235681</t>
  </si>
  <si>
    <t>مسجد  /محمد سعد ال  فريان .</t>
  </si>
  <si>
    <t>KFM2020660054959</t>
  </si>
  <si>
    <t>KFM2020660171809</t>
  </si>
  <si>
    <t xml:space="preserve">    مسجد حى اشبيليا .</t>
  </si>
  <si>
    <t>KFM2020660171291</t>
  </si>
  <si>
    <t xml:space="preserve">   مسجد ابو بكر الصديق .</t>
  </si>
  <si>
    <t>KFM2020660132820</t>
  </si>
  <si>
    <t>KFM2020660044523</t>
  </si>
  <si>
    <t>KFM2020660203286</t>
  </si>
  <si>
    <t>KFM2020660057597</t>
  </si>
  <si>
    <t xml:space="preserve">   وزارةالشئؤون الاسلامية مسجدالغدير .</t>
  </si>
  <si>
    <t>KFM2020660209512</t>
  </si>
  <si>
    <t xml:space="preserve">   مسجد منصور التركي .</t>
  </si>
  <si>
    <t>KFM2020660057166</t>
  </si>
  <si>
    <t xml:space="preserve">   مسجد غرناطة .</t>
  </si>
  <si>
    <t>KFM2020660178231</t>
  </si>
  <si>
    <t>مسجد ابراهيم  محمد السليمان .</t>
  </si>
  <si>
    <t>KFM2020660014114</t>
  </si>
  <si>
    <t xml:space="preserve">   مسجد      حي        الملك فيصل .</t>
  </si>
  <si>
    <t>KFM2020660012579</t>
  </si>
  <si>
    <t>وزارة     الشؤون    والأوقاف .</t>
  </si>
  <si>
    <t>KFM2020660051260</t>
  </si>
  <si>
    <t>KFM2120660300562</t>
  </si>
  <si>
    <t xml:space="preserve">   مسجد      موضى      . .</t>
  </si>
  <si>
    <t>KFM2020660060523</t>
  </si>
  <si>
    <t xml:space="preserve">   مسجد حي التعاون مخطط 1822 بلك 10 .</t>
  </si>
  <si>
    <t>KFM2020660160610</t>
  </si>
  <si>
    <t xml:space="preserve">   مسجد حي الربوة .</t>
  </si>
  <si>
    <t>KFM2020660043385</t>
  </si>
  <si>
    <t>KFM2020660025744</t>
  </si>
  <si>
    <t>مسجد      السكيت     الشفاء .</t>
  </si>
  <si>
    <t>KFM2020660035608</t>
  </si>
  <si>
    <t xml:space="preserve">   مسجد وسكن عبدالعزيز التويجرى .</t>
  </si>
  <si>
    <t>KFM2020660161236</t>
  </si>
  <si>
    <t>KFM2020660043894</t>
  </si>
  <si>
    <t xml:space="preserve">   وزاره الشؤون الاسلاميه =مسجدالمروج .</t>
  </si>
  <si>
    <t>KFM2020660207302</t>
  </si>
  <si>
    <t xml:space="preserve">   مسجد حي القدس .</t>
  </si>
  <si>
    <t>KFM2020660056722</t>
  </si>
  <si>
    <t xml:space="preserve">   مسجد علي بن أبي طالب .</t>
  </si>
  <si>
    <t>KFM2020660190914</t>
  </si>
  <si>
    <t>KFM2020660209225</t>
  </si>
  <si>
    <t xml:space="preserve"> وزارةالشؤن الاسلامية والاوقاف مسجدخالد .</t>
  </si>
  <si>
    <t>KFM2120660254665</t>
  </si>
  <si>
    <t>KFM2020660171822</t>
  </si>
  <si>
    <t>KFM2020660054511</t>
  </si>
  <si>
    <t>KFM2020660053286</t>
  </si>
  <si>
    <t>مسجد      بجاد حلة   العماج .</t>
  </si>
  <si>
    <t>KFM2020660201740</t>
  </si>
  <si>
    <t xml:space="preserve">   مسجد الايمان .</t>
  </si>
  <si>
    <t>KFM2020660041679</t>
  </si>
  <si>
    <t>مسجد ام  الامير طلال .</t>
  </si>
  <si>
    <t>KFM2020660198262</t>
  </si>
  <si>
    <t xml:space="preserve">   مسجد الفلاح .</t>
  </si>
  <si>
    <t>KFM2020660171473</t>
  </si>
  <si>
    <t>KFM2020660187619</t>
  </si>
  <si>
    <t>مسجد والدة  الاميرسطام  بن عبدالعزيز .</t>
  </si>
  <si>
    <t>KFM2120660283966</t>
  </si>
  <si>
    <t xml:space="preserve">   مسجدالسوق التجارى .</t>
  </si>
  <si>
    <t>KFM2020660229443</t>
  </si>
  <si>
    <t>KFM2020660211457</t>
  </si>
  <si>
    <t xml:space="preserve">   مسجدسموالاميرعبدالرحمن عبدالله ال .</t>
  </si>
  <si>
    <t>KFM2120660300814</t>
  </si>
  <si>
    <t xml:space="preserve">   مسجدالرميزان .</t>
  </si>
  <si>
    <t>KFM2120660257451</t>
  </si>
  <si>
    <t xml:space="preserve">   مسجد الزيد .</t>
  </si>
  <si>
    <t>KFM2020660048217</t>
  </si>
  <si>
    <t xml:space="preserve">   مسجد محمد العجلان .</t>
  </si>
  <si>
    <t>KFM2120660246653</t>
  </si>
  <si>
    <t xml:space="preserve">   مسجد جامع الملك عبدالعزيز .</t>
  </si>
  <si>
    <t>KFM2020660188675</t>
  </si>
  <si>
    <t xml:space="preserve">   مسجد جامع الملز الاول .</t>
  </si>
  <si>
    <t>KFM2120660282676</t>
  </si>
  <si>
    <t>KFM2020660051567</t>
  </si>
  <si>
    <t>KFM2020660211476</t>
  </si>
  <si>
    <t>مسجد      عثمان     عفان .</t>
  </si>
  <si>
    <t>KFM2020660200654</t>
  </si>
  <si>
    <t xml:space="preserve">   مسجد      ام        ال .</t>
  </si>
  <si>
    <t>KFM2020660104394</t>
  </si>
  <si>
    <t>KFM2020660210858</t>
  </si>
  <si>
    <t>مسجدالشيخ  عبدالله  القرعاوي .</t>
  </si>
  <si>
    <t>KFM2020660174963</t>
  </si>
  <si>
    <t>KFM2020660193620</t>
  </si>
  <si>
    <t xml:space="preserve">   مسجدعبدالله ناصرالصقر .</t>
  </si>
  <si>
    <t>SMR2220661011648</t>
  </si>
  <si>
    <t>KFM2020660202496</t>
  </si>
  <si>
    <t>KFM2020660037641</t>
  </si>
  <si>
    <t>KFM2020660057140</t>
  </si>
  <si>
    <t xml:space="preserve">  مسجد/عبدالرحمن فهد صالح الكريديس .</t>
  </si>
  <si>
    <t>KFM2120660242173</t>
  </si>
  <si>
    <t xml:space="preserve">   مسجد جامع ظهرة الحاير .</t>
  </si>
  <si>
    <t>KFM2120660282701</t>
  </si>
  <si>
    <t>MMF2020800227443</t>
  </si>
  <si>
    <t xml:space="preserve">   جامع الشيخ سعد الختلان .</t>
  </si>
  <si>
    <t>KFM2020660190889</t>
  </si>
  <si>
    <t xml:space="preserve">   وزارةالشئون الاسلاميه بناء مسجد .</t>
  </si>
  <si>
    <t>KFM2120660264183</t>
  </si>
  <si>
    <t>7  مسجد مخطط 8  2 بلك .</t>
  </si>
  <si>
    <t>KFM2020660171732</t>
  </si>
  <si>
    <t xml:space="preserve">   مسجد عبدالكريم جميلي .</t>
  </si>
  <si>
    <t>KFM2020660061445</t>
  </si>
  <si>
    <t>KFM2020660172934</t>
  </si>
  <si>
    <t xml:space="preserve">   مسجد      ابي       الانصاري .</t>
  </si>
  <si>
    <t>KFM2020660133879</t>
  </si>
  <si>
    <t xml:space="preserve">   مسجد حي الجنادريه .</t>
  </si>
  <si>
    <t>KFM2020660133881</t>
  </si>
  <si>
    <t xml:space="preserve">   مسجد      حسين      ال الشيخ .</t>
  </si>
  <si>
    <t>KFM2020660012239</t>
  </si>
  <si>
    <t>SMR2220621002032</t>
  </si>
  <si>
    <t xml:space="preserve">   مسجد بدر/ حي العلياء .</t>
  </si>
  <si>
    <t>KFM2120660246669</t>
  </si>
  <si>
    <t>KFM2020660187643</t>
  </si>
  <si>
    <t xml:space="preserve">   مسجد نجر غزاي العتيبي .</t>
  </si>
  <si>
    <t>KFM2020660141907</t>
  </si>
  <si>
    <t>KFM2020660167837</t>
  </si>
  <si>
    <t>KFM2120660262116</t>
  </si>
  <si>
    <t>مسجد نورة  العجلان .</t>
  </si>
  <si>
    <t>KFM2020660196776</t>
  </si>
  <si>
    <t>KFM2020660170643</t>
  </si>
  <si>
    <t xml:space="preserve"> المسجد    الموقت  جامع العوده .</t>
  </si>
  <si>
    <t>KFM2020660198408</t>
  </si>
  <si>
    <t>KFM2020660198530</t>
  </si>
  <si>
    <t xml:space="preserve">   مسجد نورة حرم التويجري .</t>
  </si>
  <si>
    <t>KFM2020660188571</t>
  </si>
  <si>
    <t xml:space="preserve">   جامع طيبةالطيبة .</t>
  </si>
  <si>
    <t>KFM2020660141799</t>
  </si>
  <si>
    <t>KFM2020660044643</t>
  </si>
  <si>
    <t xml:space="preserve">   مسجد الهزاع .</t>
  </si>
  <si>
    <t>KFM2020660175706</t>
  </si>
  <si>
    <t xml:space="preserve">   مسجد اسواق العويس .</t>
  </si>
  <si>
    <t>KFM2020660014356</t>
  </si>
  <si>
    <t xml:space="preserve">   مسجد النفل .</t>
  </si>
  <si>
    <t>KFM2020660095458</t>
  </si>
  <si>
    <t xml:space="preserve">   مسجد فهيد المخلفي .</t>
  </si>
  <si>
    <t>KFM2020660050045</t>
  </si>
  <si>
    <t xml:space="preserve">   مسجد وجامع حى الفيصلية 2905/5</t>
  </si>
  <si>
    <t>KFM2020660053950</t>
  </si>
  <si>
    <t xml:space="preserve">   مسجد متعب الدعجاني .</t>
  </si>
  <si>
    <t>KFM2020660054529</t>
  </si>
  <si>
    <t>مسجد حي العريجاء .</t>
  </si>
  <si>
    <t>KFM2020660057901</t>
  </si>
  <si>
    <t xml:space="preserve">   جامع ابوبكر الصديق .</t>
  </si>
  <si>
    <t>KFM2020660012592</t>
  </si>
  <si>
    <t>KFM2020660100037</t>
  </si>
  <si>
    <t>مسجد حى  الشفاء .</t>
  </si>
  <si>
    <t>KFM2020660176000</t>
  </si>
  <si>
    <t xml:space="preserve">   مسجد أبي بكر الصديق .</t>
  </si>
  <si>
    <t>KFM2020660138390</t>
  </si>
  <si>
    <t xml:space="preserve">   مسجد      بن عساكر  . .</t>
  </si>
  <si>
    <t>SMR2420661038471</t>
  </si>
  <si>
    <t>SMR2220621001627</t>
  </si>
  <si>
    <t xml:space="preserve">   مسجد أنس  بن مالك .</t>
  </si>
  <si>
    <t>KFM2020660166586</t>
  </si>
  <si>
    <t xml:space="preserve">   مسجد حي النسيم .</t>
  </si>
  <si>
    <t>KFM2020660007771</t>
  </si>
  <si>
    <t xml:space="preserve">   مسجدالأمير سلطان     بن عبدالعزيز .</t>
  </si>
  <si>
    <t>KFM2020660175715</t>
  </si>
  <si>
    <t xml:space="preserve">   مسجد   النهضه .</t>
  </si>
  <si>
    <t>KFM2020660119277</t>
  </si>
  <si>
    <t>KFM2020660046434</t>
  </si>
  <si>
    <t>مسجد      القويز    بالبديعة .</t>
  </si>
  <si>
    <t>KFM2020660027238</t>
  </si>
  <si>
    <t xml:space="preserve">   مسجدسموالاميرمتعب بن عبدالعزيز .</t>
  </si>
  <si>
    <t>KFM2020660210862</t>
  </si>
  <si>
    <t xml:space="preserve">   مسجد جامع / حي الواحه .</t>
  </si>
  <si>
    <t>KFM2020660188059</t>
  </si>
  <si>
    <t xml:space="preserve">   وزارة     الشؤون    مسجد حي عرقه .</t>
  </si>
  <si>
    <t>KFM2020660097359</t>
  </si>
  <si>
    <t xml:space="preserve">   مسجد والدة الأمير تركي .</t>
  </si>
  <si>
    <t>KFM2020660018693</t>
  </si>
  <si>
    <t>KFM2120660246943</t>
  </si>
  <si>
    <t xml:space="preserve">   مسجد المطيري .</t>
  </si>
  <si>
    <t>KFM2020660060125</t>
  </si>
  <si>
    <t>KFM2020660192901</t>
  </si>
  <si>
    <t xml:space="preserve">   جامع الصديق .</t>
  </si>
  <si>
    <t>KFM2020660210764</t>
  </si>
  <si>
    <t>KFM2020660104874</t>
  </si>
  <si>
    <t xml:space="preserve">   مسجدابراهيم بن أدهم .</t>
  </si>
  <si>
    <t>KFM2020660056983</t>
  </si>
  <si>
    <t xml:space="preserve">   مسجد محمد الأمين .</t>
  </si>
  <si>
    <t>KFM2020660142082</t>
  </si>
  <si>
    <t xml:space="preserve">   مسجد ابراهيم المعمر .</t>
  </si>
  <si>
    <t>KFM2020660175146</t>
  </si>
  <si>
    <t>SMR2320661024400</t>
  </si>
  <si>
    <t xml:space="preserve">   مسجد جوزاء جدي الحريول .</t>
  </si>
  <si>
    <t>KFM2020660174894</t>
  </si>
  <si>
    <t xml:space="preserve">   مسـجد الشـيخ ناصر الشـثرى .</t>
  </si>
  <si>
    <t>KFM2020660201414</t>
  </si>
  <si>
    <t xml:space="preserve">   وزارةالشئون الاسلاميه مسجد .</t>
  </si>
  <si>
    <t>KFM2120660248014</t>
  </si>
  <si>
    <t>مسجد شبرا .</t>
  </si>
  <si>
    <t>KFM2020660044986</t>
  </si>
  <si>
    <t xml:space="preserve">   مسجد الاميرة دليل بنت عبدالرحمن .</t>
  </si>
  <si>
    <t>KFM2120660299478</t>
  </si>
  <si>
    <t>KFM2020660104891</t>
  </si>
  <si>
    <t>مسجد اسامة  سعد احمد آل  سليمان .</t>
  </si>
  <si>
    <t>KFM2020660198382</t>
  </si>
  <si>
    <t>مسجد      الريس     حي السباله .</t>
  </si>
  <si>
    <t>KFM2020660014125</t>
  </si>
  <si>
    <t>مسجد الرفيق .</t>
  </si>
  <si>
    <t>KFM2020660167665</t>
  </si>
  <si>
    <t xml:space="preserve">   مسجد ذات النطاقين .</t>
  </si>
  <si>
    <t>KFM2120660301546</t>
  </si>
  <si>
    <t xml:space="preserve">   مسجدحي الربيع ومرافقه .</t>
  </si>
  <si>
    <t>KFM2020660213581</t>
  </si>
  <si>
    <t xml:space="preserve">   مسجد الشلهوب .</t>
  </si>
  <si>
    <t>KFM2020660213591</t>
  </si>
  <si>
    <t xml:space="preserve">   مسجد المنار .</t>
  </si>
  <si>
    <t>KFM2020660058496</t>
  </si>
  <si>
    <t xml:space="preserve">   مسجد شرق الربوه .</t>
  </si>
  <si>
    <t>KFM2020660130970</t>
  </si>
  <si>
    <t>.    مسجد      الغملاس .</t>
  </si>
  <si>
    <t>KFM2020660202436</t>
  </si>
  <si>
    <t xml:space="preserve">   مسجدالقادسيه .</t>
  </si>
  <si>
    <t>KFM2120660267500</t>
  </si>
  <si>
    <t>مسجد ال  الشيخ .</t>
  </si>
  <si>
    <t>KFM2020660098927</t>
  </si>
  <si>
    <t>KFM2020660200418</t>
  </si>
  <si>
    <t>KFM2020660173140</t>
  </si>
  <si>
    <t>مسجد غرب شبراء .</t>
  </si>
  <si>
    <t>KFM2020660099037</t>
  </si>
  <si>
    <t xml:space="preserve">     وزارة الشئون الاسلامية والاوقاف .</t>
  </si>
  <si>
    <t>KFM2020660187948</t>
  </si>
  <si>
    <t>KFM2020660210766</t>
  </si>
  <si>
    <t xml:space="preserve">   مسجدحي الوادي وسكن الامام والمؤذن .</t>
  </si>
  <si>
    <t>KFM2020660211382</t>
  </si>
  <si>
    <t>KFM2020660097628</t>
  </si>
  <si>
    <t xml:space="preserve">   مسجد الخويطر .</t>
  </si>
  <si>
    <t>KFM2020660170753</t>
  </si>
  <si>
    <t xml:space="preserve">   مسجد      سليمان    اليحي .</t>
  </si>
  <si>
    <t>KFM2020660008315</t>
  </si>
  <si>
    <t xml:space="preserve">   مسجد      حمد       الخريف .</t>
  </si>
  <si>
    <t>KFM2020660139700</t>
  </si>
  <si>
    <t xml:space="preserve">   مسجد الامير /نواف بن فيصل بن فهد .</t>
  </si>
  <si>
    <t>KFM2120660240914</t>
  </si>
  <si>
    <t xml:space="preserve">   مسجد الزبير بن العوام .</t>
  </si>
  <si>
    <t>KFM2020660162184</t>
  </si>
  <si>
    <t xml:space="preserve">   مسجد ذوالنورين .</t>
  </si>
  <si>
    <t>KFM2020660195173</t>
  </si>
  <si>
    <t xml:space="preserve">   مسجد / عبدالله العامرى .</t>
  </si>
  <si>
    <t>KFM2020660206421</t>
  </si>
  <si>
    <t>KFM2020660193485</t>
  </si>
  <si>
    <t xml:space="preserve">   مسجد العزيزية .</t>
  </si>
  <si>
    <t>KFM2120660299057</t>
  </si>
  <si>
    <t xml:space="preserve">   مسجد لبن .</t>
  </si>
  <si>
    <t>KFM2020660197730</t>
  </si>
  <si>
    <t>SMR2220661007098</t>
  </si>
  <si>
    <t xml:space="preserve">   مسجد الوهيبي .</t>
  </si>
  <si>
    <t>KFM2020660202886</t>
  </si>
  <si>
    <t>مسجد الشيخ محمد العمراني سكن .</t>
  </si>
  <si>
    <t>KFM2020660145907</t>
  </si>
  <si>
    <t>.    مسجد      الطرباق .</t>
  </si>
  <si>
    <t>KFM2020660203684</t>
  </si>
  <si>
    <t xml:space="preserve">   مسجد السلامه بحى الصحافه .</t>
  </si>
  <si>
    <t>KFM2020660104266</t>
  </si>
  <si>
    <t xml:space="preserve">   مسجد العجيان .</t>
  </si>
  <si>
    <t>KFM2120660256714</t>
  </si>
  <si>
    <t>KFM2020660051198</t>
  </si>
  <si>
    <t>KFM2020660057200</t>
  </si>
  <si>
    <t xml:space="preserve">   مسجد حي القادسية .</t>
  </si>
  <si>
    <t>KFM2020660038840</t>
  </si>
  <si>
    <t xml:space="preserve">   جامع الصناعيه الثانيه .</t>
  </si>
  <si>
    <t>KFM2120660236375</t>
  </si>
  <si>
    <t xml:space="preserve">   مسجد سليمان محمد الجوير .</t>
  </si>
  <si>
    <t>KFM2020660195505</t>
  </si>
  <si>
    <t xml:space="preserve">   مسجد الملقا وبيتي الامام والمؤذن .</t>
  </si>
  <si>
    <t>KFM2020660127830</t>
  </si>
  <si>
    <t xml:space="preserve">   مسجد الروضه بحي العليا .</t>
  </si>
  <si>
    <t>KFM2020660051155</t>
  </si>
  <si>
    <t xml:space="preserve">   مسجد النور .</t>
  </si>
  <si>
    <t>KFM2020660129880</t>
  </si>
  <si>
    <t>مسجد / ابن كثير .</t>
  </si>
  <si>
    <t>KFM2020660057783</t>
  </si>
  <si>
    <t xml:space="preserve">   وزارة الشئون الاسلاميه جامع النور .</t>
  </si>
  <si>
    <t>KFM2120660256934</t>
  </si>
  <si>
    <t>SMR2220661002776</t>
  </si>
  <si>
    <t xml:space="preserve">   مسجد/ عمر بن عبدالعزيز .</t>
  </si>
  <si>
    <t>KFM2020660135568</t>
  </si>
  <si>
    <t xml:space="preserve">   مسجد الا ندلس .</t>
  </si>
  <si>
    <t>KFM2020660193654</t>
  </si>
  <si>
    <t>SMR2220661002517</t>
  </si>
  <si>
    <t xml:space="preserve">   وزارة الشئوؤن الاسلامية/مسجدالفاضل .</t>
  </si>
  <si>
    <t>KFM2020660207698</t>
  </si>
  <si>
    <t>مسجد بضاحية  العريجا .</t>
  </si>
  <si>
    <t>KFM2020660198275</t>
  </si>
  <si>
    <t xml:space="preserve">       مسجد  حافظ  رجب الحنبلي .</t>
  </si>
  <si>
    <t>KFM2020660042051</t>
  </si>
  <si>
    <t>KFM2020660196836</t>
  </si>
  <si>
    <t>KFM2020660202081</t>
  </si>
  <si>
    <t xml:space="preserve">   مسجد      احمد      القبس .</t>
  </si>
  <si>
    <t>KFM2020660187667</t>
  </si>
  <si>
    <t xml:space="preserve">   مسجد عبدالعزيز الغفيص .</t>
  </si>
  <si>
    <t>KFM2120660242769</t>
  </si>
  <si>
    <t xml:space="preserve">    مسجد      المقبل .</t>
  </si>
  <si>
    <t>KFM2020660057168</t>
  </si>
  <si>
    <t xml:space="preserve"> مسجد الأمير/فهد عبدالله بن عبدالرحمن .</t>
  </si>
  <si>
    <t>KFM2120660250079</t>
  </si>
  <si>
    <t>KFM2020660171848</t>
  </si>
  <si>
    <t>مسجد      عبدالله  بن رواحـــــه .</t>
  </si>
  <si>
    <t>KFM2020660177036</t>
  </si>
  <si>
    <t>KFM2020660174818</t>
  </si>
  <si>
    <t>KFM2120660282510</t>
  </si>
  <si>
    <t>KFM2020660196580</t>
  </si>
  <si>
    <t>SMR2320661020739</t>
  </si>
  <si>
    <t xml:space="preserve">   مسجد سعود الفالح واخوانه .</t>
  </si>
  <si>
    <t>KFM2020660054437</t>
  </si>
  <si>
    <t>KFM2120660253612</t>
  </si>
  <si>
    <t>KFM2020660057256</t>
  </si>
  <si>
    <t xml:space="preserve">   مسجد      حي        الجنادريه .</t>
  </si>
  <si>
    <t>KFM2020660133884</t>
  </si>
  <si>
    <t>KFM2020660191626</t>
  </si>
  <si>
    <t>KFM2020660224369</t>
  </si>
  <si>
    <t>-  مسجد بحي الشفاء  -العطاالله .</t>
  </si>
  <si>
    <t>KFM2020660019050</t>
  </si>
  <si>
    <t>KFM2020660123004</t>
  </si>
  <si>
    <t xml:space="preserve">   مسجد الدخيل .</t>
  </si>
  <si>
    <t>KFM2020660191703</t>
  </si>
  <si>
    <t>مسجدالاميره  موضي بنت  تركي .</t>
  </si>
  <si>
    <t>KFM2020660200367</t>
  </si>
  <si>
    <t xml:space="preserve">   مسجد حي الربيع وسكن الامام والمؤذ .</t>
  </si>
  <si>
    <t>KFM2120660264381</t>
  </si>
  <si>
    <t>KFM2020660191652</t>
  </si>
  <si>
    <t>KFM2120655004579</t>
  </si>
  <si>
    <t>KFM2020660213007</t>
  </si>
  <si>
    <t>مسجد حي بدر .</t>
  </si>
  <si>
    <t>KFM2020660203236</t>
  </si>
  <si>
    <t>SMR2420661038839</t>
  </si>
  <si>
    <t xml:space="preserve">   مسجد الامير مشعل بن عبدالعزيز .</t>
  </si>
  <si>
    <t>SMR2420661035986</t>
  </si>
  <si>
    <t xml:space="preserve">   مسجد ابراهيم السويلم .</t>
  </si>
  <si>
    <t>KFM2020660209177</t>
  </si>
  <si>
    <t>KFM2120660240911</t>
  </si>
  <si>
    <t xml:space="preserve">   مسجد  فهد محمد السعيدان .</t>
  </si>
  <si>
    <t>KFM2020660197005</t>
  </si>
  <si>
    <t xml:space="preserve">   مسجد 6 حي الجزيرة .</t>
  </si>
  <si>
    <t>KFM2120660282721</t>
  </si>
  <si>
    <t xml:space="preserve">   مسجدالشيخ الشقحاء .</t>
  </si>
  <si>
    <t>KFM2020660208624</t>
  </si>
  <si>
    <t xml:space="preserve">   مسجد عبدالله بن الزبير .</t>
  </si>
  <si>
    <t>KFM2020660096586</t>
  </si>
  <si>
    <t>KFM2020660190391</t>
  </si>
  <si>
    <t>KFM2020660192543</t>
  </si>
  <si>
    <t xml:space="preserve">   مسجد بحي الدار البيضاء .</t>
  </si>
  <si>
    <t>KFM2020660161702</t>
  </si>
  <si>
    <t>KFM2020660170792</t>
  </si>
  <si>
    <t xml:space="preserve">   مسجد العريني .</t>
  </si>
  <si>
    <t>KFM2020660018691</t>
  </si>
  <si>
    <t>مسجدشيخ  الاسلام  بن تيميه .</t>
  </si>
  <si>
    <t>KFM2020660203967</t>
  </si>
  <si>
    <t xml:space="preserve">   مسجد المهنا .</t>
  </si>
  <si>
    <t>KFM2020660213951</t>
  </si>
  <si>
    <t>KFM2020660049451</t>
  </si>
  <si>
    <t>KFM2020660031548</t>
  </si>
  <si>
    <t xml:space="preserve">   مسجد حى النزهــه .</t>
  </si>
  <si>
    <t>KFM2020660209287</t>
  </si>
  <si>
    <t>هيئة تطوير بوابة الدرعيه .</t>
  </si>
  <si>
    <t>KFM2020660027828</t>
  </si>
  <si>
    <t>مسجد وزاره  الشئون الاسلاميه .</t>
  </si>
  <si>
    <t>KFM2120660284006</t>
  </si>
  <si>
    <t xml:space="preserve">   مسجد الشيخ / عبدالعزيز بن باز .</t>
  </si>
  <si>
    <t>KFM2020660197487</t>
  </si>
  <si>
    <t>KFM2120660249967</t>
  </si>
  <si>
    <t xml:space="preserve">   مسجد اليسرى .</t>
  </si>
  <si>
    <t>KFM2020660192574</t>
  </si>
  <si>
    <t xml:space="preserve">   مسجدزيدبن ثابت /ابرهيم اليابس .</t>
  </si>
  <si>
    <t>KFM2120655004423</t>
  </si>
  <si>
    <t xml:space="preserve">   مسجدالنقير .</t>
  </si>
  <si>
    <t>KFM2120660242098</t>
  </si>
  <si>
    <t xml:space="preserve">   مسجد الا ميرة نورة بنت مشعل .</t>
  </si>
  <si>
    <t>KFM2020660139693</t>
  </si>
  <si>
    <t>KFM2120660270020</t>
  </si>
  <si>
    <t xml:space="preserve">   مسجدجامع حله العنوز .</t>
  </si>
  <si>
    <t>KFM2120660267537</t>
  </si>
  <si>
    <t xml:space="preserve">   صالة تفطير جامع الامير مشعل بعرقه .</t>
  </si>
  <si>
    <t>KFM2020760033873</t>
  </si>
  <si>
    <t>KFM2120660246999</t>
  </si>
  <si>
    <t>KFM2120660299515</t>
  </si>
  <si>
    <t xml:space="preserve">   مسجد سعود بن سمار 5/3145</t>
  </si>
  <si>
    <t>KFM2120660279589</t>
  </si>
  <si>
    <t>KFM2120660271561</t>
  </si>
  <si>
    <t>SMR2320661030815</t>
  </si>
  <si>
    <t>مسجد عبدالله الفوزان .</t>
  </si>
  <si>
    <t>KFM2020660031541</t>
  </si>
  <si>
    <t>KFM2020660037589</t>
  </si>
  <si>
    <t>مسجد الاميرمنصور بن عبد العزيز .</t>
  </si>
  <si>
    <t>KFM2020660203004</t>
  </si>
  <si>
    <t xml:space="preserve">   مسجد سعد عبدالرحمن المزروع .</t>
  </si>
  <si>
    <t>KFM2020660104391</t>
  </si>
  <si>
    <t xml:space="preserve">   مسجد محمد عبدالعزيز الرواف .</t>
  </si>
  <si>
    <t>KFM2020660051312</t>
  </si>
  <si>
    <t>KFM2020660190937</t>
  </si>
  <si>
    <t xml:space="preserve">   مسجد الشريف طراد الحارثي .</t>
  </si>
  <si>
    <t>KFM2020660041686</t>
  </si>
  <si>
    <t xml:space="preserve">   مسجد المغرازات .</t>
  </si>
  <si>
    <t>KFM2020660170821</t>
  </si>
  <si>
    <t xml:space="preserve">   مسجد      علي       د .</t>
  </si>
  <si>
    <t>KFM2020660188134</t>
  </si>
  <si>
    <t>KFM2020660043125</t>
  </si>
  <si>
    <t>KFM2020660209474</t>
  </si>
  <si>
    <t>مسجدالنعيم .</t>
  </si>
  <si>
    <t>KFM2020660098941</t>
  </si>
  <si>
    <t>KFM2020660212074</t>
  </si>
  <si>
    <t>KFM2120660270373</t>
  </si>
  <si>
    <t>KFM2020660188416</t>
  </si>
  <si>
    <t>مسجد السويدي .</t>
  </si>
  <si>
    <t>KFM2020660051670</t>
  </si>
  <si>
    <t xml:space="preserve">   مسجد حي المناخ /مؤسسة الحرمين .</t>
  </si>
  <si>
    <t>KFM2120660264438</t>
  </si>
  <si>
    <t xml:space="preserve">   مسجدتركي العساف بحي الازدهار .</t>
  </si>
  <si>
    <t>KFM2020660173091</t>
  </si>
  <si>
    <t xml:space="preserve">   مسجدالخزامى ( بحي الخزامى ) .</t>
  </si>
  <si>
    <t>KFM2020660035309</t>
  </si>
  <si>
    <t xml:space="preserve">   مسجد وسكن بحي المونسية .</t>
  </si>
  <si>
    <t>KFM2020660054241</t>
  </si>
  <si>
    <t>SMR2320661021347</t>
  </si>
  <si>
    <t xml:space="preserve">   مسجدالحميدي الهقشاء .</t>
  </si>
  <si>
    <t>KFM2020660042633</t>
  </si>
  <si>
    <t xml:space="preserve">   مسجدالتقوي وبيتي الامام والمؤذن .</t>
  </si>
  <si>
    <t>KFM2120660257450</t>
  </si>
  <si>
    <t xml:space="preserve">   مسجد الريس   00 .</t>
  </si>
  <si>
    <t>KFM2020660175133</t>
  </si>
  <si>
    <t xml:space="preserve">   مسجد      عبدالله   . .</t>
  </si>
  <si>
    <t>KFM2020660127797</t>
  </si>
  <si>
    <t xml:space="preserve">   مسجد محمد زيد الجويعد .</t>
  </si>
  <si>
    <t>KFM2020660191751</t>
  </si>
  <si>
    <t xml:space="preserve">   مسجد  ابو  ذر الغفاري .</t>
  </si>
  <si>
    <t>KFM2020660054758</t>
  </si>
  <si>
    <t>KFM2020660019398</t>
  </si>
  <si>
    <t xml:space="preserve">   مسجدعلي ابراهيم الحديثي .</t>
  </si>
  <si>
    <t>KFM2020660193565</t>
  </si>
  <si>
    <t>مسجد الحسين بن علي .</t>
  </si>
  <si>
    <t>KFM2020660051463</t>
  </si>
  <si>
    <t>KFM2120660262247</t>
  </si>
  <si>
    <t>KFM2120660257828</t>
  </si>
  <si>
    <t xml:space="preserve">   مسجد حى النور .</t>
  </si>
  <si>
    <t>KFM2120660301501</t>
  </si>
  <si>
    <t>KFM2020660193749</t>
  </si>
  <si>
    <t xml:space="preserve">   مسجد  حي اليرموك .</t>
  </si>
  <si>
    <t>KFM2120660256032</t>
  </si>
  <si>
    <t>KFM2020660040498</t>
  </si>
  <si>
    <t>مسجد شبراء .</t>
  </si>
  <si>
    <t>KFM2020660098902</t>
  </si>
  <si>
    <t>KFM2020660132821</t>
  </si>
  <si>
    <t>.    مسجد      الشمسيه .</t>
  </si>
  <si>
    <t>KFM2020660054286</t>
  </si>
  <si>
    <t>KFM2020660207560</t>
  </si>
  <si>
    <t>مسجد حي الشفاء .</t>
  </si>
  <si>
    <t>KFM2020660200476</t>
  </si>
  <si>
    <t>KFM2020660061077</t>
  </si>
  <si>
    <t>SMR2320661020622</t>
  </si>
  <si>
    <t xml:space="preserve">   مسـجدمجمع اسـواق صالح الراجحى .</t>
  </si>
  <si>
    <t>KFM2020660209269</t>
  </si>
  <si>
    <t xml:space="preserve">   وزارة الشئون الاسلاميه مسجد النخيل .</t>
  </si>
  <si>
    <t>KFM2020660019708</t>
  </si>
  <si>
    <t xml:space="preserve">   مسجد ضاحية لبن .</t>
  </si>
  <si>
    <t>KFM2020660198296</t>
  </si>
  <si>
    <t>SMR2420661036116</t>
  </si>
  <si>
    <t xml:space="preserve">   مسجد خديجة بنت خويلد .</t>
  </si>
  <si>
    <t>KFM2120660270076</t>
  </si>
  <si>
    <t xml:space="preserve">   مسجد جامع العزيزية .</t>
  </si>
  <si>
    <t>KFM2120660299250</t>
  </si>
  <si>
    <t>KFM2020660045333</t>
  </si>
  <si>
    <t>KFM2020660046428</t>
  </si>
  <si>
    <t xml:space="preserve">   وزاراة الشئون الاسلامية والاوقاف .</t>
  </si>
  <si>
    <t>KFM2020660201312</t>
  </si>
  <si>
    <t xml:space="preserve">   مسجد التنعيم .</t>
  </si>
  <si>
    <t>KFM2020660047749</t>
  </si>
  <si>
    <t xml:space="preserve">   مسجد/نورة بنت صالح الغماس .</t>
  </si>
  <si>
    <t>KFM2020660174201</t>
  </si>
  <si>
    <t xml:space="preserve">   مسجد بن ملافخ .</t>
  </si>
  <si>
    <t>KFM2020660167851</t>
  </si>
  <si>
    <t xml:space="preserve">   مسجد باجد .</t>
  </si>
  <si>
    <t>KFM2020660172791</t>
  </si>
  <si>
    <t>KFM2020660054541</t>
  </si>
  <si>
    <t>KFM2020660175014</t>
  </si>
  <si>
    <t xml:space="preserve">   مسجد حي الروابي .</t>
  </si>
  <si>
    <t>KFM2020660134750</t>
  </si>
  <si>
    <t xml:space="preserve">   وزارة ألشئون ألاسلاميه ولاوقاف .</t>
  </si>
  <si>
    <t>KFM2020660211383</t>
  </si>
  <si>
    <t xml:space="preserve">   مسجد ام المؤمنين عائشه .</t>
  </si>
  <si>
    <t>KFM2020660057984</t>
  </si>
  <si>
    <t xml:space="preserve">   مسجد منيره الحميد .</t>
  </si>
  <si>
    <t>KFM2120660300563</t>
  </si>
  <si>
    <t>KFM2020660187884</t>
  </si>
  <si>
    <t>SMR2220621000802</t>
  </si>
  <si>
    <t>KFM2020660167804</t>
  </si>
  <si>
    <t xml:space="preserve">   مسجد صفين .</t>
  </si>
  <si>
    <t>KFM2020660166610</t>
  </si>
  <si>
    <t>مسجد بن سعيد .</t>
  </si>
  <si>
    <t>KFM2020660056025</t>
  </si>
  <si>
    <t xml:space="preserve">   مسجد فيصل الثاني .</t>
  </si>
  <si>
    <t>KFM2020660167816</t>
  </si>
  <si>
    <t>مسجد المنيع  بالبديعه .</t>
  </si>
  <si>
    <t>KFM2020660052978</t>
  </si>
  <si>
    <t xml:space="preserve"> مسجدالامير/سلطان بن عبدالعزيزال سعود .</t>
  </si>
  <si>
    <t>KFM2120660292214</t>
  </si>
  <si>
    <t>KFM2120660281638</t>
  </si>
  <si>
    <t xml:space="preserve">   مسجد الامام/ عبد الله بن المبارك .</t>
  </si>
  <si>
    <t>KFM2120655004161</t>
  </si>
  <si>
    <t xml:space="preserve">   مسجد المصيف .</t>
  </si>
  <si>
    <t>KFM2020660173920</t>
  </si>
  <si>
    <t xml:space="preserve">   جامع وبيتالاماموالمؤذن/الأميرةنورة .</t>
  </si>
  <si>
    <t>KFM2120660240831</t>
  </si>
  <si>
    <t xml:space="preserve">   مسجد أحمد بغلف .</t>
  </si>
  <si>
    <t>KFM2020660056784</t>
  </si>
  <si>
    <t xml:space="preserve">   مسجد / والدة ناصر بن سعد الدخيل .</t>
  </si>
  <si>
    <t>KFM2020660026259</t>
  </si>
  <si>
    <t xml:space="preserve">   مسجد اسكان حي الجزيرة .</t>
  </si>
  <si>
    <t>KFM2120660282017</t>
  </si>
  <si>
    <t>حصه سعود عبدالعزيز الربيعة .</t>
  </si>
  <si>
    <t>KFM2020660229422</t>
  </si>
  <si>
    <t xml:space="preserve">   مسجد  على شارع رقم 4 .</t>
  </si>
  <si>
    <t>KFM2120660260342</t>
  </si>
  <si>
    <t xml:space="preserve">   مسجد فطيمة منصور العساف .</t>
  </si>
  <si>
    <t>KFM2120660290426</t>
  </si>
  <si>
    <t xml:space="preserve">   جامع التقي .</t>
  </si>
  <si>
    <t>KFM2120660236428</t>
  </si>
  <si>
    <t>KFM2020660207607</t>
  </si>
  <si>
    <t xml:space="preserve">   مسجد      عثمان     عفان .</t>
  </si>
  <si>
    <t>KFM2020660209522</t>
  </si>
  <si>
    <t>مسجد النمر / الشفا .</t>
  </si>
  <si>
    <t>KFM2020660057837</t>
  </si>
  <si>
    <t>KFM2020660051349</t>
  </si>
  <si>
    <t xml:space="preserve">   مسجد جامع العزيزيه .</t>
  </si>
  <si>
    <t>KFM2120660235682</t>
  </si>
  <si>
    <t>KFM2020660139696</t>
  </si>
  <si>
    <t>KFM2120660283883</t>
  </si>
  <si>
    <t xml:space="preserve">   مسجد طارق عبدالرحمن مراد .</t>
  </si>
  <si>
    <t>KFM2120660239083</t>
  </si>
  <si>
    <t>مسجد جامع حي الفواز .</t>
  </si>
  <si>
    <t>KFM2020660051393</t>
  </si>
  <si>
    <t xml:space="preserve">   مسجد ام القرى .</t>
  </si>
  <si>
    <t>KFM2120660239324</t>
  </si>
  <si>
    <t>KFM2020660211319</t>
  </si>
  <si>
    <t>KFM2120660273710</t>
  </si>
  <si>
    <t xml:space="preserve">   مسجد      ابراهيم   الشويعر .</t>
  </si>
  <si>
    <t>KFM2020660061503</t>
  </si>
  <si>
    <t>مسجد حمد  عبدالله    الموسى .</t>
  </si>
  <si>
    <t>MMF2020800008887</t>
  </si>
  <si>
    <t xml:space="preserve">   مسجد      الخلفاء   . .</t>
  </si>
  <si>
    <t>KFM2020660050559</t>
  </si>
  <si>
    <t>مسجدحى  غذوانه .</t>
  </si>
  <si>
    <t>KFM2020660006671</t>
  </si>
  <si>
    <t xml:space="preserve">   مسجد الخليفه .</t>
  </si>
  <si>
    <t>KFM2020660104203</t>
  </si>
  <si>
    <t xml:space="preserve">       مسجد   حي   الحمراء .</t>
  </si>
  <si>
    <t>KFM2020660042690</t>
  </si>
  <si>
    <t>KFM2120660253613</t>
  </si>
  <si>
    <t xml:space="preserve">   مسجد      الاميره    بنت عبدالله .</t>
  </si>
  <si>
    <t>KFM2120660265990</t>
  </si>
  <si>
    <t>SMR2220661001707</t>
  </si>
  <si>
    <t xml:space="preserve">   مسجد الثنيان .</t>
  </si>
  <si>
    <t>KFM2120660252992</t>
  </si>
  <si>
    <t>KFM2120660249225</t>
  </si>
  <si>
    <t>مسجد      علي       بن خميس .</t>
  </si>
  <si>
    <t>KFM2020660037773</t>
  </si>
  <si>
    <t xml:space="preserve">     مسجد قحصان محمد اليامي .</t>
  </si>
  <si>
    <t>KFM2020660170742</t>
  </si>
  <si>
    <t>مسجد ناصر العمار .</t>
  </si>
  <si>
    <t>KFM2020660171634</t>
  </si>
  <si>
    <t xml:space="preserve">   مسجد      عبدالعزيز . .</t>
  </si>
  <si>
    <t>KFM2020660207576</t>
  </si>
  <si>
    <t xml:space="preserve">   مسجد/ حي الخليج .</t>
  </si>
  <si>
    <t>KFM2020660047147</t>
  </si>
  <si>
    <t xml:space="preserve">    مسجد حي الحمراءوسكن الا مام المؤ .</t>
  </si>
  <si>
    <t>KFM2020660060017</t>
  </si>
  <si>
    <t>SMR2220661001505</t>
  </si>
  <si>
    <t xml:space="preserve">   مسجدام الحمام الغربيه .</t>
  </si>
  <si>
    <t>KFM2020660188561</t>
  </si>
  <si>
    <t>KFM2020660061232</t>
  </si>
  <si>
    <t>مسجد      عبدالله    السعدون .</t>
  </si>
  <si>
    <t>KFM2020660044533</t>
  </si>
  <si>
    <t xml:space="preserve">   مسجد      عبدالرحمن السكن .</t>
  </si>
  <si>
    <t>KFM2020660053506</t>
  </si>
  <si>
    <t>KFM2020660052218</t>
  </si>
  <si>
    <t>KFM2120660291770</t>
  </si>
  <si>
    <t xml:space="preserve">         مسجد نبي الرحمه .</t>
  </si>
  <si>
    <t>KFM2020660174515</t>
  </si>
  <si>
    <t xml:space="preserve">   مسجد حي غرناطه .</t>
  </si>
  <si>
    <t>KFM2020660191588</t>
  </si>
  <si>
    <t xml:space="preserve">   مسجد الوسيدي .</t>
  </si>
  <si>
    <t>KFM2020660171466</t>
  </si>
  <si>
    <t>مسجد الاميرسلمان بن محمد .</t>
  </si>
  <si>
    <t>KFM2020660038742</t>
  </si>
  <si>
    <t xml:space="preserve">   مسجد/ عبدالله البقمي .</t>
  </si>
  <si>
    <t>KFM2020660040639</t>
  </si>
  <si>
    <t xml:space="preserve">   مسجد فهد علي الجميعة .</t>
  </si>
  <si>
    <t>KFM2020660049679</t>
  </si>
  <si>
    <t>KFM2020660167839</t>
  </si>
  <si>
    <t>مسجد غرب شارع    1 العريجاء .</t>
  </si>
  <si>
    <t>KFM2020660171801</t>
  </si>
  <si>
    <t xml:space="preserve">   مسجدعثمان العثمان .</t>
  </si>
  <si>
    <t>KFM2020660211387</t>
  </si>
  <si>
    <t xml:space="preserve">   مسجد حي غبيراء الجنوبي .</t>
  </si>
  <si>
    <t>KFM2120660281634</t>
  </si>
  <si>
    <t>KFM2120660253465</t>
  </si>
  <si>
    <t>مسجد بن رويشد حى  اليمامه .</t>
  </si>
  <si>
    <t>KFM2020760038148</t>
  </si>
  <si>
    <t>KFM2020660191044</t>
  </si>
  <si>
    <t>KFM2020660139815</t>
  </si>
  <si>
    <t xml:space="preserve">   مسجد ابراهيم الحصين ومرافقه .</t>
  </si>
  <si>
    <t>ECC2020810865795</t>
  </si>
  <si>
    <t xml:space="preserve">   مسجدبلال .</t>
  </si>
  <si>
    <t>SMR2420661038941</t>
  </si>
  <si>
    <t xml:space="preserve">   مسجد الزبير بن العوام . .</t>
  </si>
  <si>
    <t>KFM2120660300553</t>
  </si>
  <si>
    <t xml:space="preserve">   مسجد بحى المصيف .</t>
  </si>
  <si>
    <t>KFM2020660100106</t>
  </si>
  <si>
    <t xml:space="preserve">   مسجدالخليل .</t>
  </si>
  <si>
    <t>KFM2120660271545</t>
  </si>
  <si>
    <t>مسجد بحي الحزم .</t>
  </si>
  <si>
    <t>KFM2020660098894</t>
  </si>
  <si>
    <t xml:space="preserve">   مسجد حمد عبدالعزيز العثيمين .</t>
  </si>
  <si>
    <t>KFM2020660193780</t>
  </si>
  <si>
    <t xml:space="preserve">   مسجدالشيخ /عبدالله سليمان المطلق .</t>
  </si>
  <si>
    <t>KFM2020660178211</t>
  </si>
  <si>
    <t>ECC2020811040251</t>
  </si>
  <si>
    <t>مسجد الاميره  /موضي السديري .</t>
  </si>
  <si>
    <t>KFM2020660203429</t>
  </si>
  <si>
    <t xml:space="preserve">   مسجدجامع شمال المربع .</t>
  </si>
  <si>
    <t>KFM2020660209652</t>
  </si>
  <si>
    <t>مسجدالفوارة  الجنوبي .</t>
  </si>
  <si>
    <t>KFM2020660171798</t>
  </si>
  <si>
    <t xml:space="preserve">   مسجدالامام الذهبى .</t>
  </si>
  <si>
    <t>KFM2120660290437</t>
  </si>
  <si>
    <t xml:space="preserve">   مسجد هيا الحسن ومرافقه بحي الفلاح .</t>
  </si>
  <si>
    <t>KFM2020660213478</t>
  </si>
  <si>
    <t>وزارة الشئون الاسلامية مسجد المرشد .</t>
  </si>
  <si>
    <t>KFM2020660049580</t>
  </si>
  <si>
    <t>KFM2020660202796</t>
  </si>
  <si>
    <t xml:space="preserve">   مسجد  طالبات المملكه .</t>
  </si>
  <si>
    <t>KFM2020660061266</t>
  </si>
  <si>
    <t xml:space="preserve">   مسجدالدار البيضاء .</t>
  </si>
  <si>
    <t>KFM2020660162242</t>
  </si>
  <si>
    <t xml:space="preserve">   مسجد صالح محمد الزغيبي .</t>
  </si>
  <si>
    <t>KFM2020660053435</t>
  </si>
  <si>
    <t>مسجد سارة .</t>
  </si>
  <si>
    <t>KFM2020660013320</t>
  </si>
  <si>
    <t xml:space="preserve">   مسجد      الامير     بن محمد .</t>
  </si>
  <si>
    <t>KFM2120660265987</t>
  </si>
  <si>
    <t xml:space="preserve">   مسجدنوره الصبيح ومرافقة .</t>
  </si>
  <si>
    <t>KFM2020660213087</t>
  </si>
  <si>
    <t xml:space="preserve">   مسجد     حي        اشبيليا .</t>
  </si>
  <si>
    <t>KFM2020660040638</t>
  </si>
  <si>
    <t xml:space="preserve">   مسجد الدار البيضاء .</t>
  </si>
  <si>
    <t>KFM2020660162799</t>
  </si>
  <si>
    <t xml:space="preserve">   مسجدابوسفيان .</t>
  </si>
  <si>
    <t>KFM2020660171228</t>
  </si>
  <si>
    <t xml:space="preserve">   مسجدحي التعاونومرافقه .</t>
  </si>
  <si>
    <t>KFM2020660160587</t>
  </si>
  <si>
    <t xml:space="preserve">   مسجد محمد تركي التركي .</t>
  </si>
  <si>
    <t>KFM2020660178137</t>
  </si>
  <si>
    <t>KFM2020660060646</t>
  </si>
  <si>
    <t xml:space="preserve">   مسجدابراهيم المفيريج و مرافقه .</t>
  </si>
  <si>
    <t>KFM2020660173665</t>
  </si>
  <si>
    <t>جامع الا مير محمد بن عبدالعزيز .</t>
  </si>
  <si>
    <t>KFM2020660212031</t>
  </si>
  <si>
    <t xml:space="preserve"> مسجدحىالنخيل الشئون الاسلاميه والاوقاف .</t>
  </si>
  <si>
    <t>KFM2020660012277</t>
  </si>
  <si>
    <t>KFM2120660304077</t>
  </si>
  <si>
    <t xml:space="preserve">   مسجد علي الجميعه .</t>
  </si>
  <si>
    <t>KFM2020660037487</t>
  </si>
  <si>
    <t xml:space="preserve">   مسجدشرقى الصالحيه .</t>
  </si>
  <si>
    <t>KFM2120660286077</t>
  </si>
  <si>
    <t xml:space="preserve">   مسجد      -         الصالحيه .</t>
  </si>
  <si>
    <t>KFM2120660286082</t>
  </si>
  <si>
    <t>KFM2020660027399</t>
  </si>
  <si>
    <t>KFM2020660130014</t>
  </si>
  <si>
    <t xml:space="preserve">        مسجد راشد المبارك .</t>
  </si>
  <si>
    <t>KFM2020660206450</t>
  </si>
  <si>
    <t xml:space="preserve">   مسـجد الراجحـي .</t>
  </si>
  <si>
    <t>KFM2120660256944</t>
  </si>
  <si>
    <t>KFM2120660270078</t>
  </si>
  <si>
    <t>KFM2020660190965</t>
  </si>
  <si>
    <t>KFM2020660047271</t>
  </si>
  <si>
    <t>KFM2020660171686</t>
  </si>
  <si>
    <t>KFM2120655004282</t>
  </si>
  <si>
    <t>المسجد الموقت بالدخل  المحدود .</t>
  </si>
  <si>
    <t>KFM2020660013806</t>
  </si>
  <si>
    <t>مسجد المجمع التجاري  /حراج  بن قاسم .</t>
  </si>
  <si>
    <t>KFM2020660166230</t>
  </si>
  <si>
    <t xml:space="preserve">   مسجد                السليس .</t>
  </si>
  <si>
    <t>KFM2020660057250</t>
  </si>
  <si>
    <t xml:space="preserve"> تحفيظ القرآن مسجد عبدالله اللحيدان .</t>
  </si>
  <si>
    <t>KFM2020660193750</t>
  </si>
  <si>
    <t xml:space="preserve">   مسجد اسواق بن دايل .</t>
  </si>
  <si>
    <t>KFM2020660161665</t>
  </si>
  <si>
    <t>مسجد سعد المالكى .</t>
  </si>
  <si>
    <t>KFM2020660013610</t>
  </si>
  <si>
    <t xml:space="preserve">   مسجد مصلح الحربي .</t>
  </si>
  <si>
    <t>KFM2120660293122</t>
  </si>
  <si>
    <t>KFM2020660178206</t>
  </si>
  <si>
    <t>KFM2020660174492</t>
  </si>
  <si>
    <t xml:space="preserve">   مسجد عبدالرحمن الخريف .</t>
  </si>
  <si>
    <t>KFM2020660170095</t>
  </si>
  <si>
    <t xml:space="preserve">   مسجد النخيل الغربي .</t>
  </si>
  <si>
    <t>KFM2020660202331</t>
  </si>
  <si>
    <t>KFM2020660207287</t>
  </si>
  <si>
    <t xml:space="preserve">   مسجد وسكن العصيمي .</t>
  </si>
  <si>
    <t>KFM2020660060654</t>
  </si>
  <si>
    <t>SMR2220661017806</t>
  </si>
  <si>
    <t>KFM2020660090754</t>
  </si>
  <si>
    <t>KFM2020660060633</t>
  </si>
  <si>
    <t xml:space="preserve">   مسجد سعد مناحي .</t>
  </si>
  <si>
    <t>KFM2020660161762</t>
  </si>
  <si>
    <t xml:space="preserve">   مسجد حي الجزيرة .</t>
  </si>
  <si>
    <t>KFM2120660271670</t>
  </si>
  <si>
    <t>KFM2020660040865</t>
  </si>
  <si>
    <t>KFM2020660190935</t>
  </si>
  <si>
    <t>SMR2220661018865</t>
  </si>
  <si>
    <t>مسجد      00        ابو هريره .</t>
  </si>
  <si>
    <t>SMR2320661034179</t>
  </si>
  <si>
    <t>KFM2020660104172</t>
  </si>
  <si>
    <t xml:space="preserve">   مسجد زيد ابن الارقم .</t>
  </si>
  <si>
    <t>KFM2120660247414</t>
  </si>
  <si>
    <t xml:space="preserve">   مسجد حصة بنت صالح العلى السالم .</t>
  </si>
  <si>
    <t>KFM2020660056917</t>
  </si>
  <si>
    <t xml:space="preserve">   جامع عبدالله المبيريك .</t>
  </si>
  <si>
    <t>KFM2020660193524</t>
  </si>
  <si>
    <t>KFM2020660051196</t>
  </si>
  <si>
    <t>KFM2020660164367</t>
  </si>
  <si>
    <t>وزارة     الشؤن     مسجد    الف .</t>
  </si>
  <si>
    <t>KFM2020660173451</t>
  </si>
  <si>
    <t>KFM2020660193645</t>
  </si>
  <si>
    <t>KFM2020660054517</t>
  </si>
  <si>
    <t xml:space="preserve">   مسجد الامير سلطان بن عبد العزيز .</t>
  </si>
  <si>
    <t>KFM2020660166585</t>
  </si>
  <si>
    <t xml:space="preserve">   مسجد حى المرسلات .</t>
  </si>
  <si>
    <t>KFM2020660192229</t>
  </si>
  <si>
    <t>KFM2020660007873</t>
  </si>
  <si>
    <t>.0 مسجد      ال  كريديس .</t>
  </si>
  <si>
    <t>MMF2020800018598</t>
  </si>
  <si>
    <t xml:space="preserve">   مسجد جامع بن عبدالوهاب .</t>
  </si>
  <si>
    <t>KFM2120660235680</t>
  </si>
  <si>
    <t xml:space="preserve">   جامع الهجره .</t>
  </si>
  <si>
    <t>KFM2020760203044</t>
  </si>
  <si>
    <t>KFM2020660123007</t>
  </si>
  <si>
    <t xml:space="preserve">   مسجد الاميره هياء بنت عبدالعزيز .</t>
  </si>
  <si>
    <t>KFM2020660195069</t>
  </si>
  <si>
    <t>KFM2020660190356</t>
  </si>
  <si>
    <t>مسجد الحمادى .</t>
  </si>
  <si>
    <t>KFM2020660170961</t>
  </si>
  <si>
    <t>KFM2020660193741</t>
  </si>
  <si>
    <t>جامع      فاطمه      الحمدان .</t>
  </si>
  <si>
    <t>KFM2020660191112</t>
  </si>
  <si>
    <t xml:space="preserve">     مسجدالحبيب .</t>
  </si>
  <si>
    <t>KFM2020660193114</t>
  </si>
  <si>
    <t xml:space="preserve">         مسجد الصالح بحي الوادي .</t>
  </si>
  <si>
    <t>KFM2020660191931</t>
  </si>
  <si>
    <t>KFM2020660190355</t>
  </si>
  <si>
    <t xml:space="preserve">   جامع      الغزي     / .</t>
  </si>
  <si>
    <t>KFM2020660057210</t>
  </si>
  <si>
    <t>KFM2120660302040</t>
  </si>
  <si>
    <t>KFM2020660128831</t>
  </si>
  <si>
    <t xml:space="preserve">   مسجد الامام احمد بن حنبل .</t>
  </si>
  <si>
    <t>KFM2020660162948</t>
  </si>
  <si>
    <t>مسجدام  خالد .</t>
  </si>
  <si>
    <t>KFM2020660014136</t>
  </si>
  <si>
    <t>KFM2020660104175</t>
  </si>
  <si>
    <t xml:space="preserve">   مسجد جامع الفداء .</t>
  </si>
  <si>
    <t>KFM2020660139295</t>
  </si>
  <si>
    <t>KFM2120660242770</t>
  </si>
  <si>
    <t xml:space="preserve">   مسجد الحمودي .</t>
  </si>
  <si>
    <t>KFM2020660049861</t>
  </si>
  <si>
    <t xml:space="preserve">   مسجد خليل السبعان .</t>
  </si>
  <si>
    <t>KFM2020660197213</t>
  </si>
  <si>
    <t xml:space="preserve">   مسجد أم عبدالعزيز .</t>
  </si>
  <si>
    <t>KFM2020660127740</t>
  </si>
  <si>
    <t>مسجد النميلات .</t>
  </si>
  <si>
    <t>KFM2020660087399</t>
  </si>
  <si>
    <t xml:space="preserve">   مسجد زيد بن ثابت .</t>
  </si>
  <si>
    <t>KFM2020660211462</t>
  </si>
  <si>
    <t>SMR2220621001914</t>
  </si>
  <si>
    <t>مسجدالرويضة بالسبالة (حلة عبيدالسهو .</t>
  </si>
  <si>
    <t>KFM2020660189416</t>
  </si>
  <si>
    <t>KFM2020660211070</t>
  </si>
  <si>
    <t xml:space="preserve">   مسجد محمد المرزوق .</t>
  </si>
  <si>
    <t>KFM2120660287437</t>
  </si>
  <si>
    <t xml:space="preserve">   مسجد عبدالعزيز حي السلام .</t>
  </si>
  <si>
    <t>KFM2020660036432</t>
  </si>
  <si>
    <t>KFM2020660177066</t>
  </si>
  <si>
    <t xml:space="preserve">   مسجد شمال حى الرحمانيه .</t>
  </si>
  <si>
    <t>KFM2020660203047</t>
  </si>
  <si>
    <t>مسجد      صناعية  الجود بحي الشفا .</t>
  </si>
  <si>
    <t>KFM2020660057829</t>
  </si>
  <si>
    <t>ECC2020810865794</t>
  </si>
  <si>
    <t xml:space="preserve">   مسجد/عقبه بن نافع .</t>
  </si>
  <si>
    <t>KFM2020660038155</t>
  </si>
  <si>
    <t xml:space="preserve">   مسجد      مدعج      السبيعي .</t>
  </si>
  <si>
    <t>KFM2020660040812</t>
  </si>
  <si>
    <t xml:space="preserve">   مسجد القادسيه .</t>
  </si>
  <si>
    <t>KFM2020660174900</t>
  </si>
  <si>
    <t xml:space="preserve">     مسجد الفوزان و سكن امام و مؤذن .</t>
  </si>
  <si>
    <t>KFM2020660060137</t>
  </si>
  <si>
    <t xml:space="preserve">   مسجدحي الوادي .</t>
  </si>
  <si>
    <t>KFM2020660211384</t>
  </si>
  <si>
    <t xml:space="preserve">   مسجد حي  القادسيه .</t>
  </si>
  <si>
    <t>KFM2020660060689</t>
  </si>
  <si>
    <t xml:space="preserve">   مسجد احمد بن حنبل .</t>
  </si>
  <si>
    <t>KFM2020660127747</t>
  </si>
  <si>
    <t xml:space="preserve">   مسجد حي الياسمين .</t>
  </si>
  <si>
    <t>SMR2420661038947</t>
  </si>
  <si>
    <t>SMR2220661018046</t>
  </si>
  <si>
    <t>KFM2020660098728</t>
  </si>
  <si>
    <t xml:space="preserve">   مسجدالمورقي مع سكن الامام والمؤذن .</t>
  </si>
  <si>
    <t>KFM2020660007002</t>
  </si>
  <si>
    <t>مسجد مريم  بنت  عبد  الله  بن  حسن .</t>
  </si>
  <si>
    <t>KFM2020660007932</t>
  </si>
  <si>
    <t>KFM2020660174238</t>
  </si>
  <si>
    <t xml:space="preserve">   مسجد الايمان   بالسلي .</t>
  </si>
  <si>
    <t>KFM2120660258950</t>
  </si>
  <si>
    <t xml:space="preserve">   مسجد عدي بن حاتم - رضي الله عنه .</t>
  </si>
  <si>
    <t>KFM2020660129791</t>
  </si>
  <si>
    <t xml:space="preserve">   مسجد      زياد      وزوجته عتقاء .</t>
  </si>
  <si>
    <t>KFM2020660193470</t>
  </si>
  <si>
    <t>SMR2320661022843</t>
  </si>
  <si>
    <t xml:space="preserve">   مسجدالهاجرى .</t>
  </si>
  <si>
    <t>KFM2020660165379</t>
  </si>
  <si>
    <t xml:space="preserve">   مسجد / محمد بن صالح العذل .</t>
  </si>
  <si>
    <t>KFM2020660144580</t>
  </si>
  <si>
    <t xml:space="preserve">   مسجد قرطبه .</t>
  </si>
  <si>
    <t>KFM2020660170709</t>
  </si>
  <si>
    <t>KFM2120660242067</t>
  </si>
  <si>
    <t>KFM2020660192923</t>
  </si>
  <si>
    <t xml:space="preserve">   مسجدمحمديوسف المصري .</t>
  </si>
  <si>
    <t>KFM2020660049068</t>
  </si>
  <si>
    <t>KFM2020660190456</t>
  </si>
  <si>
    <t>مسجد / محمد العريفي .</t>
  </si>
  <si>
    <t>KFM2020660057771</t>
  </si>
  <si>
    <t xml:space="preserve">   مسجدمحمد بن واسع .</t>
  </si>
  <si>
    <t>KFM2020660042632</t>
  </si>
  <si>
    <t>KFM2020660211250</t>
  </si>
  <si>
    <t xml:space="preserve">   مسجد الأمير سلمان .</t>
  </si>
  <si>
    <t>KFM2020660042545</t>
  </si>
  <si>
    <t xml:space="preserve">   مسجد  السليمانيه .</t>
  </si>
  <si>
    <t>SMR2420661038482</t>
  </si>
  <si>
    <t>SMR2320661021148</t>
  </si>
  <si>
    <t xml:space="preserve">   مسجدالغفيص .</t>
  </si>
  <si>
    <t>KFM2120660241500</t>
  </si>
  <si>
    <t>مسجد المروه .</t>
  </si>
  <si>
    <t>KFM2020760230769</t>
  </si>
  <si>
    <t>KFM2020660054033</t>
  </si>
  <si>
    <t>KFM2020660195114</t>
  </si>
  <si>
    <t xml:space="preserve">   وزارةالشؤون الاسلامية مسجد و سكن .</t>
  </si>
  <si>
    <t>KFM2020660193040</t>
  </si>
  <si>
    <t xml:space="preserve">   مسجدناصرابراهيم التمامي .</t>
  </si>
  <si>
    <t>KFM2020660197722</t>
  </si>
  <si>
    <t>مسجد  /سعد بن ابي وقاص .</t>
  </si>
  <si>
    <t>KFM2020660198412</t>
  </si>
  <si>
    <t>KFM2020660091185</t>
  </si>
  <si>
    <t>KFM2020660207641</t>
  </si>
  <si>
    <t xml:space="preserve">   مسجد وسكن السلطان .</t>
  </si>
  <si>
    <t>KFM2020660144708</t>
  </si>
  <si>
    <t>KFM2020660104872</t>
  </si>
  <si>
    <t xml:space="preserve">   مسجد محمد ال شيخ .</t>
  </si>
  <si>
    <t>KFM2020660195178</t>
  </si>
  <si>
    <t xml:space="preserve">   مسجد الهدى .</t>
  </si>
  <si>
    <t>KFM2020660175153</t>
  </si>
  <si>
    <t>KFM2120660271145</t>
  </si>
  <si>
    <t xml:space="preserve">   مسجد الاميره قماشه .</t>
  </si>
  <si>
    <t>KFM2120660280086</t>
  </si>
  <si>
    <t xml:space="preserve">  مسجد الأميرة الجواهر بنت فيصل سعود .</t>
  </si>
  <si>
    <t>KFM2020660207652</t>
  </si>
  <si>
    <t>KFM2020660166549</t>
  </si>
  <si>
    <t>KFM2020660027517</t>
  </si>
  <si>
    <t xml:space="preserve">        مسجد ومدرسة سارة الحميزي .</t>
  </si>
  <si>
    <t>KFM2020660129871</t>
  </si>
  <si>
    <t>KFM2020660051657</t>
  </si>
  <si>
    <t xml:space="preserve">    مسجد      الشيخ      الشثري .</t>
  </si>
  <si>
    <t>KFM2120660260821</t>
  </si>
  <si>
    <t xml:space="preserve">   مسجد محمد السدحان .</t>
  </si>
  <si>
    <t>KFM2020660104802</t>
  </si>
  <si>
    <t>KFM2020660203524</t>
  </si>
  <si>
    <t>مسجد حى  بدر .</t>
  </si>
  <si>
    <t>KFM2020660167668</t>
  </si>
  <si>
    <t>مسجد الامير/ محمد بن عبدالرحمن .</t>
  </si>
  <si>
    <t>KFM2020660203476</t>
  </si>
  <si>
    <t>SMR2420661038927</t>
  </si>
  <si>
    <t xml:space="preserve">   مسجد حي  الخليج .</t>
  </si>
  <si>
    <t>KFM2020660047186</t>
  </si>
  <si>
    <t>KFM2020660193039</t>
  </si>
  <si>
    <t>المسجدالموءقت حى  الزهرة .</t>
  </si>
  <si>
    <t>KFM2020660044112</t>
  </si>
  <si>
    <t>KFM2020660104206</t>
  </si>
  <si>
    <t xml:space="preserve">   مسجدالحسن بن على بن ابى طالب .</t>
  </si>
  <si>
    <t>KFM2120660267476</t>
  </si>
  <si>
    <t xml:space="preserve">   مسجد جنوب بندةالعلياء .</t>
  </si>
  <si>
    <t>KFM2020660051326</t>
  </si>
  <si>
    <t xml:space="preserve">   مسجد جزاء ثنيان  العتيبي .</t>
  </si>
  <si>
    <t>KFM2020660174448</t>
  </si>
  <si>
    <t>SMR2220621001086</t>
  </si>
  <si>
    <t xml:space="preserve">   مسجدوالدةعبدالله المطيري .</t>
  </si>
  <si>
    <t>KFM2020660008241</t>
  </si>
  <si>
    <t xml:space="preserve">   مسجد ابوبكر الصديق .</t>
  </si>
  <si>
    <t>KFM2020660192234</t>
  </si>
  <si>
    <t>SMR2220661019034</t>
  </si>
  <si>
    <t>SMR2320661034684</t>
  </si>
  <si>
    <t xml:space="preserve">   مسجد حي الندى .</t>
  </si>
  <si>
    <t>KFM2020660211449</t>
  </si>
  <si>
    <t>KFM2020660197181</t>
  </si>
  <si>
    <t xml:space="preserve">   مسجدالزهرة حي المنار .</t>
  </si>
  <si>
    <t>KFM2020660054755</t>
  </si>
  <si>
    <t>مسجد      جامع      السويدي .</t>
  </si>
  <si>
    <t>KFM2020660054935</t>
  </si>
  <si>
    <t xml:space="preserve">   مسجد وسكن صالح الخليفه .</t>
  </si>
  <si>
    <t>KFM2020660174864</t>
  </si>
  <si>
    <t>مسجد سعود الزير .</t>
  </si>
  <si>
    <t>KFM2020660013603</t>
  </si>
  <si>
    <t xml:space="preserve">   مسجد حي السلي .</t>
  </si>
  <si>
    <t>KFM2120660258996</t>
  </si>
  <si>
    <t>KFM2020660046535</t>
  </si>
  <si>
    <t>KFM2120660270032</t>
  </si>
  <si>
    <t xml:space="preserve">   المسجد الشمالى الشرقى .</t>
  </si>
  <si>
    <t>KFM2120660268784</t>
  </si>
  <si>
    <t>KFM2020660143085</t>
  </si>
  <si>
    <t xml:space="preserve">   مسجد عبدالله الجعيثن .</t>
  </si>
  <si>
    <t>KFM2020660145832</t>
  </si>
  <si>
    <t>0    مسجد      الرومي .</t>
  </si>
  <si>
    <t>KFM2020660055013</t>
  </si>
  <si>
    <t>مسجدال  سويلم .</t>
  </si>
  <si>
    <t>KFM2020660189457</t>
  </si>
  <si>
    <t>KFM2120660283024</t>
  </si>
  <si>
    <t>KFM2020660054443</t>
  </si>
  <si>
    <t>KFM2020660192581</t>
  </si>
  <si>
    <t>KFM2120660299060</t>
  </si>
  <si>
    <t>SMR2220661002521</t>
  </si>
  <si>
    <t>KFM2020660200444</t>
  </si>
  <si>
    <t>مسجد محمد الكثيرى .</t>
  </si>
  <si>
    <t>KFM2020660015360</t>
  </si>
  <si>
    <t>مسجدالقميعة بجاورالمكتبة الوطنية .</t>
  </si>
  <si>
    <t>KFM2020660038687</t>
  </si>
  <si>
    <t>KFM2020660035966</t>
  </si>
  <si>
    <t>خدمات مسجدالامير متعب بن عبدالله آل سعود .</t>
  </si>
  <si>
    <t>KFM2120660236638</t>
  </si>
  <si>
    <t xml:space="preserve">   جامع السحيباني .</t>
  </si>
  <si>
    <t>KFM2120660301608</t>
  </si>
  <si>
    <t>SMR2320761034326</t>
  </si>
  <si>
    <t>مسجد الدقسي .</t>
  </si>
  <si>
    <t>KFM2020660196709</t>
  </si>
  <si>
    <t>KFM2020660193111</t>
  </si>
  <si>
    <t xml:space="preserve">   مسجد فوزان محمد الفوزان .</t>
  </si>
  <si>
    <t>KFM2120660271673</t>
  </si>
  <si>
    <t>KFM2020660037787</t>
  </si>
  <si>
    <t xml:space="preserve">   مسجد الغفيلي .</t>
  </si>
  <si>
    <t>KFM2020660049708</t>
  </si>
  <si>
    <t>0    مسجد      الشعلان .</t>
  </si>
  <si>
    <t>KFM2020660201705</t>
  </si>
  <si>
    <t xml:space="preserve">   وزارةالشئون الاسلامية-مسجدالعقيلي .</t>
  </si>
  <si>
    <t>KFM2020660197050</t>
  </si>
  <si>
    <t>مسجد      موضى       بن سعيدان .</t>
  </si>
  <si>
    <t>KFM2020660197086</t>
  </si>
  <si>
    <t>KFM2020660191811</t>
  </si>
  <si>
    <t xml:space="preserve">   مسجد عوده العبدالله العوده .</t>
  </si>
  <si>
    <t>KFM2120660285398</t>
  </si>
  <si>
    <t>مسجد حي نمار .</t>
  </si>
  <si>
    <t>KFM2020660083825</t>
  </si>
  <si>
    <t xml:space="preserve">   مسجد/عبدالله بن سعود .</t>
  </si>
  <si>
    <t>KFM2120660247962</t>
  </si>
  <si>
    <t>مسجد  حي الحزم .</t>
  </si>
  <si>
    <t>KFM2020660051512</t>
  </si>
  <si>
    <t>KFM2020660192907</t>
  </si>
  <si>
    <t>مسجدالمرزوقي      حي الحزم .</t>
  </si>
  <si>
    <t>KFM2020660087422</t>
  </si>
  <si>
    <t>KFM2020660056079</t>
  </si>
  <si>
    <t>KFM2020660129784</t>
  </si>
  <si>
    <t>مسجد الحباب .</t>
  </si>
  <si>
    <t>KFM2020660015418</t>
  </si>
  <si>
    <t>KFM2020766061246</t>
  </si>
  <si>
    <t>KFM2020660192906</t>
  </si>
  <si>
    <t xml:space="preserve">   مسجد البابطين .</t>
  </si>
  <si>
    <t>KFM2020660139773</t>
  </si>
  <si>
    <t xml:space="preserve">   مسجد الأمير سلطان بن عبدالعزيز .</t>
  </si>
  <si>
    <t>KFM2020660053339</t>
  </si>
  <si>
    <t>00  مسجدالمديميغ .</t>
  </si>
  <si>
    <t>KFM2020660191347</t>
  </si>
  <si>
    <t xml:space="preserve">   مسجد / عبدالله ال براهيم .</t>
  </si>
  <si>
    <t>KFM2020660174301</t>
  </si>
  <si>
    <t>KFM2020660191937</t>
  </si>
  <si>
    <t xml:space="preserve">   مسجدوالدة سعد الفالح واخوانه .</t>
  </si>
  <si>
    <t>KFM2120660248289</t>
  </si>
  <si>
    <t>KFM2120655004601</t>
  </si>
  <si>
    <t xml:space="preserve">   مسجدالتقوى .</t>
  </si>
  <si>
    <t>KFM2020660061590</t>
  </si>
  <si>
    <t xml:space="preserve">   مسجد المصيريعى 5/2777</t>
  </si>
  <si>
    <t>KFM2120660301611</t>
  </si>
  <si>
    <t>مسجد الشيخ  عبدالله  الحجي مع السكن .</t>
  </si>
  <si>
    <t>KFM2020660200442</t>
  </si>
  <si>
    <t xml:space="preserve">   مسجد حمود ابراهيم الذياب .</t>
  </si>
  <si>
    <t>KFM2020660176832</t>
  </si>
  <si>
    <t xml:space="preserve">   مسجد الروابي و سكن الامام والمؤذن .</t>
  </si>
  <si>
    <t>KFM2020660144794</t>
  </si>
  <si>
    <t>.     مسجد      القاسم .</t>
  </si>
  <si>
    <t>KFM2020660203426</t>
  </si>
  <si>
    <t>مسجد / حي المصانع .</t>
  </si>
  <si>
    <t>KFM2020660171734</t>
  </si>
  <si>
    <t>KFM2020660145177</t>
  </si>
  <si>
    <t xml:space="preserve">   مسجد      ابن       . .</t>
  </si>
  <si>
    <t>KFM2020660197965</t>
  </si>
  <si>
    <t>KFM2020660214084</t>
  </si>
  <si>
    <t>KFM2020660145830</t>
  </si>
  <si>
    <t>KFM2020660007890</t>
  </si>
  <si>
    <t>مسجد حي السويدي .</t>
  </si>
  <si>
    <t>KFM2020660039981</t>
  </si>
  <si>
    <t>KFM2120660254489</t>
  </si>
  <si>
    <t xml:space="preserve">   مسجد جامع الراجحي .</t>
  </si>
  <si>
    <t>KFM2020660019394</t>
  </si>
  <si>
    <t>KFM2020660030505</t>
  </si>
  <si>
    <t xml:space="preserve">   مسجدالملز الجنوبي 5/3150</t>
  </si>
  <si>
    <t>KFM2020660057333</t>
  </si>
  <si>
    <t xml:space="preserve">   مسجد      انس     بن مالك .</t>
  </si>
  <si>
    <t>KFM2020660056863</t>
  </si>
  <si>
    <t xml:space="preserve">   مسجد الامام الالباني .</t>
  </si>
  <si>
    <t>KFM2120660260339</t>
  </si>
  <si>
    <t>مسجدالراجحى .</t>
  </si>
  <si>
    <t>KFM2020660099036</t>
  </si>
  <si>
    <t xml:space="preserve">   مسجدعثمان بن عفان بحي العقيق .</t>
  </si>
  <si>
    <t>KFM2020660131348</t>
  </si>
  <si>
    <t xml:space="preserve">   مسجد غاتر تحسين الفهد .</t>
  </si>
  <si>
    <t>KFM2120660262663</t>
  </si>
  <si>
    <t>مسجد وضحى  السهلي .</t>
  </si>
  <si>
    <t>KFM2020660098910</t>
  </si>
  <si>
    <t xml:space="preserve">   مسجدمنصور .</t>
  </si>
  <si>
    <t>KFM2120660303778</t>
  </si>
  <si>
    <t>KFM2020660173945</t>
  </si>
  <si>
    <t xml:space="preserve">   مسجد بر الوالدين .</t>
  </si>
  <si>
    <t>KFM2120660256843</t>
  </si>
  <si>
    <t>مسجد المخطط2 بالبديعه .</t>
  </si>
  <si>
    <t>KFM2020660054945</t>
  </si>
  <si>
    <t xml:space="preserve">   مسجد الرومي .</t>
  </si>
  <si>
    <t>KFM2020660191030</t>
  </si>
  <si>
    <t xml:space="preserve">   مسجد كيلو 3 بالنسيم(مسجد التوحيد .</t>
  </si>
  <si>
    <t>KFM2120660239331</t>
  </si>
  <si>
    <t xml:space="preserve">   مسجد حى الروابى .</t>
  </si>
  <si>
    <t>KFM2020660132817</t>
  </si>
  <si>
    <t>مسجد محمد الفاتح .</t>
  </si>
  <si>
    <t>KFM2020660176981</t>
  </si>
  <si>
    <t xml:space="preserve">   مسجد المعيذر .</t>
  </si>
  <si>
    <t>KFM2020660018863</t>
  </si>
  <si>
    <t xml:space="preserve">   مسجد الخليج الشرقي .</t>
  </si>
  <si>
    <t>KFM2020660190953</t>
  </si>
  <si>
    <t>ECC2020811052475</t>
  </si>
  <si>
    <t>KFM2020660203232</t>
  </si>
  <si>
    <t xml:space="preserve">   مسجد شمال غرب العاب الحكير .</t>
  </si>
  <si>
    <t>KFM2120660299219</t>
  </si>
  <si>
    <t>KFM2120660302489</t>
  </si>
  <si>
    <t>KFM2020660231080</t>
  </si>
  <si>
    <t>KFM2020660104892</t>
  </si>
  <si>
    <t xml:space="preserve">   مسجد/ سليمان العبود .</t>
  </si>
  <si>
    <t>KFM2020660138396</t>
  </si>
  <si>
    <t xml:space="preserve">   مسجدمحمدالفاتح .</t>
  </si>
  <si>
    <t>KFM2020660161769</t>
  </si>
  <si>
    <t>مسجد/حي الشفا .</t>
  </si>
  <si>
    <t>KFM2020660152996</t>
  </si>
  <si>
    <t xml:space="preserve">   مسجدالعثمان. .</t>
  </si>
  <si>
    <t>KFM2020660053293</t>
  </si>
  <si>
    <t xml:space="preserve">   مسجد الازدهار .</t>
  </si>
  <si>
    <t>KFM2020660173132</t>
  </si>
  <si>
    <t>KFM2120660262531</t>
  </si>
  <si>
    <t>KFM2020660053610</t>
  </si>
  <si>
    <t>KFM2020660056734</t>
  </si>
  <si>
    <t>مسجد جامع  ام  سليم .</t>
  </si>
  <si>
    <t>KFM2020660014236</t>
  </si>
  <si>
    <t>KFM2020660104917</t>
  </si>
  <si>
    <t xml:space="preserve">   مسجدشاهه .</t>
  </si>
  <si>
    <t>KFM2020660234227</t>
  </si>
  <si>
    <t xml:space="preserve">   مسجد الزغيبي .</t>
  </si>
  <si>
    <t>KFM2020660054066</t>
  </si>
  <si>
    <t xml:space="preserve">              مسجد وسكن  حي الحمراء .</t>
  </si>
  <si>
    <t>KFM2020660060117</t>
  </si>
  <si>
    <t>KFM2020660191827</t>
  </si>
  <si>
    <t>KFM2120660264437</t>
  </si>
  <si>
    <t xml:space="preserve">   مسجدمعهد الاداره العامه .</t>
  </si>
  <si>
    <t>KFM2120660242785</t>
  </si>
  <si>
    <t>KFM2020660191621</t>
  </si>
  <si>
    <t>8المسجدالموقتبالدخل  المحدودمخطط .</t>
  </si>
  <si>
    <t>KFM2020660053772</t>
  </si>
  <si>
    <t>مسجد/ حبيب  بن زيد .</t>
  </si>
  <si>
    <t>KFM2020660045023</t>
  </si>
  <si>
    <t>مسجدالعقيلى .</t>
  </si>
  <si>
    <t>KFM2020660201629</t>
  </si>
  <si>
    <t>مسجد مصعب  بن عمير/ مع سكن .</t>
  </si>
  <si>
    <t>KFM2020660200499</t>
  </si>
  <si>
    <t>مسجد /طريق  الملك  فهد .</t>
  </si>
  <si>
    <t>KFM2020660201735</t>
  </si>
  <si>
    <t>SMR2320661023006</t>
  </si>
  <si>
    <t>مسجد      ابو بكر الصديق .</t>
  </si>
  <si>
    <t>KFM2020660191158</t>
  </si>
  <si>
    <t>SMR2220661001462</t>
  </si>
  <si>
    <t>KFM2120660300619</t>
  </si>
  <si>
    <t>مسجدالفاروق .</t>
  </si>
  <si>
    <t>KFM2020660203405</t>
  </si>
  <si>
    <t>KFM2120660251283</t>
  </si>
  <si>
    <t xml:space="preserve">   مسجد/ منيره محمد العبدالقادر .</t>
  </si>
  <si>
    <t>KFM2120660302067</t>
  </si>
  <si>
    <t xml:space="preserve">   مسجد الخشمان .</t>
  </si>
  <si>
    <t>KFM2020660162166</t>
  </si>
  <si>
    <t>مسجد السبعان /حي منفوحة .</t>
  </si>
  <si>
    <t>KFM2020660056105</t>
  </si>
  <si>
    <t>KFM2120660291838</t>
  </si>
  <si>
    <t xml:space="preserve">   مسجدالرميح .</t>
  </si>
  <si>
    <t>KFM2120660282907</t>
  </si>
  <si>
    <t>SMR2320661034287</t>
  </si>
  <si>
    <t>KFM2020660211473</t>
  </si>
  <si>
    <t>KFM2020660192875</t>
  </si>
  <si>
    <t xml:space="preserve">   مسجد الجزيرة .</t>
  </si>
  <si>
    <t>KFM2020660191031</t>
  </si>
  <si>
    <t>KFM2120660257448</t>
  </si>
  <si>
    <t xml:space="preserve">   مسجد / منيرة بنت ناصر .</t>
  </si>
  <si>
    <t>KFM2020660175148</t>
  </si>
  <si>
    <t>KFM2020660202031</t>
  </si>
  <si>
    <t>KFM2020660211290</t>
  </si>
  <si>
    <t>KFM2020766157186</t>
  </si>
  <si>
    <t xml:space="preserve">   مسجد عبدالله الراجحي .</t>
  </si>
  <si>
    <t>KFM2120660299588</t>
  </si>
  <si>
    <t>KFM2020660166691</t>
  </si>
  <si>
    <t xml:space="preserve">   مسجدالجامع الجديدبالملز .</t>
  </si>
  <si>
    <t>KFM2020660229334</t>
  </si>
  <si>
    <t>مسجد الوالديـــــــن .</t>
  </si>
  <si>
    <t>KFM2020660038714</t>
  </si>
  <si>
    <t>KFM2020660022962</t>
  </si>
  <si>
    <t>مسجدالحبونيه  الاوسط .</t>
  </si>
  <si>
    <t>KFM2020660057903</t>
  </si>
  <si>
    <t xml:space="preserve">   مسجد السلام .</t>
  </si>
  <si>
    <t>KFM2020660045987</t>
  </si>
  <si>
    <t xml:space="preserve">   مسجد الصحابة بحي اشبيليا .</t>
  </si>
  <si>
    <t>KFM2020660191026</t>
  </si>
  <si>
    <t>SMR2420661038764</t>
  </si>
  <si>
    <t>مسجد ميدان عليشه .</t>
  </si>
  <si>
    <t>KFM2020660053857</t>
  </si>
  <si>
    <t>KFM2120660270037</t>
  </si>
  <si>
    <t xml:space="preserve">   مسجد النسيم .</t>
  </si>
  <si>
    <t>KFM2120655002507</t>
  </si>
  <si>
    <t>KFM2020660173780</t>
  </si>
  <si>
    <t>SMR2320661034417</t>
  </si>
  <si>
    <t xml:space="preserve">   اوقاف الاا ال .</t>
  </si>
  <si>
    <t>KFM2020660190754</t>
  </si>
  <si>
    <t xml:space="preserve"> وزارة الشئون الاسلامية والاوقاف(مسجد) .</t>
  </si>
  <si>
    <t>KFM2020660213534</t>
  </si>
  <si>
    <t>KFM2120660286878</t>
  </si>
  <si>
    <t>SMR2220661002767</t>
  </si>
  <si>
    <t>مسجدبن مغيثر .</t>
  </si>
  <si>
    <t>KFM2020660203497</t>
  </si>
  <si>
    <t>مسجد محمد العلي .</t>
  </si>
  <si>
    <t>KFM2020660054940</t>
  </si>
  <si>
    <t>SMR2220661007472</t>
  </si>
  <si>
    <t>KFM2020660054861</t>
  </si>
  <si>
    <t>KFM2020660104918</t>
  </si>
  <si>
    <t>KFM2020660043886</t>
  </si>
  <si>
    <t xml:space="preserve">    مسجد وادي لبن الا ول .</t>
  </si>
  <si>
    <t>KFM2020660192602</t>
  </si>
  <si>
    <t xml:space="preserve"> مسجد صحارى بلسى /خلف فندق صلاح الدين .</t>
  </si>
  <si>
    <t>KFM2020660206964</t>
  </si>
  <si>
    <t xml:space="preserve">      مسجد   محمد   صالح    العتيبي .</t>
  </si>
  <si>
    <t>KFM2020660174810</t>
  </si>
  <si>
    <t>مسجد الهدى .</t>
  </si>
  <si>
    <t>KFM2020660165556</t>
  </si>
  <si>
    <t xml:space="preserve">   مسجد / الفاروق .</t>
  </si>
  <si>
    <t>KFM2120660301486</t>
  </si>
  <si>
    <t>KFM2020660104253</t>
  </si>
  <si>
    <t xml:space="preserve">   مسجد/علوشى السبيعى .</t>
  </si>
  <si>
    <t>KFM2120660300346</t>
  </si>
  <si>
    <t>مسجد قرطبه .</t>
  </si>
  <si>
    <t>KFM2020660171318</t>
  </si>
  <si>
    <t>KFM2020660056826</t>
  </si>
  <si>
    <t xml:space="preserve">   مسجد سالم عبدالرحمن السالم .</t>
  </si>
  <si>
    <t>KFM2120660267475</t>
  </si>
  <si>
    <t>KFM2120660301763</t>
  </si>
  <si>
    <t>KFM2020660047087</t>
  </si>
  <si>
    <t xml:space="preserve">   مسجد محمد الفصيم .</t>
  </si>
  <si>
    <t>KFM2020660133783</t>
  </si>
  <si>
    <t>KFM2120660262124</t>
  </si>
  <si>
    <t xml:space="preserve">   مسجد شرق حي الخليج .</t>
  </si>
  <si>
    <t>KFM2020660190958</t>
  </si>
  <si>
    <t xml:space="preserve">   مسجد المغرزات .</t>
  </si>
  <si>
    <t>KFM2120660258397</t>
  </si>
  <si>
    <t>مسجدوالدة  موسى       القباع .</t>
  </si>
  <si>
    <t>KFM2020660042269</t>
  </si>
  <si>
    <t>مسجد المقصب .</t>
  </si>
  <si>
    <t>KFM2020660201759</t>
  </si>
  <si>
    <t xml:space="preserve">      مسجد      التركي .</t>
  </si>
  <si>
    <t>KFM2020660193656</t>
  </si>
  <si>
    <t>KFM2020660192196</t>
  </si>
  <si>
    <t>KFM2120660257873</t>
  </si>
  <si>
    <t xml:space="preserve">   مسجد الأندلس .</t>
  </si>
  <si>
    <t>KFM2020660167852</t>
  </si>
  <si>
    <t>مسجد عبدالرحمن الداخل .</t>
  </si>
  <si>
    <t>KFM2020660044980</t>
  </si>
  <si>
    <t>KFM2120660268846</t>
  </si>
  <si>
    <t xml:space="preserve">   مسجد      الرضوان   الرضوان .</t>
  </si>
  <si>
    <t>KFM2020660170817</t>
  </si>
  <si>
    <t>SMR2320661024287</t>
  </si>
  <si>
    <t>KFM2020660038802</t>
  </si>
  <si>
    <t xml:space="preserve">   مسجد عمربن عبدالعزيزومرافقه .</t>
  </si>
  <si>
    <t>KFM2020660192576</t>
  </si>
  <si>
    <t>مسجد بحي بدر (عبدالمجيدال  الشيخ .</t>
  </si>
  <si>
    <t>KFM2020660171571</t>
  </si>
  <si>
    <t>KFM2020660007885</t>
  </si>
  <si>
    <t>KFM2020660173436</t>
  </si>
  <si>
    <t xml:space="preserve">   مسجد الخالديه /بالدرعيه .</t>
  </si>
  <si>
    <t>KFM2020660027759</t>
  </si>
  <si>
    <t>KFM2020660202931</t>
  </si>
  <si>
    <t>SMR2320661034619</t>
  </si>
  <si>
    <t xml:space="preserve">   مسجدالشيخ / عبدالله النصيبى .</t>
  </si>
  <si>
    <t>KFM2020660193061</t>
  </si>
  <si>
    <t>KFM2020660191698</t>
  </si>
  <si>
    <t xml:space="preserve">   مسجد ابراهيم مسند المسند .</t>
  </si>
  <si>
    <t>KFM2020660012595</t>
  </si>
  <si>
    <t>SMR2320661033557</t>
  </si>
  <si>
    <t>KFM2020660038844</t>
  </si>
  <si>
    <t>SMR2220661007625</t>
  </si>
  <si>
    <t xml:space="preserve">   مسجدالعزيزيه .</t>
  </si>
  <si>
    <t>KFM2120660299058</t>
  </si>
  <si>
    <t xml:space="preserve">  مسجدالاميرعبدالرحمن العبدالله فيصل .</t>
  </si>
  <si>
    <t>KFM2020660012636</t>
  </si>
  <si>
    <t>KFM2020660174819</t>
  </si>
  <si>
    <t xml:space="preserve">   مسجد عبداللطيف المطلق .</t>
  </si>
  <si>
    <t>KFM2020660049706</t>
  </si>
  <si>
    <t>MMF2020800309776</t>
  </si>
  <si>
    <t xml:space="preserve">   مسجد الاحسان .</t>
  </si>
  <si>
    <t>KFM2020660130963</t>
  </si>
  <si>
    <t>KFM2120660262525</t>
  </si>
  <si>
    <t xml:space="preserve">   مسجدام عبدالله الصانع .</t>
  </si>
  <si>
    <t>KFM2020660202358</t>
  </si>
  <si>
    <t xml:space="preserve">   مسجد  ابراهيم الوزان .</t>
  </si>
  <si>
    <t>KFM2120660274162</t>
  </si>
  <si>
    <t xml:space="preserve">   مسـجـد جامع العباسي .</t>
  </si>
  <si>
    <t>KFM2020760204010</t>
  </si>
  <si>
    <t xml:space="preserve">   مسجد      علي       ال الشيخ .</t>
  </si>
  <si>
    <t>KFM2120660266096</t>
  </si>
  <si>
    <t xml:space="preserve">   مسجد      حي        اشبيليا .</t>
  </si>
  <si>
    <t>KFM2020660041256</t>
  </si>
  <si>
    <t xml:space="preserve">   مسجد صالح الفوزان .</t>
  </si>
  <si>
    <t>KFM2120660270412</t>
  </si>
  <si>
    <t>.  مسجد سامح  (مصعب  بن .</t>
  </si>
  <si>
    <t>KFM2020660098762</t>
  </si>
  <si>
    <t>KFM2020660176738</t>
  </si>
  <si>
    <t>KFM2120660262175</t>
  </si>
  <si>
    <t xml:space="preserve">   مسجد اسكان الجزيره .</t>
  </si>
  <si>
    <t>KFM2120660260343</t>
  </si>
  <si>
    <t>مسجدابراهيم  السبر ووالدية  وزوجتة .</t>
  </si>
  <si>
    <t>KFM2020660115744</t>
  </si>
  <si>
    <t xml:space="preserve">   مسجد الامام الشافعي .</t>
  </si>
  <si>
    <t>KFM2020660104202</t>
  </si>
  <si>
    <t>مسجد بن فريان .</t>
  </si>
  <si>
    <t>KFM2020660013386</t>
  </si>
  <si>
    <t>KFM2020660206529</t>
  </si>
  <si>
    <t xml:space="preserve">   مسجدالباتلي بحي الندى ومرافقه .</t>
  </si>
  <si>
    <t>KFM2020660201280</t>
  </si>
  <si>
    <t xml:space="preserve"> وزارةالشئون الاسلاميه / مسجد التيسير .</t>
  </si>
  <si>
    <t>KFM2020660191753</t>
  </si>
  <si>
    <t xml:space="preserve">   مسجد ناصر الدهيم .</t>
  </si>
  <si>
    <t>KFM2020660056959</t>
  </si>
  <si>
    <t xml:space="preserve">   مسجد ع.المعمري .</t>
  </si>
  <si>
    <t>KFM2120660299062</t>
  </si>
  <si>
    <t>KFM2020660191717</t>
  </si>
  <si>
    <t xml:space="preserve">   مسجد جامع السلي .</t>
  </si>
  <si>
    <t>KFM2120660236572</t>
  </si>
  <si>
    <t>KFM2020660139722</t>
  </si>
  <si>
    <t>SMR2220661001531</t>
  </si>
  <si>
    <t>SMR2020865028969</t>
  </si>
  <si>
    <t>SMR2320661029437</t>
  </si>
  <si>
    <t>KFM2020660174150</t>
  </si>
  <si>
    <t>مسجد  محمد فهد   الحكير .</t>
  </si>
  <si>
    <t>KFM2020660051416</t>
  </si>
  <si>
    <t>SMR2220621000847</t>
  </si>
  <si>
    <t xml:space="preserve">   مسجد ابناء عبدالله بن عبدالرحمن .</t>
  </si>
  <si>
    <t>KFM2020660192138</t>
  </si>
  <si>
    <t xml:space="preserve">   مسجد حي الملز .</t>
  </si>
  <si>
    <t>KFM2020660039565</t>
  </si>
  <si>
    <t xml:space="preserve">   مـسـجـد الـتـقـو ى .</t>
  </si>
  <si>
    <t>KFM2020660173098</t>
  </si>
  <si>
    <t xml:space="preserve">   مسجد حمزه الحمزه .</t>
  </si>
  <si>
    <t>KFM2020660193505</t>
  </si>
  <si>
    <t>مسجد /حي العوده  بالسويدي .</t>
  </si>
  <si>
    <t>KFM2020660051613</t>
  </si>
  <si>
    <t>KFM2020660192898</t>
  </si>
  <si>
    <t>مسجد ابناء احمد سالم باسودان .</t>
  </si>
  <si>
    <t>MMF2020800228753</t>
  </si>
  <si>
    <t xml:space="preserve"> مسجدالاميره الجوهره بنت سعود الكبير .</t>
  </si>
  <si>
    <t>KFM2020660048648</t>
  </si>
  <si>
    <t>KFM2020660044558</t>
  </si>
  <si>
    <t xml:space="preserve">   مسجد الشريم .</t>
  </si>
  <si>
    <t>KFM2020660057178</t>
  </si>
  <si>
    <t>KFM2020660190431</t>
  </si>
  <si>
    <t>SMR2220661000219</t>
  </si>
  <si>
    <t xml:space="preserve">   مسجد مسفر العتيبي .</t>
  </si>
  <si>
    <t>KFM2020660049709</t>
  </si>
  <si>
    <t>مسجد سلطانه .</t>
  </si>
  <si>
    <t>KFM2020660096490</t>
  </si>
  <si>
    <t>مسجد الشفاء ك 6بجوارمعرضى  الهملان .</t>
  </si>
  <si>
    <t>KFM2020660035601</t>
  </si>
  <si>
    <t>مسجد      جامع      حي بدر .</t>
  </si>
  <si>
    <t>KFM2020660208162</t>
  </si>
  <si>
    <t>KFM2020660174865</t>
  </si>
  <si>
    <t xml:space="preserve">    مسجدصالح الصانع .</t>
  </si>
  <si>
    <t>KFM2020660058041</t>
  </si>
  <si>
    <t>مسجد /الشيخ  محمد بن عبدالوهاب .</t>
  </si>
  <si>
    <t>KFM2020660015221</t>
  </si>
  <si>
    <t xml:space="preserve">   مسجد      جنوب      القدس .</t>
  </si>
  <si>
    <t>KFM2020660057185</t>
  </si>
  <si>
    <t xml:space="preserve">   مسجد الشعبه بشارع الامير عبدالله .</t>
  </si>
  <si>
    <t>KFM2020660210800</t>
  </si>
  <si>
    <t xml:space="preserve">   مسجد اسكان رقم 2 .</t>
  </si>
  <si>
    <t>KFM2120660256946</t>
  </si>
  <si>
    <t>KFM2020660193640</t>
  </si>
  <si>
    <t xml:space="preserve">   جامع الشيخ محمد الدغيثر .</t>
  </si>
  <si>
    <t>KFM2020660165391</t>
  </si>
  <si>
    <t>KFM2120660253623</t>
  </si>
  <si>
    <t>KFM2020660211248</t>
  </si>
  <si>
    <t xml:space="preserve">   وزارةالشئون الاسلامية و الاوقاف .</t>
  </si>
  <si>
    <t>KFM2020660210873</t>
  </si>
  <si>
    <t>وزاره      الشئون    جامع الحزم .</t>
  </si>
  <si>
    <t>KFM2020660034101</t>
  </si>
  <si>
    <t>KFM2020660193634</t>
  </si>
  <si>
    <t>KFM2020660196922</t>
  </si>
  <si>
    <t xml:space="preserve">   مسجد فهد المسند .</t>
  </si>
  <si>
    <t>KFM2020660174884</t>
  </si>
  <si>
    <t xml:space="preserve">   مسجد الهزاع. .</t>
  </si>
  <si>
    <t>KFM2020660132605</t>
  </si>
  <si>
    <t xml:space="preserve">   مسجد / محمد صالح الرويلي .</t>
  </si>
  <si>
    <t>KFM2020660060140</t>
  </si>
  <si>
    <t>SMR2220661000301</t>
  </si>
  <si>
    <t xml:space="preserve">   مسجد سعيد مهدى الغامدى .</t>
  </si>
  <si>
    <t>KFM2020760068924</t>
  </si>
  <si>
    <t xml:space="preserve">   مسجد المغامس وسكن الامام والمؤذن .</t>
  </si>
  <si>
    <t>KFM2020660191351</t>
  </si>
  <si>
    <t xml:space="preserve">   مسجد      حى        . .</t>
  </si>
  <si>
    <t>KFM2020660173367</t>
  </si>
  <si>
    <t>KFM2020660213549</t>
  </si>
  <si>
    <t>KFM2020660042530</t>
  </si>
  <si>
    <t>KFM2020660046528</t>
  </si>
  <si>
    <t>KFM2020660195113</t>
  </si>
  <si>
    <t>مسجد / الثنيان .</t>
  </si>
  <si>
    <t>KFM2020660203968</t>
  </si>
  <si>
    <t>KFM2020660232977</t>
  </si>
  <si>
    <t xml:space="preserve">   مسجد لولوهبنت سليمان المديهيم .</t>
  </si>
  <si>
    <t>KFM2120660270081</t>
  </si>
  <si>
    <t>KFM2120655002481</t>
  </si>
  <si>
    <t>SMR2220661007624</t>
  </si>
  <si>
    <t xml:space="preserve">   مسجد سليمان العواد .</t>
  </si>
  <si>
    <t>KFM2020660187648</t>
  </si>
  <si>
    <t xml:space="preserve">   المسجد التابع للوزارة .</t>
  </si>
  <si>
    <t>SMR2220761002196</t>
  </si>
  <si>
    <t>KFM2020660171455</t>
  </si>
  <si>
    <t>KFM2020660047568</t>
  </si>
  <si>
    <t>مسجدالشويعر .</t>
  </si>
  <si>
    <t>KFM2020660164274</t>
  </si>
  <si>
    <t>KFM2120660301484</t>
  </si>
  <si>
    <t>KFM2020660104894</t>
  </si>
  <si>
    <t xml:space="preserve">   مسجد      وزارة     الاسلا ميةوالاو .</t>
  </si>
  <si>
    <t>KFM2020660160613</t>
  </si>
  <si>
    <t>KFM2120660239153</t>
  </si>
  <si>
    <t>KFM2020660191363</t>
  </si>
  <si>
    <t>الشؤون الخاصة لخادم الحرمين الشريفين .</t>
  </si>
  <si>
    <t>MMF2020800123790</t>
  </si>
  <si>
    <t>KFM2020660203749</t>
  </si>
  <si>
    <t>KFM2020660008704</t>
  </si>
  <si>
    <t>KFM2020660171341</t>
  </si>
  <si>
    <t xml:space="preserve">   مسجدسعودالكبير .</t>
  </si>
  <si>
    <t>KFM2020660047751</t>
  </si>
  <si>
    <t xml:space="preserve">   مسجد حي  الصحافه .</t>
  </si>
  <si>
    <t>KFM2020660188612</t>
  </si>
  <si>
    <t xml:space="preserve">   مسجد      صالح      العيدان .</t>
  </si>
  <si>
    <t>KFM2020660193602</t>
  </si>
  <si>
    <t xml:space="preserve">   جامع عمر المختار .</t>
  </si>
  <si>
    <t>SMR2220661018901</t>
  </si>
  <si>
    <t xml:space="preserve">   مسجد السلي .</t>
  </si>
  <si>
    <t>KFM2120660305335</t>
  </si>
  <si>
    <t>KFM2120660257701</t>
  </si>
  <si>
    <t>وزارة      الشئون    مسجد .</t>
  </si>
  <si>
    <t>KFM2020660043887</t>
  </si>
  <si>
    <t xml:space="preserve">   مسجد الصالحيه الشمالى .</t>
  </si>
  <si>
    <t>KFM2120660299362</t>
  </si>
  <si>
    <t xml:space="preserve">   وزارة الشئؤن الاسلاميه مسجد الدار .</t>
  </si>
  <si>
    <t>KFM2020660162304</t>
  </si>
  <si>
    <t>SMR2320661032955</t>
  </si>
  <si>
    <t xml:space="preserve">   مسجد حي قرطبة . .</t>
  </si>
  <si>
    <t>KFM2020660053465</t>
  </si>
  <si>
    <t xml:space="preserve">   مسجد رقم 16 .</t>
  </si>
  <si>
    <t>KFM2120660304065</t>
  </si>
  <si>
    <t xml:space="preserve">   مسجد هاله بنت علي الجميعه .</t>
  </si>
  <si>
    <t>KFM2020660035970</t>
  </si>
  <si>
    <t>KFM2020660132826</t>
  </si>
  <si>
    <t xml:space="preserve">   وزارة     الشئون    والاوقاف .</t>
  </si>
  <si>
    <t>KFM2020660190489</t>
  </si>
  <si>
    <t xml:space="preserve">   مسجد الشويعى .</t>
  </si>
  <si>
    <t>KFM2120660281690</t>
  </si>
  <si>
    <t xml:space="preserve">   مسجد      محمد      الموسى .</t>
  </si>
  <si>
    <t>KFM2020660198005</t>
  </si>
  <si>
    <t xml:space="preserve">   مسجدالجزيره .</t>
  </si>
  <si>
    <t>KFM2020660035623</t>
  </si>
  <si>
    <t>مسجد سعود الدوسري .</t>
  </si>
  <si>
    <t>KFM2020660196973</t>
  </si>
  <si>
    <t>مسجد الجار الله .</t>
  </si>
  <si>
    <t>KFM2120660301502</t>
  </si>
  <si>
    <t>KFM2020660233152</t>
  </si>
  <si>
    <t xml:space="preserve"> مسجد/الاميرفيصل بن سلطان بن عبدالعزي .</t>
  </si>
  <si>
    <t>KFM2120660246201</t>
  </si>
  <si>
    <t>SMR2220661007834</t>
  </si>
  <si>
    <t>KFM2020660190126</t>
  </si>
  <si>
    <t xml:space="preserve">   مسجد العقيل .</t>
  </si>
  <si>
    <t>KFM2020660039573</t>
  </si>
  <si>
    <t xml:space="preserve">   مسجد محمد عبدالله العميل .</t>
  </si>
  <si>
    <t>KFM2020660195969</t>
  </si>
  <si>
    <t xml:space="preserve">   مسجد ابن عثيمين .</t>
  </si>
  <si>
    <t>KFM2020660197702</t>
  </si>
  <si>
    <t xml:space="preserve">   مسجد كيلو 4 بالنسيم .</t>
  </si>
  <si>
    <t>KFM2120660237230</t>
  </si>
  <si>
    <t xml:space="preserve">   مسجد حي السعادة .</t>
  </si>
  <si>
    <t>KFM2120660260287</t>
  </si>
  <si>
    <t xml:space="preserve">      وزارة الشئون الاسلاميةوالاوقاف .</t>
  </si>
  <si>
    <t>KFM2020660127561</t>
  </si>
  <si>
    <t>مسجد مؤقت  بضاحية  العريجا .</t>
  </si>
  <si>
    <t>KFM2020660201775</t>
  </si>
  <si>
    <t>SMR2420661036091</t>
  </si>
  <si>
    <t xml:space="preserve">   مسجد الفردوس .</t>
  </si>
  <si>
    <t>KFM2020660145801</t>
  </si>
  <si>
    <t xml:space="preserve">   مسجدالاميرمشعل .</t>
  </si>
  <si>
    <t>KFM2120660242899</t>
  </si>
  <si>
    <t xml:space="preserve">   مسجدالنهضه .</t>
  </si>
  <si>
    <t>KFM2120660276284</t>
  </si>
  <si>
    <t>KFM2020660190352</t>
  </si>
  <si>
    <t>KFM2020660190150</t>
  </si>
  <si>
    <t>KFM2020660190358</t>
  </si>
  <si>
    <t xml:space="preserve">   مسجد الشلفان .</t>
  </si>
  <si>
    <t>KFM2020660193119</t>
  </si>
  <si>
    <t>AEC2020830326381</t>
  </si>
  <si>
    <t>KFM2020660143084</t>
  </si>
  <si>
    <t xml:space="preserve">   مسجد عوض الحربي .</t>
  </si>
  <si>
    <t>KFM2020660134053</t>
  </si>
  <si>
    <t>KFM2020660202940</t>
  </si>
  <si>
    <t>KFM2020660144744</t>
  </si>
  <si>
    <t>KFM2120660242216</t>
  </si>
  <si>
    <t>KFM2020660198310</t>
  </si>
  <si>
    <t xml:space="preserve">   مسجد علي الحوشاني .</t>
  </si>
  <si>
    <t>KFM2020660191800</t>
  </si>
  <si>
    <t>مسجدالخراشي .</t>
  </si>
  <si>
    <t>KFM2020660177037</t>
  </si>
  <si>
    <t xml:space="preserve">   مسجد      ركيب      الكود .</t>
  </si>
  <si>
    <t>KFM2020660042412</t>
  </si>
  <si>
    <t xml:space="preserve">   مسجد/ابو بكرالصديق .</t>
  </si>
  <si>
    <t>KFM2020660192885</t>
  </si>
  <si>
    <t xml:space="preserve">   مسجد النور  بحي لبن .</t>
  </si>
  <si>
    <t>KFM2020660211322</t>
  </si>
  <si>
    <t>KFM2020760040879</t>
  </si>
  <si>
    <t xml:space="preserve">   مسجد ابن سعيدان .</t>
  </si>
  <si>
    <t>KFM2020660037501</t>
  </si>
  <si>
    <t>KFM2020660213043</t>
  </si>
  <si>
    <t xml:space="preserve">   مسجد/ عبدالله ابن حمد بن سليم .</t>
  </si>
  <si>
    <t>KFM2020660166583</t>
  </si>
  <si>
    <t xml:space="preserve">   مسجد ام الحمام الشرقيه .</t>
  </si>
  <si>
    <t>KFM2020660172099</t>
  </si>
  <si>
    <t>مسجدالاميرة  الجوهرة  بنت تركى .</t>
  </si>
  <si>
    <t>KFM2020660051603</t>
  </si>
  <si>
    <t>SMR2320661021955</t>
  </si>
  <si>
    <t xml:space="preserve">   مسجدالوادي ومرافقه .</t>
  </si>
  <si>
    <t>KFM2020660211389</t>
  </si>
  <si>
    <t>KFM2020660190871</t>
  </si>
  <si>
    <t>0000     مسجد      التقوى .</t>
  </si>
  <si>
    <t>KFM2020660203354</t>
  </si>
  <si>
    <t xml:space="preserve">   مسجدسعودالمغيصيب .</t>
  </si>
  <si>
    <t>KFM2020660197246</t>
  </si>
  <si>
    <t xml:space="preserve">   مسجد الشيخ  محمد صالح العثيمين .</t>
  </si>
  <si>
    <t>KFM2020660174322</t>
  </si>
  <si>
    <t>KFM2020660051295</t>
  </si>
  <si>
    <t>KFM2020660042058</t>
  </si>
  <si>
    <t xml:space="preserve">   مسجد حي  الندوة .</t>
  </si>
  <si>
    <t>KFM2020660193527</t>
  </si>
  <si>
    <t>KFM2020660027770</t>
  </si>
  <si>
    <t>KFM2020660141908</t>
  </si>
  <si>
    <t xml:space="preserve">   مسجدحى المنصورة .</t>
  </si>
  <si>
    <t>KFM2120660290439</t>
  </si>
  <si>
    <t xml:space="preserve">   مسجد حي المنار .</t>
  </si>
  <si>
    <t>KFM2020660133318</t>
  </si>
  <si>
    <t>KFM2120655004267</t>
  </si>
  <si>
    <t xml:space="preserve">   مسجد / بدرابراهيم السعيدان .</t>
  </si>
  <si>
    <t>KFM2020660043500</t>
  </si>
  <si>
    <t xml:space="preserve">   مسجد عبدالعزيز العتي بظهرة لبن .</t>
  </si>
  <si>
    <t>KFM2020660192542</t>
  </si>
  <si>
    <t>KFM2120660254626</t>
  </si>
  <si>
    <t xml:space="preserve"> وزارةالشئون الاسلاميةوالآوقاف ( مسجد ) .</t>
  </si>
  <si>
    <t>KFM2020660091259</t>
  </si>
  <si>
    <t>وزارة الشئون الاسلامية مسجد المقيطيب .</t>
  </si>
  <si>
    <t>KFM2020660060736</t>
  </si>
  <si>
    <t>SMR2220661018667</t>
  </si>
  <si>
    <t xml:space="preserve">   مسجد محمد الحبيب .</t>
  </si>
  <si>
    <t>KFM2020660211209</t>
  </si>
  <si>
    <t xml:space="preserve">      مسجدالشيخ/عبدالرحمن بن حسن بن .</t>
  </si>
  <si>
    <t>KFM2020660057017</t>
  </si>
  <si>
    <t>وزاره      الشئون    مسجد الدريهم .</t>
  </si>
  <si>
    <t>KFM2020660098780</t>
  </si>
  <si>
    <t>KFM2020660060113</t>
  </si>
  <si>
    <t xml:space="preserve">   مسجد سليمان الحمالي-بحي الياسمين .</t>
  </si>
  <si>
    <t>KFM2020660213600</t>
  </si>
  <si>
    <t>.  مسجد      ابن ماجد .</t>
  </si>
  <si>
    <t>KFM2020660096738</t>
  </si>
  <si>
    <t>KFM2020660051387</t>
  </si>
  <si>
    <t>KFM2020660025453</t>
  </si>
  <si>
    <t>KFM2020660197298</t>
  </si>
  <si>
    <t>مسجد راشد محمد بن دايل .</t>
  </si>
  <si>
    <t>KFM2020760091913</t>
  </si>
  <si>
    <t>KFM2020660209274</t>
  </si>
  <si>
    <t>KFM2020660190524</t>
  </si>
  <si>
    <t xml:space="preserve">   مسجدال مرزوق .</t>
  </si>
  <si>
    <t>KFM2020660041274</t>
  </si>
  <si>
    <t>مسجد  /  السويدى .</t>
  </si>
  <si>
    <t>KFM2020660025772</t>
  </si>
  <si>
    <t>KFM2020660008773</t>
  </si>
  <si>
    <t>KFM2120660240849</t>
  </si>
  <si>
    <t>مسجد الحزم  وزاره  الشئون الاسلاميه .</t>
  </si>
  <si>
    <t>KFM2020660174995</t>
  </si>
  <si>
    <t xml:space="preserve">   مسجد منيرة السلولي /حي غرناطة .</t>
  </si>
  <si>
    <t>KFM2120660303482</t>
  </si>
  <si>
    <t>KFM2020660200465</t>
  </si>
  <si>
    <t xml:space="preserve">   مسجدحي  اشبيليا   الا مام والمؤذن .</t>
  </si>
  <si>
    <t>KFM2020660057247</t>
  </si>
  <si>
    <t>SMR2220661007005</t>
  </si>
  <si>
    <t>مسجد بن خرعان بالشفاء .</t>
  </si>
  <si>
    <t>KFM2020660022969</t>
  </si>
  <si>
    <t xml:space="preserve">   مسجد عبدالله ابراهيم النقيثيان .</t>
  </si>
  <si>
    <t>KFM2120660286468</t>
  </si>
  <si>
    <t>مسجد      حي        نمار .</t>
  </si>
  <si>
    <t>KFM2020660054308</t>
  </si>
  <si>
    <t>KFM2020660137723</t>
  </si>
  <si>
    <t xml:space="preserve">   مسجد جنوب الروضه .</t>
  </si>
  <si>
    <t>KFM2020660054544</t>
  </si>
  <si>
    <t>مسجد الموسى .</t>
  </si>
  <si>
    <t>KFM2020660198273</t>
  </si>
  <si>
    <t>KFM2020660056996</t>
  </si>
  <si>
    <t>مسجدالامام  ابن الصلاح .</t>
  </si>
  <si>
    <t>KFM2020660038575</t>
  </si>
  <si>
    <t>مسجد الشيخ  عبدالعزيز الموسى .</t>
  </si>
  <si>
    <t>KFM2020660191252</t>
  </si>
  <si>
    <t>KFM2120760245256</t>
  </si>
  <si>
    <t>SMR2220661007889</t>
  </si>
  <si>
    <t>مسجد      قتيبة      بن مسلم .</t>
  </si>
  <si>
    <t>KFM2020660096104</t>
  </si>
  <si>
    <t xml:space="preserve">   مسجدالشيخ محمدبن عبدالوهاب .</t>
  </si>
  <si>
    <t>KFM2020660230078</t>
  </si>
  <si>
    <t>GTR2320890741175</t>
  </si>
  <si>
    <t>KFM2120660268891</t>
  </si>
  <si>
    <t>KFM2020660012509</t>
  </si>
  <si>
    <t xml:space="preserve">   مسجد فهيد دعيج المطيري ومرافقه .</t>
  </si>
  <si>
    <t>KFM2020660211324</t>
  </si>
  <si>
    <t xml:space="preserve">   مسجد/والدة نهار فيصل المنديل .</t>
  </si>
  <si>
    <t>KFM2020660127756</t>
  </si>
  <si>
    <t>KFM2020660193062</t>
  </si>
  <si>
    <t xml:space="preserve">   مسجد محمد بن ماجد .</t>
  </si>
  <si>
    <t>SMR2220661017943</t>
  </si>
  <si>
    <t>مسجد حي الدريهميه /المنجم .</t>
  </si>
  <si>
    <t>KFM2020660202602</t>
  </si>
  <si>
    <t xml:space="preserve">   مسجد جامع خديجة بنت خويلد .</t>
  </si>
  <si>
    <t>KFM2020660162854</t>
  </si>
  <si>
    <t xml:space="preserve">   مسجد الامام أحمد بن حنبل .</t>
  </si>
  <si>
    <t>KFM2020660012608</t>
  </si>
  <si>
    <t xml:space="preserve">   مسجد  الشئون الاسلاميةوالاوقاف .</t>
  </si>
  <si>
    <t>KFM2020660187642</t>
  </si>
  <si>
    <t xml:space="preserve">   مسجد عقبه بن نافع .</t>
  </si>
  <si>
    <t>KFM2020660190934</t>
  </si>
  <si>
    <t>KFM2020660136162</t>
  </si>
  <si>
    <t>KFM2020660192926</t>
  </si>
  <si>
    <t>KFM2020660061519</t>
  </si>
  <si>
    <t xml:space="preserve">   مسجد سعيد القحطانى / حى الوزارات .</t>
  </si>
  <si>
    <t>KFM2020660170074</t>
  </si>
  <si>
    <t>KFM2020660097281</t>
  </si>
  <si>
    <t xml:space="preserve">   مسجد سليمان الحصيني .</t>
  </si>
  <si>
    <t>KFM2120660287366</t>
  </si>
  <si>
    <t xml:space="preserve">   مسجدالاحمري ومرافقه بظهرة لبن .</t>
  </si>
  <si>
    <t>KFM2120655002732</t>
  </si>
  <si>
    <t xml:space="preserve">   مسجد بن حيان بالعود .</t>
  </si>
  <si>
    <t>KFM2120660300471</t>
  </si>
  <si>
    <t xml:space="preserve">   مسجد/ صالح  الرشيد .</t>
  </si>
  <si>
    <t>KFM2020660174076</t>
  </si>
  <si>
    <t xml:space="preserve">   جامع  الخالدية الكبير .</t>
  </si>
  <si>
    <t>KFM2120660304653</t>
  </si>
  <si>
    <t xml:space="preserve">   مسجد عاصم بن عمر .</t>
  </si>
  <si>
    <t>KFM2020660041671</t>
  </si>
  <si>
    <t>مسجد الملك  سعود .</t>
  </si>
  <si>
    <t>KFM2020660167669</t>
  </si>
  <si>
    <t>KFM2020660198419</t>
  </si>
  <si>
    <t xml:space="preserve">   مسجد      مهدي      ال رشيد .</t>
  </si>
  <si>
    <t>KFM2020660191841</t>
  </si>
  <si>
    <t>KFM2020660126296</t>
  </si>
  <si>
    <t>KFM2020660043947</t>
  </si>
  <si>
    <t>مسجد      .         الثنيان .</t>
  </si>
  <si>
    <t>KFM2020660019104</t>
  </si>
  <si>
    <t xml:space="preserve">   مسجدامين العبدالعزيز .</t>
  </si>
  <si>
    <t>KFM2020660234120</t>
  </si>
  <si>
    <t>KFM2120655001342</t>
  </si>
  <si>
    <t>وقاف ومساجد نفي .</t>
  </si>
  <si>
    <t>KFM2120660268842</t>
  </si>
  <si>
    <t xml:space="preserve">   مسجدعيدالعصيمي مع سكن امام ومؤذن .</t>
  </si>
  <si>
    <t>KFM2020660054737</t>
  </si>
  <si>
    <t xml:space="preserve">   مسجد  عبدالرحمن بن  عوف .</t>
  </si>
  <si>
    <t>KFM2020660038158</t>
  </si>
  <si>
    <t xml:space="preserve">   مسجد محمد الرشيد .</t>
  </si>
  <si>
    <t>KFM2120660267533</t>
  </si>
  <si>
    <t>مسجد التضامن .</t>
  </si>
  <si>
    <t>KFM2020660044117</t>
  </si>
  <si>
    <t>مسجد      البداح     الشى ئون الاسلا .</t>
  </si>
  <si>
    <t>KFM2020660025753</t>
  </si>
  <si>
    <t>KFM2020660012587</t>
  </si>
  <si>
    <t>سكن امام ومؤذن مسجد الشيخ عبدالرحمن المطرودي</t>
  </si>
  <si>
    <t>KFM2120660282068</t>
  </si>
  <si>
    <t xml:space="preserve">   مسجدغليفص بسوق البطحاء .</t>
  </si>
  <si>
    <t>KFM2020660047690</t>
  </si>
  <si>
    <t>KFM2120660264426</t>
  </si>
  <si>
    <t>KFM2020660201751</t>
  </si>
  <si>
    <t>مسجد مخطط الاميرعبدالرحمن بن عبدالله .</t>
  </si>
  <si>
    <t>KFM2020660025748</t>
  </si>
  <si>
    <t>7  المسجد رقم .</t>
  </si>
  <si>
    <t>KFM2020660011900</t>
  </si>
  <si>
    <t>KFM2020660013609</t>
  </si>
  <si>
    <t>SMR2220661018949</t>
  </si>
  <si>
    <t>SMR2220661011326</t>
  </si>
  <si>
    <t>SMR2320661022840</t>
  </si>
  <si>
    <t>KFM2020660173386</t>
  </si>
  <si>
    <t xml:space="preserve">   مسجد الشايع .</t>
  </si>
  <si>
    <t>KFM2120660242239</t>
  </si>
  <si>
    <t>KFM2020660027623</t>
  </si>
  <si>
    <t xml:space="preserve">   مسجد حمود الذياب .</t>
  </si>
  <si>
    <t>KFM2020660132580</t>
  </si>
  <si>
    <t>KFM2020660200537</t>
  </si>
  <si>
    <t xml:space="preserve">   مسجد ابي بكر الصديق .</t>
  </si>
  <si>
    <t>KFM2120660281979</t>
  </si>
  <si>
    <t>مسجد      محمد      العقيلي .</t>
  </si>
  <si>
    <t>KFM2020660175008</t>
  </si>
  <si>
    <t xml:space="preserve">   مسجد      عبدالعزيز البكر .</t>
  </si>
  <si>
    <t>KFM2020660091255</t>
  </si>
  <si>
    <t>SMR2320661033989</t>
  </si>
  <si>
    <t xml:space="preserve">   مسجد      محمد      العطير .</t>
  </si>
  <si>
    <t>KFM2020660145201</t>
  </si>
  <si>
    <t>SMR2220661005712</t>
  </si>
  <si>
    <t>KFM2020660196923</t>
  </si>
  <si>
    <t xml:space="preserve">   مسجد الخالديه .</t>
  </si>
  <si>
    <t>KFM2020660034607</t>
  </si>
  <si>
    <t>مسجد عمر بن الخطاب .</t>
  </si>
  <si>
    <t>KFM2020660200655</t>
  </si>
  <si>
    <t>KFM2020660133831</t>
  </si>
  <si>
    <t xml:space="preserve">   وزارة     الشئون    (مسجد حي الر .</t>
  </si>
  <si>
    <t>KFM2120660272399</t>
  </si>
  <si>
    <t>SMR2320661022921</t>
  </si>
  <si>
    <t xml:space="preserve">   مسجدالا ميرة/جهير بنت بندر .</t>
  </si>
  <si>
    <t>KFM2020660197652</t>
  </si>
  <si>
    <t>مسجد البراءبن مالك .</t>
  </si>
  <si>
    <t>KFM2020660115823</t>
  </si>
  <si>
    <t>KFM2020660197186</t>
  </si>
  <si>
    <t>KFM2020660177121</t>
  </si>
  <si>
    <t>مسجد الدخل  المحدود .</t>
  </si>
  <si>
    <t>KFM2020660051583</t>
  </si>
  <si>
    <t xml:space="preserve">   مسجد حي المغرزات .</t>
  </si>
  <si>
    <t>KFM2020660189288</t>
  </si>
  <si>
    <t>مسجد حي الحزم .</t>
  </si>
  <si>
    <t>KFM2020660027246</t>
  </si>
  <si>
    <t>KFM2020660171746</t>
  </si>
  <si>
    <t>KFM2020660203721</t>
  </si>
  <si>
    <t>KFM2020660115710</t>
  </si>
  <si>
    <t>KFM2120660239377</t>
  </si>
  <si>
    <t>مسجدالدار البيضاء .</t>
  </si>
  <si>
    <t>KFM2020660162794</t>
  </si>
  <si>
    <t>مسجد العقيل .</t>
  </si>
  <si>
    <t>KFM2020660087410</t>
  </si>
  <si>
    <t>مسجد      عبدالطيف   جميل .</t>
  </si>
  <si>
    <t>KFM2020660025700</t>
  </si>
  <si>
    <t>مسجد  / سعد بن معاذ .</t>
  </si>
  <si>
    <t>KFM2020660018995</t>
  </si>
  <si>
    <t xml:space="preserve">   مسجد فاطمه الفيروز .</t>
  </si>
  <si>
    <t>KFM2020660011830</t>
  </si>
  <si>
    <t>مسجد بن سلامه .</t>
  </si>
  <si>
    <t>SMR2220661000466</t>
  </si>
  <si>
    <t>SMR2220661006809</t>
  </si>
  <si>
    <t>مسجدالاميرخالدبن سعود .</t>
  </si>
  <si>
    <t>KFM2020660045039</t>
  </si>
  <si>
    <t>KFM2020660007001</t>
  </si>
  <si>
    <t>SMR2420661038673</t>
  </si>
  <si>
    <t xml:space="preserve">   مسجد      أبوعبيده  الجراح .</t>
  </si>
  <si>
    <t>KFM2020660193617</t>
  </si>
  <si>
    <t>KFM2120660303312</t>
  </si>
  <si>
    <t>.      مسجد      جابر .</t>
  </si>
  <si>
    <t>KFM2020660043888</t>
  </si>
  <si>
    <t>KFM2020660201999</t>
  </si>
  <si>
    <t>KFM2020660192521</t>
  </si>
  <si>
    <t xml:space="preserve">   مسجدحى الضباط .</t>
  </si>
  <si>
    <t>KFM2020660162708</t>
  </si>
  <si>
    <t xml:space="preserve">   مسجد التويجري .</t>
  </si>
  <si>
    <t>KFM2020660012601</t>
  </si>
  <si>
    <t>KFM2020660031177</t>
  </si>
  <si>
    <t xml:space="preserve">   مسجد حماد القريني .</t>
  </si>
  <si>
    <t>KFM2120660256837</t>
  </si>
  <si>
    <t>KFM2020660198474</t>
  </si>
  <si>
    <t xml:space="preserve">   مسجد لطيفة عبدالله آل الشيخ .</t>
  </si>
  <si>
    <t>KFM2020660173721</t>
  </si>
  <si>
    <t>KFM2020660171728</t>
  </si>
  <si>
    <t xml:space="preserve">   مسجد الجوزاء .</t>
  </si>
  <si>
    <t>KFM2120660299247</t>
  </si>
  <si>
    <t>مسجد/ عبدالله  صالح  العبدالقادر .</t>
  </si>
  <si>
    <t>KFM2020660096070</t>
  </si>
  <si>
    <t xml:space="preserve">   مسجد العباس  بن عبدالمطلب .</t>
  </si>
  <si>
    <t>KFM2020660191055</t>
  </si>
  <si>
    <t xml:space="preserve">   مسجد والدة محمد بن فيحان الرقاص .</t>
  </si>
  <si>
    <t>KFM2020660031732</t>
  </si>
  <si>
    <t>KFM2020660057463</t>
  </si>
  <si>
    <t xml:space="preserve">   مسجد الفداء .</t>
  </si>
  <si>
    <t>KFM2120660273783</t>
  </si>
  <si>
    <t>مسجدالامير مشعل  بن عبد العزيز .</t>
  </si>
  <si>
    <t>KFM2020660034124</t>
  </si>
  <si>
    <t>SMR2320661034808</t>
  </si>
  <si>
    <t>مسجد العتيان الشلاوى .</t>
  </si>
  <si>
    <t>KFM2020660015396</t>
  </si>
  <si>
    <t>KFM2020660047308</t>
  </si>
  <si>
    <t>KFM2020660211245</t>
  </si>
  <si>
    <t>KFM2120660302076</t>
  </si>
  <si>
    <t>KFM2020660018862</t>
  </si>
  <si>
    <t>KFM2020660046513</t>
  </si>
  <si>
    <t>KFM2120660302091</t>
  </si>
  <si>
    <t>KFM2020660145256</t>
  </si>
  <si>
    <t>مسجدمحمدسعدالمهنا .</t>
  </si>
  <si>
    <t>KFM2020660098924</t>
  </si>
  <si>
    <t>KFM2120660303311</t>
  </si>
  <si>
    <t xml:space="preserve">   وزارةالشئون الاسلاميه/ مسجد السلي .</t>
  </si>
  <si>
    <t>KFM2120660262284</t>
  </si>
  <si>
    <t>مسجد الحميميدى .</t>
  </si>
  <si>
    <t>KFM2020660044026</t>
  </si>
  <si>
    <t xml:space="preserve">   مسجد حى الفاروق .</t>
  </si>
  <si>
    <t>KFM2020766162326</t>
  </si>
  <si>
    <t>مسجد/حى بدر .</t>
  </si>
  <si>
    <t>KFM2020660115774</t>
  </si>
  <si>
    <t xml:space="preserve">   مسجد الروابي .</t>
  </si>
  <si>
    <t>KFM2020660232842</t>
  </si>
  <si>
    <t>KFM2020660145204</t>
  </si>
  <si>
    <t xml:space="preserve">   مدرسة تحفيظ قران /عبدالله الذياب .</t>
  </si>
  <si>
    <t>KFM2120660249327</t>
  </si>
  <si>
    <t>SMR2420661036204</t>
  </si>
  <si>
    <t>ECC2020811040256</t>
  </si>
  <si>
    <t xml:space="preserve">   مسجد / حى المرسلات .</t>
  </si>
  <si>
    <t>KFM2020660187610</t>
  </si>
  <si>
    <t>KFM2020660049551</t>
  </si>
  <si>
    <t>مسجد      ابو       دجانه .</t>
  </si>
  <si>
    <t>KFM2020660200653</t>
  </si>
  <si>
    <t>KFM2020660007305</t>
  </si>
  <si>
    <t xml:space="preserve">   مسجد عبدالكريم الدرويش .</t>
  </si>
  <si>
    <t>KFM2020660057979</t>
  </si>
  <si>
    <t>KFM2020660049565</t>
  </si>
  <si>
    <t xml:space="preserve">   مسجد علي فهد الهزاع . .</t>
  </si>
  <si>
    <t>KFM2020660036395</t>
  </si>
  <si>
    <t>مسجد عثمان احمدالعقيل .</t>
  </si>
  <si>
    <t>KFM2020660038846</t>
  </si>
  <si>
    <t>المسجد الموقت بحى  الاميرمشعل .</t>
  </si>
  <si>
    <t>KFM2020660175011</t>
  </si>
  <si>
    <t>KFM2020660209213</t>
  </si>
  <si>
    <t>SMR2320661031278</t>
  </si>
  <si>
    <t>جامع الشيخ  معزي   وزارة  الشئون .</t>
  </si>
  <si>
    <t>KFM2020660203563</t>
  </si>
  <si>
    <t xml:space="preserve">   مسجد ناصر المهوس  بحي المصيف .</t>
  </si>
  <si>
    <t>KFM2020660104319</t>
  </si>
  <si>
    <t>مسجد / الشيخ  صالح  الفارس .</t>
  </si>
  <si>
    <t>KFM2020660019167</t>
  </si>
  <si>
    <t>KFM2020660023702</t>
  </si>
  <si>
    <t>KFM2120660299614</t>
  </si>
  <si>
    <t>KFM2020660209411</t>
  </si>
  <si>
    <t>KFM2020660138305</t>
  </si>
  <si>
    <t>مسجد / الفرقان بظهرة  نمار .</t>
  </si>
  <si>
    <t>KFM2020660039107</t>
  </si>
  <si>
    <t>مسجد      عبدالله    القحطاني .</t>
  </si>
  <si>
    <t>KFM2020660051455</t>
  </si>
  <si>
    <t>جامع المعارض .</t>
  </si>
  <si>
    <t>KFM2020660200474</t>
  </si>
  <si>
    <t>KFM2020660192535</t>
  </si>
  <si>
    <t>KFM2020660214082</t>
  </si>
  <si>
    <t xml:space="preserve">   مسجد النرجس .</t>
  </si>
  <si>
    <t>KFM2120660257402</t>
  </si>
  <si>
    <t>KFM2020660211318</t>
  </si>
  <si>
    <t>KFM2020660004072</t>
  </si>
  <si>
    <t>KFM2020660053574</t>
  </si>
  <si>
    <t>مسجد /عبدالرحمن بن عوف .</t>
  </si>
  <si>
    <t>KFM2020660060791</t>
  </si>
  <si>
    <t xml:space="preserve">   مسجد محمد العريفي .</t>
  </si>
  <si>
    <t>KFM2020660174980</t>
  </si>
  <si>
    <t>مسجد مخطط الرابع  عشر .</t>
  </si>
  <si>
    <t>KFM2020660203600</t>
  </si>
  <si>
    <t>مسجد والدة  الملك  الراحل  سعود .</t>
  </si>
  <si>
    <t>KFM2020660054287</t>
  </si>
  <si>
    <t>مسجد محمد بن ماجد .</t>
  </si>
  <si>
    <t>KFM2020660053117</t>
  </si>
  <si>
    <t>KFM2120655001335</t>
  </si>
  <si>
    <t>مسجد خبيب  بن عدي .</t>
  </si>
  <si>
    <t>KFM2020660191096</t>
  </si>
  <si>
    <t>مسجد      محمد      بن ماجد .</t>
  </si>
  <si>
    <t>KFM2020660023359</t>
  </si>
  <si>
    <t>SMR2220661000450</t>
  </si>
  <si>
    <t>مسجد /جامع المخطط السادس .</t>
  </si>
  <si>
    <t>KFM2020660201710</t>
  </si>
  <si>
    <t xml:space="preserve">   مسجد وسكن محمد بن مترك القحطاني .</t>
  </si>
  <si>
    <t>KFM2020660190946</t>
  </si>
  <si>
    <t>مسجد بالعمارية .</t>
  </si>
  <si>
    <t>KFM2020660202997</t>
  </si>
  <si>
    <t>مسجد حى  الجامعين .</t>
  </si>
  <si>
    <t>KFM2020660087496</t>
  </si>
  <si>
    <t>مسجد التعاون .</t>
  </si>
  <si>
    <t>KFM2020660173478</t>
  </si>
  <si>
    <t>مسجد عمربن عبدالعزيز .</t>
  </si>
  <si>
    <t>KFM2020660203490</t>
  </si>
  <si>
    <t>مسجد النور الموقت .</t>
  </si>
  <si>
    <t>KFM2020660043914</t>
  </si>
  <si>
    <t xml:space="preserve">   مسجد ناصر بن ابراهيم العميقان .</t>
  </si>
  <si>
    <t>KFM2020660208658</t>
  </si>
  <si>
    <t>KFM2020660202879</t>
  </si>
  <si>
    <t>KFM2020660090733</t>
  </si>
  <si>
    <t>KFM2120660253460</t>
  </si>
  <si>
    <t>KFM2020660208095</t>
  </si>
  <si>
    <t xml:space="preserve">   مسجدجامع الكردى .</t>
  </si>
  <si>
    <t>KFM2020660227151</t>
  </si>
  <si>
    <t xml:space="preserve">   مسجد حي لفيحاء .</t>
  </si>
  <si>
    <t>KFM2120660290495</t>
  </si>
  <si>
    <t>KFM2020660176739</t>
  </si>
  <si>
    <t>وزارة الشئون الاسلامية و الاوقاف .</t>
  </si>
  <si>
    <t>KFM2020660136220</t>
  </si>
  <si>
    <t>مسجد الخراشي .</t>
  </si>
  <si>
    <t>KFM2020660052780</t>
  </si>
  <si>
    <t>SMR2220661002152</t>
  </si>
  <si>
    <t>مسجد /الصوينع بحي بدر .</t>
  </si>
  <si>
    <t>KFM2020660198449</t>
  </si>
  <si>
    <t xml:space="preserve">   مسجدالزبيربن العوام بحي التعاون .</t>
  </si>
  <si>
    <t>KFM2020660173841</t>
  </si>
  <si>
    <t xml:space="preserve">   مسجد الدائري الجنوبي .</t>
  </si>
  <si>
    <t>KFM2020660057417</t>
  </si>
  <si>
    <t>مسجد الاميرة  / سارة  بنت سعد .</t>
  </si>
  <si>
    <t>KFM2120660254486</t>
  </si>
  <si>
    <t>مسجد ال  خالد .</t>
  </si>
  <si>
    <t>KFM2020660013736</t>
  </si>
  <si>
    <t>SMR2220661000784</t>
  </si>
  <si>
    <t>KFM2020660145560</t>
  </si>
  <si>
    <t xml:space="preserve">   مسجد عبدالله الغنام .</t>
  </si>
  <si>
    <t>KFM2020660036389</t>
  </si>
  <si>
    <t xml:space="preserve">    مسجد الشهداء .</t>
  </si>
  <si>
    <t>KFM2020660134060</t>
  </si>
  <si>
    <t>KFM2020660207553</t>
  </si>
  <si>
    <t xml:space="preserve">   الشئون الاسلامية - مسجد حمدالعمري .</t>
  </si>
  <si>
    <t>KFM2120660299077</t>
  </si>
  <si>
    <t>KFM2020660187616</t>
  </si>
  <si>
    <t>.  مسجد      الدريهمية .</t>
  </si>
  <si>
    <t>KFM2020660051452</t>
  </si>
  <si>
    <t xml:space="preserve">   مسجدالاميرهطرفه بنت  بن عبدالرحمن .</t>
  </si>
  <si>
    <t>KFM2020660091243</t>
  </si>
  <si>
    <t>KFM2020660006229</t>
  </si>
  <si>
    <t xml:space="preserve">   مسجدعبدالله ابراهيم الحصيني .</t>
  </si>
  <si>
    <t>KFM2020660095467</t>
  </si>
  <si>
    <t xml:space="preserve">   مسجد صالح الأطرم .</t>
  </si>
  <si>
    <t>KFM2020660132578</t>
  </si>
  <si>
    <t>KFM2120660260283</t>
  </si>
  <si>
    <t xml:space="preserve">   مسجد عايض فالح البدراني .</t>
  </si>
  <si>
    <t>KFM2020660046494</t>
  </si>
  <si>
    <t>SMR2220761012366</t>
  </si>
  <si>
    <t>SMR2220661007486</t>
  </si>
  <si>
    <t>مسجد بحى  بدر .</t>
  </si>
  <si>
    <t>KFM2020660115821</t>
  </si>
  <si>
    <t xml:space="preserve">   مسجد خنشليله .</t>
  </si>
  <si>
    <t>KFM2120660299140</t>
  </si>
  <si>
    <t>KFM2120660249223</t>
  </si>
  <si>
    <t>مسجد      محمد      بن عبدالوهاب .</t>
  </si>
  <si>
    <t>KFM2020660171573</t>
  </si>
  <si>
    <t xml:space="preserve">   مسجد حي الربوه .</t>
  </si>
  <si>
    <t>SMR2020850104677</t>
  </si>
  <si>
    <t xml:space="preserve">   مسجد حي اشبيليه .</t>
  </si>
  <si>
    <t>KFM2020660053543</t>
  </si>
  <si>
    <t xml:space="preserve">   مسجد محمد السحيباني .</t>
  </si>
  <si>
    <t>KFM2020660127231</t>
  </si>
  <si>
    <t xml:space="preserve">   مسجد البليهد .</t>
  </si>
  <si>
    <t>KFM2020660025572</t>
  </si>
  <si>
    <t>KFM2020660211314</t>
  </si>
  <si>
    <t>KFM2020660054243</t>
  </si>
  <si>
    <t>SMR2220661018937</t>
  </si>
  <si>
    <t>KFM2020660042242</t>
  </si>
  <si>
    <t>مسجد      عبداللطيف  حي البديعه .</t>
  </si>
  <si>
    <t>KFM2020660053870</t>
  </si>
  <si>
    <t>KFM2020660187570</t>
  </si>
  <si>
    <t>KFM2120660271665</t>
  </si>
  <si>
    <t>المسجد الموقت بالعريجاء .</t>
  </si>
  <si>
    <t>KFM2020660013283</t>
  </si>
  <si>
    <t xml:space="preserve">   مسجد محمدالحمدالاصفر .</t>
  </si>
  <si>
    <t>KFM2120660274163</t>
  </si>
  <si>
    <t>المسجد الموقت بالشفا .</t>
  </si>
  <si>
    <t>KFM2020660096103</t>
  </si>
  <si>
    <t>KFM2020660015319</t>
  </si>
  <si>
    <t xml:space="preserve">   مسجد سعود السبيعي .</t>
  </si>
  <si>
    <t>KFM2020660167819</t>
  </si>
  <si>
    <t>مسجد شرق  الابراج .</t>
  </si>
  <si>
    <t>KFM2020660025745</t>
  </si>
  <si>
    <t xml:space="preserve">   مسجد      سارة      . .</t>
  </si>
  <si>
    <t>KFM2020660060501</t>
  </si>
  <si>
    <t>SMR2220661007268</t>
  </si>
  <si>
    <t xml:space="preserve">      وزارة الشئون الاسلامية والاوقاف .</t>
  </si>
  <si>
    <t>KFM2020660135561</t>
  </si>
  <si>
    <t xml:space="preserve">   وزارة الشئون الاسلاميةمسجدسمحه .</t>
  </si>
  <si>
    <t>KFM2020660196602</t>
  </si>
  <si>
    <t>KFM2020660007979</t>
  </si>
  <si>
    <t xml:space="preserve">   جامع الشيخ عبدالله ناصر الوهيبي .</t>
  </si>
  <si>
    <t>SMR2220661011767</t>
  </si>
  <si>
    <t xml:space="preserve">   مسجدسعودمحمدالمقبل .</t>
  </si>
  <si>
    <t>KFM2120660274261</t>
  </si>
  <si>
    <t>SMR2320661034008</t>
  </si>
  <si>
    <t>KFM2020660051564</t>
  </si>
  <si>
    <t xml:space="preserve">   مسجد ضاحية القدس .</t>
  </si>
  <si>
    <t>KFM2020660056887</t>
  </si>
  <si>
    <t>KFM2120660301489</t>
  </si>
  <si>
    <t>KFM2020660174816</t>
  </si>
  <si>
    <t>KFM2020660098958</t>
  </si>
  <si>
    <t>مسجد ظهره  البديعه .</t>
  </si>
  <si>
    <t>KFM2120660295178</t>
  </si>
  <si>
    <t xml:space="preserve">   مسجدوالدة الامير سعد محمدال سعود .</t>
  </si>
  <si>
    <t>KFM2020660052077</t>
  </si>
  <si>
    <t>KFM2020660171572</t>
  </si>
  <si>
    <t xml:space="preserve">   مسجد بحي العزيزية .</t>
  </si>
  <si>
    <t>KFM2120660299243</t>
  </si>
  <si>
    <t>KFM2120660248193</t>
  </si>
  <si>
    <t xml:space="preserve">   جامع الريس    // الموقع العام .</t>
  </si>
  <si>
    <t>KFM2120660253457</t>
  </si>
  <si>
    <t>مسجد      ضاحيه      لبن .</t>
  </si>
  <si>
    <t>KFM2020660057785</t>
  </si>
  <si>
    <t>KFM2020660041920</t>
  </si>
  <si>
    <t xml:space="preserve">   مسجد جبران .</t>
  </si>
  <si>
    <t>KFM2120660299071</t>
  </si>
  <si>
    <t>مسجد/ عبدالله  بن مسعود .</t>
  </si>
  <si>
    <t>KFM2020660013735</t>
  </si>
  <si>
    <t xml:space="preserve">   مسجد الجمعية التعاونية .</t>
  </si>
  <si>
    <t>KFM2120660247983</t>
  </si>
  <si>
    <t xml:space="preserve">   مسجد غرب الريان .</t>
  </si>
  <si>
    <t>KFM2020660166497</t>
  </si>
  <si>
    <t>KFM2020660043882</t>
  </si>
  <si>
    <t xml:space="preserve">   مسجد بخيت  بحي النسيم .</t>
  </si>
  <si>
    <t>KFM2020660042187</t>
  </si>
  <si>
    <t xml:space="preserve">   وزارة الشئون الاسلاميه مسجد المقيط .</t>
  </si>
  <si>
    <t>KFM2120660262374</t>
  </si>
  <si>
    <t>KFM2120660293669</t>
  </si>
  <si>
    <t xml:space="preserve">   مسجد/سعيد بن زيد .</t>
  </si>
  <si>
    <t>KFM2020660190961</t>
  </si>
  <si>
    <t>KFM2020660036431</t>
  </si>
  <si>
    <t>KFM2020660040606</t>
  </si>
  <si>
    <t>مسجد / حمد المغيره .</t>
  </si>
  <si>
    <t>KFM2020660039990</t>
  </si>
  <si>
    <t>KFM2020660197987</t>
  </si>
  <si>
    <t xml:space="preserve"> مسجدالاميرة/منيرة سلطان بن عبدالعزيز .</t>
  </si>
  <si>
    <t>KFM2120660272459</t>
  </si>
  <si>
    <t xml:space="preserve">   جامع وسكن الشيخ عبدالله ال كليب .</t>
  </si>
  <si>
    <t>KFM2020660144710</t>
  </si>
  <si>
    <t xml:space="preserve">   جامع الربوة .</t>
  </si>
  <si>
    <t>KFM2020660234142</t>
  </si>
  <si>
    <t>KFM2020660192577</t>
  </si>
  <si>
    <t>KFM2020660053126</t>
  </si>
  <si>
    <t>KFM2020660201108</t>
  </si>
  <si>
    <t xml:space="preserve">   مسجد علي ابي طالب .</t>
  </si>
  <si>
    <t>KFM2020660162191</t>
  </si>
  <si>
    <t xml:space="preserve"> مسجد صالح النملة/مدرسة تحفيظ القران .</t>
  </si>
  <si>
    <t>SMR2220661018886</t>
  </si>
  <si>
    <t xml:space="preserve">   مسجد عبدالله العباد بحي حطين .</t>
  </si>
  <si>
    <t>KFM2020660187914</t>
  </si>
  <si>
    <t xml:space="preserve">   مسجد حى الملك فهد .</t>
  </si>
  <si>
    <t>KFM2020660163056</t>
  </si>
  <si>
    <t>KFM2020660133886</t>
  </si>
  <si>
    <t xml:space="preserve">   مسجد حي الروضه .</t>
  </si>
  <si>
    <t>KFM2020660053520</t>
  </si>
  <si>
    <t xml:space="preserve">   مسجد علي القحطاني .</t>
  </si>
  <si>
    <t>KFM2120660256836</t>
  </si>
  <si>
    <t>مسجد الشويعر .</t>
  </si>
  <si>
    <t>KFM2020660015370</t>
  </si>
  <si>
    <t>KFM2020660104816</t>
  </si>
  <si>
    <t xml:space="preserve">   وزارةالشؤن-مسجدصالح الشثري .</t>
  </si>
  <si>
    <t>KFM2120660247062</t>
  </si>
  <si>
    <t>SMR2220661000139</t>
  </si>
  <si>
    <t xml:space="preserve">   مسجد عبدالرحمن العمودي .</t>
  </si>
  <si>
    <t>KFM2120660299416</t>
  </si>
  <si>
    <t>KFM2020660214097</t>
  </si>
  <si>
    <t xml:space="preserve">   مسجد مؤقت من ابلك رقم 40 .</t>
  </si>
  <si>
    <t>KFM2120660304904</t>
  </si>
  <si>
    <t>مسجد الامير مشارى .</t>
  </si>
  <si>
    <t>KFM2020660098871</t>
  </si>
  <si>
    <t>SMR2220661007067</t>
  </si>
  <si>
    <t>KFM2120660249238</t>
  </si>
  <si>
    <t xml:space="preserve">   مسجد مصعب بن عمير .</t>
  </si>
  <si>
    <t>KFM2020660161582</t>
  </si>
  <si>
    <t>المسجد الموقت بالعريجا .</t>
  </si>
  <si>
    <t>KFM2020660203505</t>
  </si>
  <si>
    <t>SMR2320661022783</t>
  </si>
  <si>
    <t xml:space="preserve">   مسجدالسدحان .</t>
  </si>
  <si>
    <t>KFM2020660192646</t>
  </si>
  <si>
    <t>مسجد/احمد .</t>
  </si>
  <si>
    <t>KFM2020760030280</t>
  </si>
  <si>
    <t xml:space="preserve">   مسجد حي الفيحاء .</t>
  </si>
  <si>
    <t>KFM2120660271672</t>
  </si>
  <si>
    <t xml:space="preserve">   مسجد شيخة بنت عبدالعزيز .</t>
  </si>
  <si>
    <t>KFM2020660188810</t>
  </si>
  <si>
    <t>مسجد زامل  السليم .</t>
  </si>
  <si>
    <t>KFM2020660152995</t>
  </si>
  <si>
    <t>KFM2120660247994</t>
  </si>
  <si>
    <t>SMR2220661007837</t>
  </si>
  <si>
    <t>مسجد جامع  المشيقيق .</t>
  </si>
  <si>
    <t>SMR2220621001978</t>
  </si>
  <si>
    <t>KFM2020660231160</t>
  </si>
  <si>
    <t>KFM2020660162852</t>
  </si>
  <si>
    <t xml:space="preserve">   مسجد والدة الملك سعود .</t>
  </si>
  <si>
    <t>KFM2020660019492</t>
  </si>
  <si>
    <t xml:space="preserve">   مسجد عبدالله الاعرج .</t>
  </si>
  <si>
    <t>KFM2120660235656</t>
  </si>
  <si>
    <t>KFM2020660039711</t>
  </si>
  <si>
    <t xml:space="preserve">   مسجد(12) محمد ابراهيم العياف .</t>
  </si>
  <si>
    <t>KFM2120660271618</t>
  </si>
  <si>
    <t xml:space="preserve">   مسجد ماجد الماجد .</t>
  </si>
  <si>
    <t>KFM2020660190894</t>
  </si>
  <si>
    <t>KFM2120660249218</t>
  </si>
  <si>
    <t xml:space="preserve">   مسجدحي حطين .</t>
  </si>
  <si>
    <t>KFM2020660208991</t>
  </si>
  <si>
    <t>KFM2020660051461</t>
  </si>
  <si>
    <t>SMR2320661029541</t>
  </si>
  <si>
    <t>KFM2020660007881</t>
  </si>
  <si>
    <t xml:space="preserve">   وزارة الشئون الاسلاميه مسجد غمامه .</t>
  </si>
  <si>
    <t>KFM2120660281752</t>
  </si>
  <si>
    <t>KFM2120660271572</t>
  </si>
  <si>
    <t>KFM2020660042031</t>
  </si>
  <si>
    <t xml:space="preserve">   مسجد ابانمي .</t>
  </si>
  <si>
    <t>KFM2020660030502</t>
  </si>
  <si>
    <t>مسجد      محمد      ابوشنق .</t>
  </si>
  <si>
    <t>KFM2020660013549</t>
  </si>
  <si>
    <t>KFM2120660303418</t>
  </si>
  <si>
    <t xml:space="preserve">   مسجد ابوخليل .</t>
  </si>
  <si>
    <t>KFM2120660247492</t>
  </si>
  <si>
    <t>SMR2220621000877</t>
  </si>
  <si>
    <t>مسجدالامير/فهد بن سعد .</t>
  </si>
  <si>
    <t>KFM2020660014140</t>
  </si>
  <si>
    <t>KFM2020660061252</t>
  </si>
  <si>
    <t xml:space="preserve">   مسجد علي الهزاع .</t>
  </si>
  <si>
    <t>KFM2020660036441</t>
  </si>
  <si>
    <t>KFM2120660271550</t>
  </si>
  <si>
    <t xml:space="preserve">   جامع الامير/سعد بن تركي .</t>
  </si>
  <si>
    <t>KFM2020660170637</t>
  </si>
  <si>
    <t>KFM2120660260292</t>
  </si>
  <si>
    <t>KFM2020660054942</t>
  </si>
  <si>
    <t xml:space="preserve">   مسجد الحماد .</t>
  </si>
  <si>
    <t>KFM2120660272476</t>
  </si>
  <si>
    <t>مسجد ابن عصفور .</t>
  </si>
  <si>
    <t>KFM2020660171829</t>
  </si>
  <si>
    <t>KFM2020660209473</t>
  </si>
  <si>
    <t>KFM2020660175726</t>
  </si>
  <si>
    <t>مسجد ابن قدامه  المقدسي .</t>
  </si>
  <si>
    <t>KFM2020660051592</t>
  </si>
  <si>
    <t>مسجد  /   طلحه       عبيدالله .</t>
  </si>
  <si>
    <t>KFM2020660166792</t>
  </si>
  <si>
    <t>KFM2020660206924</t>
  </si>
  <si>
    <t>مسجدالاميرفهدبن فيصل  الفرحان .</t>
  </si>
  <si>
    <t>KFM2020660056017</t>
  </si>
  <si>
    <t>KFM2020660031801</t>
  </si>
  <si>
    <t xml:space="preserve">   مسجد ابراهيم الحماد .</t>
  </si>
  <si>
    <t>KFM2020660104291</t>
  </si>
  <si>
    <t>KFM2020660213530</t>
  </si>
  <si>
    <t xml:space="preserve"> مسجدالعوده المطلق .</t>
  </si>
  <si>
    <t>KFM2020660164397</t>
  </si>
  <si>
    <t xml:space="preserve">   مسجد الحروب والسبعان .</t>
  </si>
  <si>
    <t>KFM2020660006152</t>
  </si>
  <si>
    <t xml:space="preserve">   مسجد الابرار .</t>
  </si>
  <si>
    <t>KFM2120660300603</t>
  </si>
  <si>
    <t xml:space="preserve">   مسجد حصة ابراهيم التويجري .</t>
  </si>
  <si>
    <t>KFM2120660271577</t>
  </si>
  <si>
    <t>KFM2020660037819</t>
  </si>
  <si>
    <t xml:space="preserve">   مسجد الدار البيضاء في الجهة الشر .</t>
  </si>
  <si>
    <t>KFM2020660161625</t>
  </si>
  <si>
    <t xml:space="preserve">     مسجدحي الوادي .</t>
  </si>
  <si>
    <t>KFM2020660213593</t>
  </si>
  <si>
    <t>مسجد بلك  4بالدخل  المحدود .</t>
  </si>
  <si>
    <t>KFM2020660201708</t>
  </si>
  <si>
    <t xml:space="preserve">   مسجد      صالح      الرضيان .</t>
  </si>
  <si>
    <t>KFM2120660268053</t>
  </si>
  <si>
    <t>مسجد/البديعة ـ المخطط السادس عشر .</t>
  </si>
  <si>
    <t>KFM2020660171567</t>
  </si>
  <si>
    <t>KFM2020660201944</t>
  </si>
  <si>
    <t xml:space="preserve">   مسجد فهد ال حسين  / مدرسةالتحفيظ .</t>
  </si>
  <si>
    <t>KFM2120660286466</t>
  </si>
  <si>
    <t>مسجد غرب حى  البديع .</t>
  </si>
  <si>
    <t>KFM2020660044486</t>
  </si>
  <si>
    <t>KFM2020660196765</t>
  </si>
  <si>
    <t>KFM2120655004334</t>
  </si>
  <si>
    <t>KFM2020660040847</t>
  </si>
  <si>
    <t>مسجدالملك  عبدالعزيز .</t>
  </si>
  <si>
    <t>KFM2020660025861</t>
  </si>
  <si>
    <t>مسجدعليشة .</t>
  </si>
  <si>
    <t>KFM2020660053806</t>
  </si>
  <si>
    <t>KFM2020660170865</t>
  </si>
  <si>
    <t>KFM2120660249326</t>
  </si>
  <si>
    <t>مسجد عباس .</t>
  </si>
  <si>
    <t>KFM2020660056059</t>
  </si>
  <si>
    <t xml:space="preserve">   مسجدالقاد سيةمع سكن والمؤذن .</t>
  </si>
  <si>
    <t>KFM2020660038833</t>
  </si>
  <si>
    <t>وزاره      الشئون    مسجد عكاظ .</t>
  </si>
  <si>
    <t>KFM2020660191152</t>
  </si>
  <si>
    <t>مسجد الشيخ  /عبدالله  الغملاس .</t>
  </si>
  <si>
    <t>KFM2120766173915</t>
  </si>
  <si>
    <t>مسجد عبدالعزيز عبدالله  المبدل .</t>
  </si>
  <si>
    <t>KFM2020660013279</t>
  </si>
  <si>
    <t>KFM2020660098952</t>
  </si>
  <si>
    <t xml:space="preserve">   مسجد وسكن المونسيه .</t>
  </si>
  <si>
    <t>MMF2020800188552</t>
  </si>
  <si>
    <t>KFM2020660203017</t>
  </si>
  <si>
    <t>مسجد الاميرة /نورة  بنت عبدالعزيز .</t>
  </si>
  <si>
    <t>KFM2020660198415</t>
  </si>
  <si>
    <t xml:space="preserve">    مسجد حي المغرزات .</t>
  </si>
  <si>
    <t>KFM2120660255421</t>
  </si>
  <si>
    <t>KFM2020660166797</t>
  </si>
  <si>
    <t>المسجد الموقت فى  المخطط .</t>
  </si>
  <si>
    <t>SMR2220661006745</t>
  </si>
  <si>
    <t xml:space="preserve">   مسجد العجيبه .</t>
  </si>
  <si>
    <t>KFM2120660304634</t>
  </si>
  <si>
    <t>مسجد الرويل .</t>
  </si>
  <si>
    <t>KFM2020660177086</t>
  </si>
  <si>
    <t>KFM2020660171613</t>
  </si>
  <si>
    <t xml:space="preserve">   مسجد الليث بن سعد رضي الله عنه .</t>
  </si>
  <si>
    <t>KFM2020660187943</t>
  </si>
  <si>
    <t>KFM2020660031625</t>
  </si>
  <si>
    <t>KFM2020660038843</t>
  </si>
  <si>
    <t>MMF2020800185869</t>
  </si>
  <si>
    <t>SMR2220661017410</t>
  </si>
  <si>
    <t xml:space="preserve">   وزارة الشؤون الا سلا ميه والا وقاف .</t>
  </si>
  <si>
    <t>KFM2020660206921</t>
  </si>
  <si>
    <t>KFM2020660049553</t>
  </si>
  <si>
    <t>.  مسجد      ال  فريان .</t>
  </si>
  <si>
    <t>KFM2020660173462</t>
  </si>
  <si>
    <t>مسجد الجاسر .</t>
  </si>
  <si>
    <t>KFM2020660096116</t>
  </si>
  <si>
    <t>مسجد  /   ال  ياسر .</t>
  </si>
  <si>
    <t>KFM2020660013835</t>
  </si>
  <si>
    <t>.   /  مسجد جنوب  عتيقة .</t>
  </si>
  <si>
    <t>KFM2020660168521</t>
  </si>
  <si>
    <t>KFM2020660060130</t>
  </si>
  <si>
    <t xml:space="preserve">   مسجد خالد بن الوليد بحي الحمراء .</t>
  </si>
  <si>
    <t>KFM2020660045542</t>
  </si>
  <si>
    <t xml:space="preserve">   مسجد بحي الفيحاء .</t>
  </si>
  <si>
    <t>KFM2120660268837</t>
  </si>
  <si>
    <t>KFM2020660051674</t>
  </si>
  <si>
    <t>SMR2320661022842</t>
  </si>
  <si>
    <t>KFM2020660202035</t>
  </si>
  <si>
    <t>KFM2020660211371</t>
  </si>
  <si>
    <t>مسجد حى  الشفاء الجديد .</t>
  </si>
  <si>
    <t>KFM2020660096069</t>
  </si>
  <si>
    <t>جامع  بن باز .</t>
  </si>
  <si>
    <t>KFM2020660203548</t>
  </si>
  <si>
    <t>SMR2220621002000</t>
  </si>
  <si>
    <t xml:space="preserve">   مسجد حي  اسكان الجزيره .</t>
  </si>
  <si>
    <t>KFM2120660271548</t>
  </si>
  <si>
    <t>KFM2020660095899</t>
  </si>
  <si>
    <t>KFM2020660196961</t>
  </si>
  <si>
    <t xml:space="preserve">   مسجد محمد سعود العجاجي .</t>
  </si>
  <si>
    <t>KFM2020660192549</t>
  </si>
  <si>
    <t>KFM2020660036451</t>
  </si>
  <si>
    <t xml:space="preserve">   مسجداليحيى .</t>
  </si>
  <si>
    <t>KFM2020660041767</t>
  </si>
  <si>
    <t xml:space="preserve">   مسجد علي محمد التركي .</t>
  </si>
  <si>
    <t>KFM2120660254682</t>
  </si>
  <si>
    <t xml:space="preserve">   مسجد ابراهيم القريشي .</t>
  </si>
  <si>
    <t>KFM2020660057999</t>
  </si>
  <si>
    <t xml:space="preserve">   مسجد قاسم أحمد .</t>
  </si>
  <si>
    <t>KFM2020660191787</t>
  </si>
  <si>
    <t xml:space="preserve">   مسجد عبدالرحمن بن صالح البراهيم .</t>
  </si>
  <si>
    <t>KFM2020660211329</t>
  </si>
  <si>
    <t xml:space="preserve">   مسجد المنديل .</t>
  </si>
  <si>
    <t>KFM2020660056790</t>
  </si>
  <si>
    <t xml:space="preserve">   مسجد  الدرويش .</t>
  </si>
  <si>
    <t>KFM2020660060157</t>
  </si>
  <si>
    <t>KFM2020660060980</t>
  </si>
  <si>
    <t>SMR2320661022736</t>
  </si>
  <si>
    <t xml:space="preserve">   مسجد      بدريه     الحماد .</t>
  </si>
  <si>
    <t>KFM2020660026329</t>
  </si>
  <si>
    <t>KFM2020660198065</t>
  </si>
  <si>
    <t xml:space="preserve">   مسجد حي المرسلات .</t>
  </si>
  <si>
    <t>KFM2020660174115</t>
  </si>
  <si>
    <t xml:space="preserve">   جامع      الملك     . .</t>
  </si>
  <si>
    <t>KFM2020660051174</t>
  </si>
  <si>
    <t>KFM2020660232898</t>
  </si>
  <si>
    <t>KFM2020660156156</t>
  </si>
  <si>
    <t xml:space="preserve">      مسجد   حي   الحمراء .</t>
  </si>
  <si>
    <t>KFM2020660058544</t>
  </si>
  <si>
    <t>المسجد الموقت الدخل  المحدود .</t>
  </si>
  <si>
    <t>KFM2020660052774</t>
  </si>
  <si>
    <t xml:space="preserve">   مسجدرشيد بن جبر .</t>
  </si>
  <si>
    <t>KFM2020660187773</t>
  </si>
  <si>
    <t>KFM2020660144749</t>
  </si>
  <si>
    <t>مسجد الوادي .</t>
  </si>
  <si>
    <t>KFM2020660022920</t>
  </si>
  <si>
    <t>مسجد عمار ين ياسر .</t>
  </si>
  <si>
    <t>SMR2320661028334</t>
  </si>
  <si>
    <t>KFM2020660040821</t>
  </si>
  <si>
    <t>SMR2320661028741</t>
  </si>
  <si>
    <t xml:space="preserve">   مسجد عبدالله بن خميس .</t>
  </si>
  <si>
    <t>KFM2020660027827</t>
  </si>
  <si>
    <t>KFM2020660022926</t>
  </si>
  <si>
    <t>KFM2020660190137</t>
  </si>
  <si>
    <t>KFM2020660025750</t>
  </si>
  <si>
    <t xml:space="preserve">   مسجد نورة بنت عبدالعزيز المسعود .</t>
  </si>
  <si>
    <t>KFM2020660198567</t>
  </si>
  <si>
    <t xml:space="preserve">   مسجد لولوةبنت محمد المالك .</t>
  </si>
  <si>
    <t>KFM2020660191036</t>
  </si>
  <si>
    <t xml:space="preserve">   مسجد العساف .</t>
  </si>
  <si>
    <t>KFM2020660167853</t>
  </si>
  <si>
    <t xml:space="preserve">   مسجدالشيخ ابن عثيمين .</t>
  </si>
  <si>
    <t>KFM2020660202530</t>
  </si>
  <si>
    <t xml:space="preserve">   مسجد عبد العزيز التويجرى .</t>
  </si>
  <si>
    <t>KFM2120660255501</t>
  </si>
  <si>
    <t>مسجد/ الامير سلمان .</t>
  </si>
  <si>
    <t>KFM2020660023516</t>
  </si>
  <si>
    <t>KFM2020660195084</t>
  </si>
  <si>
    <t>KFM2020660054382</t>
  </si>
  <si>
    <t>KFM2120660271622</t>
  </si>
  <si>
    <t xml:space="preserve">   مسجد عبدالعزيز الراجحي .</t>
  </si>
  <si>
    <t>KFM2020660190478</t>
  </si>
  <si>
    <t xml:space="preserve">   مسجد عبدالرحمن العتيبي .</t>
  </si>
  <si>
    <t>KFM2020660012556</t>
  </si>
  <si>
    <t xml:space="preserve">    مسجد وسكن  نوره    الشقير .</t>
  </si>
  <si>
    <t>KFM2020660190931</t>
  </si>
  <si>
    <t>مسجد العرفج .</t>
  </si>
  <si>
    <t>KFM2020660200400</t>
  </si>
  <si>
    <t>KFM2020660046425</t>
  </si>
  <si>
    <t>مسجد      اسواق      ابن دايل .</t>
  </si>
  <si>
    <t>KFM2020660025789</t>
  </si>
  <si>
    <t>SMR2420768001776</t>
  </si>
  <si>
    <t>SMR2220661018623</t>
  </si>
  <si>
    <t xml:space="preserve">   مسجد    عمار بن   ياسر .</t>
  </si>
  <si>
    <t>KFM2020660041763</t>
  </si>
  <si>
    <t xml:space="preserve">   مسجد حي شرق المعارض .</t>
  </si>
  <si>
    <t>KFM2020660229424</t>
  </si>
  <si>
    <t xml:space="preserve">   مسجد الهدلق .</t>
  </si>
  <si>
    <t>KFM2020660027682</t>
  </si>
  <si>
    <t>مسجد/ عبدالله  على  الحريشى .</t>
  </si>
  <si>
    <t>KFM2020760030557</t>
  </si>
  <si>
    <t xml:space="preserve">   وزارة الشئون الاسلاميةوالاوقاف .</t>
  </si>
  <si>
    <t>KFM2120660254550</t>
  </si>
  <si>
    <t>KFM2120660281605</t>
  </si>
  <si>
    <t>KFM2020660197726</t>
  </si>
  <si>
    <t>KFM2020660202460</t>
  </si>
  <si>
    <t xml:space="preserve">   مسجد الشيخ عبدالله عبدالرحمن راج .</t>
  </si>
  <si>
    <t>MMF2420601020626</t>
  </si>
  <si>
    <t>مسجد الامام  على  بن ابى  طالب .</t>
  </si>
  <si>
    <t>KFM2020660189453</t>
  </si>
  <si>
    <t>مسجد بلال  بن رباح .</t>
  </si>
  <si>
    <t>KFM2020660142403</t>
  </si>
  <si>
    <t xml:space="preserve">   مسجدعبدالرحمن بن عوف .</t>
  </si>
  <si>
    <t>KFM2020660162795</t>
  </si>
  <si>
    <t>KFM2020660006238</t>
  </si>
  <si>
    <t>SMR2220621001433</t>
  </si>
  <si>
    <t xml:space="preserve">   مسجد الغليقة .</t>
  </si>
  <si>
    <t>KFM2020660053457</t>
  </si>
  <si>
    <t>KFM2120660281496</t>
  </si>
  <si>
    <t xml:space="preserve">   مسجد فهدبن  سلمه .</t>
  </si>
  <si>
    <t>KFM2020660127429</t>
  </si>
  <si>
    <t>مسجد /عروه  بن الزبير .</t>
  </si>
  <si>
    <t>KFM2020660173204</t>
  </si>
  <si>
    <t xml:space="preserve">   مسجد والدة الامير/ بدر .</t>
  </si>
  <si>
    <t>KFM2120660258276</t>
  </si>
  <si>
    <t>مسجد زيد بن ثابت .</t>
  </si>
  <si>
    <t>KFM2020660049499</t>
  </si>
  <si>
    <t>KFM2020660197070</t>
  </si>
  <si>
    <t>مسجد بن زرقان .</t>
  </si>
  <si>
    <t>KFM2020660203975</t>
  </si>
  <si>
    <t xml:space="preserve">   مسجدعثمان بن عفان   حي النسيم .</t>
  </si>
  <si>
    <t>KFM2020660057056</t>
  </si>
  <si>
    <t>KFM2020660104805</t>
  </si>
  <si>
    <t xml:space="preserve">   مسجد وضحي .</t>
  </si>
  <si>
    <t>KFM2120660260288</t>
  </si>
  <si>
    <t xml:space="preserve">   مسجدالحبيشي .</t>
  </si>
  <si>
    <t>KFM2020660138307</t>
  </si>
  <si>
    <t xml:space="preserve">   مسجد عبدالعزيز عبدالرحمن المنصور .</t>
  </si>
  <si>
    <t>KFM2120660273708</t>
  </si>
  <si>
    <t xml:space="preserve">   مسجد وزارة الدفاع .</t>
  </si>
  <si>
    <t>KFM2120660303078</t>
  </si>
  <si>
    <t xml:space="preserve">   مسجد حله القصمان الشرقى .</t>
  </si>
  <si>
    <t>KFM2120660282474</t>
  </si>
  <si>
    <t xml:space="preserve">   مسجدالعيال بالناصريه .</t>
  </si>
  <si>
    <t>KFM2020660174083</t>
  </si>
  <si>
    <t xml:space="preserve">   مسجدام سعد(لطيفةعبداللهالسويحب .</t>
  </si>
  <si>
    <t>KFM2120660274263</t>
  </si>
  <si>
    <t>مسجد حى  بدر الجنوبى .</t>
  </si>
  <si>
    <t>KFM2020660013285</t>
  </si>
  <si>
    <t>SMR2020865089398</t>
  </si>
  <si>
    <t>KFM2020660056791</t>
  </si>
  <si>
    <t>KFM2020660127604</t>
  </si>
  <si>
    <t xml:space="preserve">   مسجد الشيخ صالح بن غصون .</t>
  </si>
  <si>
    <t>KFM2020660045984</t>
  </si>
  <si>
    <t>SMR2320661031242</t>
  </si>
  <si>
    <t xml:space="preserve">     مسجدخادم الحرمين الشريفين .</t>
  </si>
  <si>
    <t>KFM2020660012496</t>
  </si>
  <si>
    <t xml:space="preserve">   مسجد المنصورة .</t>
  </si>
  <si>
    <t>KFM2120660304171</t>
  </si>
  <si>
    <t>KFM2120655002106</t>
  </si>
  <si>
    <t xml:space="preserve">   مسجد      القوسي    . .</t>
  </si>
  <si>
    <t>KFM2020660145834</t>
  </si>
  <si>
    <t xml:space="preserve">   مسجد حى النفل مؤقت .</t>
  </si>
  <si>
    <t>KFM2020660008202</t>
  </si>
  <si>
    <t>KFM2120660262528</t>
  </si>
  <si>
    <t>KFM2020660200467</t>
  </si>
  <si>
    <t>KFM2020660202987</t>
  </si>
  <si>
    <t xml:space="preserve">   مسجد الخزامى .</t>
  </si>
  <si>
    <t>KFM2020660048437</t>
  </si>
  <si>
    <t>KFM2020660201377</t>
  </si>
  <si>
    <t>SMR2120765017221</t>
  </si>
  <si>
    <t>مسجد /سعد بن ابي وقاص .</t>
  </si>
  <si>
    <t>KFM2020660171683</t>
  </si>
  <si>
    <t xml:space="preserve">   جامع القدس .</t>
  </si>
  <si>
    <t>KFM2020660170873</t>
  </si>
  <si>
    <t>SMR2320661034026</t>
  </si>
  <si>
    <t>KFM2020660053262</t>
  </si>
  <si>
    <t>مسجد الرويشد .</t>
  </si>
  <si>
    <t>KFM2020660198378</t>
  </si>
  <si>
    <t>مسجد      خالد      السلمان .</t>
  </si>
  <si>
    <t>KFM2020660039370</t>
  </si>
  <si>
    <t>ثامر أحمد الصمعاني .</t>
  </si>
  <si>
    <t>KFM2020660229355</t>
  </si>
  <si>
    <t>KFM2120660259040</t>
  </si>
  <si>
    <t xml:space="preserve">   مسجدشمال المربع .</t>
  </si>
  <si>
    <t>KFM2020660156121</t>
  </si>
  <si>
    <t>KFM2020660152997</t>
  </si>
  <si>
    <t>KFM2120660299864</t>
  </si>
  <si>
    <t>KFM2020660061159</t>
  </si>
  <si>
    <t>KFM2020660056882</t>
  </si>
  <si>
    <t xml:space="preserve">   مسجد جامع الجبيله .</t>
  </si>
  <si>
    <t>KFM2020660201391</t>
  </si>
  <si>
    <t>KFM2020660201420</t>
  </si>
  <si>
    <t>مسجد الفايز .</t>
  </si>
  <si>
    <t>KFM2020660011891</t>
  </si>
  <si>
    <t xml:space="preserve">   مسجد باحمدان .</t>
  </si>
  <si>
    <t>KFM2020660227212</t>
  </si>
  <si>
    <t>SMR2220661006996</t>
  </si>
  <si>
    <t>مسجد عبدالله  الراجحى .</t>
  </si>
  <si>
    <t>KFM2020660013846</t>
  </si>
  <si>
    <t>KFM2020660034666</t>
  </si>
  <si>
    <t xml:space="preserve">  مسجد شركه عبدالعزيز و محمد الجميح .</t>
  </si>
  <si>
    <t>KFM2020660201416</t>
  </si>
  <si>
    <t>KFM2020660050757</t>
  </si>
  <si>
    <t>مسجد الايمان .</t>
  </si>
  <si>
    <t>KFM2020660189440</t>
  </si>
  <si>
    <t xml:space="preserve">   وزارة الشؤون الا سلا مية و الا وقاف .</t>
  </si>
  <si>
    <t>KFM2020660196503</t>
  </si>
  <si>
    <t xml:space="preserve">   مسجد الرفيعه الشماليه .</t>
  </si>
  <si>
    <t>KFM2020760131071</t>
  </si>
  <si>
    <t>مسجد جنوب الشفاء .</t>
  </si>
  <si>
    <t>KFM2020660038691</t>
  </si>
  <si>
    <t>KFM2020660025968</t>
  </si>
  <si>
    <t>مسجدجامع  الاميرخالدبن سعود .</t>
  </si>
  <si>
    <t>KFM2020660200441</t>
  </si>
  <si>
    <t>KFM2020660038582</t>
  </si>
  <si>
    <t>KFM2020660045432</t>
  </si>
  <si>
    <t>مسجد حى  الشعلان .</t>
  </si>
  <si>
    <t>KFM2020660177108</t>
  </si>
  <si>
    <t>مسجد      الاميره     ساره .</t>
  </si>
  <si>
    <t>KFM2020660171608</t>
  </si>
  <si>
    <t>SMR2220661006894</t>
  </si>
  <si>
    <t>KFM2020660057096</t>
  </si>
  <si>
    <t xml:space="preserve">   مسجد عبدالرحمن الطبيشي .</t>
  </si>
  <si>
    <t>KFM2020660145762</t>
  </si>
  <si>
    <t xml:space="preserve">   مسجد جنوب حي الملك فيصل .</t>
  </si>
  <si>
    <t>KFM2020660040605</t>
  </si>
  <si>
    <t>KFM2020660129798</t>
  </si>
  <si>
    <t xml:space="preserve">   مسجدبن سيار .</t>
  </si>
  <si>
    <t>KFM2120660248336</t>
  </si>
  <si>
    <t xml:space="preserve">   مسجد والدة سعد الدريس .</t>
  </si>
  <si>
    <t>KFM2020660190780</t>
  </si>
  <si>
    <t xml:space="preserve">   مسجد      خزام .</t>
  </si>
  <si>
    <t>KFM2020660190225</t>
  </si>
  <si>
    <t>مسجد /ماجدالقحطانى .</t>
  </si>
  <si>
    <t>KFM2020660200435</t>
  </si>
  <si>
    <t xml:space="preserve">   مسجد هياء الشويعر .</t>
  </si>
  <si>
    <t>KFM2020660145206</t>
  </si>
  <si>
    <t>KFM2020660060579</t>
  </si>
  <si>
    <t>KFM2020660190846</t>
  </si>
  <si>
    <t xml:space="preserve">   مسجد عبدالله الرشيد .</t>
  </si>
  <si>
    <t>KFM2020660143136</t>
  </si>
  <si>
    <t xml:space="preserve">   مسجد غرب حي الفيحاء .</t>
  </si>
  <si>
    <t>KFM2120660254722</t>
  </si>
  <si>
    <t xml:space="preserve">   مسجد بحي السلا م .</t>
  </si>
  <si>
    <t>KFM2020660132577</t>
  </si>
  <si>
    <t>مسجد حى  النزهه .</t>
  </si>
  <si>
    <t>KFM2020660203892</t>
  </si>
  <si>
    <t>KFM2020660127755</t>
  </si>
  <si>
    <t>KFM2120660270631</t>
  </si>
  <si>
    <t xml:space="preserve">   مسجد حي غرناطة .</t>
  </si>
  <si>
    <t>KFM2020660061557</t>
  </si>
  <si>
    <t>.       مسجدالامام  مسلم .</t>
  </si>
  <si>
    <t>KFM2020660202633</t>
  </si>
  <si>
    <t xml:space="preserve">   مسجد بن سعيدان .</t>
  </si>
  <si>
    <t>KFM2020660127769</t>
  </si>
  <si>
    <t>مسجد الدريهميه .</t>
  </si>
  <si>
    <t>KFM2020660051453</t>
  </si>
  <si>
    <t>مسجد ورثة عبدالعزيز بن سعيدان .</t>
  </si>
  <si>
    <t>KFM2020660196435</t>
  </si>
  <si>
    <t xml:space="preserve"> مسجدالاميرفهد بن سلمان بن عبدالعزيز .</t>
  </si>
  <si>
    <t>KFM2020660203790</t>
  </si>
  <si>
    <t xml:space="preserve">   مسجد الاخلاص .</t>
  </si>
  <si>
    <t>KFM2020660195094</t>
  </si>
  <si>
    <t>KFM2020660083824</t>
  </si>
  <si>
    <t xml:space="preserve">   وزارةالشون الاسلاميه مسجدحي لبن .</t>
  </si>
  <si>
    <t>KFM2020660187664</t>
  </si>
  <si>
    <t>KFM2020660192887</t>
  </si>
  <si>
    <t xml:space="preserve">   مسجد الزيد بحي المروج .</t>
  </si>
  <si>
    <t>KFM2020660173420</t>
  </si>
  <si>
    <t>SMR2420761036038</t>
  </si>
  <si>
    <t xml:space="preserve">   مسجدشمال حي الوادي ومرافقه .</t>
  </si>
  <si>
    <t>KFM2020660211385</t>
  </si>
  <si>
    <t>KFM2020660198304</t>
  </si>
  <si>
    <t>SMR2220661007418</t>
  </si>
  <si>
    <t>KFM2120660287337</t>
  </si>
  <si>
    <t>مسجد الطريق  الدائري  حي السويدي .</t>
  </si>
  <si>
    <t>KFM2020660051485</t>
  </si>
  <si>
    <t xml:space="preserve">   مسجد/حي النهضه .</t>
  </si>
  <si>
    <t>KFM2020660040500</t>
  </si>
  <si>
    <t xml:space="preserve">   مسجد نشاط .</t>
  </si>
  <si>
    <t>KFM2120660286827</t>
  </si>
  <si>
    <t>SMR2220661000665</t>
  </si>
  <si>
    <t>KFM2020760014881</t>
  </si>
  <si>
    <t xml:space="preserve">   مسجد / معاذ بن جبل .</t>
  </si>
  <si>
    <t>KFM2020660047054</t>
  </si>
  <si>
    <t>KFM2020660006599</t>
  </si>
  <si>
    <t xml:space="preserve">   مسجد صلاح الدين .</t>
  </si>
  <si>
    <t>KFM2020660188063</t>
  </si>
  <si>
    <t xml:space="preserve">   مسجد حي الرفيعه .</t>
  </si>
  <si>
    <t>KFM2020660202740</t>
  </si>
  <si>
    <t>مسجد ظهره  النميلات .</t>
  </si>
  <si>
    <t>KFM2020660022966</t>
  </si>
  <si>
    <t xml:space="preserve">   مسجد ام الحمام الغربيه .</t>
  </si>
  <si>
    <t>KFM2120660300837</t>
  </si>
  <si>
    <t>KFM2020660051568</t>
  </si>
  <si>
    <t>مسجد ناصر العبدالقادر بحي هيت .</t>
  </si>
  <si>
    <t>KFM2120660303087</t>
  </si>
  <si>
    <t>وزارة      الشئون    والاوقاف -السد .</t>
  </si>
  <si>
    <t>KFM2020660177041</t>
  </si>
  <si>
    <t xml:space="preserve">  مسجد وزارةالشؤون الاسلامية و الاوقاف .</t>
  </si>
  <si>
    <t>KFM2020660197147</t>
  </si>
  <si>
    <t xml:space="preserve">   مسحد      الشثري    ء .</t>
  </si>
  <si>
    <t>KFM2020660173016</t>
  </si>
  <si>
    <t>KFM2120660262564</t>
  </si>
  <si>
    <t>مسجد العكرش .</t>
  </si>
  <si>
    <t>KFM2020660098725</t>
  </si>
  <si>
    <t>KFM2020660202676</t>
  </si>
  <si>
    <t xml:space="preserve">   مسجد الشهري .</t>
  </si>
  <si>
    <t>KFM2020660061569</t>
  </si>
  <si>
    <t xml:space="preserve">   مسجد/ راشدالعتيبي .</t>
  </si>
  <si>
    <t>KFM2020660041707</t>
  </si>
  <si>
    <t xml:space="preserve">   مسجد      التقوى .</t>
  </si>
  <si>
    <t>KFM2020660060098</t>
  </si>
  <si>
    <t>KFM2120660299307</t>
  </si>
  <si>
    <t>مسجد التوحيد بالعريجاء .</t>
  </si>
  <si>
    <t>KFM2020660153735</t>
  </si>
  <si>
    <t>مسجد عبدالعزيز عبدالله العسكر .</t>
  </si>
  <si>
    <t>SMR2220621001359</t>
  </si>
  <si>
    <t>KFM2020660207552</t>
  </si>
  <si>
    <t>AEC2020830556856</t>
  </si>
  <si>
    <t xml:space="preserve">   جامع الغرابى .</t>
  </si>
  <si>
    <t>KFM2120660246648</t>
  </si>
  <si>
    <t xml:space="preserve">   مسجدعقيل الراجحي/عبدالرحمن راجحي .</t>
  </si>
  <si>
    <t>KFM2120660271576</t>
  </si>
  <si>
    <t>مسجد صلاح  الدين .</t>
  </si>
  <si>
    <t>KFM2020660171719</t>
  </si>
  <si>
    <t xml:space="preserve">   مسجد الأميره نوره بنت تركي .</t>
  </si>
  <si>
    <t>KFM2020660167820</t>
  </si>
  <si>
    <t>KFM2020660201335</t>
  </si>
  <si>
    <t>ECC2020810865796</t>
  </si>
  <si>
    <t>KFM2020660202032</t>
  </si>
  <si>
    <t xml:space="preserve">   مسجد وزارة الشؤن الا سلامية .</t>
  </si>
  <si>
    <t>KFM2020660173119</t>
  </si>
  <si>
    <t xml:space="preserve">   مسجد عبدالله تركي الضحيان .</t>
  </si>
  <si>
    <t>KFM2020660198948</t>
  </si>
  <si>
    <t xml:space="preserve">   مسجد بن عثيمين .</t>
  </si>
  <si>
    <t>KFM2020660174533</t>
  </si>
  <si>
    <t>KFM2020660037507</t>
  </si>
  <si>
    <t>KFM2020660170822</t>
  </si>
  <si>
    <t xml:space="preserve">   مسجد عبدالله ولوالديه .</t>
  </si>
  <si>
    <t>KFM2020766172033</t>
  </si>
  <si>
    <t>مسجد حي عكاظ .</t>
  </si>
  <si>
    <t>KFM2020660171004</t>
  </si>
  <si>
    <t xml:space="preserve">   مسجد عبدالله الكابري .</t>
  </si>
  <si>
    <t>KFM2020660174452</t>
  </si>
  <si>
    <t>مسجد / بلال  بن رباح .</t>
  </si>
  <si>
    <t>KFM2020660052778</t>
  </si>
  <si>
    <t xml:space="preserve"> وزاررة     الشئون     مسجد .</t>
  </si>
  <si>
    <t>KFM2020660025694</t>
  </si>
  <si>
    <t>SMR2220621001928</t>
  </si>
  <si>
    <t>SMR2220661000424</t>
  </si>
  <si>
    <t>KFM2020660025546</t>
  </si>
  <si>
    <t xml:space="preserve">   مسجد آل سليمان .</t>
  </si>
  <si>
    <t>KFM2020660047187</t>
  </si>
  <si>
    <t>مسجد بحي العريجاء .</t>
  </si>
  <si>
    <t>KFM2020660191240</t>
  </si>
  <si>
    <t xml:space="preserve">   مسجدعمربن عبدالعزيز .</t>
  </si>
  <si>
    <t>KFM2120660247885</t>
  </si>
  <si>
    <t xml:space="preserve">   جامع الدار البيضاء .</t>
  </si>
  <si>
    <t>KFM2020660229316</t>
  </si>
  <si>
    <t xml:space="preserve">   مسجد شرق سوق الربوه .</t>
  </si>
  <si>
    <t>KFM2020660129797</t>
  </si>
  <si>
    <t xml:space="preserve">   مسجد الهاجري /مؤسسةعلي المسفر .</t>
  </si>
  <si>
    <t>KFM2120660299104</t>
  </si>
  <si>
    <t xml:space="preserve">   مسجد غرمان عبدالعزيز الشهرى .</t>
  </si>
  <si>
    <t>KFM2020660123119</t>
  </si>
  <si>
    <t>KFM2120660303442</t>
  </si>
  <si>
    <t xml:space="preserve">   مسجد والدةالاميرمحمدبن نواف .</t>
  </si>
  <si>
    <t>KFM2020660201410</t>
  </si>
  <si>
    <t>مسجد عبدالملك  ال  الشيخ .</t>
  </si>
  <si>
    <t>KFM2020660051660</t>
  </si>
  <si>
    <t xml:space="preserve">   مسجدصاحب السموالملكي ولي العهد .</t>
  </si>
  <si>
    <t>KFM2120660299441</t>
  </si>
  <si>
    <t xml:space="preserve">   جامع حي الخليج .</t>
  </si>
  <si>
    <t>KFM2020660060957</t>
  </si>
  <si>
    <t>KFM2020660007900</t>
  </si>
  <si>
    <t xml:space="preserve">   مسـجد جعفر بن ابي طالب .</t>
  </si>
  <si>
    <t>KFM2120660304635</t>
  </si>
  <si>
    <t xml:space="preserve">   مسجد باهمام .</t>
  </si>
  <si>
    <t>KFM2120660301549</t>
  </si>
  <si>
    <t>مسجد الملك  عبدالعزيز .</t>
  </si>
  <si>
    <t>KFM2020660054888</t>
  </si>
  <si>
    <t xml:space="preserve"> مسجد حي بدر أبن تيمية .</t>
  </si>
  <si>
    <t>KFM2020660167663</t>
  </si>
  <si>
    <t xml:space="preserve">   مسجد حي النزهه .</t>
  </si>
  <si>
    <t>KFM2020660209527</t>
  </si>
  <si>
    <t>مسجدبن خميس .</t>
  </si>
  <si>
    <t>KFM2020660051597</t>
  </si>
  <si>
    <t>KFM2020660058529</t>
  </si>
  <si>
    <t>KFM2020660211470</t>
  </si>
  <si>
    <t>مسجد حي الشفا .</t>
  </si>
  <si>
    <t>KFM2020660177104</t>
  </si>
  <si>
    <t>KFM2020660060541</t>
  </si>
  <si>
    <t>مسجدفهدبن محمدالسلمان .</t>
  </si>
  <si>
    <t>KFM2020660203844</t>
  </si>
  <si>
    <t>SMR2220661002446</t>
  </si>
  <si>
    <t>مسجد زهرة  البديعة  /حي البديعة .</t>
  </si>
  <si>
    <t>KFM2020660023710</t>
  </si>
  <si>
    <t xml:space="preserve">   مسجد بحي اليرموك .</t>
  </si>
  <si>
    <t>KFM2020660053591</t>
  </si>
  <si>
    <t>مسجد      شعبة       ابن الحجاج .</t>
  </si>
  <si>
    <t>KFM2020660198406</t>
  </si>
  <si>
    <t xml:space="preserve">   مسجد المنصورة (سعود الدوسري) .</t>
  </si>
  <si>
    <t>KFM2120660253605</t>
  </si>
  <si>
    <t xml:space="preserve">   مسجد حى المصيف .</t>
  </si>
  <si>
    <t>KFM2020660170861</t>
  </si>
  <si>
    <t xml:space="preserve">   مسجدالفرقان .</t>
  </si>
  <si>
    <t>KFM2020660041178</t>
  </si>
  <si>
    <t xml:space="preserve">   مسجد حصة العمار .</t>
  </si>
  <si>
    <t>KFM2020660198944</t>
  </si>
  <si>
    <t>مسجد  /  ام  ثامر .</t>
  </si>
  <si>
    <t>KFM2020660011937</t>
  </si>
  <si>
    <t>مسجد حمد الفريان .</t>
  </si>
  <si>
    <t>SMR2020850042404</t>
  </si>
  <si>
    <t>مسجد/ حي السويدي .</t>
  </si>
  <si>
    <t>KFM2020660051552</t>
  </si>
  <si>
    <t xml:space="preserve">   مسجد الماضي / حي السليمانيه .</t>
  </si>
  <si>
    <t>KFM2020660169597</t>
  </si>
  <si>
    <t>00  مسجد حي   العريجاء .</t>
  </si>
  <si>
    <t>KFM2020660043952</t>
  </si>
  <si>
    <t>KFM2020660211313</t>
  </si>
  <si>
    <t>KFM2020660043925</t>
  </si>
  <si>
    <t xml:space="preserve">   وزارةالشؤون الاسلامية/مسجدالجاسر .</t>
  </si>
  <si>
    <t>KFM2020660187989</t>
  </si>
  <si>
    <t>مسجدالشيخ  محمد بن عبد الوهاب .</t>
  </si>
  <si>
    <t>KFM2020660038791</t>
  </si>
  <si>
    <t>KFM2020660057023</t>
  </si>
  <si>
    <t xml:space="preserve">   مسجد صالح عبدالله الحمادي .</t>
  </si>
  <si>
    <t>KFM2020660047763</t>
  </si>
  <si>
    <t>KFM2020660124256</t>
  </si>
  <si>
    <t xml:space="preserve">   مسجد النهاري .</t>
  </si>
  <si>
    <t>KFM2020660029795</t>
  </si>
  <si>
    <t>KFM2020660036512</t>
  </si>
  <si>
    <t>مسجد ذو النوريين .</t>
  </si>
  <si>
    <t>KFM2020660189400</t>
  </si>
  <si>
    <t>KFM2020660191113</t>
  </si>
  <si>
    <t>KFM2020660213488</t>
  </si>
  <si>
    <t>KFM2020660190966</t>
  </si>
  <si>
    <t>KFM2020660083696</t>
  </si>
  <si>
    <t>مسجد  عبد العزيز الغانم .</t>
  </si>
  <si>
    <t>KFM2020660198301</t>
  </si>
  <si>
    <t xml:space="preserve">   مسجد والدة سعد عبدالرحمن الحقان .</t>
  </si>
  <si>
    <t>KFM2020660104180</t>
  </si>
  <si>
    <t xml:space="preserve">   مسجدابوبكر .</t>
  </si>
  <si>
    <t>KFM2020660047750</t>
  </si>
  <si>
    <t>مسجد عبدالله  العتيق .</t>
  </si>
  <si>
    <t>KFM2020660201720</t>
  </si>
  <si>
    <t>SMR2220661018938</t>
  </si>
  <si>
    <t>مسجد الشفا .</t>
  </si>
  <si>
    <t>KFM2020660168408</t>
  </si>
  <si>
    <t xml:space="preserve">   مسجدحي المناخ .</t>
  </si>
  <si>
    <t>KFM2120660268709</t>
  </si>
  <si>
    <t>KFM2020660203570</t>
  </si>
  <si>
    <t>KFM2020660162164</t>
  </si>
  <si>
    <t>مسجدالجوهرة العبد السلام .</t>
  </si>
  <si>
    <t>KFM2020660051458</t>
  </si>
  <si>
    <t>KFM2120660239332</t>
  </si>
  <si>
    <t xml:space="preserve">   مسجد الموسي وبيتي الامام والمؤذن .</t>
  </si>
  <si>
    <t>KFM2020660190820</t>
  </si>
  <si>
    <t xml:space="preserve">   مسجد حله بن نصار .</t>
  </si>
  <si>
    <t>KFM2020660044646</t>
  </si>
  <si>
    <t>مسجد      المرحوم  / محمد السلامة .</t>
  </si>
  <si>
    <t>KFM2020660174923</t>
  </si>
  <si>
    <t>KFM2020660188957</t>
  </si>
  <si>
    <t>مسجد  حي الشفاء .</t>
  </si>
  <si>
    <t>KFM2020660198305</t>
  </si>
  <si>
    <t xml:space="preserve">   مسجد جامع بن نوفل .</t>
  </si>
  <si>
    <t>KFM2120660302065</t>
  </si>
  <si>
    <t>KFM2020660192252</t>
  </si>
  <si>
    <t xml:space="preserve">   مسجد رقم 5 حي الاسكان رقم 1 .</t>
  </si>
  <si>
    <t>KFM2020660162705</t>
  </si>
  <si>
    <t>جامع ابوبكرالصديق .</t>
  </si>
  <si>
    <t>KFM2020660053775</t>
  </si>
  <si>
    <t>KFM2020660145808</t>
  </si>
  <si>
    <t>KFM2120660253468</t>
  </si>
  <si>
    <t>KFM2020660083821</t>
  </si>
  <si>
    <t>KFM2020660190208</t>
  </si>
  <si>
    <t>KFM2020660097387</t>
  </si>
  <si>
    <t xml:space="preserve">           مسجد   حي   المروج .</t>
  </si>
  <si>
    <t>KFM2020660173637</t>
  </si>
  <si>
    <t>00مسجد      حي العريحا .</t>
  </si>
  <si>
    <t>KFM2020660018980</t>
  </si>
  <si>
    <t>KFM2120660239276</t>
  </si>
  <si>
    <t xml:space="preserve">   مسجد فهد العثمان .</t>
  </si>
  <si>
    <t>KFM2120660252991</t>
  </si>
  <si>
    <t>MMF2020800263861</t>
  </si>
  <si>
    <t>مسجد السويدى .</t>
  </si>
  <si>
    <t>KFM2020660044984</t>
  </si>
  <si>
    <t xml:space="preserve">   مسجدوالدة الملك سعودبن عبدالعزيز .</t>
  </si>
  <si>
    <t>KFM2020660203608</t>
  </si>
  <si>
    <t xml:space="preserve">   مسجد ابن  القيم     الجوزيه .</t>
  </si>
  <si>
    <t>KFM2020660166581</t>
  </si>
  <si>
    <t>KFM2020660097430</t>
  </si>
  <si>
    <t>KFM2020660012520</t>
  </si>
  <si>
    <t>KFM2020660202072</t>
  </si>
  <si>
    <t>مسجد الشيخ  سعد الحامد .</t>
  </si>
  <si>
    <t>KFM2020660038864</t>
  </si>
  <si>
    <t xml:space="preserve">   مسجد السديس .</t>
  </si>
  <si>
    <t>KFM2020660036484</t>
  </si>
  <si>
    <t>KFM2020660060127</t>
  </si>
  <si>
    <t xml:space="preserve">   مسجد  الصرامى .</t>
  </si>
  <si>
    <t>KFM2020660178222</t>
  </si>
  <si>
    <t xml:space="preserve">   مسجد حى الحمراء .</t>
  </si>
  <si>
    <t>KFM2020660052621</t>
  </si>
  <si>
    <t>المسجدالموقتبالدخل  المحدود .</t>
  </si>
  <si>
    <t>KFM2020660015377</t>
  </si>
  <si>
    <t xml:space="preserve">   مسجد مهدي سيف ال سلطان .</t>
  </si>
  <si>
    <t>KFM2120660300184</t>
  </si>
  <si>
    <t>مسجد محمد الشعيبى .</t>
  </si>
  <si>
    <t>KFM2020660096481</t>
  </si>
  <si>
    <t xml:space="preserve">   مسجد الشيخ عبدالعزيز رجب .</t>
  </si>
  <si>
    <t>KFM2020660161624</t>
  </si>
  <si>
    <t xml:space="preserve">   مسجد محمد العبداللطيف .</t>
  </si>
  <si>
    <t>KFM2120660257830</t>
  </si>
  <si>
    <t xml:space="preserve">   مسجد هشام بن عبدالملك .</t>
  </si>
  <si>
    <t>KFM2020660174126</t>
  </si>
  <si>
    <t>مسجد      ابو  بكر  الصديق .</t>
  </si>
  <si>
    <t>KFM2020660087451</t>
  </si>
  <si>
    <t xml:space="preserve">   مسجد      حي        النسيم .</t>
  </si>
  <si>
    <t>KFM2020660061154</t>
  </si>
  <si>
    <t>مسجد حى  بدر الغربى .</t>
  </si>
  <si>
    <t>KFM2020660177000</t>
  </si>
  <si>
    <t>KFM2020660174534</t>
  </si>
  <si>
    <t xml:space="preserve">   مسجد حي قرطبة .</t>
  </si>
  <si>
    <t>KFM2020660046501</t>
  </si>
  <si>
    <t xml:space="preserve">   مسجدحي الصحافه /القبس / .</t>
  </si>
  <si>
    <t>KFM2120660257386</t>
  </si>
  <si>
    <t>KFM2020660197174</t>
  </si>
  <si>
    <t xml:space="preserve">   مسجد سعيدبن زيد .</t>
  </si>
  <si>
    <t>KFM2020660057045</t>
  </si>
  <si>
    <t>KFM2020660175834</t>
  </si>
  <si>
    <t xml:space="preserve">   مسجد شرق الاسكان .</t>
  </si>
  <si>
    <t>KFM2020660224474</t>
  </si>
  <si>
    <t>KFM2120660303428</t>
  </si>
  <si>
    <t>KFM2020660053527</t>
  </si>
  <si>
    <t xml:space="preserve">   مسجد حي السعاده 6/3483</t>
  </si>
  <si>
    <t>KFM2120660257700</t>
  </si>
  <si>
    <t>SMR2120765014545</t>
  </si>
  <si>
    <t>.      مسجد      جعفر .</t>
  </si>
  <si>
    <t>KFM2020660203378</t>
  </si>
  <si>
    <t>KFM2020660171574</t>
  </si>
  <si>
    <t>KFM2020660204441</t>
  </si>
  <si>
    <t>AEC2020830556820</t>
  </si>
  <si>
    <t>KFM2020660193065</t>
  </si>
  <si>
    <t>KFM2020660099022</t>
  </si>
  <si>
    <t xml:space="preserve">   مسجد الشيخ عبدالله بن جبرين .</t>
  </si>
  <si>
    <t>KFM2020660162245</t>
  </si>
  <si>
    <t xml:space="preserve">   مسجد عمار بن ياسر .</t>
  </si>
  <si>
    <t>KFM2020660056724</t>
  </si>
  <si>
    <t>KFM2120660271583</t>
  </si>
  <si>
    <t>KFM2020660173323</t>
  </si>
  <si>
    <t>KFM2120660283967</t>
  </si>
  <si>
    <t>KFM2020766160110</t>
  </si>
  <si>
    <t>KFM2020660175002</t>
  </si>
  <si>
    <t xml:space="preserve">   دورة مياه جامع الرحمانيه .</t>
  </si>
  <si>
    <t>MMF2020800179419</t>
  </si>
  <si>
    <t>SMR2220661005709</t>
  </si>
  <si>
    <t xml:space="preserve">  مسجد  الثمريه   الفيصل .</t>
  </si>
  <si>
    <t>KFM2020660013843</t>
  </si>
  <si>
    <t>KFM2020660133878</t>
  </si>
  <si>
    <t xml:space="preserve">   مسجد      صالح      العبدلى .</t>
  </si>
  <si>
    <t>KFM2020660054247</t>
  </si>
  <si>
    <t>KFM2020660046436</t>
  </si>
  <si>
    <t>المسجد    الموقت     المحدود .</t>
  </si>
  <si>
    <t>KFM2020660057917</t>
  </si>
  <si>
    <t>مسجد      الشيخ      البرغش .</t>
  </si>
  <si>
    <t>KFM2020660054992</t>
  </si>
  <si>
    <t xml:space="preserve">   مسجد/السفيرصالح الغفيلي وبيتي .</t>
  </si>
  <si>
    <t>KFM2020660191940</t>
  </si>
  <si>
    <t>KFM2020660056667</t>
  </si>
  <si>
    <t xml:space="preserve">   مسجد      أبي سعيد  الخدري .</t>
  </si>
  <si>
    <t>KFM2120760242334</t>
  </si>
  <si>
    <t xml:space="preserve">   وزارة الشئون الاسلامية مسجدابوبكر .</t>
  </si>
  <si>
    <t>KFM2020660192610</t>
  </si>
  <si>
    <t>KFM2120660241513</t>
  </si>
  <si>
    <t xml:space="preserve">   مسـجد كمال ادهم .</t>
  </si>
  <si>
    <t>AEC2020830318974</t>
  </si>
  <si>
    <t xml:space="preserve">   مسجد العجلان .</t>
  </si>
  <si>
    <t>KFM2020660060637</t>
  </si>
  <si>
    <t>KFM2020660044615</t>
  </si>
  <si>
    <t>KFM2020660193112</t>
  </si>
  <si>
    <t>مسجدوالدة الآميرسلمان بن عبدالعزيز .</t>
  </si>
  <si>
    <t>KFM2020660203530</t>
  </si>
  <si>
    <t>0 مسجد      بالعريجاء .</t>
  </si>
  <si>
    <t>KFM2020760030481</t>
  </si>
  <si>
    <t xml:space="preserve">   مسجد حي الصحافة .</t>
  </si>
  <si>
    <t>KFM2020660212994</t>
  </si>
  <si>
    <t xml:space="preserve">    مسجد عبيد الله محمد العبيد الله .</t>
  </si>
  <si>
    <t>KFM2020660054738</t>
  </si>
  <si>
    <t xml:space="preserve">   مسجد حمد عبدالرحمن العبرة .</t>
  </si>
  <si>
    <t>KFM2020660035152</t>
  </si>
  <si>
    <t xml:space="preserve">   وزارة     الشئون    والاواقاف .</t>
  </si>
  <si>
    <t>KFM2020660211316</t>
  </si>
  <si>
    <t xml:space="preserve">   مسجد سفيان بن عون .</t>
  </si>
  <si>
    <t>KFM2120660305454</t>
  </si>
  <si>
    <t xml:space="preserve">   مسجد محمد الحربي .</t>
  </si>
  <si>
    <t>KFM2120660285355</t>
  </si>
  <si>
    <t xml:space="preserve">   مسجد الهدا .</t>
  </si>
  <si>
    <t>KFM2120660252433</t>
  </si>
  <si>
    <t>مسجد حي العريجاء الغربي .</t>
  </si>
  <si>
    <t>KFM2020660174997</t>
  </si>
  <si>
    <t xml:space="preserve">   مسجد/ابراهيم الجميعه .</t>
  </si>
  <si>
    <t>KFM2020660012623</t>
  </si>
  <si>
    <t>KFM2020660054302</t>
  </si>
  <si>
    <t>KFM2020660039105</t>
  </si>
  <si>
    <t xml:space="preserve">   جامع السلى .</t>
  </si>
  <si>
    <t>KFM2120660304981</t>
  </si>
  <si>
    <t xml:space="preserve">   مسجد الشرفيه الغربي .</t>
  </si>
  <si>
    <t>KFM2020660174068</t>
  </si>
  <si>
    <t xml:space="preserve">   مسجد المعجل .</t>
  </si>
  <si>
    <t>KFM2020660126317</t>
  </si>
  <si>
    <t xml:space="preserve">   مسجد/عبدالعزيز الحمدان .</t>
  </si>
  <si>
    <t>KFM2020660192331</t>
  </si>
  <si>
    <t>KFM2020660202293</t>
  </si>
  <si>
    <t>KFM2020660170701</t>
  </si>
  <si>
    <t xml:space="preserve">   مسجد الامير بندر عبدالعزيزال سعود .</t>
  </si>
  <si>
    <t>KFM2020660043453</t>
  </si>
  <si>
    <t xml:space="preserve">   مسجد انس  بن مالك .</t>
  </si>
  <si>
    <t>KFM2120660282524</t>
  </si>
  <si>
    <t xml:space="preserve">   مسجد حي   الريان    . .</t>
  </si>
  <si>
    <t>KFM2020660167791</t>
  </si>
  <si>
    <t>KFM2120660255595</t>
  </si>
  <si>
    <t>-  وزارة الشؤون الاسلا مية   -   مسجد .</t>
  </si>
  <si>
    <t>KFM2020660015286</t>
  </si>
  <si>
    <t>KFM2120660304959</t>
  </si>
  <si>
    <t>مسجد بن سرحان .</t>
  </si>
  <si>
    <t>KFM2020660044990</t>
  </si>
  <si>
    <t>KFM2020660046426</t>
  </si>
  <si>
    <t xml:space="preserve">   مسجد/ابراهيم بن ناصر بن داود .</t>
  </si>
  <si>
    <t>KFM2020660060712</t>
  </si>
  <si>
    <t>. مسجد      حي السويدي .</t>
  </si>
  <si>
    <t>KFM2020660045056</t>
  </si>
  <si>
    <t xml:space="preserve">   مسجد      حسن       العجمي .</t>
  </si>
  <si>
    <t>KFM2020660201323</t>
  </si>
  <si>
    <t>KFM2120660303516</t>
  </si>
  <si>
    <t xml:space="preserve">   مسجدالسليمانيه غرب بيت الاميرفهد .</t>
  </si>
  <si>
    <t>KFM2120660249180</t>
  </si>
  <si>
    <t>KFM2020660174817</t>
  </si>
  <si>
    <t>KFM2020660197963</t>
  </si>
  <si>
    <t>KFM2020660145553</t>
  </si>
  <si>
    <t>KFM2020660163530</t>
  </si>
  <si>
    <t>KFM2020660193484</t>
  </si>
  <si>
    <t>KFM2020660100267</t>
  </si>
  <si>
    <t>KFM2020660207554</t>
  </si>
  <si>
    <t>KFM2020660200398</t>
  </si>
  <si>
    <t xml:space="preserve">   مسجد  عبدالكريم الخليفي .</t>
  </si>
  <si>
    <t>KFM2020660046507</t>
  </si>
  <si>
    <t>SMR2320661033990</t>
  </si>
  <si>
    <t xml:space="preserve">   مسجدالهداية .</t>
  </si>
  <si>
    <t>KFM2120660270273</t>
  </si>
  <si>
    <t>KFM2020660104899</t>
  </si>
  <si>
    <t>مسجد جامع  الجوهرة .</t>
  </si>
  <si>
    <t>KFM2020660201670</t>
  </si>
  <si>
    <t xml:space="preserve">   مسجد نورة الموسى .</t>
  </si>
  <si>
    <t>KFM2020660190834</t>
  </si>
  <si>
    <t>KFM2020660035828</t>
  </si>
  <si>
    <t>مسجد الرشود الجديد .</t>
  </si>
  <si>
    <t>KFM2020660051594</t>
  </si>
  <si>
    <t>1 مسجد بلك  2008 ـ 3 ـ .</t>
  </si>
  <si>
    <t>KFM2020660054389</t>
  </si>
  <si>
    <t>KFM2020660043885</t>
  </si>
  <si>
    <t>KFM2020660187656</t>
  </si>
  <si>
    <t xml:space="preserve">   مسجد وسكن   هلال  المشرافي .</t>
  </si>
  <si>
    <t>KFM2020660061253</t>
  </si>
  <si>
    <t xml:space="preserve">   مسجد الرحمة بحي حطين .</t>
  </si>
  <si>
    <t>KFM2020660230003</t>
  </si>
  <si>
    <t xml:space="preserve">   مسجد عبدالعزيز المتوزي .</t>
  </si>
  <si>
    <t>KFM2020660057351</t>
  </si>
  <si>
    <t xml:space="preserve">   مسجدالفواز .</t>
  </si>
  <si>
    <t>KFM2120660253400</t>
  </si>
  <si>
    <t>مسجد منفوحه .</t>
  </si>
  <si>
    <t>KFM2020660015205</t>
  </si>
  <si>
    <t xml:space="preserve">   مسجدجامع السليمانيه .</t>
  </si>
  <si>
    <t>KFM2020660197778</t>
  </si>
  <si>
    <t>SMR2320761028596</t>
  </si>
  <si>
    <t>مسجد      ضاحية      سعد بن معاذ .</t>
  </si>
  <si>
    <t>KFM2020660203468</t>
  </si>
  <si>
    <t>مسجد السرحان .</t>
  </si>
  <si>
    <t>KFM2020660096658</t>
  </si>
  <si>
    <t xml:space="preserve">   مسجد حصة ماضي الربيعان .</t>
  </si>
  <si>
    <t>KFM2020660031623</t>
  </si>
  <si>
    <t>SMR2320661034189</t>
  </si>
  <si>
    <t>KFM2020660174839</t>
  </si>
  <si>
    <t>مسجدسلمان بن محمد .</t>
  </si>
  <si>
    <t>KFM2020660198265</t>
  </si>
  <si>
    <t>مسجد ظهرة  البديعه .</t>
  </si>
  <si>
    <t>KFM2020660054270</t>
  </si>
  <si>
    <t>KFM2120660285054</t>
  </si>
  <si>
    <t xml:space="preserve">   مسجد احمد بن تيمية - رحمه الله .</t>
  </si>
  <si>
    <t>KFM2020660141793</t>
  </si>
  <si>
    <t>KFM2120660286843</t>
  </si>
  <si>
    <t xml:space="preserve">   مسجد / ابراهيم محمد بن سعيدان .</t>
  </si>
  <si>
    <t>KFM2020660213506</t>
  </si>
  <si>
    <t>مسجد      حى         الجامعين .</t>
  </si>
  <si>
    <t>KFM2020660098877</t>
  </si>
  <si>
    <t xml:space="preserve">   مسجد فئة و .</t>
  </si>
  <si>
    <t>KFM2020660195105</t>
  </si>
  <si>
    <t>جامع الشيخ ابراهيم العجلا ن .</t>
  </si>
  <si>
    <t>KFM2020660187693</t>
  </si>
  <si>
    <t xml:space="preserve">   مسجدمعاويه بن أبي سفيان .</t>
  </si>
  <si>
    <t>KFM2020766160198</t>
  </si>
  <si>
    <t>KFM2020660175280</t>
  </si>
  <si>
    <t>KFM2120660256974</t>
  </si>
  <si>
    <t xml:space="preserve">   مسجد المليفي  بحي لبن .</t>
  </si>
  <si>
    <t>KFM2020660211323</t>
  </si>
  <si>
    <t xml:space="preserve">   مسجد الرشودى .</t>
  </si>
  <si>
    <t>KFM2020660196517</t>
  </si>
  <si>
    <t>KFM2020660202297</t>
  </si>
  <si>
    <t>مسجد الشيخ  عبدالعزيزالمغصيب .</t>
  </si>
  <si>
    <t>KFM2020660202608</t>
  </si>
  <si>
    <t>مسجد سعد بن معاذ .</t>
  </si>
  <si>
    <t>KFM2020660049576</t>
  </si>
  <si>
    <t>MMF2020800125211</t>
  </si>
  <si>
    <t>KFM2020660190981</t>
  </si>
  <si>
    <t xml:space="preserve">   مدرسة تحفيظ القران بمسجد التوحيد .</t>
  </si>
  <si>
    <t>KFM2020760103035</t>
  </si>
  <si>
    <t xml:space="preserve">     مؤسةالاميرهالعنود بنت مساعدال س .</t>
  </si>
  <si>
    <t>KFM2020660091209</t>
  </si>
  <si>
    <t xml:space="preserve">   مسجد معاويه بن أبي سفيان .</t>
  </si>
  <si>
    <t>KFM2020766160194</t>
  </si>
  <si>
    <t xml:space="preserve">   مسجد معاوية بن أبي سفيان .</t>
  </si>
  <si>
    <t>KFM2020660193706</t>
  </si>
  <si>
    <t>مسجد  /مصعب  بن عمير .</t>
  </si>
  <si>
    <t>KFM2020660039170</t>
  </si>
  <si>
    <t xml:space="preserve">  وزارة الشئون الاسلاميه/ مسجدالفيحاء .</t>
  </si>
  <si>
    <t>KFM2120660241534</t>
  </si>
  <si>
    <t>SMR2220661006157</t>
  </si>
  <si>
    <t xml:space="preserve">    مسجد مصعب بن عمي .</t>
  </si>
  <si>
    <t>KFM2120660260338</t>
  </si>
  <si>
    <t>KFM2020660191313</t>
  </si>
  <si>
    <t>KFM2120660266085</t>
  </si>
  <si>
    <t>مسجد      ابراهيم    الشيبان .</t>
  </si>
  <si>
    <t>KFM2020660013840</t>
  </si>
  <si>
    <t>KFM2020660195214</t>
  </si>
  <si>
    <t xml:space="preserve">   مسجد عائشه أم المؤمنين .</t>
  </si>
  <si>
    <t>KFM2020660171223</t>
  </si>
  <si>
    <t>KFM2120660262248</t>
  </si>
  <si>
    <t xml:space="preserve">   جامع/ عبدالمحسن بن فهد السويلم .</t>
  </si>
  <si>
    <t>KFM2020660047350</t>
  </si>
  <si>
    <t>KFM2120660283870</t>
  </si>
  <si>
    <t xml:space="preserve">   مسجد الشيخ  الالباني .</t>
  </si>
  <si>
    <t>KFM2020660057091</t>
  </si>
  <si>
    <t>مسجد      .         الشفاء .</t>
  </si>
  <si>
    <t>KFM2020660173208</t>
  </si>
  <si>
    <t xml:space="preserve">   مسجد السويلمي .</t>
  </si>
  <si>
    <t>KFM2020660060123</t>
  </si>
  <si>
    <t xml:space="preserve">   مسجد معاويه بن ابي سفيان .</t>
  </si>
  <si>
    <t>KFM2020766160192</t>
  </si>
  <si>
    <t>سكن امام ومؤذن مسجد السعادة .</t>
  </si>
  <si>
    <t>KFM2020660234149</t>
  </si>
  <si>
    <t xml:space="preserve">   مسجد أبوبكر .</t>
  </si>
  <si>
    <t>KFM2020660057025</t>
  </si>
  <si>
    <t>KFM2020660193686</t>
  </si>
  <si>
    <t xml:space="preserve">   وزارة الشئوؤن الاسلاميه مسجدحطين .</t>
  </si>
  <si>
    <t>KFM2020660187908</t>
  </si>
  <si>
    <t>KFM2020660049692</t>
  </si>
  <si>
    <t xml:space="preserve">     مسجد  بندر  بن عميره .</t>
  </si>
  <si>
    <t>KFM2020660061593</t>
  </si>
  <si>
    <t xml:space="preserve">   مسجد حي الربيع .</t>
  </si>
  <si>
    <t>KFM2020660201148</t>
  </si>
  <si>
    <t>KFM2120660262712</t>
  </si>
  <si>
    <t xml:space="preserve">   مسجد الدكتورعبدالله المصرى .</t>
  </si>
  <si>
    <t>KFM2020660190482</t>
  </si>
  <si>
    <t>KFM2020660041621</t>
  </si>
  <si>
    <t>مسجدفهدمحمدبن عبدالعزيز .</t>
  </si>
  <si>
    <t>KFM2020660034103</t>
  </si>
  <si>
    <t>مسجد نورة بنت مرزوق .</t>
  </si>
  <si>
    <t>KFM2120660299059</t>
  </si>
  <si>
    <t>.  مسجد      الثليماء .</t>
  </si>
  <si>
    <t>KFM2020660042380</t>
  </si>
  <si>
    <t>مسجدوالدمحمدبن عبدالرحمن .</t>
  </si>
  <si>
    <t>KFM2020760030256</t>
  </si>
  <si>
    <t xml:space="preserve">   وزارةالشؤن لاسلاميه/مسجدظافرالطوق .</t>
  </si>
  <si>
    <t>KFM2120660299061</t>
  </si>
  <si>
    <t xml:space="preserve">   مسجد صالح الراجحي .</t>
  </si>
  <si>
    <t>SMR2220661010708</t>
  </si>
  <si>
    <t>مسجد عقبه  بن نافع .</t>
  </si>
  <si>
    <t>KFM2020660025746</t>
  </si>
  <si>
    <t>KFM2020660037572</t>
  </si>
  <si>
    <t>.    مسجد      الحمود .</t>
  </si>
  <si>
    <t>KFM2020660096063</t>
  </si>
  <si>
    <t>مسجد      علي       بن ابي طالب .</t>
  </si>
  <si>
    <t>KFM2020660061336</t>
  </si>
  <si>
    <t>KFM2020660132829</t>
  </si>
  <si>
    <t>SMR2120765020708</t>
  </si>
  <si>
    <t xml:space="preserve">   مسجد/الشيخ محمد عبدالله النويصر .</t>
  </si>
  <si>
    <t>KFM2020660188780</t>
  </si>
  <si>
    <t xml:space="preserve">   مسجد      محمد      الثنيان .</t>
  </si>
  <si>
    <t>KFM2020660036606</t>
  </si>
  <si>
    <t>مسجد الدار البيضاء .</t>
  </si>
  <si>
    <t>KFM2020660162240</t>
  </si>
  <si>
    <t xml:space="preserve">   مسجد الصحابه  بحي  حطين .</t>
  </si>
  <si>
    <t>KFM2020660091932</t>
  </si>
  <si>
    <t>مسجدشبرا .</t>
  </si>
  <si>
    <t>KFM2020660037778</t>
  </si>
  <si>
    <t>KFM2120660242219</t>
  </si>
  <si>
    <t>KFM2020660049557</t>
  </si>
  <si>
    <t xml:space="preserve">   مسجد حارة بن غنام .</t>
  </si>
  <si>
    <t>KFM2120660281700</t>
  </si>
  <si>
    <t xml:space="preserve">   مسجدالعزيزيه عبدالمحسن ال الشيخ .</t>
  </si>
  <si>
    <t>KFM2020660162189</t>
  </si>
  <si>
    <t xml:space="preserve">   وزارة الشئون الاسلامية والا وقاف .</t>
  </si>
  <si>
    <t>KFM2020660198473</t>
  </si>
  <si>
    <t>مسجدالامير عبدالرحمن بن عبدالله .</t>
  </si>
  <si>
    <t>KFM2020660051562</t>
  </si>
  <si>
    <t xml:space="preserve">   مسجد علي الفهد الهزاع .</t>
  </si>
  <si>
    <t>KFM2020660191774</t>
  </si>
  <si>
    <t xml:space="preserve">   وزارة     الشؤن     مسجد الواحة .</t>
  </si>
  <si>
    <t>KFM2020660190503</t>
  </si>
  <si>
    <t>KFM2120655003230</t>
  </si>
  <si>
    <t>KFM2020660037776</t>
  </si>
  <si>
    <t>KFM2020660175010</t>
  </si>
  <si>
    <t xml:space="preserve">   مسجد مزنه العتيبي .</t>
  </si>
  <si>
    <t>KFM2020660061171</t>
  </si>
  <si>
    <t xml:space="preserve">   مسجد/ علي بن حمودالعذل .</t>
  </si>
  <si>
    <t>KFM2020660213476</t>
  </si>
  <si>
    <t xml:space="preserve">   وزارةالشئون الاسلا ميه/مسجدالسعاده .</t>
  </si>
  <si>
    <t>KFM2120660242262</t>
  </si>
  <si>
    <t xml:space="preserve">   مسجد المانع .</t>
  </si>
  <si>
    <t>KFM2020660057136</t>
  </si>
  <si>
    <t>مسجد مريم اليوسف .</t>
  </si>
  <si>
    <t>KFM2120660300431</t>
  </si>
  <si>
    <t>KFM2120660304564</t>
  </si>
  <si>
    <t>مسجد والدة خالد المصيريعي .</t>
  </si>
  <si>
    <t>KFM2020660045237</t>
  </si>
  <si>
    <t xml:space="preserve">   مسجد محمد عبدالله الماجد .</t>
  </si>
  <si>
    <t>KFM2120660300815</t>
  </si>
  <si>
    <t xml:space="preserve">   مسجد الخير مع سكن الامام و المؤذن .</t>
  </si>
  <si>
    <t>KFM2020660061243</t>
  </si>
  <si>
    <t>KFM2120660301715</t>
  </si>
  <si>
    <t>مسجد الامير سلطان .</t>
  </si>
  <si>
    <t>KFM2020660051639</t>
  </si>
  <si>
    <t xml:space="preserve">   مسجد عبدالعزيز عبدالله الموسى .</t>
  </si>
  <si>
    <t>KFM2020660173925</t>
  </si>
  <si>
    <t>مسجد      عبدالله    بن عمار .</t>
  </si>
  <si>
    <t>KFM2020660057777</t>
  </si>
  <si>
    <t xml:space="preserve">   مسجد سعد الحبابي .</t>
  </si>
  <si>
    <t>KFM2120660295354</t>
  </si>
  <si>
    <t>MMF2020800235380</t>
  </si>
  <si>
    <t xml:space="preserve">   مسجد      المنار    . .</t>
  </si>
  <si>
    <t>KFM2020660127748</t>
  </si>
  <si>
    <t>مسجد المروه  جنوب  المعارض .</t>
  </si>
  <si>
    <t>KFM2020660198910</t>
  </si>
  <si>
    <t xml:space="preserve">   جامع  هجرة سمحه .</t>
  </si>
  <si>
    <t>KFM2020660211277</t>
  </si>
  <si>
    <t>مسجد محمد الجاسر .</t>
  </si>
  <si>
    <t>KFM2020660201780</t>
  </si>
  <si>
    <t>مسجد عبدالرحمن الغيث .</t>
  </si>
  <si>
    <t>KFM2020760073429</t>
  </si>
  <si>
    <t>مسجد      0         الجضيعى .</t>
  </si>
  <si>
    <t>KFM2020660051605</t>
  </si>
  <si>
    <t xml:space="preserve">   مسجدعبدالله محمدالشدى .</t>
  </si>
  <si>
    <t>KFM2120660247042</t>
  </si>
  <si>
    <t>جامع ساره  الفواز .</t>
  </si>
  <si>
    <t>KFM2020660199516</t>
  </si>
  <si>
    <t>مسجدالسهله .</t>
  </si>
  <si>
    <t>KFM2020660056071</t>
  </si>
  <si>
    <t xml:space="preserve">   مسجدالعقيق .</t>
  </si>
  <si>
    <t>KFM2020660036745</t>
  </si>
  <si>
    <t xml:space="preserve">   مسجد شرق قرطبة .</t>
  </si>
  <si>
    <t>KFM2020660142143</t>
  </si>
  <si>
    <t>مسجد سموالامير/مساعدبن عبدالرحمن .</t>
  </si>
  <si>
    <t>KFM2020660011949</t>
  </si>
  <si>
    <t>KFM2020660127594</t>
  </si>
  <si>
    <t>KFM2120660242162</t>
  </si>
  <si>
    <t xml:space="preserve">   مسجدأبو   عبيده بن  الجراح .</t>
  </si>
  <si>
    <t>KFM2020660193611</t>
  </si>
  <si>
    <t>مسجد فهد بن كريديس .</t>
  </si>
  <si>
    <t>KFM2020660045044</t>
  </si>
  <si>
    <t>SMR2320661021428</t>
  </si>
  <si>
    <t>مسجد حى  ال  فريان .</t>
  </si>
  <si>
    <t>KFM2020660006593</t>
  </si>
  <si>
    <t xml:space="preserve">     مسجد   الخفره .</t>
  </si>
  <si>
    <t>KFM2020660135782</t>
  </si>
  <si>
    <t>مسجد      محمد      بن تركي .</t>
  </si>
  <si>
    <t>KFM2020660202491</t>
  </si>
  <si>
    <t xml:space="preserve">   مسجدالصحابى العلاءبن الحضرمى .</t>
  </si>
  <si>
    <t>KFM2020660054418</t>
  </si>
  <si>
    <t xml:space="preserve">   مسجد روضة الصالحين .</t>
  </si>
  <si>
    <t>KFM2120660249325</t>
  </si>
  <si>
    <t xml:space="preserve">   مسجد القادسية .</t>
  </si>
  <si>
    <t>KFM2020660060686</t>
  </si>
  <si>
    <t>مسجد البرا بن مالك .</t>
  </si>
  <si>
    <t>KFM2020660054321</t>
  </si>
  <si>
    <t>مسجد ال  عبدالله .</t>
  </si>
  <si>
    <t>KFM2020660039913</t>
  </si>
  <si>
    <t>KFM2020660104337</t>
  </si>
  <si>
    <t xml:space="preserve">   مسجد صالح عبدالعزيز الراجحى .</t>
  </si>
  <si>
    <t>KFM2020660192216</t>
  </si>
  <si>
    <t>KFM2020660203557</t>
  </si>
  <si>
    <t xml:space="preserve">   مسجد الامير احمد بن عبدالعزيز .</t>
  </si>
  <si>
    <t>KFM2020660173645</t>
  </si>
  <si>
    <t>مسجد عتيقه .</t>
  </si>
  <si>
    <t>KFM2020660202631</t>
  </si>
  <si>
    <t>KFM2120660301968</t>
  </si>
  <si>
    <t xml:space="preserve">   مسجد صالح عبدالله .</t>
  </si>
  <si>
    <t>KFM2020660056876</t>
  </si>
  <si>
    <t xml:space="preserve">   مسجد محمدالغيث مع سكن الامام .</t>
  </si>
  <si>
    <t>KFM2020660061536</t>
  </si>
  <si>
    <t>مسجد/نورة  عبدالرحمن .</t>
  </si>
  <si>
    <t>KFM2020660198318</t>
  </si>
  <si>
    <t>KFM2120655003947</t>
  </si>
  <si>
    <t>مسجد بن دنان .</t>
  </si>
  <si>
    <t>KFM2020660038655</t>
  </si>
  <si>
    <t xml:space="preserve">   مسجد جامع المغرزات .</t>
  </si>
  <si>
    <t>KFM2020660188124</t>
  </si>
  <si>
    <t xml:space="preserve">   مسجد مانع القحطاني .</t>
  </si>
  <si>
    <t>KFM2020660053292</t>
  </si>
  <si>
    <t xml:space="preserve">   مسجد حي غبيراء .</t>
  </si>
  <si>
    <t>KFM2120660281774</t>
  </si>
  <si>
    <t>SMR2320661033715</t>
  </si>
  <si>
    <t>KFM2020660054939</t>
  </si>
  <si>
    <t>مسجد ابو موسى  الا شعري .</t>
  </si>
  <si>
    <t>KFM2020660013287</t>
  </si>
  <si>
    <t xml:space="preserve">   مسجد الفتح .</t>
  </si>
  <si>
    <t>KFM2120660273899</t>
  </si>
  <si>
    <t xml:space="preserve">مسجد الامام تركي بـــنعبدالله  </t>
  </si>
  <si>
    <t xml:space="preserve">مسجد  الملك عبدالله بن عبدالعزيز ال سعود  </t>
  </si>
  <si>
    <t xml:space="preserve">   مسجد جامع سليمان عبدالعزيز الراج  </t>
  </si>
  <si>
    <t xml:space="preserve">   مسجدالملك خالدبن عبدالعزيز  </t>
  </si>
  <si>
    <t xml:space="preserve">مسجدالشيخ  محمد بن ابراهيم  </t>
  </si>
  <si>
    <t xml:space="preserve">   جامع الملك فهد بن عبدالعزيز  </t>
  </si>
  <si>
    <t xml:space="preserve">   الحرس  الوطني مسجد عثمان بن عفان  </t>
  </si>
  <si>
    <t xml:space="preserve">   مسجد عمر بن الخطاب  </t>
  </si>
  <si>
    <t xml:space="preserve">   مسجد      الشئون    والاوقاف  </t>
  </si>
  <si>
    <t xml:space="preserve">مساجد  </t>
  </si>
  <si>
    <t xml:space="preserve">   مسجد / الحرس الوطني  </t>
  </si>
  <si>
    <t xml:space="preserve">ﻤﺴﺎﺠﺩ  </t>
  </si>
  <si>
    <t xml:space="preserve">   مسجد عبدالله بن مسعود  </t>
  </si>
  <si>
    <t xml:space="preserve">   مسجد/الاميرطلال بن عبدالعزيز  </t>
  </si>
  <si>
    <t xml:space="preserve">مسجد/الامير سعد بن محمد ال  سعود  </t>
  </si>
  <si>
    <t xml:space="preserve">   مساجد  </t>
  </si>
  <si>
    <t xml:space="preserve">   مسجد مكتب الدعوةوالارشاد والمكتب  </t>
  </si>
  <si>
    <t xml:space="preserve">   مسجد  السعود  </t>
  </si>
  <si>
    <t xml:space="preserve">     مسجد الناصر  </t>
  </si>
  <si>
    <t xml:space="preserve">      مسجد      الجفال  </t>
  </si>
  <si>
    <t xml:space="preserve">   جامع      الهاجري  </t>
  </si>
  <si>
    <t xml:space="preserve">   مسجد جامع حلة العنوز  </t>
  </si>
  <si>
    <t xml:space="preserve">   مسجد حى المروج  </t>
  </si>
  <si>
    <t xml:space="preserve">   وزارة     الشون        </t>
  </si>
  <si>
    <t xml:space="preserve">مسجد جامع  الدخل  المحدود  </t>
  </si>
  <si>
    <t xml:space="preserve">   مسجد العواد  </t>
  </si>
  <si>
    <t xml:space="preserve">         مسجد جامع الناصريه  </t>
  </si>
  <si>
    <t xml:space="preserve">   جامع الملز الثانى  </t>
  </si>
  <si>
    <t xml:space="preserve">مسجد/محمدعبدالعزيزالراجحى ومرافقة  </t>
  </si>
  <si>
    <t xml:space="preserve">   وزارة     الاوقاف و  الدعوه و الار  </t>
  </si>
  <si>
    <t xml:space="preserve">   الحرس  الوطني مسجد أسيد بن حفير  </t>
  </si>
  <si>
    <t xml:space="preserve">مسجد حي طويق  </t>
  </si>
  <si>
    <t xml:space="preserve"> وزارةالشئون الاسلاميةجامع ناصر الطيار  </t>
  </si>
  <si>
    <t xml:space="preserve">   مسجد اشبيليه  </t>
  </si>
  <si>
    <t xml:space="preserve">   مسجد عبدالمحسن سعد سعيد  </t>
  </si>
  <si>
    <t xml:space="preserve">   مسجد      سلمه      ابن الآ كوع  </t>
  </si>
  <si>
    <t xml:space="preserve">   مسجد الأمير سلطان  </t>
  </si>
  <si>
    <t xml:space="preserve">   مسجد الخضير  </t>
  </si>
  <si>
    <t xml:space="preserve">   مسجدالتعاون وسكن الامام والمؤذن  </t>
  </si>
  <si>
    <t xml:space="preserve">   الحرس  الوطني مسجد زيد بن حارثه  </t>
  </si>
  <si>
    <t xml:space="preserve">   جامع الامير سلطان بن عبدالعزيز  </t>
  </si>
  <si>
    <t xml:space="preserve">   المدينه الطبيه / مسجد  </t>
  </si>
  <si>
    <t xml:space="preserve">   جامع الاميرفيصل بن فهد  </t>
  </si>
  <si>
    <t xml:space="preserve">جامع الامير طلا ل بن فهد بن محمد  </t>
  </si>
  <si>
    <t xml:space="preserve">4  مسجد العريجاء بلك  </t>
  </si>
  <si>
    <t xml:space="preserve">   مسجد وسكن فهد الفهيد  </t>
  </si>
  <si>
    <t xml:space="preserve">   مسجد الشيخ عبدالعزيز بن باز  </t>
  </si>
  <si>
    <t xml:space="preserve">   جامع الحمراء  </t>
  </si>
  <si>
    <t xml:space="preserve">   مسجد      منيرة        </t>
  </si>
  <si>
    <t xml:space="preserve">   مسجد الاميره حصة بنت عبدالعزيز  </t>
  </si>
  <si>
    <t xml:space="preserve">   مسجدابراهيم السليمبحيالصحافه  </t>
  </si>
  <si>
    <t xml:space="preserve">   مسجد والدة عبدالعزيز بن سليم  </t>
  </si>
  <si>
    <t xml:space="preserve">مسجد والدة  /عبدالله  بن عبدالرحمن  </t>
  </si>
  <si>
    <t xml:space="preserve">   مسجد جامع الخير  </t>
  </si>
  <si>
    <t xml:space="preserve">   الحرس  الوطني مسجد مصعب بن عمير  </t>
  </si>
  <si>
    <t xml:space="preserve">   جامع خادم الحرمين الشريفين/فروسي  </t>
  </si>
  <si>
    <t xml:space="preserve">مسجد      اسامه      بن زيد  </t>
  </si>
  <si>
    <t xml:space="preserve">وزارة الشئون الاسلاميه والاوقاف  </t>
  </si>
  <si>
    <t xml:space="preserve">   مسجدعبدالعزيزالتويجري  </t>
  </si>
  <si>
    <t xml:space="preserve">   مسجد الاسكان رقم 2  </t>
  </si>
  <si>
    <t xml:space="preserve">مدرسة خولة بنت حكيم لتحفيظ القرآن  </t>
  </si>
  <si>
    <t xml:space="preserve">   جامع المحارب  </t>
  </si>
  <si>
    <t xml:space="preserve">   مسجدالمجمع السكنى بالملز  </t>
  </si>
  <si>
    <t xml:space="preserve">   مسجد حي الزهره  </t>
  </si>
  <si>
    <t xml:space="preserve">   مسجد      جعفر بن   ابي طالب  </t>
  </si>
  <si>
    <t xml:space="preserve">   جامع      فهد       الهريش  </t>
  </si>
  <si>
    <t xml:space="preserve">   مسجد سليمان الدريبي  </t>
  </si>
  <si>
    <t xml:space="preserve">   جامع الاماممحمدبن    عبدالوهاب  </t>
  </si>
  <si>
    <t xml:space="preserve">   مسجدحي الغدير  </t>
  </si>
  <si>
    <t xml:space="preserve">   جامع سلمان الفارسي  </t>
  </si>
  <si>
    <t xml:space="preserve">   مسجد حى المنصورة  </t>
  </si>
  <si>
    <t xml:space="preserve">   حرس وطني  مسجد      أبي هريره  </t>
  </si>
  <si>
    <t xml:space="preserve">مسجدالاميره  /هيابنت  عبدالعزيزال  سعود  </t>
  </si>
  <si>
    <t xml:space="preserve">مسجدعلي الناصر  </t>
  </si>
  <si>
    <t xml:space="preserve">مسجد جامع الملك  عبدالعزيز  </t>
  </si>
  <si>
    <t xml:space="preserve">   جامع سيد الشهداء  </t>
  </si>
  <si>
    <t xml:space="preserve">ﻭﺯﺍﺭﺓﺍﻟﺸﺌﻭﻥ ﺍﻻﺴﻼﻤﻴﺓﻭﺍﻻﻭﻗﺎﻑ  </t>
  </si>
  <si>
    <t xml:space="preserve">   مسجدمحمدصالح اللحيدان  </t>
  </si>
  <si>
    <t xml:space="preserve">         مسجد    حي     الغدير  </t>
  </si>
  <si>
    <t xml:space="preserve">   جامع غرب المستشفى العسكري  </t>
  </si>
  <si>
    <t xml:space="preserve">   مسجد سموالامير/سلطان بن عبدالعزيز  </t>
  </si>
  <si>
    <t xml:space="preserve">   مسجد  الا مير خالد بن مساعد  </t>
  </si>
  <si>
    <t xml:space="preserve">   الحرس  الوطني  مسجد  </t>
  </si>
  <si>
    <t xml:space="preserve">   مسجد      أحمد      الدهش  </t>
  </si>
  <si>
    <t xml:space="preserve">   مسجد عبدالله بن عباس  </t>
  </si>
  <si>
    <t xml:space="preserve">   مسجد الامام البخاري  </t>
  </si>
  <si>
    <t xml:space="preserve">   مسجدالاميرفيصل بن سعدالواقع المرب  </t>
  </si>
  <si>
    <t xml:space="preserve">   مسجد محمد عبدالله الملوحى  </t>
  </si>
  <si>
    <t xml:space="preserve">مسجد  </t>
  </si>
  <si>
    <t xml:space="preserve">   مسجد حي الملك فيصل  </t>
  </si>
  <si>
    <t xml:space="preserve"> مسجدالجبل  جامع الحقباني  </t>
  </si>
  <si>
    <t xml:space="preserve">مسجد صالح  الصانع  </t>
  </si>
  <si>
    <t xml:space="preserve">   جامع وسكن مترك عايض الجعيد  </t>
  </si>
  <si>
    <t xml:space="preserve">   مسجد حي الصحافه ومرافقه  </t>
  </si>
  <si>
    <t xml:space="preserve">   وزارةالشؤن الاسلاميه مسجدالنخيل غ  </t>
  </si>
  <si>
    <t xml:space="preserve">   مسجد      عبدالله   سكن  </t>
  </si>
  <si>
    <t xml:space="preserve">مسجد      ناصر      الصفيان  </t>
  </si>
  <si>
    <t xml:space="preserve">   مسجد معاذ بن جبل  </t>
  </si>
  <si>
    <t xml:space="preserve">   جامع الامام محمد بن سعود  </t>
  </si>
  <si>
    <t xml:space="preserve">   مسجد الدويش  </t>
  </si>
  <si>
    <t xml:space="preserve">   مسجد حى المنح  </t>
  </si>
  <si>
    <t xml:space="preserve">   مسجد سهيل بن عمرو  </t>
  </si>
  <si>
    <t xml:space="preserve">   مسجد وسكن الشيخ محمد القاسم  </t>
  </si>
  <si>
    <t xml:space="preserve">   مسجد حي غرناطة الغربي  </t>
  </si>
  <si>
    <t xml:space="preserve">   جامع   العساف  </t>
  </si>
  <si>
    <t xml:space="preserve">   مشروع مصلى نساءالحي السكني و الخ  </t>
  </si>
  <si>
    <t xml:space="preserve">   جامع الأمير سلطان بن فهد  </t>
  </si>
  <si>
    <t xml:space="preserve">   مسجد      بن           </t>
  </si>
  <si>
    <t xml:space="preserve">مسجد المصمك  </t>
  </si>
  <si>
    <t xml:space="preserve">, مسجد      ناصر عبيد  </t>
  </si>
  <si>
    <t xml:space="preserve">   مسجد اليرموك  </t>
  </si>
  <si>
    <t xml:space="preserve">   مسجد سوق الخضار  </t>
  </si>
  <si>
    <t xml:space="preserve">   مسجدالاميرعبدالرحمن عبدالله  </t>
  </si>
  <si>
    <t xml:space="preserve">   مسجد عبدالله حذافة السهمي  </t>
  </si>
  <si>
    <t xml:space="preserve">   مسجدالشيخ عبدالرحمن علي الجريسي  </t>
  </si>
  <si>
    <t xml:space="preserve">   مسجد حى الضباط  </t>
  </si>
  <si>
    <t xml:space="preserve">   مسجدحي النخيل الغربي  </t>
  </si>
  <si>
    <t xml:space="preserve">   مسجد /الشيخ عبدالله الهويش  </t>
  </si>
  <si>
    <t xml:space="preserve">مدرسه  تحفيظ  لمسجد صالح  الصانع  </t>
  </si>
  <si>
    <t xml:space="preserve">   مسجدمحمدوعبدالرحمن السعدالبواردي  </t>
  </si>
  <si>
    <t xml:space="preserve">   جامع نورة بنت عبدالعزيزالحقباني  </t>
  </si>
  <si>
    <t xml:space="preserve">   مسجد حمزه بن عبدالمطلب  </t>
  </si>
  <si>
    <t xml:space="preserve">   مسجد عبدالرحمن بن ثنيان العبيكان  </t>
  </si>
  <si>
    <t xml:space="preserve">   مسجد عبدالله العسكر  </t>
  </si>
  <si>
    <t xml:space="preserve">   مسـجد وزارة الدفاع والطيران  </t>
  </si>
  <si>
    <t xml:space="preserve">   وزارة الشئون الا سلا مية والا وقاف  </t>
  </si>
  <si>
    <t xml:space="preserve">   مسجد   حى السفارات  </t>
  </si>
  <si>
    <t xml:space="preserve">   مسجد الامير متعب بن عبدالعزيز  </t>
  </si>
  <si>
    <t xml:space="preserve">   جامع الريس    // مغسلة الأموات  </t>
  </si>
  <si>
    <t xml:space="preserve">   مسجد شرق غبيرا-أبوبكرالصديق  </t>
  </si>
  <si>
    <t xml:space="preserve">   مسجد      الرواف       </t>
  </si>
  <si>
    <t xml:space="preserve">  مسجد جمعيه البر الخيريه باالدرعيه  </t>
  </si>
  <si>
    <t xml:space="preserve">مسجدالغنيم  </t>
  </si>
  <si>
    <t xml:space="preserve">    مسجد      الراجحي  </t>
  </si>
  <si>
    <t xml:space="preserve">مسجد جامع  حله  بن دايل  </t>
  </si>
  <si>
    <t xml:space="preserve">   وزاره الشئون الاسلاميه ولاوقاف  </t>
  </si>
  <si>
    <t xml:space="preserve">   مسجد شمال سوق الخضار  </t>
  </si>
  <si>
    <t xml:space="preserve">   مسجد      كتاب      العتيبي  </t>
  </si>
  <si>
    <t xml:space="preserve">   جامع وسكن  حمود اللحيدان  </t>
  </si>
  <si>
    <t xml:space="preserve">   جامع/عبدالعزيزبن محمد النصار  </t>
  </si>
  <si>
    <t xml:space="preserve">   مسجد/حمد   محمد     بن سعيدان  </t>
  </si>
  <si>
    <t xml:space="preserve">   مسجد/الشيخ صالح عبدالله السدلان  </t>
  </si>
  <si>
    <t xml:space="preserve">   مسجد فهد الدهمش  </t>
  </si>
  <si>
    <t xml:space="preserve">   مسجدصالح القفاري  </t>
  </si>
  <si>
    <t xml:space="preserve">   مسجد حى النزهه  </t>
  </si>
  <si>
    <t xml:space="preserve">   جامع عثمان بن عفان  </t>
  </si>
  <si>
    <t xml:space="preserve">    مسجد حي الملقا  </t>
  </si>
  <si>
    <t xml:space="preserve">   جامع فهد العويضة  </t>
  </si>
  <si>
    <t xml:space="preserve">   مسجد رقم 5  </t>
  </si>
  <si>
    <t xml:space="preserve">   مسجد حي الوادي  </t>
  </si>
  <si>
    <t xml:space="preserve">   مسجد الفاروق  </t>
  </si>
  <si>
    <t xml:space="preserve">   مسجد فهد المقيل  </t>
  </si>
  <si>
    <t xml:space="preserve">   مسجد حي السعاده  </t>
  </si>
  <si>
    <t xml:space="preserve">   جامع      سلطان     السلطان  </t>
  </si>
  <si>
    <t xml:space="preserve">     مسجدالمقدادحي بدر اسكان الحرس  </t>
  </si>
  <si>
    <t xml:space="preserve">   وزاره الشؤن الاسلاميه ولاوقاف  </t>
  </si>
  <si>
    <t xml:space="preserve">   مسجد جامع الملك خالد  </t>
  </si>
  <si>
    <t xml:space="preserve">   مسجد جامع الذياب  </t>
  </si>
  <si>
    <t xml:space="preserve">   مسجد حي الخليج  </t>
  </si>
  <si>
    <t xml:space="preserve">   مسجد شرق حي الملك فيصل  </t>
  </si>
  <si>
    <t xml:space="preserve">   مسجد الأمير عبدالله بن عبدالعزيز  </t>
  </si>
  <si>
    <t xml:space="preserve">جامع الشويعر  </t>
  </si>
  <si>
    <t xml:space="preserve">مسجد القحطانى  </t>
  </si>
  <si>
    <t xml:space="preserve">   مسجد الشيخ موفق الميدانى  </t>
  </si>
  <si>
    <t xml:space="preserve">   وزارة الشئون الاسلاميةومسجد وسكن  </t>
  </si>
  <si>
    <t xml:space="preserve">مسجد جامع  بن خثيله  </t>
  </si>
  <si>
    <t xml:space="preserve">   مسجد      لطيفه     ال الشيخ  </t>
  </si>
  <si>
    <t xml:space="preserve">   مسجد الغليقة مع سكن الامام المؤذن  </t>
  </si>
  <si>
    <t xml:space="preserve">   مسجد الطويان  </t>
  </si>
  <si>
    <t xml:space="preserve">   جامع عبدالله ابراهيم الهداب  </t>
  </si>
  <si>
    <t xml:space="preserve">   مسجد المفدى  </t>
  </si>
  <si>
    <t xml:space="preserve">   وزارة الشئون الاسلامية والاوقاف  </t>
  </si>
  <si>
    <t xml:space="preserve">     مسجد      السويدي  </t>
  </si>
  <si>
    <t xml:space="preserve">   مسجد حي بن لادن  </t>
  </si>
  <si>
    <t xml:space="preserve">   مسجد والده السليمي  </t>
  </si>
  <si>
    <t xml:space="preserve">مسجد                الهويمل  </t>
  </si>
  <si>
    <t xml:space="preserve">1638 مسجدبظهره  البديعه  مخطط  </t>
  </si>
  <si>
    <t xml:space="preserve">   جامع الامام احمد بن حنبل  </t>
  </si>
  <si>
    <t xml:space="preserve">   مسجدام المؤمنين  خديجه بنت خويلد  </t>
  </si>
  <si>
    <t xml:space="preserve">مسجد الداؤد/الحزم  </t>
  </si>
  <si>
    <t xml:space="preserve">ﺍﻟﻬﻴﺌﺓﺍﻟﻌﻟﻴﺎﻟﺘﻁﻭﻴﺭﻤﺩﻴﻨﺓﺍﻟﺭﻴﺎﺽ  </t>
  </si>
  <si>
    <t xml:space="preserve">   مسجد وسكن امام ومؤذن مسجدالهاجري  </t>
  </si>
  <si>
    <t xml:space="preserve">   مسجد حي الربوه غرب الاسواق  </t>
  </si>
  <si>
    <t xml:space="preserve">    جامع ابويوسف  مع سكن الا مام  </t>
  </si>
  <si>
    <t xml:space="preserve">   جامع الأ ميرة العنود  </t>
  </si>
  <si>
    <t xml:space="preserve">   مسجد حطين  </t>
  </si>
  <si>
    <t xml:space="preserve">   مسجد الحميد  </t>
  </si>
  <si>
    <t xml:space="preserve">    مسجدبحي لبن وزارةالشؤون الاسلامية  </t>
  </si>
  <si>
    <t xml:space="preserve">   مسجد حى خنشليله  </t>
  </si>
  <si>
    <t xml:space="preserve">   مسجد عمر بن سعيد الأنصار  </t>
  </si>
  <si>
    <t xml:space="preserve">   مسجد موءقت  </t>
  </si>
  <si>
    <t xml:space="preserve">   مسجدحى الفلاح  </t>
  </si>
  <si>
    <t xml:space="preserve">مسجد /محمد عبدالعزيز بن عياف  </t>
  </si>
  <si>
    <t xml:space="preserve">   مسجدلولوةعبدالعزيزالمطوع الصحافة  </t>
  </si>
  <si>
    <t xml:space="preserve">   مسجدالحمد  </t>
  </si>
  <si>
    <t xml:space="preserve">   مسجد بن خميس  </t>
  </si>
  <si>
    <t xml:space="preserve">   جامع الشيخ محمد بن عبدالوهاب  </t>
  </si>
  <si>
    <t xml:space="preserve">   مسجد      عبدالله بنرواحه  </t>
  </si>
  <si>
    <t xml:space="preserve">   مسجدحي الفلاح  </t>
  </si>
  <si>
    <t xml:space="preserve">   مسجد حي الريان  </t>
  </si>
  <si>
    <t xml:space="preserve">   مسجد السبيعي متعب الفهاد  </t>
  </si>
  <si>
    <t xml:space="preserve">   مسجد العيسى  </t>
  </si>
  <si>
    <t xml:space="preserve">   جامع الاميره الجوهره بن مساعدومرا  </t>
  </si>
  <si>
    <t xml:space="preserve">   جامع الامير/ تركي بن عبدالله ال س  </t>
  </si>
  <si>
    <t xml:space="preserve">   مسجد صالح بن غصون  </t>
  </si>
  <si>
    <t xml:space="preserve">   مسجدحي الربيع  </t>
  </si>
  <si>
    <t xml:space="preserve">   مسجد الدغيثر  </t>
  </si>
  <si>
    <t xml:space="preserve">   مسجد      عبدالعظيم السكن  </t>
  </si>
  <si>
    <t xml:space="preserve">مسجد بن غيث  </t>
  </si>
  <si>
    <t xml:space="preserve">   مسجد/ سليمان العيسى  </t>
  </si>
  <si>
    <t xml:space="preserve">      مسجد فهد العويضه ومرافقه  </t>
  </si>
  <si>
    <t xml:space="preserve">   مسجد العمور  </t>
  </si>
  <si>
    <t xml:space="preserve">   مسجد عبداللهالحيدان  </t>
  </si>
  <si>
    <t xml:space="preserve">وزارة الشئون الاسلامية والاوقاف  </t>
  </si>
  <si>
    <t xml:space="preserve">   مسجد الشيخ سليمان عبدالعزيز  </t>
  </si>
  <si>
    <t xml:space="preserve">   مسجد اللحيدان  </t>
  </si>
  <si>
    <t xml:space="preserve">   مسجد الشرفيه  </t>
  </si>
  <si>
    <t xml:space="preserve">   مسجد حي العقيق  </t>
  </si>
  <si>
    <t xml:space="preserve">   مسجد مانع الجهني  </t>
  </si>
  <si>
    <t xml:space="preserve">   مسجد الحي السكنى بوزارةالخارجيه  </t>
  </si>
  <si>
    <t xml:space="preserve">   مسجد الصحافة  </t>
  </si>
  <si>
    <t xml:space="preserve">   مسجد حي اليرموك  </t>
  </si>
  <si>
    <t xml:space="preserve">مسجد / طارق  بن زياد  </t>
  </si>
  <si>
    <t xml:space="preserve">   مسجد الفريج  </t>
  </si>
  <si>
    <t xml:space="preserve">   مسجدوالدة خالد بن عمر البلطان  </t>
  </si>
  <si>
    <t xml:space="preserve">جامع سماحة المفتي  </t>
  </si>
  <si>
    <t xml:space="preserve">   مسجد الرميزان  </t>
  </si>
  <si>
    <t xml:space="preserve">مسجد      الرفيعة  </t>
  </si>
  <si>
    <t xml:space="preserve">مسجد الدريهمى  </t>
  </si>
  <si>
    <t xml:space="preserve">   مسجد الصديق  </t>
  </si>
  <si>
    <t xml:space="preserve">مسجد      عبدالعزيز الحمدان  </t>
  </si>
  <si>
    <t xml:space="preserve">   مسجد كريم الشمري  </t>
  </si>
  <si>
    <t xml:space="preserve">   مسجد الجوهره  </t>
  </si>
  <si>
    <t xml:space="preserve">   وزاره الشؤن الاسلاميه والاوقاف  </t>
  </si>
  <si>
    <t xml:space="preserve">   مسجد ج حى السفارات  </t>
  </si>
  <si>
    <t xml:space="preserve">   مسجد محمدبن زيد ين سعد الجويعد  </t>
  </si>
  <si>
    <t xml:space="preserve">   مسجد بلشرف  </t>
  </si>
  <si>
    <t xml:space="preserve">   مسجد حي المحمدية  </t>
  </si>
  <si>
    <t xml:space="preserve">   مسجد مجاهد المجاهد  </t>
  </si>
  <si>
    <t xml:space="preserve">   مسجد منصور  الراجحي  </t>
  </si>
  <si>
    <t xml:space="preserve">   مسجد بن ماضي  </t>
  </si>
  <si>
    <t xml:space="preserve">   مسجد      بحي       ا  </t>
  </si>
  <si>
    <t xml:space="preserve">   مسجد الا   ندلس و سكنوالمؤذن  </t>
  </si>
  <si>
    <t xml:space="preserve">   مسجد المقيل  </t>
  </si>
  <si>
    <t xml:space="preserve">مسجد الامير/ محمد بن عبدالعزيز  </t>
  </si>
  <si>
    <t xml:space="preserve">   مسجد/     ابراهيم   سعيدان  </t>
  </si>
  <si>
    <t xml:space="preserve">   مسجد      ال جري    -  </t>
  </si>
  <si>
    <t xml:space="preserve">مسجد بن عدوان  </t>
  </si>
  <si>
    <t xml:space="preserve">   مسجد الراجحى  </t>
  </si>
  <si>
    <t xml:space="preserve">   مسجد حي حطين  </t>
  </si>
  <si>
    <t xml:space="preserve">   جامع      حطين         </t>
  </si>
  <si>
    <t xml:space="preserve">  مسجدوالدةالامير/ ماجد بن عبدالعزيز  </t>
  </si>
  <si>
    <t xml:space="preserve">   مسجد حي النهضه  </t>
  </si>
  <si>
    <t xml:space="preserve">   مسجداليمامة  </t>
  </si>
  <si>
    <t xml:space="preserve">مسجد      محمد      الماجد  </t>
  </si>
  <si>
    <t xml:space="preserve"> مسجدجامع الحى السكنى وزارة الخارجيه  </t>
  </si>
  <si>
    <t xml:space="preserve">   مسجدالصانع بحي الصحافة  </t>
  </si>
  <si>
    <t xml:space="preserve">   جامع فالح عبدالرحمن الحارثي  </t>
  </si>
  <si>
    <t xml:space="preserve">   مسجد الربوه  </t>
  </si>
  <si>
    <t xml:space="preserve">   مسجد احمد عبدالقادر  </t>
  </si>
  <si>
    <t xml:space="preserve">   مسجدحي الجزيره  </t>
  </si>
  <si>
    <t xml:space="preserve">   مسجد عبدالله التركى  </t>
  </si>
  <si>
    <t xml:space="preserve">   مسجد حي المنصورة  </t>
  </si>
  <si>
    <t xml:space="preserve">   مسجد اسواق طيبه  </t>
  </si>
  <si>
    <t xml:space="preserve">   مسجد التوحيد  </t>
  </si>
  <si>
    <t xml:space="preserve">   مسجد /عبدالله علي بن سلمه  </t>
  </si>
  <si>
    <t xml:space="preserve">   مسجد وسكن الامام والمؤذن وخدمات  </t>
  </si>
  <si>
    <t xml:space="preserve">   مسجد فهد عبدالله ال حسين  </t>
  </si>
  <si>
    <t xml:space="preserve">   مسجد حي الغدير  </t>
  </si>
  <si>
    <t xml:space="preserve">   مسجد وسكن عبدالله المغامس  </t>
  </si>
  <si>
    <t xml:space="preserve">مسجد الامير متعب بن عبدالله آل سعود  </t>
  </si>
  <si>
    <t xml:space="preserve">مسجد عبدالعزيز التويجرى  </t>
  </si>
  <si>
    <t xml:space="preserve">مسجد وزاره  الاعلام  </t>
  </si>
  <si>
    <t xml:space="preserve">   مسجد فراج  </t>
  </si>
  <si>
    <t xml:space="preserve">   مسجد الامام عبدالرحمن الفيصل سعود  </t>
  </si>
  <si>
    <t xml:space="preserve">   بيت الامام المسجد ا  </t>
  </si>
  <si>
    <t xml:space="preserve">   مسجد ام الحمام شرق مجلس التعاون  </t>
  </si>
  <si>
    <t xml:space="preserve">مسجد      خالد      سعود  </t>
  </si>
  <si>
    <t xml:space="preserve">   مسجد حي النظيم  </t>
  </si>
  <si>
    <t xml:space="preserve">   مسجد طيبه النسيم الشرقي  </t>
  </si>
  <si>
    <t xml:space="preserve">   مسجد وزارة الشئون الاسلاميةوالاوقاف  </t>
  </si>
  <si>
    <t xml:space="preserve">   جامع      عرقة         </t>
  </si>
  <si>
    <t xml:space="preserve">   مسجد      ابراهيم    السالم  </t>
  </si>
  <si>
    <t xml:space="preserve">   مسجدحي الصحافةوسكن الامام والمؤذن  </t>
  </si>
  <si>
    <t xml:space="preserve">وزارة الشؤون الاسلامية والاوقاف-مسجد  </t>
  </si>
  <si>
    <t xml:space="preserve">   جامع الاحسان  </t>
  </si>
  <si>
    <t xml:space="preserve">   مسجد/ عمر بن  عبدالعزيز  </t>
  </si>
  <si>
    <t xml:space="preserve">   جامع الربع بالربوه  </t>
  </si>
  <si>
    <t xml:space="preserve"> مسجدالامير تركي بن عبدالرحمن ال سعود  </t>
  </si>
  <si>
    <t xml:space="preserve">مسجد الامير هذلول  بن سعود  </t>
  </si>
  <si>
    <t xml:space="preserve">   مسجدوسكن الامام والمؤذن الصحافه  </t>
  </si>
  <si>
    <t xml:space="preserve">   مشروع الاسكان العاجل / المسجد  </t>
  </si>
  <si>
    <t xml:space="preserve">   مسجد العواد بحي الربيع  </t>
  </si>
  <si>
    <t xml:space="preserve">   مسجد بلال بن رباح  </t>
  </si>
  <si>
    <t xml:space="preserve">   مسجد الناصر  </t>
  </si>
  <si>
    <t xml:space="preserve">مسجد ولي العهد الامير عبدالله  بن  </t>
  </si>
  <si>
    <t xml:space="preserve">   مسجد منيره ابراهيم العثيمين  </t>
  </si>
  <si>
    <t xml:space="preserve">   مسجد المشعليه  </t>
  </si>
  <si>
    <t xml:space="preserve">   مسجد الصفوة وبيتي الامام والمؤذن  </t>
  </si>
  <si>
    <t xml:space="preserve">   مسجد حي المروج  </t>
  </si>
  <si>
    <t xml:space="preserve">   مسجد الرحمانيه  </t>
  </si>
  <si>
    <t xml:space="preserve">   مسجد / عبدالله العريض  </t>
  </si>
  <si>
    <t xml:space="preserve">مسجد حي طريق  ديراب  </t>
  </si>
  <si>
    <t xml:space="preserve">   مسجد ابو ايوب الانصاري    </t>
  </si>
  <si>
    <t xml:space="preserve">   مســــــــجد / على بن ابى طالب  </t>
  </si>
  <si>
    <t xml:space="preserve">   مسجد الضلعان  </t>
  </si>
  <si>
    <t xml:space="preserve">   مسجد      محمد      القاضي  </t>
  </si>
  <si>
    <t xml:space="preserve">   مسجد حي الرمال  </t>
  </si>
  <si>
    <t xml:space="preserve">   مسجدسليمان سالم  </t>
  </si>
  <si>
    <t xml:space="preserve">   مسجد حي السلام  </t>
  </si>
  <si>
    <t xml:space="preserve">    مسجد حي الصحافه  </t>
  </si>
  <si>
    <t xml:space="preserve">   جامع الريس    // دعوة الجاليات  </t>
  </si>
  <si>
    <t xml:space="preserve">   مسجد الفضيلي  </t>
  </si>
  <si>
    <t xml:space="preserve">   مسجد      حي        الروابي  </t>
  </si>
  <si>
    <t xml:space="preserve">   مسجدالبصير  </t>
  </si>
  <si>
    <t xml:space="preserve">   مسجد      ام        الغربيه  </t>
  </si>
  <si>
    <t xml:space="preserve">   مسجدسليمانعبدالله الحماد  </t>
  </si>
  <si>
    <t xml:space="preserve">   مسجد الطيار  </t>
  </si>
  <si>
    <t xml:space="preserve">   مسجد العبري  </t>
  </si>
  <si>
    <t xml:space="preserve">   مسجد      الشيخ     الراجحى  </t>
  </si>
  <si>
    <t xml:space="preserve">   مسجد حي العزيزية  </t>
  </si>
  <si>
    <t xml:space="preserve">مسجد      الامير     بن عبدالعزيز  </t>
  </si>
  <si>
    <t xml:space="preserve">   مسجد السليمانيه  </t>
  </si>
  <si>
    <t xml:space="preserve">   مسجدمحمدبن سلطان  </t>
  </si>
  <si>
    <t xml:space="preserve">   مسجد عبدالهادي الصفوق  </t>
  </si>
  <si>
    <t xml:space="preserve">   جامع الريس  </t>
  </si>
  <si>
    <t xml:space="preserve">مسجد جامع  بن تركى  </t>
  </si>
  <si>
    <t xml:space="preserve">مسجد الفارس  </t>
  </si>
  <si>
    <t xml:space="preserve">   جامع المصيف  </t>
  </si>
  <si>
    <t xml:space="preserve">   مسجد      سعد بن    معاذ  </t>
  </si>
  <si>
    <t xml:space="preserve">   مسجد وسكن عبدالمحسن المهيدب  </t>
  </si>
  <si>
    <t xml:space="preserve">   مسجد الشيخ عبدالله البليهد  </t>
  </si>
  <si>
    <t xml:space="preserve">   جامع الريس    // افطار صائم  </t>
  </si>
  <si>
    <t xml:space="preserve">   مسجد  عبدالله بن مسعود  </t>
  </si>
  <si>
    <t xml:space="preserve">   مسجد الشيخ عبدالعزيز ال الشيخ  </t>
  </si>
  <si>
    <t xml:space="preserve">    مسجد  ال سعيدان  </t>
  </si>
  <si>
    <t xml:space="preserve">   مسجدغرب الدفاع  </t>
  </si>
  <si>
    <t xml:space="preserve">مسجد ابوبكر الصديق  </t>
  </si>
  <si>
    <t xml:space="preserve">   مسجدحى المعذر  </t>
  </si>
  <si>
    <t xml:space="preserve">   مسجد جامع الحائر  </t>
  </si>
  <si>
    <t xml:space="preserve">   بيت       الامام     السفارات  </t>
  </si>
  <si>
    <t xml:space="preserve">   مسجدالسحيم مع سكن الامام والمؤذن  </t>
  </si>
  <si>
    <t xml:space="preserve">   مسجد      الياسمين     </t>
  </si>
  <si>
    <t xml:space="preserve">مسجد الداخله  </t>
  </si>
  <si>
    <t xml:space="preserve">مسجد سعد الكريديسى  </t>
  </si>
  <si>
    <t xml:space="preserve">مسجد ابن   قدامه      الغربي  </t>
  </si>
  <si>
    <t xml:space="preserve">   مسجد وسكن والدي محمد الدباسي  </t>
  </si>
  <si>
    <t xml:space="preserve">مسجدالشيخ  عبدالعزيزبن سحيم  </t>
  </si>
  <si>
    <t xml:space="preserve">   مسجدموسى عبدالرحمن ال اسماعيل  </t>
  </si>
  <si>
    <t xml:space="preserve">مسجد التركى  </t>
  </si>
  <si>
    <t xml:space="preserve">   مسجد المحيسن  </t>
  </si>
  <si>
    <t xml:space="preserve">   مسجد حي النخيل  </t>
  </si>
  <si>
    <t xml:space="preserve">00     مسجد      التقوى  </t>
  </si>
  <si>
    <t xml:space="preserve">   جامع خالد الجبري  </t>
  </si>
  <si>
    <t xml:space="preserve">   مسجد  ام ثامر  </t>
  </si>
  <si>
    <t xml:space="preserve">   مسجدالفلاح  </t>
  </si>
  <si>
    <t xml:space="preserve"> مسجدالامير/تركى بن عبدالعزيزال سعود  </t>
  </si>
  <si>
    <t xml:space="preserve">مسجد      هيله       العوده  </t>
  </si>
  <si>
    <t xml:space="preserve">مسجدبن سعيد  </t>
  </si>
  <si>
    <t xml:space="preserve">   مسجد منيرة عبدالله المزروع  </t>
  </si>
  <si>
    <t xml:space="preserve">وزارة الشئون الا سلا مية والا اوقاف  </t>
  </si>
  <si>
    <t xml:space="preserve">   مسجد مؤقت      /  </t>
  </si>
  <si>
    <t xml:space="preserve">مسجدالشيخ  حمود التويجري  </t>
  </si>
  <si>
    <t xml:space="preserve">مسجد الراجحي  </t>
  </si>
  <si>
    <t xml:space="preserve">   مسجدالسلي حي الجزيره  </t>
  </si>
  <si>
    <t xml:space="preserve">   مسجد صالح العليان  </t>
  </si>
  <si>
    <t xml:space="preserve">   جامع حي المروج  </t>
  </si>
  <si>
    <t xml:space="preserve">   مسجدعمر   بن        عبدالعزيز  </t>
  </si>
  <si>
    <t xml:space="preserve">   مسجد عبدالله البشر  </t>
  </si>
  <si>
    <t xml:space="preserve">     مسجد      الخرجي  </t>
  </si>
  <si>
    <t xml:space="preserve">   مسجد حي الخالديه  و مرفقاته  </t>
  </si>
  <si>
    <t xml:space="preserve">   مسجد جامع حى الفيحاء  </t>
  </si>
  <si>
    <t xml:space="preserve">   مسجد / ابراهيم السلمان  </t>
  </si>
  <si>
    <t xml:space="preserve">   مسجد مركز المملكةالعليا  </t>
  </si>
  <si>
    <t xml:space="preserve">   مسجد/ ابراهيم بن عبدالله الجريسي  </t>
  </si>
  <si>
    <t xml:space="preserve">   مسجد طريق الخرج  </t>
  </si>
  <si>
    <t xml:space="preserve">   مسجد الشويب القديم  </t>
  </si>
  <si>
    <t xml:space="preserve">   مسجد / علي فهد الهزاع  </t>
  </si>
  <si>
    <t xml:space="preserve">جامع سعد الموسى  </t>
  </si>
  <si>
    <t xml:space="preserve">مسجد العريجاء  </t>
  </si>
  <si>
    <t xml:space="preserve">مسجدجامع  الحى  </t>
  </si>
  <si>
    <t xml:space="preserve">   وزارة الشئون الاسلاميه والاوقاف  </t>
  </si>
  <si>
    <t xml:space="preserve">   مسجد/ محمد بن سعيدان  </t>
  </si>
  <si>
    <t xml:space="preserve">   مسجد/محمد باعبدالله  </t>
  </si>
  <si>
    <t xml:space="preserve">   مسجد   سلمه ابن  الآكوع  </t>
  </si>
  <si>
    <t xml:space="preserve">   مسجد      صالح      الحديثي  </t>
  </si>
  <si>
    <t xml:space="preserve">   مسجد التقوى  </t>
  </si>
  <si>
    <t xml:space="preserve">   مسجد الريان  </t>
  </si>
  <si>
    <t xml:space="preserve">مسجد      سعد       العريفي  </t>
  </si>
  <si>
    <t xml:space="preserve">مسجد المنصوريات  </t>
  </si>
  <si>
    <t xml:space="preserve">   مسجد حي الأندلس  </t>
  </si>
  <si>
    <t xml:space="preserve">جامع ابي  هريره  </t>
  </si>
  <si>
    <t xml:space="preserve">وزارة     الشئون    والاوقاف  </t>
  </si>
  <si>
    <t xml:space="preserve">   مسجد علي بن ابي طالب  </t>
  </si>
  <si>
    <t xml:space="preserve">جامع الرميح  </t>
  </si>
  <si>
    <t xml:space="preserve">   مسجدعبدالله النملة ومرافقيه  </t>
  </si>
  <si>
    <t xml:space="preserve">   مسجد حي الضباط  </t>
  </si>
  <si>
    <t xml:space="preserve"> مسجد زيد بن الحارثة مسجدالجربوع  </t>
  </si>
  <si>
    <t xml:space="preserve">   مسجد الامير/ متعب بن عبدالعزيز  </t>
  </si>
  <si>
    <t xml:space="preserve">مسجد الشفاء  </t>
  </si>
  <si>
    <t xml:space="preserve"> وزاره الشئون والاوقاف (مسجدحي النفل)  </t>
  </si>
  <si>
    <t xml:space="preserve">   مسجد خالد بن الوليد  </t>
  </si>
  <si>
    <t xml:space="preserve">مسجدالعريفي /صناعية   الموسى  </t>
  </si>
  <si>
    <t xml:space="preserve">مسجد ظ البديعة  غرب  الدائري  </t>
  </si>
  <si>
    <t xml:space="preserve">مسجد حمود بن محمد الصالح  </t>
  </si>
  <si>
    <t xml:space="preserve">   مسجد حي   الياسمين  </t>
  </si>
  <si>
    <t xml:space="preserve">مشروع  الاميرسلمان/4/ مسجد المجمع  </t>
  </si>
  <si>
    <t xml:space="preserve">مسجد شمال  شرق  الخزان  </t>
  </si>
  <si>
    <t xml:space="preserve">مسجد عيسى  بن راشد بن عويسى  </t>
  </si>
  <si>
    <t xml:space="preserve">   مسجد حي الملك فهد  </t>
  </si>
  <si>
    <t xml:space="preserve">   مسجد عبدالله يوسف  </t>
  </si>
  <si>
    <t xml:space="preserve">   مسجد أمهات المؤمنين  </t>
  </si>
  <si>
    <t xml:space="preserve">3) مسجد    /مشروع  الامير سلمان  </t>
  </si>
  <si>
    <t xml:space="preserve">   مسجد عبدالله السديس  </t>
  </si>
  <si>
    <t xml:space="preserve">مسجد الجارود  </t>
  </si>
  <si>
    <t xml:space="preserve">   جامع الشيخ/فهد بن زرعه  </t>
  </si>
  <si>
    <t xml:space="preserve">  مسجد وزارة الشئون الاسلاميه والاوقاف  </t>
  </si>
  <si>
    <t xml:space="preserve">   مسجد طيبه  </t>
  </si>
  <si>
    <t xml:space="preserve">   مسجد      محمد      عمران  </t>
  </si>
  <si>
    <t xml:space="preserve">   مسجدالامير سلطان ابن ال سعود  </t>
  </si>
  <si>
    <t xml:space="preserve">مسجد      جامع      شبرا  </t>
  </si>
  <si>
    <t xml:space="preserve">    مسجد العليا  </t>
  </si>
  <si>
    <t xml:space="preserve"> مسجد حي السعادة مدرسة تحفيظ القرآن  </t>
  </si>
  <si>
    <t xml:space="preserve">مسجد البديعه  وسكن الامام  والمؤذن  </t>
  </si>
  <si>
    <t xml:space="preserve">   مسجدابن القيم  </t>
  </si>
  <si>
    <t xml:space="preserve">         مسجدسليمان القزلان حىالفلاح  </t>
  </si>
  <si>
    <t xml:space="preserve">   مسجداحد بحي التعاون  </t>
  </si>
  <si>
    <t xml:space="preserve"> مسجد الامير سعود بن فهد بن عبدالعزيز  </t>
  </si>
  <si>
    <t xml:space="preserve">   مسجد/ ذات النطاقين  </t>
  </si>
  <si>
    <t xml:space="preserve">   مسجد ابي عبدالله البخاري  </t>
  </si>
  <si>
    <t xml:space="preserve">   بيت الامام المسجد ة  </t>
  </si>
  <si>
    <t xml:space="preserve">مسجد / محمد ابوشنق  </t>
  </si>
  <si>
    <t xml:space="preserve">   مسجدالاميرعبدالعزيزمساعدبن جلوي  </t>
  </si>
  <si>
    <t xml:space="preserve">   مسجد      حجاب      /  </t>
  </si>
  <si>
    <t xml:space="preserve">   مسجد محمد لافي الحربي+ سكن +مدرسه  </t>
  </si>
  <si>
    <t xml:space="preserve">   وزاره الشؤون الاسلاميه -مسجدالفلاح  </t>
  </si>
  <si>
    <t xml:space="preserve">   مسجد سعد بن معاذ  </t>
  </si>
  <si>
    <t xml:space="preserve">  مسجدالاميره/العنودعبدالعزيزبن جلوي  </t>
  </si>
  <si>
    <t xml:space="preserve">مسجد جامع  طلعه  </t>
  </si>
  <si>
    <t xml:space="preserve">مسجد حي الرفيعه  </t>
  </si>
  <si>
    <t xml:space="preserve">مسجد محمد عبدالله  العشوخ  </t>
  </si>
  <si>
    <t xml:space="preserve">   مسجد حى النسيم  </t>
  </si>
  <si>
    <t xml:space="preserve">   مسجد رجاء العتيبي  </t>
  </si>
  <si>
    <t xml:space="preserve">   مسجد الياسمين  </t>
  </si>
  <si>
    <t xml:space="preserve">      مسجد   محمد  حمد صالح المطوع  </t>
  </si>
  <si>
    <t xml:space="preserve">   مسجد السديري  </t>
  </si>
  <si>
    <t xml:space="preserve">   مسجد الشهيد ايمن الفتى  </t>
  </si>
  <si>
    <t xml:space="preserve">مسجد/ الامير محمد بن سعود الكبير  </t>
  </si>
  <si>
    <t xml:space="preserve">   مسجد حي المليحيه  </t>
  </si>
  <si>
    <t xml:space="preserve">   مسجد      سوق       الربوه  </t>
  </si>
  <si>
    <t xml:space="preserve">   مسجد      القرني  </t>
  </si>
  <si>
    <t xml:space="preserve">   مسجد عمر بن عبدالعزيز  </t>
  </si>
  <si>
    <t xml:space="preserve">وزارة الشئون الا سلا مية والااوقاف  </t>
  </si>
  <si>
    <t xml:space="preserve">   مسجدضاحيةلبن الثاني  </t>
  </si>
  <si>
    <t xml:space="preserve">   وزارة الشئون الاسلامية مسجدالواصل  </t>
  </si>
  <si>
    <t xml:space="preserve">   مسجد حي النور  </t>
  </si>
  <si>
    <t xml:space="preserve">   مدرسة حبيبه بنت جحش بحى الاسكان  </t>
  </si>
  <si>
    <t xml:space="preserve">   مسجد حى الازدهار  </t>
  </si>
  <si>
    <t xml:space="preserve">   مسجد نورة زيدالغملاس  </t>
  </si>
  <si>
    <t xml:space="preserve">   مسجد اسواق الهودج  </t>
  </si>
  <si>
    <t xml:space="preserve">مسجد/ بن تيميه  </t>
  </si>
  <si>
    <t xml:space="preserve">مسجد حي شبرا  </t>
  </si>
  <si>
    <t xml:space="preserve">   مسجد العقيق  </t>
  </si>
  <si>
    <t xml:space="preserve">   مسجد عكاشه  </t>
  </si>
  <si>
    <t xml:space="preserve">   جامع باجد  </t>
  </si>
  <si>
    <t xml:space="preserve">   مسجد نايف الحديثي  </t>
  </si>
  <si>
    <t xml:space="preserve">   مسجد المطرودي  </t>
  </si>
  <si>
    <t xml:space="preserve">   جامع العرنوس  </t>
  </si>
  <si>
    <t xml:space="preserve">   مسجد حي السلام الشرقي  </t>
  </si>
  <si>
    <t xml:space="preserve">   مسجد حي الا ندلس  </t>
  </si>
  <si>
    <t xml:space="preserve">   مسجد العلياء  </t>
  </si>
  <si>
    <t xml:space="preserve"> مسجد الامير فيصل بن طلال بن عبدالعزيز  </t>
  </si>
  <si>
    <t xml:space="preserve">    جامع الأميرة سارة بنت تركي  </t>
  </si>
  <si>
    <t xml:space="preserve">   مسجد عبدالعزيز الجميح  </t>
  </si>
  <si>
    <t xml:space="preserve">مسجد  /محمد سعد ال  فريان  </t>
  </si>
  <si>
    <t xml:space="preserve">    مسجد حى اشبيليا  </t>
  </si>
  <si>
    <t xml:space="preserve">   مسجد ابو بكر الصديق  </t>
  </si>
  <si>
    <t xml:space="preserve">   وزارةالشئؤون الاسلامية مسجدالغدير  </t>
  </si>
  <si>
    <t xml:space="preserve">   مسجد منصور التركي  </t>
  </si>
  <si>
    <t xml:space="preserve">   مسجد غرناطة  </t>
  </si>
  <si>
    <t xml:space="preserve">مسجد ابراهيم  محمد السليمان  </t>
  </si>
  <si>
    <t xml:space="preserve">   مسجد      حي        الملك فيصل  </t>
  </si>
  <si>
    <t xml:space="preserve">وزارة     الشؤون    والأوقاف  </t>
  </si>
  <si>
    <t xml:space="preserve">   مسجد      موضى         </t>
  </si>
  <si>
    <t xml:space="preserve">   مسجد حي التعاون مخطط 1822 بلك 10  </t>
  </si>
  <si>
    <t xml:space="preserve">   مسجد حي الربوة  </t>
  </si>
  <si>
    <t xml:space="preserve">مسجد      السكيت     الشفاء  </t>
  </si>
  <si>
    <t xml:space="preserve">   مسجد وسكن عبدالعزيز التويجرى  </t>
  </si>
  <si>
    <t xml:space="preserve">   وزاره الشؤون الاسلاميه =مسجدالمروج  </t>
  </si>
  <si>
    <t xml:space="preserve">   مسجد حي القدس  </t>
  </si>
  <si>
    <t xml:space="preserve">   مسجد علي بن أبي طالب  </t>
  </si>
  <si>
    <t xml:space="preserve"> وزارةالشؤن الاسلامية والاوقاف مسجدخالد  </t>
  </si>
  <si>
    <t xml:space="preserve">مسجد      بجاد حلة   العماج  </t>
  </si>
  <si>
    <t xml:space="preserve">   مسجد الايمان  </t>
  </si>
  <si>
    <t xml:space="preserve">مسجد ام  الامير طلال  </t>
  </si>
  <si>
    <t xml:space="preserve">   مسجد الفلاح  </t>
  </si>
  <si>
    <t xml:space="preserve">مسجد والدة  الاميرسطام  بن عبدالعزيز  </t>
  </si>
  <si>
    <t xml:space="preserve">   مسجدالسوق التجارى  </t>
  </si>
  <si>
    <t xml:space="preserve">   مسجدسموالاميرعبدالرحمن عبدالله ال  </t>
  </si>
  <si>
    <t xml:space="preserve">   مسجدالرميزان  </t>
  </si>
  <si>
    <t xml:space="preserve">   مسجد الزيد  </t>
  </si>
  <si>
    <t xml:space="preserve">   مسجد محمد العجلان  </t>
  </si>
  <si>
    <t xml:space="preserve">   مسجد جامع الملك عبدالعزيز  </t>
  </si>
  <si>
    <t xml:space="preserve">   مسجد جامع الملز الاول  </t>
  </si>
  <si>
    <t xml:space="preserve">مسجد      عثمان     عفان  </t>
  </si>
  <si>
    <t xml:space="preserve">   مسجد      ام        ال  </t>
  </si>
  <si>
    <t xml:space="preserve">مسجدالشيخ  عبدالله  القرعاوي  </t>
  </si>
  <si>
    <t xml:space="preserve">   مسجدعبدالله ناصرالصقر  </t>
  </si>
  <si>
    <t xml:space="preserve">  مسجد/عبدالرحمن فهد صالح الكريديس  </t>
  </si>
  <si>
    <t xml:space="preserve">   مسجد جامع ظهرة الحاير  </t>
  </si>
  <si>
    <t xml:space="preserve">   جامع الشيخ سعد الختلان  </t>
  </si>
  <si>
    <t xml:space="preserve">   وزارةالشئون الاسلاميه بناء مسجد  </t>
  </si>
  <si>
    <t xml:space="preserve">7  مسجد مخطط 8  2 بلك  </t>
  </si>
  <si>
    <t xml:space="preserve">   مسجد عبدالكريم جميلي  </t>
  </si>
  <si>
    <t xml:space="preserve">   مسجد      ابي       الانصاري  </t>
  </si>
  <si>
    <t xml:space="preserve">   مسجد حي الجنادريه  </t>
  </si>
  <si>
    <t xml:space="preserve">   مسجد      حسين      ال الشيخ  </t>
  </si>
  <si>
    <t xml:space="preserve">   مسجد بدر/ حي العلياء  </t>
  </si>
  <si>
    <t xml:space="preserve">   مسجد نجر غزاي العتيبي  </t>
  </si>
  <si>
    <t xml:space="preserve">مسجد نورة  العجلان  </t>
  </si>
  <si>
    <t xml:space="preserve"> المسجد    الموقت  جامع العوده  </t>
  </si>
  <si>
    <t xml:space="preserve">   مسجد نورة حرم التويجري  </t>
  </si>
  <si>
    <t xml:space="preserve">   جامع طيبةالطيبة  </t>
  </si>
  <si>
    <t xml:space="preserve">   مسجد الهزاع  </t>
  </si>
  <si>
    <t xml:space="preserve">   مسجد اسواق العويس  </t>
  </si>
  <si>
    <t xml:space="preserve">   مسجد النفل  </t>
  </si>
  <si>
    <t xml:space="preserve">   مسجد فهيد المخلفي  </t>
  </si>
  <si>
    <t xml:space="preserve">   مسجد متعب الدعجاني  </t>
  </si>
  <si>
    <t xml:space="preserve">مسجد حي العريجاء  </t>
  </si>
  <si>
    <t xml:space="preserve">   جامع ابوبكر الصديق  </t>
  </si>
  <si>
    <t xml:space="preserve">مسجد حى  الشفاء  </t>
  </si>
  <si>
    <t xml:space="preserve">   مسجد أبي بكر الصديق  </t>
  </si>
  <si>
    <t xml:space="preserve">   مسجد      بن عساكر     </t>
  </si>
  <si>
    <t xml:space="preserve">   مسجد أنس  بن مالك  </t>
  </si>
  <si>
    <t xml:space="preserve">   مسجد حي النسيم  </t>
  </si>
  <si>
    <t xml:space="preserve">   مسجدالأمير سلطان     بن عبدالعزيز  </t>
  </si>
  <si>
    <t xml:space="preserve">   مسجد   النهضه  </t>
  </si>
  <si>
    <t xml:space="preserve">مسجد      القويز    بالبديعة  </t>
  </si>
  <si>
    <t xml:space="preserve">   مسجدسموالاميرمتعب بن عبدالعزيز  </t>
  </si>
  <si>
    <t xml:space="preserve">   مسجد جامع / حي الواحه  </t>
  </si>
  <si>
    <t xml:space="preserve">   وزارة     الشؤون    مسجد حي عرقه  </t>
  </si>
  <si>
    <t xml:space="preserve">   مسجد والدة الأمير تركي  </t>
  </si>
  <si>
    <t xml:space="preserve">   مسجد المطيري  </t>
  </si>
  <si>
    <t xml:space="preserve">   جامع الصديق  </t>
  </si>
  <si>
    <t xml:space="preserve">   مسجدابراهيم بن أدهم  </t>
  </si>
  <si>
    <t xml:space="preserve">   مسجد محمد الأمين  </t>
  </si>
  <si>
    <t xml:space="preserve">   مسجد ابراهيم المعمر  </t>
  </si>
  <si>
    <t xml:space="preserve">   مسجد جوزاء جدي الحريول  </t>
  </si>
  <si>
    <t xml:space="preserve">   مسـجد الشـيخ ناصر الشـثرى  </t>
  </si>
  <si>
    <t xml:space="preserve">   وزارةالشئون الاسلاميه مسجد  </t>
  </si>
  <si>
    <t xml:space="preserve">مسجد شبرا  </t>
  </si>
  <si>
    <t xml:space="preserve">   مسجد الاميرة دليل بنت عبدالرحمن  </t>
  </si>
  <si>
    <t xml:space="preserve">مسجد اسامة  سعد احمد آل  سليمان  </t>
  </si>
  <si>
    <t xml:space="preserve">مسجد      الريس     حي السباله  </t>
  </si>
  <si>
    <t xml:space="preserve">مسجد الرفيق  </t>
  </si>
  <si>
    <t xml:space="preserve">   مسجد ذات النطاقين  </t>
  </si>
  <si>
    <t xml:space="preserve">   مسجدحي الربيع ومرافقه  </t>
  </si>
  <si>
    <t xml:space="preserve">   مسجد الشلهوب  </t>
  </si>
  <si>
    <t xml:space="preserve">   مسجد المنار  </t>
  </si>
  <si>
    <t xml:space="preserve">   مسجد شرق الربوه  </t>
  </si>
  <si>
    <t xml:space="preserve">     مسجد      الغملاس  </t>
  </si>
  <si>
    <t xml:space="preserve">   مسجدالقادسيه  </t>
  </si>
  <si>
    <t xml:space="preserve">مسجد ال  الشيخ  </t>
  </si>
  <si>
    <t xml:space="preserve">مسجد غرب شبراء  </t>
  </si>
  <si>
    <t xml:space="preserve">     وزارة الشئون الاسلامية والاوقاف  </t>
  </si>
  <si>
    <t xml:space="preserve">   مسجدحي الوادي وسكن الامام والمؤذن  </t>
  </si>
  <si>
    <t xml:space="preserve">   مسجد الخويطر  </t>
  </si>
  <si>
    <t xml:space="preserve">   مسجد      سليمان    اليحي  </t>
  </si>
  <si>
    <t xml:space="preserve">   مسجد      حمد       الخريف  </t>
  </si>
  <si>
    <t xml:space="preserve">   مسجد الامير /نواف بن فيصل بن فهد  </t>
  </si>
  <si>
    <t xml:space="preserve">   مسجد الزبير بن العوام  </t>
  </si>
  <si>
    <t xml:space="preserve">   مسجد ذوالنورين  </t>
  </si>
  <si>
    <t xml:space="preserve">   مسجد / عبدالله العامرى  </t>
  </si>
  <si>
    <t xml:space="preserve">   مسجد العزيزية  </t>
  </si>
  <si>
    <t xml:space="preserve">   مسجد لبن  </t>
  </si>
  <si>
    <t xml:space="preserve">   مسجد الوهيبي  </t>
  </si>
  <si>
    <t xml:space="preserve">مسجد الشيخ محمد العمراني سكن  </t>
  </si>
  <si>
    <t xml:space="preserve">     مسجد      الطرباق  </t>
  </si>
  <si>
    <t xml:space="preserve">   مسجد السلامه بحى الصحافه  </t>
  </si>
  <si>
    <t xml:space="preserve">   مسجد العجيان  </t>
  </si>
  <si>
    <t xml:space="preserve">   جامع الملك عبدالعزيز  </t>
  </si>
  <si>
    <t xml:space="preserve">   مسجد حي القادسية  </t>
  </si>
  <si>
    <t xml:space="preserve">   جامع الصناعيه الثانيه  </t>
  </si>
  <si>
    <t xml:space="preserve">   مسجد سليمان محمد الجوير  </t>
  </si>
  <si>
    <t xml:space="preserve">   مسجد الملقا وبيتي الامام والمؤذن  </t>
  </si>
  <si>
    <t xml:space="preserve">   مسجد الروضه بحي العليا  </t>
  </si>
  <si>
    <t xml:space="preserve">   مسجد النور  </t>
  </si>
  <si>
    <t xml:space="preserve">مسجد / ابن كثير  </t>
  </si>
  <si>
    <t xml:space="preserve">   وزارة الشئون الاسلاميه جامع النور  </t>
  </si>
  <si>
    <t xml:space="preserve">   مسجد/ عمر بن عبدالعزيز  </t>
  </si>
  <si>
    <t xml:space="preserve">   مسجد الا ندلس  </t>
  </si>
  <si>
    <t xml:space="preserve">   وزارة الشئوؤن الاسلامية/مسجدالفاضل  </t>
  </si>
  <si>
    <t xml:space="preserve">مسجد بضاحية  العريجا  </t>
  </si>
  <si>
    <t xml:space="preserve">       مسجد  حافظ  رجب الحنبلي  </t>
  </si>
  <si>
    <t xml:space="preserve">   مسجد      احمد      القبس  </t>
  </si>
  <si>
    <t xml:space="preserve">   مسجد عبدالعزيز الغفيص  </t>
  </si>
  <si>
    <t xml:space="preserve">    مسجد      المقبل  </t>
  </si>
  <si>
    <t xml:space="preserve"> مسجد الأمير/فهد عبدالله بن عبدالرحمن  </t>
  </si>
  <si>
    <t xml:space="preserve">مسجد      عبدالله  بن رواحـــــه  </t>
  </si>
  <si>
    <t xml:space="preserve">   مسجد سعود الفالح واخوانه  </t>
  </si>
  <si>
    <t xml:space="preserve">   مسجد      حي        الجنادريه  </t>
  </si>
  <si>
    <t xml:space="preserve">-  مسجد بحي الشفاء  -العطاالله  </t>
  </si>
  <si>
    <t xml:space="preserve">   مسجد الدخيل  </t>
  </si>
  <si>
    <t xml:space="preserve">مسجدالاميره  موضي بنت  تركي  </t>
  </si>
  <si>
    <t xml:space="preserve">   مسجد حي الربيع وسكن الامام والمؤذ  </t>
  </si>
  <si>
    <t xml:space="preserve">مسجد حي بدر  </t>
  </si>
  <si>
    <t xml:space="preserve">   مسجد الامير مشعل بن عبدالعزيز  </t>
  </si>
  <si>
    <t xml:space="preserve">   مسجد ابراهيم السويلم  </t>
  </si>
  <si>
    <t xml:space="preserve">   مسجد  فهد محمد السعيدان  </t>
  </si>
  <si>
    <t xml:space="preserve">   مسجد 6 حي الجزيرة  </t>
  </si>
  <si>
    <t xml:space="preserve">   مسجدالشيخ الشقحاء  </t>
  </si>
  <si>
    <t xml:space="preserve">   مسجد عبدالله بن الزبير  </t>
  </si>
  <si>
    <t xml:space="preserve">   مسجد بحي الدار البيضاء  </t>
  </si>
  <si>
    <t xml:space="preserve">   مسجد العريني  </t>
  </si>
  <si>
    <t xml:space="preserve">مسجدشيخ  الاسلام  بن تيميه  </t>
  </si>
  <si>
    <t xml:space="preserve">   مسجد المهنا  </t>
  </si>
  <si>
    <t xml:space="preserve">   مسجد حى النزهــه  </t>
  </si>
  <si>
    <t xml:space="preserve">هيئة تطوير بوابة الدرعيه  </t>
  </si>
  <si>
    <t xml:space="preserve">مسجد وزاره  الشئون الاسلاميه  </t>
  </si>
  <si>
    <t xml:space="preserve">   مسجد الشيخ / عبدالعزيز بن باز  </t>
  </si>
  <si>
    <t xml:space="preserve">   مسجد اليسرى  </t>
  </si>
  <si>
    <t xml:space="preserve">   مسجدزيدبن ثابت /ابرهيم اليابس  </t>
  </si>
  <si>
    <t xml:space="preserve">   مسجدالنقير  </t>
  </si>
  <si>
    <t xml:space="preserve">   مسجد الا ميرة نورة بنت مشعل  </t>
  </si>
  <si>
    <t xml:space="preserve">   مسجدجامع حله العنوز  </t>
  </si>
  <si>
    <t xml:space="preserve">   صالة تفطير جامع الامير مشعل بعرقه  </t>
  </si>
  <si>
    <t xml:space="preserve">   مسجد الامام الذهبي  </t>
  </si>
  <si>
    <t xml:space="preserve">ﻤﺴﺎﺠﺩ ﺍﻟﺨﻤﺎﺴﻴﻥ  </t>
  </si>
  <si>
    <t xml:space="preserve">مسجد عبدالله الفوزان  </t>
  </si>
  <si>
    <t xml:space="preserve">مسجد الاميرمنصور بن عبد العزيز  </t>
  </si>
  <si>
    <t xml:space="preserve">   مسجد سعد عبدالرحمن المزروع  </t>
  </si>
  <si>
    <t xml:space="preserve">   مسجد محمد عبدالعزيز الرواف  </t>
  </si>
  <si>
    <t xml:space="preserve">   مسجد الشريف طراد الحارثي  </t>
  </si>
  <si>
    <t xml:space="preserve">   مسجد المغرازات  </t>
  </si>
  <si>
    <t xml:space="preserve">   مسجد      علي       د  </t>
  </si>
  <si>
    <t xml:space="preserve">مسجدالنعيم  </t>
  </si>
  <si>
    <t xml:space="preserve">مسجد السويدي  </t>
  </si>
  <si>
    <t xml:space="preserve">   مسجد حي المناخ /مؤسسة الحرمين  </t>
  </si>
  <si>
    <t xml:space="preserve">   مسجدتركي العساف بحي الازدهار  </t>
  </si>
  <si>
    <t xml:space="preserve">   مسجدالخزامى ( بحي الخزامى )  </t>
  </si>
  <si>
    <t xml:space="preserve">   مسجد وسكن بحي المونسية  </t>
  </si>
  <si>
    <t xml:space="preserve">   مسجدالحميدي الهقشاء  </t>
  </si>
  <si>
    <t xml:space="preserve">   مسجدالتقوي وبيتي الامام والمؤذن  </t>
  </si>
  <si>
    <t xml:space="preserve">   مسجد الريس   00  </t>
  </si>
  <si>
    <t xml:space="preserve">   مسجد      عبدالله      </t>
  </si>
  <si>
    <t xml:space="preserve">   مسجد محمد زيد الجويعد  </t>
  </si>
  <si>
    <t xml:space="preserve">   مسجد  ابو  ذر الغفاري  </t>
  </si>
  <si>
    <t xml:space="preserve">   مسجدعلي ابراهيم الحديثي  </t>
  </si>
  <si>
    <t xml:space="preserve">مسجد الحسين بن علي  </t>
  </si>
  <si>
    <t xml:space="preserve">   مسجد حى النور  </t>
  </si>
  <si>
    <t xml:space="preserve">   مسجد  حي اليرموك  </t>
  </si>
  <si>
    <t xml:space="preserve">مسجد شبراء  </t>
  </si>
  <si>
    <t xml:space="preserve">     مسجد      الشمسيه  </t>
  </si>
  <si>
    <t xml:space="preserve">مسجد حي الشفاء  </t>
  </si>
  <si>
    <t xml:space="preserve">   مسـجدمجمع اسـواق صالح الراجحى  </t>
  </si>
  <si>
    <t xml:space="preserve">   وزارة الشئون الاسلاميه مسجد النخيل  </t>
  </si>
  <si>
    <t xml:space="preserve">   مسجد ضاحية لبن  </t>
  </si>
  <si>
    <t xml:space="preserve">   مسجد خديجة بنت خويلد  </t>
  </si>
  <si>
    <t xml:space="preserve">   مسجد جامع العزيزية  </t>
  </si>
  <si>
    <t xml:space="preserve">   وزاراة الشئون الاسلامية والاوقاف  </t>
  </si>
  <si>
    <t xml:space="preserve">   مسجد التنعيم  </t>
  </si>
  <si>
    <t xml:space="preserve">   مسجد/نورة بنت صالح الغماس  </t>
  </si>
  <si>
    <t xml:space="preserve">   مسجد بن ملافخ  </t>
  </si>
  <si>
    <t xml:space="preserve">   مسجد باجد  </t>
  </si>
  <si>
    <t xml:space="preserve">   مسجد حي الروابي  </t>
  </si>
  <si>
    <t xml:space="preserve">   وزارة ألشئون ألاسلاميه ولاوقاف  </t>
  </si>
  <si>
    <t xml:space="preserve">   مسجد ام المؤمنين عائشه  </t>
  </si>
  <si>
    <t xml:space="preserve">   مسجد منيره الحميد  </t>
  </si>
  <si>
    <t xml:space="preserve">   مسجد صفين  </t>
  </si>
  <si>
    <t xml:space="preserve">مسجد بن سعيد  </t>
  </si>
  <si>
    <t xml:space="preserve">   مسجد فيصل الثاني  </t>
  </si>
  <si>
    <t xml:space="preserve">مسجد المنيع  بالبديعه  </t>
  </si>
  <si>
    <t xml:space="preserve"> مسجدالامير/سلطان بن عبدالعزيزال سعود  </t>
  </si>
  <si>
    <t xml:space="preserve">   مسجد الامام/ عبد الله بن المبارك  </t>
  </si>
  <si>
    <t xml:space="preserve">   مسجد المصيف  </t>
  </si>
  <si>
    <t xml:space="preserve">   جامع وبيتالاماموالمؤذن/الأميرةنورة  </t>
  </si>
  <si>
    <t xml:space="preserve">   مسجد أحمد بغلف  </t>
  </si>
  <si>
    <t xml:space="preserve">   مسجد / والدة ناصر بن سعد الدخيل  </t>
  </si>
  <si>
    <t xml:space="preserve">   مسجد اسكان حي الجزيرة  </t>
  </si>
  <si>
    <t xml:space="preserve">حصه سعود عبدالعزيز الربيعة  </t>
  </si>
  <si>
    <t xml:space="preserve">   مسجد  على شارع رقم 4  </t>
  </si>
  <si>
    <t xml:space="preserve">   مسجد فطيمة منصور العساف  </t>
  </si>
  <si>
    <t xml:space="preserve">   جامع التقي  </t>
  </si>
  <si>
    <t xml:space="preserve">   مسجد      عثمان     عفان  </t>
  </si>
  <si>
    <t xml:space="preserve">مسجد النمر / الشفا  </t>
  </si>
  <si>
    <t xml:space="preserve">   مسجد جامع العزيزيه  </t>
  </si>
  <si>
    <t xml:space="preserve">   مسجد طارق عبدالرحمن مراد  </t>
  </si>
  <si>
    <t xml:space="preserve">مسجد جامع حي الفواز  </t>
  </si>
  <si>
    <t xml:space="preserve">   مسجد ام القرى  </t>
  </si>
  <si>
    <t xml:space="preserve">   مسجد      ابراهيم   الشويعر  </t>
  </si>
  <si>
    <t xml:space="preserve">مسجد حمد  عبدالله    الموسى  </t>
  </si>
  <si>
    <t xml:space="preserve">   مسجد      الخلفاء      </t>
  </si>
  <si>
    <t xml:space="preserve">مسجدحى  غذوانه  </t>
  </si>
  <si>
    <t xml:space="preserve">   مسجد الخليفه  </t>
  </si>
  <si>
    <t xml:space="preserve">       مسجد   حي   الحمراء  </t>
  </si>
  <si>
    <t xml:space="preserve">   مسجد      الاميره    بنت عبدالله  </t>
  </si>
  <si>
    <t xml:space="preserve">   مسجد الثنيان  </t>
  </si>
  <si>
    <t xml:space="preserve">مسجد      علي       بن خميس  </t>
  </si>
  <si>
    <t xml:space="preserve">     مسجد قحصان محمد اليامي  </t>
  </si>
  <si>
    <t xml:space="preserve">مسجد ناصر العمار  </t>
  </si>
  <si>
    <t xml:space="preserve">   مسجد      عبدالعزيز    </t>
  </si>
  <si>
    <t xml:space="preserve">   مسجد/ حي الخليج  </t>
  </si>
  <si>
    <t xml:space="preserve">    مسجد حي الحمراءوسكن الا مام المؤ  </t>
  </si>
  <si>
    <t xml:space="preserve">   مسجدام الحمام الغربيه  </t>
  </si>
  <si>
    <t xml:space="preserve">مسجد      عبدالله    السعدون  </t>
  </si>
  <si>
    <t xml:space="preserve">   مسجد      عبدالرحمن السكن  </t>
  </si>
  <si>
    <t xml:space="preserve">         مسجد نبي الرحمه  </t>
  </si>
  <si>
    <t xml:space="preserve">   مسجد حي غرناطه  </t>
  </si>
  <si>
    <t xml:space="preserve">   مسجد الوسيدي  </t>
  </si>
  <si>
    <t xml:space="preserve">مسجد الاميرسلمان بن محمد  </t>
  </si>
  <si>
    <t xml:space="preserve">   مسجد/ عبدالله البقمي  </t>
  </si>
  <si>
    <t xml:space="preserve">   مسجد فهد علي الجميعة  </t>
  </si>
  <si>
    <t xml:space="preserve">مسجد غرب شارع    1 العريجاء  </t>
  </si>
  <si>
    <t xml:space="preserve">   مسجدعثمان العثمان  </t>
  </si>
  <si>
    <t xml:space="preserve">   مسجد حي غبيراء الجنوبي  </t>
  </si>
  <si>
    <t xml:space="preserve">مسجد بن رويشد حى  اليمامه  </t>
  </si>
  <si>
    <t xml:space="preserve">   مسجد ابراهيم الحصين ومرافقه  </t>
  </si>
  <si>
    <t xml:space="preserve">   مسجدبلال  </t>
  </si>
  <si>
    <t xml:space="preserve">   مسجد الزبير بن العوام    </t>
  </si>
  <si>
    <t xml:space="preserve">   مسجد بحى المصيف  </t>
  </si>
  <si>
    <t xml:space="preserve">   مسجدالخليل  </t>
  </si>
  <si>
    <t xml:space="preserve">مسجد بحي الحزم  </t>
  </si>
  <si>
    <t xml:space="preserve">   مسجد حمد عبدالعزيز العثيمين  </t>
  </si>
  <si>
    <t xml:space="preserve">   مسجدالشيخ /عبدالله سليمان المطلق  </t>
  </si>
  <si>
    <t xml:space="preserve">مسجد الاميره  /موضي السديري  </t>
  </si>
  <si>
    <t xml:space="preserve">   مسجدجامع شمال المربع  </t>
  </si>
  <si>
    <t xml:space="preserve">مسجدالفوارة  الجنوبي  </t>
  </si>
  <si>
    <t xml:space="preserve">   مسجدالامام الذهبى  </t>
  </si>
  <si>
    <t xml:space="preserve">   مسجد هيا الحسن ومرافقه بحي الفلاح  </t>
  </si>
  <si>
    <t xml:space="preserve">وزارة الشئون الاسلامية مسجد المرشد  </t>
  </si>
  <si>
    <t xml:space="preserve">   مسجد  طالبات المملكه  </t>
  </si>
  <si>
    <t xml:space="preserve">   مسجدالدار البيضاء  </t>
  </si>
  <si>
    <t xml:space="preserve">   مسجد صالح محمد الزغيبي  </t>
  </si>
  <si>
    <t xml:space="preserve">مسجد سارة  </t>
  </si>
  <si>
    <t xml:space="preserve">   مسجد      الامير     بن محمد  </t>
  </si>
  <si>
    <t xml:space="preserve">   مسجدنوره الصبيح ومرافقة  </t>
  </si>
  <si>
    <t xml:space="preserve">   مسجد     حي        اشبيليا  </t>
  </si>
  <si>
    <t xml:space="preserve">   مسجد الدار البيضاء  </t>
  </si>
  <si>
    <t xml:space="preserve">   مسجدابوسفيان  </t>
  </si>
  <si>
    <t xml:space="preserve">   مسجدحي التعاونومرافقه  </t>
  </si>
  <si>
    <t xml:space="preserve">   مسجد محمد تركي التركي  </t>
  </si>
  <si>
    <t xml:space="preserve">   مسجدابراهيم المفيريج و مرافقه  </t>
  </si>
  <si>
    <t xml:space="preserve">جامع الا مير محمد بن عبدالعزيز  </t>
  </si>
  <si>
    <t xml:space="preserve"> مسجدحىالنخيل الشئون الاسلاميه والاوقاف  </t>
  </si>
  <si>
    <t xml:space="preserve">   مسجد علي الجميعه  </t>
  </si>
  <si>
    <t xml:space="preserve">   مسجدشرقى الصالحيه  </t>
  </si>
  <si>
    <t xml:space="preserve">   مسجد      -         الصالحيه  </t>
  </si>
  <si>
    <t xml:space="preserve">        مسجد راشد المبارك  </t>
  </si>
  <si>
    <t xml:space="preserve">   مسـجد الراجحـي  </t>
  </si>
  <si>
    <t xml:space="preserve">المسجد الموقت بالدخل  المحدود  </t>
  </si>
  <si>
    <t xml:space="preserve">مسجد المجمع التجاري  /حراج  بن قاسم  </t>
  </si>
  <si>
    <t xml:space="preserve">   مسجد                السليس  </t>
  </si>
  <si>
    <t xml:space="preserve"> تحفيظ القرآن مسجد عبدالله اللحيدان  </t>
  </si>
  <si>
    <t xml:space="preserve">   مسجد اسواق بن دايل  </t>
  </si>
  <si>
    <t xml:space="preserve">مسجد سعد المالكى  </t>
  </si>
  <si>
    <t xml:space="preserve">   مسجد مصلح الحربي  </t>
  </si>
  <si>
    <t xml:space="preserve">   مسجد عبدالرحمن الخريف  </t>
  </si>
  <si>
    <t xml:space="preserve">   مسجد النخيل الغربي  </t>
  </si>
  <si>
    <t xml:space="preserve">   مسجد وسكن العصيمي  </t>
  </si>
  <si>
    <t xml:space="preserve">   مسجد سعد مناحي  </t>
  </si>
  <si>
    <t xml:space="preserve">   مسجد حي الجزيرة  </t>
  </si>
  <si>
    <t xml:space="preserve">مسجد      00        ابو هريره  </t>
  </si>
  <si>
    <t xml:space="preserve">   مسجد زيد ابن الارقم  </t>
  </si>
  <si>
    <t xml:space="preserve">   مسجد حصة بنت صالح العلى السالم  </t>
  </si>
  <si>
    <t xml:space="preserve">   جامع عبدالله المبيريك  </t>
  </si>
  <si>
    <t xml:space="preserve">وزارة     الشؤن     مسجد    الف  </t>
  </si>
  <si>
    <t xml:space="preserve">   مسجد الامير سلطان بن عبد العزيز  </t>
  </si>
  <si>
    <t xml:space="preserve">   مسجد حى المرسلات  </t>
  </si>
  <si>
    <t xml:space="preserve"> 0 مسجد      ال  كريديس  </t>
  </si>
  <si>
    <t xml:space="preserve">   مسجد جامع بن عبدالوهاب  </t>
  </si>
  <si>
    <t xml:space="preserve">   جامع الهجره  </t>
  </si>
  <si>
    <t xml:space="preserve">   مسجد الاميره هياء بنت عبدالعزيز  </t>
  </si>
  <si>
    <t xml:space="preserve">مسجد الحمادى  </t>
  </si>
  <si>
    <t xml:space="preserve">جامع      فاطمه      الحمدان  </t>
  </si>
  <si>
    <t xml:space="preserve">     مسجدالحبيب  </t>
  </si>
  <si>
    <t xml:space="preserve">         مسجد الصالح بحي الوادي  </t>
  </si>
  <si>
    <t xml:space="preserve">   جامع      الغزي     /  </t>
  </si>
  <si>
    <t xml:space="preserve">   مسجد الامام احمد بن حنبل  </t>
  </si>
  <si>
    <t xml:space="preserve">مسجدام  خالد  </t>
  </si>
  <si>
    <t xml:space="preserve">   مسجد جامع الفداء  </t>
  </si>
  <si>
    <t xml:space="preserve">   مسجد الحمودي  </t>
  </si>
  <si>
    <t xml:space="preserve">   مسجد خليل السبعان  </t>
  </si>
  <si>
    <t xml:space="preserve">   مسجد أم عبدالعزيز  </t>
  </si>
  <si>
    <t xml:space="preserve">مسجد النميلات  </t>
  </si>
  <si>
    <t xml:space="preserve">   مسجد زيد بن ثابت  </t>
  </si>
  <si>
    <t xml:space="preserve">مسجدالرويضة بالسبالة (حلة عبيدالسهو  </t>
  </si>
  <si>
    <t xml:space="preserve">   مسجد محمد المرزوق  </t>
  </si>
  <si>
    <t xml:space="preserve">   مسجد عبدالعزيز حي السلام  </t>
  </si>
  <si>
    <t xml:space="preserve">   مسجد شمال حى الرحمانيه  </t>
  </si>
  <si>
    <t xml:space="preserve">مسجد      صناعية  الجود بحي الشفا  </t>
  </si>
  <si>
    <t xml:space="preserve">   مسجد/عقبه بن نافع  </t>
  </si>
  <si>
    <t xml:space="preserve">   مسجد      مدعج      السبيعي  </t>
  </si>
  <si>
    <t xml:space="preserve">   مسجد القادسيه  </t>
  </si>
  <si>
    <t xml:space="preserve">     مسجد الفوزان و سكن امام و مؤذن  </t>
  </si>
  <si>
    <t xml:space="preserve">   مسجدحي الوادي  </t>
  </si>
  <si>
    <t xml:space="preserve">   مسجد حي  القادسيه  </t>
  </si>
  <si>
    <t xml:space="preserve">   مسجد احمد بن حنبل  </t>
  </si>
  <si>
    <t xml:space="preserve">   مسجد حي الياسمين  </t>
  </si>
  <si>
    <t xml:space="preserve">   مسجدالمورقي مع سكن الامام والمؤذن  </t>
  </si>
  <si>
    <t xml:space="preserve">مسجد مريم  بنت  عبد  الله  بن  حسن  </t>
  </si>
  <si>
    <t xml:space="preserve">   مسجد الايمان   بالسلي  </t>
  </si>
  <si>
    <t xml:space="preserve">   مسجد عدي بن حاتم - رضي الله عنه  </t>
  </si>
  <si>
    <t xml:space="preserve">   مسجد      زياد      وزوجته عتقاء  </t>
  </si>
  <si>
    <t xml:space="preserve">   مسجدالهاجرى  </t>
  </si>
  <si>
    <t xml:space="preserve">   مسجد / محمد بن صالح العذل  </t>
  </si>
  <si>
    <t xml:space="preserve">   مسجد قرطبه  </t>
  </si>
  <si>
    <t xml:space="preserve">   مسجدمحمديوسف المصري  </t>
  </si>
  <si>
    <t xml:space="preserve">مسجد / محمد العريفي  </t>
  </si>
  <si>
    <t xml:space="preserve">   مسجدمحمد بن واسع  </t>
  </si>
  <si>
    <t xml:space="preserve">   مسجد الأمير سلمان  </t>
  </si>
  <si>
    <t xml:space="preserve">   مسجد  السليمانيه  </t>
  </si>
  <si>
    <t xml:space="preserve">   مسجدالغفيص  </t>
  </si>
  <si>
    <t xml:space="preserve">مسجد المروه  </t>
  </si>
  <si>
    <t xml:space="preserve">   وزارةالشؤون الاسلامية مسجد و سكن  </t>
  </si>
  <si>
    <t xml:space="preserve">   مسجدناصرابراهيم التمامي  </t>
  </si>
  <si>
    <t xml:space="preserve">مسجد  /سعد بن ابي وقاص  </t>
  </si>
  <si>
    <t xml:space="preserve">   مسجد وسكن السلطان  </t>
  </si>
  <si>
    <t xml:space="preserve">   مسجد محمد ال شيخ  </t>
  </si>
  <si>
    <t xml:space="preserve">   مسجد الهدى  </t>
  </si>
  <si>
    <t xml:space="preserve">   مسجد الاميره قماشه  </t>
  </si>
  <si>
    <t xml:space="preserve">  مسجد الأميرة الجواهر بنت فيصل سعود  </t>
  </si>
  <si>
    <t xml:space="preserve">   مسجد الرشيد  </t>
  </si>
  <si>
    <t xml:space="preserve">        مسجد ومدرسة سارة الحميزي  </t>
  </si>
  <si>
    <t xml:space="preserve">    مسجد      الشيخ      الشثري  </t>
  </si>
  <si>
    <t xml:space="preserve">   مسجد محمد السدحان  </t>
  </si>
  <si>
    <t xml:space="preserve">مسجد حى  بدر  </t>
  </si>
  <si>
    <t xml:space="preserve">مسجد الامير/ محمد بن عبدالرحمن  </t>
  </si>
  <si>
    <t xml:space="preserve">   مسجد حي  الخليج  </t>
  </si>
  <si>
    <t xml:space="preserve">المسجدالموءقت حى  الزهرة  </t>
  </si>
  <si>
    <t xml:space="preserve">   مسجدالحسن بن على بن ابى طالب  </t>
  </si>
  <si>
    <t xml:space="preserve">   مسجد جنوب بندةالعلياء  </t>
  </si>
  <si>
    <t xml:space="preserve">   مسجد جزاء ثنيان  العتيبي  </t>
  </si>
  <si>
    <t xml:space="preserve">   مسجدوالدةعبدالله المطيري  </t>
  </si>
  <si>
    <t xml:space="preserve">   مسجد ابوبكر الصديق  </t>
  </si>
  <si>
    <t xml:space="preserve">   مسجد حي الندى  </t>
  </si>
  <si>
    <t xml:space="preserve">   مسجدالزهرة حي المنار  </t>
  </si>
  <si>
    <t xml:space="preserve">مسجد      جامع      السويدي  </t>
  </si>
  <si>
    <t xml:space="preserve">   مسجد وسكن صالح الخليفه  </t>
  </si>
  <si>
    <t xml:space="preserve">مسجد سعود الزير  </t>
  </si>
  <si>
    <t xml:space="preserve">   مسجد حي السلي  </t>
  </si>
  <si>
    <t xml:space="preserve">   المسجد الشمالى الشرقى  </t>
  </si>
  <si>
    <t xml:space="preserve">   مسجد عبدالله الجعيثن  </t>
  </si>
  <si>
    <t xml:space="preserve">0    مسجد      الرومي  </t>
  </si>
  <si>
    <t xml:space="preserve">مسجدال  سويلم  </t>
  </si>
  <si>
    <t xml:space="preserve">مسجد محمد الكثيرى  </t>
  </si>
  <si>
    <t xml:space="preserve">مسجدالقميعة بجاورالمكتبة الوطنية  </t>
  </si>
  <si>
    <t xml:space="preserve">خدمات مسجدالامير متعب بن عبدالله آل سعود  </t>
  </si>
  <si>
    <t xml:space="preserve">   جامع السحيباني  </t>
  </si>
  <si>
    <t xml:space="preserve">مسجد الدقسي  </t>
  </si>
  <si>
    <t xml:space="preserve">   مسجد فوزان محمد الفوزان  </t>
  </si>
  <si>
    <t xml:space="preserve">   مسجد الغفيلي  </t>
  </si>
  <si>
    <t xml:space="preserve">0    مسجد      الشعلان  </t>
  </si>
  <si>
    <t xml:space="preserve">   وزارةالشئون الاسلامية-مسجدالعقيلي  </t>
  </si>
  <si>
    <t xml:space="preserve">مسجد      موضى       بن سعيدان  </t>
  </si>
  <si>
    <t xml:space="preserve">   مسجد عوده العبدالله العوده  </t>
  </si>
  <si>
    <t xml:space="preserve">مسجد حي نمار  </t>
  </si>
  <si>
    <t xml:space="preserve">   مسجد/عبدالله بن سعود  </t>
  </si>
  <si>
    <t xml:space="preserve">مسجد  حي الحزم  </t>
  </si>
  <si>
    <t xml:space="preserve">مسجدالمرزوقي      حي الحزم  </t>
  </si>
  <si>
    <t xml:space="preserve">مسجد الحباب  </t>
  </si>
  <si>
    <t xml:space="preserve">   مسجد البابطين  </t>
  </si>
  <si>
    <t xml:space="preserve">   مسجد الأمير سلطان بن عبدالعزيز  </t>
  </si>
  <si>
    <t xml:space="preserve">00  مسجدالمديميغ  </t>
  </si>
  <si>
    <t xml:space="preserve">   مسجد / عبدالله ال براهيم  </t>
  </si>
  <si>
    <t xml:space="preserve">   مسجدوالدة سعد الفالح واخوانه  </t>
  </si>
  <si>
    <t xml:space="preserve">   مسجدالتقوى  </t>
  </si>
  <si>
    <t xml:space="preserve">مسجد الشيخ  عبدالله  الحجي مع السكن  </t>
  </si>
  <si>
    <t xml:space="preserve">   مسجد حمود ابراهيم الذياب  </t>
  </si>
  <si>
    <t xml:space="preserve">   مسجد الروابي و سكن الامام والمؤذن  </t>
  </si>
  <si>
    <t xml:space="preserve">      مسجد      القاسم  </t>
  </si>
  <si>
    <t xml:space="preserve">مسجد / حي المصانع  </t>
  </si>
  <si>
    <t xml:space="preserve">   مسجد      ابن          </t>
  </si>
  <si>
    <t xml:space="preserve">   مسجد عبدالرحمن بن عوف  </t>
  </si>
  <si>
    <t xml:space="preserve">مسجد حي السويدي  </t>
  </si>
  <si>
    <t xml:space="preserve">   مسجد جامع الراجحي  </t>
  </si>
  <si>
    <t xml:space="preserve">   مسجد      انس     بن مالك  </t>
  </si>
  <si>
    <t xml:space="preserve">   مسجد الامام الالباني  </t>
  </si>
  <si>
    <t xml:space="preserve">مسجدالراجحى  </t>
  </si>
  <si>
    <t xml:space="preserve">   مسجدعثمان بن عفان بحي العقيق  </t>
  </si>
  <si>
    <t xml:space="preserve">   مسجد غاتر تحسين الفهد  </t>
  </si>
  <si>
    <t xml:space="preserve">مسجد وضحى  السهلي  </t>
  </si>
  <si>
    <t xml:space="preserve">   مسجدمنصور  </t>
  </si>
  <si>
    <t xml:space="preserve">   مسجد بر الوالدين  </t>
  </si>
  <si>
    <t xml:space="preserve">مسجد المخطط2 بالبديعه  </t>
  </si>
  <si>
    <t xml:space="preserve">   مسجد الرومي  </t>
  </si>
  <si>
    <t xml:space="preserve">   مسجد كيلو 3 بالنسيم(مسجد التوحيد  </t>
  </si>
  <si>
    <t xml:space="preserve">   مسجد حى الروابى  </t>
  </si>
  <si>
    <t xml:space="preserve">مسجد محمد الفاتح  </t>
  </si>
  <si>
    <t xml:space="preserve">   مسجد المعيذر  </t>
  </si>
  <si>
    <t xml:space="preserve">   مسجد الخليج الشرقي  </t>
  </si>
  <si>
    <t xml:space="preserve">   مسجد شمال غرب العاب الحكير  </t>
  </si>
  <si>
    <t xml:space="preserve">   مسجد/ سليمان العبود  </t>
  </si>
  <si>
    <t xml:space="preserve">   مسجدمحمدالفاتح  </t>
  </si>
  <si>
    <t xml:space="preserve">مسجد/حي الشفا  </t>
  </si>
  <si>
    <t xml:space="preserve">   مسجدالعثمان   </t>
  </si>
  <si>
    <t xml:space="preserve">   مسجد الازدهار  </t>
  </si>
  <si>
    <t xml:space="preserve">مسجد جامع  ام  سليم  </t>
  </si>
  <si>
    <t xml:space="preserve">   مسجدشاهه  </t>
  </si>
  <si>
    <t xml:space="preserve">   مسجد الزغيبي  </t>
  </si>
  <si>
    <t xml:space="preserve">              مسجد وسكن  حي الحمراء  </t>
  </si>
  <si>
    <t xml:space="preserve">   مسجدمعهد الاداره العامه  </t>
  </si>
  <si>
    <t xml:space="preserve">8المسجدالموقتبالدخل  المحدودمخطط  </t>
  </si>
  <si>
    <t xml:space="preserve">مسجد/ حبيب  بن زيد  </t>
  </si>
  <si>
    <t xml:space="preserve">مسجدالعقيلى  </t>
  </si>
  <si>
    <t xml:space="preserve">مسجد مصعب  بن عمير/ مع سكن  </t>
  </si>
  <si>
    <t xml:space="preserve">مسجد /طريق  الملك  فهد  </t>
  </si>
  <si>
    <t xml:space="preserve">مسجد      ابو بكر الصديق  </t>
  </si>
  <si>
    <t xml:space="preserve">مسجدالفاروق  </t>
  </si>
  <si>
    <t xml:space="preserve">   مسجد/ منيره محمد العبدالقادر  </t>
  </si>
  <si>
    <t xml:space="preserve">   مسجد الخشمان  </t>
  </si>
  <si>
    <t xml:space="preserve">مسجد السبعان /حي منفوحة  </t>
  </si>
  <si>
    <t xml:space="preserve">   مسجدالرميح  </t>
  </si>
  <si>
    <t xml:space="preserve">   مسجد الجزيرة  </t>
  </si>
  <si>
    <t xml:space="preserve">   مسجد / منيرة بنت ناصر  </t>
  </si>
  <si>
    <t xml:space="preserve">   مسجد عبدالله الراجحي  </t>
  </si>
  <si>
    <t xml:space="preserve">   مسجدالجامع الجديدبالملز  </t>
  </si>
  <si>
    <t xml:space="preserve">مسجد الوالديـــــــن  </t>
  </si>
  <si>
    <t xml:space="preserve">مسجدالحبونيه  الاوسط  </t>
  </si>
  <si>
    <t xml:space="preserve">   مسجد السلام  </t>
  </si>
  <si>
    <t xml:space="preserve">   مسجد الصحابة بحي اشبيليا  </t>
  </si>
  <si>
    <t xml:space="preserve">مسجد ميدان عليشه  </t>
  </si>
  <si>
    <t xml:space="preserve">   مسجد النسيم  </t>
  </si>
  <si>
    <t xml:space="preserve">   اوقاف الاا ال  </t>
  </si>
  <si>
    <t xml:space="preserve"> وزارة الشئون الاسلامية والاوقاف(مسجد)  </t>
  </si>
  <si>
    <t xml:space="preserve">مسجدبن مغيثر  </t>
  </si>
  <si>
    <t xml:space="preserve">مسجد محمد العلي  </t>
  </si>
  <si>
    <t xml:space="preserve">    مسجد وادي لبن الا ول  </t>
  </si>
  <si>
    <t xml:space="preserve"> مسجد صحارى بلسى /خلف فندق صلاح الدين  </t>
  </si>
  <si>
    <t xml:space="preserve">      مسجد   محمد   صالح    العتيبي  </t>
  </si>
  <si>
    <t xml:space="preserve">مسجد الهدى  </t>
  </si>
  <si>
    <t xml:space="preserve">   مسجد / الفاروق  </t>
  </si>
  <si>
    <t xml:space="preserve">   مسجد/علوشى السبيعى  </t>
  </si>
  <si>
    <t xml:space="preserve">مسجد قرطبه  </t>
  </si>
  <si>
    <t xml:space="preserve">   مسجد سالم عبدالرحمن السالم  </t>
  </si>
  <si>
    <t xml:space="preserve">   مسجد محمد الفصيم  </t>
  </si>
  <si>
    <t xml:space="preserve">   مسجد شرق حي الخليج  </t>
  </si>
  <si>
    <t xml:space="preserve">   مسجد المغرزات  </t>
  </si>
  <si>
    <t xml:space="preserve">مسجدوالدة  موسى       القباع  </t>
  </si>
  <si>
    <t xml:space="preserve">مسجد المقصب  </t>
  </si>
  <si>
    <t xml:space="preserve">      مسجد      التركي  </t>
  </si>
  <si>
    <t xml:space="preserve">   مسجد الأندلس  </t>
  </si>
  <si>
    <t xml:space="preserve">مسجد عبدالرحمن الداخل  </t>
  </si>
  <si>
    <t xml:space="preserve">   مسجد      الرضوان   الرضوان  </t>
  </si>
  <si>
    <t xml:space="preserve">   مسجد عثمان بن عفان  </t>
  </si>
  <si>
    <t xml:space="preserve">   مسجد عمربن عبدالعزيزومرافقه  </t>
  </si>
  <si>
    <t xml:space="preserve">مسجد بحي بدر (عبدالمجيدال  الشيخ  </t>
  </si>
  <si>
    <t xml:space="preserve">   مسجد الخالديه /بالدرعيه  </t>
  </si>
  <si>
    <t xml:space="preserve">   مسجدالشيخ / عبدالله النصيبى  </t>
  </si>
  <si>
    <t xml:space="preserve">   مسجد ابراهيم مسند المسند  </t>
  </si>
  <si>
    <t xml:space="preserve">   مسجدالعزيزيه  </t>
  </si>
  <si>
    <t xml:space="preserve">  مسجدالاميرعبدالرحمن العبدالله فيصل  </t>
  </si>
  <si>
    <t xml:space="preserve">   مسجد عبداللطيف المطلق  </t>
  </si>
  <si>
    <t xml:space="preserve">   مسجد الاحسان  </t>
  </si>
  <si>
    <t xml:space="preserve">   مسجدام عبدالله الصانع  </t>
  </si>
  <si>
    <t xml:space="preserve">   مسجد  ابراهيم الوزان  </t>
  </si>
  <si>
    <t xml:space="preserve">   مسـجـد جامع العباسي  </t>
  </si>
  <si>
    <t xml:space="preserve">   مسجد      علي       ال الشيخ  </t>
  </si>
  <si>
    <t xml:space="preserve">   مسجد      حي        اشبيليا  </t>
  </si>
  <si>
    <t xml:space="preserve">   مسجد صالح الفوزان  </t>
  </si>
  <si>
    <t xml:space="preserve">   مسجد سامح  (مصعب  بن  </t>
  </si>
  <si>
    <t xml:space="preserve">   مسجد اسكان الجزيره  </t>
  </si>
  <si>
    <t xml:space="preserve">مسجدابراهيم  السبر ووالدية  وزوجتة  </t>
  </si>
  <si>
    <t xml:space="preserve">   مسجد الامام الشافعي  </t>
  </si>
  <si>
    <t xml:space="preserve">مسجد بن فريان  </t>
  </si>
  <si>
    <t xml:space="preserve">   مسجدالباتلي بحي الندى ومرافقه  </t>
  </si>
  <si>
    <t xml:space="preserve"> وزارةالشئون الاسلاميه / مسجد التيسير  </t>
  </si>
  <si>
    <t xml:space="preserve">   مسجد ناصر الدهيم  </t>
  </si>
  <si>
    <t xml:space="preserve">   مسجد ع المعمري  </t>
  </si>
  <si>
    <t xml:space="preserve">   مسجد جامع السلي  </t>
  </si>
  <si>
    <t xml:space="preserve">ﺍﻭﻗﺎﻑ ﻭﻤﺴﺎﺠﺩ ( )  </t>
  </si>
  <si>
    <t xml:space="preserve">مسجد  محمد فهد   الحكير  </t>
  </si>
  <si>
    <t xml:space="preserve">   مسجد ابناء عبدالله بن عبدالرحمن  </t>
  </si>
  <si>
    <t xml:space="preserve">   مسجد حي الملز  </t>
  </si>
  <si>
    <t xml:space="preserve">   مـسـجـد الـتـقـو ى  </t>
  </si>
  <si>
    <t xml:space="preserve">   مسجد حمزه الحمزه  </t>
  </si>
  <si>
    <t xml:space="preserve">مسجد /حي العوده  بالسويدي  </t>
  </si>
  <si>
    <t xml:space="preserve">مسجد ابناء احمد سالم باسودان  </t>
  </si>
  <si>
    <t xml:space="preserve"> مسجدالاميره الجوهره بنت سعود الكبير  </t>
  </si>
  <si>
    <t xml:space="preserve">   مسجد الشريم  </t>
  </si>
  <si>
    <t xml:space="preserve">   مسجد مسفر العتيبي  </t>
  </si>
  <si>
    <t xml:space="preserve">مسجد سلطانه  </t>
  </si>
  <si>
    <t xml:space="preserve">مسجد الشفاء ك 6بجوارمعرضى  الهملان  </t>
  </si>
  <si>
    <t xml:space="preserve">مسجد      جامع      حي بدر  </t>
  </si>
  <si>
    <t xml:space="preserve">    مسجدصالح الصانع  </t>
  </si>
  <si>
    <t xml:space="preserve">مسجد /الشيخ  محمد بن عبدالوهاب  </t>
  </si>
  <si>
    <t xml:space="preserve">   مسجد      جنوب      القدس  </t>
  </si>
  <si>
    <t xml:space="preserve">   مسجد الشعبه بشارع الامير عبدالله  </t>
  </si>
  <si>
    <t xml:space="preserve">   مسجد اسكان رقم 2  </t>
  </si>
  <si>
    <t xml:space="preserve">   جامع الشيخ محمد الدغيثر  </t>
  </si>
  <si>
    <t xml:space="preserve">   وزارةالشئون الاسلامية و الاوقاف  </t>
  </si>
  <si>
    <t xml:space="preserve">وزاره      الشئون    جامع الحزم  </t>
  </si>
  <si>
    <t xml:space="preserve">   مسجد فهد المسند  </t>
  </si>
  <si>
    <t xml:space="preserve">   مسجد الهزاع   </t>
  </si>
  <si>
    <t xml:space="preserve">   مسجد / محمد صالح الرويلي  </t>
  </si>
  <si>
    <t xml:space="preserve">   مسجد سعيد مهدى الغامدى  </t>
  </si>
  <si>
    <t xml:space="preserve">   مسجد المغامس وسكن الامام والمؤذن  </t>
  </si>
  <si>
    <t xml:space="preserve">   مسجد      حى           </t>
  </si>
  <si>
    <t xml:space="preserve">مسجد / الثنيان  </t>
  </si>
  <si>
    <t xml:space="preserve">   مسجد لولوهبنت سليمان المديهيم  </t>
  </si>
  <si>
    <t xml:space="preserve">   مسجد سليمان العواد  </t>
  </si>
  <si>
    <t xml:space="preserve">   المسجد التابع للوزارة  </t>
  </si>
  <si>
    <t xml:space="preserve">مسجدالشويعر  </t>
  </si>
  <si>
    <t xml:space="preserve">   مسجد      وزارة     الاسلا ميةوالاو  </t>
  </si>
  <si>
    <t xml:space="preserve">الشؤون الخاصة لخادم الحرمين الشريفين  </t>
  </si>
  <si>
    <t xml:space="preserve">   مسجدسعودالكبير  </t>
  </si>
  <si>
    <t xml:space="preserve">   مسجد حي  الصحافه  </t>
  </si>
  <si>
    <t xml:space="preserve">   مسجد      صالح      العيدان  </t>
  </si>
  <si>
    <t xml:space="preserve">   جامع عمر المختار  </t>
  </si>
  <si>
    <t xml:space="preserve">   مسجد السلي  </t>
  </si>
  <si>
    <t xml:space="preserve">وزارة      الشئون    مسجد  </t>
  </si>
  <si>
    <t xml:space="preserve">   مسجد الصالحيه الشمالى  </t>
  </si>
  <si>
    <t xml:space="preserve">   وزارة الشئؤن الاسلاميه مسجد الدار  </t>
  </si>
  <si>
    <t xml:space="preserve">   مسجد حي قرطبة    </t>
  </si>
  <si>
    <t xml:space="preserve">   مسجد رقم 16  </t>
  </si>
  <si>
    <t xml:space="preserve">   مسجد هاله بنت علي الجميعه  </t>
  </si>
  <si>
    <t xml:space="preserve">   وزارة     الشئون    والاوقاف  </t>
  </si>
  <si>
    <t xml:space="preserve">   مسجد الشويعى  </t>
  </si>
  <si>
    <t xml:space="preserve">   مسجد      محمد      الموسى  </t>
  </si>
  <si>
    <t xml:space="preserve">   مسجدالجزيره  </t>
  </si>
  <si>
    <t xml:space="preserve">مسجد سعود الدوسري  </t>
  </si>
  <si>
    <t xml:space="preserve">مسجد الجار الله  </t>
  </si>
  <si>
    <t xml:space="preserve"> مسجد/الاميرفيصل بن سلطان بن عبدالعزي  </t>
  </si>
  <si>
    <t xml:space="preserve">   مسجد العقيل  </t>
  </si>
  <si>
    <t xml:space="preserve">   مسجد محمد عبدالله العميل  </t>
  </si>
  <si>
    <t xml:space="preserve">   مسجد ابن عثيمين  </t>
  </si>
  <si>
    <t xml:space="preserve">   مسجد كيلو 4 بالنسيم  </t>
  </si>
  <si>
    <t xml:space="preserve">   مسجد حي السعادة  </t>
  </si>
  <si>
    <t xml:space="preserve">      وزارة الشئون الاسلاميةوالاوقاف  </t>
  </si>
  <si>
    <t xml:space="preserve">مسجد مؤقت  بضاحية  العريجا  </t>
  </si>
  <si>
    <t xml:space="preserve">   مسجد الفردوس  </t>
  </si>
  <si>
    <t xml:space="preserve">   مسجدالاميرمشعل  </t>
  </si>
  <si>
    <t xml:space="preserve">   مسجدالنهضه  </t>
  </si>
  <si>
    <t xml:space="preserve">   مسجد الشلفان  </t>
  </si>
  <si>
    <t xml:space="preserve">   مسجد عوض الحربي  </t>
  </si>
  <si>
    <t xml:space="preserve">   مسجد علي الحوشاني  </t>
  </si>
  <si>
    <t xml:space="preserve">مسجدالخراشي  </t>
  </si>
  <si>
    <t xml:space="preserve">   مسجد      ركيب      الكود  </t>
  </si>
  <si>
    <t xml:space="preserve">   مسجد/ابو بكرالصديق  </t>
  </si>
  <si>
    <t xml:space="preserve">   مسجد النور  بحي لبن  </t>
  </si>
  <si>
    <t xml:space="preserve">   مسجد ابن سعيدان  </t>
  </si>
  <si>
    <t xml:space="preserve">   مسجد/ عبدالله ابن حمد بن سليم  </t>
  </si>
  <si>
    <t xml:space="preserve">   مسجد ام الحمام الشرقيه  </t>
  </si>
  <si>
    <t xml:space="preserve">مسجدالاميرة  الجوهرة  بنت تركى  </t>
  </si>
  <si>
    <t xml:space="preserve">   مسجدالوادي ومرافقه  </t>
  </si>
  <si>
    <t xml:space="preserve">0000     مسجد      التقوى  </t>
  </si>
  <si>
    <t xml:space="preserve">   مسجدسعودالمغيصيب  </t>
  </si>
  <si>
    <t xml:space="preserve">   مسجد الشيخ  محمد صالح العثيمين  </t>
  </si>
  <si>
    <t xml:space="preserve">   مسجد حي  الندوة  </t>
  </si>
  <si>
    <t xml:space="preserve">   مسجدحى المنصورة  </t>
  </si>
  <si>
    <t xml:space="preserve">   مسجد حي المنار  </t>
  </si>
  <si>
    <t xml:space="preserve">   مسجد / بدرابراهيم السعيدان  </t>
  </si>
  <si>
    <t xml:space="preserve">   مسجد عبدالعزيز العتي بظهرة لبن  </t>
  </si>
  <si>
    <t xml:space="preserve"> وزارةالشئون الاسلاميةوالآوقاف ( مسجد )  </t>
  </si>
  <si>
    <t xml:space="preserve">وزارة الشئون الاسلامية مسجد المقيطيب  </t>
  </si>
  <si>
    <t xml:space="preserve">   مسجد محمد الحبيب  </t>
  </si>
  <si>
    <t xml:space="preserve">      مسجدالشيخ/عبدالرحمن بن حسن بن  </t>
  </si>
  <si>
    <t xml:space="preserve">وزاره      الشئون    مسجد الدريهم  </t>
  </si>
  <si>
    <t xml:space="preserve">   مسجد سليمان الحمالي-بحي الياسمين  </t>
  </si>
  <si>
    <t xml:space="preserve">   مسجد      ابن ماجد  </t>
  </si>
  <si>
    <t xml:space="preserve">مسجد راشد محمد بن دايل  </t>
  </si>
  <si>
    <t xml:space="preserve">   مسجدال مرزوق  </t>
  </si>
  <si>
    <t xml:space="preserve">مسجد  /  السويدى  </t>
  </si>
  <si>
    <t xml:space="preserve">مسجد الحزم  وزاره  الشئون الاسلاميه  </t>
  </si>
  <si>
    <t xml:space="preserve">   مسجد منيرة السلولي /حي غرناطة  </t>
  </si>
  <si>
    <t xml:space="preserve">   مسجدحي  اشبيليا   الا مام والمؤذن  </t>
  </si>
  <si>
    <t xml:space="preserve">مسجد بن خرعان بالشفاء  </t>
  </si>
  <si>
    <t xml:space="preserve">   مسجد عبدالله ابراهيم النقيثيان  </t>
  </si>
  <si>
    <t xml:space="preserve">مسجد      حي        نمار  </t>
  </si>
  <si>
    <t xml:space="preserve">   مسجد جنوب الروضه  </t>
  </si>
  <si>
    <t xml:space="preserve">مسجد الموسى  </t>
  </si>
  <si>
    <t xml:space="preserve">مسجدالامام  ابن الصلاح  </t>
  </si>
  <si>
    <t xml:space="preserve">مسجد الشيخ  عبدالعزيز الموسى  </t>
  </si>
  <si>
    <t xml:space="preserve">مسجد      قتيبة      بن مسلم  </t>
  </si>
  <si>
    <t xml:space="preserve">   مسجدالشيخ محمدبن عبدالوهاب  </t>
  </si>
  <si>
    <t xml:space="preserve">ﺍﻭﻗﺎﻑ ﻭﻤﺴﺎﺠﺩ ﺍﻟﻤﺯﺍﺤﻤﻴﻩ  </t>
  </si>
  <si>
    <t xml:space="preserve">   مسجد فهيد دعيج المطيري ومرافقه  </t>
  </si>
  <si>
    <t xml:space="preserve">   مسجد/والدة نهار فيصل المنديل  </t>
  </si>
  <si>
    <t xml:space="preserve">   مسجد محمد بن ماجد  </t>
  </si>
  <si>
    <t xml:space="preserve">مسجد حي الدريهميه /المنجم  </t>
  </si>
  <si>
    <t xml:space="preserve">   مسجد جامع خديجة بنت خويلد  </t>
  </si>
  <si>
    <t xml:space="preserve">   مسجد الامام أحمد بن حنبل  </t>
  </si>
  <si>
    <t xml:space="preserve">   مسجد  الشئون الاسلاميةوالاوقاف  </t>
  </si>
  <si>
    <t xml:space="preserve">   مسجد عقبه بن نافع  </t>
  </si>
  <si>
    <t xml:space="preserve">   مسجد سعيد القحطانى / حى الوزارات  </t>
  </si>
  <si>
    <t xml:space="preserve">   مسجد سليمان الحصيني  </t>
  </si>
  <si>
    <t xml:space="preserve">   مسجدالاحمري ومرافقه بظهرة لبن  </t>
  </si>
  <si>
    <t xml:space="preserve">   مسجد بن حيان بالعود  </t>
  </si>
  <si>
    <t xml:space="preserve">   مسجد/ صالح  الرشيد  </t>
  </si>
  <si>
    <t xml:space="preserve">   جامع  الخالدية الكبير  </t>
  </si>
  <si>
    <t xml:space="preserve">   مسجد عاصم بن عمر  </t>
  </si>
  <si>
    <t xml:space="preserve">مسجد الملك  سعود  </t>
  </si>
  <si>
    <t xml:space="preserve">   مسجد      مهدي      ال رشيد  </t>
  </si>
  <si>
    <t xml:space="preserve">مسجد                الثنيان  </t>
  </si>
  <si>
    <t xml:space="preserve">   مسجدامين العبدالعزيز  </t>
  </si>
  <si>
    <t xml:space="preserve">وقاف ومساجد نفي  </t>
  </si>
  <si>
    <t xml:space="preserve">   مسجدعيدالعصيمي مع سكن امام ومؤذن  </t>
  </si>
  <si>
    <t xml:space="preserve">   مسجد  عبدالرحمن بن  عوف  </t>
  </si>
  <si>
    <t xml:space="preserve">   مسجد محمد الرشيد  </t>
  </si>
  <si>
    <t xml:space="preserve">مسجد التضامن  </t>
  </si>
  <si>
    <t xml:space="preserve">مسجد      البداح     الشى ئون الاسلا  </t>
  </si>
  <si>
    <t xml:space="preserve">   مسجدغليفص بسوق البطحاء  </t>
  </si>
  <si>
    <t xml:space="preserve">مسجد مخطط الاميرعبدالرحمن بن عبدالله  </t>
  </si>
  <si>
    <t xml:space="preserve">7  المسجد رقم  </t>
  </si>
  <si>
    <t xml:space="preserve">   مسجد الشايع  </t>
  </si>
  <si>
    <t xml:space="preserve">   مسجد حمود الذياب  </t>
  </si>
  <si>
    <t xml:space="preserve">   مسجد ابي بكر الصديق  </t>
  </si>
  <si>
    <t xml:space="preserve">مسجد      محمد      العقيلي  </t>
  </si>
  <si>
    <t xml:space="preserve">   مسجد      عبدالعزيز البكر  </t>
  </si>
  <si>
    <t xml:space="preserve">   مسجد      محمد      العطير  </t>
  </si>
  <si>
    <t xml:space="preserve">   مسجد الخالديه  </t>
  </si>
  <si>
    <t xml:space="preserve">مسجد عمر بن الخطاب  </t>
  </si>
  <si>
    <t xml:space="preserve">   وزارة     الشئون    (مسجد حي الر  </t>
  </si>
  <si>
    <t xml:space="preserve">   مسجدالا ميرة/جهير بنت بندر  </t>
  </si>
  <si>
    <t xml:space="preserve">مسجد البراءبن مالك  </t>
  </si>
  <si>
    <t xml:space="preserve">مسجد الدخل  المحدود  </t>
  </si>
  <si>
    <t xml:space="preserve">   مسجد حي المغرزات  </t>
  </si>
  <si>
    <t xml:space="preserve">مسجد حي الحزم  </t>
  </si>
  <si>
    <t xml:space="preserve">مسجدالدار البيضاء  </t>
  </si>
  <si>
    <t xml:space="preserve">مسجد العقيل  </t>
  </si>
  <si>
    <t xml:space="preserve">مسجد      عبدالطيف   جميل  </t>
  </si>
  <si>
    <t xml:space="preserve">مسجد  / سعد بن معاذ  </t>
  </si>
  <si>
    <t xml:space="preserve">   مسجد فاطمه الفيروز  </t>
  </si>
  <si>
    <t xml:space="preserve">مسجد بن سلامه  </t>
  </si>
  <si>
    <t xml:space="preserve">مسجدالاميرخالدبن سعود  </t>
  </si>
  <si>
    <t xml:space="preserve">   مسجد      أبوعبيده  الجراح  </t>
  </si>
  <si>
    <t xml:space="preserve">       مسجد      جابر  </t>
  </si>
  <si>
    <t xml:space="preserve">   مسجدحى الضباط  </t>
  </si>
  <si>
    <t xml:space="preserve">   مسجد التويجري  </t>
  </si>
  <si>
    <t xml:space="preserve">   مسجد حماد القريني  </t>
  </si>
  <si>
    <t xml:space="preserve">   مسجد لطيفة عبدالله آل الشيخ  </t>
  </si>
  <si>
    <t xml:space="preserve">   مسجد الجوزاء  </t>
  </si>
  <si>
    <t xml:space="preserve">مسجد/ عبدالله  صالح  العبدالقادر  </t>
  </si>
  <si>
    <t xml:space="preserve">   مسجد العباس  بن عبدالمطلب  </t>
  </si>
  <si>
    <t xml:space="preserve">   مسجد والدة محمد بن فيحان الرقاص  </t>
  </si>
  <si>
    <t xml:space="preserve">   مسجد الفداء  </t>
  </si>
  <si>
    <t xml:space="preserve">مسجدالامير مشعل  بن عبد العزيز  </t>
  </si>
  <si>
    <t xml:space="preserve">مسجد العتيان الشلاوى  </t>
  </si>
  <si>
    <t xml:space="preserve">مسجدمحمدسعدالمهنا  </t>
  </si>
  <si>
    <t xml:space="preserve">   وزارةالشئون الاسلاميه/ مسجد السلي  </t>
  </si>
  <si>
    <t xml:space="preserve">مسجد الحميميدى  </t>
  </si>
  <si>
    <t xml:space="preserve">   مسجد حى الفاروق  </t>
  </si>
  <si>
    <t xml:space="preserve">مسجد/حى بدر  </t>
  </si>
  <si>
    <t xml:space="preserve">   مسجد الروابي  </t>
  </si>
  <si>
    <t xml:space="preserve">   مدرسة تحفيظ قران /عبدالله الذياب  </t>
  </si>
  <si>
    <t xml:space="preserve">   مسجد / حى المرسلات  </t>
  </si>
  <si>
    <t xml:space="preserve">مسجد      ابو       دجانه  </t>
  </si>
  <si>
    <t xml:space="preserve">   مسجد عبدالكريم الدرويش  </t>
  </si>
  <si>
    <t xml:space="preserve">   مسجد علي فهد الهزاع    </t>
  </si>
  <si>
    <t xml:space="preserve">مسجد عثمان احمدالعقيل  </t>
  </si>
  <si>
    <t xml:space="preserve">المسجد الموقت بحى  الاميرمشعل  </t>
  </si>
  <si>
    <t xml:space="preserve">جامع الشيخ  معزي   وزارة  الشئون  </t>
  </si>
  <si>
    <t xml:space="preserve">   مسجد ناصر المهوس  بحي المصيف  </t>
  </si>
  <si>
    <t xml:space="preserve">مسجد / الشيخ  صالح  الفارس  </t>
  </si>
  <si>
    <t xml:space="preserve">ﺍﻭﻗﺎﻑ ﻭﻤﺴﺎﺠﺩ ﻀﺭﻤﺎء  </t>
  </si>
  <si>
    <t xml:space="preserve">مسجد / الفرقان بظهرة  نمار  </t>
  </si>
  <si>
    <t xml:space="preserve">مسجد      عبدالله    القحطاني  </t>
  </si>
  <si>
    <t xml:space="preserve">جامع المعارض  </t>
  </si>
  <si>
    <t xml:space="preserve">   مسجد النرجس  </t>
  </si>
  <si>
    <t xml:space="preserve">مسجد /عبدالرحمن بن عوف  </t>
  </si>
  <si>
    <t xml:space="preserve">   مسجد محمد العريفي  </t>
  </si>
  <si>
    <t xml:space="preserve">مسجد مخطط الرابع  عشر  </t>
  </si>
  <si>
    <t xml:space="preserve">مسجد والدة  الملك  الراحل  سعود  </t>
  </si>
  <si>
    <t xml:space="preserve">مسجد محمد بن ماجد  </t>
  </si>
  <si>
    <t xml:space="preserve">مسجد خبيب  بن عدي  </t>
  </si>
  <si>
    <t xml:space="preserve">مسجد      محمد      بن ماجد  </t>
  </si>
  <si>
    <t xml:space="preserve">مسجد /جامع المخطط السادس  </t>
  </si>
  <si>
    <t xml:space="preserve">   مسجد وسكن محمد بن مترك القحطاني  </t>
  </si>
  <si>
    <t xml:space="preserve">مسجد بالعمارية  </t>
  </si>
  <si>
    <t xml:space="preserve">مسجد حى  الجامعين  </t>
  </si>
  <si>
    <t xml:space="preserve">مسجد التعاون  </t>
  </si>
  <si>
    <t xml:space="preserve">مسجد عمربن عبدالعزيز  </t>
  </si>
  <si>
    <t xml:space="preserve">مسجد النور الموقت  </t>
  </si>
  <si>
    <t xml:space="preserve">   مسجد ناصر بن ابراهيم العميقان  </t>
  </si>
  <si>
    <t xml:space="preserve">   مسجدجامع الكردى  </t>
  </si>
  <si>
    <t xml:space="preserve">   مسجد حي لفيحاء  </t>
  </si>
  <si>
    <t xml:space="preserve">وزارة الشئون الاسلامية و الاوقاف  </t>
  </si>
  <si>
    <t xml:space="preserve">مسجد الخراشي  </t>
  </si>
  <si>
    <t xml:space="preserve">مسجد /الصوينع بحي بدر  </t>
  </si>
  <si>
    <t xml:space="preserve">   مسجدالزبيربن العوام بحي التعاون  </t>
  </si>
  <si>
    <t xml:space="preserve">   مسجد الدائري الجنوبي  </t>
  </si>
  <si>
    <t xml:space="preserve">مسجد الاميرة  / سارة  بنت سعد  </t>
  </si>
  <si>
    <t xml:space="preserve">مسجد ال  خالد  </t>
  </si>
  <si>
    <t xml:space="preserve">   مسجد عبدالله الغنام  </t>
  </si>
  <si>
    <t xml:space="preserve">    مسجد الشهداء  </t>
  </si>
  <si>
    <t xml:space="preserve">   الشئون الاسلامية - مسجد حمدالعمري  </t>
  </si>
  <si>
    <t xml:space="preserve">   مسجد      الدريهمية  </t>
  </si>
  <si>
    <t xml:space="preserve">   مسجدالاميرهطرفه بنت  بن عبدالرحمن  </t>
  </si>
  <si>
    <t xml:space="preserve">   مسجدعبدالله ابراهيم الحصيني  </t>
  </si>
  <si>
    <t xml:space="preserve">   مسجد صالح الأطرم  </t>
  </si>
  <si>
    <t xml:space="preserve">   مسجد عايض فالح البدراني  </t>
  </si>
  <si>
    <t xml:space="preserve">مسجد بحى  بدر  </t>
  </si>
  <si>
    <t xml:space="preserve">   مسجد خنشليله  </t>
  </si>
  <si>
    <t xml:space="preserve">مسجد      محمد      بن عبدالوهاب  </t>
  </si>
  <si>
    <t xml:space="preserve">   مسجد حي الربوه  </t>
  </si>
  <si>
    <t xml:space="preserve">   مسجد حي اشبيليه  </t>
  </si>
  <si>
    <t xml:space="preserve">   مسجد محمد السحيباني  </t>
  </si>
  <si>
    <t xml:space="preserve">   مسجد البليهد  </t>
  </si>
  <si>
    <t xml:space="preserve">مسجد      عبداللطيف  حي البديعه  </t>
  </si>
  <si>
    <t xml:space="preserve">المسجد الموقت بالعريجاء  </t>
  </si>
  <si>
    <t xml:space="preserve">   مسجد محمدالحمدالاصفر  </t>
  </si>
  <si>
    <t xml:space="preserve">المسجد الموقت بالشفا  </t>
  </si>
  <si>
    <t xml:space="preserve">   مسجد سعود السبيعي  </t>
  </si>
  <si>
    <t xml:space="preserve">مسجد شرق  الابراج  </t>
  </si>
  <si>
    <t xml:space="preserve">   مسجد      سارة         </t>
  </si>
  <si>
    <t xml:space="preserve">      وزارة الشئون الاسلامية والاوقاف  </t>
  </si>
  <si>
    <t xml:space="preserve">   وزارة الشئون الاسلاميةمسجدسمحه  </t>
  </si>
  <si>
    <t xml:space="preserve">   جامع الشيخ عبدالله ناصر الوهيبي  </t>
  </si>
  <si>
    <t xml:space="preserve">   مسجدسعودمحمدالمقبل  </t>
  </si>
  <si>
    <t xml:space="preserve">   مسجد ضاحية القدس  </t>
  </si>
  <si>
    <t xml:space="preserve">مسجد ظهره  البديعه  </t>
  </si>
  <si>
    <t xml:space="preserve">   مسجدوالدة الامير سعد محمدال سعود  </t>
  </si>
  <si>
    <t xml:space="preserve">   مسجد بحي العزيزية  </t>
  </si>
  <si>
    <t xml:space="preserve">   جامع الريس    // الموقع العام  </t>
  </si>
  <si>
    <t xml:space="preserve">مسجد      ضاحيه      لبن  </t>
  </si>
  <si>
    <t xml:space="preserve">   مسجد جبران  </t>
  </si>
  <si>
    <t xml:space="preserve">مسجد/ عبدالله  بن مسعود  </t>
  </si>
  <si>
    <t xml:space="preserve">   مسجد الجمعية التعاونية  </t>
  </si>
  <si>
    <t xml:space="preserve">   مسجد غرب الريان  </t>
  </si>
  <si>
    <t xml:space="preserve">   مسجد بخيت  بحي النسيم  </t>
  </si>
  <si>
    <t xml:space="preserve">   وزارة الشئون الاسلاميه مسجد المقيط  </t>
  </si>
  <si>
    <t xml:space="preserve">   مسجد ذو النورين  </t>
  </si>
  <si>
    <t xml:space="preserve">   مسجد/سعيد بن زيد  </t>
  </si>
  <si>
    <t xml:space="preserve">مسجد / حمد المغيره  </t>
  </si>
  <si>
    <t xml:space="preserve"> مسجدالاميرة/منيرة سلطان بن عبدالعزيز  </t>
  </si>
  <si>
    <t xml:space="preserve">   جامع وسكن الشيخ عبدالله ال كليب  </t>
  </si>
  <si>
    <t xml:space="preserve">   جامع الربوة  </t>
  </si>
  <si>
    <t xml:space="preserve">   مسجد علي ابي طالب  </t>
  </si>
  <si>
    <t xml:space="preserve"> مسجد صالح النملة/مدرسة تحفيظ القران  </t>
  </si>
  <si>
    <t xml:space="preserve">   مسجد عبدالله العباد بحي حطين  </t>
  </si>
  <si>
    <t xml:space="preserve">   مسجد حى الملك فهد  </t>
  </si>
  <si>
    <t xml:space="preserve">   مسجد حي الروضه  </t>
  </si>
  <si>
    <t xml:space="preserve">   مسجد علي القحطاني  </t>
  </si>
  <si>
    <t xml:space="preserve">مسجد الشويعر  </t>
  </si>
  <si>
    <t xml:space="preserve">   وزارةالشؤن-مسجدصالح الشثري  </t>
  </si>
  <si>
    <t xml:space="preserve">   مسجد عبدالرحمن العمودي  </t>
  </si>
  <si>
    <t xml:space="preserve">   مسجد مؤقت من ابلك رقم 40  </t>
  </si>
  <si>
    <t xml:space="preserve">مسجد الامير مشارى  </t>
  </si>
  <si>
    <t xml:space="preserve">   مسجد مصعب بن عمير  </t>
  </si>
  <si>
    <t xml:space="preserve">المسجد الموقت بالعريجا  </t>
  </si>
  <si>
    <t xml:space="preserve">   مسجدالسدحان  </t>
  </si>
  <si>
    <t xml:space="preserve">مسجد/احمد  </t>
  </si>
  <si>
    <t xml:space="preserve">   مسجد حي الفيحاء  </t>
  </si>
  <si>
    <t xml:space="preserve">   مسجد شيخة بنت عبدالعزيز  </t>
  </si>
  <si>
    <t xml:space="preserve">مسجد زامل  السليم  </t>
  </si>
  <si>
    <t xml:space="preserve">مسجد جامع  المشيقيق  </t>
  </si>
  <si>
    <t xml:space="preserve">   مسجد والدة الملك سعود  </t>
  </si>
  <si>
    <t xml:space="preserve">   مسجد عبدالله الاعرج  </t>
  </si>
  <si>
    <t xml:space="preserve">   مسجد(12) محمد ابراهيم العياف  </t>
  </si>
  <si>
    <t xml:space="preserve">   مسجد ماجد الماجد  </t>
  </si>
  <si>
    <t xml:space="preserve">   مسجدحي حطين  </t>
  </si>
  <si>
    <t xml:space="preserve">   وزارة الشئون الاسلاميه مسجد غمامه  </t>
  </si>
  <si>
    <t xml:space="preserve">   مسجد ابانمي  </t>
  </si>
  <si>
    <t xml:space="preserve">مسجد      محمد      ابوشنق  </t>
  </si>
  <si>
    <t xml:space="preserve">   مسجد ابوخليل  </t>
  </si>
  <si>
    <t xml:space="preserve">مسجدالامير/فهد بن سعد  </t>
  </si>
  <si>
    <t xml:space="preserve">   مسجد علي الهزاع  </t>
  </si>
  <si>
    <t xml:space="preserve">   جامع الامير/سعد بن تركي  </t>
  </si>
  <si>
    <t xml:space="preserve">مسجد خالد بن الوليد  </t>
  </si>
  <si>
    <t xml:space="preserve">   مسجد الحماد  </t>
  </si>
  <si>
    <t xml:space="preserve">مسجد ابن عصفور  </t>
  </si>
  <si>
    <t xml:space="preserve">   جامع الفاروق  </t>
  </si>
  <si>
    <t xml:space="preserve">مسجد ابن قدامه  المقدسي  </t>
  </si>
  <si>
    <t xml:space="preserve">مسجد  /   طلحه       عبيدالله  </t>
  </si>
  <si>
    <t xml:space="preserve">مسجدالاميرفهدبن فيصل  الفرحان  </t>
  </si>
  <si>
    <t xml:space="preserve">   مسجد ابراهيم الحماد  </t>
  </si>
  <si>
    <t xml:space="preserve"> مسجدالعوده المطلق  </t>
  </si>
  <si>
    <t xml:space="preserve">   مسجد الحروب والسبعان  </t>
  </si>
  <si>
    <t xml:space="preserve">   مسجد الابرار  </t>
  </si>
  <si>
    <t xml:space="preserve">   مسجد حصة ابراهيم التويجري  </t>
  </si>
  <si>
    <t xml:space="preserve">   مسجد الدار البيضاء في الجهة الشر  </t>
  </si>
  <si>
    <t xml:space="preserve">     مسجدحي الوادي  </t>
  </si>
  <si>
    <t xml:space="preserve">مسجد بلك  4بالدخل  المحدود  </t>
  </si>
  <si>
    <t xml:space="preserve">   مسجد      صالح      الرضيان  </t>
  </si>
  <si>
    <t xml:space="preserve">مسجد/البديعة ـ المخطط السادس عشر  </t>
  </si>
  <si>
    <t xml:space="preserve">   مسجد فهد ال حسين  / مدرسةالتحفيظ  </t>
  </si>
  <si>
    <t xml:space="preserve">مسجد غرب حى  البديع  </t>
  </si>
  <si>
    <t xml:space="preserve">   مسجد حي المطار  </t>
  </si>
  <si>
    <t xml:space="preserve">مسجدالملك  عبدالعزيز  </t>
  </si>
  <si>
    <t xml:space="preserve">مسجدعليشة  </t>
  </si>
  <si>
    <t xml:space="preserve">مسجد عباس  </t>
  </si>
  <si>
    <t xml:space="preserve">   مسجدالقاد سيةمع سكن والمؤذن  </t>
  </si>
  <si>
    <t xml:space="preserve">وزاره      الشئون    مسجد عكاظ  </t>
  </si>
  <si>
    <t xml:space="preserve">مسجد الشيخ  /عبدالله  الغملاس  </t>
  </si>
  <si>
    <t xml:space="preserve">مسجد عبدالعزيز عبدالله  المبدل  </t>
  </si>
  <si>
    <t xml:space="preserve">   مسجد وسكن المونسيه  </t>
  </si>
  <si>
    <t xml:space="preserve">مسجد الاميرة /نورة  بنت عبدالعزيز  </t>
  </si>
  <si>
    <t xml:space="preserve">    مسجد حي المغرزات  </t>
  </si>
  <si>
    <t xml:space="preserve">المسجد الموقت فى  المخطط  </t>
  </si>
  <si>
    <t xml:space="preserve">   مسجد العجيبه  </t>
  </si>
  <si>
    <t xml:space="preserve">مسجد الرويل  </t>
  </si>
  <si>
    <t xml:space="preserve">   مسجد الليث بن سعد رضي الله عنه  </t>
  </si>
  <si>
    <t xml:space="preserve">   وزارة الشؤون الا سلا ميه والا وقاف  </t>
  </si>
  <si>
    <t xml:space="preserve">   مسجد      ال  فريان  </t>
  </si>
  <si>
    <t xml:space="preserve">مسجد الجاسر  </t>
  </si>
  <si>
    <t xml:space="preserve">مسجد  /   ال  ياسر  </t>
  </si>
  <si>
    <t xml:space="preserve">    /  مسجد جنوب  عتيقة  </t>
  </si>
  <si>
    <t xml:space="preserve">   مسجد خالد بن الوليد بحي الحمراء  </t>
  </si>
  <si>
    <t xml:space="preserve">   مسجد بحي الفيحاء  </t>
  </si>
  <si>
    <t xml:space="preserve">مسجد حى  الشفاء الجديد  </t>
  </si>
  <si>
    <t xml:space="preserve">جامع  بن باز  </t>
  </si>
  <si>
    <t xml:space="preserve">   مسجد حي  اسكان الجزيره  </t>
  </si>
  <si>
    <t xml:space="preserve">   مسجد محمد سعود العجاجي  </t>
  </si>
  <si>
    <t xml:space="preserve">   مسجداليحيى  </t>
  </si>
  <si>
    <t xml:space="preserve">   مسجد علي محمد التركي  </t>
  </si>
  <si>
    <t xml:space="preserve">   مسجد ابراهيم القريشي  </t>
  </si>
  <si>
    <t xml:space="preserve">   مسجد قاسم أحمد  </t>
  </si>
  <si>
    <t xml:space="preserve">   مسجد عبدالرحمن بن صالح البراهيم  </t>
  </si>
  <si>
    <t xml:space="preserve">   مسجد المنديل  </t>
  </si>
  <si>
    <t xml:space="preserve">   مسجد  الدرويش  </t>
  </si>
  <si>
    <t xml:space="preserve">   مسجد      بدريه     الحماد  </t>
  </si>
  <si>
    <t xml:space="preserve">   مسجد حي المرسلات  </t>
  </si>
  <si>
    <t xml:space="preserve">   جامع      الملك        </t>
  </si>
  <si>
    <t xml:space="preserve">      مسجد   حي   الحمراء  </t>
  </si>
  <si>
    <t xml:space="preserve">المسجد الموقت الدخل  المحدود  </t>
  </si>
  <si>
    <t xml:space="preserve">   مسجدرشيد بن جبر  </t>
  </si>
  <si>
    <t xml:space="preserve">مسجد الوادي  </t>
  </si>
  <si>
    <t xml:space="preserve">مسجد عمار ين ياسر  </t>
  </si>
  <si>
    <t xml:space="preserve">   مسجد عبدالله بن خميس  </t>
  </si>
  <si>
    <t xml:space="preserve">   مسجد نورة بنت عبدالعزيز المسعود  </t>
  </si>
  <si>
    <t xml:space="preserve">   مسجد لولوةبنت محمد المالك  </t>
  </si>
  <si>
    <t xml:space="preserve">   مسجد العساف  </t>
  </si>
  <si>
    <t xml:space="preserve">   مسجدالشيخ ابن عثيمين  </t>
  </si>
  <si>
    <t xml:space="preserve">   مسجد عبد العزيز التويجرى  </t>
  </si>
  <si>
    <t xml:space="preserve">مسجد/ الامير سلمان  </t>
  </si>
  <si>
    <t xml:space="preserve">   مسجد عبدالعزيز الراجحي  </t>
  </si>
  <si>
    <t xml:space="preserve">   مسجد عبدالرحمن العتيبي  </t>
  </si>
  <si>
    <t xml:space="preserve">    مسجد وسكن  نوره    الشقير  </t>
  </si>
  <si>
    <t xml:space="preserve">مسجد العرفج  </t>
  </si>
  <si>
    <t xml:space="preserve">مسجد      اسواق      ابن دايل  </t>
  </si>
  <si>
    <t xml:space="preserve">   مسجد    عمار بن   ياسر  </t>
  </si>
  <si>
    <t xml:space="preserve">   مسجد حي شرق المعارض  </t>
  </si>
  <si>
    <t xml:space="preserve">   مسجد الهدلق  </t>
  </si>
  <si>
    <t xml:space="preserve">مسجد/ عبدالله  على  الحريشى  </t>
  </si>
  <si>
    <t xml:space="preserve">   وزارة الشئون الاسلاميةوالاوقاف  </t>
  </si>
  <si>
    <t xml:space="preserve">   مسجد الشيخ عبدالله عبدالرحمن راج  </t>
  </si>
  <si>
    <t xml:space="preserve">مسجد الامام  على  بن ابى  طالب  </t>
  </si>
  <si>
    <t xml:space="preserve">مسجد بلال  بن رباح  </t>
  </si>
  <si>
    <t xml:space="preserve">   مسجدعبدالرحمن بن عوف  </t>
  </si>
  <si>
    <t xml:space="preserve">   مسجد الغليقة  </t>
  </si>
  <si>
    <t xml:space="preserve">   مسجد فهدبن  سلمه  </t>
  </si>
  <si>
    <t xml:space="preserve">مسجد /عروه  بن الزبير  </t>
  </si>
  <si>
    <t xml:space="preserve">   مسجد والدة الامير/ بدر  </t>
  </si>
  <si>
    <t xml:space="preserve">مسجد زيد بن ثابت  </t>
  </si>
  <si>
    <t xml:space="preserve">مسجد بن زرقان  </t>
  </si>
  <si>
    <t xml:space="preserve">   مسجدعثمان بن عفان   حي النسيم  </t>
  </si>
  <si>
    <t xml:space="preserve">   مسجد وضحي  </t>
  </si>
  <si>
    <t xml:space="preserve">   مسجدالحبيشي  </t>
  </si>
  <si>
    <t xml:space="preserve">   مسجد عبدالعزيز عبدالرحمن المنصور  </t>
  </si>
  <si>
    <t xml:space="preserve">   مسجد وزارة الدفاع  </t>
  </si>
  <si>
    <t xml:space="preserve">   مسجد حله القصمان الشرقى  </t>
  </si>
  <si>
    <t xml:space="preserve">   مسجدالعيال بالناصريه  </t>
  </si>
  <si>
    <t xml:space="preserve">   مسجدام سعد(لطيفةعبداللهالسويحب  </t>
  </si>
  <si>
    <t xml:space="preserve">مسجد حى  بدر الجنوبى  </t>
  </si>
  <si>
    <t xml:space="preserve">   مسجد الشيخ صالح بن غصون  </t>
  </si>
  <si>
    <t xml:space="preserve">     مسجدخادم الحرمين الشريفين  </t>
  </si>
  <si>
    <t xml:space="preserve">   مسجد المنصورة  </t>
  </si>
  <si>
    <t xml:space="preserve">   مسجد      القوسي       </t>
  </si>
  <si>
    <t xml:space="preserve">   مسجد حى النفل مؤقت  </t>
  </si>
  <si>
    <t xml:space="preserve">   مسجد الخزامى  </t>
  </si>
  <si>
    <t xml:space="preserve">مسجد /سعد بن ابي وقاص  </t>
  </si>
  <si>
    <t xml:space="preserve">   جامع القدس  </t>
  </si>
  <si>
    <t xml:space="preserve">مسجد الرويشد  </t>
  </si>
  <si>
    <t xml:space="preserve">مسجد      خالد      السلمان  </t>
  </si>
  <si>
    <t xml:space="preserve">ثامر أحمد الصمعاني  </t>
  </si>
  <si>
    <t xml:space="preserve">   مسجدشمال المربع  </t>
  </si>
  <si>
    <t xml:space="preserve">   مسجد جامع الجبيله  </t>
  </si>
  <si>
    <t xml:space="preserve">مسجد الفايز  </t>
  </si>
  <si>
    <t xml:space="preserve">   مسجد باحمدان  </t>
  </si>
  <si>
    <t xml:space="preserve">مسجد عبدالله  الراجحى  </t>
  </si>
  <si>
    <t xml:space="preserve">  مسجد شركه عبدالعزيز و محمد الجميح  </t>
  </si>
  <si>
    <t xml:space="preserve">مسجد الايمان  </t>
  </si>
  <si>
    <t xml:space="preserve">   وزارة الشؤون الا سلا مية و الا وقاف  </t>
  </si>
  <si>
    <t xml:space="preserve">   مسجد الرفيعه الشماليه  </t>
  </si>
  <si>
    <t xml:space="preserve">مسجد جنوب الشفاء  </t>
  </si>
  <si>
    <t xml:space="preserve">مسجدجامع  الاميرخالدبن سعود  </t>
  </si>
  <si>
    <t xml:space="preserve">مسجد حى  الشعلان  </t>
  </si>
  <si>
    <t xml:space="preserve">مسجد      الاميره     ساره  </t>
  </si>
  <si>
    <t xml:space="preserve">   مسجد عبدالرحمن الطبيشي  </t>
  </si>
  <si>
    <t xml:space="preserve">   مسجد جنوب حي الملك فيصل  </t>
  </si>
  <si>
    <t xml:space="preserve">   مسجدبن سيار  </t>
  </si>
  <si>
    <t xml:space="preserve">   مسجد والدة سعد الدريس  </t>
  </si>
  <si>
    <t xml:space="preserve">   مسجد      خزام  </t>
  </si>
  <si>
    <t xml:space="preserve">مسجد /ماجدالقحطانى  </t>
  </si>
  <si>
    <t xml:space="preserve">   مسجد هياء الشويعر  </t>
  </si>
  <si>
    <t xml:space="preserve">   مسجد عبدالله الرشيد  </t>
  </si>
  <si>
    <t xml:space="preserve">   مسجد غرب حي الفيحاء  </t>
  </si>
  <si>
    <t xml:space="preserve">   مسجد بحي السلا م  </t>
  </si>
  <si>
    <t xml:space="preserve">مسجد حى  النزهه  </t>
  </si>
  <si>
    <t xml:space="preserve">   مسجد حي غرناطة  </t>
  </si>
  <si>
    <t xml:space="preserve">        مسجدالامام  مسلم  </t>
  </si>
  <si>
    <t xml:space="preserve">   مسجد بن سعيدان  </t>
  </si>
  <si>
    <t xml:space="preserve">مسجد الدريهميه  </t>
  </si>
  <si>
    <t xml:space="preserve">مسجد ورثة عبدالعزيز بن سعيدان  </t>
  </si>
  <si>
    <t xml:space="preserve"> مسجدالاميرفهد بن سلمان بن عبدالعزيز  </t>
  </si>
  <si>
    <t xml:space="preserve">   مسجد الاخلاص  </t>
  </si>
  <si>
    <t xml:space="preserve">   وزارةالشون الاسلاميه مسجدحي لبن  </t>
  </si>
  <si>
    <t xml:space="preserve">   مسجد الزيد بحي المروج  </t>
  </si>
  <si>
    <t xml:space="preserve">ﻤﺴﺎﺠﺩﺍﻟﺨـﺭﺝ  </t>
  </si>
  <si>
    <t xml:space="preserve">   مسجدشمال حي الوادي ومرافقه  </t>
  </si>
  <si>
    <t xml:space="preserve">مسجد الطريق  الدائري  حي السويدي  </t>
  </si>
  <si>
    <t xml:space="preserve">   مسجد/حي النهضه  </t>
  </si>
  <si>
    <t xml:space="preserve">   مسجد نشاط  </t>
  </si>
  <si>
    <t xml:space="preserve">   مسجد / معاذ بن جبل  </t>
  </si>
  <si>
    <t xml:space="preserve">   مسجد صلاح الدين  </t>
  </si>
  <si>
    <t xml:space="preserve">   مسجد حي الرفيعه  </t>
  </si>
  <si>
    <t xml:space="preserve">مسجد ظهره  النميلات  </t>
  </si>
  <si>
    <t xml:space="preserve">   مسجد ام الحمام الغربيه  </t>
  </si>
  <si>
    <t xml:space="preserve">مسجد ناصر العبدالقادر بحي هيت  </t>
  </si>
  <si>
    <t xml:space="preserve">وزارة      الشئون    والاوقاف -السد  </t>
  </si>
  <si>
    <t xml:space="preserve">  مسجد وزارةالشؤون الاسلامية و الاوقاف  </t>
  </si>
  <si>
    <t xml:space="preserve">   مسحد      الشثري    ء  </t>
  </si>
  <si>
    <t xml:space="preserve">مسجد العكرش  </t>
  </si>
  <si>
    <t xml:space="preserve">   مسجد الشهري  </t>
  </si>
  <si>
    <t xml:space="preserve">   مسجد/ راشدالعتيبي  </t>
  </si>
  <si>
    <t xml:space="preserve">   مسجد      التقوى  </t>
  </si>
  <si>
    <t xml:space="preserve">مسجد التوحيد بالعريجاء  </t>
  </si>
  <si>
    <t xml:space="preserve">مسجد عبدالعزيز عبدالله العسكر  </t>
  </si>
  <si>
    <t xml:space="preserve">   جامع الغرابى  </t>
  </si>
  <si>
    <t xml:space="preserve">   مسجدعقيل الراجحي/عبدالرحمن راجحي  </t>
  </si>
  <si>
    <t xml:space="preserve">مسجد صلاح  الدين  </t>
  </si>
  <si>
    <t xml:space="preserve">   مسجد الأميره نوره بنت تركي  </t>
  </si>
  <si>
    <t xml:space="preserve">   مسجد وزارة الشؤن الا سلامية  </t>
  </si>
  <si>
    <t xml:space="preserve">   مسجد عبدالله تركي الضحيان  </t>
  </si>
  <si>
    <t xml:space="preserve">   مسجد بن عثيمين  </t>
  </si>
  <si>
    <t xml:space="preserve">   مسجد عبدالله ولوالديه  </t>
  </si>
  <si>
    <t xml:space="preserve">مسجد حي عكاظ  </t>
  </si>
  <si>
    <t xml:space="preserve">   مسجد عبدالله الكابري  </t>
  </si>
  <si>
    <t xml:space="preserve">مسجد / بلال  بن رباح  </t>
  </si>
  <si>
    <t xml:space="preserve"> وزاررة     الشئون     مسجد  </t>
  </si>
  <si>
    <t xml:space="preserve">   مسجد آل سليمان  </t>
  </si>
  <si>
    <t xml:space="preserve">مسجد بحي العريجاء  </t>
  </si>
  <si>
    <t xml:space="preserve">   مسجدعمربن عبدالعزيز  </t>
  </si>
  <si>
    <t xml:space="preserve">   جامع الدار البيضاء  </t>
  </si>
  <si>
    <t xml:space="preserve">   مسجد شرق سوق الربوه  </t>
  </si>
  <si>
    <t xml:space="preserve">   مسجد الهاجري /مؤسسةعلي المسفر  </t>
  </si>
  <si>
    <t xml:space="preserve">   مسجد غرمان عبدالعزيز الشهرى  </t>
  </si>
  <si>
    <t xml:space="preserve">   مسجد والدةالاميرمحمدبن نواف  </t>
  </si>
  <si>
    <t xml:space="preserve">مسجد عبدالملك  ال  الشيخ  </t>
  </si>
  <si>
    <t xml:space="preserve">   مسجدصاحب السموالملكي ولي العهد  </t>
  </si>
  <si>
    <t xml:space="preserve">   جامع حي الخليج  </t>
  </si>
  <si>
    <t xml:space="preserve">   مسـجد جعفر بن ابي طالب  </t>
  </si>
  <si>
    <t xml:space="preserve">   مسجد باهمام  </t>
  </si>
  <si>
    <t xml:space="preserve">مسجد الملك  عبدالعزيز  </t>
  </si>
  <si>
    <t xml:space="preserve"> مسجد حي بدر أبن تيمية  </t>
  </si>
  <si>
    <t xml:space="preserve">   مسجد حي النزهه  </t>
  </si>
  <si>
    <t xml:space="preserve">مسجدبن خميس  </t>
  </si>
  <si>
    <t xml:space="preserve">مسجد حي الشفا  </t>
  </si>
  <si>
    <t xml:space="preserve">مسجدفهدبن محمدالسلمان  </t>
  </si>
  <si>
    <t xml:space="preserve">مسجد زهرة  البديعة  /حي البديعة  </t>
  </si>
  <si>
    <t xml:space="preserve">   مسجد بحي اليرموك  </t>
  </si>
  <si>
    <t xml:space="preserve">مسجد      شعبة       ابن الحجاج  </t>
  </si>
  <si>
    <t xml:space="preserve">   مسجد المنصورة (سعود الدوسري)  </t>
  </si>
  <si>
    <t xml:space="preserve">   مسجد حى المصيف  </t>
  </si>
  <si>
    <t xml:space="preserve">   مسجدالفرقان  </t>
  </si>
  <si>
    <t xml:space="preserve">   مسجد حصة العمار  </t>
  </si>
  <si>
    <t xml:space="preserve">مسجد  /  ام  ثامر  </t>
  </si>
  <si>
    <t xml:space="preserve">مسجد حمد الفريان  </t>
  </si>
  <si>
    <t xml:space="preserve">مسجد/ حي السويدي  </t>
  </si>
  <si>
    <t xml:space="preserve">   مسجد الماضي / حي السليمانيه  </t>
  </si>
  <si>
    <t xml:space="preserve">00  مسجد حي   العريجاء  </t>
  </si>
  <si>
    <t xml:space="preserve">   وزارةالشؤون الاسلامية/مسجدالجاسر  </t>
  </si>
  <si>
    <t xml:space="preserve">مسجدالشيخ  محمد بن عبد الوهاب  </t>
  </si>
  <si>
    <t xml:space="preserve">   مسجد صالح عبدالله الحمادي  </t>
  </si>
  <si>
    <t xml:space="preserve">   مسجد النهاري  </t>
  </si>
  <si>
    <t xml:space="preserve">مسجد ذو النوريين  </t>
  </si>
  <si>
    <t xml:space="preserve">مسجد  عبد العزيز الغانم  </t>
  </si>
  <si>
    <t xml:space="preserve">   مسجد والدة سعد عبدالرحمن الحقان  </t>
  </si>
  <si>
    <t xml:space="preserve">   مسجدابوبكر  </t>
  </si>
  <si>
    <t xml:space="preserve">مسجد عبدالله  العتيق  </t>
  </si>
  <si>
    <t xml:space="preserve">مسجد الشفا  </t>
  </si>
  <si>
    <t xml:space="preserve">   مسجدحي المناخ  </t>
  </si>
  <si>
    <t xml:space="preserve">مسجدالجوهرة العبد السلام  </t>
  </si>
  <si>
    <t xml:space="preserve">   مسجد الموسي وبيتي الامام والمؤذن  </t>
  </si>
  <si>
    <t xml:space="preserve">   مسجد حله بن نصار  </t>
  </si>
  <si>
    <t xml:space="preserve">مسجد      المرحوم  / محمد السلامة  </t>
  </si>
  <si>
    <t xml:space="preserve">مسجد  حي الشفاء  </t>
  </si>
  <si>
    <t xml:space="preserve">   مسجد جامع بن نوفل  </t>
  </si>
  <si>
    <t xml:space="preserve">   مسجد رقم 5 حي الاسكان رقم 1  </t>
  </si>
  <si>
    <t xml:space="preserve">جامع ابوبكرالصديق  </t>
  </si>
  <si>
    <t xml:space="preserve">           مسجد   حي   المروج  </t>
  </si>
  <si>
    <t xml:space="preserve">00مسجد      حي العريحا  </t>
  </si>
  <si>
    <t xml:space="preserve">   مسجد فهد العثمان  </t>
  </si>
  <si>
    <t xml:space="preserve">مسجد السويدى  </t>
  </si>
  <si>
    <t xml:space="preserve">   مسجدوالدة الملك سعودبن عبدالعزيز  </t>
  </si>
  <si>
    <t xml:space="preserve">   مسجد ابن  القيم     الجوزيه  </t>
  </si>
  <si>
    <t xml:space="preserve">مسجد الشيخ  سعد الحامد  </t>
  </si>
  <si>
    <t xml:space="preserve">   مسجد السديس  </t>
  </si>
  <si>
    <t xml:space="preserve">   مسجد  الصرامى  </t>
  </si>
  <si>
    <t xml:space="preserve">   مسجد حى الحمراء  </t>
  </si>
  <si>
    <t xml:space="preserve">المسجدالموقتبالدخل  المحدود  </t>
  </si>
  <si>
    <t xml:space="preserve">   مسجد مهدي سيف ال سلطان  </t>
  </si>
  <si>
    <t xml:space="preserve">مسجد محمد الشعيبى  </t>
  </si>
  <si>
    <t xml:space="preserve">   مسجد الشيخ عبدالعزيز رجب  </t>
  </si>
  <si>
    <t xml:space="preserve">   مسجد محمد العبداللطيف  </t>
  </si>
  <si>
    <t xml:space="preserve">   مسجد هشام بن عبدالملك  </t>
  </si>
  <si>
    <t xml:space="preserve">مسجد      ابو  بكر  الصديق  </t>
  </si>
  <si>
    <t xml:space="preserve">   مسجد      حي        النسيم  </t>
  </si>
  <si>
    <t xml:space="preserve">مسجد حى  بدر الغربى  </t>
  </si>
  <si>
    <t xml:space="preserve">   مسجد حي قرطبة  </t>
  </si>
  <si>
    <t xml:space="preserve">   مسجدحي الصحافه /القبس /  </t>
  </si>
  <si>
    <t xml:space="preserve">   مسجد سعيدبن زيد  </t>
  </si>
  <si>
    <t xml:space="preserve">   مسجد شرق الاسكان  </t>
  </si>
  <si>
    <t xml:space="preserve">       مسجد      جعفر  </t>
  </si>
  <si>
    <t xml:space="preserve">   مسجد الشيخ عبدالله بن جبرين  </t>
  </si>
  <si>
    <t xml:space="preserve">   مسجد عمار بن ياسر  </t>
  </si>
  <si>
    <t xml:space="preserve">   دورة مياه جامع الرحمانيه  </t>
  </si>
  <si>
    <t xml:space="preserve">  مسجد  الثمريه   الفيصل  </t>
  </si>
  <si>
    <t xml:space="preserve">   مسجد      صالح      العبدلى  </t>
  </si>
  <si>
    <t xml:space="preserve">المسجد    الموقت     المحدود  </t>
  </si>
  <si>
    <t xml:space="preserve">مسجد      الشيخ      البرغش  </t>
  </si>
  <si>
    <t xml:space="preserve">   مسجد/السفيرصالح الغفيلي وبيتي  </t>
  </si>
  <si>
    <t xml:space="preserve">   مسجد      أبي سعيد  الخدري  </t>
  </si>
  <si>
    <t xml:space="preserve">   وزارة الشئون الاسلامية مسجدابوبكر  </t>
  </si>
  <si>
    <t xml:space="preserve">   مسـجد كمال ادهم  </t>
  </si>
  <si>
    <t xml:space="preserve">   مسجد العجلان  </t>
  </si>
  <si>
    <t xml:space="preserve">مسجدوالدة الآميرسلمان بن عبدالعزيز  </t>
  </si>
  <si>
    <t xml:space="preserve">0 مسجد      بالعريجاء  </t>
  </si>
  <si>
    <t xml:space="preserve">   مسجد حي الصحافة  </t>
  </si>
  <si>
    <t xml:space="preserve">    مسجد عبيد الله محمد العبيد الله  </t>
  </si>
  <si>
    <t xml:space="preserve">   مسجد حمد عبدالرحمن العبرة  </t>
  </si>
  <si>
    <t xml:space="preserve">   وزارة     الشئون    والاواقاف  </t>
  </si>
  <si>
    <t xml:space="preserve">   مسجد سفيان بن عون  </t>
  </si>
  <si>
    <t xml:space="preserve">   مسجد محمد الحربي  </t>
  </si>
  <si>
    <t xml:space="preserve">   مسجد الهدا  </t>
  </si>
  <si>
    <t xml:space="preserve">مسجد حي العريجاء الغربي  </t>
  </si>
  <si>
    <t xml:space="preserve">   مسجد/ابراهيم الجميعه  </t>
  </si>
  <si>
    <t xml:space="preserve">   جامع السلى  </t>
  </si>
  <si>
    <t xml:space="preserve">   مسجد الشرفيه الغربي  </t>
  </si>
  <si>
    <t xml:space="preserve">   مسجد المعجل  </t>
  </si>
  <si>
    <t xml:space="preserve">   مسجد/عبدالعزيز الحمدان  </t>
  </si>
  <si>
    <t xml:space="preserve">   مسجد الامير بندر عبدالعزيزال سعود  </t>
  </si>
  <si>
    <t xml:space="preserve">   مسجد انس  بن مالك  </t>
  </si>
  <si>
    <t xml:space="preserve">   مسجد حي   الريان       </t>
  </si>
  <si>
    <t xml:space="preserve">-  وزارة الشؤون الاسلا مية   -   مسجد  </t>
  </si>
  <si>
    <t xml:space="preserve">مسجد بن سرحان  </t>
  </si>
  <si>
    <t xml:space="preserve">   مسجد/ابراهيم بن ناصر بن داود  </t>
  </si>
  <si>
    <t xml:space="preserve">  مسجد      حي السويدي  </t>
  </si>
  <si>
    <t xml:space="preserve">   مسجد      حسن       العجمي  </t>
  </si>
  <si>
    <t xml:space="preserve">   مسجدالسليمانيه غرب بيت الاميرفهد  </t>
  </si>
  <si>
    <t xml:space="preserve">   مسجد  عبدالكريم الخليفي  </t>
  </si>
  <si>
    <t xml:space="preserve">   مسجدالهداية  </t>
  </si>
  <si>
    <t xml:space="preserve">مسجد جامع  الجوهرة  </t>
  </si>
  <si>
    <t xml:space="preserve">   مسجد نورة الموسى  </t>
  </si>
  <si>
    <t xml:space="preserve">مسجد الرشود الجديد  </t>
  </si>
  <si>
    <t xml:space="preserve">1 مسجد بلك  2008 ـ 3 ـ  </t>
  </si>
  <si>
    <t xml:space="preserve">   مسجد وسكن   هلال  المشرافي  </t>
  </si>
  <si>
    <t xml:space="preserve">   مسجد الرحمة بحي حطين  </t>
  </si>
  <si>
    <t xml:space="preserve">   مسجد عبدالعزيز المتوزي  </t>
  </si>
  <si>
    <t xml:space="preserve">   مسجدالفواز  </t>
  </si>
  <si>
    <t xml:space="preserve">مسجد منفوحه  </t>
  </si>
  <si>
    <t xml:space="preserve">   مسجدجامع السليمانيه  </t>
  </si>
  <si>
    <t xml:space="preserve">مسجد      ضاحية      سعد بن معاذ  </t>
  </si>
  <si>
    <t xml:space="preserve">مسجد السرحان  </t>
  </si>
  <si>
    <t xml:space="preserve">   مسجد حصة ماضي الربيعان  </t>
  </si>
  <si>
    <t xml:space="preserve">مسجدسلمان بن محمد  </t>
  </si>
  <si>
    <t xml:space="preserve">مسجد ظهرة  البديعه  </t>
  </si>
  <si>
    <t xml:space="preserve">   مسجد احمد بن تيمية - رحمه الله  </t>
  </si>
  <si>
    <t xml:space="preserve">   مسجد / ابراهيم محمد بن سعيدان  </t>
  </si>
  <si>
    <t xml:space="preserve">مسجد      حى         الجامعين  </t>
  </si>
  <si>
    <t xml:space="preserve">   مسجد فئة و  </t>
  </si>
  <si>
    <t xml:space="preserve">جامع الشيخ ابراهيم العجلا ن  </t>
  </si>
  <si>
    <t xml:space="preserve">   مسجدمعاويه بن أبي سفيان  </t>
  </si>
  <si>
    <t xml:space="preserve">   مسجد المليفي  بحي لبن  </t>
  </si>
  <si>
    <t xml:space="preserve">   مسجد الرشودى  </t>
  </si>
  <si>
    <t xml:space="preserve">مسجد الشيخ  عبدالعزيزالمغصيب  </t>
  </si>
  <si>
    <t xml:space="preserve">مسجد سعد بن معاذ  </t>
  </si>
  <si>
    <t xml:space="preserve">   مدرسة تحفيظ القران بمسجد التوحيد  </t>
  </si>
  <si>
    <t xml:space="preserve">     مؤسةالاميرهالعنود بنت مساعدال س  </t>
  </si>
  <si>
    <t xml:space="preserve">   مسجد معاويه بن أبي سفيان  </t>
  </si>
  <si>
    <t xml:space="preserve">   مسجد معاوية بن أبي سفيان  </t>
  </si>
  <si>
    <t xml:space="preserve">مسجد  /مصعب  بن عمير  </t>
  </si>
  <si>
    <t xml:space="preserve">  وزارة الشئون الاسلاميه/ مسجدالفيحاء  </t>
  </si>
  <si>
    <t xml:space="preserve">    مسجد مصعب بن عمي  </t>
  </si>
  <si>
    <t xml:space="preserve">مسجد      ابراهيم    الشيبان  </t>
  </si>
  <si>
    <t xml:space="preserve">   مسجد عائشه أم المؤمنين  </t>
  </si>
  <si>
    <t xml:space="preserve">   جامع/ عبدالمحسن بن فهد السويلم  </t>
  </si>
  <si>
    <t xml:space="preserve">   مسجد الشيخ  الالباني  </t>
  </si>
  <si>
    <t xml:space="preserve">مسجد                الشفاء  </t>
  </si>
  <si>
    <t xml:space="preserve">   مسجد السويلمي  </t>
  </si>
  <si>
    <t xml:space="preserve">   مسجد معاويه بن ابي سفيان  </t>
  </si>
  <si>
    <t xml:space="preserve">سكن امام ومؤذن مسجد السعادة  </t>
  </si>
  <si>
    <t xml:space="preserve">   مسجد أبوبكر  </t>
  </si>
  <si>
    <t xml:space="preserve">   وزارة الشئوؤن الاسلاميه مسجدحطين  </t>
  </si>
  <si>
    <t xml:space="preserve">     مسجد  بندر  بن عميره  </t>
  </si>
  <si>
    <t xml:space="preserve">   مسجد حي الربيع  </t>
  </si>
  <si>
    <t xml:space="preserve">   مسجد الدكتورعبدالله المصرى  </t>
  </si>
  <si>
    <t xml:space="preserve">مسجدفهدمحمدبن عبدالعزيز  </t>
  </si>
  <si>
    <t xml:space="preserve">مسجد نورة بنت مرزوق  </t>
  </si>
  <si>
    <t xml:space="preserve">   مسجد      الثليماء  </t>
  </si>
  <si>
    <t xml:space="preserve">مسجدوالدمحمدبن عبدالرحمن  </t>
  </si>
  <si>
    <t xml:space="preserve">   وزارةالشؤن لاسلاميه/مسجدظافرالطوق  </t>
  </si>
  <si>
    <t xml:space="preserve">   مسجد صالح الراجحي  </t>
  </si>
  <si>
    <t xml:space="preserve">مسجد عقبه  بن نافع  </t>
  </si>
  <si>
    <t xml:space="preserve">     مسجد      الحمود  </t>
  </si>
  <si>
    <t xml:space="preserve">مسجد      علي       بن ابي طالب  </t>
  </si>
  <si>
    <t xml:space="preserve">   مسجد/الشيخ محمد عبدالله النويصر  </t>
  </si>
  <si>
    <t xml:space="preserve">   مسجد      محمد      الثنيان  </t>
  </si>
  <si>
    <t xml:space="preserve">مسجد الدار البيضاء  </t>
  </si>
  <si>
    <t xml:space="preserve">   مسجد الصحابه  بحي  حطين  </t>
  </si>
  <si>
    <t xml:space="preserve">مسجدشبرا  </t>
  </si>
  <si>
    <t xml:space="preserve">   مسجد حارة بن غنام  </t>
  </si>
  <si>
    <t xml:space="preserve">   مسجدالعزيزيه عبدالمحسن ال الشيخ  </t>
  </si>
  <si>
    <t xml:space="preserve">   وزارة الشئون الاسلامية والا وقاف  </t>
  </si>
  <si>
    <t xml:space="preserve">مسجدالامير عبدالرحمن بن عبدالله  </t>
  </si>
  <si>
    <t xml:space="preserve">   مسجد علي الفهد الهزاع  </t>
  </si>
  <si>
    <t xml:space="preserve">   وزارة     الشؤن     مسجد الواحة  </t>
  </si>
  <si>
    <t xml:space="preserve">   مسجد مزنه العتيبي  </t>
  </si>
  <si>
    <t xml:space="preserve">   مسجد/ علي بن حمودالعذل  </t>
  </si>
  <si>
    <t xml:space="preserve">   وزارةالشئون الاسلا ميه/مسجدالسعاده  </t>
  </si>
  <si>
    <t xml:space="preserve">   مسجد المانع  </t>
  </si>
  <si>
    <t xml:space="preserve">مسجد مريم اليوسف  </t>
  </si>
  <si>
    <t xml:space="preserve">مسجد والدة خالد المصيريعي  </t>
  </si>
  <si>
    <t xml:space="preserve">   مسجد محمد عبدالله الماجد  </t>
  </si>
  <si>
    <t xml:space="preserve">   مسجد الخير مع سكن الامام و المؤذن  </t>
  </si>
  <si>
    <t xml:space="preserve">مسجد الامير سلطان  </t>
  </si>
  <si>
    <t xml:space="preserve">   مسجد عبدالعزيز عبدالله الموسى  </t>
  </si>
  <si>
    <t xml:space="preserve">مسجد      عبدالله    بن عمار  </t>
  </si>
  <si>
    <t xml:space="preserve">   مسجد سعد الحبابي  </t>
  </si>
  <si>
    <t xml:space="preserve">   مسجد      المنار       </t>
  </si>
  <si>
    <t xml:space="preserve">مسجد المروه  جنوب  المعارض  </t>
  </si>
  <si>
    <t xml:space="preserve">   جامع  هجرة سمحه  </t>
  </si>
  <si>
    <t xml:space="preserve">مسجد محمد الجاسر  </t>
  </si>
  <si>
    <t xml:space="preserve">مسجد عبدالرحمن الغيث  </t>
  </si>
  <si>
    <t xml:space="preserve">مسجد      0         الجضيعى  </t>
  </si>
  <si>
    <t xml:space="preserve">   مسجدعبدالله محمدالشدى  </t>
  </si>
  <si>
    <t xml:space="preserve">جامع ساره  الفواز  </t>
  </si>
  <si>
    <t xml:space="preserve">مسجدالسهله  </t>
  </si>
  <si>
    <t xml:space="preserve">   مسجدالعقيق  </t>
  </si>
  <si>
    <t xml:space="preserve">   مسجد شرق قرطبة  </t>
  </si>
  <si>
    <t xml:space="preserve">مسجد سموالامير/مساعدبن عبدالرحمن  </t>
  </si>
  <si>
    <t xml:space="preserve">   مسجدأبو   عبيده بن  الجراح  </t>
  </si>
  <si>
    <t xml:space="preserve">مسجد فهد بن كريديس  </t>
  </si>
  <si>
    <t xml:space="preserve">مسجد حى  ال  فريان  </t>
  </si>
  <si>
    <t xml:space="preserve">     مسجد   الخفره  </t>
  </si>
  <si>
    <t xml:space="preserve">مسجد      محمد      بن تركي  </t>
  </si>
  <si>
    <t xml:space="preserve">   مسجدالصحابى العلاءبن الحضرمى  </t>
  </si>
  <si>
    <t xml:space="preserve">   مسجد روضة الصالحين  </t>
  </si>
  <si>
    <t xml:space="preserve">   مسجد القادسية  </t>
  </si>
  <si>
    <t xml:space="preserve">مسجد البرا بن مالك  </t>
  </si>
  <si>
    <t xml:space="preserve">مسجد ال  عبدالله  </t>
  </si>
  <si>
    <t xml:space="preserve">   مسجد صالح عبدالعزيز الراجحى  </t>
  </si>
  <si>
    <t xml:space="preserve">   مسجد الامير احمد بن عبدالعزيز  </t>
  </si>
  <si>
    <t xml:space="preserve">مسجد عتيقه  </t>
  </si>
  <si>
    <t xml:space="preserve">   مسجد الربوة  </t>
  </si>
  <si>
    <t xml:space="preserve">   مسجد صالح عبدالله  </t>
  </si>
  <si>
    <t xml:space="preserve">   مسجد محمدالغيث مع سكن الامام  </t>
  </si>
  <si>
    <t xml:space="preserve">مسجد/نورة  عبدالرحمن  </t>
  </si>
  <si>
    <t xml:space="preserve">مسجد بن دنان  </t>
  </si>
  <si>
    <t xml:space="preserve">   مسجد جامع المغرزات  </t>
  </si>
  <si>
    <t xml:space="preserve">   مسجد مانع القحطاني  </t>
  </si>
  <si>
    <t xml:space="preserve">   مسجد حي غبيراء  </t>
  </si>
  <si>
    <t xml:space="preserve">مسجد ابو موسى  الا شعري  </t>
  </si>
  <si>
    <t xml:space="preserve">   مسجد الفتح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</si>
</sst>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3" fillId="0" borderId="0" applyFon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1"/>
    <xf numFmtId="43" fontId="1" fillId="2" borderId="1" xfId="2" applyFont="1" applyFill="1" applyBorder="1" applyAlignment="1">
      <alignment horizontal="right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43" fontId="0" fillId="0" borderId="0" xfId="2" applyFont="1"/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3"/>
  <sheetViews>
    <sheetView tabSelected="1" workbookViewId="0">
      <selection activeCell="C14" sqref="C14"/>
    </sheetView>
  </sheetViews>
  <sheetFormatPr defaultRowHeight="14.5" x14ac:dyDescent="0.35"/>
  <cols>
    <col min="1" max="1" width="44" customWidth="1"/>
    <col min="2" max="2" width="18" customWidth="1"/>
    <col min="3" max="3" width="10" customWidth="1"/>
    <col min="4" max="4" width="20" customWidth="1"/>
    <col min="5" max="5" width="24" customWidth="1"/>
    <col min="6" max="6" width="11.453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>
        <v>31961</v>
      </c>
      <c r="F2" s="2" t="str">
        <f>HYPERLINK("https://www.google.com/maps/search/?api=1&amp;query=25.69066785,45.88582793", "View Map")</f>
        <v>View Map</v>
      </c>
    </row>
    <row r="3" spans="1:6" x14ac:dyDescent="0.35">
      <c r="A3" t="s">
        <v>10</v>
      </c>
      <c r="B3" t="s">
        <v>11</v>
      </c>
      <c r="C3" t="s">
        <v>12</v>
      </c>
      <c r="D3" t="s">
        <v>13</v>
      </c>
      <c r="E3">
        <v>20571</v>
      </c>
      <c r="F3" t="str">
        <f>HYPERLINK("https://www.google.com/maps/search/?api=1&amp;query=26.30596794,44.80295377", "View Map")</f>
        <v>View Map</v>
      </c>
    </row>
    <row r="4" spans="1:6" x14ac:dyDescent="0.35">
      <c r="A4" t="s">
        <v>14</v>
      </c>
      <c r="B4" t="s">
        <v>15</v>
      </c>
      <c r="C4" t="s">
        <v>16</v>
      </c>
      <c r="D4" t="s">
        <v>9</v>
      </c>
      <c r="E4">
        <v>18862</v>
      </c>
      <c r="F4" t="str">
        <f>HYPERLINK("https://www.google.com/maps/search/?api=1&amp;query=25.59180943,45.28879861", "View Map")</f>
        <v>View Map</v>
      </c>
    </row>
    <row r="5" spans="1:6" x14ac:dyDescent="0.35">
      <c r="A5" t="s">
        <v>17</v>
      </c>
      <c r="B5" t="s">
        <v>18</v>
      </c>
      <c r="C5" t="s">
        <v>8</v>
      </c>
      <c r="D5" t="s">
        <v>13</v>
      </c>
      <c r="E5">
        <v>9581</v>
      </c>
      <c r="F5" t="str">
        <f>HYPERLINK("https://www.google.com/maps/search/?api=1&amp;query=25.70312563,45.59412699", "View Map")</f>
        <v>View Map</v>
      </c>
    </row>
    <row r="6" spans="1:6" x14ac:dyDescent="0.35">
      <c r="A6" t="s">
        <v>19</v>
      </c>
      <c r="B6" t="s">
        <v>20</v>
      </c>
      <c r="C6" t="s">
        <v>12</v>
      </c>
      <c r="D6" t="s">
        <v>13</v>
      </c>
      <c r="E6">
        <v>7479</v>
      </c>
      <c r="F6" t="str">
        <f>HYPERLINK("https://www.google.com/maps/search/?api=1&amp;query=26.29771037,44.80181185", "View Map")</f>
        <v>View Map</v>
      </c>
    </row>
    <row r="7" spans="1:6" x14ac:dyDescent="0.35">
      <c r="A7" t="s">
        <v>21</v>
      </c>
      <c r="B7" t="s">
        <v>22</v>
      </c>
      <c r="C7" t="s">
        <v>16</v>
      </c>
      <c r="D7" t="s">
        <v>13</v>
      </c>
      <c r="E7">
        <v>6912</v>
      </c>
      <c r="F7" t="str">
        <f>HYPERLINK("https://www.google.com/maps/search/?api=1&amp;query=25.2430541,45.25760012", "View Map")</f>
        <v>View Map</v>
      </c>
    </row>
    <row r="8" spans="1:6" x14ac:dyDescent="0.35">
      <c r="A8" t="s">
        <v>23</v>
      </c>
      <c r="B8" t="s">
        <v>24</v>
      </c>
      <c r="C8" t="s">
        <v>12</v>
      </c>
      <c r="D8" t="s">
        <v>13</v>
      </c>
      <c r="E8">
        <v>6121</v>
      </c>
      <c r="F8" t="str">
        <f>HYPERLINK("https://www.google.com/maps/search/?api=1&amp;query=26.29313403,44.82522687", "View Map")</f>
        <v>View Map</v>
      </c>
    </row>
    <row r="9" spans="1:6" x14ac:dyDescent="0.35">
      <c r="A9" t="s">
        <v>25</v>
      </c>
      <c r="B9" t="s">
        <v>26</v>
      </c>
      <c r="C9" t="s">
        <v>27</v>
      </c>
      <c r="D9" t="s">
        <v>13</v>
      </c>
      <c r="E9">
        <v>6028</v>
      </c>
      <c r="F9" t="str">
        <f>HYPERLINK("https://www.google.com/maps/search/?api=1&amp;query=25.18074702,45.80168178", "View Map")</f>
        <v>View Map</v>
      </c>
    </row>
    <row r="10" spans="1:6" x14ac:dyDescent="0.35">
      <c r="A10" t="s">
        <v>28</v>
      </c>
      <c r="B10" t="s">
        <v>29</v>
      </c>
      <c r="C10" t="s">
        <v>8</v>
      </c>
      <c r="D10" t="s">
        <v>13</v>
      </c>
      <c r="E10">
        <v>4018</v>
      </c>
      <c r="F10" t="str">
        <f>HYPERLINK("https://www.google.com/maps/search/?api=1&amp;query=25.55667534,45.68171065", "View Map")</f>
        <v>View Map</v>
      </c>
    </row>
    <row r="11" spans="1:6" x14ac:dyDescent="0.35">
      <c r="A11" t="s">
        <v>30</v>
      </c>
      <c r="B11" t="s">
        <v>31</v>
      </c>
      <c r="C11" t="s">
        <v>8</v>
      </c>
      <c r="D11" t="s">
        <v>13</v>
      </c>
      <c r="E11">
        <v>3677</v>
      </c>
      <c r="F11" t="str">
        <f>HYPERLINK("https://www.google.com/maps/search/?api=1&amp;query=25.70480561,45.45324623", "View Map")</f>
        <v>View Map</v>
      </c>
    </row>
    <row r="12" spans="1:6" x14ac:dyDescent="0.35">
      <c r="A12" t="s">
        <v>32</v>
      </c>
      <c r="B12" t="s">
        <v>33</v>
      </c>
      <c r="C12" t="s">
        <v>12</v>
      </c>
      <c r="D12" t="s">
        <v>13</v>
      </c>
      <c r="E12">
        <v>3532</v>
      </c>
      <c r="F12" t="str">
        <f>HYPERLINK("https://www.google.com/maps/search/?api=1&amp;query=26.29568917,44.80257633", "View Map")</f>
        <v>View Map</v>
      </c>
    </row>
    <row r="13" spans="1:6" x14ac:dyDescent="0.35">
      <c r="A13" t="s">
        <v>34</v>
      </c>
      <c r="B13" t="s">
        <v>35</v>
      </c>
      <c r="C13" t="s">
        <v>27</v>
      </c>
      <c r="D13" t="s">
        <v>13</v>
      </c>
      <c r="E13">
        <v>3447</v>
      </c>
      <c r="F13" t="str">
        <f>HYPERLINK("https://www.google.com/maps/search/?api=1&amp;query=25.16284177,45.79747487", "View Map")</f>
        <v>View Map</v>
      </c>
    </row>
    <row r="14" spans="1:6" x14ac:dyDescent="0.35">
      <c r="A14" t="s">
        <v>36</v>
      </c>
      <c r="B14" t="s">
        <v>37</v>
      </c>
      <c r="C14" t="s">
        <v>38</v>
      </c>
      <c r="D14" t="s">
        <v>13</v>
      </c>
      <c r="E14">
        <v>3342</v>
      </c>
      <c r="F14" t="str">
        <f>HYPERLINK("https://www.google.com/maps/search/?api=1&amp;query=26.01802025,44.92578941", "View Map")</f>
        <v>View Map</v>
      </c>
    </row>
    <row r="15" spans="1:6" x14ac:dyDescent="0.35">
      <c r="A15" t="s">
        <v>39</v>
      </c>
      <c r="B15" t="s">
        <v>40</v>
      </c>
      <c r="C15" t="s">
        <v>16</v>
      </c>
      <c r="D15" t="s">
        <v>13</v>
      </c>
      <c r="E15">
        <v>3311</v>
      </c>
      <c r="F15" t="str">
        <f>HYPERLINK("https://www.google.com/maps/search/?api=1&amp;query=25.33811005,45.18448705", "View Map")</f>
        <v>View Map</v>
      </c>
    </row>
    <row r="16" spans="1:6" x14ac:dyDescent="0.35">
      <c r="A16" t="s">
        <v>41</v>
      </c>
      <c r="B16" t="s">
        <v>42</v>
      </c>
      <c r="C16" t="s">
        <v>12</v>
      </c>
      <c r="D16" t="s">
        <v>13</v>
      </c>
      <c r="E16">
        <v>3299</v>
      </c>
      <c r="F16" t="str">
        <f>HYPERLINK("https://www.google.com/maps/search/?api=1&amp;query=26.30417011,44.80322836", "View Map")</f>
        <v>View Map</v>
      </c>
    </row>
    <row r="17" spans="1:6" x14ac:dyDescent="0.35">
      <c r="A17" t="s">
        <v>43</v>
      </c>
      <c r="B17" t="s">
        <v>44</v>
      </c>
      <c r="C17" t="s">
        <v>8</v>
      </c>
      <c r="D17" t="s">
        <v>13</v>
      </c>
      <c r="E17">
        <v>3272</v>
      </c>
      <c r="F17" t="str">
        <f>HYPERLINK("https://www.google.com/maps/search/?api=1&amp;query=25.69664192,45.88027634", "View Map")</f>
        <v>View Map</v>
      </c>
    </row>
    <row r="18" spans="1:6" x14ac:dyDescent="0.35">
      <c r="A18" t="s">
        <v>45</v>
      </c>
      <c r="B18" t="s">
        <v>46</v>
      </c>
      <c r="C18" t="s">
        <v>8</v>
      </c>
      <c r="D18" t="s">
        <v>13</v>
      </c>
      <c r="E18">
        <v>2918</v>
      </c>
      <c r="F18" t="str">
        <f>HYPERLINK("https://www.google.com/maps/search/?api=1&amp;query=25.70874679,45.86746664", "View Map")</f>
        <v>View Map</v>
      </c>
    </row>
    <row r="19" spans="1:6" x14ac:dyDescent="0.35">
      <c r="A19" t="s">
        <v>47</v>
      </c>
      <c r="B19" t="s">
        <v>48</v>
      </c>
      <c r="C19" t="s">
        <v>12</v>
      </c>
      <c r="D19" t="s">
        <v>13</v>
      </c>
      <c r="E19">
        <v>2892</v>
      </c>
      <c r="F19" t="str">
        <f>HYPERLINK("https://www.google.com/maps/search/?api=1&amp;query=26.28873354,44.81367966", "View Map")</f>
        <v>View Map</v>
      </c>
    </row>
    <row r="20" spans="1:6" x14ac:dyDescent="0.35">
      <c r="A20" t="s">
        <v>49</v>
      </c>
      <c r="B20" t="s">
        <v>50</v>
      </c>
      <c r="C20" t="s">
        <v>51</v>
      </c>
      <c r="D20" t="s">
        <v>13</v>
      </c>
      <c r="E20">
        <v>2716</v>
      </c>
      <c r="F20" t="str">
        <f>HYPERLINK("https://www.google.com/maps/search/?api=1&amp;query=25.542916,47.17302172", "View Map")</f>
        <v>View Map</v>
      </c>
    </row>
    <row r="21" spans="1:6" x14ac:dyDescent="0.35">
      <c r="A21" t="s">
        <v>52</v>
      </c>
      <c r="B21" t="s">
        <v>53</v>
      </c>
      <c r="C21" t="s">
        <v>27</v>
      </c>
      <c r="D21" t="s">
        <v>9</v>
      </c>
      <c r="E21">
        <v>2715</v>
      </c>
      <c r="F21" t="str">
        <f>HYPERLINK("https://www.google.com/maps/search/?api=1&amp;query=25.28436705,45.86242288", "View Map")</f>
        <v>View Map</v>
      </c>
    </row>
    <row r="22" spans="1:6" x14ac:dyDescent="0.35">
      <c r="A22" t="s">
        <v>54</v>
      </c>
      <c r="B22" t="s">
        <v>55</v>
      </c>
      <c r="C22" t="s">
        <v>8</v>
      </c>
      <c r="D22" t="s">
        <v>13</v>
      </c>
      <c r="E22">
        <v>2683</v>
      </c>
      <c r="F22" t="str">
        <f>HYPERLINK("https://www.google.com/maps/search/?api=1&amp;query=25.90137549,45.33808059", "View Map")</f>
        <v>View Map</v>
      </c>
    </row>
    <row r="23" spans="1:6" x14ac:dyDescent="0.35">
      <c r="A23" t="s">
        <v>34</v>
      </c>
      <c r="B23" t="s">
        <v>56</v>
      </c>
      <c r="C23" t="s">
        <v>57</v>
      </c>
      <c r="D23" t="s">
        <v>13</v>
      </c>
      <c r="E23">
        <v>2612</v>
      </c>
      <c r="F23" t="str">
        <f>HYPERLINK("https://www.google.com/maps/search/?api=1&amp;query=25.17266616,46.33868616", "View Map")</f>
        <v>View Map</v>
      </c>
    </row>
    <row r="24" spans="1:6" x14ac:dyDescent="0.35">
      <c r="A24" t="s">
        <v>43</v>
      </c>
      <c r="B24" t="s">
        <v>58</v>
      </c>
      <c r="C24" t="s">
        <v>8</v>
      </c>
      <c r="D24" t="s">
        <v>13</v>
      </c>
      <c r="E24">
        <v>2559</v>
      </c>
      <c r="F24" t="str">
        <f>HYPERLINK("https://www.google.com/maps/search/?api=1&amp;query=25.69980448,45.88108272", "View Map")</f>
        <v>View Map</v>
      </c>
    </row>
    <row r="25" spans="1:6" x14ac:dyDescent="0.35">
      <c r="A25" t="s">
        <v>59</v>
      </c>
      <c r="B25" t="s">
        <v>60</v>
      </c>
      <c r="C25" t="s">
        <v>61</v>
      </c>
      <c r="D25" t="s">
        <v>13</v>
      </c>
      <c r="E25">
        <v>2521</v>
      </c>
      <c r="F25" t="str">
        <f>HYPERLINK("https://www.google.com/maps/search/?api=1&amp;query=25.07028395,45.45310802", "View Map")</f>
        <v>View Map</v>
      </c>
    </row>
    <row r="26" spans="1:6" x14ac:dyDescent="0.35">
      <c r="A26" t="s">
        <v>62</v>
      </c>
      <c r="B26" t="s">
        <v>63</v>
      </c>
      <c r="C26" t="s">
        <v>8</v>
      </c>
      <c r="D26" t="s">
        <v>13</v>
      </c>
      <c r="E26">
        <v>2364</v>
      </c>
      <c r="F26" t="str">
        <f>HYPERLINK("https://www.google.com/maps/search/?api=1&amp;query=25.5886303,45.6929573", "View Map")</f>
        <v>View Map</v>
      </c>
    </row>
    <row r="27" spans="1:6" x14ac:dyDescent="0.35">
      <c r="A27" t="s">
        <v>64</v>
      </c>
      <c r="B27" t="s">
        <v>65</v>
      </c>
      <c r="C27" t="s">
        <v>16</v>
      </c>
      <c r="D27" t="s">
        <v>13</v>
      </c>
      <c r="E27">
        <v>2345</v>
      </c>
      <c r="F27" t="str">
        <f>HYPERLINK("https://www.google.com/maps/search/?api=1&amp;query=25.29597092,45.53238578", "View Map")</f>
        <v>View Map</v>
      </c>
    </row>
    <row r="28" spans="1:6" x14ac:dyDescent="0.35">
      <c r="A28" t="s">
        <v>66</v>
      </c>
      <c r="B28" t="s">
        <v>67</v>
      </c>
      <c r="C28" t="s">
        <v>16</v>
      </c>
      <c r="D28" t="s">
        <v>13</v>
      </c>
      <c r="E28">
        <v>2208</v>
      </c>
      <c r="F28" t="str">
        <f>HYPERLINK("https://www.google.com/maps/search/?api=1&amp;query=25.22149373,45.28953409", "View Map")</f>
        <v>View Map</v>
      </c>
    </row>
    <row r="29" spans="1:6" x14ac:dyDescent="0.35">
      <c r="A29" t="s">
        <v>68</v>
      </c>
      <c r="B29" t="s">
        <v>69</v>
      </c>
      <c r="C29" t="s">
        <v>51</v>
      </c>
      <c r="D29" t="s">
        <v>13</v>
      </c>
      <c r="E29">
        <v>2192</v>
      </c>
      <c r="F29" t="str">
        <f>HYPERLINK("https://www.google.com/maps/search/?api=1&amp;query=25.57037053,47.15370119", "View Map")</f>
        <v>View Map</v>
      </c>
    </row>
    <row r="30" spans="1:6" x14ac:dyDescent="0.35">
      <c r="A30" t="s">
        <v>70</v>
      </c>
      <c r="B30" t="s">
        <v>71</v>
      </c>
      <c r="C30" t="s">
        <v>8</v>
      </c>
      <c r="D30" t="s">
        <v>13</v>
      </c>
      <c r="E30">
        <v>2146</v>
      </c>
      <c r="F30" t="str">
        <f>HYPERLINK("https://www.google.com/maps/search/?api=1&amp;query=25.91560952,45.39291536", "View Map")</f>
        <v>View Map</v>
      </c>
    </row>
    <row r="31" spans="1:6" x14ac:dyDescent="0.35">
      <c r="A31" t="s">
        <v>47</v>
      </c>
      <c r="B31" t="s">
        <v>72</v>
      </c>
      <c r="C31" t="s">
        <v>12</v>
      </c>
      <c r="D31" t="s">
        <v>13</v>
      </c>
      <c r="E31">
        <v>2061</v>
      </c>
      <c r="F31" t="str">
        <f>HYPERLINK("https://www.google.com/maps/search/?api=1&amp;query=26.2750392,44.83346738", "View Map")</f>
        <v>View Map</v>
      </c>
    </row>
    <row r="32" spans="1:6" x14ac:dyDescent="0.35">
      <c r="A32" t="s">
        <v>73</v>
      </c>
      <c r="B32" t="s">
        <v>74</v>
      </c>
      <c r="C32" t="s">
        <v>12</v>
      </c>
      <c r="D32" t="s">
        <v>13</v>
      </c>
      <c r="E32">
        <v>1961</v>
      </c>
      <c r="F32" t="str">
        <f>HYPERLINK("https://www.google.com/maps/search/?api=1&amp;query=26.31361791,44.79530911", "View Map")</f>
        <v>View Map</v>
      </c>
    </row>
    <row r="33" spans="1:6" x14ac:dyDescent="0.35">
      <c r="A33" t="s">
        <v>75</v>
      </c>
      <c r="B33" t="s">
        <v>76</v>
      </c>
      <c r="C33" t="s">
        <v>12</v>
      </c>
      <c r="D33" t="s">
        <v>13</v>
      </c>
      <c r="E33">
        <v>1932</v>
      </c>
      <c r="F33" t="str">
        <f>HYPERLINK("https://www.google.com/maps/search/?api=1&amp;query=26.29920334,44.80223512", "View Map")</f>
        <v>View Map</v>
      </c>
    </row>
    <row r="34" spans="1:6" x14ac:dyDescent="0.35">
      <c r="A34" t="s">
        <v>77</v>
      </c>
      <c r="B34" t="s">
        <v>78</v>
      </c>
      <c r="C34" t="s">
        <v>8</v>
      </c>
      <c r="D34" t="s">
        <v>13</v>
      </c>
      <c r="E34">
        <v>1905</v>
      </c>
      <c r="F34" t="str">
        <f>HYPERLINK("https://www.google.com/maps/search/?api=1&amp;query=25.90609461,45.39241928", "View Map")</f>
        <v>View Map</v>
      </c>
    </row>
    <row r="35" spans="1:6" x14ac:dyDescent="0.35">
      <c r="A35" t="s">
        <v>79</v>
      </c>
      <c r="B35" t="s">
        <v>80</v>
      </c>
      <c r="C35" t="s">
        <v>8</v>
      </c>
      <c r="D35" t="s">
        <v>13</v>
      </c>
      <c r="E35">
        <v>1829</v>
      </c>
      <c r="F35" t="str">
        <f>HYPERLINK("https://www.google.com/maps/search/?api=1&amp;query=25.9142345,45.38042345", "View Map")</f>
        <v>View Map</v>
      </c>
    </row>
    <row r="36" spans="1:6" x14ac:dyDescent="0.35">
      <c r="A36" t="s">
        <v>81</v>
      </c>
      <c r="B36" t="s">
        <v>82</v>
      </c>
      <c r="C36" t="s">
        <v>12</v>
      </c>
      <c r="D36" t="s">
        <v>13</v>
      </c>
      <c r="E36">
        <v>1827</v>
      </c>
      <c r="F36" t="str">
        <f>HYPERLINK("https://www.google.com/maps/search/?api=1&amp;query=26.31126466,44.82186711", "View Map")</f>
        <v>View Map</v>
      </c>
    </row>
    <row r="37" spans="1:6" x14ac:dyDescent="0.35">
      <c r="A37" t="s">
        <v>83</v>
      </c>
      <c r="B37" t="s">
        <v>84</v>
      </c>
      <c r="C37" t="s">
        <v>16</v>
      </c>
      <c r="D37" t="s">
        <v>13</v>
      </c>
      <c r="E37">
        <v>1816</v>
      </c>
      <c r="F37" t="str">
        <f>HYPERLINK("https://www.google.com/maps/search/?api=1&amp;query=25.30138419,45.53439916", "View Map")</f>
        <v>View Map</v>
      </c>
    </row>
    <row r="38" spans="1:6" x14ac:dyDescent="0.35">
      <c r="A38" t="s">
        <v>85</v>
      </c>
      <c r="B38" t="s">
        <v>86</v>
      </c>
      <c r="C38" t="s">
        <v>12</v>
      </c>
      <c r="D38" t="s">
        <v>13</v>
      </c>
      <c r="E38">
        <v>1797</v>
      </c>
      <c r="F38" t="str">
        <f>HYPERLINK("https://www.google.com/maps/search/?api=1&amp;query=26.29433903,44.80953842", "View Map")</f>
        <v>View Map</v>
      </c>
    </row>
    <row r="39" spans="1:6" x14ac:dyDescent="0.35">
      <c r="A39" t="s">
        <v>87</v>
      </c>
      <c r="B39" t="s">
        <v>88</v>
      </c>
      <c r="C39" t="s">
        <v>16</v>
      </c>
      <c r="D39" t="s">
        <v>13</v>
      </c>
      <c r="E39">
        <v>1770</v>
      </c>
      <c r="F39" t="str">
        <f>HYPERLINK("https://www.google.com/maps/search/?api=1&amp;query=25.22796608,45.25346721", "View Map")</f>
        <v>View Map</v>
      </c>
    </row>
    <row r="40" spans="1:6" x14ac:dyDescent="0.35">
      <c r="A40" t="s">
        <v>89</v>
      </c>
      <c r="B40" t="s">
        <v>90</v>
      </c>
      <c r="C40" t="s">
        <v>8</v>
      </c>
      <c r="D40" t="s">
        <v>9</v>
      </c>
      <c r="E40">
        <v>1746</v>
      </c>
      <c r="F40" t="str">
        <f>HYPERLINK("https://www.google.com/maps/search/?api=1&amp;query=25.70857297,45.8672867", "View Map")</f>
        <v>View Map</v>
      </c>
    </row>
    <row r="41" spans="1:6" x14ac:dyDescent="0.35">
      <c r="A41" t="s">
        <v>91</v>
      </c>
      <c r="B41" t="s">
        <v>92</v>
      </c>
      <c r="C41" t="s">
        <v>8</v>
      </c>
      <c r="D41" t="s">
        <v>13</v>
      </c>
      <c r="E41">
        <v>1735</v>
      </c>
      <c r="F41" t="str">
        <f>HYPERLINK("https://www.google.com/maps/search/?api=1&amp;query=25.90012722,45.36758724", "View Map")</f>
        <v>View Map</v>
      </c>
    </row>
    <row r="42" spans="1:6" x14ac:dyDescent="0.35">
      <c r="A42" t="s">
        <v>93</v>
      </c>
      <c r="B42" t="s">
        <v>94</v>
      </c>
      <c r="C42" t="s">
        <v>8</v>
      </c>
      <c r="D42" t="s">
        <v>13</v>
      </c>
      <c r="E42">
        <v>1729</v>
      </c>
      <c r="F42" t="str">
        <f>HYPERLINK("https://www.google.com/maps/search/?api=1&amp;query=25.62758335,45.5764935", "View Map")</f>
        <v>View Map</v>
      </c>
    </row>
    <row r="43" spans="1:6" x14ac:dyDescent="0.35">
      <c r="A43" t="s">
        <v>95</v>
      </c>
      <c r="B43" t="s">
        <v>96</v>
      </c>
      <c r="C43" t="s">
        <v>27</v>
      </c>
      <c r="D43" t="s">
        <v>13</v>
      </c>
      <c r="E43">
        <v>1710</v>
      </c>
      <c r="F43" t="str">
        <f>HYPERLINK("https://www.google.com/maps/search/?api=1&amp;query=25.21291199,45.74798068", "View Map")</f>
        <v>View Map</v>
      </c>
    </row>
    <row r="44" spans="1:6" x14ac:dyDescent="0.35">
      <c r="A44" t="s">
        <v>25</v>
      </c>
      <c r="B44" t="s">
        <v>97</v>
      </c>
      <c r="C44" t="s">
        <v>57</v>
      </c>
      <c r="D44" t="s">
        <v>13</v>
      </c>
      <c r="E44">
        <v>1692</v>
      </c>
      <c r="F44" t="str">
        <f>HYPERLINK("https://www.google.com/maps/search/?api=1&amp;query=25.00487819,45.83415925", "View Map")</f>
        <v>View Map</v>
      </c>
    </row>
    <row r="45" spans="1:6" x14ac:dyDescent="0.35">
      <c r="A45" t="s">
        <v>98</v>
      </c>
      <c r="B45" t="s">
        <v>99</v>
      </c>
      <c r="C45" t="s">
        <v>8</v>
      </c>
      <c r="D45" t="s">
        <v>13</v>
      </c>
      <c r="E45">
        <v>1669</v>
      </c>
      <c r="F45" t="str">
        <f>HYPERLINK("https://www.google.com/maps/search/?api=1&amp;query=25.90665398,45.36986552", "View Map")</f>
        <v>View Map</v>
      </c>
    </row>
    <row r="46" spans="1:6" x14ac:dyDescent="0.35">
      <c r="A46" t="s">
        <v>100</v>
      </c>
      <c r="B46" t="s">
        <v>101</v>
      </c>
      <c r="C46" t="s">
        <v>8</v>
      </c>
      <c r="D46" t="s">
        <v>13</v>
      </c>
      <c r="E46">
        <v>1667</v>
      </c>
      <c r="F46" t="str">
        <f>HYPERLINK("https://www.google.com/maps/search/?api=1&amp;query=25.6197703,45.55420143", "View Map")</f>
        <v>View Map</v>
      </c>
    </row>
    <row r="47" spans="1:6" x14ac:dyDescent="0.35">
      <c r="A47" t="s">
        <v>102</v>
      </c>
      <c r="B47" t="s">
        <v>103</v>
      </c>
      <c r="C47" t="s">
        <v>51</v>
      </c>
      <c r="D47" t="s">
        <v>13</v>
      </c>
      <c r="E47">
        <v>1661</v>
      </c>
      <c r="F47" t="str">
        <f>HYPERLINK("https://www.google.com/maps/search/?api=1&amp;query=25.57397179,47.15612234", "View Map")</f>
        <v>View Map</v>
      </c>
    </row>
    <row r="48" spans="1:6" x14ac:dyDescent="0.35">
      <c r="A48" t="s">
        <v>104</v>
      </c>
      <c r="B48" t="s">
        <v>105</v>
      </c>
      <c r="C48" t="s">
        <v>12</v>
      </c>
      <c r="D48" t="s">
        <v>13</v>
      </c>
      <c r="E48">
        <v>1633</v>
      </c>
      <c r="F48" t="str">
        <f>HYPERLINK("https://www.google.com/maps/search/?api=1&amp;query=26.29833162,44.82278156", "View Map")</f>
        <v>View Map</v>
      </c>
    </row>
    <row r="49" spans="1:6" x14ac:dyDescent="0.35">
      <c r="A49" t="s">
        <v>106</v>
      </c>
      <c r="B49" t="s">
        <v>107</v>
      </c>
      <c r="C49" t="s">
        <v>27</v>
      </c>
      <c r="D49" t="s">
        <v>13</v>
      </c>
      <c r="E49">
        <v>1612</v>
      </c>
      <c r="F49" t="str">
        <f>HYPERLINK("https://www.google.com/maps/search/?api=1&amp;query=25.29098964,45.7875043", "View Map")</f>
        <v>View Map</v>
      </c>
    </row>
    <row r="50" spans="1:6" x14ac:dyDescent="0.35">
      <c r="A50" t="s">
        <v>108</v>
      </c>
      <c r="B50" t="s">
        <v>109</v>
      </c>
      <c r="C50" t="s">
        <v>12</v>
      </c>
      <c r="D50" t="s">
        <v>13</v>
      </c>
      <c r="E50">
        <v>1610</v>
      </c>
      <c r="F50" t="str">
        <f>HYPERLINK("https://www.google.com/maps/search/?api=1&amp;query=26.29322262,44.80613686", "View Map")</f>
        <v>View Map</v>
      </c>
    </row>
    <row r="51" spans="1:6" x14ac:dyDescent="0.35">
      <c r="A51" t="s">
        <v>47</v>
      </c>
      <c r="B51" t="s">
        <v>110</v>
      </c>
      <c r="C51" t="s">
        <v>12</v>
      </c>
      <c r="D51" t="s">
        <v>13</v>
      </c>
      <c r="E51">
        <v>1545</v>
      </c>
      <c r="F51" t="str">
        <f>HYPERLINK("https://www.google.com/maps/search/?api=1&amp;query=26.33586435,44.80312445", "View Map")</f>
        <v>View Map</v>
      </c>
    </row>
    <row r="52" spans="1:6" x14ac:dyDescent="0.35">
      <c r="A52" t="s">
        <v>111</v>
      </c>
      <c r="B52" t="s">
        <v>112</v>
      </c>
      <c r="C52" t="s">
        <v>8</v>
      </c>
      <c r="D52" t="s">
        <v>13</v>
      </c>
      <c r="E52">
        <v>1537</v>
      </c>
      <c r="F52" t="str">
        <f>HYPERLINK("https://www.google.com/maps/search/?api=1&amp;query=25.69811975,45.88575973", "View Map")</f>
        <v>View Map</v>
      </c>
    </row>
    <row r="53" spans="1:6" x14ac:dyDescent="0.35">
      <c r="A53" t="s">
        <v>47</v>
      </c>
      <c r="B53" t="s">
        <v>113</v>
      </c>
      <c r="C53" t="s">
        <v>12</v>
      </c>
      <c r="D53" t="s">
        <v>13</v>
      </c>
      <c r="E53">
        <v>1513</v>
      </c>
      <c r="F53" t="str">
        <f>HYPERLINK("https://www.google.com/maps/search/?api=1&amp;query=26.31284717,44.88297222", "View Map")</f>
        <v>View Map</v>
      </c>
    </row>
    <row r="54" spans="1:6" x14ac:dyDescent="0.35">
      <c r="A54" t="s">
        <v>114</v>
      </c>
      <c r="B54" t="s">
        <v>115</v>
      </c>
      <c r="C54" t="s">
        <v>12</v>
      </c>
      <c r="D54" t="s">
        <v>13</v>
      </c>
      <c r="E54">
        <v>1512</v>
      </c>
      <c r="F54" t="str">
        <f>HYPERLINK("https://www.google.com/maps/search/?api=1&amp;query=26.29497184,44.82990714", "View Map")</f>
        <v>View Map</v>
      </c>
    </row>
    <row r="55" spans="1:6" x14ac:dyDescent="0.35">
      <c r="A55" t="s">
        <v>34</v>
      </c>
      <c r="B55" t="s">
        <v>116</v>
      </c>
      <c r="C55" t="s">
        <v>57</v>
      </c>
      <c r="D55" t="s">
        <v>9</v>
      </c>
      <c r="E55">
        <v>1501</v>
      </c>
      <c r="F55" t="str">
        <f>HYPERLINK("https://www.google.com/maps/search/?api=1&amp;query=25.08864854,46.26075928", "View Map")</f>
        <v>View Map</v>
      </c>
    </row>
    <row r="56" spans="1:6" x14ac:dyDescent="0.35">
      <c r="A56" t="s">
        <v>47</v>
      </c>
      <c r="B56" t="s">
        <v>117</v>
      </c>
      <c r="C56" t="s">
        <v>12</v>
      </c>
      <c r="D56" t="s">
        <v>13</v>
      </c>
      <c r="E56">
        <v>1480</v>
      </c>
      <c r="F56" t="str">
        <f>HYPERLINK("https://www.google.com/maps/search/?api=1&amp;query=26.23762735,44.80722975", "View Map")</f>
        <v>View Map</v>
      </c>
    </row>
    <row r="57" spans="1:6" x14ac:dyDescent="0.35">
      <c r="A57" t="s">
        <v>118</v>
      </c>
      <c r="B57" t="s">
        <v>119</v>
      </c>
      <c r="C57" t="s">
        <v>12</v>
      </c>
      <c r="D57" t="s">
        <v>13</v>
      </c>
      <c r="E57">
        <v>1452</v>
      </c>
      <c r="F57" t="str">
        <f>HYPERLINK("https://www.google.com/maps/search/?api=1&amp;query=26.29793091,44.81972532", "View Map")</f>
        <v>View Map</v>
      </c>
    </row>
    <row r="58" spans="1:6" x14ac:dyDescent="0.35">
      <c r="A58" t="s">
        <v>120</v>
      </c>
      <c r="B58" t="s">
        <v>121</v>
      </c>
      <c r="C58" t="s">
        <v>12</v>
      </c>
      <c r="D58" t="s">
        <v>13</v>
      </c>
      <c r="E58">
        <v>1444</v>
      </c>
      <c r="F58" t="str">
        <f>HYPERLINK("https://www.google.com/maps/search/?api=1&amp;query=26.33741856,44.78205274", "View Map")</f>
        <v>View Map</v>
      </c>
    </row>
    <row r="59" spans="1:6" x14ac:dyDescent="0.35">
      <c r="A59" t="s">
        <v>122</v>
      </c>
      <c r="B59" t="s">
        <v>123</v>
      </c>
      <c r="C59" t="s">
        <v>12</v>
      </c>
      <c r="D59" t="s">
        <v>13</v>
      </c>
      <c r="E59">
        <v>1405</v>
      </c>
      <c r="F59" t="str">
        <f>HYPERLINK("https://www.google.com/maps/search/?api=1&amp;query=26.30506907,44.80998338", "View Map")</f>
        <v>View Map</v>
      </c>
    </row>
    <row r="60" spans="1:6" x14ac:dyDescent="0.35">
      <c r="A60" t="s">
        <v>124</v>
      </c>
      <c r="B60" t="s">
        <v>125</v>
      </c>
      <c r="C60" t="s">
        <v>12</v>
      </c>
      <c r="D60" t="s">
        <v>13</v>
      </c>
      <c r="E60">
        <v>1404</v>
      </c>
      <c r="F60" t="str">
        <f>HYPERLINK("https://www.google.com/maps/search/?api=1&amp;query=26.30147921,44.79722731", "View Map")</f>
        <v>View Map</v>
      </c>
    </row>
    <row r="61" spans="1:6" x14ac:dyDescent="0.35">
      <c r="A61" t="s">
        <v>126</v>
      </c>
      <c r="B61" t="s">
        <v>127</v>
      </c>
      <c r="C61" t="s">
        <v>12</v>
      </c>
      <c r="D61" t="s">
        <v>13</v>
      </c>
      <c r="E61">
        <v>1404</v>
      </c>
      <c r="F61" t="str">
        <f>HYPERLINK("https://www.google.com/maps/search/?api=1&amp;query=26.30829519,44.81851259", "View Map")</f>
        <v>View Map</v>
      </c>
    </row>
    <row r="62" spans="1:6" x14ac:dyDescent="0.35">
      <c r="A62" t="s">
        <v>128</v>
      </c>
      <c r="B62" t="s">
        <v>129</v>
      </c>
      <c r="C62" t="s">
        <v>16</v>
      </c>
      <c r="D62" t="s">
        <v>13</v>
      </c>
      <c r="E62">
        <v>1400</v>
      </c>
      <c r="F62" t="str">
        <f>HYPERLINK("https://www.google.com/maps/search/?api=1&amp;query=25.24006568,45.24722379", "View Map")</f>
        <v>View Map</v>
      </c>
    </row>
    <row r="63" spans="1:6" x14ac:dyDescent="0.35">
      <c r="A63" t="s">
        <v>30</v>
      </c>
      <c r="B63" t="s">
        <v>130</v>
      </c>
      <c r="C63" t="s">
        <v>8</v>
      </c>
      <c r="D63" t="s">
        <v>13</v>
      </c>
      <c r="E63">
        <v>1397</v>
      </c>
      <c r="F63" t="str">
        <f>HYPERLINK("https://www.google.com/maps/search/?api=1&amp;query=25.70068353,45.46803088", "View Map")</f>
        <v>View Map</v>
      </c>
    </row>
    <row r="64" spans="1:6" x14ac:dyDescent="0.35">
      <c r="A64" t="s">
        <v>47</v>
      </c>
      <c r="B64" t="s">
        <v>131</v>
      </c>
      <c r="C64" t="s">
        <v>12</v>
      </c>
      <c r="D64" t="s">
        <v>13</v>
      </c>
      <c r="E64">
        <v>1366</v>
      </c>
      <c r="F64" t="str">
        <f>HYPERLINK("https://www.google.com/maps/search/?api=1&amp;query=26.28896711,44.82354316", "View Map")</f>
        <v>View Map</v>
      </c>
    </row>
    <row r="65" spans="1:6" x14ac:dyDescent="0.35">
      <c r="A65" t="s">
        <v>132</v>
      </c>
      <c r="B65" t="s">
        <v>133</v>
      </c>
      <c r="C65" t="s">
        <v>51</v>
      </c>
      <c r="D65" t="s">
        <v>13</v>
      </c>
      <c r="E65">
        <v>1362</v>
      </c>
      <c r="F65" t="str">
        <f>HYPERLINK("https://www.google.com/maps/search/?api=1&amp;query=25.57467605,47.16449081", "View Map")</f>
        <v>View Map</v>
      </c>
    </row>
    <row r="66" spans="1:6" x14ac:dyDescent="0.35">
      <c r="A66" t="s">
        <v>134</v>
      </c>
      <c r="B66" t="s">
        <v>135</v>
      </c>
      <c r="C66" t="s">
        <v>8</v>
      </c>
      <c r="D66" t="s">
        <v>13</v>
      </c>
      <c r="E66">
        <v>1351</v>
      </c>
      <c r="F66" t="str">
        <f>HYPERLINK("https://www.google.com/maps/search/?api=1&amp;query=25.82694678,45.80144844", "View Map")</f>
        <v>View Map</v>
      </c>
    </row>
    <row r="67" spans="1:6" x14ac:dyDescent="0.35">
      <c r="A67" t="s">
        <v>136</v>
      </c>
      <c r="B67" t="s">
        <v>137</v>
      </c>
      <c r="C67" t="s">
        <v>27</v>
      </c>
      <c r="D67" t="s">
        <v>13</v>
      </c>
      <c r="E67">
        <v>1318</v>
      </c>
      <c r="F67" t="str">
        <f>HYPERLINK("https://www.google.com/maps/search/?api=1&amp;query=25.28549154,45.86457047", "View Map")</f>
        <v>View Map</v>
      </c>
    </row>
    <row r="68" spans="1:6" x14ac:dyDescent="0.35">
      <c r="A68" t="s">
        <v>138</v>
      </c>
      <c r="B68" t="s">
        <v>139</v>
      </c>
      <c r="C68" t="s">
        <v>12</v>
      </c>
      <c r="D68" t="s">
        <v>13</v>
      </c>
      <c r="E68">
        <v>1271</v>
      </c>
      <c r="F68" t="str">
        <f>HYPERLINK("https://www.google.com/maps/search/?api=1&amp;query=26.29669067,44.79880356", "View Map")</f>
        <v>View Map</v>
      </c>
    </row>
    <row r="69" spans="1:6" x14ac:dyDescent="0.35">
      <c r="A69" t="s">
        <v>49</v>
      </c>
      <c r="B69" t="s">
        <v>140</v>
      </c>
      <c r="C69" t="s">
        <v>51</v>
      </c>
      <c r="D69" t="s">
        <v>9</v>
      </c>
      <c r="E69">
        <v>1266</v>
      </c>
      <c r="F69" t="str">
        <f>HYPERLINK("https://www.google.com/maps/search/?api=1&amp;query=25.56065672,47.17776235", "View Map")</f>
        <v>View Map</v>
      </c>
    </row>
    <row r="70" spans="1:6" x14ac:dyDescent="0.35">
      <c r="A70" t="s">
        <v>141</v>
      </c>
      <c r="B70" t="s">
        <v>142</v>
      </c>
      <c r="C70" t="s">
        <v>12</v>
      </c>
      <c r="D70" t="s">
        <v>13</v>
      </c>
      <c r="E70">
        <v>1259</v>
      </c>
      <c r="F70" t="str">
        <f>HYPERLINK("https://www.google.com/maps/search/?api=1&amp;query=26.33404486,44.81111048", "View Map")</f>
        <v>View Map</v>
      </c>
    </row>
    <row r="71" spans="1:6" x14ac:dyDescent="0.35">
      <c r="A71" t="s">
        <v>143</v>
      </c>
      <c r="B71" t="s">
        <v>144</v>
      </c>
      <c r="C71" t="s">
        <v>12</v>
      </c>
      <c r="D71" t="s">
        <v>13</v>
      </c>
      <c r="E71">
        <v>1248</v>
      </c>
      <c r="F71" t="str">
        <f>HYPERLINK("https://www.google.com/maps/search/?api=1&amp;query=26.29423433,44.82305807", "View Map")</f>
        <v>View Map</v>
      </c>
    </row>
    <row r="72" spans="1:6" x14ac:dyDescent="0.35">
      <c r="A72" t="s">
        <v>145</v>
      </c>
      <c r="B72" t="s">
        <v>146</v>
      </c>
      <c r="C72" t="s">
        <v>12</v>
      </c>
      <c r="D72" t="s">
        <v>13</v>
      </c>
      <c r="E72">
        <v>1246</v>
      </c>
      <c r="F72" t="str">
        <f>HYPERLINK("https://www.google.com/maps/search/?api=1&amp;query=26.27690958,44.83010086", "View Map")</f>
        <v>View Map</v>
      </c>
    </row>
    <row r="73" spans="1:6" x14ac:dyDescent="0.35">
      <c r="A73" t="s">
        <v>147</v>
      </c>
      <c r="B73" t="s">
        <v>148</v>
      </c>
      <c r="C73" t="s">
        <v>16</v>
      </c>
      <c r="D73" t="s">
        <v>9</v>
      </c>
      <c r="E73">
        <v>1228</v>
      </c>
      <c r="F73" t="str">
        <f>HYPERLINK("https://www.google.com/maps/search/?api=1&amp;query=25.23227944,45.31688893", "View Map")</f>
        <v>View Map</v>
      </c>
    </row>
    <row r="74" spans="1:6" x14ac:dyDescent="0.35">
      <c r="A74" t="s">
        <v>149</v>
      </c>
      <c r="B74" t="s">
        <v>150</v>
      </c>
      <c r="C74" t="s">
        <v>8</v>
      </c>
      <c r="D74" t="s">
        <v>13</v>
      </c>
      <c r="E74">
        <v>1212</v>
      </c>
      <c r="F74" t="str">
        <f>HYPERLINK("https://www.google.com/maps/search/?api=1&amp;query=26.49741951,45.34644563", "View Map")</f>
        <v>View Map</v>
      </c>
    </row>
    <row r="75" spans="1:6" x14ac:dyDescent="0.35">
      <c r="A75" t="s">
        <v>151</v>
      </c>
      <c r="B75" t="s">
        <v>152</v>
      </c>
      <c r="C75" t="s">
        <v>12</v>
      </c>
      <c r="D75" t="s">
        <v>13</v>
      </c>
      <c r="E75">
        <v>1212</v>
      </c>
      <c r="F75" t="str">
        <f>HYPERLINK("https://www.google.com/maps/search/?api=1&amp;query=26.30608873,44.83163698", "View Map")</f>
        <v>View Map</v>
      </c>
    </row>
    <row r="76" spans="1:6" x14ac:dyDescent="0.35">
      <c r="A76" t="s">
        <v>153</v>
      </c>
      <c r="B76" t="s">
        <v>154</v>
      </c>
      <c r="C76" t="s">
        <v>12</v>
      </c>
      <c r="D76" t="s">
        <v>13</v>
      </c>
      <c r="E76">
        <v>1206</v>
      </c>
      <c r="F76" t="str">
        <f>HYPERLINK("https://www.google.com/maps/search/?api=1&amp;query=26.34080743,44.78830225", "View Map")</f>
        <v>View Map</v>
      </c>
    </row>
    <row r="77" spans="1:6" x14ac:dyDescent="0.35">
      <c r="A77" t="s">
        <v>155</v>
      </c>
      <c r="B77" t="s">
        <v>156</v>
      </c>
      <c r="C77" t="s">
        <v>27</v>
      </c>
      <c r="D77" t="s">
        <v>13</v>
      </c>
      <c r="E77">
        <v>1183</v>
      </c>
      <c r="F77" t="str">
        <f>HYPERLINK("https://www.google.com/maps/search/?api=1&amp;query=25.41378054,46.04784435", "View Map")</f>
        <v>View Map</v>
      </c>
    </row>
    <row r="78" spans="1:6" x14ac:dyDescent="0.35">
      <c r="A78" t="s">
        <v>157</v>
      </c>
      <c r="B78" t="s">
        <v>158</v>
      </c>
      <c r="C78" t="s">
        <v>8</v>
      </c>
      <c r="D78" t="s">
        <v>13</v>
      </c>
      <c r="E78">
        <v>1174</v>
      </c>
      <c r="F78" t="str">
        <f>HYPERLINK("https://www.google.com/maps/search/?api=1&amp;query=25.67925646,45.44917603", "View Map")</f>
        <v>View Map</v>
      </c>
    </row>
    <row r="79" spans="1:6" x14ac:dyDescent="0.35">
      <c r="A79" t="s">
        <v>159</v>
      </c>
      <c r="B79" t="s">
        <v>160</v>
      </c>
      <c r="C79" t="s">
        <v>12</v>
      </c>
      <c r="D79" t="s">
        <v>13</v>
      </c>
      <c r="E79">
        <v>1166</v>
      </c>
      <c r="F79" t="str">
        <f>HYPERLINK("https://www.google.com/maps/search/?api=1&amp;query=26.2935095,44.78403525", "View Map")</f>
        <v>View Map</v>
      </c>
    </row>
    <row r="80" spans="1:6" x14ac:dyDescent="0.35">
      <c r="A80" t="s">
        <v>161</v>
      </c>
      <c r="B80" t="s">
        <v>162</v>
      </c>
      <c r="C80" t="s">
        <v>57</v>
      </c>
      <c r="D80" t="s">
        <v>13</v>
      </c>
      <c r="E80">
        <v>1161</v>
      </c>
      <c r="F80" t="str">
        <f>HYPERLINK("https://www.google.com/maps/search/?api=1&amp;query=25.10882325,46.10666799", "View Map")</f>
        <v>View Map</v>
      </c>
    </row>
    <row r="81" spans="1:6" x14ac:dyDescent="0.35">
      <c r="A81" t="s">
        <v>163</v>
      </c>
      <c r="B81" t="s">
        <v>164</v>
      </c>
      <c r="C81" t="s">
        <v>12</v>
      </c>
      <c r="D81" t="s">
        <v>13</v>
      </c>
      <c r="E81">
        <v>1151</v>
      </c>
      <c r="F81" t="str">
        <f>HYPERLINK("https://www.google.com/maps/search/?api=1&amp;query=26.29852686,44.82937323", "View Map")</f>
        <v>View Map</v>
      </c>
    </row>
    <row r="82" spans="1:6" x14ac:dyDescent="0.35">
      <c r="A82" t="s">
        <v>165</v>
      </c>
      <c r="B82" t="s">
        <v>166</v>
      </c>
      <c r="C82" t="s">
        <v>8</v>
      </c>
      <c r="D82" t="s">
        <v>13</v>
      </c>
      <c r="E82">
        <v>1128</v>
      </c>
      <c r="F82" t="str">
        <f>HYPERLINK("https://www.google.com/maps/search/?api=1&amp;query=25.90891683,45.36534775", "View Map")</f>
        <v>View Map</v>
      </c>
    </row>
    <row r="83" spans="1:6" x14ac:dyDescent="0.35">
      <c r="A83" t="s">
        <v>167</v>
      </c>
      <c r="B83" t="s">
        <v>168</v>
      </c>
      <c r="C83" t="s">
        <v>16</v>
      </c>
      <c r="D83" t="s">
        <v>13</v>
      </c>
      <c r="E83">
        <v>1128</v>
      </c>
      <c r="F83" t="str">
        <f>HYPERLINK("https://www.google.com/maps/search/?api=1&amp;query=25.33101947,45.19765554", "View Map")</f>
        <v>View Map</v>
      </c>
    </row>
    <row r="84" spans="1:6" x14ac:dyDescent="0.35">
      <c r="A84" t="s">
        <v>169</v>
      </c>
      <c r="B84" t="s">
        <v>170</v>
      </c>
      <c r="C84" t="s">
        <v>8</v>
      </c>
      <c r="D84" t="s">
        <v>13</v>
      </c>
      <c r="E84">
        <v>1122</v>
      </c>
      <c r="F84" t="str">
        <f>HYPERLINK("https://www.google.com/maps/search/?api=1&amp;query=25.62337307,45.57722311", "View Map")</f>
        <v>View Map</v>
      </c>
    </row>
    <row r="85" spans="1:6" x14ac:dyDescent="0.35">
      <c r="A85" t="s">
        <v>171</v>
      </c>
      <c r="B85" t="s">
        <v>172</v>
      </c>
      <c r="C85" t="s">
        <v>51</v>
      </c>
      <c r="D85" t="s">
        <v>13</v>
      </c>
      <c r="E85">
        <v>1108</v>
      </c>
      <c r="F85" t="str">
        <f>HYPERLINK("https://www.google.com/maps/search/?api=1&amp;query=25.55604028,47.16852591", "View Map")</f>
        <v>View Map</v>
      </c>
    </row>
    <row r="86" spans="1:6" x14ac:dyDescent="0.35">
      <c r="A86" t="s">
        <v>173</v>
      </c>
      <c r="B86" t="s">
        <v>174</v>
      </c>
      <c r="C86" t="s">
        <v>61</v>
      </c>
      <c r="D86" t="s">
        <v>9</v>
      </c>
      <c r="E86">
        <v>1096</v>
      </c>
      <c r="F86" t="str">
        <f>HYPERLINK("https://www.google.com/maps/search/?api=1&amp;query=24.45302377,45.37580045", "View Map")</f>
        <v>View Map</v>
      </c>
    </row>
    <row r="87" spans="1:6" x14ac:dyDescent="0.35">
      <c r="A87" t="s">
        <v>47</v>
      </c>
      <c r="B87" t="s">
        <v>175</v>
      </c>
      <c r="C87" t="s">
        <v>12</v>
      </c>
      <c r="D87" t="s">
        <v>13</v>
      </c>
      <c r="E87">
        <v>1065</v>
      </c>
      <c r="F87" t="str">
        <f>HYPERLINK("https://www.google.com/maps/search/?api=1&amp;query=26.31277241,44.79297349", "View Map")</f>
        <v>View Map</v>
      </c>
    </row>
    <row r="88" spans="1:6" x14ac:dyDescent="0.35">
      <c r="A88" t="s">
        <v>176</v>
      </c>
      <c r="B88" t="s">
        <v>177</v>
      </c>
      <c r="C88" t="s">
        <v>12</v>
      </c>
      <c r="D88" t="s">
        <v>13</v>
      </c>
      <c r="E88">
        <v>1063</v>
      </c>
      <c r="F88" t="str">
        <f>HYPERLINK("https://www.google.com/maps/search/?api=1&amp;query=26.29933219,44.83434989", "View Map")</f>
        <v>View Map</v>
      </c>
    </row>
    <row r="89" spans="1:6" x14ac:dyDescent="0.35">
      <c r="A89" t="s">
        <v>25</v>
      </c>
      <c r="B89" t="s">
        <v>178</v>
      </c>
      <c r="C89" t="s">
        <v>27</v>
      </c>
      <c r="D89" t="s">
        <v>13</v>
      </c>
      <c r="E89">
        <v>1060</v>
      </c>
      <c r="F89" t="str">
        <f>HYPERLINK("https://www.google.com/maps/search/?api=1&amp;query=25.41745454,46.09906737", "View Map")</f>
        <v>View Map</v>
      </c>
    </row>
    <row r="90" spans="1:6" x14ac:dyDescent="0.35">
      <c r="A90" t="s">
        <v>179</v>
      </c>
      <c r="B90" t="s">
        <v>180</v>
      </c>
      <c r="C90" t="s">
        <v>51</v>
      </c>
      <c r="D90" t="s">
        <v>9</v>
      </c>
      <c r="E90">
        <v>1040</v>
      </c>
      <c r="F90" t="str">
        <f>HYPERLINK("https://www.google.com/maps/search/?api=1&amp;query=25.55450464,47.16384012", "View Map")</f>
        <v>View Map</v>
      </c>
    </row>
    <row r="91" spans="1:6" x14ac:dyDescent="0.35">
      <c r="A91" t="s">
        <v>181</v>
      </c>
      <c r="B91" t="s">
        <v>182</v>
      </c>
      <c r="C91" t="s">
        <v>12</v>
      </c>
      <c r="D91" t="s">
        <v>13</v>
      </c>
      <c r="E91">
        <v>1024</v>
      </c>
      <c r="F91" t="str">
        <f>HYPERLINK("https://www.google.com/maps/search/?api=1&amp;query=26.29954963,44.81721004", "View Map")</f>
        <v>View Map</v>
      </c>
    </row>
    <row r="92" spans="1:6" x14ac:dyDescent="0.35">
      <c r="A92" t="s">
        <v>183</v>
      </c>
      <c r="B92" t="s">
        <v>184</v>
      </c>
      <c r="C92" t="s">
        <v>12</v>
      </c>
      <c r="D92" t="s">
        <v>13</v>
      </c>
      <c r="E92">
        <v>1010</v>
      </c>
      <c r="F92" t="str">
        <f>HYPERLINK("https://www.google.com/maps/search/?api=1&amp;query=26.32463034,44.82753967", "View Map")</f>
        <v>View Map</v>
      </c>
    </row>
    <row r="93" spans="1:6" x14ac:dyDescent="0.35">
      <c r="A93" t="s">
        <v>185</v>
      </c>
      <c r="B93" t="s">
        <v>186</v>
      </c>
      <c r="C93" t="s">
        <v>12</v>
      </c>
      <c r="D93" t="s">
        <v>13</v>
      </c>
      <c r="E93">
        <v>1007</v>
      </c>
      <c r="F93" t="str">
        <f>HYPERLINK("https://www.google.com/maps/search/?api=1&amp;query=26.26407745,44.80352869", "View Map")</f>
        <v>View Map</v>
      </c>
    </row>
    <row r="94" spans="1:6" x14ac:dyDescent="0.35">
      <c r="A94" t="s">
        <v>187</v>
      </c>
      <c r="B94" t="s">
        <v>188</v>
      </c>
      <c r="C94" t="s">
        <v>8</v>
      </c>
      <c r="D94" t="s">
        <v>13</v>
      </c>
      <c r="E94">
        <v>1004</v>
      </c>
      <c r="F94" t="str">
        <f>HYPERLINK("https://www.google.com/maps/search/?api=1&amp;query=25.58244467,45.61083001", "View Map")</f>
        <v>View Map</v>
      </c>
    </row>
    <row r="95" spans="1:6" x14ac:dyDescent="0.35">
      <c r="A95" t="s">
        <v>34</v>
      </c>
      <c r="B95" t="s">
        <v>189</v>
      </c>
      <c r="C95" t="s">
        <v>57</v>
      </c>
      <c r="D95" t="s">
        <v>13</v>
      </c>
      <c r="E95">
        <v>993</v>
      </c>
      <c r="F95" t="str">
        <f>HYPERLINK("https://www.google.com/maps/search/?api=1&amp;query=25.12644658,46.08275716", "View Map")</f>
        <v>View Map</v>
      </c>
    </row>
    <row r="96" spans="1:6" x14ac:dyDescent="0.35">
      <c r="A96" t="s">
        <v>190</v>
      </c>
      <c r="B96" t="s">
        <v>191</v>
      </c>
      <c r="C96" t="s">
        <v>12</v>
      </c>
      <c r="D96" t="s">
        <v>13</v>
      </c>
      <c r="E96">
        <v>988</v>
      </c>
      <c r="F96" t="str">
        <f>HYPERLINK("https://www.google.com/maps/search/?api=1&amp;query=26.31571149,44.8013907", "View Map")</f>
        <v>View Map</v>
      </c>
    </row>
    <row r="97" spans="1:6" x14ac:dyDescent="0.35">
      <c r="A97" t="s">
        <v>192</v>
      </c>
      <c r="B97" t="s">
        <v>193</v>
      </c>
      <c r="C97" t="s">
        <v>12</v>
      </c>
      <c r="D97" t="s">
        <v>13</v>
      </c>
      <c r="E97">
        <v>987</v>
      </c>
      <c r="F97" t="str">
        <f>HYPERLINK("https://www.google.com/maps/search/?api=1&amp;query=26.29904227,44.80084273", "View Map")</f>
        <v>View Map</v>
      </c>
    </row>
    <row r="98" spans="1:6" x14ac:dyDescent="0.35">
      <c r="A98" t="s">
        <v>194</v>
      </c>
      <c r="B98" t="s">
        <v>195</v>
      </c>
      <c r="C98" t="s">
        <v>57</v>
      </c>
      <c r="D98" t="s">
        <v>13</v>
      </c>
      <c r="E98">
        <v>986</v>
      </c>
      <c r="F98" t="str">
        <f>HYPERLINK("https://www.google.com/maps/search/?api=1&amp;query=25.11742741,46.36196024", "View Map")</f>
        <v>View Map</v>
      </c>
    </row>
    <row r="99" spans="1:6" x14ac:dyDescent="0.35">
      <c r="A99" t="s">
        <v>196</v>
      </c>
      <c r="B99" t="s">
        <v>197</v>
      </c>
      <c r="C99" t="s">
        <v>12</v>
      </c>
      <c r="D99" t="s">
        <v>9</v>
      </c>
      <c r="E99">
        <v>985</v>
      </c>
      <c r="F99" t="str">
        <f>HYPERLINK("https://www.google.com/maps/search/?api=1&amp;query=26.25259888,44.82221262", "View Map")</f>
        <v>View Map</v>
      </c>
    </row>
    <row r="100" spans="1:6" x14ac:dyDescent="0.35">
      <c r="A100" t="s">
        <v>198</v>
      </c>
      <c r="B100" t="s">
        <v>199</v>
      </c>
      <c r="C100" t="s">
        <v>8</v>
      </c>
      <c r="D100" t="s">
        <v>13</v>
      </c>
      <c r="E100">
        <v>984</v>
      </c>
      <c r="F100" t="str">
        <f>HYPERLINK("https://www.google.com/maps/search/?api=1&amp;query=25.90144723,45.37425095", "View Map")</f>
        <v>View Map</v>
      </c>
    </row>
    <row r="101" spans="1:6" x14ac:dyDescent="0.35">
      <c r="A101" t="s">
        <v>200</v>
      </c>
      <c r="B101" t="s">
        <v>201</v>
      </c>
      <c r="C101" t="s">
        <v>12</v>
      </c>
      <c r="D101" t="s">
        <v>13</v>
      </c>
      <c r="E101">
        <v>980</v>
      </c>
      <c r="F101" t="str">
        <f>HYPERLINK("https://www.google.com/maps/search/?api=1&amp;query=26.30088647,44.81922226", "View Map")</f>
        <v>View Map</v>
      </c>
    </row>
    <row r="102" spans="1:6" x14ac:dyDescent="0.35">
      <c r="A102" t="s">
        <v>202</v>
      </c>
      <c r="B102" t="s">
        <v>203</v>
      </c>
      <c r="C102" t="s">
        <v>12</v>
      </c>
      <c r="D102" t="s">
        <v>13</v>
      </c>
      <c r="E102">
        <v>976</v>
      </c>
      <c r="F102" t="str">
        <f>HYPERLINK("https://www.google.com/maps/search/?api=1&amp;query=26.29795131,44.80020247", "View Map")</f>
        <v>View Map</v>
      </c>
    </row>
    <row r="103" spans="1:6" x14ac:dyDescent="0.35">
      <c r="A103" t="s">
        <v>204</v>
      </c>
      <c r="B103" t="s">
        <v>205</v>
      </c>
      <c r="C103" t="s">
        <v>8</v>
      </c>
      <c r="D103" t="s">
        <v>9</v>
      </c>
      <c r="E103">
        <v>972</v>
      </c>
      <c r="F103" t="str">
        <f>HYPERLINK("https://www.google.com/maps/search/?api=1&amp;query=25.74443176,45.84126251", "View Map")</f>
        <v>View Map</v>
      </c>
    </row>
    <row r="104" spans="1:6" x14ac:dyDescent="0.35">
      <c r="A104" t="s">
        <v>206</v>
      </c>
      <c r="B104" t="s">
        <v>207</v>
      </c>
      <c r="C104" t="s">
        <v>57</v>
      </c>
      <c r="D104" t="s">
        <v>13</v>
      </c>
      <c r="E104">
        <v>970</v>
      </c>
      <c r="F104" t="str">
        <f>HYPERLINK("https://www.google.com/maps/search/?api=1&amp;query=25.10840808,46.1022231", "View Map")</f>
        <v>View Map</v>
      </c>
    </row>
    <row r="105" spans="1:6" x14ac:dyDescent="0.35">
      <c r="A105" t="s">
        <v>70</v>
      </c>
      <c r="B105" t="s">
        <v>208</v>
      </c>
      <c r="C105" t="s">
        <v>8</v>
      </c>
      <c r="D105" t="s">
        <v>9</v>
      </c>
      <c r="E105">
        <v>964</v>
      </c>
      <c r="F105" t="str">
        <f>HYPERLINK("https://www.google.com/maps/search/?api=1&amp;query=25.91078974,45.39940848", "View Map")</f>
        <v>View Map</v>
      </c>
    </row>
    <row r="106" spans="1:6" x14ac:dyDescent="0.35">
      <c r="A106" t="s">
        <v>209</v>
      </c>
      <c r="B106" t="s">
        <v>210</v>
      </c>
      <c r="C106" t="s">
        <v>38</v>
      </c>
      <c r="D106" t="s">
        <v>13</v>
      </c>
      <c r="E106">
        <v>960</v>
      </c>
      <c r="F106" t="str">
        <f>HYPERLINK("https://www.google.com/maps/search/?api=1&amp;query=26.02570527,44.95580212", "View Map")</f>
        <v>View Map</v>
      </c>
    </row>
    <row r="107" spans="1:6" x14ac:dyDescent="0.35">
      <c r="A107" t="s">
        <v>211</v>
      </c>
      <c r="B107" t="s">
        <v>212</v>
      </c>
      <c r="C107" t="s">
        <v>12</v>
      </c>
      <c r="D107" t="s">
        <v>9</v>
      </c>
      <c r="E107">
        <v>957</v>
      </c>
      <c r="F107" t="str">
        <f>HYPERLINK("https://www.google.com/maps/search/?api=1&amp;query=26.29270412,44.81956362", "View Map")</f>
        <v>View Map</v>
      </c>
    </row>
    <row r="108" spans="1:6" x14ac:dyDescent="0.35">
      <c r="A108" t="s">
        <v>213</v>
      </c>
      <c r="B108" t="s">
        <v>214</v>
      </c>
      <c r="C108" t="s">
        <v>51</v>
      </c>
      <c r="D108" t="s">
        <v>9</v>
      </c>
      <c r="E108">
        <v>956</v>
      </c>
      <c r="F108" t="str">
        <f>HYPERLINK("https://www.google.com/maps/search/?api=1&amp;query=25.68843357,46.56306782", "View Map")</f>
        <v>View Map</v>
      </c>
    </row>
    <row r="109" spans="1:6" x14ac:dyDescent="0.35">
      <c r="A109" t="s">
        <v>215</v>
      </c>
      <c r="B109" t="s">
        <v>216</v>
      </c>
      <c r="C109" t="s">
        <v>12</v>
      </c>
      <c r="D109" t="s">
        <v>13</v>
      </c>
      <c r="E109">
        <v>955</v>
      </c>
      <c r="F109" t="str">
        <f>HYPERLINK("https://www.google.com/maps/search/?api=1&amp;query=26.28250759,44.83357734", "View Map")</f>
        <v>View Map</v>
      </c>
    </row>
    <row r="110" spans="1:6" x14ac:dyDescent="0.35">
      <c r="A110" t="s">
        <v>217</v>
      </c>
      <c r="B110" t="s">
        <v>218</v>
      </c>
      <c r="C110" t="s">
        <v>57</v>
      </c>
      <c r="D110" t="s">
        <v>13</v>
      </c>
      <c r="E110">
        <v>951</v>
      </c>
      <c r="F110" t="str">
        <f>HYPERLINK("https://www.google.com/maps/search/?api=1&amp;query=24.91994606,45.85959713", "View Map")</f>
        <v>View Map</v>
      </c>
    </row>
    <row r="111" spans="1:6" x14ac:dyDescent="0.35">
      <c r="A111" t="s">
        <v>25</v>
      </c>
      <c r="B111" t="s">
        <v>219</v>
      </c>
      <c r="C111" t="s">
        <v>27</v>
      </c>
      <c r="D111" t="s">
        <v>9</v>
      </c>
      <c r="E111">
        <v>946</v>
      </c>
      <c r="F111" t="str">
        <f>HYPERLINK("https://www.google.com/maps/search/?api=1&amp;query=25.21279172,45.86798379", "View Map")</f>
        <v>View Map</v>
      </c>
    </row>
    <row r="112" spans="1:6" x14ac:dyDescent="0.35">
      <c r="A112" t="s">
        <v>220</v>
      </c>
      <c r="B112" t="s">
        <v>221</v>
      </c>
      <c r="C112" t="s">
        <v>12</v>
      </c>
      <c r="D112" t="s">
        <v>13</v>
      </c>
      <c r="E112">
        <v>875</v>
      </c>
      <c r="F112" t="str">
        <f>HYPERLINK("https://www.google.com/maps/search/?api=1&amp;query=26.31173364,44.80579245", "View Map")</f>
        <v>View Map</v>
      </c>
    </row>
    <row r="113" spans="1:6" x14ac:dyDescent="0.35">
      <c r="A113" t="s">
        <v>222</v>
      </c>
      <c r="B113" t="s">
        <v>223</v>
      </c>
      <c r="C113" t="s">
        <v>51</v>
      </c>
      <c r="D113" t="s">
        <v>9</v>
      </c>
      <c r="E113">
        <v>867</v>
      </c>
      <c r="F113" t="str">
        <f>HYPERLINK("https://www.google.com/maps/search/?api=1&amp;query=25.55779382,47.17842445", "View Map")</f>
        <v>View Map</v>
      </c>
    </row>
    <row r="114" spans="1:6" x14ac:dyDescent="0.35">
      <c r="A114" t="s">
        <v>224</v>
      </c>
      <c r="B114" t="s">
        <v>225</v>
      </c>
      <c r="C114" t="s">
        <v>51</v>
      </c>
      <c r="D114" t="s">
        <v>9</v>
      </c>
      <c r="E114">
        <v>856</v>
      </c>
      <c r="F114" t="str">
        <f>HYPERLINK("https://www.google.com/maps/search/?api=1&amp;query=25.53464809,47.17668441", "View Map")</f>
        <v>View Map</v>
      </c>
    </row>
    <row r="115" spans="1:6" x14ac:dyDescent="0.35">
      <c r="A115" t="s">
        <v>226</v>
      </c>
      <c r="B115" t="s">
        <v>227</v>
      </c>
      <c r="C115" t="s">
        <v>8</v>
      </c>
      <c r="D115" t="s">
        <v>9</v>
      </c>
      <c r="E115">
        <v>856</v>
      </c>
      <c r="F115" t="str">
        <f>HYPERLINK("https://www.google.com/maps/search/?api=1&amp;query=25.65044437,45.55389145", "View Map")</f>
        <v>View Map</v>
      </c>
    </row>
    <row r="116" spans="1:6" x14ac:dyDescent="0.35">
      <c r="A116" t="s">
        <v>49</v>
      </c>
      <c r="B116" t="s">
        <v>228</v>
      </c>
      <c r="C116" t="s">
        <v>57</v>
      </c>
      <c r="D116" t="s">
        <v>9</v>
      </c>
      <c r="E116">
        <v>843</v>
      </c>
      <c r="F116" t="str">
        <f>HYPERLINK("https://www.google.com/maps/search/?api=1&amp;query=24.91152198,45.86290293", "View Map")</f>
        <v>View Map</v>
      </c>
    </row>
    <row r="117" spans="1:6" x14ac:dyDescent="0.35">
      <c r="A117" t="s">
        <v>229</v>
      </c>
      <c r="B117" t="s">
        <v>230</v>
      </c>
      <c r="C117" t="s">
        <v>16</v>
      </c>
      <c r="D117" t="s">
        <v>9</v>
      </c>
      <c r="E117">
        <v>842</v>
      </c>
      <c r="F117" t="str">
        <f>HYPERLINK("https://www.google.com/maps/search/?api=1&amp;query=25.22128746,45.27561947", "View Map")</f>
        <v>View Map</v>
      </c>
    </row>
    <row r="118" spans="1:6" x14ac:dyDescent="0.35">
      <c r="A118" t="s">
        <v>231</v>
      </c>
      <c r="B118" t="s">
        <v>232</v>
      </c>
      <c r="C118" t="s">
        <v>61</v>
      </c>
      <c r="D118" t="s">
        <v>9</v>
      </c>
      <c r="E118">
        <v>831</v>
      </c>
      <c r="F118" t="str">
        <f>HYPERLINK("https://www.google.com/maps/search/?api=1&amp;query=25.1633023,45.39479981", "View Map")</f>
        <v>View Map</v>
      </c>
    </row>
    <row r="119" spans="1:6" x14ac:dyDescent="0.35">
      <c r="A119" t="s">
        <v>233</v>
      </c>
      <c r="B119" t="s">
        <v>234</v>
      </c>
      <c r="C119" t="s">
        <v>57</v>
      </c>
      <c r="D119" t="s">
        <v>9</v>
      </c>
      <c r="E119">
        <v>816</v>
      </c>
      <c r="F119" t="str">
        <f>HYPERLINK("https://www.google.com/maps/search/?api=1&amp;query=25.16750577,46.32772719", "View Map")</f>
        <v>View Map</v>
      </c>
    </row>
    <row r="120" spans="1:6" x14ac:dyDescent="0.35">
      <c r="A120" t="s">
        <v>235</v>
      </c>
      <c r="B120" t="s">
        <v>236</v>
      </c>
      <c r="C120" t="s">
        <v>27</v>
      </c>
      <c r="D120" t="s">
        <v>9</v>
      </c>
      <c r="E120">
        <v>813</v>
      </c>
      <c r="F120" t="str">
        <f>HYPERLINK("https://www.google.com/maps/search/?api=1&amp;query=25.29884089,45.95920193", "View Map")</f>
        <v>View Map</v>
      </c>
    </row>
    <row r="121" spans="1:6" x14ac:dyDescent="0.35">
      <c r="A121" t="s">
        <v>237</v>
      </c>
      <c r="B121" t="s">
        <v>238</v>
      </c>
      <c r="C121" t="s">
        <v>16</v>
      </c>
      <c r="D121" t="s">
        <v>9</v>
      </c>
      <c r="E121">
        <v>802</v>
      </c>
      <c r="F121" t="str">
        <f>HYPERLINK("https://www.google.com/maps/search/?api=1&amp;query=25.25480366,45.25510085", "View Map")</f>
        <v>View Map</v>
      </c>
    </row>
    <row r="122" spans="1:6" x14ac:dyDescent="0.35">
      <c r="A122" t="s">
        <v>47</v>
      </c>
      <c r="B122" t="s">
        <v>239</v>
      </c>
      <c r="C122" t="s">
        <v>12</v>
      </c>
      <c r="D122" t="s">
        <v>9</v>
      </c>
      <c r="E122">
        <v>802</v>
      </c>
      <c r="F122" t="str">
        <f>HYPERLINK("https://www.google.com/maps/search/?api=1&amp;query=26.31532499,44.80522651", "View Map")</f>
        <v>View Map</v>
      </c>
    </row>
    <row r="123" spans="1:6" x14ac:dyDescent="0.35">
      <c r="A123" t="s">
        <v>49</v>
      </c>
      <c r="B123" t="s">
        <v>240</v>
      </c>
      <c r="C123" t="s">
        <v>51</v>
      </c>
      <c r="D123" t="s">
        <v>9</v>
      </c>
      <c r="E123">
        <v>795</v>
      </c>
      <c r="F123" t="str">
        <f>HYPERLINK("https://www.google.com/maps/search/?api=1&amp;query=25.52677734,47.17643147", "View Map")</f>
        <v>View Map</v>
      </c>
    </row>
    <row r="124" spans="1:6" x14ac:dyDescent="0.35">
      <c r="A124" t="s">
        <v>241</v>
      </c>
      <c r="B124" t="s">
        <v>242</v>
      </c>
      <c r="C124" t="s">
        <v>12</v>
      </c>
      <c r="D124" t="s">
        <v>9</v>
      </c>
      <c r="E124">
        <v>792</v>
      </c>
      <c r="F124" t="str">
        <f>HYPERLINK("https://www.google.com/maps/search/?api=1&amp;query=26.29956574,44.82622912", "View Map")</f>
        <v>View Map</v>
      </c>
    </row>
    <row r="125" spans="1:6" x14ac:dyDescent="0.35">
      <c r="A125" t="s">
        <v>243</v>
      </c>
      <c r="B125" t="s">
        <v>244</v>
      </c>
      <c r="C125" t="s">
        <v>57</v>
      </c>
      <c r="D125" t="s">
        <v>9</v>
      </c>
      <c r="E125">
        <v>788</v>
      </c>
      <c r="F125" t="str">
        <f>HYPERLINK("https://www.google.com/maps/search/?api=1&amp;query=25.12851443,46.15759525", "View Map")</f>
        <v>View Map</v>
      </c>
    </row>
    <row r="126" spans="1:6" x14ac:dyDescent="0.35">
      <c r="A126" t="s">
        <v>245</v>
      </c>
      <c r="B126" t="s">
        <v>246</v>
      </c>
      <c r="C126" t="s">
        <v>8</v>
      </c>
      <c r="D126" t="s">
        <v>9</v>
      </c>
      <c r="E126">
        <v>780</v>
      </c>
      <c r="F126" t="str">
        <f>HYPERLINK("https://www.google.com/maps/search/?api=1&amp;query=25.60234615,45.61944636", "View Map")</f>
        <v>View Map</v>
      </c>
    </row>
    <row r="127" spans="1:6" x14ac:dyDescent="0.35">
      <c r="A127" t="s">
        <v>247</v>
      </c>
      <c r="B127" t="s">
        <v>248</v>
      </c>
      <c r="C127" t="s">
        <v>12</v>
      </c>
      <c r="D127" t="s">
        <v>9</v>
      </c>
      <c r="E127">
        <v>778</v>
      </c>
      <c r="F127" t="str">
        <f>HYPERLINK("https://www.google.com/maps/search/?api=1&amp;query=26.29031212,44.8347721", "View Map")</f>
        <v>View Map</v>
      </c>
    </row>
    <row r="128" spans="1:6" x14ac:dyDescent="0.35">
      <c r="A128" t="s">
        <v>249</v>
      </c>
      <c r="B128" t="s">
        <v>250</v>
      </c>
      <c r="C128" t="s">
        <v>12</v>
      </c>
      <c r="D128" t="s">
        <v>9</v>
      </c>
      <c r="E128">
        <v>777</v>
      </c>
      <c r="F128" t="str">
        <f>HYPERLINK("https://www.google.com/maps/search/?api=1&amp;query=26.31187713,44.82628732", "View Map")</f>
        <v>View Map</v>
      </c>
    </row>
    <row r="129" spans="1:6" x14ac:dyDescent="0.35">
      <c r="A129" t="s">
        <v>251</v>
      </c>
      <c r="B129" t="s">
        <v>252</v>
      </c>
      <c r="C129" t="s">
        <v>8</v>
      </c>
      <c r="D129" t="s">
        <v>9</v>
      </c>
      <c r="E129">
        <v>777</v>
      </c>
      <c r="F129" t="str">
        <f>HYPERLINK("https://www.google.com/maps/search/?api=1&amp;query=26.5090677,45.34735978", "View Map")</f>
        <v>View Map</v>
      </c>
    </row>
    <row r="130" spans="1:6" x14ac:dyDescent="0.35">
      <c r="A130" t="s">
        <v>253</v>
      </c>
      <c r="B130" t="s">
        <v>254</v>
      </c>
      <c r="C130" t="s">
        <v>51</v>
      </c>
      <c r="D130" t="s">
        <v>9</v>
      </c>
      <c r="E130">
        <v>760</v>
      </c>
      <c r="F130" t="str">
        <f>HYPERLINK("https://www.google.com/maps/search/?api=1&amp;query=25.4060951,47.20939746", "View Map")</f>
        <v>View Map</v>
      </c>
    </row>
    <row r="131" spans="1:6" x14ac:dyDescent="0.35">
      <c r="A131" t="s">
        <v>255</v>
      </c>
      <c r="B131" t="s">
        <v>256</v>
      </c>
      <c r="C131" t="s">
        <v>61</v>
      </c>
      <c r="D131" t="s">
        <v>9</v>
      </c>
      <c r="E131">
        <v>749</v>
      </c>
      <c r="F131" t="str">
        <f>HYPERLINK("https://www.google.com/maps/search/?api=1&amp;query=25.06990192,45.47378204", "View Map")</f>
        <v>View Map</v>
      </c>
    </row>
    <row r="132" spans="1:6" x14ac:dyDescent="0.35">
      <c r="A132" t="s">
        <v>257</v>
      </c>
      <c r="B132" t="s">
        <v>258</v>
      </c>
      <c r="C132" t="s">
        <v>8</v>
      </c>
      <c r="D132" t="s">
        <v>9</v>
      </c>
      <c r="E132">
        <v>748</v>
      </c>
      <c r="F132" t="str">
        <f>HYPERLINK("https://www.google.com/maps/search/?api=1&amp;query=25.59876062,45.8003712", "View Map")</f>
        <v>View Map</v>
      </c>
    </row>
    <row r="133" spans="1:6" x14ac:dyDescent="0.35">
      <c r="A133" t="s">
        <v>259</v>
      </c>
      <c r="B133" t="s">
        <v>260</v>
      </c>
      <c r="C133" t="s">
        <v>57</v>
      </c>
      <c r="D133" t="s">
        <v>9</v>
      </c>
      <c r="E133">
        <v>743</v>
      </c>
      <c r="F133" t="str">
        <f>HYPERLINK("https://www.google.com/maps/search/?api=1&amp;query=25.14251227,46.26969448", "View Map")</f>
        <v>View Map</v>
      </c>
    </row>
    <row r="134" spans="1:6" x14ac:dyDescent="0.35">
      <c r="A134" t="s">
        <v>261</v>
      </c>
      <c r="B134" t="s">
        <v>262</v>
      </c>
      <c r="C134" t="s">
        <v>57</v>
      </c>
      <c r="D134" t="s">
        <v>9</v>
      </c>
      <c r="E134">
        <v>739</v>
      </c>
      <c r="F134" t="str">
        <f>HYPERLINK("https://www.google.com/maps/search/?api=1&amp;query=25.1772552,46.3362412", "View Map")</f>
        <v>View Map</v>
      </c>
    </row>
    <row r="135" spans="1:6" x14ac:dyDescent="0.35">
      <c r="A135" t="s">
        <v>83</v>
      </c>
      <c r="B135" t="s">
        <v>263</v>
      </c>
      <c r="C135" t="s">
        <v>61</v>
      </c>
      <c r="D135" t="s">
        <v>9</v>
      </c>
      <c r="E135">
        <v>737</v>
      </c>
      <c r="F135" t="str">
        <f>HYPERLINK("https://www.google.com/maps/search/?api=1&amp;query=25.11646891,45.48871868", "View Map")</f>
        <v>View Map</v>
      </c>
    </row>
    <row r="136" spans="1:6" x14ac:dyDescent="0.35">
      <c r="A136" t="s">
        <v>264</v>
      </c>
      <c r="B136" t="s">
        <v>265</v>
      </c>
      <c r="C136" t="s">
        <v>8</v>
      </c>
      <c r="D136" t="s">
        <v>9</v>
      </c>
      <c r="E136">
        <v>721</v>
      </c>
      <c r="F136" t="str">
        <f>HYPERLINK("https://www.google.com/maps/search/?api=1&amp;query=25.81818704,45.40432196", "View Map")</f>
        <v>View Map</v>
      </c>
    </row>
    <row r="137" spans="1:6" x14ac:dyDescent="0.35">
      <c r="A137" t="s">
        <v>266</v>
      </c>
      <c r="B137" t="s">
        <v>267</v>
      </c>
      <c r="C137" t="s">
        <v>8</v>
      </c>
      <c r="D137" t="s">
        <v>9</v>
      </c>
      <c r="E137">
        <v>719</v>
      </c>
      <c r="F137" t="str">
        <f>HYPERLINK("https://www.google.com/maps/search/?api=1&amp;query=26.64913678,45.33288793", "View Map")</f>
        <v>View Map</v>
      </c>
    </row>
    <row r="138" spans="1:6" x14ac:dyDescent="0.35">
      <c r="A138" t="s">
        <v>268</v>
      </c>
      <c r="B138" t="s">
        <v>269</v>
      </c>
      <c r="C138" t="s">
        <v>51</v>
      </c>
      <c r="D138" t="s">
        <v>9</v>
      </c>
      <c r="E138">
        <v>718</v>
      </c>
      <c r="F138" t="str">
        <f>HYPERLINK("https://www.google.com/maps/search/?api=1&amp;query=25.56553224,47.16841555", "View Map")</f>
        <v>View Map</v>
      </c>
    </row>
    <row r="139" spans="1:6" x14ac:dyDescent="0.35">
      <c r="A139" t="s">
        <v>83</v>
      </c>
      <c r="B139" t="s">
        <v>270</v>
      </c>
      <c r="C139" t="s">
        <v>16</v>
      </c>
      <c r="D139" t="s">
        <v>9</v>
      </c>
      <c r="E139">
        <v>714</v>
      </c>
      <c r="F139" t="str">
        <f>HYPERLINK("https://www.google.com/maps/search/?api=1&amp;query=25.25063277,45.23645267", "View Map")</f>
        <v>View Map</v>
      </c>
    </row>
    <row r="140" spans="1:6" x14ac:dyDescent="0.35">
      <c r="A140" t="s">
        <v>271</v>
      </c>
      <c r="B140" t="s">
        <v>272</v>
      </c>
      <c r="C140" t="s">
        <v>8</v>
      </c>
      <c r="D140" t="s">
        <v>9</v>
      </c>
      <c r="E140">
        <v>714</v>
      </c>
      <c r="F140" t="str">
        <f>HYPERLINK("https://www.google.com/maps/search/?api=1&amp;query=25.91208717,45.35667313", "View Map")</f>
        <v>View Map</v>
      </c>
    </row>
    <row r="141" spans="1:6" x14ac:dyDescent="0.35">
      <c r="A141" t="s">
        <v>273</v>
      </c>
      <c r="B141" t="s">
        <v>274</v>
      </c>
      <c r="C141" t="s">
        <v>12</v>
      </c>
      <c r="D141" t="s">
        <v>9</v>
      </c>
      <c r="E141">
        <v>713</v>
      </c>
      <c r="F141" t="str">
        <f>HYPERLINK("https://www.google.com/maps/search/?api=1&amp;query=26.31999517,44.8200038", "View Map")</f>
        <v>View Map</v>
      </c>
    </row>
    <row r="142" spans="1:6" x14ac:dyDescent="0.35">
      <c r="A142" t="s">
        <v>275</v>
      </c>
      <c r="B142" t="s">
        <v>276</v>
      </c>
      <c r="C142" t="s">
        <v>16</v>
      </c>
      <c r="D142" t="s">
        <v>9</v>
      </c>
      <c r="E142">
        <v>707</v>
      </c>
      <c r="F142" t="str">
        <f>HYPERLINK("https://www.google.com/maps/search/?api=1&amp;query=25.29422746,45.51875417", "View Map")</f>
        <v>View Map</v>
      </c>
    </row>
    <row r="143" spans="1:6" x14ac:dyDescent="0.35">
      <c r="A143" t="s">
        <v>277</v>
      </c>
      <c r="B143" t="s">
        <v>278</v>
      </c>
      <c r="C143" t="s">
        <v>61</v>
      </c>
      <c r="D143" t="s">
        <v>9</v>
      </c>
      <c r="E143">
        <v>704</v>
      </c>
      <c r="F143" t="str">
        <f>HYPERLINK("https://www.google.com/maps/search/?api=1&amp;query=24.44878782,45.44294053", "View Map")</f>
        <v>View Map</v>
      </c>
    </row>
    <row r="144" spans="1:6" x14ac:dyDescent="0.35">
      <c r="A144" t="s">
        <v>279</v>
      </c>
      <c r="B144" t="s">
        <v>280</v>
      </c>
      <c r="C144" t="s">
        <v>12</v>
      </c>
      <c r="D144" t="s">
        <v>9</v>
      </c>
      <c r="E144">
        <v>701</v>
      </c>
      <c r="F144" t="str">
        <f>HYPERLINK("https://www.google.com/maps/search/?api=1&amp;query=26.31013688,44.81486273", "View Map")</f>
        <v>View Map</v>
      </c>
    </row>
    <row r="145" spans="1:6" x14ac:dyDescent="0.35">
      <c r="A145" t="s">
        <v>281</v>
      </c>
      <c r="B145" t="s">
        <v>282</v>
      </c>
      <c r="C145" t="s">
        <v>12</v>
      </c>
      <c r="D145" t="s">
        <v>9</v>
      </c>
      <c r="E145">
        <v>690</v>
      </c>
      <c r="F145" t="str">
        <f>HYPERLINK("https://www.google.com/maps/search/?api=1&amp;query=26.3075785,44.80468752", "View Map")</f>
        <v>View Map</v>
      </c>
    </row>
    <row r="146" spans="1:6" x14ac:dyDescent="0.35">
      <c r="A146" t="s">
        <v>49</v>
      </c>
      <c r="B146" t="s">
        <v>283</v>
      </c>
      <c r="C146" t="s">
        <v>51</v>
      </c>
      <c r="D146" t="s">
        <v>9</v>
      </c>
      <c r="E146">
        <v>689</v>
      </c>
      <c r="F146" t="str">
        <f>HYPERLINK("https://www.google.com/maps/search/?api=1&amp;query=25.54570286,47.18226972", "View Map")</f>
        <v>View Map</v>
      </c>
    </row>
    <row r="147" spans="1:6" x14ac:dyDescent="0.35">
      <c r="A147" t="s">
        <v>43</v>
      </c>
      <c r="B147" t="s">
        <v>284</v>
      </c>
      <c r="C147" t="s">
        <v>8</v>
      </c>
      <c r="D147" t="s">
        <v>9</v>
      </c>
      <c r="E147">
        <v>688</v>
      </c>
      <c r="F147" t="str">
        <f>HYPERLINK("https://www.google.com/maps/search/?api=1&amp;query=25.69664192,45.88027634", "View Map")</f>
        <v>View Map</v>
      </c>
    </row>
    <row r="148" spans="1:6" x14ac:dyDescent="0.35">
      <c r="A148" t="s">
        <v>285</v>
      </c>
      <c r="B148" t="s">
        <v>286</v>
      </c>
      <c r="C148" t="s">
        <v>12</v>
      </c>
      <c r="D148" t="s">
        <v>9</v>
      </c>
      <c r="E148">
        <v>686</v>
      </c>
      <c r="F148" t="str">
        <f>HYPERLINK("https://www.google.com/maps/search/?api=1&amp;query=26.32825168,44.7907369", "View Map")</f>
        <v>View Map</v>
      </c>
    </row>
    <row r="149" spans="1:6" x14ac:dyDescent="0.35">
      <c r="A149" t="s">
        <v>287</v>
      </c>
      <c r="B149" t="s">
        <v>288</v>
      </c>
      <c r="C149" t="s">
        <v>16</v>
      </c>
      <c r="D149" t="s">
        <v>9</v>
      </c>
      <c r="E149">
        <v>685</v>
      </c>
      <c r="F149" t="str">
        <f>HYPERLINK("https://www.google.com/maps/search/?api=1&amp;query=25.34166357,45.18067738", "View Map")</f>
        <v>View Map</v>
      </c>
    </row>
    <row r="150" spans="1:6" x14ac:dyDescent="0.35">
      <c r="A150" t="s">
        <v>289</v>
      </c>
      <c r="B150" t="s">
        <v>290</v>
      </c>
      <c r="C150" t="s">
        <v>61</v>
      </c>
      <c r="D150" t="s">
        <v>9</v>
      </c>
      <c r="E150">
        <v>685</v>
      </c>
      <c r="F150" t="str">
        <f>HYPERLINK("https://www.google.com/maps/search/?api=1&amp;query=24.54292639,45.32704888", "View Map")</f>
        <v>View Map</v>
      </c>
    </row>
    <row r="151" spans="1:6" x14ac:dyDescent="0.35">
      <c r="A151" t="s">
        <v>291</v>
      </c>
      <c r="B151" t="s">
        <v>292</v>
      </c>
      <c r="C151" t="s">
        <v>16</v>
      </c>
      <c r="D151" t="s">
        <v>9</v>
      </c>
      <c r="E151">
        <v>685</v>
      </c>
      <c r="F151" t="str">
        <f>HYPERLINK("https://www.google.com/maps/search/?api=1&amp;query=25.29597092,45.53238578", "View Map")</f>
        <v>View Map</v>
      </c>
    </row>
    <row r="152" spans="1:6" x14ac:dyDescent="0.35">
      <c r="A152" t="s">
        <v>293</v>
      </c>
      <c r="B152" t="s">
        <v>294</v>
      </c>
      <c r="C152" t="s">
        <v>27</v>
      </c>
      <c r="D152" t="s">
        <v>9</v>
      </c>
      <c r="E152">
        <v>684</v>
      </c>
      <c r="F152" t="str">
        <f>HYPERLINK("https://www.google.com/maps/search/?api=1&amp;query=25.27649333,45.86269631", "View Map")</f>
        <v>View Map</v>
      </c>
    </row>
    <row r="153" spans="1:6" x14ac:dyDescent="0.35">
      <c r="A153" t="s">
        <v>295</v>
      </c>
      <c r="B153" t="s">
        <v>296</v>
      </c>
      <c r="C153" t="s">
        <v>12</v>
      </c>
      <c r="D153" t="s">
        <v>9</v>
      </c>
      <c r="E153">
        <v>682</v>
      </c>
      <c r="F153" t="str">
        <f>HYPERLINK("https://www.google.com/maps/search/?api=1&amp;query=26.30961583,44.79611759", "View Map")</f>
        <v>View Map</v>
      </c>
    </row>
    <row r="154" spans="1:6" x14ac:dyDescent="0.35">
      <c r="A154" t="s">
        <v>297</v>
      </c>
      <c r="B154" t="s">
        <v>298</v>
      </c>
      <c r="C154" t="s">
        <v>8</v>
      </c>
      <c r="D154" t="s">
        <v>9</v>
      </c>
      <c r="E154">
        <v>681</v>
      </c>
      <c r="F154" t="str">
        <f>HYPERLINK("https://www.google.com/maps/search/?api=1&amp;query=25.69624527,45.89435294", "View Map")</f>
        <v>View Map</v>
      </c>
    </row>
    <row r="155" spans="1:6" x14ac:dyDescent="0.35">
      <c r="A155" t="s">
        <v>299</v>
      </c>
      <c r="B155" t="s">
        <v>300</v>
      </c>
      <c r="C155" t="s">
        <v>16</v>
      </c>
      <c r="D155" t="s">
        <v>9</v>
      </c>
      <c r="E155">
        <v>678</v>
      </c>
      <c r="F155" t="str">
        <f>HYPERLINK("https://www.google.com/maps/search/?api=1&amp;query=25.24944044,45.22464093", "View Map")</f>
        <v>View Map</v>
      </c>
    </row>
    <row r="156" spans="1:6" x14ac:dyDescent="0.35">
      <c r="A156" t="s">
        <v>34</v>
      </c>
      <c r="B156" t="s">
        <v>301</v>
      </c>
      <c r="C156" t="s">
        <v>57</v>
      </c>
      <c r="D156" t="s">
        <v>9</v>
      </c>
      <c r="E156">
        <v>676</v>
      </c>
      <c r="F156" t="str">
        <f>HYPERLINK("https://www.google.com/maps/search/?api=1&amp;query=25.18007248,46.33793078", "View Map")</f>
        <v>View Map</v>
      </c>
    </row>
    <row r="157" spans="1:6" x14ac:dyDescent="0.35">
      <c r="A157" t="s">
        <v>302</v>
      </c>
      <c r="B157" t="s">
        <v>303</v>
      </c>
      <c r="C157" t="s">
        <v>12</v>
      </c>
      <c r="D157" t="s">
        <v>9</v>
      </c>
      <c r="E157">
        <v>675</v>
      </c>
      <c r="F157" t="str">
        <f>HYPERLINK("https://www.google.com/maps/search/?api=1&amp;query=26.29294404,44.83806913", "View Map")</f>
        <v>View Map</v>
      </c>
    </row>
    <row r="158" spans="1:6" x14ac:dyDescent="0.35">
      <c r="A158" t="s">
        <v>304</v>
      </c>
      <c r="B158" t="s">
        <v>305</v>
      </c>
      <c r="C158" t="s">
        <v>12</v>
      </c>
      <c r="D158" t="s">
        <v>9</v>
      </c>
      <c r="E158">
        <v>674</v>
      </c>
      <c r="F158" t="str">
        <f>HYPERLINK("https://www.google.com/maps/search/?api=1&amp;query=26.30466337,44.80606194", "View Map")</f>
        <v>View Map</v>
      </c>
    </row>
    <row r="159" spans="1:6" x14ac:dyDescent="0.35">
      <c r="A159" t="s">
        <v>306</v>
      </c>
      <c r="B159" t="s">
        <v>307</v>
      </c>
      <c r="C159" t="s">
        <v>61</v>
      </c>
      <c r="D159" t="s">
        <v>9</v>
      </c>
      <c r="E159">
        <v>670</v>
      </c>
      <c r="F159" t="str">
        <f>HYPERLINK("https://www.google.com/maps/search/?api=1&amp;query=25.07266508,45.46108788", "View Map")</f>
        <v>View Map</v>
      </c>
    </row>
    <row r="160" spans="1:6" x14ac:dyDescent="0.35">
      <c r="A160" t="s">
        <v>308</v>
      </c>
      <c r="B160" t="s">
        <v>309</v>
      </c>
      <c r="C160" t="s">
        <v>12</v>
      </c>
      <c r="D160" t="s">
        <v>9</v>
      </c>
      <c r="E160">
        <v>668</v>
      </c>
      <c r="F160" t="str">
        <f>HYPERLINK("https://www.google.com/maps/search/?api=1&amp;query=26.30122471,44.83176274", "View Map")</f>
        <v>View Map</v>
      </c>
    </row>
    <row r="161" spans="1:6" x14ac:dyDescent="0.35">
      <c r="A161" t="s">
        <v>310</v>
      </c>
      <c r="B161" t="s">
        <v>311</v>
      </c>
      <c r="C161" t="s">
        <v>51</v>
      </c>
      <c r="D161" t="s">
        <v>9</v>
      </c>
      <c r="E161">
        <v>666</v>
      </c>
      <c r="F161" t="str">
        <f>HYPERLINK("https://www.google.com/maps/search/?api=1&amp;query=25.56990853,46.98225485", "View Map")</f>
        <v>View Map</v>
      </c>
    </row>
    <row r="162" spans="1:6" x14ac:dyDescent="0.35">
      <c r="A162" t="s">
        <v>312</v>
      </c>
      <c r="B162" t="s">
        <v>313</v>
      </c>
      <c r="C162" t="s">
        <v>12</v>
      </c>
      <c r="D162" t="s">
        <v>9</v>
      </c>
      <c r="E162">
        <v>665</v>
      </c>
      <c r="F162" t="str">
        <f>HYPERLINK("https://www.google.com/maps/search/?api=1&amp;query=26.29066099,44.81886981", "View Map")</f>
        <v>View Map</v>
      </c>
    </row>
    <row r="163" spans="1:6" x14ac:dyDescent="0.35">
      <c r="A163" t="s">
        <v>314</v>
      </c>
      <c r="B163" t="s">
        <v>315</v>
      </c>
      <c r="C163" t="s">
        <v>12</v>
      </c>
      <c r="D163" t="s">
        <v>9</v>
      </c>
      <c r="E163">
        <v>664</v>
      </c>
      <c r="F163" t="str">
        <f>HYPERLINK("https://www.google.com/maps/search/?api=1&amp;query=26.2966343,44.82333655", "View Map")</f>
        <v>View Map</v>
      </c>
    </row>
    <row r="164" spans="1:6" x14ac:dyDescent="0.35">
      <c r="A164" t="s">
        <v>316</v>
      </c>
      <c r="B164" t="s">
        <v>317</v>
      </c>
      <c r="C164" t="s">
        <v>16</v>
      </c>
      <c r="D164" t="s">
        <v>318</v>
      </c>
      <c r="E164">
        <v>663</v>
      </c>
      <c r="F164" t="str">
        <f>HYPERLINK("https://www.google.com/maps/search/?api=1&amp;query=25.21629447,45.24448472", "View Map")</f>
        <v>View Map</v>
      </c>
    </row>
    <row r="165" spans="1:6" x14ac:dyDescent="0.35">
      <c r="A165" t="s">
        <v>319</v>
      </c>
      <c r="B165" t="s">
        <v>320</v>
      </c>
      <c r="C165" t="s">
        <v>57</v>
      </c>
      <c r="D165" t="s">
        <v>9</v>
      </c>
      <c r="E165">
        <v>660</v>
      </c>
      <c r="F165" t="str">
        <f>HYPERLINK("https://www.google.com/maps/search/?api=1&amp;query=25.16923831,46.33964045", "View Map")</f>
        <v>View Map</v>
      </c>
    </row>
    <row r="166" spans="1:6" x14ac:dyDescent="0.35">
      <c r="A166" t="s">
        <v>321</v>
      </c>
      <c r="B166" t="s">
        <v>322</v>
      </c>
      <c r="C166" t="s">
        <v>12</v>
      </c>
      <c r="D166" t="s">
        <v>9</v>
      </c>
      <c r="E166">
        <v>660</v>
      </c>
      <c r="F166" t="str">
        <f>HYPERLINK("https://www.google.com/maps/search/?api=1&amp;query=26.32621911,44.82480978", "View Map")</f>
        <v>View Map</v>
      </c>
    </row>
    <row r="167" spans="1:6" x14ac:dyDescent="0.35">
      <c r="A167" t="s">
        <v>70</v>
      </c>
      <c r="B167" t="s">
        <v>323</v>
      </c>
      <c r="C167" t="s">
        <v>8</v>
      </c>
      <c r="D167" t="s">
        <v>9</v>
      </c>
      <c r="E167">
        <v>657</v>
      </c>
      <c r="F167" t="str">
        <f>HYPERLINK("https://www.google.com/maps/search/?api=1&amp;query=25.9303779,45.37408238", "View Map")</f>
        <v>View Map</v>
      </c>
    </row>
    <row r="168" spans="1:6" x14ac:dyDescent="0.35">
      <c r="A168" t="s">
        <v>324</v>
      </c>
      <c r="B168" t="s">
        <v>325</v>
      </c>
      <c r="C168" t="s">
        <v>27</v>
      </c>
      <c r="D168" t="s">
        <v>9</v>
      </c>
      <c r="E168">
        <v>654</v>
      </c>
      <c r="F168" t="str">
        <f>HYPERLINK("https://www.google.com/maps/search/?api=1&amp;query=25.2207729,45.75329728", "View Map")</f>
        <v>View Map</v>
      </c>
    </row>
    <row r="169" spans="1:6" x14ac:dyDescent="0.35">
      <c r="A169" t="s">
        <v>326</v>
      </c>
      <c r="B169" t="s">
        <v>327</v>
      </c>
      <c r="C169" t="s">
        <v>8</v>
      </c>
      <c r="D169" t="s">
        <v>9</v>
      </c>
      <c r="E169">
        <v>653</v>
      </c>
      <c r="F169" t="str">
        <f>HYPERLINK("https://www.google.com/maps/search/?api=1&amp;query=25.5925548,45.79608624", "View Map")</f>
        <v>View Map</v>
      </c>
    </row>
    <row r="170" spans="1:6" x14ac:dyDescent="0.35">
      <c r="A170" t="s">
        <v>328</v>
      </c>
      <c r="B170" t="s">
        <v>329</v>
      </c>
      <c r="C170" t="s">
        <v>8</v>
      </c>
      <c r="D170" t="s">
        <v>9</v>
      </c>
      <c r="E170">
        <v>650</v>
      </c>
      <c r="F170" t="str">
        <f>HYPERLINK("https://www.google.com/maps/search/?api=1&amp;query=25.69664192,45.88027634", "View Map")</f>
        <v>View Map</v>
      </c>
    </row>
    <row r="171" spans="1:6" x14ac:dyDescent="0.35">
      <c r="A171" t="s">
        <v>330</v>
      </c>
      <c r="B171" t="s">
        <v>331</v>
      </c>
      <c r="C171" t="s">
        <v>61</v>
      </c>
      <c r="D171" t="s">
        <v>9</v>
      </c>
      <c r="E171">
        <v>646</v>
      </c>
      <c r="F171" t="str">
        <f>HYPERLINK("https://www.google.com/maps/search/?api=1&amp;query=25.06959309,45.46355554", "View Map")</f>
        <v>View Map</v>
      </c>
    </row>
    <row r="172" spans="1:6" x14ac:dyDescent="0.35">
      <c r="A172" t="s">
        <v>49</v>
      </c>
      <c r="B172" t="s">
        <v>332</v>
      </c>
      <c r="C172" t="s">
        <v>8</v>
      </c>
      <c r="D172" t="s">
        <v>9</v>
      </c>
      <c r="E172">
        <v>646</v>
      </c>
      <c r="F172" t="str">
        <f>HYPERLINK("https://www.google.com/maps/search/?api=1&amp;query=26.05560399,45.34903847", "View Map")</f>
        <v>View Map</v>
      </c>
    </row>
    <row r="173" spans="1:6" x14ac:dyDescent="0.35">
      <c r="A173" t="s">
        <v>333</v>
      </c>
      <c r="B173" t="s">
        <v>334</v>
      </c>
      <c r="C173" t="s">
        <v>12</v>
      </c>
      <c r="D173" t="s">
        <v>9</v>
      </c>
      <c r="E173">
        <v>643</v>
      </c>
      <c r="F173" t="str">
        <f>HYPERLINK("https://www.google.com/maps/search/?api=1&amp;query=26.335333,44.78042403", "View Map")</f>
        <v>View Map</v>
      </c>
    </row>
    <row r="174" spans="1:6" x14ac:dyDescent="0.35">
      <c r="A174" t="s">
        <v>335</v>
      </c>
      <c r="B174" t="s">
        <v>336</v>
      </c>
      <c r="C174" t="s">
        <v>12</v>
      </c>
      <c r="D174" t="s">
        <v>9</v>
      </c>
      <c r="E174">
        <v>639</v>
      </c>
      <c r="F174" t="str">
        <f>HYPERLINK("https://www.google.com/maps/search/?api=1&amp;query=26.31460834,44.7940335", "View Map")</f>
        <v>View Map</v>
      </c>
    </row>
    <row r="175" spans="1:6" x14ac:dyDescent="0.35">
      <c r="A175" t="s">
        <v>337</v>
      </c>
      <c r="B175" t="s">
        <v>338</v>
      </c>
      <c r="C175" t="s">
        <v>8</v>
      </c>
      <c r="D175" t="s">
        <v>9</v>
      </c>
      <c r="E175">
        <v>637</v>
      </c>
      <c r="F175" t="str">
        <f>HYPERLINK("https://www.google.com/maps/search/?api=1&amp;query=25.61247508,45.56077342", "View Map")</f>
        <v>View Map</v>
      </c>
    </row>
    <row r="176" spans="1:6" x14ac:dyDescent="0.35">
      <c r="A176" t="s">
        <v>83</v>
      </c>
      <c r="B176" t="s">
        <v>339</v>
      </c>
      <c r="C176" t="s">
        <v>16</v>
      </c>
      <c r="D176" t="s">
        <v>9</v>
      </c>
      <c r="E176">
        <v>637</v>
      </c>
      <c r="F176" t="str">
        <f>HYPERLINK("https://www.google.com/maps/search/?api=1&amp;query=25.22236961,45.29688078", "View Map")</f>
        <v>View Map</v>
      </c>
    </row>
    <row r="177" spans="1:6" x14ac:dyDescent="0.35">
      <c r="A177" t="s">
        <v>340</v>
      </c>
      <c r="B177" t="s">
        <v>341</v>
      </c>
      <c r="C177" t="s">
        <v>8</v>
      </c>
      <c r="D177" t="s">
        <v>9</v>
      </c>
      <c r="E177">
        <v>636</v>
      </c>
      <c r="F177" t="str">
        <f>HYPERLINK("https://www.google.com/maps/search/?api=1&amp;query=25.67637096,45.44857297", "View Map")</f>
        <v>View Map</v>
      </c>
    </row>
    <row r="178" spans="1:6" x14ac:dyDescent="0.35">
      <c r="A178" t="s">
        <v>49</v>
      </c>
      <c r="B178" t="s">
        <v>342</v>
      </c>
      <c r="C178" t="s">
        <v>51</v>
      </c>
      <c r="D178" t="s">
        <v>9</v>
      </c>
      <c r="E178">
        <v>633</v>
      </c>
      <c r="F178" t="str">
        <f>HYPERLINK("https://www.google.com/maps/search/?api=1&amp;query=25.56024081,47.15604065", "View Map")</f>
        <v>View Map</v>
      </c>
    </row>
    <row r="179" spans="1:6" x14ac:dyDescent="0.35">
      <c r="A179" t="s">
        <v>343</v>
      </c>
      <c r="B179" t="s">
        <v>344</v>
      </c>
      <c r="C179" t="s">
        <v>8</v>
      </c>
      <c r="D179" t="s">
        <v>318</v>
      </c>
      <c r="E179">
        <v>628</v>
      </c>
      <c r="F179" t="str">
        <f>HYPERLINK("https://www.google.com/maps/search/?api=1&amp;query=26.42395464,45.16643909", "View Map")</f>
        <v>View Map</v>
      </c>
    </row>
    <row r="180" spans="1:6" x14ac:dyDescent="0.35">
      <c r="A180" t="s">
        <v>34</v>
      </c>
      <c r="B180" t="s">
        <v>345</v>
      </c>
      <c r="C180" t="s">
        <v>57</v>
      </c>
      <c r="D180" t="s">
        <v>9</v>
      </c>
      <c r="E180">
        <v>627</v>
      </c>
      <c r="F180" t="str">
        <f>HYPERLINK("https://www.google.com/maps/search/?api=1&amp;query=25.12282935,46.09716559", "View Map")</f>
        <v>View Map</v>
      </c>
    </row>
    <row r="181" spans="1:6" x14ac:dyDescent="0.35">
      <c r="A181" t="s">
        <v>70</v>
      </c>
      <c r="B181" t="s">
        <v>346</v>
      </c>
      <c r="C181" t="s">
        <v>8</v>
      </c>
      <c r="D181" t="s">
        <v>9</v>
      </c>
      <c r="E181">
        <v>602</v>
      </c>
      <c r="F181" t="str">
        <f>HYPERLINK("https://www.google.com/maps/search/?api=1&amp;query=25.9303779,45.37408238", "View Map")</f>
        <v>View Map</v>
      </c>
    </row>
    <row r="182" spans="1:6" x14ac:dyDescent="0.35">
      <c r="A182" t="s">
        <v>347</v>
      </c>
      <c r="B182" t="s">
        <v>348</v>
      </c>
      <c r="C182" t="s">
        <v>57</v>
      </c>
      <c r="D182" t="s">
        <v>318</v>
      </c>
      <c r="E182">
        <v>544</v>
      </c>
      <c r="F182" t="str">
        <f>HYPERLINK("https://www.google.com/maps/search/?api=1&amp;query=25.16469205,46.15681345", "View Map")</f>
        <v>View Map</v>
      </c>
    </row>
    <row r="183" spans="1:6" x14ac:dyDescent="0.35">
      <c r="A183" t="s">
        <v>349</v>
      </c>
      <c r="B183" t="s">
        <v>350</v>
      </c>
      <c r="C183" t="s">
        <v>57</v>
      </c>
      <c r="D183" t="s">
        <v>318</v>
      </c>
      <c r="E183">
        <v>543</v>
      </c>
      <c r="F183" t="str">
        <f>HYPERLINK("https://www.google.com/maps/search/?api=1&amp;query=25.11112499,46.0953707", "View Map")</f>
        <v>View Map</v>
      </c>
    </row>
    <row r="184" spans="1:6" x14ac:dyDescent="0.35">
      <c r="A184" t="s">
        <v>351</v>
      </c>
      <c r="B184" t="s">
        <v>352</v>
      </c>
      <c r="C184" t="s">
        <v>8</v>
      </c>
      <c r="D184" t="s">
        <v>9</v>
      </c>
      <c r="E184">
        <v>538</v>
      </c>
      <c r="F184" t="str">
        <f>HYPERLINK("https://www.google.com/maps/search/?api=1&amp;query=25.63521465,45.78456372", "View Map")</f>
        <v>View Map</v>
      </c>
    </row>
    <row r="185" spans="1:6" x14ac:dyDescent="0.35">
      <c r="A185" t="s">
        <v>353</v>
      </c>
      <c r="B185" t="s">
        <v>354</v>
      </c>
      <c r="C185" t="s">
        <v>51</v>
      </c>
      <c r="D185" t="s">
        <v>318</v>
      </c>
      <c r="E185">
        <v>429</v>
      </c>
      <c r="F185" t="str">
        <f>HYPERLINK("https://www.google.com/maps/search/?api=1&amp;query=25.53915073,47.18483454", "View Map")</f>
        <v>View Map</v>
      </c>
    </row>
    <row r="186" spans="1:6" x14ac:dyDescent="0.35">
      <c r="A186" t="s">
        <v>25</v>
      </c>
      <c r="B186" t="s">
        <v>355</v>
      </c>
      <c r="C186" t="s">
        <v>27</v>
      </c>
      <c r="D186" t="s">
        <v>9</v>
      </c>
      <c r="E186">
        <v>419</v>
      </c>
      <c r="F186" t="str">
        <f>HYPERLINK("https://www.google.com/maps/search/?api=1&amp;query=25.17292047,45.81282185", "View Map")</f>
        <v>View Map</v>
      </c>
    </row>
    <row r="187" spans="1:6" x14ac:dyDescent="0.35">
      <c r="A187" t="s">
        <v>83</v>
      </c>
      <c r="B187" t="s">
        <v>356</v>
      </c>
      <c r="C187" t="s">
        <v>16</v>
      </c>
      <c r="D187" t="s">
        <v>318</v>
      </c>
      <c r="E187">
        <v>409</v>
      </c>
      <c r="F187" t="str">
        <f>HYPERLINK("https://www.google.com/maps/search/?api=1&amp;query=25.23727226,45.26997706", "View Map")</f>
        <v>View Map</v>
      </c>
    </row>
    <row r="188" spans="1:6" x14ac:dyDescent="0.35">
      <c r="A188" t="s">
        <v>357</v>
      </c>
      <c r="B188" t="s">
        <v>358</v>
      </c>
      <c r="C188" t="s">
        <v>57</v>
      </c>
      <c r="D188" t="s">
        <v>318</v>
      </c>
      <c r="E188">
        <v>400</v>
      </c>
      <c r="F188" t="str">
        <f>HYPERLINK("https://www.google.com/maps/search/?api=1&amp;query=25.11293859,46.10213808", "View Map")</f>
        <v>View Map</v>
      </c>
    </row>
    <row r="189" spans="1:6" x14ac:dyDescent="0.35">
      <c r="A189" t="s">
        <v>359</v>
      </c>
      <c r="B189" t="s">
        <v>360</v>
      </c>
      <c r="C189" t="s">
        <v>38</v>
      </c>
      <c r="D189" t="s">
        <v>318</v>
      </c>
      <c r="E189">
        <v>367</v>
      </c>
      <c r="F189" t="str">
        <f>HYPERLINK("https://www.google.com/maps/search/?api=1&amp;query=26.03018793,44.95210767", "View Map")</f>
        <v>View Map</v>
      </c>
    </row>
    <row r="190" spans="1:6" x14ac:dyDescent="0.35">
      <c r="A190" t="s">
        <v>361</v>
      </c>
      <c r="B190" t="s">
        <v>362</v>
      </c>
      <c r="C190" t="s">
        <v>8</v>
      </c>
      <c r="D190" t="s">
        <v>318</v>
      </c>
      <c r="E190">
        <v>366</v>
      </c>
      <c r="F190" t="str">
        <f>HYPERLINK("https://www.google.com/maps/search/?api=1&amp;query=26.5125484,45.35437563", "View Map")</f>
        <v>View Map</v>
      </c>
    </row>
    <row r="191" spans="1:6" x14ac:dyDescent="0.35">
      <c r="A191" t="s">
        <v>363</v>
      </c>
      <c r="B191" t="s">
        <v>364</v>
      </c>
      <c r="C191" t="s">
        <v>57</v>
      </c>
      <c r="D191" t="s">
        <v>318</v>
      </c>
      <c r="E191">
        <v>349</v>
      </c>
      <c r="F191" t="str">
        <f>HYPERLINK("https://www.google.com/maps/search/?api=1&amp;query=25.12535448,46.12211564", "View Map")</f>
        <v>View Map</v>
      </c>
    </row>
    <row r="192" spans="1:6" x14ac:dyDescent="0.35">
      <c r="A192" t="s">
        <v>365</v>
      </c>
      <c r="B192" t="s">
        <v>366</v>
      </c>
      <c r="C192" t="s">
        <v>8</v>
      </c>
      <c r="D192" t="s">
        <v>318</v>
      </c>
      <c r="E192">
        <v>339</v>
      </c>
      <c r="F192" t="str">
        <f>HYPERLINK("https://www.google.com/maps/search/?api=1&amp;query=25.90511935,45.36353574", "View Map")</f>
        <v>View Map</v>
      </c>
    </row>
    <row r="193" spans="1:6" x14ac:dyDescent="0.35">
      <c r="A193" t="s">
        <v>367</v>
      </c>
      <c r="B193" t="s">
        <v>368</v>
      </c>
      <c r="C193" t="s">
        <v>12</v>
      </c>
      <c r="D193" t="s">
        <v>318</v>
      </c>
      <c r="E193">
        <v>327</v>
      </c>
      <c r="F193" t="str">
        <f>HYPERLINK("https://www.google.com/maps/search/?api=1&amp;query=26.29408877,44.78909298", "View Map")</f>
        <v>View Map</v>
      </c>
    </row>
    <row r="194" spans="1:6" x14ac:dyDescent="0.35">
      <c r="A194" t="s">
        <v>47</v>
      </c>
      <c r="B194" t="s">
        <v>369</v>
      </c>
      <c r="C194" t="s">
        <v>12</v>
      </c>
      <c r="D194" t="s">
        <v>318</v>
      </c>
      <c r="E194">
        <v>326</v>
      </c>
      <c r="F194" t="str">
        <f>HYPERLINK("https://www.google.com/maps/search/?api=1&amp;query=26.28937348,44.87992489", "View Map")</f>
        <v>View Map</v>
      </c>
    </row>
    <row r="195" spans="1:6" x14ac:dyDescent="0.35">
      <c r="A195" t="s">
        <v>370</v>
      </c>
      <c r="B195" t="s">
        <v>371</v>
      </c>
      <c r="C195" t="s">
        <v>8</v>
      </c>
      <c r="D195" t="s">
        <v>318</v>
      </c>
      <c r="E195">
        <v>326</v>
      </c>
      <c r="F195" t="str">
        <f>HYPERLINK("https://www.google.com/maps/search/?api=1&amp;query=26.46725887,45.35336951", "View Map")</f>
        <v>View Map</v>
      </c>
    </row>
    <row r="196" spans="1:6" x14ac:dyDescent="0.35">
      <c r="A196" t="s">
        <v>372</v>
      </c>
      <c r="B196" t="s">
        <v>373</v>
      </c>
      <c r="C196" t="s">
        <v>8</v>
      </c>
      <c r="D196" t="s">
        <v>318</v>
      </c>
      <c r="E196">
        <v>319</v>
      </c>
      <c r="F196" t="str">
        <f>HYPERLINK("https://www.google.com/maps/search/?api=1&amp;query=25.5991194,45.62974651", "View Map")</f>
        <v>View Map</v>
      </c>
    </row>
    <row r="197" spans="1:6" x14ac:dyDescent="0.35">
      <c r="A197" t="s">
        <v>374</v>
      </c>
      <c r="B197" t="s">
        <v>375</v>
      </c>
      <c r="C197" t="s">
        <v>8</v>
      </c>
      <c r="D197" t="s">
        <v>318</v>
      </c>
      <c r="E197">
        <v>317</v>
      </c>
      <c r="F197" t="str">
        <f>HYPERLINK("https://www.google.com/maps/search/?api=1&amp;query=25.94374896,45.36098204", "View Map")</f>
        <v>View Map</v>
      </c>
    </row>
    <row r="198" spans="1:6" x14ac:dyDescent="0.35">
      <c r="A198" t="s">
        <v>376</v>
      </c>
      <c r="B198" t="s">
        <v>377</v>
      </c>
      <c r="C198" t="s">
        <v>8</v>
      </c>
      <c r="D198" t="s">
        <v>318</v>
      </c>
      <c r="E198">
        <v>315</v>
      </c>
      <c r="F198" t="str">
        <f>HYPERLINK("https://www.google.com/maps/search/?api=1&amp;query=25.62448757,45.57298823", "View Map")</f>
        <v>View Map</v>
      </c>
    </row>
    <row r="199" spans="1:6" x14ac:dyDescent="0.35">
      <c r="A199" t="s">
        <v>378</v>
      </c>
      <c r="B199" t="s">
        <v>379</v>
      </c>
      <c r="C199" t="s">
        <v>12</v>
      </c>
      <c r="D199" t="s">
        <v>318</v>
      </c>
      <c r="E199">
        <v>310</v>
      </c>
      <c r="F199" t="str">
        <f>HYPERLINK("https://www.google.com/maps/search/?api=1&amp;query=26.30971246,44.87224981", "View Map")</f>
        <v>View Map</v>
      </c>
    </row>
    <row r="200" spans="1:6" x14ac:dyDescent="0.35">
      <c r="A200" t="s">
        <v>380</v>
      </c>
      <c r="B200" t="s">
        <v>381</v>
      </c>
      <c r="C200" t="s">
        <v>12</v>
      </c>
      <c r="D200" t="s">
        <v>318</v>
      </c>
      <c r="E200">
        <v>300</v>
      </c>
      <c r="F200" t="str">
        <f>HYPERLINK("https://www.google.com/maps/search/?api=1&amp;query=26.29900201,44.79862389", "View Map")</f>
        <v>View Map</v>
      </c>
    </row>
    <row r="201" spans="1:6" x14ac:dyDescent="0.35">
      <c r="A201" t="s">
        <v>382</v>
      </c>
      <c r="B201" t="s">
        <v>383</v>
      </c>
      <c r="C201" t="s">
        <v>12</v>
      </c>
      <c r="D201" t="s">
        <v>318</v>
      </c>
      <c r="E201">
        <v>293</v>
      </c>
      <c r="F201" t="str">
        <f>HYPERLINK("https://www.google.com/maps/search/?api=1&amp;query=26.2917135,44.84039555", "View Map")</f>
        <v>View Map</v>
      </c>
    </row>
    <row r="202" spans="1:6" x14ac:dyDescent="0.35">
      <c r="A202" t="s">
        <v>384</v>
      </c>
      <c r="B202" t="s">
        <v>385</v>
      </c>
      <c r="C202" t="s">
        <v>12</v>
      </c>
      <c r="D202" t="s">
        <v>318</v>
      </c>
      <c r="E202">
        <v>290</v>
      </c>
      <c r="F202" t="str">
        <f>HYPERLINK("https://www.google.com/maps/search/?api=1&amp;query=26.29039266,44.82964272", "View Map")</f>
        <v>View Map</v>
      </c>
    </row>
    <row r="203" spans="1:6" x14ac:dyDescent="0.35">
      <c r="A203" t="s">
        <v>386</v>
      </c>
      <c r="B203" t="s">
        <v>387</v>
      </c>
      <c r="C203" t="s">
        <v>8</v>
      </c>
      <c r="D203" t="s">
        <v>318</v>
      </c>
      <c r="E203">
        <v>285</v>
      </c>
      <c r="F203" t="str">
        <f>HYPERLINK("https://www.google.com/maps/search/?api=1&amp;query=25.91211118,45.39332884", "View Map")</f>
        <v>View Map</v>
      </c>
    </row>
  </sheetData>
  <pageMargins left="0.75" right="0.75" top="1" bottom="1" header="0.5" footer="0.5"/>
  <headerFooter>
    <oddFooter>&amp;C_x000D_&amp;1#&amp;"Calibri"&amp;10&amp;K0000FF Restricted - مقيد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5"/>
  <sheetViews>
    <sheetView workbookViewId="0">
      <selection activeCell="G6" sqref="G6"/>
    </sheetView>
  </sheetViews>
  <sheetFormatPr defaultRowHeight="14.5" x14ac:dyDescent="0.35"/>
  <cols>
    <col min="1" max="1" width="42" customWidth="1"/>
    <col min="2" max="2" width="18" customWidth="1"/>
    <col min="3" max="3" width="15" customWidth="1"/>
    <col min="4" max="4" width="20" customWidth="1"/>
    <col min="5" max="5" width="24" customWidth="1"/>
    <col min="6" max="6" width="13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388</v>
      </c>
      <c r="B2" t="s">
        <v>389</v>
      </c>
      <c r="C2" t="s">
        <v>390</v>
      </c>
      <c r="D2" t="s">
        <v>13</v>
      </c>
      <c r="E2">
        <v>19444</v>
      </c>
      <c r="F2" t="str">
        <f>HYPERLINK("https://www.google.com/maps/search/?api=1&amp;query=24.15200302,47.30254745", "View Map")</f>
        <v>View Map</v>
      </c>
    </row>
    <row r="3" spans="1:6" x14ac:dyDescent="0.35">
      <c r="A3" t="s">
        <v>391</v>
      </c>
      <c r="B3" t="s">
        <v>392</v>
      </c>
      <c r="C3" t="s">
        <v>390</v>
      </c>
      <c r="D3" t="s">
        <v>13</v>
      </c>
      <c r="E3">
        <v>18069</v>
      </c>
      <c r="F3" t="str">
        <f>HYPERLINK("https://www.google.com/maps/search/?api=1&amp;query=24.16007137,47.23464169", "View Map")</f>
        <v>View Map</v>
      </c>
    </row>
    <row r="4" spans="1:6" x14ac:dyDescent="0.35">
      <c r="A4" t="s">
        <v>393</v>
      </c>
      <c r="B4" t="s">
        <v>394</v>
      </c>
      <c r="C4" t="s">
        <v>395</v>
      </c>
      <c r="D4" t="s">
        <v>9</v>
      </c>
      <c r="E4">
        <v>13659</v>
      </c>
      <c r="F4" t="str">
        <f>HYPERLINK("https://www.google.com/maps/search/?api=1&amp;query=20.45065236,45.57570255", "View Map")</f>
        <v>View Map</v>
      </c>
    </row>
    <row r="5" spans="1:6" x14ac:dyDescent="0.35">
      <c r="A5" t="s">
        <v>391</v>
      </c>
      <c r="B5" t="s">
        <v>396</v>
      </c>
      <c r="C5" t="s">
        <v>390</v>
      </c>
      <c r="D5" t="s">
        <v>13</v>
      </c>
      <c r="E5">
        <v>11322</v>
      </c>
      <c r="F5" t="str">
        <f>HYPERLINK("https://www.google.com/maps/search/?api=1&amp;query=24.16007137,47.23464169", "View Map")</f>
        <v>View Map</v>
      </c>
    </row>
    <row r="6" spans="1:6" x14ac:dyDescent="0.35">
      <c r="A6" t="s">
        <v>397</v>
      </c>
      <c r="B6" t="s">
        <v>398</v>
      </c>
      <c r="C6" t="s">
        <v>399</v>
      </c>
      <c r="D6" t="s">
        <v>13</v>
      </c>
      <c r="E6">
        <v>10097</v>
      </c>
      <c r="F6" t="str">
        <f>HYPERLINK("https://www.google.com/maps/search/?api=1&amp;query=20.47210421,44.78443717", "View Map")</f>
        <v>View Map</v>
      </c>
    </row>
    <row r="7" spans="1:6" x14ac:dyDescent="0.35">
      <c r="A7" t="s">
        <v>400</v>
      </c>
      <c r="B7" t="s">
        <v>401</v>
      </c>
      <c r="C7" t="s">
        <v>390</v>
      </c>
      <c r="D7" t="s">
        <v>13</v>
      </c>
      <c r="E7">
        <v>9891</v>
      </c>
      <c r="F7" t="str">
        <f>HYPERLINK("https://www.google.com/maps/search/?api=1&amp;query=24.13137844,47.27461704", "View Map")</f>
        <v>View Map</v>
      </c>
    </row>
    <row r="8" spans="1:6" x14ac:dyDescent="0.35">
      <c r="A8" t="s">
        <v>402</v>
      </c>
      <c r="B8" t="s">
        <v>403</v>
      </c>
      <c r="C8" t="s">
        <v>404</v>
      </c>
      <c r="D8" t="s">
        <v>13</v>
      </c>
      <c r="E8">
        <v>9633</v>
      </c>
      <c r="F8" t="str">
        <f>HYPERLINK("https://www.google.com/maps/search/?api=1&amp;query=22.28821198,46.72140969", "View Map")</f>
        <v>View Map</v>
      </c>
    </row>
    <row r="9" spans="1:6" x14ac:dyDescent="0.35">
      <c r="A9" t="s">
        <v>405</v>
      </c>
      <c r="B9" t="s">
        <v>406</v>
      </c>
      <c r="C9" t="s">
        <v>404</v>
      </c>
      <c r="D9" t="s">
        <v>13</v>
      </c>
      <c r="E9">
        <v>9029</v>
      </c>
      <c r="F9" t="str">
        <f>HYPERLINK("https://www.google.com/maps/search/?api=1&amp;query=22.30267156,46.72373659", "View Map")</f>
        <v>View Map</v>
      </c>
    </row>
    <row r="10" spans="1:6" x14ac:dyDescent="0.35">
      <c r="A10" t="s">
        <v>407</v>
      </c>
      <c r="B10" t="s">
        <v>408</v>
      </c>
      <c r="C10" t="s">
        <v>390</v>
      </c>
      <c r="D10" t="s">
        <v>13</v>
      </c>
      <c r="E10">
        <v>8329</v>
      </c>
      <c r="F10" t="str">
        <f>HYPERLINK("https://www.google.com/maps/search/?api=1&amp;query=24.33593315,47.50011255", "View Map")</f>
        <v>View Map</v>
      </c>
    </row>
    <row r="11" spans="1:6" x14ac:dyDescent="0.35">
      <c r="A11" t="s">
        <v>409</v>
      </c>
      <c r="B11" t="s">
        <v>410</v>
      </c>
      <c r="C11" t="s">
        <v>411</v>
      </c>
      <c r="D11" t="s">
        <v>13</v>
      </c>
      <c r="E11">
        <v>8290</v>
      </c>
      <c r="F11" t="str">
        <f>HYPERLINK("https://www.google.com/maps/search/?api=1&amp;query=23.49019876,46.86642954", "View Map")</f>
        <v>View Map</v>
      </c>
    </row>
    <row r="12" spans="1:6" x14ac:dyDescent="0.35">
      <c r="A12" t="s">
        <v>412</v>
      </c>
      <c r="B12" t="s">
        <v>413</v>
      </c>
      <c r="C12" t="s">
        <v>390</v>
      </c>
      <c r="D12" t="s">
        <v>13</v>
      </c>
      <c r="E12">
        <v>7358</v>
      </c>
      <c r="F12" t="str">
        <f>HYPERLINK("https://www.google.com/maps/search/?api=1&amp;query=24.13352099,47.28804134", "View Map")</f>
        <v>View Map</v>
      </c>
    </row>
    <row r="13" spans="1:6" x14ac:dyDescent="0.35">
      <c r="A13" t="s">
        <v>407</v>
      </c>
      <c r="B13" t="s">
        <v>414</v>
      </c>
      <c r="C13" t="s">
        <v>415</v>
      </c>
      <c r="D13" t="s">
        <v>13</v>
      </c>
      <c r="E13">
        <v>6156</v>
      </c>
      <c r="F13" t="str">
        <f>HYPERLINK("https://www.google.com/maps/search/?api=1&amp;query=23.63346239,46.52722316", "View Map")</f>
        <v>View Map</v>
      </c>
    </row>
    <row r="14" spans="1:6" x14ac:dyDescent="0.35">
      <c r="A14" t="s">
        <v>416</v>
      </c>
      <c r="B14" t="s">
        <v>417</v>
      </c>
      <c r="C14" t="s">
        <v>390</v>
      </c>
      <c r="D14" t="s">
        <v>13</v>
      </c>
      <c r="E14">
        <v>5866</v>
      </c>
      <c r="F14" t="str">
        <f>HYPERLINK("https://www.google.com/maps/search/?api=1&amp;query=24.13314947,47.34355138", "View Map")</f>
        <v>View Map</v>
      </c>
    </row>
    <row r="15" spans="1:6" x14ac:dyDescent="0.35">
      <c r="A15" t="s">
        <v>402</v>
      </c>
      <c r="B15" t="s">
        <v>418</v>
      </c>
      <c r="C15" t="s">
        <v>404</v>
      </c>
      <c r="D15" t="s">
        <v>13</v>
      </c>
      <c r="E15">
        <v>5653</v>
      </c>
      <c r="F15" t="str">
        <f>HYPERLINK("https://www.google.com/maps/search/?api=1&amp;query=22.28827317,46.72144073", "View Map")</f>
        <v>View Map</v>
      </c>
    </row>
    <row r="16" spans="1:6" x14ac:dyDescent="0.35">
      <c r="A16" t="s">
        <v>419</v>
      </c>
      <c r="B16" t="s">
        <v>420</v>
      </c>
      <c r="C16" t="s">
        <v>421</v>
      </c>
      <c r="D16" t="s">
        <v>13</v>
      </c>
      <c r="E16">
        <v>5396</v>
      </c>
      <c r="F16" t="str">
        <f>HYPERLINK("https://www.google.com/maps/search/?api=1&amp;query=23.9842,47.1356", "View Map")</f>
        <v>View Map</v>
      </c>
    </row>
    <row r="17" spans="1:6" x14ac:dyDescent="0.35">
      <c r="A17" t="s">
        <v>422</v>
      </c>
      <c r="B17" t="s">
        <v>423</v>
      </c>
      <c r="C17" t="s">
        <v>421</v>
      </c>
      <c r="D17" t="s">
        <v>13</v>
      </c>
      <c r="E17">
        <v>4591</v>
      </c>
      <c r="F17" t="str">
        <f>HYPERLINK("https://www.google.com/maps/search/?api=1&amp;query=23.99563646,47.1238727", "View Map")</f>
        <v>View Map</v>
      </c>
    </row>
    <row r="18" spans="1:6" x14ac:dyDescent="0.35">
      <c r="A18" t="s">
        <v>424</v>
      </c>
      <c r="B18" t="s">
        <v>425</v>
      </c>
      <c r="C18" t="s">
        <v>399</v>
      </c>
      <c r="D18" t="s">
        <v>13</v>
      </c>
      <c r="E18">
        <v>4557</v>
      </c>
      <c r="F18" t="str">
        <f>HYPERLINK("https://www.google.com/maps/search/?api=1&amp;query=20.46875995,44.76747325", "View Map")</f>
        <v>View Map</v>
      </c>
    </row>
    <row r="19" spans="1:6" x14ac:dyDescent="0.35">
      <c r="A19" t="s">
        <v>391</v>
      </c>
      <c r="B19" t="s">
        <v>426</v>
      </c>
      <c r="C19" t="s">
        <v>390</v>
      </c>
      <c r="D19" t="s">
        <v>13</v>
      </c>
      <c r="E19">
        <v>4539</v>
      </c>
      <c r="F19" t="str">
        <f>HYPERLINK("https://www.google.com/maps/search/?api=1&amp;query=24.12170154,47.25547128", "View Map")</f>
        <v>View Map</v>
      </c>
    </row>
    <row r="20" spans="1:6" x14ac:dyDescent="0.35">
      <c r="A20" t="s">
        <v>427</v>
      </c>
      <c r="B20" t="s">
        <v>428</v>
      </c>
      <c r="C20" t="s">
        <v>404</v>
      </c>
      <c r="D20" t="s">
        <v>13</v>
      </c>
      <c r="E20">
        <v>4229</v>
      </c>
      <c r="F20" t="str">
        <f>HYPERLINK("https://www.google.com/maps/search/?api=1&amp;query=22.04178402,46.5695802", "View Map")</f>
        <v>View Map</v>
      </c>
    </row>
    <row r="21" spans="1:6" x14ac:dyDescent="0.35">
      <c r="A21" t="s">
        <v>429</v>
      </c>
      <c r="B21" t="s">
        <v>430</v>
      </c>
      <c r="C21" t="s">
        <v>390</v>
      </c>
      <c r="D21" t="s">
        <v>13</v>
      </c>
      <c r="E21">
        <v>3861</v>
      </c>
      <c r="F21" t="str">
        <f>HYPERLINK("https://www.google.com/maps/search/?api=1&amp;query=24.10812208,47.28429742", "View Map")</f>
        <v>View Map</v>
      </c>
    </row>
    <row r="22" spans="1:6" x14ac:dyDescent="0.35">
      <c r="A22" t="s">
        <v>431</v>
      </c>
      <c r="B22" t="s">
        <v>432</v>
      </c>
      <c r="C22" t="s">
        <v>390</v>
      </c>
      <c r="D22" t="s">
        <v>13</v>
      </c>
      <c r="E22">
        <v>3610</v>
      </c>
      <c r="F22" t="str">
        <f>HYPERLINK("https://www.google.com/maps/search/?api=1&amp;query=24.16532819,47.33944296", "View Map")</f>
        <v>View Map</v>
      </c>
    </row>
    <row r="23" spans="1:6" x14ac:dyDescent="0.35">
      <c r="A23" t="s">
        <v>433</v>
      </c>
      <c r="B23" t="s">
        <v>434</v>
      </c>
      <c r="C23" t="s">
        <v>390</v>
      </c>
      <c r="D23" t="s">
        <v>13</v>
      </c>
      <c r="E23">
        <v>3546</v>
      </c>
      <c r="F23" t="str">
        <f>HYPERLINK("https://www.google.com/maps/search/?api=1&amp;query=24.13584247,47.35314122", "View Map")</f>
        <v>View Map</v>
      </c>
    </row>
    <row r="24" spans="1:6" x14ac:dyDescent="0.35">
      <c r="A24" t="s">
        <v>391</v>
      </c>
      <c r="B24" t="s">
        <v>435</v>
      </c>
      <c r="C24" t="s">
        <v>390</v>
      </c>
      <c r="D24" t="s">
        <v>13</v>
      </c>
      <c r="E24">
        <v>3455</v>
      </c>
      <c r="F24" t="str">
        <f>HYPERLINK("https://www.google.com/maps/search/?api=1&amp;query=24.14918635,47.39252381", "View Map")</f>
        <v>View Map</v>
      </c>
    </row>
    <row r="25" spans="1:6" x14ac:dyDescent="0.35">
      <c r="A25" t="s">
        <v>436</v>
      </c>
      <c r="B25" t="s">
        <v>437</v>
      </c>
      <c r="C25" t="s">
        <v>390</v>
      </c>
      <c r="D25" t="s">
        <v>13</v>
      </c>
      <c r="E25">
        <v>3375</v>
      </c>
      <c r="F25" t="str">
        <f>HYPERLINK("https://www.google.com/maps/search/?api=1&amp;query=24.13855392,47.28682893", "View Map")</f>
        <v>View Map</v>
      </c>
    </row>
    <row r="26" spans="1:6" x14ac:dyDescent="0.35">
      <c r="A26" t="s">
        <v>438</v>
      </c>
      <c r="B26" t="s">
        <v>439</v>
      </c>
      <c r="C26" t="s">
        <v>399</v>
      </c>
      <c r="D26" t="s">
        <v>13</v>
      </c>
      <c r="E26">
        <v>3361</v>
      </c>
      <c r="F26" t="str">
        <f>HYPERLINK("https://www.google.com/maps/search/?api=1&amp;query=20.47812639,44.79162144", "View Map")</f>
        <v>View Map</v>
      </c>
    </row>
    <row r="27" spans="1:6" x14ac:dyDescent="0.35">
      <c r="A27" t="s">
        <v>438</v>
      </c>
      <c r="B27" t="s">
        <v>440</v>
      </c>
      <c r="C27" t="s">
        <v>399</v>
      </c>
      <c r="D27" t="s">
        <v>13</v>
      </c>
      <c r="E27">
        <v>3347</v>
      </c>
      <c r="F27" t="str">
        <f>HYPERLINK("https://www.google.com/maps/search/?api=1&amp;query=20.4521667,44.77183392", "View Map")</f>
        <v>View Map</v>
      </c>
    </row>
    <row r="28" spans="1:6" x14ac:dyDescent="0.35">
      <c r="A28" t="s">
        <v>441</v>
      </c>
      <c r="B28" t="s">
        <v>442</v>
      </c>
      <c r="C28" t="s">
        <v>390</v>
      </c>
      <c r="D28" t="s">
        <v>13</v>
      </c>
      <c r="E28">
        <v>3309</v>
      </c>
      <c r="F28" t="str">
        <f>HYPERLINK("https://www.google.com/maps/search/?api=1&amp;query=24.19700207,47.29871877", "View Map")</f>
        <v>View Map</v>
      </c>
    </row>
    <row r="29" spans="1:6" x14ac:dyDescent="0.35">
      <c r="A29" t="s">
        <v>443</v>
      </c>
      <c r="B29" t="s">
        <v>444</v>
      </c>
      <c r="C29" t="s">
        <v>390</v>
      </c>
      <c r="D29" t="s">
        <v>13</v>
      </c>
      <c r="E29">
        <v>3242</v>
      </c>
      <c r="F29" t="str">
        <f>HYPERLINK("https://www.google.com/maps/search/?api=1&amp;query=24.17494047,47.34780505", "View Map")</f>
        <v>View Map</v>
      </c>
    </row>
    <row r="30" spans="1:6" x14ac:dyDescent="0.35">
      <c r="A30" t="s">
        <v>391</v>
      </c>
      <c r="B30" t="s">
        <v>445</v>
      </c>
      <c r="C30" t="s">
        <v>390</v>
      </c>
      <c r="D30" t="s">
        <v>9</v>
      </c>
      <c r="E30">
        <v>3226</v>
      </c>
      <c r="F30" t="str">
        <f>HYPERLINK("https://www.google.com/maps/search/?api=1&amp;query=24.0945035,47.27503035", "View Map")</f>
        <v>View Map</v>
      </c>
    </row>
    <row r="31" spans="1:6" x14ac:dyDescent="0.35">
      <c r="A31" t="s">
        <v>446</v>
      </c>
      <c r="B31" t="s">
        <v>447</v>
      </c>
      <c r="C31" t="s">
        <v>390</v>
      </c>
      <c r="D31" t="s">
        <v>13</v>
      </c>
      <c r="E31">
        <v>3189</v>
      </c>
      <c r="F31" t="str">
        <f>HYPERLINK("https://www.google.com/maps/search/?api=1&amp;query=24.18819948,47.26896588", "View Map")</f>
        <v>View Map</v>
      </c>
    </row>
    <row r="32" spans="1:6" x14ac:dyDescent="0.35">
      <c r="A32" t="s">
        <v>448</v>
      </c>
      <c r="B32" t="s">
        <v>449</v>
      </c>
      <c r="C32" t="s">
        <v>390</v>
      </c>
      <c r="D32" t="s">
        <v>13</v>
      </c>
      <c r="E32">
        <v>3142</v>
      </c>
      <c r="F32" t="str">
        <f>HYPERLINK("https://www.google.com/maps/search/?api=1&amp;query=24.12679216,47.27874723", "View Map")</f>
        <v>View Map</v>
      </c>
    </row>
    <row r="33" spans="1:6" x14ac:dyDescent="0.35">
      <c r="A33" t="s">
        <v>450</v>
      </c>
      <c r="B33" t="s">
        <v>451</v>
      </c>
      <c r="C33" t="s">
        <v>399</v>
      </c>
      <c r="D33" t="s">
        <v>13</v>
      </c>
      <c r="E33">
        <v>3016</v>
      </c>
      <c r="F33" t="str">
        <f>HYPERLINK("https://www.google.com/maps/search/?api=1&amp;query=20.48200068,44.77792373", "View Map")</f>
        <v>View Map</v>
      </c>
    </row>
    <row r="34" spans="1:6" x14ac:dyDescent="0.35">
      <c r="A34" t="s">
        <v>452</v>
      </c>
      <c r="B34" t="s">
        <v>453</v>
      </c>
      <c r="C34" t="s">
        <v>399</v>
      </c>
      <c r="D34" t="s">
        <v>13</v>
      </c>
      <c r="E34">
        <v>2988</v>
      </c>
      <c r="F34" t="str">
        <f>HYPERLINK("https://www.google.com/maps/search/?api=1&amp;query=20.43414579,44.87712767", "View Map")</f>
        <v>View Map</v>
      </c>
    </row>
    <row r="35" spans="1:6" x14ac:dyDescent="0.35">
      <c r="A35" t="s">
        <v>454</v>
      </c>
      <c r="B35" t="s">
        <v>455</v>
      </c>
      <c r="C35" t="s">
        <v>399</v>
      </c>
      <c r="D35" t="s">
        <v>13</v>
      </c>
      <c r="E35">
        <v>2963</v>
      </c>
      <c r="F35" t="str">
        <f>HYPERLINK("https://www.google.com/maps/search/?api=1&amp;query=20.4337845,44.77963537", "View Map")</f>
        <v>View Map</v>
      </c>
    </row>
    <row r="36" spans="1:6" x14ac:dyDescent="0.35">
      <c r="A36" t="s">
        <v>456</v>
      </c>
      <c r="B36" t="s">
        <v>457</v>
      </c>
      <c r="C36" t="s">
        <v>399</v>
      </c>
      <c r="D36" t="s">
        <v>13</v>
      </c>
      <c r="E36">
        <v>2956</v>
      </c>
      <c r="F36" t="str">
        <f>HYPERLINK("https://www.google.com/maps/search/?api=1&amp;query=20.45272293,44.84467153", "View Map")</f>
        <v>View Map</v>
      </c>
    </row>
    <row r="37" spans="1:6" x14ac:dyDescent="0.35">
      <c r="A37" t="s">
        <v>458</v>
      </c>
      <c r="B37" t="s">
        <v>459</v>
      </c>
      <c r="C37" t="s">
        <v>421</v>
      </c>
      <c r="D37" t="s">
        <v>13</v>
      </c>
      <c r="E37">
        <v>2903</v>
      </c>
      <c r="F37" t="str">
        <f>HYPERLINK("https://www.google.com/maps/search/?api=1&amp;query=23.96111,47.17606", "View Map")</f>
        <v>View Map</v>
      </c>
    </row>
    <row r="38" spans="1:6" x14ac:dyDescent="0.35">
      <c r="A38" t="s">
        <v>460</v>
      </c>
      <c r="B38" t="s">
        <v>461</v>
      </c>
      <c r="C38" t="s">
        <v>390</v>
      </c>
      <c r="D38" t="s">
        <v>13</v>
      </c>
      <c r="E38">
        <v>2900</v>
      </c>
      <c r="F38" t="str">
        <f>HYPERLINK("https://www.google.com/maps/search/?api=1&amp;query=24.15426279,47.33110943", "View Map")</f>
        <v>View Map</v>
      </c>
    </row>
    <row r="39" spans="1:6" x14ac:dyDescent="0.35">
      <c r="A39" t="s">
        <v>462</v>
      </c>
      <c r="B39" t="s">
        <v>463</v>
      </c>
      <c r="C39" t="s">
        <v>421</v>
      </c>
      <c r="D39" t="s">
        <v>13</v>
      </c>
      <c r="E39">
        <v>2879</v>
      </c>
      <c r="F39" t="str">
        <f>HYPERLINK("https://www.google.com/maps/search/?api=1&amp;query=23.9886,47.1644", "View Map")</f>
        <v>View Map</v>
      </c>
    </row>
    <row r="40" spans="1:6" x14ac:dyDescent="0.35">
      <c r="A40" t="s">
        <v>464</v>
      </c>
      <c r="B40" t="s">
        <v>465</v>
      </c>
      <c r="C40" t="s">
        <v>399</v>
      </c>
      <c r="D40" t="s">
        <v>13</v>
      </c>
      <c r="E40">
        <v>2812</v>
      </c>
      <c r="F40" t="str">
        <f>HYPERLINK("https://www.google.com/maps/search/?api=1&amp;query=20.45466368,44.85435293", "View Map")</f>
        <v>View Map</v>
      </c>
    </row>
    <row r="41" spans="1:6" x14ac:dyDescent="0.35">
      <c r="A41" t="s">
        <v>466</v>
      </c>
      <c r="B41" t="s">
        <v>467</v>
      </c>
      <c r="C41" t="s">
        <v>390</v>
      </c>
      <c r="D41" t="s">
        <v>13</v>
      </c>
      <c r="E41">
        <v>2800</v>
      </c>
      <c r="F41" t="str">
        <f>HYPERLINK("https://www.google.com/maps/search/?api=1&amp;query=24.21256254,47.19673791", "View Map")</f>
        <v>View Map</v>
      </c>
    </row>
    <row r="42" spans="1:6" x14ac:dyDescent="0.35">
      <c r="A42" t="s">
        <v>468</v>
      </c>
      <c r="B42" t="s">
        <v>469</v>
      </c>
      <c r="C42" t="s">
        <v>399</v>
      </c>
      <c r="D42" t="s">
        <v>13</v>
      </c>
      <c r="E42">
        <v>2786</v>
      </c>
      <c r="F42" t="str">
        <f>HYPERLINK("https://www.google.com/maps/search/?api=1&amp;query=20.47101102,44.79302675", "View Map")</f>
        <v>View Map</v>
      </c>
    </row>
    <row r="43" spans="1:6" x14ac:dyDescent="0.35">
      <c r="A43" t="s">
        <v>470</v>
      </c>
      <c r="B43" t="s">
        <v>471</v>
      </c>
      <c r="C43" t="s">
        <v>390</v>
      </c>
      <c r="D43" t="s">
        <v>13</v>
      </c>
      <c r="E43">
        <v>2727</v>
      </c>
      <c r="F43" t="str">
        <f>HYPERLINK("https://www.google.com/maps/search/?api=1&amp;query=24.15395984,47.30523611", "View Map")</f>
        <v>View Map</v>
      </c>
    </row>
    <row r="44" spans="1:6" x14ac:dyDescent="0.35">
      <c r="A44" t="s">
        <v>472</v>
      </c>
      <c r="B44" t="s">
        <v>473</v>
      </c>
      <c r="C44" t="s">
        <v>421</v>
      </c>
      <c r="D44" t="s">
        <v>13</v>
      </c>
      <c r="E44">
        <v>2642</v>
      </c>
      <c r="F44" t="str">
        <f>HYPERLINK("https://www.google.com/maps/search/?api=1&amp;query=24.07670621,47.16687189", "View Map")</f>
        <v>View Map</v>
      </c>
    </row>
    <row r="45" spans="1:6" x14ac:dyDescent="0.35">
      <c r="A45" t="s">
        <v>474</v>
      </c>
      <c r="B45" t="s">
        <v>475</v>
      </c>
      <c r="C45" t="s">
        <v>390</v>
      </c>
      <c r="D45" t="s">
        <v>13</v>
      </c>
      <c r="E45">
        <v>2642</v>
      </c>
      <c r="F45" t="str">
        <f>HYPERLINK("https://www.google.com/maps/search/?api=1&amp;query=24.16025664,47.31870038", "View Map")</f>
        <v>View Map</v>
      </c>
    </row>
    <row r="46" spans="1:6" x14ac:dyDescent="0.35">
      <c r="A46" t="s">
        <v>476</v>
      </c>
      <c r="B46" t="s">
        <v>477</v>
      </c>
      <c r="C46" t="s">
        <v>399</v>
      </c>
      <c r="D46" t="s">
        <v>13</v>
      </c>
      <c r="E46">
        <v>2607</v>
      </c>
      <c r="F46" t="str">
        <f>HYPERLINK("https://www.google.com/maps/search/?api=1&amp;query=20.43271828,44.85573303", "View Map")</f>
        <v>View Map</v>
      </c>
    </row>
    <row r="47" spans="1:6" x14ac:dyDescent="0.35">
      <c r="A47" t="s">
        <v>478</v>
      </c>
      <c r="B47" t="s">
        <v>479</v>
      </c>
      <c r="C47" t="s">
        <v>411</v>
      </c>
      <c r="D47" t="s">
        <v>13</v>
      </c>
      <c r="E47">
        <v>2604</v>
      </c>
      <c r="F47" t="str">
        <f>HYPERLINK("https://www.google.com/maps/search/?api=1&amp;query=23.49517311,46.88341394", "View Map")</f>
        <v>View Map</v>
      </c>
    </row>
    <row r="48" spans="1:6" x14ac:dyDescent="0.35">
      <c r="A48" t="s">
        <v>438</v>
      </c>
      <c r="B48" t="s">
        <v>480</v>
      </c>
      <c r="C48" t="s">
        <v>399</v>
      </c>
      <c r="D48" t="s">
        <v>13</v>
      </c>
      <c r="E48">
        <v>2597</v>
      </c>
      <c r="F48" t="str">
        <f>HYPERLINK("https://www.google.com/maps/search/?api=1&amp;query=20.45935227,44.75663044", "View Map")</f>
        <v>View Map</v>
      </c>
    </row>
    <row r="49" spans="1:6" x14ac:dyDescent="0.35">
      <c r="A49" t="s">
        <v>481</v>
      </c>
      <c r="B49" t="s">
        <v>482</v>
      </c>
      <c r="C49" t="s">
        <v>390</v>
      </c>
      <c r="D49" t="s">
        <v>13</v>
      </c>
      <c r="E49">
        <v>2568</v>
      </c>
      <c r="F49" t="str">
        <f>HYPERLINK("https://www.google.com/maps/search/?api=1&amp;query=24.16634665,47.3552089", "View Map")</f>
        <v>View Map</v>
      </c>
    </row>
    <row r="50" spans="1:6" x14ac:dyDescent="0.35">
      <c r="A50" t="s">
        <v>438</v>
      </c>
      <c r="B50" t="s">
        <v>483</v>
      </c>
      <c r="C50" t="s">
        <v>399</v>
      </c>
      <c r="D50" t="s">
        <v>13</v>
      </c>
      <c r="E50">
        <v>2564</v>
      </c>
      <c r="F50" t="str">
        <f>HYPERLINK("https://www.google.com/maps/search/?api=1&amp;query=20.43189677,44.88776996", "View Map")</f>
        <v>View Map</v>
      </c>
    </row>
    <row r="51" spans="1:6" x14ac:dyDescent="0.35">
      <c r="A51" t="s">
        <v>391</v>
      </c>
      <c r="B51" t="s">
        <v>484</v>
      </c>
      <c r="C51" t="s">
        <v>390</v>
      </c>
      <c r="D51" t="s">
        <v>13</v>
      </c>
      <c r="E51">
        <v>2551</v>
      </c>
      <c r="F51" t="str">
        <f>HYPERLINK("https://www.google.com/maps/search/?api=1&amp;query=24.08391463,47.2566621", "View Map")</f>
        <v>View Map</v>
      </c>
    </row>
    <row r="52" spans="1:6" x14ac:dyDescent="0.35">
      <c r="A52" t="s">
        <v>485</v>
      </c>
      <c r="B52" t="s">
        <v>486</v>
      </c>
      <c r="C52" t="s">
        <v>390</v>
      </c>
      <c r="D52" t="s">
        <v>13</v>
      </c>
      <c r="E52">
        <v>2548</v>
      </c>
      <c r="F52" t="str">
        <f>HYPERLINK("https://www.google.com/maps/search/?api=1&amp;query=24.15499071,47.31498239", "View Map")</f>
        <v>View Map</v>
      </c>
    </row>
    <row r="53" spans="1:6" x14ac:dyDescent="0.35">
      <c r="A53" t="s">
        <v>391</v>
      </c>
      <c r="B53" t="s">
        <v>487</v>
      </c>
      <c r="C53" t="s">
        <v>390</v>
      </c>
      <c r="D53" t="s">
        <v>13</v>
      </c>
      <c r="E53">
        <v>2517</v>
      </c>
      <c r="F53" t="str">
        <f>HYPERLINK("https://www.google.com/maps/search/?api=1&amp;query=24.17319047,47.34223867", "View Map")</f>
        <v>View Map</v>
      </c>
    </row>
    <row r="54" spans="1:6" x14ac:dyDescent="0.35">
      <c r="A54" t="s">
        <v>488</v>
      </c>
      <c r="B54" t="s">
        <v>489</v>
      </c>
      <c r="C54" t="s">
        <v>390</v>
      </c>
      <c r="D54" t="s">
        <v>13</v>
      </c>
      <c r="E54">
        <v>2512</v>
      </c>
      <c r="F54" t="str">
        <f>HYPERLINK("https://www.google.com/maps/search/?api=1&amp;query=24.13881674,47.3386155", "View Map")</f>
        <v>View Map</v>
      </c>
    </row>
    <row r="55" spans="1:6" x14ac:dyDescent="0.35">
      <c r="A55" t="s">
        <v>490</v>
      </c>
      <c r="B55" t="s">
        <v>491</v>
      </c>
      <c r="C55" t="s">
        <v>421</v>
      </c>
      <c r="D55" t="s">
        <v>13</v>
      </c>
      <c r="E55">
        <v>2458</v>
      </c>
      <c r="F55" t="str">
        <f>HYPERLINK("https://www.google.com/maps/search/?api=1&amp;query=23.95827861,47.11796616", "View Map")</f>
        <v>View Map</v>
      </c>
    </row>
    <row r="56" spans="1:6" x14ac:dyDescent="0.35">
      <c r="A56" t="s">
        <v>492</v>
      </c>
      <c r="B56" t="s">
        <v>493</v>
      </c>
      <c r="C56" t="s">
        <v>390</v>
      </c>
      <c r="D56" t="s">
        <v>13</v>
      </c>
      <c r="E56">
        <v>2439</v>
      </c>
      <c r="F56" t="str">
        <f>HYPERLINK("https://www.google.com/maps/search/?api=1&amp;query=24.11564,47.30104", "View Map")</f>
        <v>View Map</v>
      </c>
    </row>
    <row r="57" spans="1:6" x14ac:dyDescent="0.35">
      <c r="A57" t="s">
        <v>494</v>
      </c>
      <c r="B57" t="s">
        <v>495</v>
      </c>
      <c r="C57" t="s">
        <v>390</v>
      </c>
      <c r="D57" t="s">
        <v>13</v>
      </c>
      <c r="E57">
        <v>2391</v>
      </c>
      <c r="F57" t="str">
        <f>HYPERLINK("https://www.google.com/maps/search/?api=1&amp;query=24.14171973,47.35121878", "View Map")</f>
        <v>View Map</v>
      </c>
    </row>
    <row r="58" spans="1:6" x14ac:dyDescent="0.35">
      <c r="A58" t="s">
        <v>496</v>
      </c>
      <c r="B58" t="s">
        <v>497</v>
      </c>
      <c r="C58" t="s">
        <v>390</v>
      </c>
      <c r="D58" t="s">
        <v>13</v>
      </c>
      <c r="E58">
        <v>2254</v>
      </c>
      <c r="F58" t="str">
        <f>HYPERLINK("https://www.google.com/maps/search/?api=1&amp;query=24.13739516,47.35707489", "View Map")</f>
        <v>View Map</v>
      </c>
    </row>
    <row r="59" spans="1:6" x14ac:dyDescent="0.35">
      <c r="A59" t="s">
        <v>498</v>
      </c>
      <c r="B59" t="s">
        <v>499</v>
      </c>
      <c r="C59" t="s">
        <v>399</v>
      </c>
      <c r="D59" t="s">
        <v>13</v>
      </c>
      <c r="E59">
        <v>2238</v>
      </c>
      <c r="F59" t="str">
        <f>HYPERLINK("https://www.google.com/maps/search/?api=1&amp;query=20.44575708,44.86397", "View Map")</f>
        <v>View Map</v>
      </c>
    </row>
    <row r="60" spans="1:6" x14ac:dyDescent="0.35">
      <c r="A60" t="s">
        <v>500</v>
      </c>
      <c r="B60" t="s">
        <v>501</v>
      </c>
      <c r="C60" t="s">
        <v>390</v>
      </c>
      <c r="D60" t="s">
        <v>13</v>
      </c>
      <c r="E60">
        <v>2210</v>
      </c>
      <c r="F60" t="str">
        <f>HYPERLINK("https://www.google.com/maps/search/?api=1&amp;query=24.1259483,47.27599942", "View Map")</f>
        <v>View Map</v>
      </c>
    </row>
    <row r="61" spans="1:6" x14ac:dyDescent="0.35">
      <c r="A61" t="s">
        <v>502</v>
      </c>
      <c r="B61" t="s">
        <v>503</v>
      </c>
      <c r="C61" t="s">
        <v>390</v>
      </c>
      <c r="D61" t="s">
        <v>13</v>
      </c>
      <c r="E61">
        <v>2202</v>
      </c>
      <c r="F61" t="str">
        <f>HYPERLINK("https://www.google.com/maps/search/?api=1&amp;query=24.12756351,47.26491257", "View Map")</f>
        <v>View Map</v>
      </c>
    </row>
    <row r="62" spans="1:6" x14ac:dyDescent="0.35">
      <c r="A62" t="s">
        <v>504</v>
      </c>
      <c r="B62" t="s">
        <v>505</v>
      </c>
      <c r="C62" t="s">
        <v>390</v>
      </c>
      <c r="D62" t="s">
        <v>13</v>
      </c>
      <c r="E62">
        <v>2179</v>
      </c>
      <c r="F62" t="str">
        <f>HYPERLINK("https://www.google.com/maps/search/?api=1&amp;query=24.117,47.939", "View Map")</f>
        <v>View Map</v>
      </c>
    </row>
    <row r="63" spans="1:6" x14ac:dyDescent="0.35">
      <c r="A63" t="s">
        <v>506</v>
      </c>
      <c r="B63" t="s">
        <v>507</v>
      </c>
      <c r="C63" t="s">
        <v>390</v>
      </c>
      <c r="D63" t="s">
        <v>13</v>
      </c>
      <c r="E63">
        <v>2174</v>
      </c>
      <c r="F63" t="str">
        <f>HYPERLINK("https://www.google.com/maps/search/?api=1&amp;query=24.19154391,47.2902271", "View Map")</f>
        <v>View Map</v>
      </c>
    </row>
    <row r="64" spans="1:6" x14ac:dyDescent="0.35">
      <c r="A64" t="s">
        <v>508</v>
      </c>
      <c r="B64" t="s">
        <v>509</v>
      </c>
      <c r="C64" t="s">
        <v>390</v>
      </c>
      <c r="D64" t="s">
        <v>13</v>
      </c>
      <c r="E64">
        <v>2156</v>
      </c>
      <c r="F64" t="str">
        <f>HYPERLINK("https://www.google.com/maps/search/?api=1&amp;query=24.14852722,47.30391987", "View Map")</f>
        <v>View Map</v>
      </c>
    </row>
    <row r="65" spans="1:6" x14ac:dyDescent="0.35">
      <c r="A65" t="s">
        <v>510</v>
      </c>
      <c r="B65" t="s">
        <v>511</v>
      </c>
      <c r="C65" t="s">
        <v>390</v>
      </c>
      <c r="D65" t="s">
        <v>13</v>
      </c>
      <c r="E65">
        <v>2074</v>
      </c>
      <c r="F65" t="str">
        <f>HYPERLINK("https://www.google.com/maps/search/?api=1&amp;query=24.1530248,47.34529481", "View Map")</f>
        <v>View Map</v>
      </c>
    </row>
    <row r="66" spans="1:6" x14ac:dyDescent="0.35">
      <c r="A66" t="s">
        <v>512</v>
      </c>
      <c r="B66" t="s">
        <v>513</v>
      </c>
      <c r="C66" t="s">
        <v>399</v>
      </c>
      <c r="D66" t="s">
        <v>13</v>
      </c>
      <c r="E66">
        <v>2068</v>
      </c>
      <c r="F66" t="str">
        <f>HYPERLINK("https://www.google.com/maps/search/?api=1&amp;query=20.46947157,45.05679971", "View Map")</f>
        <v>View Map</v>
      </c>
    </row>
    <row r="67" spans="1:6" x14ac:dyDescent="0.35">
      <c r="A67" t="s">
        <v>514</v>
      </c>
      <c r="B67" t="s">
        <v>515</v>
      </c>
      <c r="C67" t="s">
        <v>395</v>
      </c>
      <c r="D67" t="s">
        <v>13</v>
      </c>
      <c r="E67">
        <v>2062</v>
      </c>
      <c r="F67" t="str">
        <f>HYPERLINK("https://www.google.com/maps/search/?api=1&amp;query=20.4583537,45.5847935", "View Map")</f>
        <v>View Map</v>
      </c>
    </row>
    <row r="68" spans="1:6" x14ac:dyDescent="0.35">
      <c r="A68" t="s">
        <v>516</v>
      </c>
      <c r="B68" t="s">
        <v>517</v>
      </c>
      <c r="C68" t="s">
        <v>421</v>
      </c>
      <c r="D68" t="s">
        <v>13</v>
      </c>
      <c r="E68">
        <v>2052</v>
      </c>
      <c r="F68" t="str">
        <f>HYPERLINK("https://www.google.com/maps/search/?api=1&amp;query=24.01149185,47.13158961", "View Map")</f>
        <v>View Map</v>
      </c>
    </row>
    <row r="69" spans="1:6" x14ac:dyDescent="0.35">
      <c r="A69" t="s">
        <v>518</v>
      </c>
      <c r="B69" t="s">
        <v>519</v>
      </c>
      <c r="C69" t="s">
        <v>390</v>
      </c>
      <c r="D69" t="s">
        <v>13</v>
      </c>
      <c r="E69">
        <v>2050</v>
      </c>
      <c r="F69" t="str">
        <f>HYPERLINK("https://www.google.com/maps/search/?api=1&amp;query=24.13782953,47.29136503", "View Map")</f>
        <v>View Map</v>
      </c>
    </row>
    <row r="70" spans="1:6" x14ac:dyDescent="0.35">
      <c r="A70" t="s">
        <v>391</v>
      </c>
      <c r="B70" t="s">
        <v>520</v>
      </c>
      <c r="C70" t="s">
        <v>390</v>
      </c>
      <c r="D70" t="s">
        <v>13</v>
      </c>
      <c r="E70">
        <v>2048</v>
      </c>
      <c r="F70" t="str">
        <f>HYPERLINK("https://www.google.com/maps/search/?api=1&amp;query=24.09418362,47.29642547", "View Map")</f>
        <v>View Map</v>
      </c>
    </row>
    <row r="71" spans="1:6" x14ac:dyDescent="0.35">
      <c r="A71" t="s">
        <v>521</v>
      </c>
      <c r="B71" t="s">
        <v>522</v>
      </c>
      <c r="C71" t="s">
        <v>390</v>
      </c>
      <c r="D71" t="s">
        <v>13</v>
      </c>
      <c r="E71">
        <v>2044</v>
      </c>
      <c r="F71" t="str">
        <f>HYPERLINK("https://www.google.com/maps/search/?api=1&amp;query=24.1446886,47.35863788", "View Map")</f>
        <v>View Map</v>
      </c>
    </row>
    <row r="72" spans="1:6" x14ac:dyDescent="0.35">
      <c r="A72" t="s">
        <v>523</v>
      </c>
      <c r="B72" t="s">
        <v>524</v>
      </c>
      <c r="C72" t="s">
        <v>390</v>
      </c>
      <c r="D72" t="s">
        <v>13</v>
      </c>
      <c r="E72">
        <v>2014</v>
      </c>
      <c r="F72" t="str">
        <f>HYPERLINK("https://www.google.com/maps/search/?api=1&amp;query=24.14283231,47.33389687", "View Map")</f>
        <v>View Map</v>
      </c>
    </row>
    <row r="73" spans="1:6" x14ac:dyDescent="0.35">
      <c r="A73" t="s">
        <v>525</v>
      </c>
      <c r="B73" t="s">
        <v>526</v>
      </c>
      <c r="C73" t="s">
        <v>399</v>
      </c>
      <c r="D73" t="s">
        <v>13</v>
      </c>
      <c r="E73">
        <v>1990</v>
      </c>
      <c r="F73" t="str">
        <f>HYPERLINK("https://www.google.com/maps/search/?api=1&amp;query=20.46526271,44.78159819", "View Map")</f>
        <v>View Map</v>
      </c>
    </row>
    <row r="74" spans="1:6" x14ac:dyDescent="0.35">
      <c r="A74" t="s">
        <v>527</v>
      </c>
      <c r="B74" t="s">
        <v>528</v>
      </c>
      <c r="C74" t="s">
        <v>404</v>
      </c>
      <c r="D74" t="s">
        <v>13</v>
      </c>
      <c r="E74">
        <v>1971</v>
      </c>
      <c r="F74" t="str">
        <f>HYPERLINK("https://www.google.com/maps/search/?api=1&amp;query=22.22870053,46.69283442", "View Map")</f>
        <v>View Map</v>
      </c>
    </row>
    <row r="75" spans="1:6" x14ac:dyDescent="0.35">
      <c r="A75" t="s">
        <v>391</v>
      </c>
      <c r="B75" t="s">
        <v>529</v>
      </c>
      <c r="C75" t="s">
        <v>390</v>
      </c>
      <c r="D75" t="s">
        <v>13</v>
      </c>
      <c r="E75">
        <v>1957</v>
      </c>
      <c r="F75" t="str">
        <f>HYPERLINK("https://www.google.com/maps/search/?api=1&amp;query=24.13955011,47.27518753", "View Map")</f>
        <v>View Map</v>
      </c>
    </row>
    <row r="76" spans="1:6" x14ac:dyDescent="0.35">
      <c r="A76" t="s">
        <v>530</v>
      </c>
      <c r="B76" t="s">
        <v>531</v>
      </c>
      <c r="C76" t="s">
        <v>399</v>
      </c>
      <c r="D76" t="s">
        <v>13</v>
      </c>
      <c r="E76">
        <v>1939</v>
      </c>
      <c r="F76" t="str">
        <f>HYPERLINK("https://www.google.com/maps/search/?api=1&amp;query=20.4503241,44.8405842", "View Map")</f>
        <v>View Map</v>
      </c>
    </row>
    <row r="77" spans="1:6" x14ac:dyDescent="0.35">
      <c r="A77" t="s">
        <v>458</v>
      </c>
      <c r="B77" t="s">
        <v>532</v>
      </c>
      <c r="C77" t="s">
        <v>421</v>
      </c>
      <c r="D77" t="s">
        <v>13</v>
      </c>
      <c r="E77">
        <v>1937</v>
      </c>
      <c r="F77" t="str">
        <f>HYPERLINK("https://www.google.com/maps/search/?api=1&amp;query=24.01850527,47.16885421", "View Map")</f>
        <v>View Map</v>
      </c>
    </row>
    <row r="78" spans="1:6" x14ac:dyDescent="0.35">
      <c r="A78" t="s">
        <v>427</v>
      </c>
      <c r="B78" t="s">
        <v>533</v>
      </c>
      <c r="C78" t="s">
        <v>404</v>
      </c>
      <c r="D78" t="s">
        <v>13</v>
      </c>
      <c r="E78">
        <v>1934</v>
      </c>
      <c r="F78" t="str">
        <f>HYPERLINK("https://www.google.com/maps/search/?api=1&amp;query=22.01179802,46.59672528", "View Map")</f>
        <v>View Map</v>
      </c>
    </row>
    <row r="79" spans="1:6" x14ac:dyDescent="0.35">
      <c r="A79" t="s">
        <v>438</v>
      </c>
      <c r="B79" t="s">
        <v>534</v>
      </c>
      <c r="C79" t="s">
        <v>399</v>
      </c>
      <c r="D79" t="s">
        <v>13</v>
      </c>
      <c r="E79">
        <v>1916</v>
      </c>
      <c r="F79" t="str">
        <f>HYPERLINK("https://www.google.com/maps/search/?api=1&amp;query=20.41969598,44.8391955", "View Map")</f>
        <v>View Map</v>
      </c>
    </row>
    <row r="80" spans="1:6" x14ac:dyDescent="0.35">
      <c r="A80" t="s">
        <v>535</v>
      </c>
      <c r="B80" t="s">
        <v>536</v>
      </c>
      <c r="C80" t="s">
        <v>404</v>
      </c>
      <c r="D80" t="s">
        <v>13</v>
      </c>
      <c r="E80">
        <v>1885</v>
      </c>
      <c r="F80" t="str">
        <f>HYPERLINK("https://www.google.com/maps/search/?api=1&amp;query=22.1887528,46.49598408", "View Map")</f>
        <v>View Map</v>
      </c>
    </row>
    <row r="81" spans="1:6" x14ac:dyDescent="0.35">
      <c r="A81" t="s">
        <v>478</v>
      </c>
      <c r="B81" t="s">
        <v>537</v>
      </c>
      <c r="C81" t="s">
        <v>411</v>
      </c>
      <c r="D81" t="s">
        <v>13</v>
      </c>
      <c r="E81">
        <v>1872</v>
      </c>
      <c r="F81" t="str">
        <f>HYPERLINK("https://www.google.com/maps/search/?api=1&amp;query=23.49260601,46.87017804", "View Map")</f>
        <v>View Map</v>
      </c>
    </row>
    <row r="82" spans="1:6" x14ac:dyDescent="0.35">
      <c r="A82" t="s">
        <v>538</v>
      </c>
      <c r="B82" t="s">
        <v>539</v>
      </c>
      <c r="C82" t="s">
        <v>390</v>
      </c>
      <c r="D82" t="s">
        <v>13</v>
      </c>
      <c r="E82">
        <v>1855</v>
      </c>
      <c r="F82" t="str">
        <f>HYPERLINK("https://www.google.com/maps/search/?api=1&amp;query=24.16857854,47.35939734", "View Map")</f>
        <v>View Map</v>
      </c>
    </row>
    <row r="83" spans="1:6" x14ac:dyDescent="0.35">
      <c r="A83" t="s">
        <v>540</v>
      </c>
      <c r="B83" t="s">
        <v>541</v>
      </c>
      <c r="C83" t="s">
        <v>399</v>
      </c>
      <c r="D83" t="s">
        <v>13</v>
      </c>
      <c r="E83">
        <v>1811</v>
      </c>
      <c r="F83" t="str">
        <f>HYPERLINK("https://www.google.com/maps/search/?api=1&amp;query=20.44453598,44.74161437", "View Map")</f>
        <v>View Map</v>
      </c>
    </row>
    <row r="84" spans="1:6" x14ac:dyDescent="0.35">
      <c r="A84" t="s">
        <v>542</v>
      </c>
      <c r="B84" t="s">
        <v>543</v>
      </c>
      <c r="C84" t="s">
        <v>390</v>
      </c>
      <c r="D84" t="s">
        <v>13</v>
      </c>
      <c r="E84">
        <v>1783</v>
      </c>
      <c r="F84" t="str">
        <f>HYPERLINK("https://www.google.com/maps/search/?api=1&amp;query=24.08650327,47.22018749", "View Map")</f>
        <v>View Map</v>
      </c>
    </row>
    <row r="85" spans="1:6" x14ac:dyDescent="0.35">
      <c r="A85" t="s">
        <v>544</v>
      </c>
      <c r="B85" t="s">
        <v>545</v>
      </c>
      <c r="C85" t="s">
        <v>395</v>
      </c>
      <c r="D85" t="s">
        <v>13</v>
      </c>
      <c r="E85">
        <v>1761</v>
      </c>
      <c r="F85" t="str">
        <f>HYPERLINK("https://www.google.com/maps/search/?api=1&amp;query=20.46089548,45.54705527", "View Map")</f>
        <v>View Map</v>
      </c>
    </row>
    <row r="86" spans="1:6" x14ac:dyDescent="0.35">
      <c r="A86" t="s">
        <v>546</v>
      </c>
      <c r="B86" t="s">
        <v>547</v>
      </c>
      <c r="C86" t="s">
        <v>390</v>
      </c>
      <c r="D86" t="s">
        <v>13</v>
      </c>
      <c r="E86">
        <v>1743</v>
      </c>
      <c r="F86" t="str">
        <f>HYPERLINK("https://www.google.com/maps/search/?api=1&amp;query=24.10328439,47.28413852", "View Map")</f>
        <v>View Map</v>
      </c>
    </row>
    <row r="87" spans="1:6" x14ac:dyDescent="0.35">
      <c r="A87" t="s">
        <v>548</v>
      </c>
      <c r="B87" t="s">
        <v>549</v>
      </c>
      <c r="C87" t="s">
        <v>390</v>
      </c>
      <c r="D87" t="s">
        <v>13</v>
      </c>
      <c r="E87">
        <v>1736</v>
      </c>
      <c r="F87" t="str">
        <f>HYPERLINK("https://www.google.com/maps/search/?api=1&amp;query=24.15933706,47.30571765", "View Map")</f>
        <v>View Map</v>
      </c>
    </row>
    <row r="88" spans="1:6" x14ac:dyDescent="0.35">
      <c r="A88" t="s">
        <v>550</v>
      </c>
      <c r="B88" t="s">
        <v>551</v>
      </c>
      <c r="C88" t="s">
        <v>399</v>
      </c>
      <c r="D88" t="s">
        <v>13</v>
      </c>
      <c r="E88">
        <v>1730</v>
      </c>
      <c r="F88" t="str">
        <f>HYPERLINK("https://www.google.com/maps/search/?api=1&amp;query=20.46818392,45.13275226", "View Map")</f>
        <v>View Map</v>
      </c>
    </row>
    <row r="89" spans="1:6" x14ac:dyDescent="0.35">
      <c r="A89" t="s">
        <v>391</v>
      </c>
      <c r="B89" t="s">
        <v>552</v>
      </c>
      <c r="C89" t="s">
        <v>390</v>
      </c>
      <c r="D89" t="s">
        <v>13</v>
      </c>
      <c r="E89">
        <v>1727</v>
      </c>
      <c r="F89" t="str">
        <f>HYPERLINK("https://www.google.com/maps/search/?api=1&amp;query=24.0945035,47.27503035", "View Map")</f>
        <v>View Map</v>
      </c>
    </row>
    <row r="90" spans="1:6" x14ac:dyDescent="0.35">
      <c r="A90" t="s">
        <v>553</v>
      </c>
      <c r="B90" t="s">
        <v>554</v>
      </c>
      <c r="C90" t="s">
        <v>411</v>
      </c>
      <c r="D90" t="s">
        <v>13</v>
      </c>
      <c r="E90">
        <v>1721</v>
      </c>
      <c r="F90" t="str">
        <f>HYPERLINK("https://www.google.com/maps/search/?api=1&amp;query=23.48823798,46.85188467", "View Map")</f>
        <v>View Map</v>
      </c>
    </row>
    <row r="91" spans="1:6" x14ac:dyDescent="0.35">
      <c r="A91" t="s">
        <v>391</v>
      </c>
      <c r="B91" t="s">
        <v>555</v>
      </c>
      <c r="C91" t="s">
        <v>421</v>
      </c>
      <c r="D91" t="s">
        <v>13</v>
      </c>
      <c r="E91">
        <v>1721</v>
      </c>
      <c r="F91" t="str">
        <f>HYPERLINK("https://www.google.com/maps/search/?api=1&amp;query=24.1028556,47.17585787", "View Map")</f>
        <v>View Map</v>
      </c>
    </row>
    <row r="92" spans="1:6" x14ac:dyDescent="0.35">
      <c r="A92" t="s">
        <v>556</v>
      </c>
      <c r="B92" t="s">
        <v>557</v>
      </c>
      <c r="C92" t="s">
        <v>395</v>
      </c>
      <c r="D92" t="s">
        <v>13</v>
      </c>
      <c r="E92">
        <v>1716</v>
      </c>
      <c r="F92" t="str">
        <f>HYPERLINK("https://www.google.com/maps/search/?api=1&amp;query=20.47557555,45.57712589", "View Map")</f>
        <v>View Map</v>
      </c>
    </row>
    <row r="93" spans="1:6" x14ac:dyDescent="0.35">
      <c r="A93" t="s">
        <v>558</v>
      </c>
      <c r="B93" t="s">
        <v>559</v>
      </c>
      <c r="C93" t="s">
        <v>399</v>
      </c>
      <c r="D93" t="s">
        <v>9</v>
      </c>
      <c r="E93">
        <v>1716</v>
      </c>
      <c r="F93" t="str">
        <f>HYPERLINK("https://www.google.com/maps/search/?api=1&amp;query=20.47506535,44.77360534", "View Map")</f>
        <v>View Map</v>
      </c>
    </row>
    <row r="94" spans="1:6" x14ac:dyDescent="0.35">
      <c r="A94" t="s">
        <v>438</v>
      </c>
      <c r="B94" t="s">
        <v>560</v>
      </c>
      <c r="C94" t="s">
        <v>399</v>
      </c>
      <c r="D94" t="s">
        <v>13</v>
      </c>
      <c r="E94">
        <v>1713</v>
      </c>
      <c r="F94" t="str">
        <f>HYPERLINK("https://www.google.com/maps/search/?api=1&amp;query=20.4503241,44.8405842", "View Map")</f>
        <v>View Map</v>
      </c>
    </row>
    <row r="95" spans="1:6" x14ac:dyDescent="0.35">
      <c r="A95" t="s">
        <v>438</v>
      </c>
      <c r="B95" t="s">
        <v>561</v>
      </c>
      <c r="C95" t="s">
        <v>399</v>
      </c>
      <c r="D95" t="s">
        <v>13</v>
      </c>
      <c r="E95">
        <v>1710</v>
      </c>
      <c r="F95" t="str">
        <f>HYPERLINK("https://www.google.com/maps/search/?api=1&amp;query=20.4503241,44.8405842", "View Map")</f>
        <v>View Map</v>
      </c>
    </row>
    <row r="96" spans="1:6" x14ac:dyDescent="0.35">
      <c r="A96" t="s">
        <v>438</v>
      </c>
      <c r="B96" t="s">
        <v>562</v>
      </c>
      <c r="C96" t="s">
        <v>399</v>
      </c>
      <c r="D96" t="s">
        <v>13</v>
      </c>
      <c r="E96">
        <v>1691</v>
      </c>
      <c r="F96" t="str">
        <f>HYPERLINK("https://www.google.com/maps/search/?api=1&amp;query=20.420367,44.76540525", "View Map")</f>
        <v>View Map</v>
      </c>
    </row>
    <row r="97" spans="1:6" x14ac:dyDescent="0.35">
      <c r="A97" t="s">
        <v>563</v>
      </c>
      <c r="B97" t="s">
        <v>564</v>
      </c>
      <c r="C97" t="s">
        <v>399</v>
      </c>
      <c r="D97" t="s">
        <v>13</v>
      </c>
      <c r="E97">
        <v>1683</v>
      </c>
      <c r="F97" t="str">
        <f>HYPERLINK("https://www.google.com/maps/search/?api=1&amp;query=20.4602661,44.79577631", "View Map")</f>
        <v>View Map</v>
      </c>
    </row>
    <row r="98" spans="1:6" x14ac:dyDescent="0.35">
      <c r="A98" t="s">
        <v>565</v>
      </c>
      <c r="B98" t="s">
        <v>566</v>
      </c>
      <c r="C98" t="s">
        <v>390</v>
      </c>
      <c r="D98" t="s">
        <v>13</v>
      </c>
      <c r="E98">
        <v>1674</v>
      </c>
      <c r="F98" t="str">
        <f>HYPERLINK("https://www.google.com/maps/search/?api=1&amp;query=24.17869167,47.36518279", "View Map")</f>
        <v>View Map</v>
      </c>
    </row>
    <row r="99" spans="1:6" x14ac:dyDescent="0.35">
      <c r="A99" t="s">
        <v>567</v>
      </c>
      <c r="B99" t="s">
        <v>568</v>
      </c>
      <c r="C99" t="s">
        <v>390</v>
      </c>
      <c r="D99" t="s">
        <v>13</v>
      </c>
      <c r="E99">
        <v>1644</v>
      </c>
      <c r="F99" t="str">
        <f>HYPERLINK("https://www.google.com/maps/search/?api=1&amp;query=24.1441969,47.3466413", "View Map")</f>
        <v>View Map</v>
      </c>
    </row>
    <row r="100" spans="1:6" x14ac:dyDescent="0.35">
      <c r="A100" t="s">
        <v>569</v>
      </c>
      <c r="B100" t="s">
        <v>570</v>
      </c>
      <c r="C100" t="s">
        <v>399</v>
      </c>
      <c r="D100" t="s">
        <v>13</v>
      </c>
      <c r="E100">
        <v>1639</v>
      </c>
      <c r="F100" t="str">
        <f>HYPERLINK("https://www.google.com/maps/search/?api=1&amp;query=20.46451015,44.76095763", "View Map")</f>
        <v>View Map</v>
      </c>
    </row>
    <row r="101" spans="1:6" x14ac:dyDescent="0.35">
      <c r="A101" t="s">
        <v>438</v>
      </c>
      <c r="B101" t="s">
        <v>571</v>
      </c>
      <c r="C101" t="s">
        <v>399</v>
      </c>
      <c r="D101" t="s">
        <v>13</v>
      </c>
      <c r="E101">
        <v>1634</v>
      </c>
      <c r="F101" t="str">
        <f>HYPERLINK("https://www.google.com/maps/search/?api=1&amp;query=21.42762404,43.96675368", "View Map")</f>
        <v>View Map</v>
      </c>
    </row>
    <row r="102" spans="1:6" x14ac:dyDescent="0.35">
      <c r="A102" t="s">
        <v>572</v>
      </c>
      <c r="B102" t="s">
        <v>573</v>
      </c>
      <c r="C102" t="s">
        <v>411</v>
      </c>
      <c r="D102" t="s">
        <v>13</v>
      </c>
      <c r="E102">
        <v>1629</v>
      </c>
      <c r="F102" t="str">
        <f>HYPERLINK("https://www.google.com/maps/search/?api=1&amp;query=23.44724739,46.787458", "View Map")</f>
        <v>View Map</v>
      </c>
    </row>
    <row r="103" spans="1:6" x14ac:dyDescent="0.35">
      <c r="A103" t="s">
        <v>574</v>
      </c>
      <c r="B103" t="s">
        <v>575</v>
      </c>
      <c r="C103" t="s">
        <v>390</v>
      </c>
      <c r="D103" t="s">
        <v>13</v>
      </c>
      <c r="E103">
        <v>1627</v>
      </c>
      <c r="F103" t="str">
        <f>HYPERLINK("https://www.google.com/maps/search/?api=1&amp;query=24.17338817,47.34686633", "View Map")</f>
        <v>View Map</v>
      </c>
    </row>
    <row r="104" spans="1:6" x14ac:dyDescent="0.35">
      <c r="A104" t="s">
        <v>576</v>
      </c>
      <c r="B104" t="s">
        <v>577</v>
      </c>
      <c r="C104" t="s">
        <v>390</v>
      </c>
      <c r="D104" t="s">
        <v>13</v>
      </c>
      <c r="E104">
        <v>1617</v>
      </c>
      <c r="F104" t="str">
        <f>HYPERLINK("https://www.google.com/maps/search/?api=1&amp;query=24.15385797,47.36092772", "View Map")</f>
        <v>View Map</v>
      </c>
    </row>
    <row r="105" spans="1:6" x14ac:dyDescent="0.35">
      <c r="A105" t="s">
        <v>578</v>
      </c>
      <c r="B105" t="s">
        <v>579</v>
      </c>
      <c r="C105" t="s">
        <v>399</v>
      </c>
      <c r="D105" t="s">
        <v>13</v>
      </c>
      <c r="E105">
        <v>1603</v>
      </c>
      <c r="F105" t="str">
        <f>HYPERLINK("https://www.google.com/maps/search/?api=1&amp;query=20.47696215,45.14269688", "View Map")</f>
        <v>View Map</v>
      </c>
    </row>
    <row r="106" spans="1:6" x14ac:dyDescent="0.35">
      <c r="A106" t="s">
        <v>438</v>
      </c>
      <c r="B106" t="s">
        <v>580</v>
      </c>
      <c r="C106" t="s">
        <v>399</v>
      </c>
      <c r="D106" t="s">
        <v>13</v>
      </c>
      <c r="E106">
        <v>1592</v>
      </c>
      <c r="F106" t="str">
        <f>HYPERLINK("https://www.google.com/maps/search/?api=1&amp;query=20.42512156,44.88295773", "View Map")</f>
        <v>View Map</v>
      </c>
    </row>
    <row r="107" spans="1:6" x14ac:dyDescent="0.35">
      <c r="A107" t="s">
        <v>581</v>
      </c>
      <c r="B107" t="s">
        <v>582</v>
      </c>
      <c r="C107" t="s">
        <v>399</v>
      </c>
      <c r="D107" t="s">
        <v>13</v>
      </c>
      <c r="E107">
        <v>1582</v>
      </c>
      <c r="F107" t="str">
        <f>HYPERLINK("https://www.google.com/maps/search/?api=1&amp;query=20.42940844,45.0172764", "View Map")</f>
        <v>View Map</v>
      </c>
    </row>
    <row r="108" spans="1:6" x14ac:dyDescent="0.35">
      <c r="A108" t="s">
        <v>583</v>
      </c>
      <c r="B108" t="s">
        <v>584</v>
      </c>
      <c r="C108" t="s">
        <v>390</v>
      </c>
      <c r="D108" t="s">
        <v>13</v>
      </c>
      <c r="E108">
        <v>1571</v>
      </c>
      <c r="F108" t="str">
        <f>HYPERLINK("https://www.google.com/maps/search/?api=1&amp;query=24.14974367,47.37155679", "View Map")</f>
        <v>View Map</v>
      </c>
    </row>
    <row r="109" spans="1:6" x14ac:dyDescent="0.35">
      <c r="A109" t="s">
        <v>585</v>
      </c>
      <c r="B109" t="s">
        <v>586</v>
      </c>
      <c r="C109" t="s">
        <v>390</v>
      </c>
      <c r="D109" t="s">
        <v>13</v>
      </c>
      <c r="E109">
        <v>1561</v>
      </c>
      <c r="F109" t="str">
        <f>HYPERLINK("https://www.google.com/maps/search/?api=1&amp;query=24.1457091,47.30523873", "View Map")</f>
        <v>View Map</v>
      </c>
    </row>
    <row r="110" spans="1:6" x14ac:dyDescent="0.35">
      <c r="A110" t="s">
        <v>587</v>
      </c>
      <c r="B110" t="s">
        <v>588</v>
      </c>
      <c r="C110" t="s">
        <v>390</v>
      </c>
      <c r="D110" t="s">
        <v>13</v>
      </c>
      <c r="E110">
        <v>1524</v>
      </c>
      <c r="F110" t="str">
        <f>HYPERLINK("https://www.google.com/maps/search/?api=1&amp;query=24.14956047,47.31914954", "View Map")</f>
        <v>View Map</v>
      </c>
    </row>
    <row r="111" spans="1:6" x14ac:dyDescent="0.35">
      <c r="A111" t="s">
        <v>438</v>
      </c>
      <c r="B111" t="s">
        <v>589</v>
      </c>
      <c r="C111" t="s">
        <v>399</v>
      </c>
      <c r="D111" t="s">
        <v>13</v>
      </c>
      <c r="E111">
        <v>1523</v>
      </c>
      <c r="F111" t="str">
        <f>HYPERLINK("https://www.google.com/maps/search/?api=1&amp;query=20.44729749,44.78795038", "View Map")</f>
        <v>View Map</v>
      </c>
    </row>
    <row r="112" spans="1:6" x14ac:dyDescent="0.35">
      <c r="A112" t="s">
        <v>452</v>
      </c>
      <c r="B112" t="s">
        <v>590</v>
      </c>
      <c r="C112" t="s">
        <v>399</v>
      </c>
      <c r="D112" t="s">
        <v>9</v>
      </c>
      <c r="E112">
        <v>1516</v>
      </c>
      <c r="F112" t="str">
        <f>HYPERLINK("https://www.google.com/maps/search/?api=1&amp;query=20.39772942,44.86977546", "View Map")</f>
        <v>View Map</v>
      </c>
    </row>
    <row r="113" spans="1:6" x14ac:dyDescent="0.35">
      <c r="A113" t="s">
        <v>591</v>
      </c>
      <c r="B113" t="s">
        <v>592</v>
      </c>
      <c r="C113" t="s">
        <v>395</v>
      </c>
      <c r="D113" t="s">
        <v>13</v>
      </c>
      <c r="E113">
        <v>1511</v>
      </c>
      <c r="F113" t="str">
        <f>HYPERLINK("https://www.google.com/maps/search/?api=1&amp;query=20.44686468,45.19487975", "View Map")</f>
        <v>View Map</v>
      </c>
    </row>
    <row r="114" spans="1:6" x14ac:dyDescent="0.35">
      <c r="A114" t="s">
        <v>391</v>
      </c>
      <c r="B114" t="s">
        <v>593</v>
      </c>
      <c r="C114" t="s">
        <v>421</v>
      </c>
      <c r="D114" t="s">
        <v>13</v>
      </c>
      <c r="E114">
        <v>1483</v>
      </c>
      <c r="F114" t="str">
        <f>HYPERLINK("https://www.google.com/maps/search/?api=1&amp;query=24.09777746,47.16895294", "View Map")</f>
        <v>View Map</v>
      </c>
    </row>
    <row r="115" spans="1:6" x14ac:dyDescent="0.35">
      <c r="A115" t="s">
        <v>594</v>
      </c>
      <c r="B115" t="s">
        <v>595</v>
      </c>
      <c r="C115" t="s">
        <v>399</v>
      </c>
      <c r="D115" t="s">
        <v>13</v>
      </c>
      <c r="E115">
        <v>1477</v>
      </c>
      <c r="F115" t="str">
        <f>HYPERLINK("https://www.google.com/maps/search/?api=1&amp;query=20.46521864,44.78945013", "View Map")</f>
        <v>View Map</v>
      </c>
    </row>
    <row r="116" spans="1:6" x14ac:dyDescent="0.35">
      <c r="A116" t="s">
        <v>438</v>
      </c>
      <c r="B116" t="s">
        <v>596</v>
      </c>
      <c r="C116" t="s">
        <v>399</v>
      </c>
      <c r="D116" t="s">
        <v>13</v>
      </c>
      <c r="E116">
        <v>1464</v>
      </c>
      <c r="F116" t="str">
        <f>HYPERLINK("https://www.google.com/maps/search/?api=1&amp;query=20.43293361,44.82176449", "View Map")</f>
        <v>View Map</v>
      </c>
    </row>
    <row r="117" spans="1:6" x14ac:dyDescent="0.35">
      <c r="A117" t="s">
        <v>597</v>
      </c>
      <c r="B117" t="s">
        <v>598</v>
      </c>
      <c r="C117" t="s">
        <v>399</v>
      </c>
      <c r="D117" t="s">
        <v>13</v>
      </c>
      <c r="E117">
        <v>1456</v>
      </c>
      <c r="F117" t="str">
        <f>HYPERLINK("https://www.google.com/maps/search/?api=1&amp;query=20.43414,44.8515", "View Map")</f>
        <v>View Map</v>
      </c>
    </row>
    <row r="118" spans="1:6" x14ac:dyDescent="0.35">
      <c r="A118" t="s">
        <v>412</v>
      </c>
      <c r="B118" t="s">
        <v>599</v>
      </c>
      <c r="C118" t="s">
        <v>390</v>
      </c>
      <c r="D118" t="s">
        <v>13</v>
      </c>
      <c r="E118">
        <v>1440</v>
      </c>
      <c r="F118" t="str">
        <f>HYPERLINK("https://www.google.com/maps/search/?api=1&amp;query=24.13352099,47.28804134", "View Map")</f>
        <v>View Map</v>
      </c>
    </row>
    <row r="119" spans="1:6" x14ac:dyDescent="0.35">
      <c r="A119" t="s">
        <v>600</v>
      </c>
      <c r="B119" t="s">
        <v>601</v>
      </c>
      <c r="C119" t="s">
        <v>390</v>
      </c>
      <c r="D119" t="s">
        <v>13</v>
      </c>
      <c r="E119">
        <v>1430</v>
      </c>
      <c r="F119" t="str">
        <f>HYPERLINK("https://www.google.com/maps/search/?api=1&amp;query=24.14944077,47.31637879", "View Map")</f>
        <v>View Map</v>
      </c>
    </row>
    <row r="120" spans="1:6" x14ac:dyDescent="0.35">
      <c r="A120" t="s">
        <v>412</v>
      </c>
      <c r="B120" t="s">
        <v>602</v>
      </c>
      <c r="C120" t="s">
        <v>390</v>
      </c>
      <c r="D120" t="s">
        <v>13</v>
      </c>
      <c r="E120">
        <v>1426</v>
      </c>
      <c r="F120" t="str">
        <f>HYPERLINK("https://www.google.com/maps/search/?api=1&amp;query=24.13352099,47.28804134", "View Map")</f>
        <v>View Map</v>
      </c>
    </row>
    <row r="121" spans="1:6" x14ac:dyDescent="0.35">
      <c r="A121" t="s">
        <v>438</v>
      </c>
      <c r="B121" t="s">
        <v>603</v>
      </c>
      <c r="C121" t="s">
        <v>395</v>
      </c>
      <c r="D121" t="s">
        <v>13</v>
      </c>
      <c r="E121">
        <v>1423</v>
      </c>
      <c r="F121" t="str">
        <f>HYPERLINK("https://www.google.com/maps/search/?api=1&amp;query=20.40604398,45.22935098", "View Map")</f>
        <v>View Map</v>
      </c>
    </row>
    <row r="122" spans="1:6" x14ac:dyDescent="0.35">
      <c r="A122" t="s">
        <v>604</v>
      </c>
      <c r="B122" t="s">
        <v>605</v>
      </c>
      <c r="C122" t="s">
        <v>399</v>
      </c>
      <c r="D122" t="s">
        <v>13</v>
      </c>
      <c r="E122">
        <v>1422</v>
      </c>
      <c r="F122" t="str">
        <f>HYPERLINK("https://www.google.com/maps/search/?api=1&amp;query=20.45321588,44.81211579", "View Map")</f>
        <v>View Map</v>
      </c>
    </row>
    <row r="123" spans="1:6" x14ac:dyDescent="0.35">
      <c r="A123" t="s">
        <v>606</v>
      </c>
      <c r="B123" t="s">
        <v>607</v>
      </c>
      <c r="C123" t="s">
        <v>390</v>
      </c>
      <c r="D123" t="s">
        <v>13</v>
      </c>
      <c r="E123">
        <v>1417</v>
      </c>
      <c r="F123" t="str">
        <f>HYPERLINK("https://www.google.com/maps/search/?api=1&amp;query=24.13698984,47.2831484", "View Map")</f>
        <v>View Map</v>
      </c>
    </row>
    <row r="124" spans="1:6" x14ac:dyDescent="0.35">
      <c r="A124" t="s">
        <v>608</v>
      </c>
      <c r="B124" t="s">
        <v>609</v>
      </c>
      <c r="C124" t="s">
        <v>404</v>
      </c>
      <c r="D124" t="s">
        <v>13</v>
      </c>
      <c r="E124">
        <v>1409</v>
      </c>
      <c r="F124" t="str">
        <f>HYPERLINK("https://www.google.com/maps/search/?api=1&amp;query=22.29021615,46.71103832", "View Map")</f>
        <v>View Map</v>
      </c>
    </row>
    <row r="125" spans="1:6" x14ac:dyDescent="0.35">
      <c r="A125" t="s">
        <v>427</v>
      </c>
      <c r="B125" t="s">
        <v>610</v>
      </c>
      <c r="C125" t="s">
        <v>404</v>
      </c>
      <c r="D125" t="s">
        <v>13</v>
      </c>
      <c r="E125">
        <v>1384</v>
      </c>
      <c r="F125" t="str">
        <f>HYPERLINK("https://www.google.com/maps/search/?api=1&amp;query=22.28373137,46.7221944", "View Map")</f>
        <v>View Map</v>
      </c>
    </row>
    <row r="126" spans="1:6" x14ac:dyDescent="0.35">
      <c r="A126" t="s">
        <v>611</v>
      </c>
      <c r="B126" t="s">
        <v>612</v>
      </c>
      <c r="C126" t="s">
        <v>399</v>
      </c>
      <c r="D126" t="s">
        <v>13</v>
      </c>
      <c r="E126">
        <v>1374</v>
      </c>
      <c r="F126" t="str">
        <f>HYPERLINK("https://www.google.com/maps/search/?api=1&amp;query=22.14068043,44.8637787", "View Map")</f>
        <v>View Map</v>
      </c>
    </row>
    <row r="127" spans="1:6" x14ac:dyDescent="0.35">
      <c r="A127" t="s">
        <v>613</v>
      </c>
      <c r="B127" t="s">
        <v>614</v>
      </c>
      <c r="C127" t="s">
        <v>399</v>
      </c>
      <c r="D127" t="s">
        <v>13</v>
      </c>
      <c r="E127">
        <v>1354</v>
      </c>
      <c r="F127" t="str">
        <f>HYPERLINK("https://www.google.com/maps/search/?api=1&amp;query=20.44597739,44.6898883", "View Map")</f>
        <v>View Map</v>
      </c>
    </row>
    <row r="128" spans="1:6" x14ac:dyDescent="0.35">
      <c r="A128" t="s">
        <v>615</v>
      </c>
      <c r="B128" t="s">
        <v>616</v>
      </c>
      <c r="C128" t="s">
        <v>395</v>
      </c>
      <c r="D128" t="s">
        <v>13</v>
      </c>
      <c r="E128">
        <v>1349</v>
      </c>
      <c r="F128" t="str">
        <f>HYPERLINK("https://www.google.com/maps/search/?api=1&amp;query=20.4596098,45.5763322", "View Map")</f>
        <v>View Map</v>
      </c>
    </row>
    <row r="129" spans="1:6" x14ac:dyDescent="0.35">
      <c r="A129" t="s">
        <v>617</v>
      </c>
      <c r="B129" t="s">
        <v>618</v>
      </c>
      <c r="C129" t="s">
        <v>390</v>
      </c>
      <c r="D129" t="s">
        <v>13</v>
      </c>
      <c r="E129">
        <v>1347</v>
      </c>
      <c r="F129" t="str">
        <f>HYPERLINK("https://www.google.com/maps/search/?api=1&amp;query=24.1460248,47.33129476", "View Map")</f>
        <v>View Map</v>
      </c>
    </row>
    <row r="130" spans="1:6" x14ac:dyDescent="0.35">
      <c r="A130" t="s">
        <v>619</v>
      </c>
      <c r="B130" t="s">
        <v>620</v>
      </c>
      <c r="C130" t="s">
        <v>421</v>
      </c>
      <c r="D130" t="s">
        <v>13</v>
      </c>
      <c r="E130">
        <v>1345</v>
      </c>
      <c r="F130" t="str">
        <f>HYPERLINK("https://www.google.com/maps/search/?api=1&amp;query=23.99395062,47.1600723", "View Map")</f>
        <v>View Map</v>
      </c>
    </row>
    <row r="131" spans="1:6" x14ac:dyDescent="0.35">
      <c r="A131" t="s">
        <v>621</v>
      </c>
      <c r="B131" t="s">
        <v>622</v>
      </c>
      <c r="C131" t="s">
        <v>399</v>
      </c>
      <c r="D131" t="s">
        <v>13</v>
      </c>
      <c r="E131">
        <v>1341</v>
      </c>
      <c r="F131" t="str">
        <f>HYPERLINK("https://www.google.com/maps/search/?api=1&amp;query=20.38800009,44.74027198", "View Map")</f>
        <v>View Map</v>
      </c>
    </row>
    <row r="132" spans="1:6" x14ac:dyDescent="0.35">
      <c r="A132" t="s">
        <v>623</v>
      </c>
      <c r="B132" t="s">
        <v>624</v>
      </c>
      <c r="C132" t="s">
        <v>415</v>
      </c>
      <c r="D132" t="s">
        <v>13</v>
      </c>
      <c r="E132">
        <v>1335</v>
      </c>
      <c r="F132" t="str">
        <f>HYPERLINK("https://www.google.com/maps/search/?api=1&amp;query=23.63773281,46.51039062", "View Map")</f>
        <v>View Map</v>
      </c>
    </row>
    <row r="133" spans="1:6" x14ac:dyDescent="0.35">
      <c r="A133" t="s">
        <v>625</v>
      </c>
      <c r="B133" t="s">
        <v>626</v>
      </c>
      <c r="C133" t="s">
        <v>395</v>
      </c>
      <c r="D133" t="s">
        <v>13</v>
      </c>
      <c r="E133">
        <v>1334</v>
      </c>
      <c r="F133" t="str">
        <f>HYPERLINK("https://www.google.com/maps/search/?api=1&amp;query=20.4641214,45.57750053", "View Map")</f>
        <v>View Map</v>
      </c>
    </row>
    <row r="134" spans="1:6" x14ac:dyDescent="0.35">
      <c r="A134" t="s">
        <v>627</v>
      </c>
      <c r="B134" t="s">
        <v>628</v>
      </c>
      <c r="C134" t="s">
        <v>421</v>
      </c>
      <c r="D134" t="s">
        <v>13</v>
      </c>
      <c r="E134">
        <v>1312</v>
      </c>
      <c r="F134" t="str">
        <f>HYPERLINK("https://www.google.com/maps/search/?api=1&amp;query=24.01255424,47.13182357", "View Map")</f>
        <v>View Map</v>
      </c>
    </row>
    <row r="135" spans="1:6" x14ac:dyDescent="0.35">
      <c r="A135" t="s">
        <v>629</v>
      </c>
      <c r="B135" t="s">
        <v>630</v>
      </c>
      <c r="C135" t="s">
        <v>390</v>
      </c>
      <c r="D135" t="s">
        <v>13</v>
      </c>
      <c r="E135">
        <v>1307</v>
      </c>
      <c r="F135" t="str">
        <f>HYPERLINK("https://www.google.com/maps/search/?api=1&amp;query=24.17173734,47.30653452", "View Map")</f>
        <v>View Map</v>
      </c>
    </row>
    <row r="136" spans="1:6" x14ac:dyDescent="0.35">
      <c r="A136" t="s">
        <v>631</v>
      </c>
      <c r="B136" t="s">
        <v>632</v>
      </c>
      <c r="C136" t="s">
        <v>390</v>
      </c>
      <c r="D136" t="s">
        <v>13</v>
      </c>
      <c r="E136">
        <v>1298</v>
      </c>
      <c r="F136" t="str">
        <f>HYPERLINK("https://www.google.com/maps/search/?api=1&amp;query=24.39839527,47.22363499", "View Map")</f>
        <v>View Map</v>
      </c>
    </row>
    <row r="137" spans="1:6" x14ac:dyDescent="0.35">
      <c r="A137" t="s">
        <v>633</v>
      </c>
      <c r="B137" t="s">
        <v>634</v>
      </c>
      <c r="C137" t="s">
        <v>404</v>
      </c>
      <c r="D137" t="s">
        <v>13</v>
      </c>
      <c r="E137">
        <v>1289</v>
      </c>
      <c r="F137" t="str">
        <f>HYPERLINK("https://www.google.com/maps/search/?api=1&amp;query=22.30408799,46.71432615", "View Map")</f>
        <v>View Map</v>
      </c>
    </row>
    <row r="138" spans="1:6" x14ac:dyDescent="0.35">
      <c r="A138" t="s">
        <v>635</v>
      </c>
      <c r="B138" t="s">
        <v>636</v>
      </c>
      <c r="C138" t="s">
        <v>399</v>
      </c>
      <c r="D138" t="s">
        <v>13</v>
      </c>
      <c r="E138">
        <v>1284</v>
      </c>
      <c r="F138" t="str">
        <f>HYPERLINK("https://www.google.com/maps/search/?api=1&amp;query=20.44952346,44.85353691", "View Map")</f>
        <v>View Map</v>
      </c>
    </row>
    <row r="139" spans="1:6" x14ac:dyDescent="0.35">
      <c r="A139" t="s">
        <v>637</v>
      </c>
      <c r="B139" t="s">
        <v>638</v>
      </c>
      <c r="C139" t="s">
        <v>399</v>
      </c>
      <c r="D139" t="s">
        <v>13</v>
      </c>
      <c r="E139">
        <v>1276</v>
      </c>
      <c r="F139" t="str">
        <f>HYPERLINK("https://www.google.com/maps/search/?api=1&amp;query=20.41554377,44.8387717", "View Map")</f>
        <v>View Map</v>
      </c>
    </row>
    <row r="140" spans="1:6" x14ac:dyDescent="0.35">
      <c r="A140" t="s">
        <v>452</v>
      </c>
      <c r="B140" t="s">
        <v>639</v>
      </c>
      <c r="C140" t="s">
        <v>399</v>
      </c>
      <c r="D140" t="s">
        <v>13</v>
      </c>
      <c r="E140">
        <v>1275</v>
      </c>
      <c r="F140" t="str">
        <f>HYPERLINK("https://www.google.com/maps/search/?api=1&amp;query=20.48474575,44.77605821", "View Map")</f>
        <v>View Map</v>
      </c>
    </row>
    <row r="141" spans="1:6" x14ac:dyDescent="0.35">
      <c r="A141" t="s">
        <v>452</v>
      </c>
      <c r="B141" t="s">
        <v>640</v>
      </c>
      <c r="C141" t="s">
        <v>399</v>
      </c>
      <c r="D141" t="s">
        <v>13</v>
      </c>
      <c r="E141">
        <v>1273</v>
      </c>
      <c r="F141" t="str">
        <f>HYPERLINK("https://www.google.com/maps/search/?api=1&amp;query=20.40946347,45.14229054", "View Map")</f>
        <v>View Map</v>
      </c>
    </row>
    <row r="142" spans="1:6" x14ac:dyDescent="0.35">
      <c r="A142" t="s">
        <v>438</v>
      </c>
      <c r="B142" t="s">
        <v>641</v>
      </c>
      <c r="C142" t="s">
        <v>399</v>
      </c>
      <c r="D142" t="s">
        <v>9</v>
      </c>
      <c r="E142">
        <v>1269</v>
      </c>
      <c r="F142" t="str">
        <f>HYPERLINK("https://www.google.com/maps/search/?api=1&amp;query=20.39325731,44.85013941", "View Map")</f>
        <v>View Map</v>
      </c>
    </row>
    <row r="143" spans="1:6" x14ac:dyDescent="0.35">
      <c r="A143" t="s">
        <v>642</v>
      </c>
      <c r="B143" t="s">
        <v>643</v>
      </c>
      <c r="C143" t="s">
        <v>390</v>
      </c>
      <c r="D143" t="s">
        <v>13</v>
      </c>
      <c r="E143">
        <v>1266</v>
      </c>
      <c r="F143" t="str">
        <f>HYPERLINK("https://www.google.com/maps/search/?api=1&amp;query=24.13346,47.24654", "View Map")</f>
        <v>View Map</v>
      </c>
    </row>
    <row r="144" spans="1:6" x14ac:dyDescent="0.35">
      <c r="A144" t="s">
        <v>644</v>
      </c>
      <c r="B144" t="s">
        <v>645</v>
      </c>
      <c r="C144" t="s">
        <v>399</v>
      </c>
      <c r="D144" t="s">
        <v>13</v>
      </c>
      <c r="E144">
        <v>1261</v>
      </c>
      <c r="F144" t="str">
        <f>HYPERLINK("https://www.google.com/maps/search/?api=1&amp;query=20.38919501,45.07709974", "View Map")</f>
        <v>View Map</v>
      </c>
    </row>
    <row r="145" spans="1:6" x14ac:dyDescent="0.35">
      <c r="A145" t="s">
        <v>391</v>
      </c>
      <c r="B145" t="s">
        <v>646</v>
      </c>
      <c r="C145" t="s">
        <v>390</v>
      </c>
      <c r="D145" t="s">
        <v>13</v>
      </c>
      <c r="E145">
        <v>1261</v>
      </c>
      <c r="F145" t="str">
        <f>HYPERLINK("https://www.google.com/maps/search/?api=1&amp;query=24.09442,47.27492", "View Map")</f>
        <v>View Map</v>
      </c>
    </row>
    <row r="146" spans="1:6" x14ac:dyDescent="0.35">
      <c r="A146" t="s">
        <v>647</v>
      </c>
      <c r="B146" t="s">
        <v>648</v>
      </c>
      <c r="C146" t="s">
        <v>399</v>
      </c>
      <c r="D146" t="s">
        <v>13</v>
      </c>
      <c r="E146">
        <v>1259</v>
      </c>
      <c r="F146" t="str">
        <f>HYPERLINK("https://www.google.com/maps/search/?api=1&amp;query=20.49206405,44.74902214", "View Map")</f>
        <v>View Map</v>
      </c>
    </row>
    <row r="147" spans="1:6" x14ac:dyDescent="0.35">
      <c r="A147" t="s">
        <v>649</v>
      </c>
      <c r="B147" t="s">
        <v>650</v>
      </c>
      <c r="C147" t="s">
        <v>395</v>
      </c>
      <c r="D147" t="s">
        <v>13</v>
      </c>
      <c r="E147">
        <v>1250</v>
      </c>
      <c r="F147" t="str">
        <f>HYPERLINK("https://www.google.com/maps/search/?api=1&amp;query=20.40799975,45.4315882", "View Map")</f>
        <v>View Map</v>
      </c>
    </row>
    <row r="148" spans="1:6" x14ac:dyDescent="0.35">
      <c r="A148" t="s">
        <v>651</v>
      </c>
      <c r="B148" t="s">
        <v>652</v>
      </c>
      <c r="C148" t="s">
        <v>390</v>
      </c>
      <c r="D148" t="s">
        <v>13</v>
      </c>
      <c r="E148">
        <v>1247</v>
      </c>
      <c r="F148" t="str">
        <f>HYPERLINK("https://www.google.com/maps/search/?api=1&amp;query=24.20134994,47.28801865", "View Map")</f>
        <v>View Map</v>
      </c>
    </row>
    <row r="149" spans="1:6" x14ac:dyDescent="0.35">
      <c r="A149" t="s">
        <v>391</v>
      </c>
      <c r="B149" t="s">
        <v>653</v>
      </c>
      <c r="C149" t="s">
        <v>390</v>
      </c>
      <c r="D149" t="s">
        <v>9</v>
      </c>
      <c r="E149">
        <v>1239</v>
      </c>
      <c r="F149" t="str">
        <f>HYPERLINK("https://www.google.com/maps/search/?api=1&amp;query=24.23245208,47.22206191", "View Map")</f>
        <v>View Map</v>
      </c>
    </row>
    <row r="150" spans="1:6" x14ac:dyDescent="0.35">
      <c r="A150" t="s">
        <v>391</v>
      </c>
      <c r="B150" t="s">
        <v>654</v>
      </c>
      <c r="C150" t="s">
        <v>390</v>
      </c>
      <c r="D150" t="s">
        <v>13</v>
      </c>
      <c r="E150">
        <v>1238</v>
      </c>
      <c r="F150" t="str">
        <f>HYPERLINK("https://www.google.com/maps/search/?api=1&amp;query=24.16007137,47.23464169", "View Map")</f>
        <v>View Map</v>
      </c>
    </row>
    <row r="151" spans="1:6" x14ac:dyDescent="0.35">
      <c r="A151" t="s">
        <v>655</v>
      </c>
      <c r="B151" t="s">
        <v>656</v>
      </c>
      <c r="C151" t="s">
        <v>390</v>
      </c>
      <c r="D151" t="s">
        <v>13</v>
      </c>
      <c r="E151">
        <v>1236</v>
      </c>
      <c r="F151" t="str">
        <f>HYPERLINK("https://www.google.com/maps/search/?api=1&amp;query=24.12023,47.29528", "View Map")</f>
        <v>View Map</v>
      </c>
    </row>
    <row r="152" spans="1:6" x14ac:dyDescent="0.35">
      <c r="A152" t="s">
        <v>657</v>
      </c>
      <c r="B152" t="s">
        <v>658</v>
      </c>
      <c r="C152" t="s">
        <v>399</v>
      </c>
      <c r="D152" t="s">
        <v>13</v>
      </c>
      <c r="E152">
        <v>1231</v>
      </c>
      <c r="F152" t="str">
        <f>HYPERLINK("https://www.google.com/maps/search/?api=1&amp;query=20.45686397,44.83638008", "View Map")</f>
        <v>View Map</v>
      </c>
    </row>
    <row r="153" spans="1:6" x14ac:dyDescent="0.35">
      <c r="A153" t="s">
        <v>655</v>
      </c>
      <c r="B153" t="s">
        <v>659</v>
      </c>
      <c r="C153" t="s">
        <v>390</v>
      </c>
      <c r="D153" t="s">
        <v>13</v>
      </c>
      <c r="E153">
        <v>1230</v>
      </c>
      <c r="F153" t="str">
        <f>HYPERLINK("https://www.google.com/maps/search/?api=1&amp;query=24.12023,47.29528", "View Map")</f>
        <v>View Map</v>
      </c>
    </row>
    <row r="154" spans="1:6" x14ac:dyDescent="0.35">
      <c r="A154" t="s">
        <v>660</v>
      </c>
      <c r="B154" t="s">
        <v>661</v>
      </c>
      <c r="C154" t="s">
        <v>404</v>
      </c>
      <c r="D154" t="s">
        <v>13</v>
      </c>
      <c r="E154">
        <v>1229</v>
      </c>
      <c r="F154" t="str">
        <f>HYPERLINK("https://www.google.com/maps/search/?api=1&amp;query=22.09077207,46.70497469", "View Map")</f>
        <v>View Map</v>
      </c>
    </row>
    <row r="155" spans="1:6" x14ac:dyDescent="0.35">
      <c r="A155" t="s">
        <v>662</v>
      </c>
      <c r="B155" t="s">
        <v>663</v>
      </c>
      <c r="C155" t="s">
        <v>390</v>
      </c>
      <c r="D155" t="s">
        <v>13</v>
      </c>
      <c r="E155">
        <v>1204</v>
      </c>
      <c r="F155" t="str">
        <f>HYPERLINK("https://www.google.com/maps/search/?api=1&amp;query=24.15432739,47.31032128", "View Map")</f>
        <v>View Map</v>
      </c>
    </row>
    <row r="156" spans="1:6" x14ac:dyDescent="0.35">
      <c r="A156" t="s">
        <v>664</v>
      </c>
      <c r="B156" t="s">
        <v>665</v>
      </c>
      <c r="C156" t="s">
        <v>415</v>
      </c>
      <c r="D156" t="s">
        <v>13</v>
      </c>
      <c r="E156">
        <v>1204</v>
      </c>
      <c r="F156" t="str">
        <f>HYPERLINK("https://www.google.com/maps/search/?api=1&amp;query=23.63270452,46.50823466", "View Map")</f>
        <v>View Map</v>
      </c>
    </row>
    <row r="157" spans="1:6" x14ac:dyDescent="0.35">
      <c r="A157" t="s">
        <v>391</v>
      </c>
      <c r="B157" t="s">
        <v>666</v>
      </c>
      <c r="C157" t="s">
        <v>390</v>
      </c>
      <c r="D157" t="s">
        <v>13</v>
      </c>
      <c r="E157">
        <v>1204</v>
      </c>
      <c r="F157" t="str">
        <f>HYPERLINK("https://www.google.com/maps/search/?api=1&amp;query=24.16766464,47.30466869", "View Map")</f>
        <v>View Map</v>
      </c>
    </row>
    <row r="158" spans="1:6" x14ac:dyDescent="0.35">
      <c r="A158" t="s">
        <v>667</v>
      </c>
      <c r="B158" t="s">
        <v>668</v>
      </c>
      <c r="C158" t="s">
        <v>390</v>
      </c>
      <c r="D158" t="s">
        <v>13</v>
      </c>
      <c r="E158">
        <v>1202</v>
      </c>
      <c r="F158" t="str">
        <f>HYPERLINK("https://www.google.com/maps/search/?api=1&amp;query=24.16987251,47.34385565", "View Map")</f>
        <v>View Map</v>
      </c>
    </row>
    <row r="159" spans="1:6" x14ac:dyDescent="0.35">
      <c r="A159" t="s">
        <v>391</v>
      </c>
      <c r="B159" t="s">
        <v>669</v>
      </c>
      <c r="C159" t="s">
        <v>390</v>
      </c>
      <c r="D159" t="s">
        <v>13</v>
      </c>
      <c r="E159">
        <v>1200</v>
      </c>
      <c r="F159" t="str">
        <f>HYPERLINK("https://www.google.com/maps/search/?api=1&amp;query=24.17228438,47.32368765", "View Map")</f>
        <v>View Map</v>
      </c>
    </row>
    <row r="160" spans="1:6" x14ac:dyDescent="0.35">
      <c r="A160" t="s">
        <v>391</v>
      </c>
      <c r="B160" t="s">
        <v>670</v>
      </c>
      <c r="C160" t="s">
        <v>390</v>
      </c>
      <c r="D160" t="s">
        <v>13</v>
      </c>
      <c r="E160">
        <v>1194</v>
      </c>
      <c r="F160" t="str">
        <f>HYPERLINK("https://www.google.com/maps/search/?api=1&amp;query=24.1384396,47.37256416", "View Map")</f>
        <v>View Map</v>
      </c>
    </row>
    <row r="161" spans="1:6" x14ac:dyDescent="0.35">
      <c r="A161" t="s">
        <v>671</v>
      </c>
      <c r="B161" t="s">
        <v>672</v>
      </c>
      <c r="C161" t="s">
        <v>404</v>
      </c>
      <c r="D161" t="s">
        <v>13</v>
      </c>
      <c r="E161">
        <v>1193</v>
      </c>
      <c r="F161" t="str">
        <f>HYPERLINK("https://www.google.com/maps/search/?api=1&amp;query=22.74584708,46.30852893", "View Map")</f>
        <v>View Map</v>
      </c>
    </row>
    <row r="162" spans="1:6" x14ac:dyDescent="0.35">
      <c r="A162" t="s">
        <v>673</v>
      </c>
      <c r="B162" t="s">
        <v>674</v>
      </c>
      <c r="C162" t="s">
        <v>421</v>
      </c>
      <c r="D162" t="s">
        <v>13</v>
      </c>
      <c r="E162">
        <v>1191</v>
      </c>
      <c r="F162" t="str">
        <f>HYPERLINK("https://www.google.com/maps/search/?api=1&amp;query=23.87348281,47.04516669", "View Map")</f>
        <v>View Map</v>
      </c>
    </row>
    <row r="163" spans="1:6" x14ac:dyDescent="0.35">
      <c r="A163" t="s">
        <v>675</v>
      </c>
      <c r="B163" t="s">
        <v>676</v>
      </c>
      <c r="C163" t="s">
        <v>411</v>
      </c>
      <c r="D163" t="s">
        <v>13</v>
      </c>
      <c r="E163">
        <v>1190</v>
      </c>
      <c r="F163" t="str">
        <f>HYPERLINK("https://www.google.com/maps/search/?api=1&amp;query=23.23286403,46.63406168", "View Map")</f>
        <v>View Map</v>
      </c>
    </row>
    <row r="164" spans="1:6" x14ac:dyDescent="0.35">
      <c r="A164" t="s">
        <v>478</v>
      </c>
      <c r="B164" t="s">
        <v>677</v>
      </c>
      <c r="C164" t="s">
        <v>411</v>
      </c>
      <c r="D164" t="s">
        <v>13</v>
      </c>
      <c r="E164">
        <v>1189</v>
      </c>
      <c r="F164" t="str">
        <f>HYPERLINK("https://www.google.com/maps/search/?api=1&amp;query=23.48928235,46.87721383", "View Map")</f>
        <v>View Map</v>
      </c>
    </row>
    <row r="165" spans="1:6" x14ac:dyDescent="0.35">
      <c r="A165" t="s">
        <v>678</v>
      </c>
      <c r="B165" t="s">
        <v>679</v>
      </c>
      <c r="C165" t="s">
        <v>399</v>
      </c>
      <c r="D165" t="s">
        <v>13</v>
      </c>
      <c r="E165">
        <v>1187</v>
      </c>
      <c r="F165" t="str">
        <f>HYPERLINK("https://www.google.com/maps/search/?api=1&amp;query=20.4728795,44.78438994", "View Map")</f>
        <v>View Map</v>
      </c>
    </row>
    <row r="166" spans="1:6" x14ac:dyDescent="0.35">
      <c r="A166" t="s">
        <v>680</v>
      </c>
      <c r="B166" t="s">
        <v>681</v>
      </c>
      <c r="C166" t="s">
        <v>390</v>
      </c>
      <c r="D166" t="s">
        <v>13</v>
      </c>
      <c r="E166">
        <v>1186</v>
      </c>
      <c r="F166" t="str">
        <f>HYPERLINK("https://www.google.com/maps/search/?api=1&amp;query=24.16500943,47.35244317", "View Map")</f>
        <v>View Map</v>
      </c>
    </row>
    <row r="167" spans="1:6" x14ac:dyDescent="0.35">
      <c r="A167" t="s">
        <v>391</v>
      </c>
      <c r="B167" t="s">
        <v>682</v>
      </c>
      <c r="C167" t="s">
        <v>390</v>
      </c>
      <c r="D167" t="s">
        <v>13</v>
      </c>
      <c r="E167">
        <v>1185</v>
      </c>
      <c r="F167" t="str">
        <f>HYPERLINK("https://www.google.com/maps/search/?api=1&amp;query=24.1634387,47.25978021", "View Map")</f>
        <v>View Map</v>
      </c>
    </row>
    <row r="168" spans="1:6" x14ac:dyDescent="0.35">
      <c r="A168" t="s">
        <v>683</v>
      </c>
      <c r="B168" t="s">
        <v>684</v>
      </c>
      <c r="C168" t="s">
        <v>390</v>
      </c>
      <c r="D168" t="s">
        <v>13</v>
      </c>
      <c r="E168">
        <v>1184</v>
      </c>
      <c r="F168" t="str">
        <f>HYPERLINK("https://www.google.com/maps/search/?api=1&amp;query=24.15396657,47.32782008", "View Map")</f>
        <v>View Map</v>
      </c>
    </row>
    <row r="169" spans="1:6" x14ac:dyDescent="0.35">
      <c r="A169" t="s">
        <v>685</v>
      </c>
      <c r="B169" t="s">
        <v>686</v>
      </c>
      <c r="C169" t="s">
        <v>390</v>
      </c>
      <c r="D169" t="s">
        <v>13</v>
      </c>
      <c r="E169">
        <v>1184</v>
      </c>
      <c r="F169" t="str">
        <f>HYPERLINK("https://www.google.com/maps/search/?api=1&amp;query=24.20754629,47.27379691", "View Map")</f>
        <v>View Map</v>
      </c>
    </row>
    <row r="170" spans="1:6" x14ac:dyDescent="0.35">
      <c r="A170" t="s">
        <v>391</v>
      </c>
      <c r="B170" t="s">
        <v>687</v>
      </c>
      <c r="C170" t="s">
        <v>390</v>
      </c>
      <c r="D170" t="s">
        <v>13</v>
      </c>
      <c r="E170">
        <v>1184</v>
      </c>
      <c r="F170" t="str">
        <f>HYPERLINK("https://www.google.com/maps/search/?api=1&amp;query=24.10883158,47.27006067", "View Map")</f>
        <v>View Map</v>
      </c>
    </row>
    <row r="171" spans="1:6" x14ac:dyDescent="0.35">
      <c r="A171" t="s">
        <v>688</v>
      </c>
      <c r="B171" t="s">
        <v>689</v>
      </c>
      <c r="C171" t="s">
        <v>390</v>
      </c>
      <c r="D171" t="s">
        <v>9</v>
      </c>
      <c r="E171">
        <v>1175</v>
      </c>
      <c r="F171" t="str">
        <f>HYPERLINK("https://www.google.com/maps/search/?api=1&amp;query=24.19140582,47.37868133", "View Map")</f>
        <v>View Map</v>
      </c>
    </row>
    <row r="172" spans="1:6" x14ac:dyDescent="0.35">
      <c r="A172" t="s">
        <v>690</v>
      </c>
      <c r="B172" t="s">
        <v>691</v>
      </c>
      <c r="C172" t="s">
        <v>390</v>
      </c>
      <c r="D172" t="s">
        <v>13</v>
      </c>
      <c r="E172">
        <v>1159</v>
      </c>
      <c r="F172" t="str">
        <f>HYPERLINK("https://www.google.com/maps/search/?api=1&amp;query=24.20593684,47.19573301", "View Map")</f>
        <v>View Map</v>
      </c>
    </row>
    <row r="173" spans="1:6" x14ac:dyDescent="0.35">
      <c r="A173" t="s">
        <v>692</v>
      </c>
      <c r="B173" t="s">
        <v>693</v>
      </c>
      <c r="C173" t="s">
        <v>421</v>
      </c>
      <c r="D173" t="s">
        <v>13</v>
      </c>
      <c r="E173">
        <v>1157</v>
      </c>
      <c r="F173" t="str">
        <f>HYPERLINK("https://www.google.com/maps/search/?api=1&amp;query=24.09989848,47.17302828", "View Map")</f>
        <v>View Map</v>
      </c>
    </row>
    <row r="174" spans="1:6" x14ac:dyDescent="0.35">
      <c r="A174" t="s">
        <v>694</v>
      </c>
      <c r="B174" t="s">
        <v>695</v>
      </c>
      <c r="C174" t="s">
        <v>390</v>
      </c>
      <c r="D174" t="s">
        <v>13</v>
      </c>
      <c r="E174">
        <v>1155</v>
      </c>
      <c r="F174" t="str">
        <f>HYPERLINK("https://www.google.com/maps/search/?api=1&amp;query=24.16037205,47.31689823", "View Map")</f>
        <v>View Map</v>
      </c>
    </row>
    <row r="175" spans="1:6" x14ac:dyDescent="0.35">
      <c r="A175" t="s">
        <v>696</v>
      </c>
      <c r="B175" t="s">
        <v>697</v>
      </c>
      <c r="C175" t="s">
        <v>399</v>
      </c>
      <c r="D175" t="s">
        <v>13</v>
      </c>
      <c r="E175">
        <v>1150</v>
      </c>
      <c r="F175" t="str">
        <f>HYPERLINK("https://www.google.com/maps/search/?api=1&amp;query=20.41340567,44.7349707", "View Map")</f>
        <v>View Map</v>
      </c>
    </row>
    <row r="176" spans="1:6" x14ac:dyDescent="0.35">
      <c r="A176" t="s">
        <v>698</v>
      </c>
      <c r="B176" t="s">
        <v>699</v>
      </c>
      <c r="C176" t="s">
        <v>390</v>
      </c>
      <c r="D176" t="s">
        <v>9</v>
      </c>
      <c r="E176">
        <v>1142</v>
      </c>
      <c r="F176" t="str">
        <f>HYPERLINK("https://www.google.com/maps/search/?api=1&amp;query=24.10705342,47.29107782", "View Map")</f>
        <v>View Map</v>
      </c>
    </row>
    <row r="177" spans="1:6" x14ac:dyDescent="0.35">
      <c r="A177" t="s">
        <v>478</v>
      </c>
      <c r="B177" t="s">
        <v>700</v>
      </c>
      <c r="C177" t="s">
        <v>411</v>
      </c>
      <c r="D177" t="s">
        <v>9</v>
      </c>
      <c r="E177">
        <v>1139</v>
      </c>
      <c r="F177" t="str">
        <f>HYPERLINK("https://www.google.com/maps/search/?api=1&amp;query=23.23482038,46.59984485", "View Map")</f>
        <v>View Map</v>
      </c>
    </row>
    <row r="178" spans="1:6" x14ac:dyDescent="0.35">
      <c r="A178" t="s">
        <v>701</v>
      </c>
      <c r="B178" t="s">
        <v>702</v>
      </c>
      <c r="C178" t="s">
        <v>404</v>
      </c>
      <c r="D178" t="s">
        <v>9</v>
      </c>
      <c r="E178">
        <v>1138</v>
      </c>
      <c r="F178" t="str">
        <f>HYPERLINK("https://www.google.com/maps/search/?api=1&amp;query=22.2249776,46.77494447", "View Map")</f>
        <v>View Map</v>
      </c>
    </row>
    <row r="179" spans="1:6" x14ac:dyDescent="0.35">
      <c r="A179" t="s">
        <v>391</v>
      </c>
      <c r="B179" t="s">
        <v>703</v>
      </c>
      <c r="C179" t="s">
        <v>390</v>
      </c>
      <c r="D179" t="s">
        <v>13</v>
      </c>
      <c r="E179">
        <v>1135</v>
      </c>
      <c r="F179" t="str">
        <f>HYPERLINK("https://www.google.com/maps/search/?api=1&amp;query=24.0945035,47.27503035", "View Map")</f>
        <v>View Map</v>
      </c>
    </row>
    <row r="180" spans="1:6" x14ac:dyDescent="0.35">
      <c r="A180" t="s">
        <v>704</v>
      </c>
      <c r="B180" t="s">
        <v>705</v>
      </c>
      <c r="C180" t="s">
        <v>399</v>
      </c>
      <c r="D180" t="s">
        <v>13</v>
      </c>
      <c r="E180">
        <v>1133</v>
      </c>
      <c r="F180" t="str">
        <f>HYPERLINK("https://www.google.com/maps/search/?api=1&amp;query=20.45715855,44.7467372", "View Map")</f>
        <v>View Map</v>
      </c>
    </row>
    <row r="181" spans="1:6" x14ac:dyDescent="0.35">
      <c r="A181" t="s">
        <v>706</v>
      </c>
      <c r="B181" t="s">
        <v>707</v>
      </c>
      <c r="C181" t="s">
        <v>399</v>
      </c>
      <c r="D181" t="s">
        <v>9</v>
      </c>
      <c r="E181">
        <v>1128</v>
      </c>
      <c r="F181" t="str">
        <f>HYPERLINK("https://www.google.com/maps/search/?api=1&amp;query=20.44883153,44.70033684", "View Map")</f>
        <v>View Map</v>
      </c>
    </row>
    <row r="182" spans="1:6" x14ac:dyDescent="0.35">
      <c r="A182" t="s">
        <v>391</v>
      </c>
      <c r="B182" t="s">
        <v>708</v>
      </c>
      <c r="C182" t="s">
        <v>390</v>
      </c>
      <c r="D182" t="s">
        <v>13</v>
      </c>
      <c r="E182">
        <v>1125</v>
      </c>
      <c r="F182" t="str">
        <f>HYPERLINK("https://www.google.com/maps/search/?api=1&amp;query=24.15644239,47.28409537", "View Map")</f>
        <v>View Map</v>
      </c>
    </row>
    <row r="183" spans="1:6" x14ac:dyDescent="0.35">
      <c r="A183" t="s">
        <v>709</v>
      </c>
      <c r="B183" t="s">
        <v>710</v>
      </c>
      <c r="C183" t="s">
        <v>390</v>
      </c>
      <c r="D183" t="s">
        <v>9</v>
      </c>
      <c r="E183">
        <v>1122</v>
      </c>
      <c r="F183" t="str">
        <f>HYPERLINK("https://www.google.com/maps/search/?api=1&amp;query=24.16184041,47.2302534", "View Map")</f>
        <v>View Map</v>
      </c>
    </row>
    <row r="184" spans="1:6" x14ac:dyDescent="0.35">
      <c r="A184" t="s">
        <v>711</v>
      </c>
      <c r="B184" t="s">
        <v>712</v>
      </c>
      <c r="C184" t="s">
        <v>390</v>
      </c>
      <c r="D184" t="s">
        <v>13</v>
      </c>
      <c r="E184">
        <v>1112</v>
      </c>
      <c r="F184" t="str">
        <f>HYPERLINK("https://www.google.com/maps/search/?api=1&amp;query=24.16451285,47.3495151", "View Map")</f>
        <v>View Map</v>
      </c>
    </row>
    <row r="185" spans="1:6" x14ac:dyDescent="0.35">
      <c r="A185" t="s">
        <v>713</v>
      </c>
      <c r="B185" t="s">
        <v>714</v>
      </c>
      <c r="C185" t="s">
        <v>411</v>
      </c>
      <c r="D185" t="s">
        <v>13</v>
      </c>
      <c r="E185">
        <v>1106</v>
      </c>
      <c r="F185" t="str">
        <f>HYPERLINK("https://www.google.com/maps/search/?api=1&amp;query=23.50046849,46.83218681", "View Map")</f>
        <v>View Map</v>
      </c>
    </row>
    <row r="186" spans="1:6" x14ac:dyDescent="0.35">
      <c r="A186" t="s">
        <v>715</v>
      </c>
      <c r="B186" t="s">
        <v>716</v>
      </c>
      <c r="C186" t="s">
        <v>404</v>
      </c>
      <c r="D186" t="s">
        <v>13</v>
      </c>
      <c r="E186">
        <v>1104</v>
      </c>
      <c r="F186" t="str">
        <f>HYPERLINK("https://www.google.com/maps/search/?api=1&amp;query=22.27001704,46.75314554", "View Map")</f>
        <v>View Map</v>
      </c>
    </row>
    <row r="187" spans="1:6" x14ac:dyDescent="0.35">
      <c r="A187" t="s">
        <v>717</v>
      </c>
      <c r="B187" t="s">
        <v>718</v>
      </c>
      <c r="C187" t="s">
        <v>390</v>
      </c>
      <c r="D187" t="s">
        <v>9</v>
      </c>
      <c r="E187">
        <v>1103</v>
      </c>
      <c r="F187" t="str">
        <f>HYPERLINK("https://www.google.com/maps/search/?api=1&amp;query=24.15481778,47.30828879", "View Map")</f>
        <v>View Map</v>
      </c>
    </row>
    <row r="188" spans="1:6" x14ac:dyDescent="0.35">
      <c r="A188" t="s">
        <v>452</v>
      </c>
      <c r="B188" t="s">
        <v>719</v>
      </c>
      <c r="C188" t="s">
        <v>399</v>
      </c>
      <c r="D188" t="s">
        <v>9</v>
      </c>
      <c r="E188">
        <v>1101</v>
      </c>
      <c r="F188" t="str">
        <f>HYPERLINK("https://www.google.com/maps/search/?api=1&amp;query=20.44978469,44.77434045", "View Map")</f>
        <v>View Map</v>
      </c>
    </row>
    <row r="189" spans="1:6" x14ac:dyDescent="0.35">
      <c r="A189" t="s">
        <v>720</v>
      </c>
      <c r="B189" t="s">
        <v>721</v>
      </c>
      <c r="C189" t="s">
        <v>399</v>
      </c>
      <c r="D189" t="s">
        <v>318</v>
      </c>
      <c r="E189">
        <v>1091</v>
      </c>
      <c r="F189" t="str">
        <f>HYPERLINK("https://www.google.com/maps/search/?api=1&amp;query=20.45192629,44.70467169", "View Map")</f>
        <v>View Map</v>
      </c>
    </row>
    <row r="190" spans="1:6" x14ac:dyDescent="0.35">
      <c r="A190" t="s">
        <v>722</v>
      </c>
      <c r="B190" t="s">
        <v>723</v>
      </c>
      <c r="C190" t="s">
        <v>390</v>
      </c>
      <c r="D190" t="s">
        <v>9</v>
      </c>
      <c r="E190">
        <v>1086</v>
      </c>
      <c r="F190" t="str">
        <f>HYPERLINK("https://www.google.com/maps/search/?api=1&amp;query=24.17094571,47.34012958", "View Map")</f>
        <v>View Map</v>
      </c>
    </row>
    <row r="191" spans="1:6" x14ac:dyDescent="0.35">
      <c r="A191" t="s">
        <v>724</v>
      </c>
      <c r="B191" t="s">
        <v>725</v>
      </c>
      <c r="C191" t="s">
        <v>395</v>
      </c>
      <c r="D191" t="s">
        <v>13</v>
      </c>
      <c r="E191">
        <v>1083</v>
      </c>
      <c r="F191" t="str">
        <f>HYPERLINK("https://www.google.com/maps/search/?api=1&amp;query=20.45358144,45.57432812", "View Map")</f>
        <v>View Map</v>
      </c>
    </row>
    <row r="192" spans="1:6" x14ac:dyDescent="0.35">
      <c r="A192" t="s">
        <v>438</v>
      </c>
      <c r="B192" t="s">
        <v>726</v>
      </c>
      <c r="C192" t="s">
        <v>399</v>
      </c>
      <c r="D192" t="s">
        <v>9</v>
      </c>
      <c r="E192">
        <v>1075</v>
      </c>
      <c r="F192" t="str">
        <f>HYPERLINK("https://www.google.com/maps/search/?api=1&amp;query=20.43509642,44.87205832", "View Map")</f>
        <v>View Map</v>
      </c>
    </row>
    <row r="193" spans="1:6" x14ac:dyDescent="0.35">
      <c r="A193" t="s">
        <v>478</v>
      </c>
      <c r="B193" t="s">
        <v>727</v>
      </c>
      <c r="C193" t="s">
        <v>411</v>
      </c>
      <c r="D193" t="s">
        <v>9</v>
      </c>
      <c r="E193">
        <v>1059</v>
      </c>
      <c r="F193" t="str">
        <f>HYPERLINK("https://www.google.com/maps/search/?api=1&amp;query=23.4925467,46.86371686", "View Map")</f>
        <v>View Map</v>
      </c>
    </row>
    <row r="194" spans="1:6" x14ac:dyDescent="0.35">
      <c r="A194" t="s">
        <v>728</v>
      </c>
      <c r="B194" t="s">
        <v>729</v>
      </c>
      <c r="C194" t="s">
        <v>399</v>
      </c>
      <c r="D194" t="s">
        <v>13</v>
      </c>
      <c r="E194">
        <v>1058</v>
      </c>
      <c r="F194" t="str">
        <f>HYPERLINK("https://www.google.com/maps/search/?api=1&amp;query=20.42278123,45.1332104", "View Map")</f>
        <v>View Map</v>
      </c>
    </row>
    <row r="195" spans="1:6" x14ac:dyDescent="0.35">
      <c r="A195" t="s">
        <v>730</v>
      </c>
      <c r="B195" t="s">
        <v>731</v>
      </c>
      <c r="C195" t="s">
        <v>390</v>
      </c>
      <c r="D195" t="s">
        <v>13</v>
      </c>
      <c r="E195">
        <v>1053</v>
      </c>
      <c r="F195" t="str">
        <f>HYPERLINK("https://www.google.com/maps/search/?api=1&amp;query=24.09163916,47.22705583", "View Map")</f>
        <v>View Map</v>
      </c>
    </row>
    <row r="196" spans="1:6" x14ac:dyDescent="0.35">
      <c r="A196" t="s">
        <v>412</v>
      </c>
      <c r="B196" t="s">
        <v>732</v>
      </c>
      <c r="C196" t="s">
        <v>390</v>
      </c>
      <c r="D196" t="s">
        <v>13</v>
      </c>
      <c r="E196">
        <v>1052</v>
      </c>
      <c r="F196" t="str">
        <f>HYPERLINK("https://www.google.com/maps/search/?api=1&amp;query=24.13352099,47.28804134", "View Map")</f>
        <v>View Map</v>
      </c>
    </row>
    <row r="197" spans="1:6" x14ac:dyDescent="0.35">
      <c r="A197" t="s">
        <v>733</v>
      </c>
      <c r="B197" t="s">
        <v>734</v>
      </c>
      <c r="C197" t="s">
        <v>390</v>
      </c>
      <c r="D197" t="s">
        <v>13</v>
      </c>
      <c r="E197">
        <v>1050</v>
      </c>
      <c r="F197" t="str">
        <f>HYPERLINK("https://www.google.com/maps/search/?api=1&amp;query=24.15405288,47.36583522", "View Map")</f>
        <v>View Map</v>
      </c>
    </row>
    <row r="198" spans="1:6" x14ac:dyDescent="0.35">
      <c r="A198" t="s">
        <v>735</v>
      </c>
      <c r="B198" t="s">
        <v>736</v>
      </c>
      <c r="C198" t="s">
        <v>395</v>
      </c>
      <c r="D198" t="s">
        <v>13</v>
      </c>
      <c r="E198">
        <v>1048</v>
      </c>
      <c r="F198" t="str">
        <f>HYPERLINK("https://www.google.com/maps/search/?api=1&amp;query=20.46884037,45.58252076", "View Map")</f>
        <v>View Map</v>
      </c>
    </row>
    <row r="199" spans="1:6" x14ac:dyDescent="0.35">
      <c r="A199" t="s">
        <v>737</v>
      </c>
      <c r="B199" t="s">
        <v>738</v>
      </c>
      <c r="C199" t="s">
        <v>390</v>
      </c>
      <c r="D199" t="s">
        <v>13</v>
      </c>
      <c r="E199">
        <v>1047</v>
      </c>
      <c r="F199" t="str">
        <f>HYPERLINK("https://www.google.com/maps/search/?api=1&amp;query=24.01598441,47.34436856", "View Map")</f>
        <v>View Map</v>
      </c>
    </row>
    <row r="200" spans="1:6" x14ac:dyDescent="0.35">
      <c r="A200" t="s">
        <v>739</v>
      </c>
      <c r="B200" t="s">
        <v>740</v>
      </c>
      <c r="C200" t="s">
        <v>390</v>
      </c>
      <c r="D200" t="s">
        <v>13</v>
      </c>
      <c r="E200">
        <v>1039</v>
      </c>
      <c r="F200" t="str">
        <f>HYPERLINK("https://www.google.com/maps/search/?api=1&amp;query=24.1467733,47.30826479", "View Map")</f>
        <v>View Map</v>
      </c>
    </row>
    <row r="201" spans="1:6" x14ac:dyDescent="0.35">
      <c r="A201" t="s">
        <v>438</v>
      </c>
      <c r="B201" t="s">
        <v>741</v>
      </c>
      <c r="C201" t="s">
        <v>399</v>
      </c>
      <c r="D201" t="s">
        <v>9</v>
      </c>
      <c r="E201">
        <v>1031</v>
      </c>
      <c r="F201" t="str">
        <f>HYPERLINK("https://www.google.com/maps/search/?api=1&amp;query=20.43028036,44.87192924", "View Map")</f>
        <v>View Map</v>
      </c>
    </row>
    <row r="202" spans="1:6" x14ac:dyDescent="0.35">
      <c r="A202" t="s">
        <v>742</v>
      </c>
      <c r="B202" t="s">
        <v>743</v>
      </c>
      <c r="C202" t="s">
        <v>390</v>
      </c>
      <c r="D202" t="s">
        <v>9</v>
      </c>
      <c r="E202">
        <v>1020</v>
      </c>
      <c r="F202" t="str">
        <f>HYPERLINK("https://www.google.com/maps/search/?api=1&amp;query=24.15973508,47.32334967", "View Map")</f>
        <v>View Map</v>
      </c>
    </row>
    <row r="203" spans="1:6" x14ac:dyDescent="0.35">
      <c r="A203" t="s">
        <v>744</v>
      </c>
      <c r="B203" t="s">
        <v>745</v>
      </c>
      <c r="C203" t="s">
        <v>399</v>
      </c>
      <c r="D203" t="s">
        <v>9</v>
      </c>
      <c r="E203">
        <v>1011</v>
      </c>
      <c r="F203" t="str">
        <f>HYPERLINK("https://www.google.com/maps/search/?api=1&amp;query=20.46913493,44.79566844", "View Map")</f>
        <v>View Map</v>
      </c>
    </row>
    <row r="204" spans="1:6" x14ac:dyDescent="0.35">
      <c r="A204" t="s">
        <v>655</v>
      </c>
      <c r="B204" t="s">
        <v>746</v>
      </c>
      <c r="C204" t="s">
        <v>390</v>
      </c>
      <c r="D204" t="s">
        <v>13</v>
      </c>
      <c r="E204">
        <v>1010</v>
      </c>
      <c r="F204" t="str">
        <f>HYPERLINK("https://www.google.com/maps/search/?api=1&amp;query=24.12023,47.29528", "View Map")</f>
        <v>View Map</v>
      </c>
    </row>
    <row r="205" spans="1:6" x14ac:dyDescent="0.35">
      <c r="A205" t="s">
        <v>747</v>
      </c>
      <c r="B205" t="s">
        <v>748</v>
      </c>
      <c r="C205" t="s">
        <v>399</v>
      </c>
      <c r="D205" t="s">
        <v>13</v>
      </c>
      <c r="E205">
        <v>1005</v>
      </c>
      <c r="F205" t="str">
        <f>HYPERLINK("https://www.google.com/maps/search/?api=1&amp;query=20.39190812,45.16392887", "View Map")</f>
        <v>View Map</v>
      </c>
    </row>
    <row r="206" spans="1:6" x14ac:dyDescent="0.35">
      <c r="A206" t="s">
        <v>749</v>
      </c>
      <c r="B206" t="s">
        <v>750</v>
      </c>
      <c r="C206" t="s">
        <v>421</v>
      </c>
      <c r="D206" t="s">
        <v>9</v>
      </c>
      <c r="E206">
        <v>995</v>
      </c>
      <c r="F206" t="str">
        <f>HYPERLINK("https://www.google.com/maps/search/?api=1&amp;query=23.99279259,47.11241641", "View Map")</f>
        <v>View Map</v>
      </c>
    </row>
    <row r="207" spans="1:6" x14ac:dyDescent="0.35">
      <c r="A207" t="s">
        <v>751</v>
      </c>
      <c r="B207" t="s">
        <v>752</v>
      </c>
      <c r="C207" t="s">
        <v>390</v>
      </c>
      <c r="D207" t="s">
        <v>9</v>
      </c>
      <c r="E207">
        <v>993</v>
      </c>
      <c r="F207" t="str">
        <f>HYPERLINK("https://www.google.com/maps/search/?api=1&amp;query=24.13410563,47.27773153", "View Map")</f>
        <v>View Map</v>
      </c>
    </row>
    <row r="208" spans="1:6" x14ac:dyDescent="0.35">
      <c r="A208" t="s">
        <v>412</v>
      </c>
      <c r="B208" t="s">
        <v>753</v>
      </c>
      <c r="C208" t="s">
        <v>390</v>
      </c>
      <c r="D208" t="s">
        <v>13</v>
      </c>
      <c r="E208">
        <v>992</v>
      </c>
      <c r="F208" t="str">
        <f>HYPERLINK("https://www.google.com/maps/search/?api=1&amp;query=24.13352099,47.28804134", "View Map")</f>
        <v>View Map</v>
      </c>
    </row>
    <row r="209" spans="1:6" x14ac:dyDescent="0.35">
      <c r="A209" t="s">
        <v>391</v>
      </c>
      <c r="B209" t="s">
        <v>754</v>
      </c>
      <c r="C209" t="s">
        <v>390</v>
      </c>
      <c r="D209" t="s">
        <v>9</v>
      </c>
      <c r="E209">
        <v>988</v>
      </c>
      <c r="F209" t="str">
        <f>HYPERLINK("https://www.google.com/maps/search/?api=1&amp;query=24.17216864,47.31968852", "View Map")</f>
        <v>View Map</v>
      </c>
    </row>
    <row r="210" spans="1:6" x14ac:dyDescent="0.35">
      <c r="A210" t="s">
        <v>755</v>
      </c>
      <c r="B210" t="s">
        <v>756</v>
      </c>
      <c r="C210" t="s">
        <v>404</v>
      </c>
      <c r="D210" t="s">
        <v>13</v>
      </c>
      <c r="E210">
        <v>968</v>
      </c>
      <c r="F210" t="str">
        <f>HYPERLINK("https://www.google.com/maps/search/?api=1&amp;query=22.2928942,46.7299582", "View Map")</f>
        <v>View Map</v>
      </c>
    </row>
    <row r="211" spans="1:6" x14ac:dyDescent="0.35">
      <c r="A211" t="s">
        <v>458</v>
      </c>
      <c r="B211" t="s">
        <v>757</v>
      </c>
      <c r="C211" t="s">
        <v>421</v>
      </c>
      <c r="D211" t="s">
        <v>13</v>
      </c>
      <c r="E211">
        <v>964</v>
      </c>
      <c r="F211" t="str">
        <f>HYPERLINK("https://www.google.com/maps/search/?api=1&amp;query=24.00146067,47.101394", "View Map")</f>
        <v>View Map</v>
      </c>
    </row>
    <row r="212" spans="1:6" x14ac:dyDescent="0.35">
      <c r="A212" t="s">
        <v>758</v>
      </c>
      <c r="B212" t="s">
        <v>759</v>
      </c>
      <c r="C212" t="s">
        <v>404</v>
      </c>
      <c r="D212" t="s">
        <v>9</v>
      </c>
      <c r="E212">
        <v>953</v>
      </c>
      <c r="F212" t="str">
        <f>HYPERLINK("https://www.google.com/maps/search/?api=1&amp;query=22.33265848,46.63413355", "View Map")</f>
        <v>View Map</v>
      </c>
    </row>
    <row r="213" spans="1:6" x14ac:dyDescent="0.35">
      <c r="A213" t="s">
        <v>760</v>
      </c>
      <c r="B213" t="s">
        <v>761</v>
      </c>
      <c r="C213" t="s">
        <v>399</v>
      </c>
      <c r="D213" t="s">
        <v>13</v>
      </c>
      <c r="E213">
        <v>950</v>
      </c>
      <c r="F213" t="str">
        <f>HYPERLINK("https://www.google.com/maps/search/?api=1&amp;query=20.46881368,44.77928984", "View Map")</f>
        <v>View Map</v>
      </c>
    </row>
    <row r="214" spans="1:6" x14ac:dyDescent="0.35">
      <c r="A214" t="s">
        <v>762</v>
      </c>
      <c r="B214" t="s">
        <v>763</v>
      </c>
      <c r="C214" t="s">
        <v>390</v>
      </c>
      <c r="D214" t="s">
        <v>9</v>
      </c>
      <c r="E214">
        <v>942</v>
      </c>
      <c r="F214" t="str">
        <f>HYPERLINK("https://www.google.com/maps/search/?api=1&amp;query=24.20163064,47.26514614", "View Map")</f>
        <v>View Map</v>
      </c>
    </row>
    <row r="215" spans="1:6" x14ac:dyDescent="0.35">
      <c r="A215" t="s">
        <v>438</v>
      </c>
      <c r="B215" t="s">
        <v>764</v>
      </c>
      <c r="C215" t="s">
        <v>399</v>
      </c>
      <c r="D215" t="s">
        <v>9</v>
      </c>
      <c r="E215">
        <v>922</v>
      </c>
      <c r="F215" t="str">
        <f>HYPERLINK("https://www.google.com/maps/search/?api=1&amp;query=20.42068501,44.87260016", "View Map")</f>
        <v>View Map</v>
      </c>
    </row>
    <row r="216" spans="1:6" x14ac:dyDescent="0.35">
      <c r="A216" t="s">
        <v>765</v>
      </c>
      <c r="B216" t="s">
        <v>766</v>
      </c>
      <c r="C216" t="s">
        <v>399</v>
      </c>
      <c r="D216" t="s">
        <v>9</v>
      </c>
      <c r="E216">
        <v>919</v>
      </c>
      <c r="F216" t="str">
        <f>HYPERLINK("https://www.google.com/maps/search/?api=1&amp;query=20.43997305,44.84708496", "View Map")</f>
        <v>View Map</v>
      </c>
    </row>
    <row r="217" spans="1:6" x14ac:dyDescent="0.35">
      <c r="A217" t="s">
        <v>767</v>
      </c>
      <c r="B217" t="s">
        <v>768</v>
      </c>
      <c r="C217" t="s">
        <v>390</v>
      </c>
      <c r="D217" t="s">
        <v>9</v>
      </c>
      <c r="E217">
        <v>916</v>
      </c>
      <c r="F217" t="str">
        <f>HYPERLINK("https://www.google.com/maps/search/?api=1&amp;query=24.15857421,47.32944498", "View Map")</f>
        <v>View Map</v>
      </c>
    </row>
    <row r="218" spans="1:6" x14ac:dyDescent="0.35">
      <c r="A218" t="s">
        <v>769</v>
      </c>
      <c r="B218" t="s">
        <v>770</v>
      </c>
      <c r="C218" t="s">
        <v>421</v>
      </c>
      <c r="D218" t="s">
        <v>9</v>
      </c>
      <c r="E218">
        <v>913</v>
      </c>
      <c r="F218" t="str">
        <f>HYPERLINK("https://www.google.com/maps/search/?api=1&amp;query=24.00022086,47.11608889", "View Map")</f>
        <v>View Map</v>
      </c>
    </row>
    <row r="219" spans="1:6" x14ac:dyDescent="0.35">
      <c r="A219" t="s">
        <v>771</v>
      </c>
      <c r="B219" t="s">
        <v>772</v>
      </c>
      <c r="C219" t="s">
        <v>399</v>
      </c>
      <c r="D219" t="s">
        <v>9</v>
      </c>
      <c r="E219">
        <v>911</v>
      </c>
      <c r="F219" t="str">
        <f>HYPERLINK("https://www.google.com/maps/search/?api=1&amp;query=20.43862471,44.77779391", "View Map")</f>
        <v>View Map</v>
      </c>
    </row>
    <row r="220" spans="1:6" x14ac:dyDescent="0.35">
      <c r="A220" t="s">
        <v>773</v>
      </c>
      <c r="B220" t="s">
        <v>774</v>
      </c>
      <c r="C220" t="s">
        <v>390</v>
      </c>
      <c r="D220" t="s">
        <v>9</v>
      </c>
      <c r="E220">
        <v>905</v>
      </c>
      <c r="F220" t="str">
        <f>HYPERLINK("https://www.google.com/maps/search/?api=1&amp;query=24.30191579,47.17265259", "View Map")</f>
        <v>View Map</v>
      </c>
    </row>
    <row r="221" spans="1:6" x14ac:dyDescent="0.35">
      <c r="A221" t="s">
        <v>478</v>
      </c>
      <c r="B221" t="s">
        <v>775</v>
      </c>
      <c r="C221" t="s">
        <v>411</v>
      </c>
      <c r="D221" t="s">
        <v>9</v>
      </c>
      <c r="E221">
        <v>905</v>
      </c>
      <c r="F221" t="str">
        <f>HYPERLINK("https://www.google.com/maps/search/?api=1&amp;query=23.43246151,46.79009905", "View Map")</f>
        <v>View Map</v>
      </c>
    </row>
    <row r="222" spans="1:6" x14ac:dyDescent="0.35">
      <c r="A222" t="s">
        <v>776</v>
      </c>
      <c r="B222" t="s">
        <v>777</v>
      </c>
      <c r="C222" t="s">
        <v>399</v>
      </c>
      <c r="D222" t="s">
        <v>9</v>
      </c>
      <c r="E222">
        <v>899</v>
      </c>
      <c r="F222" t="str">
        <f>HYPERLINK("https://www.google.com/maps/search/?api=1&amp;query=20.43785733,44.77984414", "View Map")</f>
        <v>View Map</v>
      </c>
    </row>
    <row r="223" spans="1:6" x14ac:dyDescent="0.35">
      <c r="A223" t="s">
        <v>778</v>
      </c>
      <c r="B223" t="s">
        <v>779</v>
      </c>
      <c r="C223" t="s">
        <v>404</v>
      </c>
      <c r="D223" t="s">
        <v>9</v>
      </c>
      <c r="E223">
        <v>891</v>
      </c>
      <c r="F223" t="str">
        <f>HYPERLINK("https://www.google.com/maps/search/?api=1&amp;query=22.28931011,46.71558238", "View Map")</f>
        <v>View Map</v>
      </c>
    </row>
    <row r="224" spans="1:6" x14ac:dyDescent="0.35">
      <c r="A224" t="s">
        <v>780</v>
      </c>
      <c r="B224" t="s">
        <v>781</v>
      </c>
      <c r="C224" t="s">
        <v>421</v>
      </c>
      <c r="D224" t="s">
        <v>9</v>
      </c>
      <c r="E224">
        <v>879</v>
      </c>
      <c r="F224" t="str">
        <f>HYPERLINK("https://www.google.com/maps/search/?api=1&amp;query=24.01386176,47.13669099", "View Map")</f>
        <v>View Map</v>
      </c>
    </row>
    <row r="225" spans="1:6" x14ac:dyDescent="0.35">
      <c r="A225" t="s">
        <v>782</v>
      </c>
      <c r="B225" t="s">
        <v>783</v>
      </c>
      <c r="C225" t="s">
        <v>390</v>
      </c>
      <c r="D225" t="s">
        <v>9</v>
      </c>
      <c r="E225">
        <v>878</v>
      </c>
      <c r="F225" t="str">
        <f>HYPERLINK("https://www.google.com/maps/search/?api=1&amp;query=24.15902645,47.30324047", "View Map")</f>
        <v>View Map</v>
      </c>
    </row>
    <row r="226" spans="1:6" x14ac:dyDescent="0.35">
      <c r="A226" t="s">
        <v>784</v>
      </c>
      <c r="B226" t="s">
        <v>785</v>
      </c>
      <c r="C226" t="s">
        <v>390</v>
      </c>
      <c r="D226" t="s">
        <v>9</v>
      </c>
      <c r="E226">
        <v>875</v>
      </c>
      <c r="F226" t="str">
        <f>HYPERLINK("https://www.google.com/maps/search/?api=1&amp;query=24.10445023,47.26546055", "View Map")</f>
        <v>View Map</v>
      </c>
    </row>
    <row r="227" spans="1:6" x14ac:dyDescent="0.35">
      <c r="A227" t="s">
        <v>786</v>
      </c>
      <c r="B227" t="s">
        <v>787</v>
      </c>
      <c r="C227" t="s">
        <v>421</v>
      </c>
      <c r="D227" t="s">
        <v>9</v>
      </c>
      <c r="E227">
        <v>874</v>
      </c>
      <c r="F227" t="str">
        <f>HYPERLINK("https://www.google.com/maps/search/?api=1&amp;query=23.98542409,47.16326666", "View Map")</f>
        <v>View Map</v>
      </c>
    </row>
    <row r="228" spans="1:6" x14ac:dyDescent="0.35">
      <c r="A228" t="s">
        <v>788</v>
      </c>
      <c r="B228" t="s">
        <v>789</v>
      </c>
      <c r="C228" t="s">
        <v>399</v>
      </c>
      <c r="D228" t="s">
        <v>9</v>
      </c>
      <c r="E228">
        <v>857</v>
      </c>
      <c r="F228" t="str">
        <f>HYPERLINK("https://www.google.com/maps/search/?api=1&amp;query=20.42122862,45.09734073", "View Map")</f>
        <v>View Map</v>
      </c>
    </row>
    <row r="229" spans="1:6" x14ac:dyDescent="0.35">
      <c r="A229" t="s">
        <v>790</v>
      </c>
      <c r="B229" t="s">
        <v>791</v>
      </c>
      <c r="C229" t="s">
        <v>390</v>
      </c>
      <c r="D229" t="s">
        <v>9</v>
      </c>
      <c r="E229">
        <v>847</v>
      </c>
      <c r="F229" t="str">
        <f>HYPERLINK("https://www.google.com/maps/search/?api=1&amp;query=24.14770578,47.29898537", "View Map")</f>
        <v>View Map</v>
      </c>
    </row>
    <row r="230" spans="1:6" x14ac:dyDescent="0.35">
      <c r="A230" t="s">
        <v>792</v>
      </c>
      <c r="B230" t="s">
        <v>793</v>
      </c>
      <c r="C230" t="s">
        <v>404</v>
      </c>
      <c r="D230" t="s">
        <v>9</v>
      </c>
      <c r="E230">
        <v>837</v>
      </c>
      <c r="F230" t="str">
        <f>HYPERLINK("https://www.google.com/maps/search/?api=1&amp;query=22.29316684,46.70657369", "View Map")</f>
        <v>View Map</v>
      </c>
    </row>
    <row r="231" spans="1:6" x14ac:dyDescent="0.35">
      <c r="A231" t="s">
        <v>794</v>
      </c>
      <c r="B231" t="s">
        <v>795</v>
      </c>
      <c r="C231" t="s">
        <v>399</v>
      </c>
      <c r="D231" t="s">
        <v>9</v>
      </c>
      <c r="E231">
        <v>835</v>
      </c>
      <c r="F231" t="str">
        <f>HYPERLINK("https://www.google.com/maps/search/?api=1&amp;query=20.44265859,44.85059647", "View Map")</f>
        <v>View Map</v>
      </c>
    </row>
    <row r="232" spans="1:6" x14ac:dyDescent="0.35">
      <c r="A232" t="s">
        <v>796</v>
      </c>
      <c r="B232" t="s">
        <v>797</v>
      </c>
      <c r="C232" t="s">
        <v>404</v>
      </c>
      <c r="D232" t="s">
        <v>9</v>
      </c>
      <c r="E232">
        <v>835</v>
      </c>
      <c r="F232" t="str">
        <f>HYPERLINK("https://www.google.com/maps/search/?api=1&amp;query=22.30433732,46.71154137", "View Map")</f>
        <v>View Map</v>
      </c>
    </row>
    <row r="233" spans="1:6" x14ac:dyDescent="0.35">
      <c r="A233" t="s">
        <v>798</v>
      </c>
      <c r="B233" t="s">
        <v>799</v>
      </c>
      <c r="C233" t="s">
        <v>404</v>
      </c>
      <c r="D233" t="s">
        <v>9</v>
      </c>
      <c r="E233">
        <v>826</v>
      </c>
      <c r="F233" t="str">
        <f>HYPERLINK("https://www.google.com/maps/search/?api=1&amp;query=22.20504793,46.68610139", "View Map")</f>
        <v>View Map</v>
      </c>
    </row>
    <row r="234" spans="1:6" x14ac:dyDescent="0.35">
      <c r="A234" t="s">
        <v>438</v>
      </c>
      <c r="B234" t="s">
        <v>800</v>
      </c>
      <c r="C234" t="s">
        <v>399</v>
      </c>
      <c r="D234" t="s">
        <v>9</v>
      </c>
      <c r="E234">
        <v>822</v>
      </c>
      <c r="F234" t="str">
        <f>HYPERLINK("https://www.google.com/maps/search/?api=1&amp;query=20.44932248,44.81553019", "View Map")</f>
        <v>View Map</v>
      </c>
    </row>
    <row r="235" spans="1:6" x14ac:dyDescent="0.35">
      <c r="A235" t="s">
        <v>438</v>
      </c>
      <c r="B235" t="s">
        <v>801</v>
      </c>
      <c r="C235" t="s">
        <v>399</v>
      </c>
      <c r="D235" t="s">
        <v>9</v>
      </c>
      <c r="E235">
        <v>818</v>
      </c>
      <c r="F235" t="str">
        <f>HYPERLINK("https://www.google.com/maps/search/?api=1&amp;query=20.42893974,44.73145283", "View Map")</f>
        <v>View Map</v>
      </c>
    </row>
    <row r="236" spans="1:6" x14ac:dyDescent="0.35">
      <c r="A236" t="s">
        <v>802</v>
      </c>
      <c r="B236" t="s">
        <v>803</v>
      </c>
      <c r="C236" t="s">
        <v>390</v>
      </c>
      <c r="D236" t="s">
        <v>9</v>
      </c>
      <c r="E236">
        <v>818</v>
      </c>
      <c r="F236" t="str">
        <f>HYPERLINK("https://www.google.com/maps/search/?api=1&amp;query=24.1951985,47.26233441", "View Map")</f>
        <v>View Map</v>
      </c>
    </row>
    <row r="237" spans="1:6" x14ac:dyDescent="0.35">
      <c r="A237" t="s">
        <v>804</v>
      </c>
      <c r="B237" t="s">
        <v>805</v>
      </c>
      <c r="C237" t="s">
        <v>421</v>
      </c>
      <c r="D237" t="s">
        <v>9</v>
      </c>
      <c r="E237">
        <v>816</v>
      </c>
      <c r="F237" t="str">
        <f>HYPERLINK("https://www.google.com/maps/search/?api=1&amp;query=24.00250207,47.12028381", "View Map")</f>
        <v>View Map</v>
      </c>
    </row>
    <row r="238" spans="1:6" x14ac:dyDescent="0.35">
      <c r="A238" t="s">
        <v>806</v>
      </c>
      <c r="B238" t="s">
        <v>807</v>
      </c>
      <c r="C238" t="s">
        <v>390</v>
      </c>
      <c r="D238" t="s">
        <v>9</v>
      </c>
      <c r="E238">
        <v>813</v>
      </c>
      <c r="F238" t="str">
        <f>HYPERLINK("https://www.google.com/maps/search/?api=1&amp;query=24.24673242,47.362814", "View Map")</f>
        <v>View Map</v>
      </c>
    </row>
    <row r="239" spans="1:6" x14ac:dyDescent="0.35">
      <c r="A239" t="s">
        <v>808</v>
      </c>
      <c r="B239" t="s">
        <v>809</v>
      </c>
      <c r="C239" t="s">
        <v>399</v>
      </c>
      <c r="D239" t="s">
        <v>9</v>
      </c>
      <c r="E239">
        <v>811</v>
      </c>
      <c r="F239" t="str">
        <f>HYPERLINK("https://www.google.com/maps/search/?api=1&amp;query=20.44635123,44.82191721", "View Map")</f>
        <v>View Map</v>
      </c>
    </row>
    <row r="240" spans="1:6" x14ac:dyDescent="0.35">
      <c r="A240" t="s">
        <v>391</v>
      </c>
      <c r="B240" t="s">
        <v>810</v>
      </c>
      <c r="C240" t="s">
        <v>390</v>
      </c>
      <c r="D240" t="s">
        <v>9</v>
      </c>
      <c r="E240">
        <v>809</v>
      </c>
      <c r="F240" t="str">
        <f>HYPERLINK("https://www.google.com/maps/search/?api=1&amp;query=24.08044102,47.26647476", "View Map")</f>
        <v>View Map</v>
      </c>
    </row>
    <row r="241" spans="1:6" x14ac:dyDescent="0.35">
      <c r="A241" t="s">
        <v>811</v>
      </c>
      <c r="B241" t="s">
        <v>812</v>
      </c>
      <c r="C241" t="s">
        <v>421</v>
      </c>
      <c r="D241" t="s">
        <v>9</v>
      </c>
      <c r="E241">
        <v>807</v>
      </c>
      <c r="F241" t="str">
        <f>HYPERLINK("https://www.google.com/maps/search/?api=1&amp;query=23.99789822,47.11837938", "View Map")</f>
        <v>View Map</v>
      </c>
    </row>
    <row r="242" spans="1:6" x14ac:dyDescent="0.35">
      <c r="A242" t="s">
        <v>813</v>
      </c>
      <c r="B242" t="s">
        <v>814</v>
      </c>
      <c r="C242" t="s">
        <v>390</v>
      </c>
      <c r="D242" t="s">
        <v>9</v>
      </c>
      <c r="E242">
        <v>806</v>
      </c>
      <c r="F242" t="str">
        <f>HYPERLINK("https://www.google.com/maps/search/?api=1&amp;query=24.12779657,47.35800702", "View Map")</f>
        <v>View Map</v>
      </c>
    </row>
    <row r="243" spans="1:6" x14ac:dyDescent="0.35">
      <c r="A243" t="s">
        <v>815</v>
      </c>
      <c r="B243" t="s">
        <v>816</v>
      </c>
      <c r="C243" t="s">
        <v>390</v>
      </c>
      <c r="D243" t="s">
        <v>9</v>
      </c>
      <c r="E243">
        <v>798</v>
      </c>
      <c r="F243" t="str">
        <f>HYPERLINK("https://www.google.com/maps/search/?api=1&amp;query=24.15082311,47.30488547", "View Map")</f>
        <v>View Map</v>
      </c>
    </row>
    <row r="244" spans="1:6" x14ac:dyDescent="0.35">
      <c r="A244" t="s">
        <v>438</v>
      </c>
      <c r="B244" t="s">
        <v>817</v>
      </c>
      <c r="C244" t="s">
        <v>399</v>
      </c>
      <c r="D244" t="s">
        <v>9</v>
      </c>
      <c r="E244">
        <v>797</v>
      </c>
      <c r="F244" t="str">
        <f>HYPERLINK("https://www.google.com/maps/search/?api=1&amp;query=20.4503241,44.8405842", "View Map")</f>
        <v>View Map</v>
      </c>
    </row>
    <row r="245" spans="1:6" x14ac:dyDescent="0.35">
      <c r="A245" t="s">
        <v>452</v>
      </c>
      <c r="B245" t="s">
        <v>818</v>
      </c>
      <c r="C245" t="s">
        <v>399</v>
      </c>
      <c r="D245" t="s">
        <v>9</v>
      </c>
      <c r="E245">
        <v>789</v>
      </c>
      <c r="F245" t="str">
        <f>HYPERLINK("https://www.google.com/maps/search/?api=1&amp;query=20.4986618,44.72718531", "View Map")</f>
        <v>View Map</v>
      </c>
    </row>
    <row r="246" spans="1:6" x14ac:dyDescent="0.35">
      <c r="A246" t="s">
        <v>819</v>
      </c>
      <c r="B246" t="s">
        <v>820</v>
      </c>
      <c r="C246" t="s">
        <v>390</v>
      </c>
      <c r="D246" t="s">
        <v>9</v>
      </c>
      <c r="E246">
        <v>787</v>
      </c>
      <c r="F246" t="str">
        <f>HYPERLINK("https://www.google.com/maps/search/?api=1&amp;query=24.20578366,47.58447024", "View Map")</f>
        <v>View Map</v>
      </c>
    </row>
    <row r="247" spans="1:6" x14ac:dyDescent="0.35">
      <c r="A247" t="s">
        <v>821</v>
      </c>
      <c r="B247" t="s">
        <v>822</v>
      </c>
      <c r="C247" t="s">
        <v>399</v>
      </c>
      <c r="D247" t="s">
        <v>9</v>
      </c>
      <c r="E247">
        <v>783</v>
      </c>
      <c r="F247" t="str">
        <f>HYPERLINK("https://www.google.com/maps/search/?api=1&amp;query=21.97257853,44.9686352", "View Map")</f>
        <v>View Map</v>
      </c>
    </row>
    <row r="248" spans="1:6" x14ac:dyDescent="0.35">
      <c r="A248" t="s">
        <v>391</v>
      </c>
      <c r="B248" t="s">
        <v>823</v>
      </c>
      <c r="C248" t="s">
        <v>390</v>
      </c>
      <c r="D248" t="s">
        <v>9</v>
      </c>
      <c r="E248">
        <v>782</v>
      </c>
      <c r="F248" t="str">
        <f>HYPERLINK("https://www.google.com/maps/search/?api=1&amp;query=24.17298236,47.34604081", "View Map")</f>
        <v>View Map</v>
      </c>
    </row>
    <row r="249" spans="1:6" x14ac:dyDescent="0.35">
      <c r="A249" t="s">
        <v>824</v>
      </c>
      <c r="B249" t="s">
        <v>825</v>
      </c>
      <c r="C249" t="s">
        <v>404</v>
      </c>
      <c r="D249" t="s">
        <v>9</v>
      </c>
      <c r="E249">
        <v>782</v>
      </c>
      <c r="F249" t="str">
        <f>HYPERLINK("https://www.google.com/maps/search/?api=1&amp;query=22.31736012,46.72595035", "View Map")</f>
        <v>View Map</v>
      </c>
    </row>
    <row r="250" spans="1:6" x14ac:dyDescent="0.35">
      <c r="A250" t="s">
        <v>826</v>
      </c>
      <c r="B250" t="s">
        <v>827</v>
      </c>
      <c r="C250" t="s">
        <v>421</v>
      </c>
      <c r="D250" t="s">
        <v>9</v>
      </c>
      <c r="E250">
        <v>779</v>
      </c>
      <c r="F250" t="str">
        <f>HYPERLINK("https://www.google.com/maps/search/?api=1&amp;query=23.98965598,47.11856822", "View Map")</f>
        <v>View Map</v>
      </c>
    </row>
    <row r="251" spans="1:6" x14ac:dyDescent="0.35">
      <c r="A251" t="s">
        <v>438</v>
      </c>
      <c r="B251" t="s">
        <v>828</v>
      </c>
      <c r="C251" t="s">
        <v>399</v>
      </c>
      <c r="D251" t="s">
        <v>9</v>
      </c>
      <c r="E251">
        <v>778</v>
      </c>
      <c r="F251" t="str">
        <f>HYPERLINK("https://www.google.com/maps/search/?api=1&amp;query=20.47468095,45.0581382", "View Map")</f>
        <v>View Map</v>
      </c>
    </row>
    <row r="252" spans="1:6" x14ac:dyDescent="0.35">
      <c r="A252" t="s">
        <v>829</v>
      </c>
      <c r="B252" t="s">
        <v>830</v>
      </c>
      <c r="C252" t="s">
        <v>411</v>
      </c>
      <c r="D252" t="s">
        <v>9</v>
      </c>
      <c r="E252">
        <v>773</v>
      </c>
      <c r="F252" t="str">
        <f>HYPERLINK("https://www.google.com/maps/search/?api=1&amp;query=23.53012053,46.83201069", "View Map")</f>
        <v>View Map</v>
      </c>
    </row>
    <row r="253" spans="1:6" x14ac:dyDescent="0.35">
      <c r="A253" t="s">
        <v>831</v>
      </c>
      <c r="B253" t="s">
        <v>832</v>
      </c>
      <c r="C253" t="s">
        <v>390</v>
      </c>
      <c r="D253" t="s">
        <v>9</v>
      </c>
      <c r="E253">
        <v>766</v>
      </c>
      <c r="F253" t="str">
        <f>HYPERLINK("https://www.google.com/maps/search/?api=1&amp;query=24.17433325,47.31805519", "View Map")</f>
        <v>View Map</v>
      </c>
    </row>
    <row r="254" spans="1:6" x14ac:dyDescent="0.35">
      <c r="A254" t="s">
        <v>391</v>
      </c>
      <c r="B254" t="s">
        <v>833</v>
      </c>
      <c r="C254" t="s">
        <v>390</v>
      </c>
      <c r="D254" t="s">
        <v>9</v>
      </c>
      <c r="E254">
        <v>762</v>
      </c>
      <c r="F254" t="str">
        <f>HYPERLINK("https://www.google.com/maps/search/?api=1&amp;query=24.16656676,47.25437701", "View Map")</f>
        <v>View Map</v>
      </c>
    </row>
    <row r="255" spans="1:6" x14ac:dyDescent="0.35">
      <c r="A255" t="s">
        <v>834</v>
      </c>
      <c r="B255" t="s">
        <v>835</v>
      </c>
      <c r="C255" t="s">
        <v>390</v>
      </c>
      <c r="D255" t="s">
        <v>9</v>
      </c>
      <c r="E255">
        <v>762</v>
      </c>
      <c r="F255" t="str">
        <f>HYPERLINK("https://www.google.com/maps/search/?api=1&amp;query=24.15717094,47.32261224", "View Map")</f>
        <v>View Map</v>
      </c>
    </row>
    <row r="256" spans="1:6" x14ac:dyDescent="0.35">
      <c r="A256" t="s">
        <v>391</v>
      </c>
      <c r="B256" t="s">
        <v>836</v>
      </c>
      <c r="C256" t="s">
        <v>390</v>
      </c>
      <c r="D256" t="s">
        <v>9</v>
      </c>
      <c r="E256">
        <v>758</v>
      </c>
      <c r="F256" t="str">
        <f>HYPERLINK("https://www.google.com/maps/search/?api=1&amp;query=24.16624328,47.25730586", "View Map")</f>
        <v>View Map</v>
      </c>
    </row>
    <row r="257" spans="1:6" x14ac:dyDescent="0.35">
      <c r="A257" t="s">
        <v>438</v>
      </c>
      <c r="B257" t="s">
        <v>837</v>
      </c>
      <c r="C257" t="s">
        <v>399</v>
      </c>
      <c r="D257" t="s">
        <v>9</v>
      </c>
      <c r="E257">
        <v>757</v>
      </c>
      <c r="F257" t="str">
        <f>HYPERLINK("https://www.google.com/maps/search/?api=1&amp;query=20.43014644,44.88080321", "View Map")</f>
        <v>View Map</v>
      </c>
    </row>
    <row r="258" spans="1:6" x14ac:dyDescent="0.35">
      <c r="A258" t="s">
        <v>838</v>
      </c>
      <c r="B258" t="s">
        <v>839</v>
      </c>
      <c r="C258" t="s">
        <v>390</v>
      </c>
      <c r="D258" t="s">
        <v>9</v>
      </c>
      <c r="E258">
        <v>755</v>
      </c>
      <c r="F258" t="str">
        <f>HYPERLINK("https://www.google.com/maps/search/?api=1&amp;query=24.14706593,47.34960574", "View Map")</f>
        <v>View Map</v>
      </c>
    </row>
    <row r="259" spans="1:6" x14ac:dyDescent="0.35">
      <c r="A259" t="s">
        <v>840</v>
      </c>
      <c r="B259" t="s">
        <v>841</v>
      </c>
      <c r="C259" t="s">
        <v>399</v>
      </c>
      <c r="D259" t="s">
        <v>9</v>
      </c>
      <c r="E259">
        <v>754</v>
      </c>
      <c r="F259" t="str">
        <f>HYPERLINK("https://www.google.com/maps/search/?api=1&amp;query=20.45249567,44.85268451", "View Map")</f>
        <v>View Map</v>
      </c>
    </row>
    <row r="260" spans="1:6" x14ac:dyDescent="0.35">
      <c r="A260" t="s">
        <v>842</v>
      </c>
      <c r="B260" t="s">
        <v>843</v>
      </c>
      <c r="C260" t="s">
        <v>390</v>
      </c>
      <c r="D260" t="s">
        <v>9</v>
      </c>
      <c r="E260">
        <v>751</v>
      </c>
      <c r="F260" t="str">
        <f>HYPERLINK("https://www.google.com/maps/search/?api=1&amp;query=24.13346,47.24654", "View Map")</f>
        <v>View Map</v>
      </c>
    </row>
    <row r="261" spans="1:6" x14ac:dyDescent="0.35">
      <c r="A261" t="s">
        <v>427</v>
      </c>
      <c r="B261" t="s">
        <v>844</v>
      </c>
      <c r="C261" t="s">
        <v>404</v>
      </c>
      <c r="D261" t="s">
        <v>9</v>
      </c>
      <c r="E261">
        <v>751</v>
      </c>
      <c r="F261" t="str">
        <f>HYPERLINK("https://www.google.com/maps/search/?api=1&amp;query=22.33045045,46.7136788", "View Map")</f>
        <v>View Map</v>
      </c>
    </row>
    <row r="262" spans="1:6" x14ac:dyDescent="0.35">
      <c r="A262" t="s">
        <v>845</v>
      </c>
      <c r="B262" t="s">
        <v>846</v>
      </c>
      <c r="C262" t="s">
        <v>399</v>
      </c>
      <c r="D262" t="s">
        <v>9</v>
      </c>
      <c r="E262">
        <v>750</v>
      </c>
      <c r="F262" t="str">
        <f>HYPERLINK("https://www.google.com/maps/search/?api=1&amp;query=20.41361575,44.83857602", "View Map")</f>
        <v>View Map</v>
      </c>
    </row>
    <row r="263" spans="1:6" x14ac:dyDescent="0.35">
      <c r="A263" t="s">
        <v>657</v>
      </c>
      <c r="B263" t="s">
        <v>847</v>
      </c>
      <c r="C263" t="s">
        <v>390</v>
      </c>
      <c r="D263" t="s">
        <v>9</v>
      </c>
      <c r="E263">
        <v>749</v>
      </c>
      <c r="F263" t="str">
        <f>HYPERLINK("https://www.google.com/maps/search/?api=1&amp;query=24.17457708,47.29195324", "View Map")</f>
        <v>View Map</v>
      </c>
    </row>
    <row r="264" spans="1:6" x14ac:dyDescent="0.35">
      <c r="A264" t="s">
        <v>848</v>
      </c>
      <c r="B264" t="s">
        <v>849</v>
      </c>
      <c r="C264" t="s">
        <v>399</v>
      </c>
      <c r="D264" t="s">
        <v>9</v>
      </c>
      <c r="E264">
        <v>744</v>
      </c>
      <c r="F264" t="str">
        <f>HYPERLINK("https://www.google.com/maps/search/?api=1&amp;query=20.45515634,44.83463634", "View Map")</f>
        <v>View Map</v>
      </c>
    </row>
    <row r="265" spans="1:6" x14ac:dyDescent="0.35">
      <c r="A265" t="s">
        <v>427</v>
      </c>
      <c r="B265" t="s">
        <v>850</v>
      </c>
      <c r="C265" t="s">
        <v>404</v>
      </c>
      <c r="D265" t="s">
        <v>9</v>
      </c>
      <c r="E265">
        <v>744</v>
      </c>
      <c r="F265" t="str">
        <f>HYPERLINK("https://www.google.com/maps/search/?api=1&amp;query=22.2974572,46.70735911", "View Map")</f>
        <v>View Map</v>
      </c>
    </row>
    <row r="266" spans="1:6" x14ac:dyDescent="0.35">
      <c r="A266" t="s">
        <v>851</v>
      </c>
      <c r="B266" t="s">
        <v>852</v>
      </c>
      <c r="C266" t="s">
        <v>390</v>
      </c>
      <c r="D266" t="s">
        <v>318</v>
      </c>
      <c r="E266">
        <v>741</v>
      </c>
      <c r="F266" t="str">
        <f>HYPERLINK("https://www.google.com/maps/search/?api=1&amp;query=24.15681033,47.32807519", "View Map")</f>
        <v>View Map</v>
      </c>
    </row>
    <row r="267" spans="1:6" x14ac:dyDescent="0.35">
      <c r="A267" t="s">
        <v>853</v>
      </c>
      <c r="B267" t="s">
        <v>854</v>
      </c>
      <c r="C267" t="s">
        <v>395</v>
      </c>
      <c r="D267" t="s">
        <v>9</v>
      </c>
      <c r="E267">
        <v>738</v>
      </c>
      <c r="F267" t="str">
        <f>HYPERLINK("https://www.google.com/maps/search/?api=1&amp;query=20.58834208,45.70959718", "View Map")</f>
        <v>View Map</v>
      </c>
    </row>
    <row r="268" spans="1:6" x14ac:dyDescent="0.35">
      <c r="A268" t="s">
        <v>855</v>
      </c>
      <c r="B268" t="s">
        <v>856</v>
      </c>
      <c r="C268" t="s">
        <v>415</v>
      </c>
      <c r="D268" t="s">
        <v>9</v>
      </c>
      <c r="E268">
        <v>737</v>
      </c>
      <c r="F268" t="str">
        <f>HYPERLINK("https://www.google.com/maps/search/?api=1&amp;query=23.63807022,46.50699498", "View Map")</f>
        <v>View Map</v>
      </c>
    </row>
    <row r="269" spans="1:6" x14ac:dyDescent="0.35">
      <c r="A269" t="s">
        <v>438</v>
      </c>
      <c r="B269" t="s">
        <v>857</v>
      </c>
      <c r="C269" t="s">
        <v>395</v>
      </c>
      <c r="D269" t="s">
        <v>9</v>
      </c>
      <c r="E269">
        <v>732</v>
      </c>
      <c r="F269" t="str">
        <f>HYPERLINK("https://www.google.com/maps/search/?api=1&amp;query=20.47450422,45.27818951", "View Map")</f>
        <v>View Map</v>
      </c>
    </row>
    <row r="270" spans="1:6" x14ac:dyDescent="0.35">
      <c r="A270" t="s">
        <v>858</v>
      </c>
      <c r="B270" t="s">
        <v>859</v>
      </c>
      <c r="C270" t="s">
        <v>411</v>
      </c>
      <c r="D270" t="s">
        <v>9</v>
      </c>
      <c r="E270">
        <v>730</v>
      </c>
      <c r="F270" t="str">
        <f>HYPERLINK("https://www.google.com/maps/search/?api=1&amp;query=23.47322778,46.82676071", "View Map")</f>
        <v>View Map</v>
      </c>
    </row>
    <row r="271" spans="1:6" x14ac:dyDescent="0.35">
      <c r="A271" t="s">
        <v>860</v>
      </c>
      <c r="B271" t="s">
        <v>861</v>
      </c>
      <c r="C271" t="s">
        <v>390</v>
      </c>
      <c r="D271" t="s">
        <v>9</v>
      </c>
      <c r="E271">
        <v>730</v>
      </c>
      <c r="F271" t="str">
        <f>HYPERLINK("https://www.google.com/maps/search/?api=1&amp;query=24.11432,47.28085", "View Map")</f>
        <v>View Map</v>
      </c>
    </row>
    <row r="272" spans="1:6" x14ac:dyDescent="0.35">
      <c r="A272" t="s">
        <v>438</v>
      </c>
      <c r="B272" t="s">
        <v>862</v>
      </c>
      <c r="C272" t="s">
        <v>399</v>
      </c>
      <c r="D272" t="s">
        <v>9</v>
      </c>
      <c r="E272">
        <v>730</v>
      </c>
      <c r="F272" t="str">
        <f>HYPERLINK("https://www.google.com/maps/search/?api=1&amp;query=20.42779142,44.87518975", "View Map")</f>
        <v>View Map</v>
      </c>
    </row>
    <row r="273" spans="1:6" x14ac:dyDescent="0.35">
      <c r="A273" t="s">
        <v>863</v>
      </c>
      <c r="B273" t="s">
        <v>864</v>
      </c>
      <c r="C273" t="s">
        <v>404</v>
      </c>
      <c r="D273" t="s">
        <v>9</v>
      </c>
      <c r="E273">
        <v>729</v>
      </c>
      <c r="F273" t="str">
        <f>HYPERLINK("https://www.google.com/maps/search/?api=1&amp;query=22.35268259,46.66879953", "View Map")</f>
        <v>View Map</v>
      </c>
    </row>
    <row r="274" spans="1:6" x14ac:dyDescent="0.35">
      <c r="A274" t="s">
        <v>865</v>
      </c>
      <c r="B274" t="s">
        <v>866</v>
      </c>
      <c r="C274" t="s">
        <v>390</v>
      </c>
      <c r="D274" t="s">
        <v>9</v>
      </c>
      <c r="E274">
        <v>727</v>
      </c>
      <c r="F274" t="str">
        <f>HYPERLINK("https://www.google.com/maps/search/?api=1&amp;query=24.17014976,47.29544756", "View Map")</f>
        <v>View Map</v>
      </c>
    </row>
    <row r="275" spans="1:6" x14ac:dyDescent="0.35">
      <c r="A275" t="s">
        <v>867</v>
      </c>
      <c r="B275" t="s">
        <v>868</v>
      </c>
      <c r="C275" t="s">
        <v>390</v>
      </c>
      <c r="D275" t="s">
        <v>9</v>
      </c>
      <c r="E275">
        <v>727</v>
      </c>
      <c r="F275" t="str">
        <f>HYPERLINK("https://www.google.com/maps/search/?api=1&amp;query=24.12441,47.27047", "View Map")</f>
        <v>View Map</v>
      </c>
    </row>
    <row r="276" spans="1:6" x14ac:dyDescent="0.35">
      <c r="A276" t="s">
        <v>391</v>
      </c>
      <c r="B276" t="s">
        <v>869</v>
      </c>
      <c r="C276" t="s">
        <v>390</v>
      </c>
      <c r="D276" t="s">
        <v>9</v>
      </c>
      <c r="E276">
        <v>718</v>
      </c>
      <c r="F276" t="str">
        <f>HYPERLINK("https://www.google.com/maps/search/?api=1&amp;query=24.09367526,47.26533839", "View Map")</f>
        <v>View Map</v>
      </c>
    </row>
    <row r="277" spans="1:6" x14ac:dyDescent="0.35">
      <c r="A277" t="s">
        <v>870</v>
      </c>
      <c r="B277" t="s">
        <v>871</v>
      </c>
      <c r="C277" t="s">
        <v>390</v>
      </c>
      <c r="D277" t="s">
        <v>9</v>
      </c>
      <c r="E277">
        <v>717</v>
      </c>
      <c r="F277" t="str">
        <f>HYPERLINK("https://www.google.com/maps/search/?api=1&amp;query=24.1753,47.2878", "View Map")</f>
        <v>View Map</v>
      </c>
    </row>
    <row r="278" spans="1:6" x14ac:dyDescent="0.35">
      <c r="A278" t="s">
        <v>872</v>
      </c>
      <c r="B278" t="s">
        <v>873</v>
      </c>
      <c r="C278" t="s">
        <v>390</v>
      </c>
      <c r="D278" t="s">
        <v>9</v>
      </c>
      <c r="E278">
        <v>710</v>
      </c>
      <c r="F278" t="str">
        <f>HYPERLINK("https://www.google.com/maps/search/?api=1&amp;query=24.15109138,47.36192047", "View Map")</f>
        <v>View Map</v>
      </c>
    </row>
    <row r="279" spans="1:6" x14ac:dyDescent="0.35">
      <c r="A279" t="s">
        <v>874</v>
      </c>
      <c r="B279" t="s">
        <v>875</v>
      </c>
      <c r="C279" t="s">
        <v>399</v>
      </c>
      <c r="D279" t="s">
        <v>9</v>
      </c>
      <c r="E279">
        <v>709</v>
      </c>
      <c r="F279" t="str">
        <f>HYPERLINK("https://www.google.com/maps/search/?api=1&amp;query=20.44461336,44.84676627", "View Map")</f>
        <v>View Map</v>
      </c>
    </row>
    <row r="280" spans="1:6" x14ac:dyDescent="0.35">
      <c r="A280" t="s">
        <v>876</v>
      </c>
      <c r="B280" t="s">
        <v>877</v>
      </c>
      <c r="C280" t="s">
        <v>404</v>
      </c>
      <c r="D280" t="s">
        <v>9</v>
      </c>
      <c r="E280">
        <v>707</v>
      </c>
      <c r="F280" t="str">
        <f>HYPERLINK("https://www.google.com/maps/search/?api=1&amp;query=22.45488746,46.58204475", "View Map")</f>
        <v>View Map</v>
      </c>
    </row>
    <row r="281" spans="1:6" x14ac:dyDescent="0.35">
      <c r="A281" t="s">
        <v>424</v>
      </c>
      <c r="B281" t="s">
        <v>878</v>
      </c>
      <c r="C281" t="s">
        <v>399</v>
      </c>
      <c r="D281" t="s">
        <v>9</v>
      </c>
      <c r="E281">
        <v>707</v>
      </c>
      <c r="F281" t="str">
        <f>HYPERLINK("https://www.google.com/maps/search/?api=1&amp;query=20.46895612,44.76784465", "View Map")</f>
        <v>View Map</v>
      </c>
    </row>
    <row r="282" spans="1:6" x14ac:dyDescent="0.35">
      <c r="A282" t="s">
        <v>879</v>
      </c>
      <c r="B282" t="s">
        <v>880</v>
      </c>
      <c r="C282" t="s">
        <v>390</v>
      </c>
      <c r="D282" t="s">
        <v>9</v>
      </c>
      <c r="E282">
        <v>704</v>
      </c>
      <c r="F282" t="str">
        <f>HYPERLINK("https://www.google.com/maps/search/?api=1&amp;query=24.10082,47.26054", "View Map")</f>
        <v>View Map</v>
      </c>
    </row>
    <row r="283" spans="1:6" x14ac:dyDescent="0.35">
      <c r="A283" t="s">
        <v>452</v>
      </c>
      <c r="B283" t="s">
        <v>881</v>
      </c>
      <c r="C283" t="s">
        <v>399</v>
      </c>
      <c r="D283" t="s">
        <v>9</v>
      </c>
      <c r="E283">
        <v>699</v>
      </c>
      <c r="F283" t="str">
        <f>HYPERLINK("https://www.google.com/maps/search/?api=1&amp;query=20.43984713,44.78824657", "View Map")</f>
        <v>View Map</v>
      </c>
    </row>
    <row r="284" spans="1:6" x14ac:dyDescent="0.35">
      <c r="A284" t="s">
        <v>882</v>
      </c>
      <c r="B284" t="s">
        <v>883</v>
      </c>
      <c r="C284" t="s">
        <v>390</v>
      </c>
      <c r="D284" t="s">
        <v>9</v>
      </c>
      <c r="E284">
        <v>699</v>
      </c>
      <c r="F284" t="str">
        <f>HYPERLINK("https://www.google.com/maps/search/?api=1&amp;query=24.13546,47.28174", "View Map")</f>
        <v>View Map</v>
      </c>
    </row>
    <row r="285" spans="1:6" x14ac:dyDescent="0.35">
      <c r="A285" t="s">
        <v>884</v>
      </c>
      <c r="B285" t="s">
        <v>885</v>
      </c>
      <c r="C285" t="s">
        <v>404</v>
      </c>
      <c r="D285" t="s">
        <v>9</v>
      </c>
      <c r="E285">
        <v>697</v>
      </c>
      <c r="F285" t="str">
        <f>HYPERLINK("https://www.google.com/maps/search/?api=1&amp;query=22.04672455,46.58495079", "View Map")</f>
        <v>View Map</v>
      </c>
    </row>
    <row r="286" spans="1:6" x14ac:dyDescent="0.35">
      <c r="A286" t="s">
        <v>452</v>
      </c>
      <c r="B286" t="s">
        <v>886</v>
      </c>
      <c r="C286" t="s">
        <v>399</v>
      </c>
      <c r="D286" t="s">
        <v>9</v>
      </c>
      <c r="E286">
        <v>696</v>
      </c>
      <c r="F286" t="str">
        <f>HYPERLINK("https://www.google.com/maps/search/?api=1&amp;query=20.43638493,44.84514764", "View Map")</f>
        <v>View Map</v>
      </c>
    </row>
    <row r="287" spans="1:6" x14ac:dyDescent="0.35">
      <c r="A287" t="s">
        <v>887</v>
      </c>
      <c r="B287" t="s">
        <v>888</v>
      </c>
      <c r="C287" t="s">
        <v>399</v>
      </c>
      <c r="D287" t="s">
        <v>9</v>
      </c>
      <c r="E287">
        <v>696</v>
      </c>
      <c r="F287" t="str">
        <f>HYPERLINK("https://www.google.com/maps/search/?api=1&amp;query=20.47413393,44.78735902", "View Map")</f>
        <v>View Map</v>
      </c>
    </row>
    <row r="288" spans="1:6" x14ac:dyDescent="0.35">
      <c r="A288" t="s">
        <v>889</v>
      </c>
      <c r="B288" t="s">
        <v>890</v>
      </c>
      <c r="C288" t="s">
        <v>390</v>
      </c>
      <c r="D288" t="s">
        <v>9</v>
      </c>
      <c r="E288">
        <v>693</v>
      </c>
      <c r="F288" t="str">
        <f>HYPERLINK("https://www.google.com/maps/search/?api=1&amp;query=24.16022481,47.34308782", "View Map")</f>
        <v>View Map</v>
      </c>
    </row>
    <row r="289" spans="1:6" x14ac:dyDescent="0.35">
      <c r="A289" t="s">
        <v>891</v>
      </c>
      <c r="B289" t="s">
        <v>892</v>
      </c>
      <c r="C289" t="s">
        <v>395</v>
      </c>
      <c r="D289" t="s">
        <v>9</v>
      </c>
      <c r="E289">
        <v>693</v>
      </c>
      <c r="F289" t="str">
        <f>HYPERLINK("https://www.google.com/maps/search/?api=1&amp;query=20.47674277,45.28411839", "View Map")</f>
        <v>View Map</v>
      </c>
    </row>
    <row r="290" spans="1:6" x14ac:dyDescent="0.35">
      <c r="A290" t="s">
        <v>893</v>
      </c>
      <c r="B290" t="s">
        <v>894</v>
      </c>
      <c r="C290" t="s">
        <v>390</v>
      </c>
      <c r="D290" t="s">
        <v>9</v>
      </c>
      <c r="E290">
        <v>687</v>
      </c>
      <c r="F290" t="str">
        <f>HYPERLINK("https://www.google.com/maps/search/?api=1&amp;query=24.14872173,47.33392115", "View Map")</f>
        <v>View Map</v>
      </c>
    </row>
    <row r="291" spans="1:6" x14ac:dyDescent="0.35">
      <c r="A291" t="s">
        <v>895</v>
      </c>
      <c r="B291" t="s">
        <v>896</v>
      </c>
      <c r="C291" t="s">
        <v>395</v>
      </c>
      <c r="D291" t="s">
        <v>9</v>
      </c>
      <c r="E291">
        <v>686</v>
      </c>
      <c r="F291" t="str">
        <f>HYPERLINK("https://www.google.com/maps/search/?api=1&amp;query=20.46847848,45.57421134", "View Map")</f>
        <v>View Map</v>
      </c>
    </row>
    <row r="292" spans="1:6" x14ac:dyDescent="0.35">
      <c r="A292" t="s">
        <v>438</v>
      </c>
      <c r="B292" t="s">
        <v>897</v>
      </c>
      <c r="C292" t="s">
        <v>399</v>
      </c>
      <c r="D292" t="s">
        <v>9</v>
      </c>
      <c r="E292">
        <v>685</v>
      </c>
      <c r="F292" t="str">
        <f>HYPERLINK("https://www.google.com/maps/search/?api=1&amp;query=20.39515631,44.7866667", "View Map")</f>
        <v>View Map</v>
      </c>
    </row>
    <row r="293" spans="1:6" x14ac:dyDescent="0.35">
      <c r="A293" t="s">
        <v>391</v>
      </c>
      <c r="B293" t="s">
        <v>898</v>
      </c>
      <c r="C293" t="s">
        <v>390</v>
      </c>
      <c r="D293" t="s">
        <v>9</v>
      </c>
      <c r="E293">
        <v>682</v>
      </c>
      <c r="F293" t="str">
        <f>HYPERLINK("https://www.google.com/maps/search/?api=1&amp;query=24.17282968,47.34624853", "View Map")</f>
        <v>View Map</v>
      </c>
    </row>
    <row r="294" spans="1:6" x14ac:dyDescent="0.35">
      <c r="A294" t="s">
        <v>899</v>
      </c>
      <c r="B294" t="s">
        <v>900</v>
      </c>
      <c r="C294" t="s">
        <v>421</v>
      </c>
      <c r="D294" t="s">
        <v>9</v>
      </c>
      <c r="E294">
        <v>682</v>
      </c>
      <c r="F294" t="str">
        <f>HYPERLINK("https://www.google.com/maps/search/?api=1&amp;query=23.9163845,46.84086612", "View Map")</f>
        <v>View Map</v>
      </c>
    </row>
    <row r="295" spans="1:6" x14ac:dyDescent="0.35">
      <c r="A295" t="s">
        <v>901</v>
      </c>
      <c r="B295" t="s">
        <v>902</v>
      </c>
      <c r="C295" t="s">
        <v>395</v>
      </c>
      <c r="D295" t="s">
        <v>9</v>
      </c>
      <c r="E295">
        <v>679</v>
      </c>
      <c r="F295" t="str">
        <f>HYPERLINK("https://www.google.com/maps/search/?api=1&amp;query=20.45125413,45.58634638", "View Map")</f>
        <v>View Map</v>
      </c>
    </row>
    <row r="296" spans="1:6" x14ac:dyDescent="0.35">
      <c r="A296" t="s">
        <v>903</v>
      </c>
      <c r="B296" t="s">
        <v>904</v>
      </c>
      <c r="C296" t="s">
        <v>390</v>
      </c>
      <c r="D296" t="s">
        <v>9</v>
      </c>
      <c r="E296">
        <v>678</v>
      </c>
      <c r="F296" t="str">
        <f>HYPERLINK("https://www.google.com/maps/search/?api=1&amp;query=24.19910699,47.30005467", "View Map")</f>
        <v>View Map</v>
      </c>
    </row>
    <row r="297" spans="1:6" x14ac:dyDescent="0.35">
      <c r="A297" t="s">
        <v>905</v>
      </c>
      <c r="B297" t="s">
        <v>906</v>
      </c>
      <c r="C297" t="s">
        <v>415</v>
      </c>
      <c r="D297" t="s">
        <v>9</v>
      </c>
      <c r="E297">
        <v>678</v>
      </c>
      <c r="F297" t="str">
        <f>HYPERLINK("https://www.google.com/maps/search/?api=1&amp;query=23.62166231,46.51655548", "View Map")</f>
        <v>View Map</v>
      </c>
    </row>
    <row r="298" spans="1:6" x14ac:dyDescent="0.35">
      <c r="A298" t="s">
        <v>907</v>
      </c>
      <c r="B298" t="s">
        <v>908</v>
      </c>
      <c r="C298" t="s">
        <v>390</v>
      </c>
      <c r="D298" t="s">
        <v>9</v>
      </c>
      <c r="E298">
        <v>677</v>
      </c>
      <c r="F298" t="str">
        <f>HYPERLINK("https://www.google.com/maps/search/?api=1&amp;query=24.13478606,47.2754049", "View Map")</f>
        <v>View Map</v>
      </c>
    </row>
    <row r="299" spans="1:6" x14ac:dyDescent="0.35">
      <c r="A299" t="s">
        <v>909</v>
      </c>
      <c r="B299" t="s">
        <v>910</v>
      </c>
      <c r="C299" t="s">
        <v>421</v>
      </c>
      <c r="D299" t="s">
        <v>9</v>
      </c>
      <c r="E299">
        <v>676</v>
      </c>
      <c r="F299" t="str">
        <f>HYPERLINK("https://www.google.com/maps/search/?api=1&amp;query=24.07251705,47.1769359", "View Map")</f>
        <v>View Map</v>
      </c>
    </row>
    <row r="300" spans="1:6" x14ac:dyDescent="0.35">
      <c r="A300" t="s">
        <v>391</v>
      </c>
      <c r="B300" t="s">
        <v>911</v>
      </c>
      <c r="C300" t="s">
        <v>390</v>
      </c>
      <c r="D300" t="s">
        <v>9</v>
      </c>
      <c r="E300">
        <v>675</v>
      </c>
      <c r="F300" t="str">
        <f>HYPERLINK("https://www.google.com/maps/search/?api=1&amp;query=24.13816298,47.37775885", "View Map")</f>
        <v>View Map</v>
      </c>
    </row>
    <row r="301" spans="1:6" x14ac:dyDescent="0.35">
      <c r="A301" t="s">
        <v>391</v>
      </c>
      <c r="B301" t="s">
        <v>912</v>
      </c>
      <c r="C301" t="s">
        <v>390</v>
      </c>
      <c r="D301" t="s">
        <v>9</v>
      </c>
      <c r="E301">
        <v>674</v>
      </c>
      <c r="F301" t="str">
        <f>HYPERLINK("https://www.google.com/maps/search/?api=1&amp;query=24.14032569,47.27386571", "View Map")</f>
        <v>View Map</v>
      </c>
    </row>
    <row r="302" spans="1:6" x14ac:dyDescent="0.35">
      <c r="A302" t="s">
        <v>391</v>
      </c>
      <c r="B302" t="s">
        <v>913</v>
      </c>
      <c r="C302" t="s">
        <v>390</v>
      </c>
      <c r="D302" t="s">
        <v>9</v>
      </c>
      <c r="E302">
        <v>672</v>
      </c>
      <c r="F302" t="str">
        <f>HYPERLINK("https://www.google.com/maps/search/?api=1&amp;query=24.14482656,47.37125849", "View Map")</f>
        <v>View Map</v>
      </c>
    </row>
    <row r="303" spans="1:6" x14ac:dyDescent="0.35">
      <c r="A303" t="s">
        <v>914</v>
      </c>
      <c r="B303" t="s">
        <v>915</v>
      </c>
      <c r="C303" t="s">
        <v>404</v>
      </c>
      <c r="D303" t="s">
        <v>9</v>
      </c>
      <c r="E303">
        <v>671</v>
      </c>
      <c r="F303" t="str">
        <f>HYPERLINK("https://www.google.com/maps/search/?api=1&amp;query=22.29222761,46.70179465", "View Map")</f>
        <v>View Map</v>
      </c>
    </row>
    <row r="304" spans="1:6" x14ac:dyDescent="0.35">
      <c r="A304" t="s">
        <v>916</v>
      </c>
      <c r="B304" t="s">
        <v>917</v>
      </c>
      <c r="C304" t="s">
        <v>404</v>
      </c>
      <c r="D304" t="s">
        <v>9</v>
      </c>
      <c r="E304">
        <v>667</v>
      </c>
      <c r="F304" t="str">
        <f>HYPERLINK("https://www.google.com/maps/search/?api=1&amp;query=22.28830138,46.7320218", "View Map")</f>
        <v>View Map</v>
      </c>
    </row>
    <row r="305" spans="1:6" x14ac:dyDescent="0.35">
      <c r="A305" t="s">
        <v>391</v>
      </c>
      <c r="B305" t="s">
        <v>918</v>
      </c>
      <c r="C305" t="s">
        <v>390</v>
      </c>
      <c r="D305" t="s">
        <v>9</v>
      </c>
      <c r="E305">
        <v>666</v>
      </c>
      <c r="F305" t="str">
        <f>HYPERLINK("https://www.google.com/maps/search/?api=1&amp;query=24.19701756,47.3049415", "View Map")</f>
        <v>View Map</v>
      </c>
    </row>
    <row r="306" spans="1:6" x14ac:dyDescent="0.35">
      <c r="A306" t="s">
        <v>919</v>
      </c>
      <c r="B306" t="s">
        <v>920</v>
      </c>
      <c r="C306" t="s">
        <v>399</v>
      </c>
      <c r="D306" t="s">
        <v>9</v>
      </c>
      <c r="E306">
        <v>666</v>
      </c>
      <c r="F306" t="str">
        <f>HYPERLINK("https://www.google.com/maps/search/?api=1&amp;query=20.46355505,44.83804197", "View Map")</f>
        <v>View Map</v>
      </c>
    </row>
    <row r="307" spans="1:6" x14ac:dyDescent="0.35">
      <c r="A307" t="s">
        <v>391</v>
      </c>
      <c r="B307" t="s">
        <v>921</v>
      </c>
      <c r="C307" t="s">
        <v>390</v>
      </c>
      <c r="D307" t="s">
        <v>9</v>
      </c>
      <c r="E307">
        <v>665</v>
      </c>
      <c r="F307" t="str">
        <f>HYPERLINK("https://www.google.com/maps/search/?api=1&amp;query=24.13827832,47.26908974", "View Map")</f>
        <v>View Map</v>
      </c>
    </row>
    <row r="308" spans="1:6" x14ac:dyDescent="0.35">
      <c r="A308" t="s">
        <v>922</v>
      </c>
      <c r="B308" t="s">
        <v>923</v>
      </c>
      <c r="C308" t="s">
        <v>399</v>
      </c>
      <c r="D308" t="s">
        <v>9</v>
      </c>
      <c r="E308">
        <v>664</v>
      </c>
      <c r="F308" t="str">
        <f>HYPERLINK("https://www.google.com/maps/search/?api=1&amp;query=20.41524649,45.14015438", "View Map")</f>
        <v>View Map</v>
      </c>
    </row>
    <row r="309" spans="1:6" x14ac:dyDescent="0.35">
      <c r="A309" t="s">
        <v>924</v>
      </c>
      <c r="B309" t="s">
        <v>925</v>
      </c>
      <c r="C309" t="s">
        <v>390</v>
      </c>
      <c r="D309" t="s">
        <v>9</v>
      </c>
      <c r="E309">
        <v>664</v>
      </c>
      <c r="F309" t="str">
        <f>HYPERLINK("https://www.google.com/maps/search/?api=1&amp;query=24.18650434,47.27695", "View Map")</f>
        <v>View Map</v>
      </c>
    </row>
    <row r="310" spans="1:6" x14ac:dyDescent="0.35">
      <c r="A310" t="s">
        <v>926</v>
      </c>
      <c r="B310" t="s">
        <v>927</v>
      </c>
      <c r="C310" t="s">
        <v>421</v>
      </c>
      <c r="D310" t="s">
        <v>9</v>
      </c>
      <c r="E310">
        <v>662</v>
      </c>
      <c r="F310" t="str">
        <f>HYPERLINK("https://www.google.com/maps/search/?api=1&amp;query=23.9892122,47.18022657", "View Map")</f>
        <v>View Map</v>
      </c>
    </row>
    <row r="311" spans="1:6" x14ac:dyDescent="0.35">
      <c r="A311" t="s">
        <v>928</v>
      </c>
      <c r="B311" t="s">
        <v>929</v>
      </c>
      <c r="C311" t="s">
        <v>390</v>
      </c>
      <c r="D311" t="s">
        <v>9</v>
      </c>
      <c r="E311">
        <v>654</v>
      </c>
      <c r="F311" t="str">
        <f>HYPERLINK("https://www.google.com/maps/search/?api=1&amp;query=24.1553715,47.32559433", "View Map")</f>
        <v>View Map</v>
      </c>
    </row>
    <row r="312" spans="1:6" x14ac:dyDescent="0.35">
      <c r="A312" t="s">
        <v>930</v>
      </c>
      <c r="B312" t="s">
        <v>931</v>
      </c>
      <c r="C312" t="s">
        <v>390</v>
      </c>
      <c r="D312" t="s">
        <v>9</v>
      </c>
      <c r="E312">
        <v>652</v>
      </c>
      <c r="F312" t="str">
        <f>HYPERLINK("https://www.google.com/maps/search/?api=1&amp;query=24.10045,47.29874", "View Map")</f>
        <v>View Map</v>
      </c>
    </row>
    <row r="313" spans="1:6" x14ac:dyDescent="0.35">
      <c r="A313" t="s">
        <v>932</v>
      </c>
      <c r="B313" t="s">
        <v>933</v>
      </c>
      <c r="C313" t="s">
        <v>390</v>
      </c>
      <c r="D313" t="s">
        <v>9</v>
      </c>
      <c r="E313">
        <v>652</v>
      </c>
      <c r="F313" t="str">
        <f>HYPERLINK("https://www.google.com/maps/search/?api=1&amp;query=24.15136039,47.32975642", "View Map")</f>
        <v>View Map</v>
      </c>
    </row>
    <row r="314" spans="1:6" x14ac:dyDescent="0.35">
      <c r="A314" t="s">
        <v>934</v>
      </c>
      <c r="B314" t="s">
        <v>935</v>
      </c>
      <c r="C314" t="s">
        <v>404</v>
      </c>
      <c r="D314" t="s">
        <v>9</v>
      </c>
      <c r="E314">
        <v>649</v>
      </c>
      <c r="F314" t="str">
        <f>HYPERLINK("https://www.google.com/maps/search/?api=1&amp;query=22.30063055,46.71270919", "View Map")</f>
        <v>View Map</v>
      </c>
    </row>
    <row r="315" spans="1:6" x14ac:dyDescent="0.35">
      <c r="A315" t="s">
        <v>936</v>
      </c>
      <c r="B315" t="s">
        <v>937</v>
      </c>
      <c r="C315" t="s">
        <v>390</v>
      </c>
      <c r="D315" t="s">
        <v>318</v>
      </c>
      <c r="E315">
        <v>649</v>
      </c>
      <c r="F315" t="str">
        <f>HYPERLINK("https://www.google.com/maps/search/?api=1&amp;query=24.17666425,47.31591366", "View Map")</f>
        <v>View Map</v>
      </c>
    </row>
    <row r="316" spans="1:6" x14ac:dyDescent="0.35">
      <c r="A316" t="s">
        <v>938</v>
      </c>
      <c r="B316" t="s">
        <v>939</v>
      </c>
      <c r="C316" t="s">
        <v>399</v>
      </c>
      <c r="D316" t="s">
        <v>9</v>
      </c>
      <c r="E316">
        <v>647</v>
      </c>
      <c r="F316" t="str">
        <f>HYPERLINK("https://www.google.com/maps/search/?api=1&amp;query=20.43083599,44.74914884", "View Map")</f>
        <v>View Map</v>
      </c>
    </row>
    <row r="317" spans="1:6" x14ac:dyDescent="0.35">
      <c r="A317" t="s">
        <v>940</v>
      </c>
      <c r="B317" t="s">
        <v>941</v>
      </c>
      <c r="C317" t="s">
        <v>411</v>
      </c>
      <c r="D317" t="s">
        <v>9</v>
      </c>
      <c r="E317">
        <v>645</v>
      </c>
      <c r="F317" t="str">
        <f>HYPERLINK("https://www.google.com/maps/search/?api=1&amp;query=23.43561004,46.78499662", "View Map")</f>
        <v>View Map</v>
      </c>
    </row>
    <row r="318" spans="1:6" x14ac:dyDescent="0.35">
      <c r="A318" t="s">
        <v>438</v>
      </c>
      <c r="B318" t="s">
        <v>942</v>
      </c>
      <c r="C318" t="s">
        <v>399</v>
      </c>
      <c r="D318" t="s">
        <v>9</v>
      </c>
      <c r="E318">
        <v>645</v>
      </c>
      <c r="F318" t="str">
        <f>HYPERLINK("https://www.google.com/maps/search/?api=1&amp;query=20.42855621,44.88673964", "View Map")</f>
        <v>View Map</v>
      </c>
    </row>
    <row r="319" spans="1:6" x14ac:dyDescent="0.35">
      <c r="A319" t="s">
        <v>943</v>
      </c>
      <c r="B319" t="s">
        <v>944</v>
      </c>
      <c r="C319" t="s">
        <v>411</v>
      </c>
      <c r="D319" t="s">
        <v>9</v>
      </c>
      <c r="E319">
        <v>642</v>
      </c>
      <c r="F319" t="str">
        <f>HYPERLINK("https://www.google.com/maps/search/?api=1&amp;query=23.49188929,46.86474432", "View Map")</f>
        <v>View Map</v>
      </c>
    </row>
    <row r="320" spans="1:6" x14ac:dyDescent="0.35">
      <c r="A320" t="s">
        <v>945</v>
      </c>
      <c r="B320" t="s">
        <v>946</v>
      </c>
      <c r="C320" t="s">
        <v>390</v>
      </c>
      <c r="D320" t="s">
        <v>9</v>
      </c>
      <c r="E320">
        <v>639</v>
      </c>
      <c r="F320" t="str">
        <f>HYPERLINK("https://www.google.com/maps/search/?api=1&amp;query=24.17730881,47.33378147", "View Map")</f>
        <v>View Map</v>
      </c>
    </row>
    <row r="321" spans="1:6" x14ac:dyDescent="0.35">
      <c r="A321" t="s">
        <v>947</v>
      </c>
      <c r="B321" t="s">
        <v>948</v>
      </c>
      <c r="C321" t="s">
        <v>390</v>
      </c>
      <c r="D321" t="s">
        <v>9</v>
      </c>
      <c r="E321">
        <v>639</v>
      </c>
      <c r="F321" t="str">
        <f>HYPERLINK("https://www.google.com/maps/search/?api=1&amp;query=24.14845387,47.29407342", "View Map")</f>
        <v>View Map</v>
      </c>
    </row>
    <row r="322" spans="1:6" x14ac:dyDescent="0.35">
      <c r="A322" t="s">
        <v>949</v>
      </c>
      <c r="B322" t="s">
        <v>950</v>
      </c>
      <c r="C322" t="s">
        <v>390</v>
      </c>
      <c r="D322" t="s">
        <v>9</v>
      </c>
      <c r="E322">
        <v>637</v>
      </c>
      <c r="F322" t="str">
        <f>HYPERLINK("https://www.google.com/maps/search/?api=1&amp;query=24.23869314,47.24295775", "View Map")</f>
        <v>View Map</v>
      </c>
    </row>
    <row r="323" spans="1:6" x14ac:dyDescent="0.35">
      <c r="A323" t="s">
        <v>951</v>
      </c>
      <c r="B323" t="s">
        <v>952</v>
      </c>
      <c r="C323" t="s">
        <v>411</v>
      </c>
      <c r="D323" t="s">
        <v>9</v>
      </c>
      <c r="E323">
        <v>634</v>
      </c>
      <c r="F323" t="str">
        <f>HYPERLINK("https://www.google.com/maps/search/?api=1&amp;query=23.26630789,46.68240901", "View Map")</f>
        <v>View Map</v>
      </c>
    </row>
    <row r="324" spans="1:6" x14ac:dyDescent="0.35">
      <c r="A324" t="s">
        <v>953</v>
      </c>
      <c r="B324" t="s">
        <v>954</v>
      </c>
      <c r="C324" t="s">
        <v>399</v>
      </c>
      <c r="D324" t="s">
        <v>9</v>
      </c>
      <c r="E324">
        <v>634</v>
      </c>
      <c r="F324" t="str">
        <f>HYPERLINK("https://www.google.com/maps/search/?api=1&amp;query=20.44554512,44.86089673", "View Map")</f>
        <v>View Map</v>
      </c>
    </row>
    <row r="325" spans="1:6" x14ac:dyDescent="0.35">
      <c r="A325" t="s">
        <v>955</v>
      </c>
      <c r="B325" t="s">
        <v>956</v>
      </c>
      <c r="C325" t="s">
        <v>390</v>
      </c>
      <c r="D325" t="s">
        <v>9</v>
      </c>
      <c r="E325">
        <v>630</v>
      </c>
      <c r="F325" t="str">
        <f>HYPERLINK("https://www.google.com/maps/search/?api=1&amp;query=24.1527329,47.35323747", "View Map")</f>
        <v>View Map</v>
      </c>
    </row>
    <row r="326" spans="1:6" x14ac:dyDescent="0.35">
      <c r="A326" t="s">
        <v>957</v>
      </c>
      <c r="B326" t="s">
        <v>958</v>
      </c>
      <c r="C326" t="s">
        <v>404</v>
      </c>
      <c r="D326" t="s">
        <v>9</v>
      </c>
      <c r="E326">
        <v>629</v>
      </c>
      <c r="F326" t="str">
        <f>HYPERLINK("https://www.google.com/maps/search/?api=1&amp;query=22.31426867,46.72906751", "View Map")</f>
        <v>View Map</v>
      </c>
    </row>
    <row r="327" spans="1:6" x14ac:dyDescent="0.35">
      <c r="A327" t="s">
        <v>959</v>
      </c>
      <c r="B327" t="s">
        <v>960</v>
      </c>
      <c r="C327" t="s">
        <v>395</v>
      </c>
      <c r="D327" t="s">
        <v>9</v>
      </c>
      <c r="E327">
        <v>627</v>
      </c>
      <c r="F327" t="str">
        <f>HYPERLINK("https://www.google.com/maps/search/?api=1&amp;query=20.46139988,45.57659715", "View Map")</f>
        <v>View Map</v>
      </c>
    </row>
    <row r="328" spans="1:6" x14ac:dyDescent="0.35">
      <c r="A328" t="s">
        <v>961</v>
      </c>
      <c r="B328" t="s">
        <v>962</v>
      </c>
      <c r="C328" t="s">
        <v>404</v>
      </c>
      <c r="D328" t="s">
        <v>9</v>
      </c>
      <c r="E328">
        <v>623</v>
      </c>
      <c r="F328" t="str">
        <f>HYPERLINK("https://www.google.com/maps/search/?api=1&amp;query=22.29285338,46.71552439", "View Map")</f>
        <v>View Map</v>
      </c>
    </row>
    <row r="329" spans="1:6" x14ac:dyDescent="0.35">
      <c r="A329" t="s">
        <v>963</v>
      </c>
      <c r="B329" t="s">
        <v>964</v>
      </c>
      <c r="C329" t="s">
        <v>390</v>
      </c>
      <c r="D329" t="s">
        <v>318</v>
      </c>
      <c r="E329">
        <v>623</v>
      </c>
      <c r="F329" t="str">
        <f>HYPERLINK("https://www.google.com/maps/search/?api=1&amp;query=24.21638332,47.32697028", "View Map")</f>
        <v>View Map</v>
      </c>
    </row>
    <row r="330" spans="1:6" x14ac:dyDescent="0.35">
      <c r="A330" t="s">
        <v>965</v>
      </c>
      <c r="B330" t="s">
        <v>966</v>
      </c>
      <c r="C330" t="s">
        <v>404</v>
      </c>
      <c r="D330" t="s">
        <v>9</v>
      </c>
      <c r="E330">
        <v>622</v>
      </c>
      <c r="F330" t="str">
        <f>HYPERLINK("https://www.google.com/maps/search/?api=1&amp;query=22.03741546,46.56649041", "View Map")</f>
        <v>View Map</v>
      </c>
    </row>
    <row r="331" spans="1:6" x14ac:dyDescent="0.35">
      <c r="A331" t="s">
        <v>967</v>
      </c>
      <c r="B331" t="s">
        <v>968</v>
      </c>
      <c r="C331" t="s">
        <v>399</v>
      </c>
      <c r="D331" t="s">
        <v>318</v>
      </c>
      <c r="E331">
        <v>586</v>
      </c>
      <c r="F331" t="str">
        <f>HYPERLINK("https://www.google.com/maps/search/?api=1&amp;query=20.40133781,45.18385742", "View Map")</f>
        <v>View Map</v>
      </c>
    </row>
    <row r="332" spans="1:6" x14ac:dyDescent="0.35">
      <c r="A332" t="s">
        <v>969</v>
      </c>
      <c r="B332" t="s">
        <v>970</v>
      </c>
      <c r="C332" t="s">
        <v>390</v>
      </c>
      <c r="D332" t="s">
        <v>9</v>
      </c>
      <c r="E332">
        <v>584</v>
      </c>
      <c r="F332" t="str">
        <f>HYPERLINK("https://www.google.com/maps/search/?api=1&amp;query=24.19180169,47.27529658", "View Map")</f>
        <v>View Map</v>
      </c>
    </row>
    <row r="333" spans="1:6" x14ac:dyDescent="0.35">
      <c r="A333" t="s">
        <v>971</v>
      </c>
      <c r="B333" t="s">
        <v>972</v>
      </c>
      <c r="C333" t="s">
        <v>415</v>
      </c>
      <c r="D333" t="s">
        <v>318</v>
      </c>
      <c r="E333">
        <v>576</v>
      </c>
      <c r="F333" t="str">
        <f>HYPERLINK("https://www.google.com/maps/search/?api=1&amp;query=23.63233808,46.50877792", "View Map")</f>
        <v>View Map</v>
      </c>
    </row>
    <row r="334" spans="1:6" x14ac:dyDescent="0.35">
      <c r="A334" t="s">
        <v>973</v>
      </c>
      <c r="B334" t="s">
        <v>974</v>
      </c>
      <c r="C334" t="s">
        <v>399</v>
      </c>
      <c r="D334" t="s">
        <v>9</v>
      </c>
      <c r="E334">
        <v>527</v>
      </c>
      <c r="F334" t="str">
        <f>HYPERLINK("https://www.google.com/maps/search/?api=1&amp;query=20.45029043,44.78991024", "View Map")</f>
        <v>View Map</v>
      </c>
    </row>
    <row r="335" spans="1:6" x14ac:dyDescent="0.35">
      <c r="A335" t="s">
        <v>975</v>
      </c>
      <c r="B335" t="s">
        <v>976</v>
      </c>
      <c r="C335" t="s">
        <v>399</v>
      </c>
      <c r="D335" t="s">
        <v>318</v>
      </c>
      <c r="E335">
        <v>511</v>
      </c>
      <c r="F335" t="str">
        <f>HYPERLINK("https://www.google.com/maps/search/?api=1&amp;query=20.47127647,44.79374548", "View Map")</f>
        <v>View Map</v>
      </c>
    </row>
    <row r="336" spans="1:6" x14ac:dyDescent="0.35">
      <c r="A336" t="s">
        <v>977</v>
      </c>
      <c r="B336" t="s">
        <v>978</v>
      </c>
      <c r="C336" t="s">
        <v>399</v>
      </c>
      <c r="D336" t="s">
        <v>318</v>
      </c>
      <c r="E336">
        <v>504</v>
      </c>
      <c r="F336" t="str">
        <f>HYPERLINK("https://www.google.com/maps/search/?api=1&amp;query=20.45715766,44.81567593", "View Map")</f>
        <v>View Map</v>
      </c>
    </row>
    <row r="337" spans="1:6" x14ac:dyDescent="0.35">
      <c r="A337" t="s">
        <v>438</v>
      </c>
      <c r="B337" t="s">
        <v>979</v>
      </c>
      <c r="C337" t="s">
        <v>399</v>
      </c>
      <c r="D337" t="s">
        <v>318</v>
      </c>
      <c r="E337">
        <v>501</v>
      </c>
      <c r="F337" t="str">
        <f>HYPERLINK("https://www.google.com/maps/search/?api=1&amp;query=20.41526815,45.12309383", "View Map")</f>
        <v>View Map</v>
      </c>
    </row>
    <row r="338" spans="1:6" x14ac:dyDescent="0.35">
      <c r="A338" t="s">
        <v>980</v>
      </c>
      <c r="B338" t="s">
        <v>981</v>
      </c>
      <c r="C338" t="s">
        <v>404</v>
      </c>
      <c r="D338" t="s">
        <v>318</v>
      </c>
      <c r="E338">
        <v>490</v>
      </c>
      <c r="F338" t="str">
        <f>HYPERLINK("https://www.google.com/maps/search/?api=1&amp;query=21.99418848,45.95933308", "View Map")</f>
        <v>View Map</v>
      </c>
    </row>
    <row r="339" spans="1:6" x14ac:dyDescent="0.35">
      <c r="A339" t="s">
        <v>971</v>
      </c>
      <c r="B339" t="s">
        <v>982</v>
      </c>
      <c r="C339" t="s">
        <v>415</v>
      </c>
      <c r="D339" t="s">
        <v>318</v>
      </c>
      <c r="E339">
        <v>457</v>
      </c>
      <c r="F339" t="str">
        <f>HYPERLINK("https://www.google.com/maps/search/?api=1&amp;query=23.63233971,46.50878673", "View Map")</f>
        <v>View Map</v>
      </c>
    </row>
    <row r="340" spans="1:6" x14ac:dyDescent="0.35">
      <c r="A340" t="s">
        <v>983</v>
      </c>
      <c r="B340" t="s">
        <v>984</v>
      </c>
      <c r="C340" t="s">
        <v>390</v>
      </c>
      <c r="D340" t="s">
        <v>318</v>
      </c>
      <c r="E340">
        <v>441</v>
      </c>
      <c r="F340" t="str">
        <f>HYPERLINK("https://www.google.com/maps/search/?api=1&amp;query=24.15673292,47.32816199", "View Map")</f>
        <v>View Map</v>
      </c>
    </row>
    <row r="341" spans="1:6" x14ac:dyDescent="0.35">
      <c r="A341" t="s">
        <v>985</v>
      </c>
      <c r="B341" t="s">
        <v>986</v>
      </c>
      <c r="C341" t="s">
        <v>390</v>
      </c>
      <c r="D341" t="s">
        <v>318</v>
      </c>
      <c r="E341">
        <v>435</v>
      </c>
      <c r="F341" t="str">
        <f>HYPERLINK("https://www.google.com/maps/search/?api=1&amp;query=24.14954887,47.32866748", "View Map")</f>
        <v>View Map</v>
      </c>
    </row>
    <row r="342" spans="1:6" x14ac:dyDescent="0.35">
      <c r="A342" t="s">
        <v>987</v>
      </c>
      <c r="B342" t="s">
        <v>988</v>
      </c>
      <c r="C342" t="s">
        <v>390</v>
      </c>
      <c r="D342" t="s">
        <v>318</v>
      </c>
      <c r="E342">
        <v>422</v>
      </c>
      <c r="F342" t="str">
        <f>HYPERLINK("https://www.google.com/maps/search/?api=1&amp;query=24.15955528,47.31240072", "View Map")</f>
        <v>View Map</v>
      </c>
    </row>
    <row r="343" spans="1:6" x14ac:dyDescent="0.35">
      <c r="A343" t="s">
        <v>989</v>
      </c>
      <c r="B343" t="s">
        <v>990</v>
      </c>
      <c r="C343" t="s">
        <v>395</v>
      </c>
      <c r="D343" t="s">
        <v>9</v>
      </c>
      <c r="E343">
        <v>414</v>
      </c>
      <c r="F343" t="str">
        <f>HYPERLINK("https://www.google.com/maps/search/?api=1&amp;query=20.46174291,45.57880233", "View Map")</f>
        <v>View Map</v>
      </c>
    </row>
    <row r="344" spans="1:6" x14ac:dyDescent="0.35">
      <c r="A344" t="s">
        <v>991</v>
      </c>
      <c r="B344" t="s">
        <v>992</v>
      </c>
      <c r="C344" t="s">
        <v>390</v>
      </c>
      <c r="D344" t="s">
        <v>318</v>
      </c>
      <c r="E344">
        <v>412</v>
      </c>
      <c r="F344" t="str">
        <f>HYPERLINK("https://www.google.com/maps/search/?api=1&amp;query=24.15499071,47.31498239", "View Map")</f>
        <v>View Map</v>
      </c>
    </row>
    <row r="345" spans="1:6" x14ac:dyDescent="0.35">
      <c r="A345" t="s">
        <v>438</v>
      </c>
      <c r="B345" t="s">
        <v>993</v>
      </c>
      <c r="C345" t="s">
        <v>399</v>
      </c>
      <c r="D345" t="s">
        <v>318</v>
      </c>
      <c r="E345">
        <v>407</v>
      </c>
      <c r="F345" t="str">
        <f>HYPERLINK("https://www.google.com/maps/search/?api=1&amp;query=20.4503241,44.8405842", "View Map")</f>
        <v>View Map</v>
      </c>
    </row>
    <row r="346" spans="1:6" x14ac:dyDescent="0.35">
      <c r="A346" t="s">
        <v>994</v>
      </c>
      <c r="B346" t="s">
        <v>995</v>
      </c>
      <c r="C346" t="s">
        <v>399</v>
      </c>
      <c r="D346" t="s">
        <v>318</v>
      </c>
      <c r="E346">
        <v>404</v>
      </c>
      <c r="F346" t="str">
        <f>HYPERLINK("https://www.google.com/maps/search/?api=1&amp;query=20.43981078,44.9235643", "View Map")</f>
        <v>View Map</v>
      </c>
    </row>
    <row r="347" spans="1:6" x14ac:dyDescent="0.35">
      <c r="A347" t="s">
        <v>996</v>
      </c>
      <c r="B347" t="s">
        <v>997</v>
      </c>
      <c r="C347" t="s">
        <v>390</v>
      </c>
      <c r="D347" t="s">
        <v>318</v>
      </c>
      <c r="E347">
        <v>393</v>
      </c>
      <c r="F347" t="str">
        <f>HYPERLINK("https://www.google.com/maps/search/?api=1&amp;query=24.17807103,47.29273926", "View Map")</f>
        <v>View Map</v>
      </c>
    </row>
    <row r="348" spans="1:6" x14ac:dyDescent="0.35">
      <c r="A348" t="s">
        <v>998</v>
      </c>
      <c r="B348" t="s">
        <v>999</v>
      </c>
      <c r="C348" t="s">
        <v>390</v>
      </c>
      <c r="D348" t="s">
        <v>318</v>
      </c>
      <c r="E348">
        <v>366</v>
      </c>
      <c r="F348" t="str">
        <f>HYPERLINK("https://www.google.com/maps/search/?api=1&amp;query=24.16016664,47.35824496", "View Map")</f>
        <v>View Map</v>
      </c>
    </row>
    <row r="349" spans="1:6" x14ac:dyDescent="0.35">
      <c r="A349" t="s">
        <v>1000</v>
      </c>
      <c r="B349" t="s">
        <v>1001</v>
      </c>
      <c r="C349" t="s">
        <v>395</v>
      </c>
      <c r="D349" t="s">
        <v>318</v>
      </c>
      <c r="E349">
        <v>365</v>
      </c>
      <c r="F349" t="str">
        <f>HYPERLINK("https://www.google.com/maps/search/?api=1&amp;query=20.47767036,45.54738236", "View Map")</f>
        <v>View Map</v>
      </c>
    </row>
    <row r="350" spans="1:6" x14ac:dyDescent="0.35">
      <c r="A350" t="s">
        <v>1002</v>
      </c>
      <c r="B350" t="s">
        <v>1003</v>
      </c>
      <c r="C350" t="s">
        <v>399</v>
      </c>
      <c r="D350" t="s">
        <v>318</v>
      </c>
      <c r="E350">
        <v>353</v>
      </c>
      <c r="F350" t="str">
        <f>HYPERLINK("https://www.google.com/maps/search/?api=1&amp;query=20.44949082,44.86355412", "View Map")</f>
        <v>View Map</v>
      </c>
    </row>
    <row r="351" spans="1:6" x14ac:dyDescent="0.35">
      <c r="A351" t="s">
        <v>391</v>
      </c>
      <c r="B351" t="s">
        <v>1004</v>
      </c>
      <c r="C351" t="s">
        <v>390</v>
      </c>
      <c r="D351" t="s">
        <v>318</v>
      </c>
      <c r="E351">
        <v>349</v>
      </c>
      <c r="F351" t="str">
        <f>HYPERLINK("https://www.google.com/maps/search/?api=1&amp;query=24.172587,47.37090102", "View Map")</f>
        <v>View Map</v>
      </c>
    </row>
    <row r="352" spans="1:6" x14ac:dyDescent="0.35">
      <c r="A352" t="s">
        <v>391</v>
      </c>
      <c r="B352" t="s">
        <v>1005</v>
      </c>
      <c r="C352" t="s">
        <v>390</v>
      </c>
      <c r="D352" t="s">
        <v>318</v>
      </c>
      <c r="E352">
        <v>347</v>
      </c>
      <c r="F352" t="str">
        <f>HYPERLINK("https://www.google.com/maps/search/?api=1&amp;query=24.10724635,47.26312493", "View Map")</f>
        <v>View Map</v>
      </c>
    </row>
    <row r="353" spans="1:6" x14ac:dyDescent="0.35">
      <c r="A353" t="s">
        <v>1006</v>
      </c>
      <c r="B353" t="s">
        <v>1007</v>
      </c>
      <c r="C353" t="s">
        <v>399</v>
      </c>
      <c r="D353" t="s">
        <v>318</v>
      </c>
      <c r="E353">
        <v>346</v>
      </c>
      <c r="F353" t="str">
        <f>HYPERLINK("https://www.google.com/maps/search/?api=1&amp;query=20.39285897,45.15860578", "View Map")</f>
        <v>View Map</v>
      </c>
    </row>
    <row r="354" spans="1:6" x14ac:dyDescent="0.35">
      <c r="A354" t="s">
        <v>1008</v>
      </c>
      <c r="B354" t="s">
        <v>1009</v>
      </c>
      <c r="C354" t="s">
        <v>395</v>
      </c>
      <c r="D354" t="s">
        <v>318</v>
      </c>
      <c r="E354">
        <v>346</v>
      </c>
      <c r="F354" t="str">
        <f>HYPERLINK("https://www.google.com/maps/search/?api=1&amp;query=20.44931406,45.58729081", "View Map")</f>
        <v>View Map</v>
      </c>
    </row>
    <row r="355" spans="1:6" x14ac:dyDescent="0.35">
      <c r="A355" t="s">
        <v>1010</v>
      </c>
      <c r="B355" t="s">
        <v>1011</v>
      </c>
      <c r="C355" t="s">
        <v>390</v>
      </c>
      <c r="D355" t="s">
        <v>318</v>
      </c>
      <c r="E355">
        <v>343</v>
      </c>
      <c r="F355" t="str">
        <f>HYPERLINK("https://www.google.com/maps/search/?api=1&amp;query=24.20124108,47.27116904", "View Map")</f>
        <v>View Map</v>
      </c>
    </row>
    <row r="356" spans="1:6" x14ac:dyDescent="0.35">
      <c r="A356" t="s">
        <v>1012</v>
      </c>
      <c r="B356" t="s">
        <v>1013</v>
      </c>
      <c r="C356" t="s">
        <v>390</v>
      </c>
      <c r="D356" t="s">
        <v>318</v>
      </c>
      <c r="E356">
        <v>341</v>
      </c>
      <c r="F356" t="str">
        <f>HYPERLINK("https://www.google.com/maps/search/?api=1&amp;query=24.13637389,47.28939391", "View Map")</f>
        <v>View Map</v>
      </c>
    </row>
    <row r="357" spans="1:6" x14ac:dyDescent="0.35">
      <c r="A357" t="s">
        <v>391</v>
      </c>
      <c r="B357" t="s">
        <v>1014</v>
      </c>
      <c r="C357" t="s">
        <v>390</v>
      </c>
      <c r="D357" t="s">
        <v>318</v>
      </c>
      <c r="E357">
        <v>339</v>
      </c>
      <c r="F357" t="str">
        <f>HYPERLINK("https://www.google.com/maps/search/?api=1&amp;query=24.15755874,47.37270331", "View Map")</f>
        <v>View Map</v>
      </c>
    </row>
    <row r="358" spans="1:6" x14ac:dyDescent="0.35">
      <c r="A358" t="s">
        <v>1015</v>
      </c>
      <c r="B358" t="s">
        <v>1016</v>
      </c>
      <c r="C358" t="s">
        <v>395</v>
      </c>
      <c r="D358" t="s">
        <v>318</v>
      </c>
      <c r="E358">
        <v>339</v>
      </c>
      <c r="F358" t="str">
        <f>HYPERLINK("https://www.google.com/maps/search/?api=1&amp;query=20.4618748,45.59190344", "View Map")</f>
        <v>View Map</v>
      </c>
    </row>
    <row r="359" spans="1:6" x14ac:dyDescent="0.35">
      <c r="A359" t="s">
        <v>438</v>
      </c>
      <c r="B359" t="s">
        <v>1017</v>
      </c>
      <c r="C359" t="s">
        <v>399</v>
      </c>
      <c r="D359" t="s">
        <v>318</v>
      </c>
      <c r="E359">
        <v>337</v>
      </c>
      <c r="F359" t="str">
        <f>HYPERLINK("https://www.google.com/maps/search/?api=1&amp;query=20.44236314,45.10328028", "View Map")</f>
        <v>View Map</v>
      </c>
    </row>
    <row r="360" spans="1:6" x14ac:dyDescent="0.35">
      <c r="A360" t="s">
        <v>1018</v>
      </c>
      <c r="B360" t="s">
        <v>1019</v>
      </c>
      <c r="C360" t="s">
        <v>390</v>
      </c>
      <c r="D360" t="s">
        <v>318</v>
      </c>
      <c r="E360">
        <v>330</v>
      </c>
      <c r="F360" t="str">
        <f>HYPERLINK("https://www.google.com/maps/search/?api=1&amp;query=24.14302867,47.29647217", "View Map")</f>
        <v>View Map</v>
      </c>
    </row>
    <row r="361" spans="1:6" x14ac:dyDescent="0.35">
      <c r="A361" t="s">
        <v>412</v>
      </c>
      <c r="B361" t="s">
        <v>1020</v>
      </c>
      <c r="C361" t="s">
        <v>390</v>
      </c>
      <c r="D361" t="s">
        <v>318</v>
      </c>
      <c r="E361">
        <v>321</v>
      </c>
      <c r="F361" t="str">
        <f>HYPERLINK("https://www.google.com/maps/search/?api=1&amp;query=24.13352099,47.28804134", "View Map")</f>
        <v>View Map</v>
      </c>
    </row>
    <row r="362" spans="1:6" x14ac:dyDescent="0.35">
      <c r="A362" t="s">
        <v>1021</v>
      </c>
      <c r="B362" t="s">
        <v>1022</v>
      </c>
      <c r="C362" t="s">
        <v>390</v>
      </c>
      <c r="D362" t="s">
        <v>318</v>
      </c>
      <c r="E362">
        <v>316</v>
      </c>
      <c r="F362" t="str">
        <f>HYPERLINK("https://www.google.com/maps/search/?api=1&amp;query=24.1477051,47.29705276", "View Map")</f>
        <v>View Map</v>
      </c>
    </row>
    <row r="363" spans="1:6" x14ac:dyDescent="0.35">
      <c r="A363" t="s">
        <v>1023</v>
      </c>
      <c r="B363" t="s">
        <v>1024</v>
      </c>
      <c r="C363" t="s">
        <v>395</v>
      </c>
      <c r="D363" t="s">
        <v>318</v>
      </c>
      <c r="E363">
        <v>314</v>
      </c>
      <c r="F363" t="str">
        <f>HYPERLINK("https://www.google.com/maps/search/?api=1&amp;query=20.41335222,45.23082134", "View Map")</f>
        <v>View Map</v>
      </c>
    </row>
    <row r="364" spans="1:6" x14ac:dyDescent="0.35">
      <c r="A364" t="s">
        <v>391</v>
      </c>
      <c r="B364" t="s">
        <v>1025</v>
      </c>
      <c r="C364" t="s">
        <v>390</v>
      </c>
      <c r="D364" t="s">
        <v>318</v>
      </c>
      <c r="E364">
        <v>313</v>
      </c>
      <c r="F364" t="str">
        <f>HYPERLINK("https://www.google.com/maps/search/?api=1&amp;query=24.0945035,47.27503035", "View Map")</f>
        <v>View Map</v>
      </c>
    </row>
    <row r="365" spans="1:6" x14ac:dyDescent="0.35">
      <c r="A365" t="s">
        <v>655</v>
      </c>
      <c r="B365" t="s">
        <v>1026</v>
      </c>
      <c r="C365" t="s">
        <v>390</v>
      </c>
      <c r="D365" t="s">
        <v>318</v>
      </c>
      <c r="E365">
        <v>311</v>
      </c>
      <c r="F365" t="str">
        <f>HYPERLINK("https://www.google.com/maps/search/?api=1&amp;query=24.12023,47.29528", "View Map")</f>
        <v>View Map</v>
      </c>
    </row>
    <row r="366" spans="1:6" x14ac:dyDescent="0.35">
      <c r="A366" t="s">
        <v>1027</v>
      </c>
      <c r="B366" t="s">
        <v>1028</v>
      </c>
      <c r="C366" t="s">
        <v>390</v>
      </c>
      <c r="D366" t="s">
        <v>318</v>
      </c>
      <c r="E366">
        <v>309</v>
      </c>
      <c r="F366" t="str">
        <f>HYPERLINK("https://www.google.com/maps/search/?api=1&amp;query=24.21638332,47.32697028", "View Map")</f>
        <v>View Map</v>
      </c>
    </row>
    <row r="367" spans="1:6" x14ac:dyDescent="0.35">
      <c r="A367" t="s">
        <v>1029</v>
      </c>
      <c r="B367" t="s">
        <v>1030</v>
      </c>
      <c r="C367" t="s">
        <v>404</v>
      </c>
      <c r="D367" t="s">
        <v>318</v>
      </c>
      <c r="E367">
        <v>307</v>
      </c>
      <c r="F367" t="str">
        <f>HYPERLINK("https://www.google.com/maps/search/?api=1&amp;query=22.04203677,46.5873403", "View Map")</f>
        <v>View Map</v>
      </c>
    </row>
    <row r="368" spans="1:6" x14ac:dyDescent="0.35">
      <c r="A368" t="s">
        <v>1031</v>
      </c>
      <c r="B368" t="s">
        <v>1032</v>
      </c>
      <c r="C368" t="s">
        <v>390</v>
      </c>
      <c r="D368" t="s">
        <v>318</v>
      </c>
      <c r="E368">
        <v>306</v>
      </c>
      <c r="F368" t="str">
        <f>HYPERLINK("https://www.google.com/maps/search/?api=1&amp;query=24.14423241,47.36692128", "View Map")</f>
        <v>View Map</v>
      </c>
    </row>
    <row r="369" spans="1:6" x14ac:dyDescent="0.35">
      <c r="A369" t="s">
        <v>438</v>
      </c>
      <c r="B369" t="s">
        <v>1033</v>
      </c>
      <c r="C369" t="s">
        <v>399</v>
      </c>
      <c r="D369" t="s">
        <v>318</v>
      </c>
      <c r="E369">
        <v>304</v>
      </c>
      <c r="F369" t="str">
        <f>HYPERLINK("https://www.google.com/maps/search/?api=1&amp;query=20.45801339,44.86060672", "View Map")</f>
        <v>View Map</v>
      </c>
    </row>
    <row r="370" spans="1:6" x14ac:dyDescent="0.35">
      <c r="A370" t="s">
        <v>1034</v>
      </c>
      <c r="B370" t="s">
        <v>1035</v>
      </c>
      <c r="C370" t="s">
        <v>399</v>
      </c>
      <c r="D370" t="s">
        <v>318</v>
      </c>
      <c r="E370">
        <v>302</v>
      </c>
      <c r="F370" t="str">
        <f>HYPERLINK("https://www.google.com/maps/search/?api=1&amp;query=20.45112597,44.76774079", "View Map")</f>
        <v>View Map</v>
      </c>
    </row>
    <row r="371" spans="1:6" x14ac:dyDescent="0.35">
      <c r="A371" t="s">
        <v>1036</v>
      </c>
      <c r="B371" t="s">
        <v>1037</v>
      </c>
      <c r="C371" t="s">
        <v>390</v>
      </c>
      <c r="D371" t="s">
        <v>318</v>
      </c>
      <c r="E371">
        <v>298</v>
      </c>
      <c r="F371" t="str">
        <f>HYPERLINK("https://www.google.com/maps/search/?api=1&amp;query=24.12783355,47.2716166", "View Map")</f>
        <v>View Map</v>
      </c>
    </row>
    <row r="372" spans="1:6" x14ac:dyDescent="0.35">
      <c r="A372" t="s">
        <v>1038</v>
      </c>
      <c r="B372" t="s">
        <v>1039</v>
      </c>
      <c r="C372" t="s">
        <v>411</v>
      </c>
      <c r="D372" t="s">
        <v>318</v>
      </c>
      <c r="E372">
        <v>293</v>
      </c>
      <c r="F372" t="str">
        <f>HYPERLINK("https://www.google.com/maps/search/?api=1&amp;query=23.49321066,46.85493617", "View Map")</f>
        <v>View Map</v>
      </c>
    </row>
    <row r="373" spans="1:6" x14ac:dyDescent="0.35">
      <c r="A373" t="s">
        <v>1040</v>
      </c>
      <c r="B373" t="s">
        <v>1041</v>
      </c>
      <c r="C373" t="s">
        <v>421</v>
      </c>
      <c r="D373" t="s">
        <v>318</v>
      </c>
      <c r="E373">
        <v>288</v>
      </c>
      <c r="F373" t="str">
        <f>HYPERLINK("https://www.google.com/maps/search/?api=1&amp;query=24.00328167,47.11321407", "View Map")</f>
        <v>View Map</v>
      </c>
    </row>
    <row r="374" spans="1:6" x14ac:dyDescent="0.35">
      <c r="A374" t="s">
        <v>1042</v>
      </c>
      <c r="B374" t="s">
        <v>1043</v>
      </c>
      <c r="C374" t="s">
        <v>390</v>
      </c>
      <c r="D374" t="s">
        <v>318</v>
      </c>
      <c r="E374">
        <v>283</v>
      </c>
      <c r="F374" t="str">
        <f>HYPERLINK("https://www.google.com/maps/search/?api=1&amp;query=24.04238747,47.34421608", "View Map")</f>
        <v>View Map</v>
      </c>
    </row>
    <row r="375" spans="1:6" x14ac:dyDescent="0.35">
      <c r="A375" t="s">
        <v>1044</v>
      </c>
      <c r="B375" t="s">
        <v>1045</v>
      </c>
      <c r="C375" t="s">
        <v>404</v>
      </c>
      <c r="D375" t="s">
        <v>318</v>
      </c>
      <c r="E375">
        <v>244</v>
      </c>
      <c r="F375" t="str">
        <f>HYPERLINK("https://www.google.com/maps/search/?api=1&amp;query=21.97356996,45.94796866", "View Map")</f>
        <v>View Map</v>
      </c>
    </row>
  </sheetData>
  <pageMargins left="0.75" right="0.75" top="1" bottom="1" header="0.5" footer="0.5"/>
  <headerFooter>
    <oddFooter>&amp;C_x000D_&amp;1#&amp;"Calibri"&amp;10&amp;K0000FF Restricted - مقيد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96"/>
  <sheetViews>
    <sheetView workbookViewId="0">
      <selection activeCell="D12" sqref="D12"/>
    </sheetView>
  </sheetViews>
  <sheetFormatPr defaultRowHeight="14.5" x14ac:dyDescent="0.35"/>
  <cols>
    <col min="1" max="1" width="40" customWidth="1"/>
    <col min="2" max="2" width="18" customWidth="1"/>
    <col min="3" max="3" width="11" customWidth="1"/>
    <col min="4" max="4" width="20" customWidth="1"/>
    <col min="5" max="5" width="24" customWidth="1"/>
    <col min="6" max="6" width="9.8164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1046</v>
      </c>
      <c r="B2" t="s">
        <v>1047</v>
      </c>
      <c r="C2" t="s">
        <v>1048</v>
      </c>
      <c r="D2" t="s">
        <v>318</v>
      </c>
      <c r="E2">
        <v>27757</v>
      </c>
      <c r="F2" t="str">
        <f>HYPERLINK("https://www.google.com/maps/search/?api=1&amp;query=23.5482424,45.47887658", "View Map")</f>
        <v>View Map</v>
      </c>
    </row>
    <row r="3" spans="1:6" x14ac:dyDescent="0.35">
      <c r="A3" t="s">
        <v>1049</v>
      </c>
      <c r="B3" t="s">
        <v>1050</v>
      </c>
      <c r="C3" t="s">
        <v>1051</v>
      </c>
      <c r="D3" t="s">
        <v>9</v>
      </c>
      <c r="E3">
        <v>27734</v>
      </c>
      <c r="F3" t="str">
        <f>HYPERLINK("https://www.google.com/maps/search/?api=1&amp;query=24.10567892,45.3408084", "View Map")</f>
        <v>View Map</v>
      </c>
    </row>
    <row r="4" spans="1:6" x14ac:dyDescent="0.35">
      <c r="A4" t="s">
        <v>1052</v>
      </c>
      <c r="B4" t="s">
        <v>1053</v>
      </c>
      <c r="C4" t="s">
        <v>1051</v>
      </c>
      <c r="D4" t="s">
        <v>9</v>
      </c>
      <c r="E4">
        <v>16507</v>
      </c>
      <c r="F4" t="str">
        <f>HYPERLINK("https://www.google.com/maps/search/?api=1&amp;query=24.36815499,45.86650517", "View Map")</f>
        <v>View Map</v>
      </c>
    </row>
    <row r="5" spans="1:6" x14ac:dyDescent="0.35">
      <c r="A5" t="s">
        <v>1054</v>
      </c>
      <c r="B5" t="s">
        <v>1055</v>
      </c>
      <c r="C5" t="s">
        <v>1056</v>
      </c>
      <c r="D5" t="s">
        <v>9</v>
      </c>
      <c r="E5">
        <v>15592</v>
      </c>
      <c r="F5" t="str">
        <f>HYPERLINK("https://www.google.com/maps/search/?api=1&amp;query=25.19570136,43.41550667", "View Map")</f>
        <v>View Map</v>
      </c>
    </row>
    <row r="6" spans="1:6" x14ac:dyDescent="0.35">
      <c r="A6" t="s">
        <v>1057</v>
      </c>
      <c r="B6" t="s">
        <v>1058</v>
      </c>
      <c r="C6" t="s">
        <v>1056</v>
      </c>
      <c r="D6" t="s">
        <v>318</v>
      </c>
      <c r="E6">
        <v>13368</v>
      </c>
      <c r="F6" t="str">
        <f>HYPERLINK("https://www.google.com/maps/search/?api=1&amp;query=24.67755056,43.55485912", "View Map")</f>
        <v>View Map</v>
      </c>
    </row>
    <row r="7" spans="1:6" x14ac:dyDescent="0.35">
      <c r="A7" t="s">
        <v>1059</v>
      </c>
      <c r="B7" t="s">
        <v>1060</v>
      </c>
      <c r="C7" t="s">
        <v>1048</v>
      </c>
      <c r="D7" t="s">
        <v>9</v>
      </c>
      <c r="E7">
        <v>12225</v>
      </c>
      <c r="F7" t="str">
        <f>HYPERLINK("https://www.google.com/maps/search/?api=1&amp;query=22.48780746,44.5087281", "View Map")</f>
        <v>View Map</v>
      </c>
    </row>
    <row r="8" spans="1:6" x14ac:dyDescent="0.35">
      <c r="A8" t="s">
        <v>1061</v>
      </c>
      <c r="B8" t="s">
        <v>1062</v>
      </c>
      <c r="C8" t="s">
        <v>1063</v>
      </c>
      <c r="D8" t="s">
        <v>318</v>
      </c>
      <c r="E8">
        <v>10082</v>
      </c>
      <c r="F8" t="str">
        <f>HYPERLINK("https://www.google.com/maps/search/?api=1&amp;query=23.9063117,42.92165673", "View Map")</f>
        <v>View Map</v>
      </c>
    </row>
    <row r="9" spans="1:6" x14ac:dyDescent="0.35">
      <c r="A9" t="s">
        <v>611</v>
      </c>
      <c r="B9" t="s">
        <v>1064</v>
      </c>
      <c r="C9" t="s">
        <v>1051</v>
      </c>
      <c r="D9" t="s">
        <v>13</v>
      </c>
      <c r="E9">
        <v>7682</v>
      </c>
      <c r="F9" t="str">
        <f>HYPERLINK("https://www.google.com/maps/search/?api=1&amp;query=24.07626638,45.30074534", "View Map")</f>
        <v>View Map</v>
      </c>
    </row>
    <row r="10" spans="1:6" x14ac:dyDescent="0.35">
      <c r="A10" t="s">
        <v>1065</v>
      </c>
      <c r="B10" t="s">
        <v>1066</v>
      </c>
      <c r="C10" t="s">
        <v>1056</v>
      </c>
      <c r="D10" t="s">
        <v>13</v>
      </c>
      <c r="E10">
        <v>6251</v>
      </c>
      <c r="F10" t="str">
        <f>HYPERLINK("https://www.google.com/maps/search/?api=1&amp;query=24.49120647,44.36657021", "View Map")</f>
        <v>View Map</v>
      </c>
    </row>
    <row r="11" spans="1:6" x14ac:dyDescent="0.35">
      <c r="A11" t="s">
        <v>1067</v>
      </c>
      <c r="B11" t="s">
        <v>1068</v>
      </c>
      <c r="C11" t="s">
        <v>1048</v>
      </c>
      <c r="D11" t="s">
        <v>13</v>
      </c>
      <c r="E11">
        <v>5805</v>
      </c>
      <c r="F11" t="str">
        <f>HYPERLINK("https://www.google.com/maps/search/?api=1&amp;query=22.53108548,45.07763164", "View Map")</f>
        <v>View Map</v>
      </c>
    </row>
    <row r="12" spans="1:6" x14ac:dyDescent="0.35">
      <c r="A12" t="s">
        <v>1069</v>
      </c>
      <c r="B12" t="s">
        <v>1070</v>
      </c>
      <c r="C12" t="s">
        <v>1051</v>
      </c>
      <c r="D12" t="s">
        <v>13</v>
      </c>
      <c r="E12">
        <v>5711</v>
      </c>
      <c r="F12" t="str">
        <f>HYPERLINK("https://www.google.com/maps/search/?api=1&amp;query=23.72264249,44.65141602", "View Map")</f>
        <v>View Map</v>
      </c>
    </row>
    <row r="13" spans="1:6" x14ac:dyDescent="0.35">
      <c r="A13" t="s">
        <v>1071</v>
      </c>
      <c r="B13" t="s">
        <v>1072</v>
      </c>
      <c r="C13" t="s">
        <v>1051</v>
      </c>
      <c r="D13" t="s">
        <v>318</v>
      </c>
      <c r="E13">
        <v>4904</v>
      </c>
      <c r="F13" t="str">
        <f>HYPERLINK("https://www.google.com/maps/search/?api=1&amp;query=23.99255681,44.94825483", "View Map")</f>
        <v>View Map</v>
      </c>
    </row>
    <row r="14" spans="1:6" x14ac:dyDescent="0.35">
      <c r="A14" t="s">
        <v>1073</v>
      </c>
      <c r="B14" t="s">
        <v>1074</v>
      </c>
      <c r="C14" t="s">
        <v>1051</v>
      </c>
      <c r="D14" t="s">
        <v>13</v>
      </c>
      <c r="E14">
        <v>4663</v>
      </c>
      <c r="F14" t="str">
        <f>HYPERLINK("https://www.google.com/maps/search/?api=1&amp;query=24.08460266,45.32580326", "View Map")</f>
        <v>View Map</v>
      </c>
    </row>
    <row r="15" spans="1:6" x14ac:dyDescent="0.35">
      <c r="A15" t="s">
        <v>1075</v>
      </c>
      <c r="B15" t="s">
        <v>1076</v>
      </c>
      <c r="C15" t="s">
        <v>1056</v>
      </c>
      <c r="D15" t="s">
        <v>318</v>
      </c>
      <c r="E15">
        <v>3862</v>
      </c>
      <c r="F15" t="str">
        <f>HYPERLINK("https://www.google.com/maps/search/?api=1&amp;query=24.57530071,43.56942226", "View Map")</f>
        <v>View Map</v>
      </c>
    </row>
    <row r="16" spans="1:6" x14ac:dyDescent="0.35">
      <c r="A16" t="s">
        <v>1077</v>
      </c>
      <c r="B16" t="s">
        <v>1078</v>
      </c>
      <c r="C16" t="s">
        <v>1051</v>
      </c>
      <c r="D16" t="s">
        <v>13</v>
      </c>
      <c r="E16">
        <v>3759</v>
      </c>
      <c r="F16" t="str">
        <f>HYPERLINK("https://www.google.com/maps/search/?api=1&amp;query=23.52366,44.43464333", "View Map")</f>
        <v>View Map</v>
      </c>
    </row>
    <row r="17" spans="1:6" x14ac:dyDescent="0.35">
      <c r="A17" t="s">
        <v>1079</v>
      </c>
      <c r="B17" t="s">
        <v>1080</v>
      </c>
      <c r="C17" t="s">
        <v>1051</v>
      </c>
      <c r="D17" t="s">
        <v>13</v>
      </c>
      <c r="E17">
        <v>3494</v>
      </c>
      <c r="F17" t="str">
        <f>HYPERLINK("https://www.google.com/maps/search/?api=1&amp;query=24.06148414,45.27587126", "View Map")</f>
        <v>View Map</v>
      </c>
    </row>
    <row r="18" spans="1:6" x14ac:dyDescent="0.35">
      <c r="A18" t="s">
        <v>1081</v>
      </c>
      <c r="B18" t="s">
        <v>1082</v>
      </c>
      <c r="C18" t="s">
        <v>1048</v>
      </c>
      <c r="D18" t="s">
        <v>13</v>
      </c>
      <c r="E18">
        <v>3254</v>
      </c>
      <c r="F18" t="str">
        <f>HYPERLINK("https://www.google.com/maps/search/?api=1&amp;query=23.54262176,45.5144862", "View Map")</f>
        <v>View Map</v>
      </c>
    </row>
    <row r="19" spans="1:6" x14ac:dyDescent="0.35">
      <c r="A19" t="s">
        <v>611</v>
      </c>
      <c r="B19" t="s">
        <v>1083</v>
      </c>
      <c r="C19" t="s">
        <v>1051</v>
      </c>
      <c r="D19" t="s">
        <v>13</v>
      </c>
      <c r="E19">
        <v>3149</v>
      </c>
      <c r="F19" t="str">
        <f>HYPERLINK("https://www.google.com/maps/search/?api=1&amp;query=24.08792028,45.30057911", "View Map")</f>
        <v>View Map</v>
      </c>
    </row>
    <row r="20" spans="1:6" x14ac:dyDescent="0.35">
      <c r="A20" t="s">
        <v>611</v>
      </c>
      <c r="B20" t="s">
        <v>1084</v>
      </c>
      <c r="C20" t="s">
        <v>1051</v>
      </c>
      <c r="D20" t="s">
        <v>13</v>
      </c>
      <c r="E20">
        <v>3119</v>
      </c>
      <c r="F20" t="str">
        <f>HYPERLINK("https://www.google.com/maps/search/?api=1&amp;query=24.08731961,45.30712424", "View Map")</f>
        <v>View Map</v>
      </c>
    </row>
    <row r="21" spans="1:6" x14ac:dyDescent="0.35">
      <c r="A21" t="s">
        <v>1085</v>
      </c>
      <c r="B21" t="s">
        <v>1086</v>
      </c>
      <c r="C21" t="s">
        <v>1056</v>
      </c>
      <c r="D21" t="s">
        <v>13</v>
      </c>
      <c r="E21">
        <v>3113</v>
      </c>
      <c r="F21" t="str">
        <f>HYPERLINK("https://www.google.com/maps/search/?api=1&amp;query=25.46021294,44.37604903", "View Map")</f>
        <v>View Map</v>
      </c>
    </row>
    <row r="22" spans="1:6" x14ac:dyDescent="0.35">
      <c r="A22" t="s">
        <v>1087</v>
      </c>
      <c r="B22" t="s">
        <v>1088</v>
      </c>
      <c r="C22" t="s">
        <v>1056</v>
      </c>
      <c r="D22" t="s">
        <v>13</v>
      </c>
      <c r="E22">
        <v>2991</v>
      </c>
      <c r="F22" t="str">
        <f>HYPERLINK("https://www.google.com/maps/search/?api=1&amp;query=25.18033673,44.59412089", "View Map")</f>
        <v>View Map</v>
      </c>
    </row>
    <row r="23" spans="1:6" x14ac:dyDescent="0.35">
      <c r="A23" t="s">
        <v>1089</v>
      </c>
      <c r="B23" t="s">
        <v>1090</v>
      </c>
      <c r="C23" t="s">
        <v>1056</v>
      </c>
      <c r="D23" t="s">
        <v>13</v>
      </c>
      <c r="E23">
        <v>2850</v>
      </c>
      <c r="F23" t="str">
        <f>HYPERLINK("https://www.google.com/maps/search/?api=1&amp;query=25.17930951,44.60393932", "View Map")</f>
        <v>View Map</v>
      </c>
    </row>
    <row r="24" spans="1:6" x14ac:dyDescent="0.35">
      <c r="A24" t="s">
        <v>1091</v>
      </c>
      <c r="B24" t="s">
        <v>1092</v>
      </c>
      <c r="C24" t="s">
        <v>1051</v>
      </c>
      <c r="D24" t="s">
        <v>13</v>
      </c>
      <c r="E24">
        <v>2751</v>
      </c>
      <c r="F24" t="str">
        <f>HYPERLINK("https://www.google.com/maps/search/?api=1&amp;query=24.34412284,45.81146383", "View Map")</f>
        <v>View Map</v>
      </c>
    </row>
    <row r="25" spans="1:6" x14ac:dyDescent="0.35">
      <c r="A25" t="s">
        <v>1093</v>
      </c>
      <c r="B25" t="s">
        <v>1094</v>
      </c>
      <c r="C25" t="s">
        <v>1095</v>
      </c>
      <c r="D25" t="s">
        <v>13</v>
      </c>
      <c r="E25">
        <v>2750</v>
      </c>
      <c r="F25" t="str">
        <f>HYPERLINK("https://www.google.com/maps/search/?api=1&amp;query=24.5908024,46.13035834", "View Map")</f>
        <v>View Map</v>
      </c>
    </row>
    <row r="26" spans="1:6" x14ac:dyDescent="0.35">
      <c r="A26" t="s">
        <v>1096</v>
      </c>
      <c r="B26" t="s">
        <v>1097</v>
      </c>
      <c r="C26" t="s">
        <v>1056</v>
      </c>
      <c r="D26" t="s">
        <v>13</v>
      </c>
      <c r="E26">
        <v>2694</v>
      </c>
      <c r="F26" t="str">
        <f>HYPERLINK("https://www.google.com/maps/search/?api=1&amp;query=25.20257864,44.59703068", "View Map")</f>
        <v>View Map</v>
      </c>
    </row>
    <row r="27" spans="1:6" x14ac:dyDescent="0.35">
      <c r="A27" t="s">
        <v>1098</v>
      </c>
      <c r="B27" t="s">
        <v>1099</v>
      </c>
      <c r="C27" t="s">
        <v>1056</v>
      </c>
      <c r="D27" t="s">
        <v>13</v>
      </c>
      <c r="E27">
        <v>2666</v>
      </c>
      <c r="F27" t="str">
        <f>HYPERLINK("https://www.google.com/maps/search/?api=1&amp;query=24.49979615,44.38185918", "View Map")</f>
        <v>View Map</v>
      </c>
    </row>
    <row r="28" spans="1:6" x14ac:dyDescent="0.35">
      <c r="A28" t="s">
        <v>1100</v>
      </c>
      <c r="B28" t="s">
        <v>1101</v>
      </c>
      <c r="C28" t="s">
        <v>1056</v>
      </c>
      <c r="D28" t="s">
        <v>13</v>
      </c>
      <c r="E28">
        <v>2649</v>
      </c>
      <c r="F28" t="str">
        <f>HYPERLINK("https://www.google.com/maps/search/?api=1&amp;query=25.20253973,44.59991507", "View Map")</f>
        <v>View Map</v>
      </c>
    </row>
    <row r="29" spans="1:6" x14ac:dyDescent="0.35">
      <c r="A29" t="s">
        <v>1102</v>
      </c>
      <c r="B29" t="s">
        <v>1103</v>
      </c>
      <c r="C29" t="s">
        <v>1063</v>
      </c>
      <c r="D29" t="s">
        <v>13</v>
      </c>
      <c r="E29">
        <v>2593</v>
      </c>
      <c r="F29" t="str">
        <f>HYPERLINK("https://www.google.com/maps/search/?api=1&amp;query=23.87864433,42.89488242", "View Map")</f>
        <v>View Map</v>
      </c>
    </row>
    <row r="30" spans="1:6" x14ac:dyDescent="0.35">
      <c r="A30" t="s">
        <v>1104</v>
      </c>
      <c r="B30" t="s">
        <v>1105</v>
      </c>
      <c r="C30" t="s">
        <v>1051</v>
      </c>
      <c r="D30" t="s">
        <v>13</v>
      </c>
      <c r="E30">
        <v>2560</v>
      </c>
      <c r="F30" t="str">
        <f>HYPERLINK("https://www.google.com/maps/search/?api=1&amp;query=24.388429,45.69130806", "View Map")</f>
        <v>View Map</v>
      </c>
    </row>
    <row r="31" spans="1:6" x14ac:dyDescent="0.35">
      <c r="A31" t="s">
        <v>1106</v>
      </c>
      <c r="B31" t="s">
        <v>1107</v>
      </c>
      <c r="C31" t="s">
        <v>1056</v>
      </c>
      <c r="D31" t="s">
        <v>13</v>
      </c>
      <c r="E31">
        <v>2548</v>
      </c>
      <c r="F31" t="str">
        <f>HYPERLINK("https://www.google.com/maps/search/?api=1&amp;query=24.73457848,43.7884768", "View Map")</f>
        <v>View Map</v>
      </c>
    </row>
    <row r="32" spans="1:6" x14ac:dyDescent="0.35">
      <c r="A32" t="s">
        <v>1108</v>
      </c>
      <c r="B32" t="s">
        <v>1109</v>
      </c>
      <c r="C32" t="s">
        <v>1056</v>
      </c>
      <c r="D32" t="s">
        <v>13</v>
      </c>
      <c r="E32">
        <v>2503</v>
      </c>
      <c r="F32" t="str">
        <f>HYPERLINK("https://www.google.com/maps/search/?api=1&amp;query=24.92980305,44.713495", "View Map")</f>
        <v>View Map</v>
      </c>
    </row>
    <row r="33" spans="1:6" x14ac:dyDescent="0.35">
      <c r="A33" t="s">
        <v>1110</v>
      </c>
      <c r="B33" t="s">
        <v>1111</v>
      </c>
      <c r="C33" t="s">
        <v>1048</v>
      </c>
      <c r="D33" t="s">
        <v>13</v>
      </c>
      <c r="E33">
        <v>2453</v>
      </c>
      <c r="F33" t="str">
        <f>HYPERLINK("https://www.google.com/maps/search/?api=1&amp;query=23.54735269,45.48600393", "View Map")</f>
        <v>View Map</v>
      </c>
    </row>
    <row r="34" spans="1:6" x14ac:dyDescent="0.35">
      <c r="A34" t="s">
        <v>1112</v>
      </c>
      <c r="B34" t="s">
        <v>1113</v>
      </c>
      <c r="C34" t="s">
        <v>1056</v>
      </c>
      <c r="D34" t="s">
        <v>13</v>
      </c>
      <c r="E34">
        <v>2387</v>
      </c>
      <c r="F34" t="str">
        <f>HYPERLINK("https://www.google.com/maps/search/?api=1&amp;query=24.58888554,43.68600837", "View Map")</f>
        <v>View Map</v>
      </c>
    </row>
    <row r="35" spans="1:6" x14ac:dyDescent="0.35">
      <c r="A35" t="s">
        <v>1114</v>
      </c>
      <c r="B35" t="s">
        <v>1115</v>
      </c>
      <c r="C35" t="s">
        <v>1116</v>
      </c>
      <c r="D35" t="s">
        <v>13</v>
      </c>
      <c r="E35">
        <v>2377</v>
      </c>
      <c r="F35" t="str">
        <f>HYPERLINK("https://www.google.com/maps/search/?api=1&amp;query=24.4605639,46.29787354", "View Map")</f>
        <v>View Map</v>
      </c>
    </row>
    <row r="36" spans="1:6" x14ac:dyDescent="0.35">
      <c r="A36" t="s">
        <v>1117</v>
      </c>
      <c r="B36" t="s">
        <v>1118</v>
      </c>
      <c r="C36" t="s">
        <v>1116</v>
      </c>
      <c r="D36" t="s">
        <v>13</v>
      </c>
      <c r="E36">
        <v>2354</v>
      </c>
      <c r="F36" t="str">
        <f>HYPERLINK("https://www.google.com/maps/search/?api=1&amp;query=24.45073409,46.30022976", "View Map")</f>
        <v>View Map</v>
      </c>
    </row>
    <row r="37" spans="1:6" x14ac:dyDescent="0.35">
      <c r="A37" t="s">
        <v>1119</v>
      </c>
      <c r="B37" t="s">
        <v>1120</v>
      </c>
      <c r="C37" t="s">
        <v>1095</v>
      </c>
      <c r="D37" t="s">
        <v>13</v>
      </c>
      <c r="E37">
        <v>2330</v>
      </c>
      <c r="F37" t="str">
        <f>HYPERLINK("https://www.google.com/maps/search/?api=1&amp;query=24.49004984,46.17018803", "View Map")</f>
        <v>View Map</v>
      </c>
    </row>
    <row r="38" spans="1:6" x14ac:dyDescent="0.35">
      <c r="A38" t="s">
        <v>1121</v>
      </c>
      <c r="B38" t="s">
        <v>1122</v>
      </c>
      <c r="C38" t="s">
        <v>1056</v>
      </c>
      <c r="D38" t="s">
        <v>13</v>
      </c>
      <c r="E38">
        <v>2328</v>
      </c>
      <c r="F38" t="str">
        <f>HYPERLINK("https://www.google.com/maps/search/?api=1&amp;query=25.11077649,44.67668749", "View Map")</f>
        <v>View Map</v>
      </c>
    </row>
    <row r="39" spans="1:6" x14ac:dyDescent="0.35">
      <c r="A39" t="s">
        <v>1123</v>
      </c>
      <c r="B39" t="s">
        <v>1124</v>
      </c>
      <c r="C39" t="s">
        <v>1056</v>
      </c>
      <c r="D39" t="s">
        <v>13</v>
      </c>
      <c r="E39">
        <v>2294</v>
      </c>
      <c r="F39" t="str">
        <f>HYPERLINK("https://www.google.com/maps/search/?api=1&amp;query=24.54456886,44.43271592", "View Map")</f>
        <v>View Map</v>
      </c>
    </row>
    <row r="40" spans="1:6" x14ac:dyDescent="0.35">
      <c r="A40" t="s">
        <v>1125</v>
      </c>
      <c r="B40" t="s">
        <v>1126</v>
      </c>
      <c r="C40" t="s">
        <v>1048</v>
      </c>
      <c r="D40" t="s">
        <v>13</v>
      </c>
      <c r="E40">
        <v>2263</v>
      </c>
      <c r="F40" t="str">
        <f>HYPERLINK("https://www.google.com/maps/search/?api=1&amp;query=23.54925652,45.90932258", "View Map")</f>
        <v>View Map</v>
      </c>
    </row>
    <row r="41" spans="1:6" x14ac:dyDescent="0.35">
      <c r="A41" t="s">
        <v>1127</v>
      </c>
      <c r="B41" t="s">
        <v>1128</v>
      </c>
      <c r="C41" t="s">
        <v>1051</v>
      </c>
      <c r="D41" t="s">
        <v>13</v>
      </c>
      <c r="E41">
        <v>2239</v>
      </c>
      <c r="F41" t="str">
        <f>HYPERLINK("https://www.google.com/maps/search/?api=1&amp;query=23.77546139,44.7838122", "View Map")</f>
        <v>View Map</v>
      </c>
    </row>
    <row r="42" spans="1:6" x14ac:dyDescent="0.35">
      <c r="A42" t="s">
        <v>1129</v>
      </c>
      <c r="B42" t="s">
        <v>1130</v>
      </c>
      <c r="C42" t="s">
        <v>1056</v>
      </c>
      <c r="D42" t="s">
        <v>13</v>
      </c>
      <c r="E42">
        <v>2212</v>
      </c>
      <c r="F42" t="str">
        <f>HYPERLINK("https://www.google.com/maps/search/?api=1&amp;query=24.68233726,44.95639094", "View Map")</f>
        <v>View Map</v>
      </c>
    </row>
    <row r="43" spans="1:6" x14ac:dyDescent="0.35">
      <c r="A43" t="s">
        <v>1131</v>
      </c>
      <c r="B43" t="s">
        <v>1132</v>
      </c>
      <c r="C43" t="s">
        <v>1051</v>
      </c>
      <c r="D43" t="s">
        <v>13</v>
      </c>
      <c r="E43">
        <v>2212</v>
      </c>
      <c r="F43" t="str">
        <f>HYPERLINK("https://www.google.com/maps/search/?api=1&amp;query=24.47537055,45.67232534", "View Map")</f>
        <v>View Map</v>
      </c>
    </row>
    <row r="44" spans="1:6" x14ac:dyDescent="0.35">
      <c r="A44" t="s">
        <v>1133</v>
      </c>
      <c r="B44" t="s">
        <v>1134</v>
      </c>
      <c r="C44" t="s">
        <v>1051</v>
      </c>
      <c r="D44" t="s">
        <v>13</v>
      </c>
      <c r="E44">
        <v>2183</v>
      </c>
      <c r="F44" t="str">
        <f>HYPERLINK("https://www.google.com/maps/search/?api=1&amp;query=23.76431816,44.76264936", "View Map")</f>
        <v>View Map</v>
      </c>
    </row>
    <row r="45" spans="1:6" x14ac:dyDescent="0.35">
      <c r="A45" t="s">
        <v>1135</v>
      </c>
      <c r="B45" t="s">
        <v>1136</v>
      </c>
      <c r="C45" t="s">
        <v>1056</v>
      </c>
      <c r="D45" t="s">
        <v>13</v>
      </c>
      <c r="E45">
        <v>2158</v>
      </c>
      <c r="F45" t="str">
        <f>HYPERLINK("https://www.google.com/maps/search/?api=1&amp;query=25.14664767,44.64067248", "View Map")</f>
        <v>View Map</v>
      </c>
    </row>
    <row r="46" spans="1:6" x14ac:dyDescent="0.35">
      <c r="A46" t="s">
        <v>1137</v>
      </c>
      <c r="B46" t="s">
        <v>1138</v>
      </c>
      <c r="C46" t="s">
        <v>1051</v>
      </c>
      <c r="D46" t="s">
        <v>13</v>
      </c>
      <c r="E46">
        <v>2092</v>
      </c>
      <c r="F46" t="str">
        <f>HYPERLINK("https://www.google.com/maps/search/?api=1&amp;query=24.07327461,45.27787432", "View Map")</f>
        <v>View Map</v>
      </c>
    </row>
    <row r="47" spans="1:6" x14ac:dyDescent="0.35">
      <c r="A47" t="s">
        <v>1139</v>
      </c>
      <c r="B47" t="s">
        <v>1140</v>
      </c>
      <c r="C47" t="s">
        <v>1063</v>
      </c>
      <c r="D47" t="s">
        <v>13</v>
      </c>
      <c r="E47">
        <v>2066</v>
      </c>
      <c r="F47" t="str">
        <f>HYPERLINK("https://www.google.com/maps/search/?api=1&amp;query=23.89351698,42.90800342", "View Map")</f>
        <v>View Map</v>
      </c>
    </row>
    <row r="48" spans="1:6" x14ac:dyDescent="0.35">
      <c r="A48" t="s">
        <v>1141</v>
      </c>
      <c r="B48" t="s">
        <v>1142</v>
      </c>
      <c r="C48" t="s">
        <v>1051</v>
      </c>
      <c r="D48" t="s">
        <v>13</v>
      </c>
      <c r="E48">
        <v>2029</v>
      </c>
      <c r="F48" t="str">
        <f>HYPERLINK("https://www.google.com/maps/search/?api=1&amp;query=23.76516473,44.72807497", "View Map")</f>
        <v>View Map</v>
      </c>
    </row>
    <row r="49" spans="1:6" x14ac:dyDescent="0.35">
      <c r="A49" t="s">
        <v>1143</v>
      </c>
      <c r="B49" t="s">
        <v>1144</v>
      </c>
      <c r="C49" t="s">
        <v>1051</v>
      </c>
      <c r="D49" t="s">
        <v>13</v>
      </c>
      <c r="E49">
        <v>1994</v>
      </c>
      <c r="F49" t="str">
        <f>HYPERLINK("https://www.google.com/maps/search/?api=1&amp;query=24.04980918,45.26207937", "View Map")</f>
        <v>View Map</v>
      </c>
    </row>
    <row r="50" spans="1:6" x14ac:dyDescent="0.35">
      <c r="A50" t="s">
        <v>611</v>
      </c>
      <c r="B50" t="s">
        <v>1145</v>
      </c>
      <c r="C50" t="s">
        <v>1048</v>
      </c>
      <c r="D50" t="s">
        <v>13</v>
      </c>
      <c r="E50">
        <v>1933</v>
      </c>
      <c r="F50" t="str">
        <f>HYPERLINK("https://www.google.com/maps/search/?api=1&amp;query=22.74731716,44.8894739", "View Map")</f>
        <v>View Map</v>
      </c>
    </row>
    <row r="51" spans="1:6" x14ac:dyDescent="0.35">
      <c r="A51" t="s">
        <v>1146</v>
      </c>
      <c r="B51" t="s">
        <v>1147</v>
      </c>
      <c r="C51" t="s">
        <v>1056</v>
      </c>
      <c r="D51" t="s">
        <v>13</v>
      </c>
      <c r="E51">
        <v>1860</v>
      </c>
      <c r="F51" t="str">
        <f>HYPERLINK("https://www.google.com/maps/search/?api=1&amp;query=25.17998354,44.59820068", "View Map")</f>
        <v>View Map</v>
      </c>
    </row>
    <row r="52" spans="1:6" x14ac:dyDescent="0.35">
      <c r="A52" t="s">
        <v>1148</v>
      </c>
      <c r="B52" t="s">
        <v>1149</v>
      </c>
      <c r="C52" t="s">
        <v>1051</v>
      </c>
      <c r="D52" t="s">
        <v>13</v>
      </c>
      <c r="E52">
        <v>1853</v>
      </c>
      <c r="F52" t="str">
        <f>HYPERLINK("https://www.google.com/maps/search/?api=1&amp;query=23.66352275,44.72388227", "View Map")</f>
        <v>View Map</v>
      </c>
    </row>
    <row r="53" spans="1:6" x14ac:dyDescent="0.35">
      <c r="A53" t="s">
        <v>1150</v>
      </c>
      <c r="B53" t="s">
        <v>1151</v>
      </c>
      <c r="C53" t="s">
        <v>1116</v>
      </c>
      <c r="D53" t="s">
        <v>13</v>
      </c>
      <c r="E53">
        <v>1839</v>
      </c>
      <c r="F53" t="str">
        <f>HYPERLINK("https://www.google.com/maps/search/?api=1&amp;query=24.45073409,46.30022976", "View Map")</f>
        <v>View Map</v>
      </c>
    </row>
    <row r="54" spans="1:6" x14ac:dyDescent="0.35">
      <c r="A54" t="s">
        <v>1085</v>
      </c>
      <c r="B54" t="s">
        <v>1152</v>
      </c>
      <c r="C54" t="s">
        <v>1056</v>
      </c>
      <c r="D54" t="s">
        <v>13</v>
      </c>
      <c r="E54">
        <v>1832</v>
      </c>
      <c r="F54" t="str">
        <f>HYPERLINK("https://www.google.com/maps/search/?api=1&amp;query=24.54648276,44.43771395", "View Map")</f>
        <v>View Map</v>
      </c>
    </row>
    <row r="55" spans="1:6" x14ac:dyDescent="0.35">
      <c r="A55" t="s">
        <v>1153</v>
      </c>
      <c r="B55" t="s">
        <v>1154</v>
      </c>
      <c r="C55" t="s">
        <v>1051</v>
      </c>
      <c r="D55" t="s">
        <v>13</v>
      </c>
      <c r="E55">
        <v>1828</v>
      </c>
      <c r="F55" t="str">
        <f>HYPERLINK("https://www.google.com/maps/search/?api=1&amp;query=24.33484622,45.80896281", "View Map")</f>
        <v>View Map</v>
      </c>
    </row>
    <row r="56" spans="1:6" x14ac:dyDescent="0.35">
      <c r="A56" t="s">
        <v>1155</v>
      </c>
      <c r="B56" t="s">
        <v>1156</v>
      </c>
      <c r="C56" t="s">
        <v>1095</v>
      </c>
      <c r="D56" t="s">
        <v>13</v>
      </c>
      <c r="E56">
        <v>1809</v>
      </c>
      <c r="F56" t="str">
        <f>HYPERLINK("https://www.google.com/maps/search/?api=1&amp;query=24.59091676,46.13688909", "View Map")</f>
        <v>View Map</v>
      </c>
    </row>
    <row r="57" spans="1:6" x14ac:dyDescent="0.35">
      <c r="A57" t="s">
        <v>1157</v>
      </c>
      <c r="B57" t="s">
        <v>1158</v>
      </c>
      <c r="C57" t="s">
        <v>1116</v>
      </c>
      <c r="D57" t="s">
        <v>13</v>
      </c>
      <c r="E57">
        <v>1803</v>
      </c>
      <c r="F57" t="str">
        <f>HYPERLINK("https://www.google.com/maps/search/?api=1&amp;query=24.48258968,46.05494477", "View Map")</f>
        <v>View Map</v>
      </c>
    </row>
    <row r="58" spans="1:6" x14ac:dyDescent="0.35">
      <c r="A58" t="s">
        <v>1159</v>
      </c>
      <c r="B58" t="s">
        <v>1160</v>
      </c>
      <c r="C58" t="s">
        <v>1056</v>
      </c>
      <c r="D58" t="s">
        <v>13</v>
      </c>
      <c r="E58">
        <v>1802</v>
      </c>
      <c r="F58" t="str">
        <f>HYPERLINK("https://www.google.com/maps/search/?api=1&amp;query=24.55632729,44.42937247", "View Map")</f>
        <v>View Map</v>
      </c>
    </row>
    <row r="59" spans="1:6" x14ac:dyDescent="0.35">
      <c r="A59" t="s">
        <v>1161</v>
      </c>
      <c r="B59" t="s">
        <v>1162</v>
      </c>
      <c r="C59" t="s">
        <v>1116</v>
      </c>
      <c r="D59" t="s">
        <v>13</v>
      </c>
      <c r="E59">
        <v>1788</v>
      </c>
      <c r="F59" t="str">
        <f>HYPERLINK("https://www.google.com/maps/search/?api=1&amp;query=24.4598844,46.2605871", "View Map")</f>
        <v>View Map</v>
      </c>
    </row>
    <row r="60" spans="1:6" x14ac:dyDescent="0.35">
      <c r="A60" t="s">
        <v>1163</v>
      </c>
      <c r="B60" t="s">
        <v>1164</v>
      </c>
      <c r="C60" t="s">
        <v>1048</v>
      </c>
      <c r="D60" t="s">
        <v>13</v>
      </c>
      <c r="E60">
        <v>1784</v>
      </c>
      <c r="F60" t="str">
        <f>HYPERLINK("https://www.google.com/maps/search/?api=1&amp;query=22.52873728,45.0810632", "View Map")</f>
        <v>View Map</v>
      </c>
    </row>
    <row r="61" spans="1:6" x14ac:dyDescent="0.35">
      <c r="A61" t="s">
        <v>1165</v>
      </c>
      <c r="B61" t="s">
        <v>1166</v>
      </c>
      <c r="C61" t="s">
        <v>1116</v>
      </c>
      <c r="D61" t="s">
        <v>13</v>
      </c>
      <c r="E61">
        <v>1762</v>
      </c>
      <c r="F61" t="str">
        <f>HYPERLINK("https://www.google.com/maps/search/?api=1&amp;query=24.50711365,46.07075512", "View Map")</f>
        <v>View Map</v>
      </c>
    </row>
    <row r="62" spans="1:6" x14ac:dyDescent="0.35">
      <c r="A62" t="s">
        <v>1167</v>
      </c>
      <c r="B62" t="s">
        <v>1168</v>
      </c>
      <c r="C62" t="s">
        <v>1048</v>
      </c>
      <c r="D62" t="s">
        <v>13</v>
      </c>
      <c r="E62">
        <v>1759</v>
      </c>
      <c r="F62" t="str">
        <f>HYPERLINK("https://www.google.com/maps/search/?api=1&amp;query=23.79527298,45.28387584", "View Map")</f>
        <v>View Map</v>
      </c>
    </row>
    <row r="63" spans="1:6" x14ac:dyDescent="0.35">
      <c r="A63" t="s">
        <v>1169</v>
      </c>
      <c r="B63" t="s">
        <v>1170</v>
      </c>
      <c r="C63" t="s">
        <v>1171</v>
      </c>
      <c r="D63" t="s">
        <v>13</v>
      </c>
      <c r="E63">
        <v>1758</v>
      </c>
      <c r="F63" t="str">
        <f>HYPERLINK("https://www.google.com/maps/search/?api=1&amp;query=24.23117298,41.73661888", "View Map")</f>
        <v>View Map</v>
      </c>
    </row>
    <row r="64" spans="1:6" x14ac:dyDescent="0.35">
      <c r="A64" t="s">
        <v>1172</v>
      </c>
      <c r="B64" t="s">
        <v>1173</v>
      </c>
      <c r="C64" t="s">
        <v>1095</v>
      </c>
      <c r="D64" t="s">
        <v>13</v>
      </c>
      <c r="E64">
        <v>1746</v>
      </c>
      <c r="F64" t="str">
        <f>HYPERLINK("https://www.google.com/maps/search/?api=1&amp;query=24.49430456,46.15889781", "View Map")</f>
        <v>View Map</v>
      </c>
    </row>
    <row r="65" spans="1:6" x14ac:dyDescent="0.35">
      <c r="A65" t="s">
        <v>611</v>
      </c>
      <c r="B65" t="s">
        <v>1174</v>
      </c>
      <c r="C65" t="s">
        <v>1051</v>
      </c>
      <c r="D65" t="s">
        <v>13</v>
      </c>
      <c r="E65">
        <v>1740</v>
      </c>
      <c r="F65" t="str">
        <f>HYPERLINK("https://www.google.com/maps/search/?api=1&amp;query=24.08009438,45.3132777", "View Map")</f>
        <v>View Map</v>
      </c>
    </row>
    <row r="66" spans="1:6" x14ac:dyDescent="0.35">
      <c r="A66" t="s">
        <v>1085</v>
      </c>
      <c r="B66" t="s">
        <v>1175</v>
      </c>
      <c r="C66" t="s">
        <v>1056</v>
      </c>
      <c r="D66" t="s">
        <v>13</v>
      </c>
      <c r="E66">
        <v>1736</v>
      </c>
      <c r="F66" t="str">
        <f>HYPERLINK("https://www.google.com/maps/search/?api=1&amp;query=24.55480113,44.45257969", "View Map")</f>
        <v>View Map</v>
      </c>
    </row>
    <row r="67" spans="1:6" x14ac:dyDescent="0.35">
      <c r="A67" t="s">
        <v>1093</v>
      </c>
      <c r="B67" t="s">
        <v>1176</v>
      </c>
      <c r="C67" t="s">
        <v>1095</v>
      </c>
      <c r="D67" t="s">
        <v>13</v>
      </c>
      <c r="E67">
        <v>1708</v>
      </c>
      <c r="F67" t="str">
        <f>HYPERLINK("https://www.google.com/maps/search/?api=1&amp;query=24.59521066,46.10587349", "View Map")</f>
        <v>View Map</v>
      </c>
    </row>
    <row r="68" spans="1:6" x14ac:dyDescent="0.35">
      <c r="A68" t="s">
        <v>1177</v>
      </c>
      <c r="B68" t="s">
        <v>1178</v>
      </c>
      <c r="C68" t="s">
        <v>1116</v>
      </c>
      <c r="D68" t="s">
        <v>13</v>
      </c>
      <c r="E68">
        <v>1700</v>
      </c>
      <c r="F68" t="str">
        <f>HYPERLINK("https://www.google.com/maps/search/?api=1&amp;query=24.46659987,46.27985445", "View Map")</f>
        <v>View Map</v>
      </c>
    </row>
    <row r="69" spans="1:6" x14ac:dyDescent="0.35">
      <c r="A69" t="s">
        <v>1179</v>
      </c>
      <c r="B69" t="s">
        <v>1180</v>
      </c>
      <c r="C69" t="s">
        <v>1056</v>
      </c>
      <c r="D69" t="s">
        <v>13</v>
      </c>
      <c r="E69">
        <v>1683</v>
      </c>
      <c r="F69" t="str">
        <f>HYPERLINK("https://www.google.com/maps/search/?api=1&amp;query=24.50533018,44.39526609", "View Map")</f>
        <v>View Map</v>
      </c>
    </row>
    <row r="70" spans="1:6" x14ac:dyDescent="0.35">
      <c r="A70" t="s">
        <v>1181</v>
      </c>
      <c r="B70" t="s">
        <v>1182</v>
      </c>
      <c r="C70" t="s">
        <v>1056</v>
      </c>
      <c r="D70" t="s">
        <v>13</v>
      </c>
      <c r="E70">
        <v>1666</v>
      </c>
      <c r="F70" t="str">
        <f>HYPERLINK("https://www.google.com/maps/search/?api=1&amp;query=25.16181981,44.58827158", "View Map")</f>
        <v>View Map</v>
      </c>
    </row>
    <row r="71" spans="1:6" x14ac:dyDescent="0.35">
      <c r="A71" t="s">
        <v>611</v>
      </c>
      <c r="B71" t="s">
        <v>1183</v>
      </c>
      <c r="C71" t="s">
        <v>1051</v>
      </c>
      <c r="D71" t="s">
        <v>13</v>
      </c>
      <c r="E71">
        <v>1655</v>
      </c>
      <c r="F71" t="str">
        <f>HYPERLINK("https://www.google.com/maps/search/?api=1&amp;query=24.07626638,45.30074534", "View Map")</f>
        <v>View Map</v>
      </c>
    </row>
    <row r="72" spans="1:6" x14ac:dyDescent="0.35">
      <c r="A72" t="s">
        <v>1184</v>
      </c>
      <c r="B72" t="s">
        <v>1185</v>
      </c>
      <c r="C72" t="s">
        <v>1048</v>
      </c>
      <c r="D72" t="s">
        <v>13</v>
      </c>
      <c r="E72">
        <v>1619</v>
      </c>
      <c r="F72" t="str">
        <f>HYPERLINK("https://www.google.com/maps/search/?api=1&amp;query=23.34735628,45.41523497", "View Map")</f>
        <v>View Map</v>
      </c>
    </row>
    <row r="73" spans="1:6" x14ac:dyDescent="0.35">
      <c r="A73" t="s">
        <v>1186</v>
      </c>
      <c r="B73" t="s">
        <v>1187</v>
      </c>
      <c r="C73" t="s">
        <v>1051</v>
      </c>
      <c r="D73" t="s">
        <v>13</v>
      </c>
      <c r="E73">
        <v>1567</v>
      </c>
      <c r="F73" t="str">
        <f>HYPERLINK("https://www.google.com/maps/search/?api=1&amp;query=24.38654875,45.57332201", "View Map")</f>
        <v>View Map</v>
      </c>
    </row>
    <row r="74" spans="1:6" x14ac:dyDescent="0.35">
      <c r="A74" t="s">
        <v>1188</v>
      </c>
      <c r="B74" t="s">
        <v>1189</v>
      </c>
      <c r="C74" t="s">
        <v>1056</v>
      </c>
      <c r="D74" t="s">
        <v>9</v>
      </c>
      <c r="E74">
        <v>1553</v>
      </c>
      <c r="F74" t="str">
        <f>HYPERLINK("https://www.google.com/maps/search/?api=1&amp;query=24.67497996,43.68389488", "View Map")</f>
        <v>View Map</v>
      </c>
    </row>
    <row r="75" spans="1:6" x14ac:dyDescent="0.35">
      <c r="A75" t="s">
        <v>1190</v>
      </c>
      <c r="B75" t="s">
        <v>1191</v>
      </c>
      <c r="C75" t="s">
        <v>1056</v>
      </c>
      <c r="D75" t="s">
        <v>9</v>
      </c>
      <c r="E75">
        <v>1552</v>
      </c>
      <c r="F75" t="str">
        <f>HYPERLINK("https://www.google.com/maps/search/?api=1&amp;query=24.29512638,43.73824623", "View Map")</f>
        <v>View Map</v>
      </c>
    </row>
    <row r="76" spans="1:6" x14ac:dyDescent="0.35">
      <c r="A76" t="s">
        <v>1192</v>
      </c>
      <c r="B76" t="s">
        <v>1193</v>
      </c>
      <c r="C76" t="s">
        <v>1056</v>
      </c>
      <c r="D76" t="s">
        <v>13</v>
      </c>
      <c r="E76">
        <v>1525</v>
      </c>
      <c r="F76" t="str">
        <f>HYPERLINK("https://www.google.com/maps/search/?api=1&amp;query=24.61841351,43.65445251", "View Map")</f>
        <v>View Map</v>
      </c>
    </row>
    <row r="77" spans="1:6" x14ac:dyDescent="0.35">
      <c r="A77" t="s">
        <v>1194</v>
      </c>
      <c r="B77" t="s">
        <v>1195</v>
      </c>
      <c r="C77" t="s">
        <v>1056</v>
      </c>
      <c r="D77" t="s">
        <v>13</v>
      </c>
      <c r="E77">
        <v>1520</v>
      </c>
      <c r="F77" t="str">
        <f>HYPERLINK("https://www.google.com/maps/search/?api=1&amp;query=24.51872033,44.41876975", "View Map")</f>
        <v>View Map</v>
      </c>
    </row>
    <row r="78" spans="1:6" x14ac:dyDescent="0.35">
      <c r="A78" t="s">
        <v>1196</v>
      </c>
      <c r="B78" t="s">
        <v>1197</v>
      </c>
      <c r="C78" t="s">
        <v>1056</v>
      </c>
      <c r="D78" t="s">
        <v>13</v>
      </c>
      <c r="E78">
        <v>1519</v>
      </c>
      <c r="F78" t="str">
        <f>HYPERLINK("https://www.google.com/maps/search/?api=1&amp;query=24.51158247,44.40098811", "View Map")</f>
        <v>View Map</v>
      </c>
    </row>
    <row r="79" spans="1:6" x14ac:dyDescent="0.35">
      <c r="A79" t="s">
        <v>1198</v>
      </c>
      <c r="B79" t="s">
        <v>1199</v>
      </c>
      <c r="C79" t="s">
        <v>1056</v>
      </c>
      <c r="D79" t="s">
        <v>13</v>
      </c>
      <c r="E79">
        <v>1495</v>
      </c>
      <c r="F79" t="str">
        <f>HYPERLINK("https://www.google.com/maps/search/?api=1&amp;query=24.70557921,44.89272263", "View Map")</f>
        <v>View Map</v>
      </c>
    </row>
    <row r="80" spans="1:6" x14ac:dyDescent="0.35">
      <c r="A80" t="s">
        <v>1200</v>
      </c>
      <c r="B80" t="s">
        <v>1201</v>
      </c>
      <c r="C80" t="s">
        <v>1056</v>
      </c>
      <c r="D80" t="s">
        <v>9</v>
      </c>
      <c r="E80">
        <v>1490</v>
      </c>
      <c r="F80" t="str">
        <f>HYPERLINK("https://www.google.com/maps/search/?api=1&amp;query=24.52674395,44.40113878", "View Map")</f>
        <v>View Map</v>
      </c>
    </row>
    <row r="81" spans="1:6" x14ac:dyDescent="0.35">
      <c r="A81" t="s">
        <v>1202</v>
      </c>
      <c r="B81" t="s">
        <v>1203</v>
      </c>
      <c r="C81" t="s">
        <v>1056</v>
      </c>
      <c r="D81" t="s">
        <v>13</v>
      </c>
      <c r="E81">
        <v>1480</v>
      </c>
      <c r="F81" t="str">
        <f>HYPERLINK("https://www.google.com/maps/search/?api=1&amp;query=25.18606944,44.59945533", "View Map")</f>
        <v>View Map</v>
      </c>
    </row>
    <row r="82" spans="1:6" x14ac:dyDescent="0.35">
      <c r="A82" t="s">
        <v>1204</v>
      </c>
      <c r="B82" t="s">
        <v>1205</v>
      </c>
      <c r="C82" t="s">
        <v>1056</v>
      </c>
      <c r="D82" t="s">
        <v>13</v>
      </c>
      <c r="E82">
        <v>1456</v>
      </c>
      <c r="F82" t="str">
        <f>HYPERLINK("https://www.google.com/maps/search/?api=1&amp;query=24.54456886,44.43271592", "View Map")</f>
        <v>View Map</v>
      </c>
    </row>
    <row r="83" spans="1:6" x14ac:dyDescent="0.35">
      <c r="A83" t="s">
        <v>1206</v>
      </c>
      <c r="B83" t="s">
        <v>1207</v>
      </c>
      <c r="C83" t="s">
        <v>1056</v>
      </c>
      <c r="D83" t="s">
        <v>13</v>
      </c>
      <c r="E83">
        <v>1452</v>
      </c>
      <c r="F83" t="str">
        <f>HYPERLINK("https://www.google.com/maps/search/?api=1&amp;query=23.9083372,44.6317067", "View Map")</f>
        <v>View Map</v>
      </c>
    </row>
    <row r="84" spans="1:6" x14ac:dyDescent="0.35">
      <c r="A84" t="s">
        <v>1208</v>
      </c>
      <c r="B84" t="s">
        <v>1209</v>
      </c>
      <c r="C84" t="s">
        <v>1056</v>
      </c>
      <c r="D84" t="s">
        <v>13</v>
      </c>
      <c r="E84">
        <v>1443</v>
      </c>
      <c r="F84" t="str">
        <f>HYPERLINK("https://www.google.com/maps/search/?api=1&amp;query=25.48616984,44.41268928", "View Map")</f>
        <v>View Map</v>
      </c>
    </row>
    <row r="85" spans="1:6" x14ac:dyDescent="0.35">
      <c r="A85" t="s">
        <v>1210</v>
      </c>
      <c r="B85" t="s">
        <v>1211</v>
      </c>
      <c r="C85" t="s">
        <v>1056</v>
      </c>
      <c r="D85" t="s">
        <v>9</v>
      </c>
      <c r="E85">
        <v>1439</v>
      </c>
      <c r="F85" t="str">
        <f>HYPERLINK("https://www.google.com/maps/search/?api=1&amp;query=24.57199663,43.73799649", "View Map")</f>
        <v>View Map</v>
      </c>
    </row>
    <row r="86" spans="1:6" x14ac:dyDescent="0.35">
      <c r="A86" t="s">
        <v>1212</v>
      </c>
      <c r="B86" t="s">
        <v>1213</v>
      </c>
      <c r="C86" t="s">
        <v>1048</v>
      </c>
      <c r="D86" t="s">
        <v>13</v>
      </c>
      <c r="E86">
        <v>1438</v>
      </c>
      <c r="F86" t="str">
        <f>HYPERLINK("https://www.google.com/maps/search/?api=1&amp;query=22.72430293,44.88148387", "View Map")</f>
        <v>View Map</v>
      </c>
    </row>
    <row r="87" spans="1:6" x14ac:dyDescent="0.35">
      <c r="A87" t="s">
        <v>1214</v>
      </c>
      <c r="B87" t="s">
        <v>1215</v>
      </c>
      <c r="C87" t="s">
        <v>1056</v>
      </c>
      <c r="D87" t="s">
        <v>13</v>
      </c>
      <c r="E87">
        <v>1436</v>
      </c>
      <c r="F87" t="str">
        <f>HYPERLINK("https://www.google.com/maps/search/?api=1&amp;query=24.512779,44.39554229", "View Map")</f>
        <v>View Map</v>
      </c>
    </row>
    <row r="88" spans="1:6" x14ac:dyDescent="0.35">
      <c r="A88" t="s">
        <v>1216</v>
      </c>
      <c r="B88" t="s">
        <v>1217</v>
      </c>
      <c r="C88" t="s">
        <v>1051</v>
      </c>
      <c r="D88" t="s">
        <v>13</v>
      </c>
      <c r="E88">
        <v>1435</v>
      </c>
      <c r="F88" t="str">
        <f>HYPERLINK("https://www.google.com/maps/search/?api=1&amp;query=24.06957216,45.29535756", "View Map")</f>
        <v>View Map</v>
      </c>
    </row>
    <row r="89" spans="1:6" x14ac:dyDescent="0.35">
      <c r="A89" t="s">
        <v>1218</v>
      </c>
      <c r="B89" t="s">
        <v>1219</v>
      </c>
      <c r="C89" t="s">
        <v>1056</v>
      </c>
      <c r="D89" t="s">
        <v>13</v>
      </c>
      <c r="E89">
        <v>1430</v>
      </c>
      <c r="F89" t="str">
        <f>HYPERLINK("https://www.google.com/maps/search/?api=1&amp;query=24.52016323,44.38060519", "View Map")</f>
        <v>View Map</v>
      </c>
    </row>
    <row r="90" spans="1:6" x14ac:dyDescent="0.35">
      <c r="A90" t="s">
        <v>1220</v>
      </c>
      <c r="B90" t="s">
        <v>1221</v>
      </c>
      <c r="C90" t="s">
        <v>1116</v>
      </c>
      <c r="D90" t="s">
        <v>13</v>
      </c>
      <c r="E90">
        <v>1414</v>
      </c>
      <c r="F90" t="str">
        <f>HYPERLINK("https://www.google.com/maps/search/?api=1&amp;query=24.48155957,46.2812214", "View Map")</f>
        <v>View Map</v>
      </c>
    </row>
    <row r="91" spans="1:6" x14ac:dyDescent="0.35">
      <c r="A91" t="s">
        <v>1222</v>
      </c>
      <c r="B91" t="s">
        <v>1223</v>
      </c>
      <c r="C91" t="s">
        <v>1056</v>
      </c>
      <c r="D91" t="s">
        <v>13</v>
      </c>
      <c r="E91">
        <v>1405</v>
      </c>
      <c r="F91" t="str">
        <f>HYPERLINK("https://www.google.com/maps/search/?api=1&amp;query=24.91015823,44.72264797", "View Map")</f>
        <v>View Map</v>
      </c>
    </row>
    <row r="92" spans="1:6" x14ac:dyDescent="0.35">
      <c r="A92" t="s">
        <v>1224</v>
      </c>
      <c r="B92" t="s">
        <v>1225</v>
      </c>
      <c r="C92" t="s">
        <v>1051</v>
      </c>
      <c r="D92" t="s">
        <v>13</v>
      </c>
      <c r="E92">
        <v>1394</v>
      </c>
      <c r="F92" t="str">
        <f>HYPERLINK("https://www.google.com/maps/search/?api=1&amp;query=23.60046139,44.47848", "View Map")</f>
        <v>View Map</v>
      </c>
    </row>
    <row r="93" spans="1:6" x14ac:dyDescent="0.35">
      <c r="A93" t="s">
        <v>1226</v>
      </c>
      <c r="B93" t="s">
        <v>1227</v>
      </c>
      <c r="C93" t="s">
        <v>1048</v>
      </c>
      <c r="D93" t="s">
        <v>13</v>
      </c>
      <c r="E93">
        <v>1392</v>
      </c>
      <c r="F93" t="str">
        <f>HYPERLINK("https://www.google.com/maps/search/?api=1&amp;query=22.78146639,45.4295736", "View Map")</f>
        <v>View Map</v>
      </c>
    </row>
    <row r="94" spans="1:6" x14ac:dyDescent="0.35">
      <c r="A94" t="s">
        <v>1228</v>
      </c>
      <c r="B94" t="s">
        <v>1229</v>
      </c>
      <c r="C94" t="s">
        <v>1056</v>
      </c>
      <c r="D94" t="s">
        <v>13</v>
      </c>
      <c r="E94">
        <v>1391</v>
      </c>
      <c r="F94" t="str">
        <f>HYPERLINK("https://www.google.com/maps/search/?api=1&amp;query=24.72905528,43.78997551", "View Map")</f>
        <v>View Map</v>
      </c>
    </row>
    <row r="95" spans="1:6" x14ac:dyDescent="0.35">
      <c r="A95" t="s">
        <v>1230</v>
      </c>
      <c r="B95" t="s">
        <v>1231</v>
      </c>
      <c r="C95" t="s">
        <v>1048</v>
      </c>
      <c r="D95" t="s">
        <v>13</v>
      </c>
      <c r="E95">
        <v>1385</v>
      </c>
      <c r="F95" t="str">
        <f>HYPERLINK("https://www.google.com/maps/search/?api=1&amp;query=23.57204329,45.57354863", "View Map")</f>
        <v>View Map</v>
      </c>
    </row>
    <row r="96" spans="1:6" x14ac:dyDescent="0.35">
      <c r="A96" t="s">
        <v>1232</v>
      </c>
      <c r="B96" t="s">
        <v>1233</v>
      </c>
      <c r="C96" t="s">
        <v>1056</v>
      </c>
      <c r="D96" t="s">
        <v>13</v>
      </c>
      <c r="E96">
        <v>1382</v>
      </c>
      <c r="F96" t="str">
        <f>HYPERLINK("https://www.google.com/maps/search/?api=1&amp;query=25.20932453,44.59794706", "View Map")</f>
        <v>View Map</v>
      </c>
    </row>
    <row r="97" spans="1:6" x14ac:dyDescent="0.35">
      <c r="A97" t="s">
        <v>1234</v>
      </c>
      <c r="B97" t="s">
        <v>1235</v>
      </c>
      <c r="C97" t="s">
        <v>1056</v>
      </c>
      <c r="D97" t="s">
        <v>9</v>
      </c>
      <c r="E97">
        <v>1365</v>
      </c>
      <c r="F97" t="str">
        <f>HYPERLINK("https://www.google.com/maps/search/?api=1&amp;query=25.470731,44.47353109", "View Map")</f>
        <v>View Map</v>
      </c>
    </row>
    <row r="98" spans="1:6" x14ac:dyDescent="0.35">
      <c r="A98" t="s">
        <v>1236</v>
      </c>
      <c r="B98" t="s">
        <v>1237</v>
      </c>
      <c r="C98" t="s">
        <v>1116</v>
      </c>
      <c r="D98" t="s">
        <v>13</v>
      </c>
      <c r="E98">
        <v>1358</v>
      </c>
      <c r="F98" t="str">
        <f>HYPERLINK("https://www.google.com/maps/search/?api=1&amp;query=24.45541891,46.29122671", "View Map")</f>
        <v>View Map</v>
      </c>
    </row>
    <row r="99" spans="1:6" x14ac:dyDescent="0.35">
      <c r="A99" t="s">
        <v>1238</v>
      </c>
      <c r="B99" t="s">
        <v>1239</v>
      </c>
      <c r="C99" t="s">
        <v>1048</v>
      </c>
      <c r="D99" t="s">
        <v>9</v>
      </c>
      <c r="E99">
        <v>1352</v>
      </c>
      <c r="F99" t="str">
        <f>HYPERLINK("https://www.google.com/maps/search/?api=1&amp;query=22.52115304,44.79644099", "View Map")</f>
        <v>View Map</v>
      </c>
    </row>
    <row r="100" spans="1:6" x14ac:dyDescent="0.35">
      <c r="A100" t="s">
        <v>1240</v>
      </c>
      <c r="B100" t="s">
        <v>1241</v>
      </c>
      <c r="C100" t="s">
        <v>1048</v>
      </c>
      <c r="D100" t="s">
        <v>9</v>
      </c>
      <c r="E100">
        <v>1332</v>
      </c>
      <c r="F100" t="str">
        <f>HYPERLINK("https://www.google.com/maps/search/?api=1&amp;query=23.55098726,45.50455666", "View Map")</f>
        <v>View Map</v>
      </c>
    </row>
    <row r="101" spans="1:6" x14ac:dyDescent="0.35">
      <c r="A101" t="s">
        <v>1242</v>
      </c>
      <c r="B101" t="s">
        <v>1243</v>
      </c>
      <c r="C101" t="s">
        <v>1095</v>
      </c>
      <c r="D101" t="s">
        <v>9</v>
      </c>
      <c r="E101">
        <v>1317</v>
      </c>
      <c r="F101" t="str">
        <f>HYPERLINK("https://www.google.com/maps/search/?api=1&amp;query=24.59424125,46.12436657", "View Map")</f>
        <v>View Map</v>
      </c>
    </row>
    <row r="102" spans="1:6" x14ac:dyDescent="0.35">
      <c r="A102" t="s">
        <v>611</v>
      </c>
      <c r="B102" t="s">
        <v>1244</v>
      </c>
      <c r="C102" t="s">
        <v>1051</v>
      </c>
      <c r="D102" t="s">
        <v>13</v>
      </c>
      <c r="E102">
        <v>1313</v>
      </c>
      <c r="F102" t="str">
        <f>HYPERLINK("https://www.google.com/maps/search/?api=1&amp;query=24.08557491,45.33983807", "View Map")</f>
        <v>View Map</v>
      </c>
    </row>
    <row r="103" spans="1:6" x14ac:dyDescent="0.35">
      <c r="A103" t="s">
        <v>1245</v>
      </c>
      <c r="B103" t="s">
        <v>1246</v>
      </c>
      <c r="C103" t="s">
        <v>1056</v>
      </c>
      <c r="D103" t="s">
        <v>13</v>
      </c>
      <c r="E103">
        <v>1311</v>
      </c>
      <c r="F103" t="str">
        <f>HYPERLINK("https://www.google.com/maps/search/?api=1&amp;query=25.10946853,44.68382297", "View Map")</f>
        <v>View Map</v>
      </c>
    </row>
    <row r="104" spans="1:6" x14ac:dyDescent="0.35">
      <c r="A104" t="s">
        <v>1247</v>
      </c>
      <c r="B104" t="s">
        <v>1248</v>
      </c>
      <c r="C104" t="s">
        <v>1051</v>
      </c>
      <c r="D104" t="s">
        <v>13</v>
      </c>
      <c r="E104">
        <v>1309</v>
      </c>
      <c r="F104" t="str">
        <f>HYPERLINK("https://www.google.com/maps/search/?api=1&amp;query=23.45549766,44.28848035", "View Map")</f>
        <v>View Map</v>
      </c>
    </row>
    <row r="105" spans="1:6" x14ac:dyDescent="0.35">
      <c r="A105" t="s">
        <v>1093</v>
      </c>
      <c r="B105" t="s">
        <v>1249</v>
      </c>
      <c r="C105" t="s">
        <v>1095</v>
      </c>
      <c r="D105" t="s">
        <v>13</v>
      </c>
      <c r="E105">
        <v>1305</v>
      </c>
      <c r="F105" t="str">
        <f>HYPERLINK("https://www.google.com/maps/search/?api=1&amp;query=24.58672328,46.16309208", "View Map")</f>
        <v>View Map</v>
      </c>
    </row>
    <row r="106" spans="1:6" x14ac:dyDescent="0.35">
      <c r="A106" t="s">
        <v>1250</v>
      </c>
      <c r="B106" t="s">
        <v>1251</v>
      </c>
      <c r="C106" t="s">
        <v>1051</v>
      </c>
      <c r="D106" t="s">
        <v>9</v>
      </c>
      <c r="E106">
        <v>1291</v>
      </c>
      <c r="F106" t="str">
        <f>HYPERLINK("https://www.google.com/maps/search/?api=1&amp;query=24.00711148,45.19665975", "View Map")</f>
        <v>View Map</v>
      </c>
    </row>
    <row r="107" spans="1:6" x14ac:dyDescent="0.35">
      <c r="A107" t="s">
        <v>1165</v>
      </c>
      <c r="B107" t="s">
        <v>1252</v>
      </c>
      <c r="C107" t="s">
        <v>1116</v>
      </c>
      <c r="D107" t="s">
        <v>13</v>
      </c>
      <c r="E107">
        <v>1289</v>
      </c>
      <c r="F107" t="str">
        <f>HYPERLINK("https://www.google.com/maps/search/?api=1&amp;query=24.44146861,46.10846639", "View Map")</f>
        <v>View Map</v>
      </c>
    </row>
    <row r="108" spans="1:6" x14ac:dyDescent="0.35">
      <c r="A108" t="s">
        <v>611</v>
      </c>
      <c r="B108" t="s">
        <v>1253</v>
      </c>
      <c r="C108" t="s">
        <v>1048</v>
      </c>
      <c r="D108" t="s">
        <v>13</v>
      </c>
      <c r="E108">
        <v>1285</v>
      </c>
      <c r="F108" t="str">
        <f>HYPERLINK("https://www.google.com/maps/search/?api=1&amp;query=22.65511025,45.13754028", "View Map")</f>
        <v>View Map</v>
      </c>
    </row>
    <row r="109" spans="1:6" x14ac:dyDescent="0.35">
      <c r="A109" t="s">
        <v>1254</v>
      </c>
      <c r="B109" t="s">
        <v>1255</v>
      </c>
      <c r="C109" t="s">
        <v>1056</v>
      </c>
      <c r="D109" t="s">
        <v>13</v>
      </c>
      <c r="E109">
        <v>1284</v>
      </c>
      <c r="F109" t="str">
        <f>HYPERLINK("https://www.google.com/maps/search/?api=1&amp;query=24.52425217,43.87994738", "View Map")</f>
        <v>View Map</v>
      </c>
    </row>
    <row r="110" spans="1:6" x14ac:dyDescent="0.35">
      <c r="A110" t="s">
        <v>1256</v>
      </c>
      <c r="B110" t="s">
        <v>1257</v>
      </c>
      <c r="C110" t="s">
        <v>1056</v>
      </c>
      <c r="D110" t="s">
        <v>13</v>
      </c>
      <c r="E110">
        <v>1256</v>
      </c>
      <c r="F110" t="str">
        <f>HYPERLINK("https://www.google.com/maps/search/?api=1&amp;query=24.55782288,43.23552471", "View Map")</f>
        <v>View Map</v>
      </c>
    </row>
    <row r="111" spans="1:6" x14ac:dyDescent="0.35">
      <c r="A111" t="s">
        <v>1258</v>
      </c>
      <c r="B111" t="s">
        <v>1259</v>
      </c>
      <c r="C111" t="s">
        <v>1056</v>
      </c>
      <c r="D111" t="s">
        <v>13</v>
      </c>
      <c r="E111">
        <v>1255</v>
      </c>
      <c r="F111" t="str">
        <f>HYPERLINK("https://www.google.com/maps/search/?api=1&amp;query=24.64654,43.57369167", "View Map")</f>
        <v>View Map</v>
      </c>
    </row>
    <row r="112" spans="1:6" x14ac:dyDescent="0.35">
      <c r="A112" t="s">
        <v>1260</v>
      </c>
      <c r="B112" t="s">
        <v>1261</v>
      </c>
      <c r="C112" t="s">
        <v>1051</v>
      </c>
      <c r="D112" t="s">
        <v>13</v>
      </c>
      <c r="E112">
        <v>1255</v>
      </c>
      <c r="F112" t="str">
        <f>HYPERLINK("https://www.google.com/maps/search/?api=1&amp;query=24.34781892,45.83587262", "View Map")</f>
        <v>View Map</v>
      </c>
    </row>
    <row r="113" spans="1:6" x14ac:dyDescent="0.35">
      <c r="A113" t="s">
        <v>1108</v>
      </c>
      <c r="B113" t="s">
        <v>1262</v>
      </c>
      <c r="C113" t="s">
        <v>1056</v>
      </c>
      <c r="D113" t="s">
        <v>13</v>
      </c>
      <c r="E113">
        <v>1254</v>
      </c>
      <c r="F113" t="str">
        <f>HYPERLINK("https://www.google.com/maps/search/?api=1&amp;query=24.55248334,44.45686525", "View Map")</f>
        <v>View Map</v>
      </c>
    </row>
    <row r="114" spans="1:6" x14ac:dyDescent="0.35">
      <c r="A114" t="s">
        <v>1263</v>
      </c>
      <c r="B114" t="s">
        <v>1264</v>
      </c>
      <c r="C114" t="s">
        <v>1051</v>
      </c>
      <c r="D114" t="s">
        <v>13</v>
      </c>
      <c r="E114">
        <v>1251</v>
      </c>
      <c r="F114" t="str">
        <f>HYPERLINK("https://www.google.com/maps/search/?api=1&amp;query=24.05432298,45.2659814", "View Map")</f>
        <v>View Map</v>
      </c>
    </row>
    <row r="115" spans="1:6" x14ac:dyDescent="0.35">
      <c r="A115" t="s">
        <v>1265</v>
      </c>
      <c r="B115" t="s">
        <v>1266</v>
      </c>
      <c r="C115" t="s">
        <v>1056</v>
      </c>
      <c r="D115" t="s">
        <v>13</v>
      </c>
      <c r="E115">
        <v>1248</v>
      </c>
      <c r="F115" t="str">
        <f>HYPERLINK("https://www.google.com/maps/search/?api=1&amp;query=25.18699055,44.58080549", "View Map")</f>
        <v>View Map</v>
      </c>
    </row>
    <row r="116" spans="1:6" x14ac:dyDescent="0.35">
      <c r="A116" t="s">
        <v>1267</v>
      </c>
      <c r="B116" t="s">
        <v>1268</v>
      </c>
      <c r="C116" t="s">
        <v>1056</v>
      </c>
      <c r="D116" t="s">
        <v>13</v>
      </c>
      <c r="E116">
        <v>1246</v>
      </c>
      <c r="F116" t="str">
        <f>HYPERLINK("https://www.google.com/maps/search/?api=1&amp;query=25.16744988,44.60545464", "View Map")</f>
        <v>View Map</v>
      </c>
    </row>
    <row r="117" spans="1:6" x14ac:dyDescent="0.35">
      <c r="A117" t="s">
        <v>1269</v>
      </c>
      <c r="B117" t="s">
        <v>1270</v>
      </c>
      <c r="C117" t="s">
        <v>1048</v>
      </c>
      <c r="D117" t="s">
        <v>13</v>
      </c>
      <c r="E117">
        <v>1240</v>
      </c>
      <c r="F117" t="str">
        <f>HYPERLINK("https://www.google.com/maps/search/?api=1&amp;query=22.50172586,45.04242666", "View Map")</f>
        <v>View Map</v>
      </c>
    </row>
    <row r="118" spans="1:6" x14ac:dyDescent="0.35">
      <c r="A118" t="s">
        <v>1085</v>
      </c>
      <c r="B118" t="s">
        <v>1271</v>
      </c>
      <c r="C118" t="s">
        <v>1056</v>
      </c>
      <c r="D118" t="s">
        <v>13</v>
      </c>
      <c r="E118">
        <v>1231</v>
      </c>
      <c r="F118" t="str">
        <f>HYPERLINK("https://www.google.com/maps/search/?api=1&amp;query=25.00488357,43.82359207", "View Map")</f>
        <v>View Map</v>
      </c>
    </row>
    <row r="119" spans="1:6" x14ac:dyDescent="0.35">
      <c r="A119" t="s">
        <v>1272</v>
      </c>
      <c r="B119" t="s">
        <v>1273</v>
      </c>
      <c r="C119" t="s">
        <v>1116</v>
      </c>
      <c r="D119" t="s">
        <v>13</v>
      </c>
      <c r="E119">
        <v>1227</v>
      </c>
      <c r="F119" t="str">
        <f>HYPERLINK("https://www.google.com/maps/search/?api=1&amp;query=24.45073409,46.30022976", "View Map")</f>
        <v>View Map</v>
      </c>
    </row>
    <row r="120" spans="1:6" x14ac:dyDescent="0.35">
      <c r="A120" t="s">
        <v>1274</v>
      </c>
      <c r="B120" t="s">
        <v>1275</v>
      </c>
      <c r="C120" t="s">
        <v>1051</v>
      </c>
      <c r="D120" t="s">
        <v>9</v>
      </c>
      <c r="E120">
        <v>1225</v>
      </c>
      <c r="F120" t="str">
        <f>HYPERLINK("https://www.google.com/maps/search/?api=1&amp;query=24.39246912,45.30707111", "View Map")</f>
        <v>View Map</v>
      </c>
    </row>
    <row r="121" spans="1:6" x14ac:dyDescent="0.35">
      <c r="A121" t="s">
        <v>1276</v>
      </c>
      <c r="B121" t="s">
        <v>1277</v>
      </c>
      <c r="C121" t="s">
        <v>1056</v>
      </c>
      <c r="D121" t="s">
        <v>9</v>
      </c>
      <c r="E121">
        <v>1224</v>
      </c>
      <c r="F121" t="str">
        <f>HYPERLINK("https://www.google.com/maps/search/?api=1&amp;query=25.4340071,44.53625432", "View Map")</f>
        <v>View Map</v>
      </c>
    </row>
    <row r="122" spans="1:6" x14ac:dyDescent="0.35">
      <c r="A122" t="s">
        <v>1278</v>
      </c>
      <c r="B122" t="s">
        <v>1279</v>
      </c>
      <c r="C122" t="s">
        <v>1048</v>
      </c>
      <c r="D122" t="s">
        <v>13</v>
      </c>
      <c r="E122">
        <v>1220</v>
      </c>
      <c r="F122" t="str">
        <f>HYPERLINK("https://www.google.com/maps/search/?api=1&amp;query=23.54767163,45.52401349", "View Map")</f>
        <v>View Map</v>
      </c>
    </row>
    <row r="123" spans="1:6" x14ac:dyDescent="0.35">
      <c r="A123" t="s">
        <v>1280</v>
      </c>
      <c r="B123" t="s">
        <v>1281</v>
      </c>
      <c r="C123" t="s">
        <v>1056</v>
      </c>
      <c r="D123" t="s">
        <v>13</v>
      </c>
      <c r="E123">
        <v>1218</v>
      </c>
      <c r="F123" t="str">
        <f>HYPERLINK("https://www.google.com/maps/search/?api=1&amp;query=25.15037726,44.24668188", "View Map")</f>
        <v>View Map</v>
      </c>
    </row>
    <row r="124" spans="1:6" x14ac:dyDescent="0.35">
      <c r="A124" t="s">
        <v>1282</v>
      </c>
      <c r="B124" t="s">
        <v>1283</v>
      </c>
      <c r="C124" t="s">
        <v>1048</v>
      </c>
      <c r="D124" t="s">
        <v>13</v>
      </c>
      <c r="E124">
        <v>1212</v>
      </c>
      <c r="F124" t="str">
        <f>HYPERLINK("https://www.google.com/maps/search/?api=1&amp;query=23.26260241,45.22045478", "View Map")</f>
        <v>View Map</v>
      </c>
    </row>
    <row r="125" spans="1:6" x14ac:dyDescent="0.35">
      <c r="A125" t="s">
        <v>1284</v>
      </c>
      <c r="B125" t="s">
        <v>1285</v>
      </c>
      <c r="C125" t="s">
        <v>1051</v>
      </c>
      <c r="D125" t="s">
        <v>9</v>
      </c>
      <c r="E125">
        <v>1205</v>
      </c>
      <c r="F125" t="str">
        <f>HYPERLINK("https://www.google.com/maps/search/?api=1&amp;query=23.7045444,44.68671604", "View Map")</f>
        <v>View Map</v>
      </c>
    </row>
    <row r="126" spans="1:6" x14ac:dyDescent="0.35">
      <c r="A126" t="s">
        <v>1286</v>
      </c>
      <c r="B126" t="s">
        <v>1287</v>
      </c>
      <c r="C126" t="s">
        <v>1056</v>
      </c>
      <c r="D126" t="s">
        <v>13</v>
      </c>
      <c r="E126">
        <v>1203</v>
      </c>
      <c r="F126" t="str">
        <f>HYPERLINK("https://www.google.com/maps/search/?api=1&amp;query=24.58737697,43.62819627", "View Map")</f>
        <v>View Map</v>
      </c>
    </row>
    <row r="127" spans="1:6" x14ac:dyDescent="0.35">
      <c r="A127" t="s">
        <v>1288</v>
      </c>
      <c r="B127" t="s">
        <v>1289</v>
      </c>
      <c r="C127" t="s">
        <v>1063</v>
      </c>
      <c r="D127" t="s">
        <v>9</v>
      </c>
      <c r="E127">
        <v>1201</v>
      </c>
      <c r="F127" t="str">
        <f>HYPERLINK("https://www.google.com/maps/search/?api=1&amp;query=23.90203359,42.90467772", "View Map")</f>
        <v>View Map</v>
      </c>
    </row>
    <row r="128" spans="1:6" x14ac:dyDescent="0.35">
      <c r="A128" t="s">
        <v>1290</v>
      </c>
      <c r="B128" t="s">
        <v>1291</v>
      </c>
      <c r="C128" t="s">
        <v>1048</v>
      </c>
      <c r="D128" t="s">
        <v>13</v>
      </c>
      <c r="E128">
        <v>1192</v>
      </c>
      <c r="F128" t="str">
        <f>HYPERLINK("https://www.google.com/maps/search/?api=1&amp;query=22.61317296,45.08520444", "View Map")</f>
        <v>View Map</v>
      </c>
    </row>
    <row r="129" spans="1:6" x14ac:dyDescent="0.35">
      <c r="A129" t="s">
        <v>1292</v>
      </c>
      <c r="B129" t="s">
        <v>1293</v>
      </c>
      <c r="C129" t="s">
        <v>1063</v>
      </c>
      <c r="D129" t="s">
        <v>9</v>
      </c>
      <c r="E129">
        <v>1190</v>
      </c>
      <c r="F129" t="str">
        <f>HYPERLINK("https://www.google.com/maps/search/?api=1&amp;query=23.89546359,42.91269593", "View Map")</f>
        <v>View Map</v>
      </c>
    </row>
    <row r="130" spans="1:6" x14ac:dyDescent="0.35">
      <c r="A130" t="s">
        <v>1294</v>
      </c>
      <c r="B130" t="s">
        <v>1295</v>
      </c>
      <c r="C130" t="s">
        <v>1056</v>
      </c>
      <c r="D130" t="s">
        <v>13</v>
      </c>
      <c r="E130">
        <v>1186</v>
      </c>
      <c r="F130" t="str">
        <f>HYPERLINK("https://www.google.com/maps/search/?api=1&amp;query=24.50384924,44.391134", "View Map")</f>
        <v>View Map</v>
      </c>
    </row>
    <row r="131" spans="1:6" x14ac:dyDescent="0.35">
      <c r="A131" t="s">
        <v>1296</v>
      </c>
      <c r="B131" t="s">
        <v>1297</v>
      </c>
      <c r="C131" t="s">
        <v>1056</v>
      </c>
      <c r="D131" t="s">
        <v>13</v>
      </c>
      <c r="E131">
        <v>1183</v>
      </c>
      <c r="F131" t="str">
        <f>HYPERLINK("https://www.google.com/maps/search/?api=1&amp;query=25.07936054,44.61354989", "View Map")</f>
        <v>View Map</v>
      </c>
    </row>
    <row r="132" spans="1:6" x14ac:dyDescent="0.35">
      <c r="A132" t="s">
        <v>1298</v>
      </c>
      <c r="B132" t="s">
        <v>1299</v>
      </c>
      <c r="C132" t="s">
        <v>1116</v>
      </c>
      <c r="D132" t="s">
        <v>13</v>
      </c>
      <c r="E132">
        <v>1169</v>
      </c>
      <c r="F132" t="str">
        <f>HYPERLINK("https://www.google.com/maps/search/?api=1&amp;query=24.45989258,46.29394155", "View Map")</f>
        <v>View Map</v>
      </c>
    </row>
    <row r="133" spans="1:6" x14ac:dyDescent="0.35">
      <c r="A133" t="s">
        <v>1300</v>
      </c>
      <c r="B133" t="s">
        <v>1301</v>
      </c>
      <c r="C133" t="s">
        <v>1063</v>
      </c>
      <c r="D133" t="s">
        <v>9</v>
      </c>
      <c r="E133">
        <v>1167</v>
      </c>
      <c r="F133" t="str">
        <f>HYPERLINK("https://www.google.com/maps/search/?api=1&amp;query=23.69554211,42.19709338", "View Map")</f>
        <v>View Map</v>
      </c>
    </row>
    <row r="134" spans="1:6" x14ac:dyDescent="0.35">
      <c r="A134" t="s">
        <v>1302</v>
      </c>
      <c r="B134" t="s">
        <v>1303</v>
      </c>
      <c r="C134" t="s">
        <v>1116</v>
      </c>
      <c r="D134" t="s">
        <v>13</v>
      </c>
      <c r="E134">
        <v>1167</v>
      </c>
      <c r="F134" t="str">
        <f>HYPERLINK("https://www.google.com/maps/search/?api=1&amp;query=24.47012967,46.27849951", "View Map")</f>
        <v>View Map</v>
      </c>
    </row>
    <row r="135" spans="1:6" x14ac:dyDescent="0.35">
      <c r="A135" t="s">
        <v>1304</v>
      </c>
      <c r="B135" t="s">
        <v>1305</v>
      </c>
      <c r="C135" t="s">
        <v>1056</v>
      </c>
      <c r="D135" t="s">
        <v>13</v>
      </c>
      <c r="E135">
        <v>1160</v>
      </c>
      <c r="F135" t="str">
        <f>HYPERLINK("https://www.google.com/maps/search/?api=1&amp;query=25.18203577,44.59809175", "View Map")</f>
        <v>View Map</v>
      </c>
    </row>
    <row r="136" spans="1:6" x14ac:dyDescent="0.35">
      <c r="A136" t="s">
        <v>1306</v>
      </c>
      <c r="B136" t="s">
        <v>1307</v>
      </c>
      <c r="C136" t="s">
        <v>1056</v>
      </c>
      <c r="D136" t="s">
        <v>13</v>
      </c>
      <c r="E136">
        <v>1157</v>
      </c>
      <c r="F136" t="str">
        <f>HYPERLINK("https://www.google.com/maps/search/?api=1&amp;query=25.21894221,44.60022488", "View Map")</f>
        <v>View Map</v>
      </c>
    </row>
    <row r="137" spans="1:6" x14ac:dyDescent="0.35">
      <c r="A137" t="s">
        <v>1308</v>
      </c>
      <c r="B137" t="s">
        <v>1309</v>
      </c>
      <c r="C137" t="s">
        <v>1063</v>
      </c>
      <c r="D137" t="s">
        <v>9</v>
      </c>
      <c r="E137">
        <v>1155</v>
      </c>
      <c r="F137" t="str">
        <f>HYPERLINK("https://www.google.com/maps/search/?api=1&amp;query=23.61330341,42.21746714", "View Map")</f>
        <v>View Map</v>
      </c>
    </row>
    <row r="138" spans="1:6" x14ac:dyDescent="0.35">
      <c r="A138" t="s">
        <v>611</v>
      </c>
      <c r="B138" t="s">
        <v>1310</v>
      </c>
      <c r="C138" t="s">
        <v>1048</v>
      </c>
      <c r="D138" t="s">
        <v>13</v>
      </c>
      <c r="E138">
        <v>1150</v>
      </c>
      <c r="F138" t="str">
        <f>HYPERLINK("https://www.google.com/maps/search/?api=1&amp;query=22.79478378,45.16563959", "View Map")</f>
        <v>View Map</v>
      </c>
    </row>
    <row r="139" spans="1:6" x14ac:dyDescent="0.35">
      <c r="A139" t="s">
        <v>1311</v>
      </c>
      <c r="B139" t="s">
        <v>1312</v>
      </c>
      <c r="C139" t="s">
        <v>1116</v>
      </c>
      <c r="D139" t="s">
        <v>13</v>
      </c>
      <c r="E139">
        <v>1148</v>
      </c>
      <c r="F139" t="str">
        <f>HYPERLINK("https://www.google.com/maps/search/?api=1&amp;query=24.46682642,46.28840793", "View Map")</f>
        <v>View Map</v>
      </c>
    </row>
    <row r="140" spans="1:6" x14ac:dyDescent="0.35">
      <c r="A140" t="s">
        <v>1313</v>
      </c>
      <c r="B140" t="s">
        <v>1314</v>
      </c>
      <c r="C140" t="s">
        <v>1048</v>
      </c>
      <c r="D140" t="s">
        <v>13</v>
      </c>
      <c r="E140">
        <v>1145</v>
      </c>
      <c r="F140" t="str">
        <f>HYPERLINK("https://www.google.com/maps/search/?api=1&amp;query=22.48049476,44.91279078", "View Map")</f>
        <v>View Map</v>
      </c>
    </row>
    <row r="141" spans="1:6" x14ac:dyDescent="0.35">
      <c r="A141" t="s">
        <v>1315</v>
      </c>
      <c r="B141" t="s">
        <v>1316</v>
      </c>
      <c r="C141" t="s">
        <v>1095</v>
      </c>
      <c r="D141" t="s">
        <v>13</v>
      </c>
      <c r="E141">
        <v>1128</v>
      </c>
      <c r="F141" t="str">
        <f>HYPERLINK("https://www.google.com/maps/search/?api=1&amp;query=24.60876391,46.10454253", "View Map")</f>
        <v>View Map</v>
      </c>
    </row>
    <row r="142" spans="1:6" x14ac:dyDescent="0.35">
      <c r="A142" t="s">
        <v>1317</v>
      </c>
      <c r="B142" t="s">
        <v>1318</v>
      </c>
      <c r="C142" t="s">
        <v>1051</v>
      </c>
      <c r="D142" t="s">
        <v>13</v>
      </c>
      <c r="E142">
        <v>1116</v>
      </c>
      <c r="F142" t="str">
        <f>HYPERLINK("https://www.google.com/maps/search/?api=1&amp;query=24.28023226,45.18065942", "View Map")</f>
        <v>View Map</v>
      </c>
    </row>
    <row r="143" spans="1:6" x14ac:dyDescent="0.35">
      <c r="A143" t="s">
        <v>1319</v>
      </c>
      <c r="B143" t="s">
        <v>1320</v>
      </c>
      <c r="C143" t="s">
        <v>1056</v>
      </c>
      <c r="D143" t="s">
        <v>9</v>
      </c>
      <c r="E143">
        <v>1112</v>
      </c>
      <c r="F143" t="str">
        <f>HYPERLINK("https://www.google.com/maps/search/?api=1&amp;query=24.20045799,43.84274351", "View Map")</f>
        <v>View Map</v>
      </c>
    </row>
    <row r="144" spans="1:6" x14ac:dyDescent="0.35">
      <c r="A144" t="s">
        <v>1085</v>
      </c>
      <c r="B144" t="s">
        <v>1321</v>
      </c>
      <c r="C144" t="s">
        <v>1056</v>
      </c>
      <c r="D144" t="s">
        <v>9</v>
      </c>
      <c r="E144">
        <v>1105</v>
      </c>
      <c r="F144" t="str">
        <f>HYPERLINK("https://www.google.com/maps/search/?api=1&amp;query=24.53839163,44.41077419", "View Map")</f>
        <v>View Map</v>
      </c>
    </row>
    <row r="145" spans="1:6" x14ac:dyDescent="0.35">
      <c r="A145" t="s">
        <v>1322</v>
      </c>
      <c r="B145" t="s">
        <v>1323</v>
      </c>
      <c r="C145" t="s">
        <v>1056</v>
      </c>
      <c r="D145" t="s">
        <v>13</v>
      </c>
      <c r="E145">
        <v>1103</v>
      </c>
      <c r="F145" t="str">
        <f>HYPERLINK("https://www.google.com/maps/search/?api=1&amp;query=25.01787275,43.82216339", "View Map")</f>
        <v>View Map</v>
      </c>
    </row>
    <row r="146" spans="1:6" x14ac:dyDescent="0.35">
      <c r="A146" t="s">
        <v>1324</v>
      </c>
      <c r="B146" t="s">
        <v>1325</v>
      </c>
      <c r="C146" t="s">
        <v>1063</v>
      </c>
      <c r="D146" t="s">
        <v>9</v>
      </c>
      <c r="E146">
        <v>1097</v>
      </c>
      <c r="F146" t="str">
        <f>HYPERLINK("https://www.google.com/maps/search/?api=1&amp;query=24.0248851,43.05213037", "View Map")</f>
        <v>View Map</v>
      </c>
    </row>
    <row r="147" spans="1:6" x14ac:dyDescent="0.35">
      <c r="A147" t="s">
        <v>1326</v>
      </c>
      <c r="B147" t="s">
        <v>1327</v>
      </c>
      <c r="C147" t="s">
        <v>1056</v>
      </c>
      <c r="D147" t="s">
        <v>13</v>
      </c>
      <c r="E147">
        <v>1093</v>
      </c>
      <c r="F147" t="str">
        <f>HYPERLINK("https://www.google.com/maps/search/?api=1&amp;query=24.39852132,44.89825764", "View Map")</f>
        <v>View Map</v>
      </c>
    </row>
    <row r="148" spans="1:6" x14ac:dyDescent="0.35">
      <c r="A148" t="s">
        <v>1328</v>
      </c>
      <c r="B148" t="s">
        <v>1329</v>
      </c>
      <c r="C148" t="s">
        <v>1056</v>
      </c>
      <c r="D148" t="s">
        <v>9</v>
      </c>
      <c r="E148">
        <v>1088</v>
      </c>
      <c r="F148" t="str">
        <f>HYPERLINK("https://www.google.com/maps/search/?api=1&amp;query=24.53277053,44.4336796", "View Map")</f>
        <v>View Map</v>
      </c>
    </row>
    <row r="149" spans="1:6" x14ac:dyDescent="0.35">
      <c r="A149" t="s">
        <v>1232</v>
      </c>
      <c r="B149" t="s">
        <v>1330</v>
      </c>
      <c r="C149" t="s">
        <v>1056</v>
      </c>
      <c r="D149" t="s">
        <v>9</v>
      </c>
      <c r="E149">
        <v>1084</v>
      </c>
      <c r="F149" t="str">
        <f>HYPERLINK("https://www.google.com/maps/search/?api=1&amp;query=25.1569913,44.60630394", "View Map")</f>
        <v>View Map</v>
      </c>
    </row>
    <row r="150" spans="1:6" x14ac:dyDescent="0.35">
      <c r="A150" t="s">
        <v>1331</v>
      </c>
      <c r="B150" t="s">
        <v>1332</v>
      </c>
      <c r="C150" t="s">
        <v>1116</v>
      </c>
      <c r="D150" t="s">
        <v>13</v>
      </c>
      <c r="E150">
        <v>1084</v>
      </c>
      <c r="F150" t="str">
        <f>HYPERLINK("https://www.google.com/maps/search/?api=1&amp;query=24.46606891,46.29434532", "View Map")</f>
        <v>View Map</v>
      </c>
    </row>
    <row r="151" spans="1:6" x14ac:dyDescent="0.35">
      <c r="A151" t="s">
        <v>1333</v>
      </c>
      <c r="B151" t="s">
        <v>1334</v>
      </c>
      <c r="C151" t="s">
        <v>1051</v>
      </c>
      <c r="D151" t="s">
        <v>9</v>
      </c>
      <c r="E151">
        <v>1072</v>
      </c>
      <c r="F151" t="str">
        <f>HYPERLINK("https://www.google.com/maps/search/?api=1&amp;query=24.3970045,45.32037439", "View Map")</f>
        <v>View Map</v>
      </c>
    </row>
    <row r="152" spans="1:6" x14ac:dyDescent="0.35">
      <c r="A152" t="s">
        <v>1335</v>
      </c>
      <c r="B152" t="s">
        <v>1336</v>
      </c>
      <c r="C152" t="s">
        <v>1051</v>
      </c>
      <c r="D152" t="s">
        <v>9</v>
      </c>
      <c r="E152">
        <v>1065</v>
      </c>
      <c r="F152" t="str">
        <f>HYPERLINK("https://www.google.com/maps/search/?api=1&amp;query=24.54918392,45.70646594", "View Map")</f>
        <v>View Map</v>
      </c>
    </row>
    <row r="153" spans="1:6" x14ac:dyDescent="0.35">
      <c r="A153" t="s">
        <v>1337</v>
      </c>
      <c r="B153" t="s">
        <v>1338</v>
      </c>
      <c r="C153" t="s">
        <v>1051</v>
      </c>
      <c r="D153" t="s">
        <v>9</v>
      </c>
      <c r="E153">
        <v>1060</v>
      </c>
      <c r="F153" t="str">
        <f>HYPERLINK("https://www.google.com/maps/search/?api=1&amp;query=23.49114061,44.38875764", "View Map")</f>
        <v>View Map</v>
      </c>
    </row>
    <row r="154" spans="1:6" x14ac:dyDescent="0.35">
      <c r="A154" t="s">
        <v>1339</v>
      </c>
      <c r="B154" t="s">
        <v>1340</v>
      </c>
      <c r="C154" t="s">
        <v>1056</v>
      </c>
      <c r="D154" t="s">
        <v>9</v>
      </c>
      <c r="E154">
        <v>1059</v>
      </c>
      <c r="F154" t="str">
        <f>HYPERLINK("https://www.google.com/maps/search/?api=1&amp;query=24.665876,43.66509156", "View Map")</f>
        <v>View Map</v>
      </c>
    </row>
    <row r="155" spans="1:6" x14ac:dyDescent="0.35">
      <c r="A155" t="s">
        <v>1341</v>
      </c>
      <c r="B155" t="s">
        <v>1342</v>
      </c>
      <c r="C155" t="s">
        <v>1056</v>
      </c>
      <c r="D155" t="s">
        <v>13</v>
      </c>
      <c r="E155">
        <v>1058</v>
      </c>
      <c r="F155" t="str">
        <f>HYPERLINK("https://www.google.com/maps/search/?api=1&amp;query=24.49680345,44.38447465", "View Map")</f>
        <v>View Map</v>
      </c>
    </row>
    <row r="156" spans="1:6" x14ac:dyDescent="0.35">
      <c r="A156" t="s">
        <v>1343</v>
      </c>
      <c r="B156" t="s">
        <v>1344</v>
      </c>
      <c r="C156" t="s">
        <v>1048</v>
      </c>
      <c r="D156" t="s">
        <v>9</v>
      </c>
      <c r="E156">
        <v>1052</v>
      </c>
      <c r="F156" t="str">
        <f>HYPERLINK("https://www.google.com/maps/search/?api=1&amp;query=23.61764317,45.40762776", "View Map")</f>
        <v>View Map</v>
      </c>
    </row>
    <row r="157" spans="1:6" x14ac:dyDescent="0.35">
      <c r="A157" t="s">
        <v>1345</v>
      </c>
      <c r="B157" t="s">
        <v>1346</v>
      </c>
      <c r="C157" t="s">
        <v>1051</v>
      </c>
      <c r="D157" t="s">
        <v>9</v>
      </c>
      <c r="E157">
        <v>1041</v>
      </c>
      <c r="F157" t="str">
        <f>HYPERLINK("https://www.google.com/maps/search/?api=1&amp;query=23.61969235,44.76419941", "View Map")</f>
        <v>View Map</v>
      </c>
    </row>
    <row r="158" spans="1:6" x14ac:dyDescent="0.35">
      <c r="A158" t="s">
        <v>1347</v>
      </c>
      <c r="B158" t="s">
        <v>1348</v>
      </c>
      <c r="C158" t="s">
        <v>1063</v>
      </c>
      <c r="D158" t="s">
        <v>9</v>
      </c>
      <c r="E158">
        <v>1041</v>
      </c>
      <c r="F158" t="str">
        <f>HYPERLINK("https://www.google.com/maps/search/?api=1&amp;query=24.22769,42.70057167", "View Map")</f>
        <v>View Map</v>
      </c>
    </row>
    <row r="159" spans="1:6" x14ac:dyDescent="0.35">
      <c r="A159" t="s">
        <v>1349</v>
      </c>
      <c r="B159" t="s">
        <v>1350</v>
      </c>
      <c r="C159" t="s">
        <v>1056</v>
      </c>
      <c r="D159" t="s">
        <v>9</v>
      </c>
      <c r="E159">
        <v>1040</v>
      </c>
      <c r="F159" t="str">
        <f>HYPERLINK("https://www.google.com/maps/search/?api=1&amp;query=25.16928226,44.57765356", "View Map")</f>
        <v>View Map</v>
      </c>
    </row>
    <row r="160" spans="1:6" x14ac:dyDescent="0.35">
      <c r="A160" t="s">
        <v>1351</v>
      </c>
      <c r="B160" t="s">
        <v>1352</v>
      </c>
      <c r="C160" t="s">
        <v>1048</v>
      </c>
      <c r="D160" t="s">
        <v>9</v>
      </c>
      <c r="E160">
        <v>1037</v>
      </c>
      <c r="F160" t="str">
        <f>HYPERLINK("https://www.google.com/maps/search/?api=1&amp;query=22.98002353,45.44134153", "View Map")</f>
        <v>View Map</v>
      </c>
    </row>
    <row r="161" spans="1:6" x14ac:dyDescent="0.35">
      <c r="A161" t="s">
        <v>1085</v>
      </c>
      <c r="B161" t="s">
        <v>1353</v>
      </c>
      <c r="C161" t="s">
        <v>1056</v>
      </c>
      <c r="D161" t="s">
        <v>13</v>
      </c>
      <c r="E161">
        <v>1036</v>
      </c>
      <c r="F161" t="str">
        <f>HYPERLINK("https://www.google.com/maps/search/?api=1&amp;query=24.512779,44.39554229", "View Map")</f>
        <v>View Map</v>
      </c>
    </row>
    <row r="162" spans="1:6" x14ac:dyDescent="0.35">
      <c r="A162" t="s">
        <v>1354</v>
      </c>
      <c r="B162" t="s">
        <v>1355</v>
      </c>
      <c r="C162" t="s">
        <v>1051</v>
      </c>
      <c r="D162" t="s">
        <v>9</v>
      </c>
      <c r="E162">
        <v>1035</v>
      </c>
      <c r="F162" t="str">
        <f>HYPERLINK("https://www.google.com/maps/search/?api=1&amp;query=23.99629295,45.39097411", "View Map")</f>
        <v>View Map</v>
      </c>
    </row>
    <row r="163" spans="1:6" x14ac:dyDescent="0.35">
      <c r="A163" t="s">
        <v>1356</v>
      </c>
      <c r="B163" t="s">
        <v>1357</v>
      </c>
      <c r="C163" t="s">
        <v>1051</v>
      </c>
      <c r="D163" t="s">
        <v>9</v>
      </c>
      <c r="E163">
        <v>1032</v>
      </c>
      <c r="F163" t="str">
        <f>HYPERLINK("https://www.google.com/maps/search/?api=1&amp;query=23.47946687,44.37419879", "View Map")</f>
        <v>View Map</v>
      </c>
    </row>
    <row r="164" spans="1:6" x14ac:dyDescent="0.35">
      <c r="A164" t="s">
        <v>1358</v>
      </c>
      <c r="B164" t="s">
        <v>1359</v>
      </c>
      <c r="C164" t="s">
        <v>1056</v>
      </c>
      <c r="D164" t="s">
        <v>9</v>
      </c>
      <c r="E164">
        <v>1029</v>
      </c>
      <c r="F164" t="str">
        <f>HYPERLINK("https://www.google.com/maps/search/?api=1&amp;query=24.49316076,44.38408946", "View Map")</f>
        <v>View Map</v>
      </c>
    </row>
    <row r="165" spans="1:6" x14ac:dyDescent="0.35">
      <c r="A165" t="s">
        <v>1360</v>
      </c>
      <c r="B165" t="s">
        <v>1361</v>
      </c>
      <c r="C165" t="s">
        <v>1056</v>
      </c>
      <c r="D165" t="s">
        <v>9</v>
      </c>
      <c r="E165">
        <v>1016</v>
      </c>
      <c r="F165" t="str">
        <f>HYPERLINK("https://www.google.com/maps/search/?api=1&amp;query=25.20792934,44.59124785", "View Map")</f>
        <v>View Map</v>
      </c>
    </row>
    <row r="166" spans="1:6" x14ac:dyDescent="0.35">
      <c r="A166" t="s">
        <v>1362</v>
      </c>
      <c r="B166" t="s">
        <v>1363</v>
      </c>
      <c r="C166" t="s">
        <v>1051</v>
      </c>
      <c r="D166" t="s">
        <v>9</v>
      </c>
      <c r="E166">
        <v>1015</v>
      </c>
      <c r="F166" t="str">
        <f>HYPERLINK("https://www.google.com/maps/search/?api=1&amp;query=24.0588756,45.27448845", "View Map")</f>
        <v>View Map</v>
      </c>
    </row>
    <row r="167" spans="1:6" x14ac:dyDescent="0.35">
      <c r="A167" t="s">
        <v>1364</v>
      </c>
      <c r="B167" t="s">
        <v>1365</v>
      </c>
      <c r="C167" t="s">
        <v>1048</v>
      </c>
      <c r="D167" t="s">
        <v>13</v>
      </c>
      <c r="E167">
        <v>1014</v>
      </c>
      <c r="F167" t="str">
        <f>HYPERLINK("https://www.google.com/maps/search/?api=1&amp;query=22.6545339,44.78875066", "View Map")</f>
        <v>View Map</v>
      </c>
    </row>
    <row r="168" spans="1:6" x14ac:dyDescent="0.35">
      <c r="A168" t="s">
        <v>1366</v>
      </c>
      <c r="B168" t="s">
        <v>1367</v>
      </c>
      <c r="C168" t="s">
        <v>1095</v>
      </c>
      <c r="D168" t="s">
        <v>9</v>
      </c>
      <c r="E168">
        <v>1014</v>
      </c>
      <c r="F168" t="str">
        <f>HYPERLINK("https://www.google.com/maps/search/?api=1&amp;query=24.50587939,46.35950958", "View Map")</f>
        <v>View Map</v>
      </c>
    </row>
    <row r="169" spans="1:6" x14ac:dyDescent="0.35">
      <c r="A169" t="s">
        <v>1368</v>
      </c>
      <c r="B169" t="s">
        <v>1369</v>
      </c>
      <c r="C169" t="s">
        <v>1056</v>
      </c>
      <c r="D169" t="s">
        <v>9</v>
      </c>
      <c r="E169">
        <v>1012</v>
      </c>
      <c r="F169" t="str">
        <f>HYPERLINK("https://www.google.com/maps/search/?api=1&amp;query=24.57128333,43.62901", "View Map")</f>
        <v>View Map</v>
      </c>
    </row>
    <row r="170" spans="1:6" x14ac:dyDescent="0.35">
      <c r="A170" t="s">
        <v>1370</v>
      </c>
      <c r="B170" t="s">
        <v>1371</v>
      </c>
      <c r="C170" t="s">
        <v>1116</v>
      </c>
      <c r="D170" t="s">
        <v>13</v>
      </c>
      <c r="E170">
        <v>1011</v>
      </c>
      <c r="F170" t="str">
        <f>HYPERLINK("https://www.google.com/maps/search/?api=1&amp;query=24.42853834,46.1992681", "View Map")</f>
        <v>View Map</v>
      </c>
    </row>
    <row r="171" spans="1:6" x14ac:dyDescent="0.35">
      <c r="A171" t="s">
        <v>1085</v>
      </c>
      <c r="B171" t="s">
        <v>1372</v>
      </c>
      <c r="C171" t="s">
        <v>1056</v>
      </c>
      <c r="D171" t="s">
        <v>9</v>
      </c>
      <c r="E171">
        <v>1011</v>
      </c>
      <c r="F171" t="str">
        <f>HYPERLINK("https://www.google.com/maps/search/?api=1&amp;query=24.56182285,44.45489738", "View Map")</f>
        <v>View Map</v>
      </c>
    </row>
    <row r="172" spans="1:6" x14ac:dyDescent="0.35">
      <c r="A172" t="s">
        <v>1278</v>
      </c>
      <c r="B172" t="s">
        <v>1373</v>
      </c>
      <c r="C172" t="s">
        <v>1048</v>
      </c>
      <c r="D172" t="s">
        <v>9</v>
      </c>
      <c r="E172">
        <v>1006</v>
      </c>
      <c r="F172" t="str">
        <f>HYPERLINK("https://www.google.com/maps/search/?api=1&amp;query=23.34714357,45.24884866", "View Map")</f>
        <v>View Map</v>
      </c>
    </row>
    <row r="173" spans="1:6" x14ac:dyDescent="0.35">
      <c r="A173" t="s">
        <v>1141</v>
      </c>
      <c r="B173" t="s">
        <v>1374</v>
      </c>
      <c r="C173" t="s">
        <v>1056</v>
      </c>
      <c r="D173" t="s">
        <v>9</v>
      </c>
      <c r="E173">
        <v>1002</v>
      </c>
      <c r="F173" t="str">
        <f>HYPERLINK("https://www.google.com/maps/search/?api=1&amp;query=24.4955568,44.38286592", "View Map")</f>
        <v>View Map</v>
      </c>
    </row>
    <row r="174" spans="1:6" x14ac:dyDescent="0.35">
      <c r="A174" t="s">
        <v>1375</v>
      </c>
      <c r="B174" t="s">
        <v>1376</v>
      </c>
      <c r="C174" t="s">
        <v>1051</v>
      </c>
      <c r="D174" t="s">
        <v>9</v>
      </c>
      <c r="E174">
        <v>1001</v>
      </c>
      <c r="F174" t="str">
        <f>HYPERLINK("https://www.google.com/maps/search/?api=1&amp;query=24.09731708,45.33097938", "View Map")</f>
        <v>View Map</v>
      </c>
    </row>
    <row r="175" spans="1:6" x14ac:dyDescent="0.35">
      <c r="A175" t="s">
        <v>1377</v>
      </c>
      <c r="B175" t="s">
        <v>1378</v>
      </c>
      <c r="C175" t="s">
        <v>1056</v>
      </c>
      <c r="D175" t="s">
        <v>9</v>
      </c>
      <c r="E175">
        <v>1000</v>
      </c>
      <c r="F175" t="str">
        <f>HYPERLINK("https://www.google.com/maps/search/?api=1&amp;query=25.07941817,44.69805022", "View Map")</f>
        <v>View Map</v>
      </c>
    </row>
    <row r="176" spans="1:6" x14ac:dyDescent="0.35">
      <c r="A176" t="s">
        <v>1379</v>
      </c>
      <c r="B176" t="s">
        <v>1380</v>
      </c>
      <c r="C176" t="s">
        <v>1051</v>
      </c>
      <c r="D176" t="s">
        <v>13</v>
      </c>
      <c r="E176">
        <v>996</v>
      </c>
      <c r="F176" t="str">
        <f>HYPERLINK("https://www.google.com/maps/search/?api=1&amp;query=24.08997225,45.30382836", "View Map")</f>
        <v>View Map</v>
      </c>
    </row>
    <row r="177" spans="1:6" x14ac:dyDescent="0.35">
      <c r="A177" t="s">
        <v>1381</v>
      </c>
      <c r="B177" t="s">
        <v>1382</v>
      </c>
      <c r="C177" t="s">
        <v>1056</v>
      </c>
      <c r="D177" t="s">
        <v>13</v>
      </c>
      <c r="E177">
        <v>993</v>
      </c>
      <c r="F177" t="str">
        <f>HYPERLINK("https://www.google.com/maps/search/?api=1&amp;query=24.63673101,43.69790053", "View Map")</f>
        <v>View Map</v>
      </c>
    </row>
    <row r="178" spans="1:6" x14ac:dyDescent="0.35">
      <c r="A178" t="s">
        <v>1383</v>
      </c>
      <c r="B178" t="s">
        <v>1384</v>
      </c>
      <c r="C178" t="s">
        <v>1056</v>
      </c>
      <c r="D178" t="s">
        <v>9</v>
      </c>
      <c r="E178">
        <v>990</v>
      </c>
      <c r="F178" t="str">
        <f>HYPERLINK("https://www.google.com/maps/search/?api=1&amp;query=24.49590651,44.36771317", "View Map")</f>
        <v>View Map</v>
      </c>
    </row>
    <row r="179" spans="1:6" x14ac:dyDescent="0.35">
      <c r="A179" t="s">
        <v>1385</v>
      </c>
      <c r="B179" t="s">
        <v>1386</v>
      </c>
      <c r="C179" t="s">
        <v>1056</v>
      </c>
      <c r="D179" t="s">
        <v>13</v>
      </c>
      <c r="E179">
        <v>989</v>
      </c>
      <c r="F179" t="str">
        <f>HYPERLINK("https://www.google.com/maps/search/?api=1&amp;query=25.07899236,44.61324798", "View Map")</f>
        <v>View Map</v>
      </c>
    </row>
    <row r="180" spans="1:6" x14ac:dyDescent="0.35">
      <c r="A180" t="s">
        <v>1319</v>
      </c>
      <c r="B180" t="s">
        <v>1387</v>
      </c>
      <c r="C180" t="s">
        <v>1056</v>
      </c>
      <c r="D180" t="s">
        <v>13</v>
      </c>
      <c r="E180">
        <v>987</v>
      </c>
      <c r="F180" t="str">
        <f>HYPERLINK("https://www.google.com/maps/search/?api=1&amp;query=24.30176787,43.77260116", "View Map")</f>
        <v>View Map</v>
      </c>
    </row>
    <row r="181" spans="1:6" x14ac:dyDescent="0.35">
      <c r="A181" t="s">
        <v>1108</v>
      </c>
      <c r="B181" t="s">
        <v>1388</v>
      </c>
      <c r="C181" t="s">
        <v>1056</v>
      </c>
      <c r="D181" t="s">
        <v>9</v>
      </c>
      <c r="E181">
        <v>981</v>
      </c>
      <c r="F181" t="str">
        <f>HYPERLINK("https://www.google.com/maps/search/?api=1&amp;query=24.5272251,44.39335204", "View Map")</f>
        <v>View Map</v>
      </c>
    </row>
    <row r="182" spans="1:6" x14ac:dyDescent="0.35">
      <c r="A182" t="s">
        <v>1389</v>
      </c>
      <c r="B182" t="s">
        <v>1390</v>
      </c>
      <c r="C182" t="s">
        <v>1095</v>
      </c>
      <c r="D182" t="s">
        <v>9</v>
      </c>
      <c r="E182">
        <v>979</v>
      </c>
      <c r="F182" t="str">
        <f>HYPERLINK("https://www.google.com/maps/search/?api=1&amp;query=24.48880287,46.36998394", "View Map")</f>
        <v>View Map</v>
      </c>
    </row>
    <row r="183" spans="1:6" x14ac:dyDescent="0.35">
      <c r="A183" t="s">
        <v>1391</v>
      </c>
      <c r="B183" t="s">
        <v>1392</v>
      </c>
      <c r="C183" t="s">
        <v>1051</v>
      </c>
      <c r="D183" t="s">
        <v>9</v>
      </c>
      <c r="E183">
        <v>969</v>
      </c>
      <c r="F183" t="str">
        <f>HYPERLINK("https://www.google.com/maps/search/?api=1&amp;query=23.84872371,44.99574978", "View Map")</f>
        <v>View Map</v>
      </c>
    </row>
    <row r="184" spans="1:6" x14ac:dyDescent="0.35">
      <c r="A184" t="s">
        <v>1165</v>
      </c>
      <c r="B184" t="s">
        <v>1393</v>
      </c>
      <c r="C184" t="s">
        <v>1116</v>
      </c>
      <c r="D184" t="s">
        <v>9</v>
      </c>
      <c r="E184">
        <v>950</v>
      </c>
      <c r="F184" t="str">
        <f>HYPERLINK("https://www.google.com/maps/search/?api=1&amp;query=24.47628007,46.26872917", "View Map")</f>
        <v>View Map</v>
      </c>
    </row>
    <row r="185" spans="1:6" x14ac:dyDescent="0.35">
      <c r="A185" t="s">
        <v>1394</v>
      </c>
      <c r="B185" t="s">
        <v>1395</v>
      </c>
      <c r="C185" t="s">
        <v>1056</v>
      </c>
      <c r="D185" t="s">
        <v>9</v>
      </c>
      <c r="E185">
        <v>946</v>
      </c>
      <c r="F185" t="str">
        <f>HYPERLINK("https://www.google.com/maps/search/?api=1&amp;query=25.40020482,44.15474261", "View Map")</f>
        <v>View Map</v>
      </c>
    </row>
    <row r="186" spans="1:6" x14ac:dyDescent="0.35">
      <c r="A186" t="s">
        <v>1165</v>
      </c>
      <c r="B186" t="s">
        <v>1396</v>
      </c>
      <c r="C186" t="s">
        <v>1116</v>
      </c>
      <c r="D186" t="s">
        <v>9</v>
      </c>
      <c r="E186">
        <v>946</v>
      </c>
      <c r="F186" t="str">
        <f>HYPERLINK("https://www.google.com/maps/search/?api=1&amp;query=24.48731486,46.25788611", "View Map")</f>
        <v>View Map</v>
      </c>
    </row>
    <row r="187" spans="1:6" x14ac:dyDescent="0.35">
      <c r="A187" t="s">
        <v>1397</v>
      </c>
      <c r="B187" t="s">
        <v>1398</v>
      </c>
      <c r="C187" t="s">
        <v>1056</v>
      </c>
      <c r="D187" t="s">
        <v>9</v>
      </c>
      <c r="E187">
        <v>943</v>
      </c>
      <c r="F187" t="str">
        <f>HYPERLINK("https://www.google.com/maps/search/?api=1&amp;query=24.75703037,43.77613327", "View Map")</f>
        <v>View Map</v>
      </c>
    </row>
    <row r="188" spans="1:6" x14ac:dyDescent="0.35">
      <c r="A188" t="s">
        <v>1399</v>
      </c>
      <c r="B188" t="s">
        <v>1400</v>
      </c>
      <c r="C188" t="s">
        <v>1116</v>
      </c>
      <c r="D188" t="s">
        <v>9</v>
      </c>
      <c r="E188">
        <v>931</v>
      </c>
      <c r="F188" t="str">
        <f>HYPERLINK("https://www.google.com/maps/search/?api=1&amp;query=24.47174856,46.26727057", "View Map")</f>
        <v>View Map</v>
      </c>
    </row>
    <row r="189" spans="1:6" x14ac:dyDescent="0.35">
      <c r="A189" t="s">
        <v>1401</v>
      </c>
      <c r="B189" t="s">
        <v>1402</v>
      </c>
      <c r="C189" t="s">
        <v>1048</v>
      </c>
      <c r="D189" t="s">
        <v>9</v>
      </c>
      <c r="E189">
        <v>931</v>
      </c>
      <c r="F189" t="str">
        <f>HYPERLINK("https://www.google.com/maps/search/?api=1&amp;query=23.2414569,45.50613701", "View Map")</f>
        <v>View Map</v>
      </c>
    </row>
    <row r="190" spans="1:6" x14ac:dyDescent="0.35">
      <c r="A190" t="s">
        <v>611</v>
      </c>
      <c r="B190" t="s">
        <v>1403</v>
      </c>
      <c r="C190" t="s">
        <v>1051</v>
      </c>
      <c r="D190" t="s">
        <v>9</v>
      </c>
      <c r="E190">
        <v>931</v>
      </c>
      <c r="F190" t="str">
        <f>HYPERLINK("https://www.google.com/maps/search/?api=1&amp;query=24.07626638,45.30074534", "View Map")</f>
        <v>View Map</v>
      </c>
    </row>
    <row r="191" spans="1:6" x14ac:dyDescent="0.35">
      <c r="A191" t="s">
        <v>1404</v>
      </c>
      <c r="B191" t="s">
        <v>1405</v>
      </c>
      <c r="C191" t="s">
        <v>1116</v>
      </c>
      <c r="D191" t="s">
        <v>9</v>
      </c>
      <c r="E191">
        <v>931</v>
      </c>
      <c r="F191" t="str">
        <f>HYPERLINK("https://www.google.com/maps/search/?api=1&amp;query=24.49231809,46.26368629", "View Map")</f>
        <v>View Map</v>
      </c>
    </row>
    <row r="192" spans="1:6" x14ac:dyDescent="0.35">
      <c r="A192" t="s">
        <v>1406</v>
      </c>
      <c r="B192" t="s">
        <v>1407</v>
      </c>
      <c r="C192" t="s">
        <v>1056</v>
      </c>
      <c r="D192" t="s">
        <v>9</v>
      </c>
      <c r="E192">
        <v>929</v>
      </c>
      <c r="F192" t="str">
        <f>HYPERLINK("https://www.google.com/maps/search/?api=1&amp;query=25.28375449,44.56906662", "View Map")</f>
        <v>View Map</v>
      </c>
    </row>
    <row r="193" spans="1:6" x14ac:dyDescent="0.35">
      <c r="A193" t="s">
        <v>1408</v>
      </c>
      <c r="B193" t="s">
        <v>1409</v>
      </c>
      <c r="C193" t="s">
        <v>1051</v>
      </c>
      <c r="D193" t="s">
        <v>9</v>
      </c>
      <c r="E193">
        <v>928</v>
      </c>
      <c r="F193" t="str">
        <f>HYPERLINK("https://www.google.com/maps/search/?api=1&amp;query=24.03555914,45.05791535", "View Map")</f>
        <v>View Map</v>
      </c>
    </row>
    <row r="194" spans="1:6" x14ac:dyDescent="0.35">
      <c r="A194" t="s">
        <v>1410</v>
      </c>
      <c r="B194" t="s">
        <v>1411</v>
      </c>
      <c r="C194" t="s">
        <v>1051</v>
      </c>
      <c r="D194" t="s">
        <v>9</v>
      </c>
      <c r="E194">
        <v>926</v>
      </c>
      <c r="F194" t="str">
        <f>HYPERLINK("https://www.google.com/maps/search/?api=1&amp;query=24.07626638,45.30074534", "View Map")</f>
        <v>View Map</v>
      </c>
    </row>
    <row r="195" spans="1:6" x14ac:dyDescent="0.35">
      <c r="A195" t="s">
        <v>1375</v>
      </c>
      <c r="B195" t="s">
        <v>1412</v>
      </c>
      <c r="C195" t="s">
        <v>1051</v>
      </c>
      <c r="D195" t="s">
        <v>9</v>
      </c>
      <c r="E195">
        <v>916</v>
      </c>
      <c r="F195" t="str">
        <f>HYPERLINK("https://www.google.com/maps/search/?api=1&amp;query=24.07827295,45.28418758", "View Map")</f>
        <v>View Map</v>
      </c>
    </row>
    <row r="196" spans="1:6" x14ac:dyDescent="0.35">
      <c r="A196" t="s">
        <v>1413</v>
      </c>
      <c r="B196" t="s">
        <v>1414</v>
      </c>
      <c r="C196" t="s">
        <v>1056</v>
      </c>
      <c r="D196" t="s">
        <v>9</v>
      </c>
      <c r="E196">
        <v>911</v>
      </c>
      <c r="F196" t="str">
        <f>HYPERLINK("https://www.google.com/maps/search/?api=1&amp;query=25.06395253,44.70479986", "View Map")</f>
        <v>View Map</v>
      </c>
    </row>
    <row r="197" spans="1:6" x14ac:dyDescent="0.35">
      <c r="A197" t="s">
        <v>1415</v>
      </c>
      <c r="B197" t="s">
        <v>1416</v>
      </c>
      <c r="C197" t="s">
        <v>1095</v>
      </c>
      <c r="D197" t="s">
        <v>9</v>
      </c>
      <c r="E197">
        <v>910</v>
      </c>
      <c r="F197" t="str">
        <f>HYPERLINK("https://www.google.com/maps/search/?api=1&amp;query=24.49360153,46.1677013", "View Map")</f>
        <v>View Map</v>
      </c>
    </row>
    <row r="198" spans="1:6" x14ac:dyDescent="0.35">
      <c r="A198" t="s">
        <v>1417</v>
      </c>
      <c r="B198" t="s">
        <v>1418</v>
      </c>
      <c r="C198" t="s">
        <v>1056</v>
      </c>
      <c r="D198" t="s">
        <v>9</v>
      </c>
      <c r="E198">
        <v>907</v>
      </c>
      <c r="F198" t="str">
        <f>HYPERLINK("https://www.google.com/maps/search/?api=1&amp;query=24.2926481,43.75233461", "View Map")</f>
        <v>View Map</v>
      </c>
    </row>
    <row r="199" spans="1:6" x14ac:dyDescent="0.35">
      <c r="A199" t="s">
        <v>1419</v>
      </c>
      <c r="B199" t="s">
        <v>1420</v>
      </c>
      <c r="C199" t="s">
        <v>1056</v>
      </c>
      <c r="D199" t="s">
        <v>9</v>
      </c>
      <c r="E199">
        <v>903</v>
      </c>
      <c r="F199" t="str">
        <f>HYPERLINK("https://www.google.com/maps/search/?api=1&amp;query=24.65914582,43.65764723", "View Map")</f>
        <v>View Map</v>
      </c>
    </row>
    <row r="200" spans="1:6" x14ac:dyDescent="0.35">
      <c r="A200" t="s">
        <v>1108</v>
      </c>
      <c r="B200" t="s">
        <v>1421</v>
      </c>
      <c r="C200" t="s">
        <v>1056</v>
      </c>
      <c r="D200" t="s">
        <v>9</v>
      </c>
      <c r="E200">
        <v>899</v>
      </c>
      <c r="F200" t="str">
        <f>HYPERLINK("https://www.google.com/maps/search/?api=1&amp;query=24.5164214,44.37374979", "View Map")</f>
        <v>View Map</v>
      </c>
    </row>
    <row r="201" spans="1:6" x14ac:dyDescent="0.35">
      <c r="A201" t="s">
        <v>1422</v>
      </c>
      <c r="B201" t="s">
        <v>1423</v>
      </c>
      <c r="C201" t="s">
        <v>1116</v>
      </c>
      <c r="D201" t="s">
        <v>9</v>
      </c>
      <c r="E201">
        <v>893</v>
      </c>
      <c r="F201" t="str">
        <f>HYPERLINK("https://www.google.com/maps/search/?api=1&amp;query=24.36809771,46.43821997", "View Map")</f>
        <v>View Map</v>
      </c>
    </row>
    <row r="202" spans="1:6" x14ac:dyDescent="0.35">
      <c r="A202" t="s">
        <v>1424</v>
      </c>
      <c r="B202" t="s">
        <v>1425</v>
      </c>
      <c r="C202" t="s">
        <v>1056</v>
      </c>
      <c r="D202" t="s">
        <v>9</v>
      </c>
      <c r="E202">
        <v>887</v>
      </c>
      <c r="F202" t="str">
        <f>HYPERLINK("https://www.google.com/maps/search/?api=1&amp;query=24.49771298,44.37919287", "View Map")</f>
        <v>View Map</v>
      </c>
    </row>
    <row r="203" spans="1:6" x14ac:dyDescent="0.35">
      <c r="A203" t="s">
        <v>1426</v>
      </c>
      <c r="B203" t="s">
        <v>1427</v>
      </c>
      <c r="C203" t="s">
        <v>1056</v>
      </c>
      <c r="D203" t="s">
        <v>9</v>
      </c>
      <c r="E203">
        <v>886</v>
      </c>
      <c r="F203" t="str">
        <f>HYPERLINK("https://www.google.com/maps/search/?api=1&amp;query=24.7369979,44.2965343", "View Map")</f>
        <v>View Map</v>
      </c>
    </row>
    <row r="204" spans="1:6" x14ac:dyDescent="0.35">
      <c r="A204" t="s">
        <v>1428</v>
      </c>
      <c r="B204" t="s">
        <v>1429</v>
      </c>
      <c r="C204" t="s">
        <v>1095</v>
      </c>
      <c r="D204" t="s">
        <v>9</v>
      </c>
      <c r="E204">
        <v>882</v>
      </c>
      <c r="F204" t="str">
        <f>HYPERLINK("https://www.google.com/maps/search/?api=1&amp;query=24.59621794,46.12841797", "View Map")</f>
        <v>View Map</v>
      </c>
    </row>
    <row r="205" spans="1:6" x14ac:dyDescent="0.35">
      <c r="A205" t="s">
        <v>1430</v>
      </c>
      <c r="B205" t="s">
        <v>1431</v>
      </c>
      <c r="C205" t="s">
        <v>1056</v>
      </c>
      <c r="D205" t="s">
        <v>9</v>
      </c>
      <c r="E205">
        <v>879</v>
      </c>
      <c r="F205" t="str">
        <f>HYPERLINK("https://www.google.com/maps/search/?api=1&amp;query=24.6830547,43.6812741", "View Map")</f>
        <v>View Map</v>
      </c>
    </row>
    <row r="206" spans="1:6" x14ac:dyDescent="0.35">
      <c r="A206" t="s">
        <v>1300</v>
      </c>
      <c r="B206" t="s">
        <v>1432</v>
      </c>
      <c r="C206" t="s">
        <v>1063</v>
      </c>
      <c r="D206" t="s">
        <v>9</v>
      </c>
      <c r="E206">
        <v>878</v>
      </c>
      <c r="F206" t="str">
        <f>HYPERLINK("https://www.google.com/maps/search/?api=1&amp;query=23.91826117,42.93859601", "View Map")</f>
        <v>View Map</v>
      </c>
    </row>
    <row r="207" spans="1:6" x14ac:dyDescent="0.35">
      <c r="A207" t="s">
        <v>1433</v>
      </c>
      <c r="B207" t="s">
        <v>1434</v>
      </c>
      <c r="C207" t="s">
        <v>1048</v>
      </c>
      <c r="D207" t="s">
        <v>9</v>
      </c>
      <c r="E207">
        <v>878</v>
      </c>
      <c r="F207" t="str">
        <f>HYPERLINK("https://www.google.com/maps/search/?api=1&amp;query=22.7913333,45.0354997", "View Map")</f>
        <v>View Map</v>
      </c>
    </row>
    <row r="208" spans="1:6" x14ac:dyDescent="0.35">
      <c r="A208" t="s">
        <v>1435</v>
      </c>
      <c r="B208" t="s">
        <v>1436</v>
      </c>
      <c r="C208" t="s">
        <v>1095</v>
      </c>
      <c r="D208" t="s">
        <v>9</v>
      </c>
      <c r="E208">
        <v>871</v>
      </c>
      <c r="F208" t="str">
        <f>HYPERLINK("https://www.google.com/maps/search/?api=1&amp;query=24.49870293,46.13917281", "View Map")</f>
        <v>View Map</v>
      </c>
    </row>
    <row r="209" spans="1:6" x14ac:dyDescent="0.35">
      <c r="A209" t="s">
        <v>1437</v>
      </c>
      <c r="B209" t="s">
        <v>1438</v>
      </c>
      <c r="C209" t="s">
        <v>1051</v>
      </c>
      <c r="D209" t="s">
        <v>9</v>
      </c>
      <c r="E209">
        <v>864</v>
      </c>
      <c r="F209" t="str">
        <f>HYPERLINK("https://www.google.com/maps/search/?api=1&amp;query=23.6103233,44.4867038", "View Map")</f>
        <v>View Map</v>
      </c>
    </row>
    <row r="210" spans="1:6" x14ac:dyDescent="0.35">
      <c r="A210" t="s">
        <v>1439</v>
      </c>
      <c r="B210" t="s">
        <v>1440</v>
      </c>
      <c r="C210" t="s">
        <v>1056</v>
      </c>
      <c r="D210" t="s">
        <v>9</v>
      </c>
      <c r="E210">
        <v>860</v>
      </c>
      <c r="F210" t="str">
        <f>HYPERLINK("https://www.google.com/maps/search/?api=1&amp;query=24.50972325,44.3747644", "View Map")</f>
        <v>View Map</v>
      </c>
    </row>
    <row r="211" spans="1:6" x14ac:dyDescent="0.35">
      <c r="A211" t="s">
        <v>1441</v>
      </c>
      <c r="B211" t="s">
        <v>1442</v>
      </c>
      <c r="C211" t="s">
        <v>1051</v>
      </c>
      <c r="D211" t="s">
        <v>9</v>
      </c>
      <c r="E211">
        <v>855</v>
      </c>
      <c r="F211" t="str">
        <f>HYPERLINK("https://www.google.com/maps/search/?api=1&amp;query=24.10969803,45.4951596", "View Map")</f>
        <v>View Map</v>
      </c>
    </row>
    <row r="212" spans="1:6" x14ac:dyDescent="0.35">
      <c r="A212" t="s">
        <v>1443</v>
      </c>
      <c r="B212" t="s">
        <v>1444</v>
      </c>
      <c r="C212" t="s">
        <v>1116</v>
      </c>
      <c r="D212" t="s">
        <v>9</v>
      </c>
      <c r="E212">
        <v>855</v>
      </c>
      <c r="F212" t="str">
        <f>HYPERLINK("https://www.google.com/maps/search/?api=1&amp;query=24.45661359,46.27702627", "View Map")</f>
        <v>View Map</v>
      </c>
    </row>
    <row r="213" spans="1:6" x14ac:dyDescent="0.35">
      <c r="A213" t="s">
        <v>1445</v>
      </c>
      <c r="B213" t="s">
        <v>1446</v>
      </c>
      <c r="C213" t="s">
        <v>1095</v>
      </c>
      <c r="D213" t="s">
        <v>9</v>
      </c>
      <c r="E213">
        <v>849</v>
      </c>
      <c r="F213" t="str">
        <f>HYPERLINK("https://www.google.com/maps/search/?api=1&amp;query=24.4898084,46.15595134", "View Map")</f>
        <v>View Map</v>
      </c>
    </row>
    <row r="214" spans="1:6" x14ac:dyDescent="0.35">
      <c r="A214" t="s">
        <v>1447</v>
      </c>
      <c r="B214" t="s">
        <v>1448</v>
      </c>
      <c r="C214" t="s">
        <v>1051</v>
      </c>
      <c r="D214" t="s">
        <v>9</v>
      </c>
      <c r="E214">
        <v>848</v>
      </c>
      <c r="F214" t="str">
        <f>HYPERLINK("https://www.google.com/maps/search/?api=1&amp;query=23.64731482,44.74911117", "View Map")</f>
        <v>View Map</v>
      </c>
    </row>
    <row r="215" spans="1:6" x14ac:dyDescent="0.35">
      <c r="A215" t="s">
        <v>1165</v>
      </c>
      <c r="B215" t="s">
        <v>1449</v>
      </c>
      <c r="C215" t="s">
        <v>1095</v>
      </c>
      <c r="D215" t="s">
        <v>9</v>
      </c>
      <c r="E215">
        <v>843</v>
      </c>
      <c r="F215" t="str">
        <f>HYPERLINK("https://www.google.com/maps/search/?api=1&amp;query=24.47364713,46.20741669", "View Map")</f>
        <v>View Map</v>
      </c>
    </row>
    <row r="216" spans="1:6" x14ac:dyDescent="0.35">
      <c r="A216" t="s">
        <v>1073</v>
      </c>
      <c r="B216" t="s">
        <v>1450</v>
      </c>
      <c r="C216" t="s">
        <v>1051</v>
      </c>
      <c r="D216" t="s">
        <v>9</v>
      </c>
      <c r="E216">
        <v>830</v>
      </c>
      <c r="F216" t="str">
        <f>HYPERLINK("https://www.google.com/maps/search/?api=1&amp;query=23.87722354,45.00571076", "View Map")</f>
        <v>View Map</v>
      </c>
    </row>
    <row r="217" spans="1:6" x14ac:dyDescent="0.35">
      <c r="A217" t="s">
        <v>1451</v>
      </c>
      <c r="B217" t="s">
        <v>1452</v>
      </c>
      <c r="C217" t="s">
        <v>1048</v>
      </c>
      <c r="D217" t="s">
        <v>9</v>
      </c>
      <c r="E217">
        <v>827</v>
      </c>
      <c r="F217" t="str">
        <f>HYPERLINK("https://www.google.com/maps/search/?api=1&amp;query=23.21597384,45.43638283", "View Map")</f>
        <v>View Map</v>
      </c>
    </row>
    <row r="218" spans="1:6" x14ac:dyDescent="0.35">
      <c r="A218" t="s">
        <v>1453</v>
      </c>
      <c r="B218" t="s">
        <v>1454</v>
      </c>
      <c r="C218" t="s">
        <v>1116</v>
      </c>
      <c r="D218" t="s">
        <v>9</v>
      </c>
      <c r="E218">
        <v>827</v>
      </c>
      <c r="F218" t="str">
        <f>HYPERLINK("https://www.google.com/maps/search/?api=1&amp;query=24.47357178,46.30125989", "View Map")</f>
        <v>View Map</v>
      </c>
    </row>
    <row r="219" spans="1:6" x14ac:dyDescent="0.35">
      <c r="A219" t="s">
        <v>1455</v>
      </c>
      <c r="B219" t="s">
        <v>1456</v>
      </c>
      <c r="C219" t="s">
        <v>1048</v>
      </c>
      <c r="D219" t="s">
        <v>9</v>
      </c>
      <c r="E219">
        <v>826</v>
      </c>
      <c r="F219" t="str">
        <f>HYPERLINK("https://www.google.com/maps/search/?api=1&amp;query=22.66814461,44.74089466", "View Map")</f>
        <v>View Map</v>
      </c>
    </row>
    <row r="220" spans="1:6" x14ac:dyDescent="0.35">
      <c r="A220" t="s">
        <v>1457</v>
      </c>
      <c r="B220" t="s">
        <v>1458</v>
      </c>
      <c r="C220" t="s">
        <v>1116</v>
      </c>
      <c r="D220" t="s">
        <v>9</v>
      </c>
      <c r="E220">
        <v>825</v>
      </c>
      <c r="F220" t="str">
        <f>HYPERLINK("https://www.google.com/maps/search/?api=1&amp;query=24.48140226,46.28774253", "View Map")</f>
        <v>View Map</v>
      </c>
    </row>
    <row r="221" spans="1:6" x14ac:dyDescent="0.35">
      <c r="A221" t="s">
        <v>1459</v>
      </c>
      <c r="B221" t="s">
        <v>1460</v>
      </c>
      <c r="C221" t="s">
        <v>1056</v>
      </c>
      <c r="D221" t="s">
        <v>9</v>
      </c>
      <c r="E221">
        <v>821</v>
      </c>
      <c r="F221" t="str">
        <f>HYPERLINK("https://www.google.com/maps/search/?api=1&amp;query=25.07141452,44.61971288", "View Map")</f>
        <v>View Map</v>
      </c>
    </row>
    <row r="222" spans="1:6" x14ac:dyDescent="0.35">
      <c r="A222" t="s">
        <v>1461</v>
      </c>
      <c r="B222" t="s">
        <v>1462</v>
      </c>
      <c r="C222" t="s">
        <v>1056</v>
      </c>
      <c r="D222" t="s">
        <v>9</v>
      </c>
      <c r="E222">
        <v>819</v>
      </c>
      <c r="F222" t="str">
        <f>HYPERLINK("https://www.google.com/maps/search/?api=1&amp;query=25.45599881,44.39350676", "View Map")</f>
        <v>View Map</v>
      </c>
    </row>
    <row r="223" spans="1:6" x14ac:dyDescent="0.35">
      <c r="A223" t="s">
        <v>1463</v>
      </c>
      <c r="B223" t="s">
        <v>1464</v>
      </c>
      <c r="C223" t="s">
        <v>1056</v>
      </c>
      <c r="D223" t="s">
        <v>9</v>
      </c>
      <c r="E223">
        <v>819</v>
      </c>
      <c r="F223" t="str">
        <f>HYPERLINK("https://www.google.com/maps/search/?api=1&amp;query=24.49792005,44.36773392", "View Map")</f>
        <v>View Map</v>
      </c>
    </row>
    <row r="224" spans="1:6" x14ac:dyDescent="0.35">
      <c r="A224" t="s">
        <v>1465</v>
      </c>
      <c r="B224" t="s">
        <v>1466</v>
      </c>
      <c r="C224" t="s">
        <v>1056</v>
      </c>
      <c r="D224" t="s">
        <v>9</v>
      </c>
      <c r="E224">
        <v>814</v>
      </c>
      <c r="F224" t="str">
        <f>HYPERLINK("https://www.google.com/maps/search/?api=1&amp;query=24.68131743,43.63652046", "View Map")</f>
        <v>View Map</v>
      </c>
    </row>
    <row r="225" spans="1:6" x14ac:dyDescent="0.35">
      <c r="A225" t="s">
        <v>1467</v>
      </c>
      <c r="B225" t="s">
        <v>1468</v>
      </c>
      <c r="C225" t="s">
        <v>1051</v>
      </c>
      <c r="D225" t="s">
        <v>9</v>
      </c>
      <c r="E225">
        <v>810</v>
      </c>
      <c r="F225" t="str">
        <f>HYPERLINK("https://www.google.com/maps/search/?api=1&amp;query=24.40544702,45.26413087", "View Map")</f>
        <v>View Map</v>
      </c>
    </row>
    <row r="226" spans="1:6" x14ac:dyDescent="0.35">
      <c r="A226" t="s">
        <v>1469</v>
      </c>
      <c r="B226" t="s">
        <v>1470</v>
      </c>
      <c r="C226" t="s">
        <v>1116</v>
      </c>
      <c r="D226" t="s">
        <v>9</v>
      </c>
      <c r="E226">
        <v>807</v>
      </c>
      <c r="F226" t="str">
        <f>HYPERLINK("https://www.google.com/maps/search/?api=1&amp;query=24.49145973,46.31139581", "View Map")</f>
        <v>View Map</v>
      </c>
    </row>
    <row r="227" spans="1:6" x14ac:dyDescent="0.35">
      <c r="A227" t="s">
        <v>1471</v>
      </c>
      <c r="B227" t="s">
        <v>1472</v>
      </c>
      <c r="C227" t="s">
        <v>1051</v>
      </c>
      <c r="D227" t="s">
        <v>9</v>
      </c>
      <c r="E227">
        <v>805</v>
      </c>
      <c r="F227" t="str">
        <f>HYPERLINK("https://www.google.com/maps/search/?api=1&amp;query=24.34899879,45.80779992", "View Map")</f>
        <v>View Map</v>
      </c>
    </row>
    <row r="228" spans="1:6" x14ac:dyDescent="0.35">
      <c r="A228" t="s">
        <v>1473</v>
      </c>
      <c r="B228" t="s">
        <v>1474</v>
      </c>
      <c r="C228" t="s">
        <v>1056</v>
      </c>
      <c r="D228" t="s">
        <v>9</v>
      </c>
      <c r="E228">
        <v>802</v>
      </c>
      <c r="F228" t="str">
        <f>HYPERLINK("https://www.google.com/maps/search/?api=1&amp;query=24.30458833,43.75688667", "View Map")</f>
        <v>View Map</v>
      </c>
    </row>
    <row r="229" spans="1:6" x14ac:dyDescent="0.35">
      <c r="A229" t="s">
        <v>1475</v>
      </c>
      <c r="B229" t="s">
        <v>1476</v>
      </c>
      <c r="C229" t="s">
        <v>1056</v>
      </c>
      <c r="D229" t="s">
        <v>9</v>
      </c>
      <c r="E229">
        <v>801</v>
      </c>
      <c r="F229" t="str">
        <f>HYPERLINK("https://www.google.com/maps/search/?api=1&amp;query=24.53208793,44.41648194", "View Map")</f>
        <v>View Map</v>
      </c>
    </row>
    <row r="230" spans="1:6" x14ac:dyDescent="0.35">
      <c r="A230" t="s">
        <v>1477</v>
      </c>
      <c r="B230" t="s">
        <v>1478</v>
      </c>
      <c r="C230" t="s">
        <v>1116</v>
      </c>
      <c r="D230" t="s">
        <v>9</v>
      </c>
      <c r="E230">
        <v>799</v>
      </c>
      <c r="F230" t="str">
        <f>HYPERLINK("https://www.google.com/maps/search/?api=1&amp;query=24.48198469,46.24808255", "View Map")</f>
        <v>View Map</v>
      </c>
    </row>
    <row r="231" spans="1:6" x14ac:dyDescent="0.35">
      <c r="A231" t="s">
        <v>1479</v>
      </c>
      <c r="B231" t="s">
        <v>1480</v>
      </c>
      <c r="C231" t="s">
        <v>1056</v>
      </c>
      <c r="D231" t="s">
        <v>9</v>
      </c>
      <c r="E231">
        <v>794</v>
      </c>
      <c r="F231" t="str">
        <f>HYPERLINK("https://www.google.com/maps/search/?api=1&amp;query=25.19697171,44.60392723", "View Map")</f>
        <v>View Map</v>
      </c>
    </row>
    <row r="232" spans="1:6" x14ac:dyDescent="0.35">
      <c r="A232" t="s">
        <v>1481</v>
      </c>
      <c r="B232" t="s">
        <v>1482</v>
      </c>
      <c r="C232" t="s">
        <v>1056</v>
      </c>
      <c r="D232" t="s">
        <v>9</v>
      </c>
      <c r="E232">
        <v>794</v>
      </c>
      <c r="F232" t="str">
        <f>HYPERLINK("https://www.google.com/maps/search/?api=1&amp;query=25.28116775,44.2146171", "View Map")</f>
        <v>View Map</v>
      </c>
    </row>
    <row r="233" spans="1:6" x14ac:dyDescent="0.35">
      <c r="A233" t="s">
        <v>1483</v>
      </c>
      <c r="B233" t="s">
        <v>1484</v>
      </c>
      <c r="C233" t="s">
        <v>1048</v>
      </c>
      <c r="D233" t="s">
        <v>9</v>
      </c>
      <c r="E233">
        <v>794</v>
      </c>
      <c r="F233" t="str">
        <f>HYPERLINK("https://www.google.com/maps/search/?api=1&amp;query=23.79661057,45.32992681", "View Map")</f>
        <v>View Map</v>
      </c>
    </row>
    <row r="234" spans="1:6" x14ac:dyDescent="0.35">
      <c r="A234" t="s">
        <v>1485</v>
      </c>
      <c r="B234" t="s">
        <v>1486</v>
      </c>
      <c r="C234" t="s">
        <v>1095</v>
      </c>
      <c r="D234" t="s">
        <v>9</v>
      </c>
      <c r="E234">
        <v>792</v>
      </c>
      <c r="F234" t="str">
        <f>HYPERLINK("https://www.google.com/maps/search/?api=1&amp;query=24.61034417,46.12456146", "View Map")</f>
        <v>View Map</v>
      </c>
    </row>
    <row r="235" spans="1:6" x14ac:dyDescent="0.35">
      <c r="A235" t="s">
        <v>1487</v>
      </c>
      <c r="B235" t="s">
        <v>1488</v>
      </c>
      <c r="C235" t="s">
        <v>1056</v>
      </c>
      <c r="D235" t="s">
        <v>9</v>
      </c>
      <c r="E235">
        <v>792</v>
      </c>
      <c r="F235" t="str">
        <f>HYPERLINK("https://www.google.com/maps/search/?api=1&amp;query=24.30664571,43.72427232", "View Map")</f>
        <v>View Map</v>
      </c>
    </row>
    <row r="236" spans="1:6" x14ac:dyDescent="0.35">
      <c r="A236" t="s">
        <v>1085</v>
      </c>
      <c r="B236" t="s">
        <v>1489</v>
      </c>
      <c r="C236" t="s">
        <v>1056</v>
      </c>
      <c r="D236" t="s">
        <v>9</v>
      </c>
      <c r="E236">
        <v>789</v>
      </c>
      <c r="F236" t="str">
        <f>HYPERLINK("https://www.google.com/maps/search/?api=1&amp;query=24.5520837,44.42524255", "View Map")</f>
        <v>View Map</v>
      </c>
    </row>
    <row r="237" spans="1:6" x14ac:dyDescent="0.35">
      <c r="A237" t="s">
        <v>1490</v>
      </c>
      <c r="B237" t="s">
        <v>1491</v>
      </c>
      <c r="C237" t="s">
        <v>1051</v>
      </c>
      <c r="D237" t="s">
        <v>9</v>
      </c>
      <c r="E237">
        <v>784</v>
      </c>
      <c r="F237" t="str">
        <f>HYPERLINK("https://www.google.com/maps/search/?api=1&amp;query=24.55576503,45.68443363", "View Map")</f>
        <v>View Map</v>
      </c>
    </row>
    <row r="238" spans="1:6" x14ac:dyDescent="0.35">
      <c r="A238" t="s">
        <v>1492</v>
      </c>
      <c r="B238" t="s">
        <v>1493</v>
      </c>
      <c r="C238" t="s">
        <v>1056</v>
      </c>
      <c r="D238" t="s">
        <v>9</v>
      </c>
      <c r="E238">
        <v>782</v>
      </c>
      <c r="F238" t="str">
        <f>HYPERLINK("https://www.google.com/maps/search/?api=1&amp;query=25.27284107,44.57736159", "View Map")</f>
        <v>View Map</v>
      </c>
    </row>
    <row r="239" spans="1:6" x14ac:dyDescent="0.35">
      <c r="A239" t="s">
        <v>1413</v>
      </c>
      <c r="B239" t="s">
        <v>1494</v>
      </c>
      <c r="C239" t="s">
        <v>1056</v>
      </c>
      <c r="D239" t="s">
        <v>9</v>
      </c>
      <c r="E239">
        <v>779</v>
      </c>
      <c r="F239" t="str">
        <f>HYPERLINK("https://www.google.com/maps/search/?api=1&amp;query=25.06669122,44.70053791", "View Map")</f>
        <v>View Map</v>
      </c>
    </row>
    <row r="240" spans="1:6" x14ac:dyDescent="0.35">
      <c r="A240" t="s">
        <v>1495</v>
      </c>
      <c r="B240" t="s">
        <v>1496</v>
      </c>
      <c r="C240" t="s">
        <v>1051</v>
      </c>
      <c r="D240" t="s">
        <v>9</v>
      </c>
      <c r="E240">
        <v>778</v>
      </c>
      <c r="F240" t="str">
        <f>HYPERLINK("https://www.google.com/maps/search/?api=1&amp;query=23.71525877,44.64512601", "View Map")</f>
        <v>View Map</v>
      </c>
    </row>
    <row r="241" spans="1:6" x14ac:dyDescent="0.35">
      <c r="A241" t="s">
        <v>1497</v>
      </c>
      <c r="B241" t="s">
        <v>1498</v>
      </c>
      <c r="C241" t="s">
        <v>1056</v>
      </c>
      <c r="D241" t="s">
        <v>9</v>
      </c>
      <c r="E241">
        <v>777</v>
      </c>
      <c r="F241" t="str">
        <f>HYPERLINK("https://www.google.com/maps/search/?api=1&amp;query=24.5322159,44.41345395", "View Map")</f>
        <v>View Map</v>
      </c>
    </row>
    <row r="242" spans="1:6" x14ac:dyDescent="0.35">
      <c r="A242" t="s">
        <v>1085</v>
      </c>
      <c r="B242" t="s">
        <v>1499</v>
      </c>
      <c r="C242" t="s">
        <v>1056</v>
      </c>
      <c r="D242" t="s">
        <v>9</v>
      </c>
      <c r="E242">
        <v>775</v>
      </c>
      <c r="F242" t="str">
        <f>HYPERLINK("https://www.google.com/maps/search/?api=1&amp;query=24.95639376,43.9318159", "View Map")</f>
        <v>View Map</v>
      </c>
    </row>
    <row r="243" spans="1:6" x14ac:dyDescent="0.35">
      <c r="A243" t="s">
        <v>1500</v>
      </c>
      <c r="B243" t="s">
        <v>1501</v>
      </c>
      <c r="C243" t="s">
        <v>1056</v>
      </c>
      <c r="D243" t="s">
        <v>9</v>
      </c>
      <c r="E243">
        <v>771</v>
      </c>
      <c r="F243" t="str">
        <f>HYPERLINK("https://www.google.com/maps/search/?api=1&amp;query=24.48202453,44.56350069", "View Map")</f>
        <v>View Map</v>
      </c>
    </row>
    <row r="244" spans="1:6" x14ac:dyDescent="0.35">
      <c r="A244" t="s">
        <v>1502</v>
      </c>
      <c r="B244" t="s">
        <v>1503</v>
      </c>
      <c r="C244" t="s">
        <v>1051</v>
      </c>
      <c r="D244" t="s">
        <v>9</v>
      </c>
      <c r="E244">
        <v>770</v>
      </c>
      <c r="F244" t="str">
        <f>HYPERLINK("https://www.google.com/maps/search/?api=1&amp;query=24.06063716,45.27954389", "View Map")</f>
        <v>View Map</v>
      </c>
    </row>
    <row r="245" spans="1:6" x14ac:dyDescent="0.35">
      <c r="A245" t="s">
        <v>611</v>
      </c>
      <c r="B245" t="s">
        <v>1504</v>
      </c>
      <c r="C245" t="s">
        <v>1051</v>
      </c>
      <c r="D245" t="s">
        <v>9</v>
      </c>
      <c r="E245">
        <v>768</v>
      </c>
      <c r="F245" t="str">
        <f>HYPERLINK("https://www.google.com/maps/search/?api=1&amp;query=23.87915895,45.50206764", "View Map")</f>
        <v>View Map</v>
      </c>
    </row>
    <row r="246" spans="1:6" x14ac:dyDescent="0.35">
      <c r="A246" t="s">
        <v>1505</v>
      </c>
      <c r="B246" t="s">
        <v>1506</v>
      </c>
      <c r="C246" t="s">
        <v>1051</v>
      </c>
      <c r="D246" t="s">
        <v>9</v>
      </c>
      <c r="E246">
        <v>766</v>
      </c>
      <c r="F246" t="str">
        <f>HYPERLINK("https://www.google.com/maps/search/?api=1&amp;query=24.33868661,45.80102998", "View Map")</f>
        <v>View Map</v>
      </c>
    </row>
    <row r="247" spans="1:6" x14ac:dyDescent="0.35">
      <c r="A247" t="s">
        <v>1073</v>
      </c>
      <c r="B247" t="s">
        <v>1507</v>
      </c>
      <c r="C247" t="s">
        <v>1051</v>
      </c>
      <c r="D247" t="s">
        <v>9</v>
      </c>
      <c r="E247">
        <v>765</v>
      </c>
      <c r="F247" t="str">
        <f>HYPERLINK("https://www.google.com/maps/search/?api=1&amp;query=24.33599002,45.78646879", "View Map")</f>
        <v>View Map</v>
      </c>
    </row>
    <row r="248" spans="1:6" x14ac:dyDescent="0.35">
      <c r="A248" t="s">
        <v>1508</v>
      </c>
      <c r="B248" t="s">
        <v>1509</v>
      </c>
      <c r="C248" t="s">
        <v>1056</v>
      </c>
      <c r="D248" t="s">
        <v>9</v>
      </c>
      <c r="E248">
        <v>762</v>
      </c>
      <c r="F248" t="str">
        <f>HYPERLINK("https://www.google.com/maps/search/?api=1&amp;query=24.9932421,44.61167795", "View Map")</f>
        <v>View Map</v>
      </c>
    </row>
    <row r="249" spans="1:6" x14ac:dyDescent="0.35">
      <c r="A249" t="s">
        <v>1510</v>
      </c>
      <c r="B249" t="s">
        <v>1511</v>
      </c>
      <c r="C249" t="s">
        <v>1056</v>
      </c>
      <c r="D249" t="s">
        <v>9</v>
      </c>
      <c r="E249">
        <v>762</v>
      </c>
      <c r="F249" t="str">
        <f>HYPERLINK("https://www.google.com/maps/search/?api=1&amp;query=25.49352568,44.41472497", "View Map")</f>
        <v>View Map</v>
      </c>
    </row>
    <row r="250" spans="1:6" x14ac:dyDescent="0.35">
      <c r="A250" t="s">
        <v>1512</v>
      </c>
      <c r="B250" t="s">
        <v>1513</v>
      </c>
      <c r="C250" t="s">
        <v>1056</v>
      </c>
      <c r="D250" t="s">
        <v>9</v>
      </c>
      <c r="E250">
        <v>762</v>
      </c>
      <c r="F250" t="str">
        <f>HYPERLINK("https://www.google.com/maps/search/?api=1&amp;query=25.33263494,44.46582435", "View Map")</f>
        <v>View Map</v>
      </c>
    </row>
    <row r="251" spans="1:6" x14ac:dyDescent="0.35">
      <c r="A251" t="s">
        <v>1514</v>
      </c>
      <c r="B251" t="s">
        <v>1515</v>
      </c>
      <c r="C251" t="s">
        <v>1051</v>
      </c>
      <c r="D251" t="s">
        <v>9</v>
      </c>
      <c r="E251">
        <v>761</v>
      </c>
      <c r="F251" t="str">
        <f>HYPERLINK("https://www.google.com/maps/search/?api=1&amp;query=24.26456449,45.07546099", "View Map")</f>
        <v>View Map</v>
      </c>
    </row>
    <row r="252" spans="1:6" x14ac:dyDescent="0.35">
      <c r="A252" t="s">
        <v>1516</v>
      </c>
      <c r="B252" t="s">
        <v>1517</v>
      </c>
      <c r="C252" t="s">
        <v>1051</v>
      </c>
      <c r="D252" t="s">
        <v>9</v>
      </c>
      <c r="E252">
        <v>758</v>
      </c>
      <c r="F252" t="str">
        <f>HYPERLINK("https://www.google.com/maps/search/?api=1&amp;query=24.12678662,45.33086767", "View Map")</f>
        <v>View Map</v>
      </c>
    </row>
    <row r="253" spans="1:6" x14ac:dyDescent="0.35">
      <c r="A253" t="s">
        <v>1093</v>
      </c>
      <c r="B253" t="s">
        <v>1518</v>
      </c>
      <c r="C253" t="s">
        <v>1095</v>
      </c>
      <c r="D253" t="s">
        <v>9</v>
      </c>
      <c r="E253">
        <v>756</v>
      </c>
      <c r="F253" t="str">
        <f>HYPERLINK("https://www.google.com/maps/search/?api=1&amp;query=24.52122093,46.13405041", "View Map")</f>
        <v>View Map</v>
      </c>
    </row>
    <row r="254" spans="1:6" x14ac:dyDescent="0.35">
      <c r="A254" t="s">
        <v>1519</v>
      </c>
      <c r="B254" t="s">
        <v>1520</v>
      </c>
      <c r="C254" t="s">
        <v>1056</v>
      </c>
      <c r="D254" t="s">
        <v>9</v>
      </c>
      <c r="E254">
        <v>754</v>
      </c>
      <c r="F254" t="str">
        <f>HYPERLINK("https://www.google.com/maps/search/?api=1&amp;query=24.87218407,43.80006349", "View Map")</f>
        <v>View Map</v>
      </c>
    </row>
    <row r="255" spans="1:6" x14ac:dyDescent="0.35">
      <c r="A255" t="s">
        <v>1521</v>
      </c>
      <c r="B255" t="s">
        <v>1522</v>
      </c>
      <c r="C255" t="s">
        <v>1056</v>
      </c>
      <c r="D255" t="s">
        <v>9</v>
      </c>
      <c r="E255">
        <v>754</v>
      </c>
      <c r="F255" t="str">
        <f>HYPERLINK("https://www.google.com/maps/search/?api=1&amp;query=24.50785092,44.3850194", "View Map")</f>
        <v>View Map</v>
      </c>
    </row>
    <row r="256" spans="1:6" x14ac:dyDescent="0.35">
      <c r="A256" t="s">
        <v>1523</v>
      </c>
      <c r="B256" t="s">
        <v>1524</v>
      </c>
      <c r="C256" t="s">
        <v>1056</v>
      </c>
      <c r="D256" t="s">
        <v>9</v>
      </c>
      <c r="E256">
        <v>751</v>
      </c>
      <c r="F256" t="str">
        <f>HYPERLINK("https://www.google.com/maps/search/?api=1&amp;query=24.53636425,44.27916263", "View Map")</f>
        <v>View Map</v>
      </c>
    </row>
    <row r="257" spans="1:6" x14ac:dyDescent="0.35">
      <c r="A257" t="s">
        <v>1525</v>
      </c>
      <c r="B257" t="s">
        <v>1526</v>
      </c>
      <c r="C257" t="s">
        <v>1056</v>
      </c>
      <c r="D257" t="s">
        <v>9</v>
      </c>
      <c r="E257">
        <v>750</v>
      </c>
      <c r="F257" t="str">
        <f>HYPERLINK("https://www.google.com/maps/search/?api=1&amp;query=24.64182639,44.41496731", "View Map")</f>
        <v>View Map</v>
      </c>
    </row>
    <row r="258" spans="1:6" x14ac:dyDescent="0.35">
      <c r="A258" t="s">
        <v>1527</v>
      </c>
      <c r="B258" t="s">
        <v>1528</v>
      </c>
      <c r="C258" t="s">
        <v>1048</v>
      </c>
      <c r="D258" t="s">
        <v>9</v>
      </c>
      <c r="E258">
        <v>748</v>
      </c>
      <c r="F258" t="str">
        <f>HYPERLINK("https://www.google.com/maps/search/?api=1&amp;query=23.22202517,45.52271093", "View Map")</f>
        <v>View Map</v>
      </c>
    </row>
    <row r="259" spans="1:6" x14ac:dyDescent="0.35">
      <c r="A259" t="s">
        <v>1232</v>
      </c>
      <c r="B259" t="s">
        <v>1529</v>
      </c>
      <c r="C259" t="s">
        <v>1056</v>
      </c>
      <c r="D259" t="s">
        <v>9</v>
      </c>
      <c r="E259">
        <v>748</v>
      </c>
      <c r="F259" t="str">
        <f>HYPERLINK("https://www.google.com/maps/search/?api=1&amp;query=25.18203577,44.59809175", "View Map")</f>
        <v>View Map</v>
      </c>
    </row>
    <row r="260" spans="1:6" x14ac:dyDescent="0.35">
      <c r="A260" t="s">
        <v>1530</v>
      </c>
      <c r="B260" t="s">
        <v>1531</v>
      </c>
      <c r="C260" t="s">
        <v>1116</v>
      </c>
      <c r="D260" t="s">
        <v>9</v>
      </c>
      <c r="E260">
        <v>744</v>
      </c>
      <c r="F260" t="str">
        <f>HYPERLINK("https://www.google.com/maps/search/?api=1&amp;query=24.43083316,45.98640449", "View Map")</f>
        <v>View Map</v>
      </c>
    </row>
    <row r="261" spans="1:6" x14ac:dyDescent="0.35">
      <c r="A261" t="s">
        <v>1532</v>
      </c>
      <c r="B261" t="s">
        <v>1533</v>
      </c>
      <c r="C261" t="s">
        <v>1056</v>
      </c>
      <c r="D261" t="s">
        <v>9</v>
      </c>
      <c r="E261">
        <v>742</v>
      </c>
      <c r="F261" t="str">
        <f>HYPERLINK("https://www.google.com/maps/search/?api=1&amp;query=25.16692583,44.58236343", "View Map")</f>
        <v>View Map</v>
      </c>
    </row>
    <row r="262" spans="1:6" x14ac:dyDescent="0.35">
      <c r="A262" t="s">
        <v>1085</v>
      </c>
      <c r="B262" t="s">
        <v>1534</v>
      </c>
      <c r="C262" t="s">
        <v>1056</v>
      </c>
      <c r="D262" t="s">
        <v>9</v>
      </c>
      <c r="E262">
        <v>740</v>
      </c>
      <c r="F262" t="str">
        <f>HYPERLINK("https://www.google.com/maps/search/?api=1&amp;query=24.70065778,44.29033148", "View Map")</f>
        <v>View Map</v>
      </c>
    </row>
    <row r="263" spans="1:6" x14ac:dyDescent="0.35">
      <c r="A263" t="s">
        <v>1535</v>
      </c>
      <c r="B263" t="s">
        <v>1536</v>
      </c>
      <c r="C263" t="s">
        <v>1116</v>
      </c>
      <c r="D263" t="s">
        <v>9</v>
      </c>
      <c r="E263">
        <v>739</v>
      </c>
      <c r="F263" t="str">
        <f>HYPERLINK("https://www.google.com/maps/search/?api=1&amp;query=24.45880199,46.29016549", "View Map")</f>
        <v>View Map</v>
      </c>
    </row>
    <row r="264" spans="1:6" x14ac:dyDescent="0.35">
      <c r="A264" t="s">
        <v>1527</v>
      </c>
      <c r="B264" t="s">
        <v>1537</v>
      </c>
      <c r="C264" t="s">
        <v>1048</v>
      </c>
      <c r="D264" t="s">
        <v>9</v>
      </c>
      <c r="E264">
        <v>736</v>
      </c>
      <c r="F264" t="str">
        <f>HYPERLINK("https://www.google.com/maps/search/?api=1&amp;query=23.58089921,45.596801", "View Map")</f>
        <v>View Map</v>
      </c>
    </row>
    <row r="265" spans="1:6" x14ac:dyDescent="0.35">
      <c r="A265" t="s">
        <v>1538</v>
      </c>
      <c r="B265" t="s">
        <v>1539</v>
      </c>
      <c r="C265" t="s">
        <v>1056</v>
      </c>
      <c r="D265" t="s">
        <v>9</v>
      </c>
      <c r="E265">
        <v>736</v>
      </c>
      <c r="F265" t="str">
        <f>HYPERLINK("https://www.google.com/maps/search/?api=1&amp;query=25.33984738,44.51033243", "View Map")</f>
        <v>View Map</v>
      </c>
    </row>
    <row r="266" spans="1:6" x14ac:dyDescent="0.35">
      <c r="A266" t="s">
        <v>611</v>
      </c>
      <c r="B266" t="s">
        <v>1540</v>
      </c>
      <c r="C266" t="s">
        <v>1051</v>
      </c>
      <c r="D266" t="s">
        <v>9</v>
      </c>
      <c r="E266">
        <v>734</v>
      </c>
      <c r="F266" t="str">
        <f>HYPERLINK("https://www.google.com/maps/search/?api=1&amp;query=24.08927063,45.29323712", "View Map")</f>
        <v>View Map</v>
      </c>
    </row>
    <row r="267" spans="1:6" x14ac:dyDescent="0.35">
      <c r="A267" t="s">
        <v>1541</v>
      </c>
      <c r="B267" t="s">
        <v>1542</v>
      </c>
      <c r="C267" t="s">
        <v>1051</v>
      </c>
      <c r="D267" t="s">
        <v>9</v>
      </c>
      <c r="E267">
        <v>734</v>
      </c>
      <c r="F267" t="str">
        <f>HYPERLINK("https://www.google.com/maps/search/?api=1&amp;query=24.35292575,45.30727696", "View Map")</f>
        <v>View Map</v>
      </c>
    </row>
    <row r="268" spans="1:6" x14ac:dyDescent="0.35">
      <c r="A268" t="s">
        <v>1165</v>
      </c>
      <c r="B268" t="s">
        <v>1543</v>
      </c>
      <c r="C268" t="s">
        <v>1116</v>
      </c>
      <c r="D268" t="s">
        <v>9</v>
      </c>
      <c r="E268">
        <v>734</v>
      </c>
      <c r="F268" t="str">
        <f>HYPERLINK("https://www.google.com/maps/search/?api=1&amp;query=24.45672382,46.27073222", "View Map")</f>
        <v>View Map</v>
      </c>
    </row>
    <row r="269" spans="1:6" x14ac:dyDescent="0.35">
      <c r="A269" t="s">
        <v>1544</v>
      </c>
      <c r="B269" t="s">
        <v>1545</v>
      </c>
      <c r="C269" t="s">
        <v>1056</v>
      </c>
      <c r="D269" t="s">
        <v>9</v>
      </c>
      <c r="E269">
        <v>731</v>
      </c>
      <c r="F269" t="str">
        <f>HYPERLINK("https://www.google.com/maps/search/?api=1&amp;query=24.49224742,44.38380309", "View Map")</f>
        <v>View Map</v>
      </c>
    </row>
    <row r="270" spans="1:6" x14ac:dyDescent="0.35">
      <c r="A270" t="s">
        <v>1546</v>
      </c>
      <c r="B270" t="s">
        <v>1547</v>
      </c>
      <c r="C270" t="s">
        <v>1051</v>
      </c>
      <c r="D270" t="s">
        <v>9</v>
      </c>
      <c r="E270">
        <v>731</v>
      </c>
      <c r="F270" t="str">
        <f>HYPERLINK("https://www.google.com/maps/search/?api=1&amp;query=24.06659416,45.30539948", "View Map")</f>
        <v>View Map</v>
      </c>
    </row>
    <row r="271" spans="1:6" x14ac:dyDescent="0.35">
      <c r="A271" t="s">
        <v>1548</v>
      </c>
      <c r="B271" t="s">
        <v>1549</v>
      </c>
      <c r="C271" t="s">
        <v>1056</v>
      </c>
      <c r="D271" t="s">
        <v>9</v>
      </c>
      <c r="E271">
        <v>729</v>
      </c>
      <c r="F271" t="str">
        <f>HYPERLINK("https://www.google.com/maps/search/?api=1&amp;query=25.19333282,44.59811952", "View Map")</f>
        <v>View Map</v>
      </c>
    </row>
    <row r="272" spans="1:6" x14ac:dyDescent="0.35">
      <c r="A272" t="s">
        <v>1319</v>
      </c>
      <c r="B272" t="s">
        <v>1550</v>
      </c>
      <c r="C272" t="s">
        <v>1056</v>
      </c>
      <c r="D272" t="s">
        <v>9</v>
      </c>
      <c r="E272">
        <v>729</v>
      </c>
      <c r="F272" t="str">
        <f>HYPERLINK("https://www.google.com/maps/search/?api=1&amp;query=24.33848034,43.86157832", "View Map")</f>
        <v>View Map</v>
      </c>
    </row>
    <row r="273" spans="1:6" x14ac:dyDescent="0.35">
      <c r="A273" t="s">
        <v>1551</v>
      </c>
      <c r="B273" t="s">
        <v>1552</v>
      </c>
      <c r="C273" t="s">
        <v>1048</v>
      </c>
      <c r="D273" t="s">
        <v>9</v>
      </c>
      <c r="E273">
        <v>728</v>
      </c>
      <c r="F273" t="str">
        <f>HYPERLINK("https://www.google.com/maps/search/?api=1&amp;query=23.60666817,45.13127342", "View Map")</f>
        <v>View Map</v>
      </c>
    </row>
    <row r="274" spans="1:6" x14ac:dyDescent="0.35">
      <c r="A274" t="s">
        <v>1553</v>
      </c>
      <c r="B274" t="s">
        <v>1554</v>
      </c>
      <c r="C274" t="s">
        <v>1051</v>
      </c>
      <c r="D274" t="s">
        <v>9</v>
      </c>
      <c r="E274">
        <v>728</v>
      </c>
      <c r="F274" t="str">
        <f>HYPERLINK("https://www.google.com/maps/search/?api=1&amp;query=24.07860563,45.28627419", "View Map")</f>
        <v>View Map</v>
      </c>
    </row>
    <row r="275" spans="1:6" x14ac:dyDescent="0.35">
      <c r="A275" t="s">
        <v>1555</v>
      </c>
      <c r="B275" t="s">
        <v>1556</v>
      </c>
      <c r="C275" t="s">
        <v>1116</v>
      </c>
      <c r="D275" t="s">
        <v>9</v>
      </c>
      <c r="E275">
        <v>726</v>
      </c>
      <c r="F275" t="str">
        <f>HYPERLINK("https://www.google.com/maps/search/?api=1&amp;query=24.47397336,46.26342217", "View Map")</f>
        <v>View Map</v>
      </c>
    </row>
    <row r="276" spans="1:6" x14ac:dyDescent="0.35">
      <c r="A276" t="s">
        <v>1557</v>
      </c>
      <c r="B276" t="s">
        <v>1558</v>
      </c>
      <c r="C276" t="s">
        <v>1051</v>
      </c>
      <c r="D276" t="s">
        <v>9</v>
      </c>
      <c r="E276">
        <v>726</v>
      </c>
      <c r="F276" t="str">
        <f>HYPERLINK("https://www.google.com/maps/search/?api=1&amp;query=23.71268304,44.5949604", "View Map")</f>
        <v>View Map</v>
      </c>
    </row>
    <row r="277" spans="1:6" x14ac:dyDescent="0.35">
      <c r="A277" t="s">
        <v>1559</v>
      </c>
      <c r="B277" t="s">
        <v>1560</v>
      </c>
      <c r="C277" t="s">
        <v>1116</v>
      </c>
      <c r="D277" t="s">
        <v>9</v>
      </c>
      <c r="E277">
        <v>723</v>
      </c>
      <c r="F277" t="str">
        <f>HYPERLINK("https://www.google.com/maps/search/?api=1&amp;query=24.47099635,46.30449675", "View Map")</f>
        <v>View Map</v>
      </c>
    </row>
    <row r="278" spans="1:6" x14ac:dyDescent="0.35">
      <c r="A278" t="s">
        <v>1368</v>
      </c>
      <c r="B278" t="s">
        <v>1561</v>
      </c>
      <c r="C278" t="s">
        <v>1056</v>
      </c>
      <c r="D278" t="s">
        <v>9</v>
      </c>
      <c r="E278">
        <v>722</v>
      </c>
      <c r="F278" t="str">
        <f>HYPERLINK("https://www.google.com/maps/search/?api=1&amp;query=24.72213032,43.79925855", "View Map")</f>
        <v>View Map</v>
      </c>
    </row>
    <row r="279" spans="1:6" x14ac:dyDescent="0.35">
      <c r="A279" t="s">
        <v>1093</v>
      </c>
      <c r="B279" t="s">
        <v>1562</v>
      </c>
      <c r="C279" t="s">
        <v>1095</v>
      </c>
      <c r="D279" t="s">
        <v>9</v>
      </c>
      <c r="E279">
        <v>721</v>
      </c>
      <c r="F279" t="str">
        <f>HYPERLINK("https://www.google.com/maps/search/?api=1&amp;query=24.59026995,46.156218", "View Map")</f>
        <v>View Map</v>
      </c>
    </row>
    <row r="280" spans="1:6" x14ac:dyDescent="0.35">
      <c r="A280" t="s">
        <v>1563</v>
      </c>
      <c r="B280" t="s">
        <v>1564</v>
      </c>
      <c r="C280" t="s">
        <v>1051</v>
      </c>
      <c r="D280" t="s">
        <v>9</v>
      </c>
      <c r="E280">
        <v>720</v>
      </c>
      <c r="F280" t="str">
        <f>HYPERLINK("https://www.google.com/maps/search/?api=1&amp;query=24.01020428,45.19748755", "View Map")</f>
        <v>View Map</v>
      </c>
    </row>
    <row r="281" spans="1:6" x14ac:dyDescent="0.35">
      <c r="A281" t="s">
        <v>1565</v>
      </c>
      <c r="B281" t="s">
        <v>1566</v>
      </c>
      <c r="C281" t="s">
        <v>1095</v>
      </c>
      <c r="D281" t="s">
        <v>9</v>
      </c>
      <c r="E281">
        <v>720</v>
      </c>
      <c r="F281" t="str">
        <f>HYPERLINK("https://www.google.com/maps/search/?api=1&amp;query=24.70848639,45.76416011", "View Map")</f>
        <v>View Map</v>
      </c>
    </row>
    <row r="282" spans="1:6" x14ac:dyDescent="0.35">
      <c r="A282" t="s">
        <v>1567</v>
      </c>
      <c r="B282" t="s">
        <v>1568</v>
      </c>
      <c r="C282" t="s">
        <v>1051</v>
      </c>
      <c r="D282" t="s">
        <v>9</v>
      </c>
      <c r="E282">
        <v>717</v>
      </c>
      <c r="F282" t="str">
        <f>HYPERLINK("https://www.google.com/maps/search/?api=1&amp;query=23.71271221,44.59417203", "View Map")</f>
        <v>View Map</v>
      </c>
    </row>
    <row r="283" spans="1:6" x14ac:dyDescent="0.35">
      <c r="A283" t="s">
        <v>1569</v>
      </c>
      <c r="B283" t="s">
        <v>1570</v>
      </c>
      <c r="C283" t="s">
        <v>1056</v>
      </c>
      <c r="D283" t="s">
        <v>9</v>
      </c>
      <c r="E283">
        <v>716</v>
      </c>
      <c r="F283" t="str">
        <f>HYPERLINK("https://www.google.com/maps/search/?api=1&amp;query=25.12988871,43.4877019", "View Map")</f>
        <v>View Map</v>
      </c>
    </row>
    <row r="284" spans="1:6" x14ac:dyDescent="0.35">
      <c r="A284" t="s">
        <v>1571</v>
      </c>
      <c r="B284" t="s">
        <v>1572</v>
      </c>
      <c r="C284" t="s">
        <v>1056</v>
      </c>
      <c r="D284" t="s">
        <v>9</v>
      </c>
      <c r="E284">
        <v>715</v>
      </c>
      <c r="F284" t="str">
        <f>HYPERLINK("https://www.google.com/maps/search/?api=1&amp;query=24.53336497,44.27820182", "View Map")</f>
        <v>View Map</v>
      </c>
    </row>
    <row r="285" spans="1:6" x14ac:dyDescent="0.35">
      <c r="A285" t="s">
        <v>1573</v>
      </c>
      <c r="B285" t="s">
        <v>1574</v>
      </c>
      <c r="C285" t="s">
        <v>1051</v>
      </c>
      <c r="D285" t="s">
        <v>9</v>
      </c>
      <c r="E285">
        <v>714</v>
      </c>
      <c r="F285" t="str">
        <f>HYPERLINK("https://www.google.com/maps/search/?api=1&amp;query=24.43025166,45.87336685", "View Map")</f>
        <v>View Map</v>
      </c>
    </row>
    <row r="286" spans="1:6" x14ac:dyDescent="0.35">
      <c r="A286" t="s">
        <v>1575</v>
      </c>
      <c r="B286" t="s">
        <v>1576</v>
      </c>
      <c r="C286" t="s">
        <v>1095</v>
      </c>
      <c r="D286" t="s">
        <v>9</v>
      </c>
      <c r="E286">
        <v>712</v>
      </c>
      <c r="F286" t="str">
        <f>HYPERLINK("https://www.google.com/maps/search/?api=1&amp;query=24.42306649,46.54314319", "View Map")</f>
        <v>View Map</v>
      </c>
    </row>
    <row r="287" spans="1:6" x14ac:dyDescent="0.35">
      <c r="A287" t="s">
        <v>1577</v>
      </c>
      <c r="B287" t="s">
        <v>1578</v>
      </c>
      <c r="C287" t="s">
        <v>1051</v>
      </c>
      <c r="D287" t="s">
        <v>9</v>
      </c>
      <c r="E287">
        <v>712</v>
      </c>
      <c r="F287" t="str">
        <f>HYPERLINK("https://www.google.com/maps/search/?api=1&amp;query=23.84650032,44.99454705", "View Map")</f>
        <v>View Map</v>
      </c>
    </row>
    <row r="288" spans="1:6" x14ac:dyDescent="0.35">
      <c r="A288" t="s">
        <v>1579</v>
      </c>
      <c r="B288" t="s">
        <v>1580</v>
      </c>
      <c r="C288" t="s">
        <v>1051</v>
      </c>
      <c r="D288" t="s">
        <v>9</v>
      </c>
      <c r="E288">
        <v>711</v>
      </c>
      <c r="F288" t="str">
        <f>HYPERLINK("https://www.google.com/maps/search/?api=1&amp;query=24.077962,45.27994122", "View Map")</f>
        <v>View Map</v>
      </c>
    </row>
    <row r="289" spans="1:6" x14ac:dyDescent="0.35">
      <c r="A289" t="s">
        <v>1581</v>
      </c>
      <c r="B289" t="s">
        <v>1582</v>
      </c>
      <c r="C289" t="s">
        <v>1056</v>
      </c>
      <c r="D289" t="s">
        <v>9</v>
      </c>
      <c r="E289">
        <v>711</v>
      </c>
      <c r="F289" t="str">
        <f>HYPERLINK("https://www.google.com/maps/search/?api=1&amp;query=25.18412565,44.59703076", "View Map")</f>
        <v>View Map</v>
      </c>
    </row>
    <row r="290" spans="1:6" x14ac:dyDescent="0.35">
      <c r="A290" t="s">
        <v>1583</v>
      </c>
      <c r="B290" t="s">
        <v>1584</v>
      </c>
      <c r="C290" t="s">
        <v>1056</v>
      </c>
      <c r="D290" t="s">
        <v>9</v>
      </c>
      <c r="E290">
        <v>710</v>
      </c>
      <c r="F290" t="str">
        <f>HYPERLINK("https://www.google.com/maps/search/?api=1&amp;query=24.72402381,43.78053252", "View Map")</f>
        <v>View Map</v>
      </c>
    </row>
    <row r="291" spans="1:6" x14ac:dyDescent="0.35">
      <c r="A291" t="s">
        <v>1585</v>
      </c>
      <c r="B291" t="s">
        <v>1586</v>
      </c>
      <c r="C291" t="s">
        <v>1056</v>
      </c>
      <c r="D291" t="s">
        <v>9</v>
      </c>
      <c r="E291">
        <v>708</v>
      </c>
      <c r="F291" t="str">
        <f>HYPERLINK("https://www.google.com/maps/search/?api=1&amp;query=25.48557793,44.4026885", "View Map")</f>
        <v>View Map</v>
      </c>
    </row>
    <row r="292" spans="1:6" x14ac:dyDescent="0.35">
      <c r="A292" t="s">
        <v>1587</v>
      </c>
      <c r="B292" t="s">
        <v>1588</v>
      </c>
      <c r="C292" t="s">
        <v>1056</v>
      </c>
      <c r="D292" t="s">
        <v>9</v>
      </c>
      <c r="E292">
        <v>708</v>
      </c>
      <c r="F292" t="str">
        <f>HYPERLINK("https://www.google.com/maps/search/?api=1&amp;query=25.2129764,44.22070627", "View Map")</f>
        <v>View Map</v>
      </c>
    </row>
    <row r="293" spans="1:6" x14ac:dyDescent="0.35">
      <c r="A293" t="s">
        <v>1589</v>
      </c>
      <c r="B293" t="s">
        <v>1590</v>
      </c>
      <c r="C293" t="s">
        <v>1051</v>
      </c>
      <c r="D293" t="s">
        <v>9</v>
      </c>
      <c r="E293">
        <v>708</v>
      </c>
      <c r="F293" t="str">
        <f>HYPERLINK("https://www.google.com/maps/search/?api=1&amp;query=23.25018693,44.64763903", "View Map")</f>
        <v>View Map</v>
      </c>
    </row>
    <row r="294" spans="1:6" x14ac:dyDescent="0.35">
      <c r="A294" t="s">
        <v>1591</v>
      </c>
      <c r="B294" t="s">
        <v>1592</v>
      </c>
      <c r="C294" t="s">
        <v>1056</v>
      </c>
      <c r="D294" t="s">
        <v>9</v>
      </c>
      <c r="E294">
        <v>707</v>
      </c>
      <c r="F294" t="str">
        <f>HYPERLINK("https://www.google.com/maps/search/?api=1&amp;query=24.27338534,44.18764969", "View Map")</f>
        <v>View Map</v>
      </c>
    </row>
    <row r="295" spans="1:6" x14ac:dyDescent="0.35">
      <c r="A295" t="s">
        <v>1165</v>
      </c>
      <c r="B295" t="s">
        <v>1593</v>
      </c>
      <c r="C295" t="s">
        <v>1116</v>
      </c>
      <c r="D295" t="s">
        <v>9</v>
      </c>
      <c r="E295">
        <v>704</v>
      </c>
      <c r="F295" t="str">
        <f>HYPERLINK("https://www.google.com/maps/search/?api=1&amp;query=24.49285763,46.24607931", "View Map")</f>
        <v>View Map</v>
      </c>
    </row>
    <row r="296" spans="1:6" x14ac:dyDescent="0.35">
      <c r="A296" t="s">
        <v>1594</v>
      </c>
      <c r="B296" t="s">
        <v>1595</v>
      </c>
      <c r="C296" t="s">
        <v>1056</v>
      </c>
      <c r="D296" t="s">
        <v>9</v>
      </c>
      <c r="E296">
        <v>703</v>
      </c>
      <c r="F296" t="str">
        <f>HYPERLINK("https://www.google.com/maps/search/?api=1&amp;query=24.51263962,43.78808037", "View Map")</f>
        <v>View Map</v>
      </c>
    </row>
    <row r="297" spans="1:6" x14ac:dyDescent="0.35">
      <c r="A297" t="s">
        <v>1596</v>
      </c>
      <c r="B297" t="s">
        <v>1597</v>
      </c>
      <c r="C297" t="s">
        <v>1056</v>
      </c>
      <c r="D297" t="s">
        <v>9</v>
      </c>
      <c r="E297">
        <v>702</v>
      </c>
      <c r="F297" t="str">
        <f>HYPERLINK("https://www.google.com/maps/search/?api=1&amp;query=24.54126388,43.61217773", "View Map")</f>
        <v>View Map</v>
      </c>
    </row>
    <row r="298" spans="1:6" x14ac:dyDescent="0.35">
      <c r="A298" t="s">
        <v>1598</v>
      </c>
      <c r="B298" t="s">
        <v>1599</v>
      </c>
      <c r="C298" t="s">
        <v>1056</v>
      </c>
      <c r="D298" t="s">
        <v>9</v>
      </c>
      <c r="E298">
        <v>700</v>
      </c>
      <c r="F298" t="str">
        <f>HYPERLINK("https://www.google.com/maps/search/?api=1&amp;query=24.50703751,44.39278844", "View Map")</f>
        <v>View Map</v>
      </c>
    </row>
    <row r="299" spans="1:6" x14ac:dyDescent="0.35">
      <c r="A299" t="s">
        <v>1600</v>
      </c>
      <c r="B299" t="s">
        <v>1601</v>
      </c>
      <c r="C299" t="s">
        <v>1051</v>
      </c>
      <c r="D299" t="s">
        <v>9</v>
      </c>
      <c r="E299">
        <v>699</v>
      </c>
      <c r="F299" t="str">
        <f>HYPERLINK("https://www.google.com/maps/search/?api=1&amp;query=23.71368346,44.89314784", "View Map")</f>
        <v>View Map</v>
      </c>
    </row>
    <row r="300" spans="1:6" x14ac:dyDescent="0.35">
      <c r="A300" t="s">
        <v>1602</v>
      </c>
      <c r="B300" t="s">
        <v>1603</v>
      </c>
      <c r="C300" t="s">
        <v>1051</v>
      </c>
      <c r="D300" t="s">
        <v>9</v>
      </c>
      <c r="E300">
        <v>699</v>
      </c>
      <c r="F300" t="str">
        <f>HYPERLINK("https://www.google.com/maps/search/?api=1&amp;query=24.36517275,45.32883851", "View Map")</f>
        <v>View Map</v>
      </c>
    </row>
    <row r="301" spans="1:6" x14ac:dyDescent="0.35">
      <c r="A301" t="s">
        <v>1604</v>
      </c>
      <c r="B301" t="s">
        <v>1605</v>
      </c>
      <c r="C301" t="s">
        <v>1048</v>
      </c>
      <c r="D301" t="s">
        <v>9</v>
      </c>
      <c r="E301">
        <v>698</v>
      </c>
      <c r="F301" t="str">
        <f>HYPERLINK("https://www.google.com/maps/search/?api=1&amp;query=23.54389533,45.51203126", "View Map")</f>
        <v>View Map</v>
      </c>
    </row>
    <row r="302" spans="1:6" x14ac:dyDescent="0.35">
      <c r="A302" t="s">
        <v>1606</v>
      </c>
      <c r="B302" t="s">
        <v>1607</v>
      </c>
      <c r="C302" t="s">
        <v>1056</v>
      </c>
      <c r="D302" t="s">
        <v>9</v>
      </c>
      <c r="E302">
        <v>697</v>
      </c>
      <c r="F302" t="str">
        <f>HYPERLINK("https://www.google.com/maps/search/?api=1&amp;query=25.21572754,44.25220967", "View Map")</f>
        <v>View Map</v>
      </c>
    </row>
    <row r="303" spans="1:6" x14ac:dyDescent="0.35">
      <c r="A303" t="s">
        <v>1608</v>
      </c>
      <c r="B303" t="s">
        <v>1609</v>
      </c>
      <c r="C303" t="s">
        <v>1116</v>
      </c>
      <c r="D303" t="s">
        <v>9</v>
      </c>
      <c r="E303">
        <v>697</v>
      </c>
      <c r="F303" t="str">
        <f>HYPERLINK("https://www.google.com/maps/search/?api=1&amp;query=24.18304618,46.3629681", "View Map")</f>
        <v>View Map</v>
      </c>
    </row>
    <row r="304" spans="1:6" x14ac:dyDescent="0.35">
      <c r="A304" t="s">
        <v>1375</v>
      </c>
      <c r="B304" t="s">
        <v>1610</v>
      </c>
      <c r="C304" t="s">
        <v>1051</v>
      </c>
      <c r="D304" t="s">
        <v>9</v>
      </c>
      <c r="E304">
        <v>696</v>
      </c>
      <c r="F304" t="str">
        <f>HYPERLINK("https://www.google.com/maps/search/?api=1&amp;query=24.08168544,45.29155644", "View Map")</f>
        <v>View Map</v>
      </c>
    </row>
    <row r="305" spans="1:6" x14ac:dyDescent="0.35">
      <c r="A305" t="s">
        <v>1611</v>
      </c>
      <c r="B305" t="s">
        <v>1612</v>
      </c>
      <c r="C305" t="s">
        <v>1056</v>
      </c>
      <c r="D305" t="s">
        <v>9</v>
      </c>
      <c r="E305">
        <v>692</v>
      </c>
      <c r="F305" t="str">
        <f>HYPERLINK("https://www.google.com/maps/search/?api=1&amp;query=25.17255724,43.47735319", "View Map")</f>
        <v>View Map</v>
      </c>
    </row>
    <row r="306" spans="1:6" x14ac:dyDescent="0.35">
      <c r="A306" t="s">
        <v>1613</v>
      </c>
      <c r="B306" t="s">
        <v>1614</v>
      </c>
      <c r="C306" t="s">
        <v>1048</v>
      </c>
      <c r="D306" t="s">
        <v>9</v>
      </c>
      <c r="E306">
        <v>692</v>
      </c>
      <c r="F306" t="str">
        <f>HYPERLINK("https://www.google.com/maps/search/?api=1&amp;query=23.44532713,45.20438392", "View Map")</f>
        <v>View Map</v>
      </c>
    </row>
    <row r="307" spans="1:6" x14ac:dyDescent="0.35">
      <c r="A307" t="s">
        <v>1615</v>
      </c>
      <c r="B307" t="s">
        <v>1616</v>
      </c>
      <c r="C307" t="s">
        <v>1051</v>
      </c>
      <c r="D307" t="s">
        <v>9</v>
      </c>
      <c r="E307">
        <v>692</v>
      </c>
      <c r="F307" t="str">
        <f>HYPERLINK("https://www.google.com/maps/search/?api=1&amp;query=24.33679349,45.80007592", "View Map")</f>
        <v>View Map</v>
      </c>
    </row>
    <row r="308" spans="1:6" x14ac:dyDescent="0.35">
      <c r="A308" t="s">
        <v>1617</v>
      </c>
      <c r="B308" t="s">
        <v>1618</v>
      </c>
      <c r="C308" t="s">
        <v>1056</v>
      </c>
      <c r="D308" t="s">
        <v>9</v>
      </c>
      <c r="E308">
        <v>690</v>
      </c>
      <c r="F308" t="str">
        <f>HYPERLINK("https://www.google.com/maps/search/?api=1&amp;query=24.91256888,44.72028515", "View Map")</f>
        <v>View Map</v>
      </c>
    </row>
    <row r="309" spans="1:6" x14ac:dyDescent="0.35">
      <c r="A309" t="s">
        <v>1619</v>
      </c>
      <c r="B309" t="s">
        <v>1620</v>
      </c>
      <c r="C309" t="s">
        <v>1056</v>
      </c>
      <c r="D309" t="s">
        <v>9</v>
      </c>
      <c r="E309">
        <v>688</v>
      </c>
      <c r="F309" t="str">
        <f>HYPERLINK("https://www.google.com/maps/search/?api=1&amp;query=25.1014824,43.79931371", "View Map")</f>
        <v>View Map</v>
      </c>
    </row>
    <row r="310" spans="1:6" x14ac:dyDescent="0.35">
      <c r="A310" t="s">
        <v>1527</v>
      </c>
      <c r="B310" t="s">
        <v>1621</v>
      </c>
      <c r="C310" t="s">
        <v>1048</v>
      </c>
      <c r="D310" t="s">
        <v>9</v>
      </c>
      <c r="E310">
        <v>687</v>
      </c>
      <c r="F310" t="str">
        <f>HYPERLINK("https://www.google.com/maps/search/?api=1&amp;query=23.5632186,45.45001926", "View Map")</f>
        <v>View Map</v>
      </c>
    </row>
    <row r="311" spans="1:6" x14ac:dyDescent="0.35">
      <c r="A311" t="s">
        <v>1622</v>
      </c>
      <c r="B311" t="s">
        <v>1623</v>
      </c>
      <c r="C311" t="s">
        <v>1051</v>
      </c>
      <c r="D311" t="s">
        <v>9</v>
      </c>
      <c r="E311">
        <v>683</v>
      </c>
      <c r="F311" t="str">
        <f>HYPERLINK("https://www.google.com/maps/search/?api=1&amp;query=23.80160264,44.87578751", "View Map")</f>
        <v>View Map</v>
      </c>
    </row>
    <row r="312" spans="1:6" x14ac:dyDescent="0.35">
      <c r="A312" t="s">
        <v>1624</v>
      </c>
      <c r="B312" t="s">
        <v>1625</v>
      </c>
      <c r="C312" t="s">
        <v>1056</v>
      </c>
      <c r="D312" t="s">
        <v>9</v>
      </c>
      <c r="E312">
        <v>682</v>
      </c>
      <c r="F312" t="str">
        <f>HYPERLINK("https://www.google.com/maps/search/?api=1&amp;query=24.71991126,43.80694196", "View Map")</f>
        <v>View Map</v>
      </c>
    </row>
    <row r="313" spans="1:6" x14ac:dyDescent="0.35">
      <c r="A313" t="s">
        <v>1626</v>
      </c>
      <c r="B313" t="s">
        <v>1627</v>
      </c>
      <c r="C313" t="s">
        <v>1056</v>
      </c>
      <c r="D313" t="s">
        <v>9</v>
      </c>
      <c r="E313">
        <v>680</v>
      </c>
      <c r="F313" t="str">
        <f>HYPERLINK("https://www.google.com/maps/search/?api=1&amp;query=25.1667258,44.57622133", "View Map")</f>
        <v>View Map</v>
      </c>
    </row>
    <row r="314" spans="1:6" x14ac:dyDescent="0.35">
      <c r="A314" t="s">
        <v>1628</v>
      </c>
      <c r="B314" t="s">
        <v>1629</v>
      </c>
      <c r="C314" t="s">
        <v>1116</v>
      </c>
      <c r="D314" t="s">
        <v>9</v>
      </c>
      <c r="E314">
        <v>678</v>
      </c>
      <c r="F314" t="str">
        <f>HYPERLINK("https://www.google.com/maps/search/?api=1&amp;query=24.13935333,46.19373947", "View Map")</f>
        <v>View Map</v>
      </c>
    </row>
    <row r="315" spans="1:6" x14ac:dyDescent="0.35">
      <c r="A315" t="s">
        <v>1630</v>
      </c>
      <c r="B315" t="s">
        <v>1631</v>
      </c>
      <c r="C315" t="s">
        <v>1116</v>
      </c>
      <c r="D315" t="s">
        <v>9</v>
      </c>
      <c r="E315">
        <v>674</v>
      </c>
      <c r="F315" t="str">
        <f>HYPERLINK("https://www.google.com/maps/search/?api=1&amp;query=24.46509299,46.28382652", "View Map")</f>
        <v>View Map</v>
      </c>
    </row>
    <row r="316" spans="1:6" x14ac:dyDescent="0.35">
      <c r="A316" t="s">
        <v>1632</v>
      </c>
      <c r="B316" t="s">
        <v>1633</v>
      </c>
      <c r="C316" t="s">
        <v>1056</v>
      </c>
      <c r="D316" t="s">
        <v>9</v>
      </c>
      <c r="E316">
        <v>674</v>
      </c>
      <c r="F316" t="str">
        <f>HYPERLINK("https://www.google.com/maps/search/?api=1&amp;query=24.07605232,43.51779344", "View Map")</f>
        <v>View Map</v>
      </c>
    </row>
    <row r="317" spans="1:6" x14ac:dyDescent="0.35">
      <c r="A317" t="s">
        <v>1634</v>
      </c>
      <c r="B317" t="s">
        <v>1635</v>
      </c>
      <c r="C317" t="s">
        <v>1056</v>
      </c>
      <c r="D317" t="s">
        <v>9</v>
      </c>
      <c r="E317">
        <v>673</v>
      </c>
      <c r="F317" t="str">
        <f>HYPERLINK("https://www.google.com/maps/search/?api=1&amp;query=24.83731415,43.65222538", "View Map")</f>
        <v>View Map</v>
      </c>
    </row>
    <row r="318" spans="1:6" x14ac:dyDescent="0.35">
      <c r="A318" t="s">
        <v>1636</v>
      </c>
      <c r="B318" t="s">
        <v>1637</v>
      </c>
      <c r="C318" t="s">
        <v>1056</v>
      </c>
      <c r="D318" t="s">
        <v>9</v>
      </c>
      <c r="E318">
        <v>672</v>
      </c>
      <c r="F318" t="str">
        <f>HYPERLINK("https://www.google.com/maps/search/?api=1&amp;query=25.22479899,44.27508962", "View Map")</f>
        <v>View Map</v>
      </c>
    </row>
    <row r="319" spans="1:6" x14ac:dyDescent="0.35">
      <c r="A319" t="s">
        <v>1638</v>
      </c>
      <c r="B319" t="s">
        <v>1639</v>
      </c>
      <c r="C319" t="s">
        <v>1116</v>
      </c>
      <c r="D319" t="s">
        <v>9</v>
      </c>
      <c r="E319">
        <v>670</v>
      </c>
      <c r="F319" t="str">
        <f>HYPERLINK("https://www.google.com/maps/search/?api=1&amp;query=24.49135346,46.23901855", "View Map")</f>
        <v>View Map</v>
      </c>
    </row>
    <row r="320" spans="1:6" x14ac:dyDescent="0.35">
      <c r="A320" t="s">
        <v>1640</v>
      </c>
      <c r="B320" t="s">
        <v>1641</v>
      </c>
      <c r="C320" t="s">
        <v>1056</v>
      </c>
      <c r="D320" t="s">
        <v>9</v>
      </c>
      <c r="E320">
        <v>667</v>
      </c>
      <c r="F320" t="str">
        <f>HYPERLINK("https://www.google.com/maps/search/?api=1&amp;query=25.1067918,44.68595378", "View Map")</f>
        <v>View Map</v>
      </c>
    </row>
    <row r="321" spans="1:6" x14ac:dyDescent="0.35">
      <c r="A321" t="s">
        <v>1642</v>
      </c>
      <c r="B321" t="s">
        <v>1643</v>
      </c>
      <c r="C321" t="s">
        <v>1063</v>
      </c>
      <c r="D321" t="s">
        <v>9</v>
      </c>
      <c r="E321">
        <v>665</v>
      </c>
      <c r="F321" t="str">
        <f>HYPERLINK("https://www.google.com/maps/search/?api=1&amp;query=24.28148313,43.12882459", "View Map")</f>
        <v>View Map</v>
      </c>
    </row>
    <row r="322" spans="1:6" x14ac:dyDescent="0.35">
      <c r="A322" t="s">
        <v>1085</v>
      </c>
      <c r="B322" t="s">
        <v>1644</v>
      </c>
      <c r="C322" t="s">
        <v>1056</v>
      </c>
      <c r="D322" t="s">
        <v>9</v>
      </c>
      <c r="E322">
        <v>664</v>
      </c>
      <c r="F322" t="str">
        <f>HYPERLINK("https://www.google.com/maps/search/?api=1&amp;query=24.53293944,44.40189975", "View Map")</f>
        <v>View Map</v>
      </c>
    </row>
    <row r="323" spans="1:6" x14ac:dyDescent="0.35">
      <c r="A323" t="s">
        <v>1645</v>
      </c>
      <c r="B323" t="s">
        <v>1646</v>
      </c>
      <c r="C323" t="s">
        <v>1056</v>
      </c>
      <c r="D323" t="s">
        <v>9</v>
      </c>
      <c r="E323">
        <v>662</v>
      </c>
      <c r="F323" t="str">
        <f>HYPERLINK("https://www.google.com/maps/search/?api=1&amp;query=25.1901464,44.59711585", "View Map")</f>
        <v>View Map</v>
      </c>
    </row>
    <row r="324" spans="1:6" x14ac:dyDescent="0.35">
      <c r="A324" t="s">
        <v>1647</v>
      </c>
      <c r="B324" t="s">
        <v>1648</v>
      </c>
      <c r="C324" t="s">
        <v>1051</v>
      </c>
      <c r="D324" t="s">
        <v>9</v>
      </c>
      <c r="E324">
        <v>662</v>
      </c>
      <c r="F324" t="str">
        <f>HYPERLINK("https://www.google.com/maps/search/?api=1&amp;query=23.74358378,44.40237344", "View Map")</f>
        <v>View Map</v>
      </c>
    </row>
    <row r="325" spans="1:6" x14ac:dyDescent="0.35">
      <c r="A325" t="s">
        <v>1527</v>
      </c>
      <c r="B325" t="s">
        <v>1649</v>
      </c>
      <c r="C325" t="s">
        <v>1048</v>
      </c>
      <c r="D325" t="s">
        <v>9</v>
      </c>
      <c r="E325">
        <v>660</v>
      </c>
      <c r="F325" t="str">
        <f>HYPERLINK("https://www.google.com/maps/search/?api=1&amp;query=23.55020741,45.91417585", "View Map")</f>
        <v>View Map</v>
      </c>
    </row>
    <row r="326" spans="1:6" x14ac:dyDescent="0.35">
      <c r="A326" t="s">
        <v>1650</v>
      </c>
      <c r="B326" t="s">
        <v>1651</v>
      </c>
      <c r="C326" t="s">
        <v>1051</v>
      </c>
      <c r="D326" t="s">
        <v>9</v>
      </c>
      <c r="E326">
        <v>658</v>
      </c>
      <c r="F326" t="str">
        <f>HYPERLINK("https://www.google.com/maps/search/?api=1&amp;query=23.91073051,45.49097345", "View Map")</f>
        <v>View Map</v>
      </c>
    </row>
    <row r="327" spans="1:6" x14ac:dyDescent="0.35">
      <c r="A327" t="s">
        <v>1652</v>
      </c>
      <c r="B327" t="s">
        <v>1653</v>
      </c>
      <c r="C327" t="s">
        <v>1063</v>
      </c>
      <c r="D327" t="s">
        <v>9</v>
      </c>
      <c r="E327">
        <v>658</v>
      </c>
      <c r="F327" t="str">
        <f>HYPERLINK("https://www.google.com/maps/search/?api=1&amp;query=24.39456468,42.14509513", "View Map")</f>
        <v>View Map</v>
      </c>
    </row>
    <row r="328" spans="1:6" x14ac:dyDescent="0.35">
      <c r="A328" t="s">
        <v>1654</v>
      </c>
      <c r="B328" t="s">
        <v>1655</v>
      </c>
      <c r="C328" t="s">
        <v>1056</v>
      </c>
      <c r="D328" t="s">
        <v>9</v>
      </c>
      <c r="E328">
        <v>657</v>
      </c>
      <c r="F328" t="str">
        <f>HYPERLINK("https://www.google.com/maps/search/?api=1&amp;query=24.64116214,43.63271777", "View Map")</f>
        <v>View Map</v>
      </c>
    </row>
    <row r="329" spans="1:6" x14ac:dyDescent="0.35">
      <c r="A329" t="s">
        <v>1656</v>
      </c>
      <c r="B329" t="s">
        <v>1657</v>
      </c>
      <c r="C329" t="s">
        <v>1063</v>
      </c>
      <c r="D329" t="s">
        <v>9</v>
      </c>
      <c r="E329">
        <v>656</v>
      </c>
      <c r="F329" t="str">
        <f>HYPERLINK("https://www.google.com/maps/search/?api=1&amp;query=23.96386736,42.51542281", "View Map")</f>
        <v>View Map</v>
      </c>
    </row>
    <row r="330" spans="1:6" x14ac:dyDescent="0.35">
      <c r="A330" t="s">
        <v>1658</v>
      </c>
      <c r="B330" t="s">
        <v>1659</v>
      </c>
      <c r="C330" t="s">
        <v>1051</v>
      </c>
      <c r="D330" t="s">
        <v>9</v>
      </c>
      <c r="E330">
        <v>656</v>
      </c>
      <c r="F330" t="str">
        <f>HYPERLINK("https://www.google.com/maps/search/?api=1&amp;query=23.45963018,44.32361674", "View Map")</f>
        <v>View Map</v>
      </c>
    </row>
    <row r="331" spans="1:6" x14ac:dyDescent="0.35">
      <c r="A331" t="s">
        <v>1660</v>
      </c>
      <c r="B331" t="s">
        <v>1661</v>
      </c>
      <c r="C331" t="s">
        <v>1056</v>
      </c>
      <c r="D331" t="s">
        <v>9</v>
      </c>
      <c r="E331">
        <v>654</v>
      </c>
      <c r="F331" t="str">
        <f>HYPERLINK("https://www.google.com/maps/search/?api=1&amp;query=24.73012832,44.30650819", "View Map")</f>
        <v>View Map</v>
      </c>
    </row>
    <row r="332" spans="1:6" x14ac:dyDescent="0.35">
      <c r="A332" t="s">
        <v>1662</v>
      </c>
      <c r="B332" t="s">
        <v>1663</v>
      </c>
      <c r="C332" t="s">
        <v>1056</v>
      </c>
      <c r="D332" t="s">
        <v>9</v>
      </c>
      <c r="E332">
        <v>654</v>
      </c>
      <c r="F332" t="str">
        <f>HYPERLINK("https://www.google.com/maps/search/?api=1&amp;query=25.19072757,44.6044387", "View Map")</f>
        <v>View Map</v>
      </c>
    </row>
    <row r="333" spans="1:6" x14ac:dyDescent="0.35">
      <c r="A333" t="s">
        <v>1664</v>
      </c>
      <c r="B333" t="s">
        <v>1665</v>
      </c>
      <c r="C333" t="s">
        <v>1056</v>
      </c>
      <c r="D333" t="s">
        <v>9</v>
      </c>
      <c r="E333">
        <v>654</v>
      </c>
      <c r="F333" t="str">
        <f>HYPERLINK("https://www.google.com/maps/search/?api=1&amp;query=24.72948303,43.78543133", "View Map")</f>
        <v>View Map</v>
      </c>
    </row>
    <row r="334" spans="1:6" x14ac:dyDescent="0.35">
      <c r="A334" t="s">
        <v>1666</v>
      </c>
      <c r="B334" t="s">
        <v>1667</v>
      </c>
      <c r="C334" t="s">
        <v>1051</v>
      </c>
      <c r="D334" t="s">
        <v>9</v>
      </c>
      <c r="E334">
        <v>652</v>
      </c>
      <c r="F334" t="str">
        <f>HYPERLINK("https://www.google.com/maps/search/?api=1&amp;query=23.53125073,44.44424597", "View Map")</f>
        <v>View Map</v>
      </c>
    </row>
    <row r="335" spans="1:6" x14ac:dyDescent="0.35">
      <c r="A335" t="s">
        <v>1668</v>
      </c>
      <c r="B335" t="s">
        <v>1669</v>
      </c>
      <c r="C335" t="s">
        <v>1051</v>
      </c>
      <c r="D335" t="s">
        <v>9</v>
      </c>
      <c r="E335">
        <v>651</v>
      </c>
      <c r="F335" t="str">
        <f>HYPERLINK("https://www.google.com/maps/search/?api=1&amp;query=23.71880015,44.6389288", "View Map")</f>
        <v>View Map</v>
      </c>
    </row>
    <row r="336" spans="1:6" x14ac:dyDescent="0.35">
      <c r="A336" t="s">
        <v>1670</v>
      </c>
      <c r="B336" t="s">
        <v>1671</v>
      </c>
      <c r="C336" t="s">
        <v>1056</v>
      </c>
      <c r="D336" t="s">
        <v>9</v>
      </c>
      <c r="E336">
        <v>651</v>
      </c>
      <c r="F336" t="str">
        <f>HYPERLINK("https://www.google.com/maps/search/?api=1&amp;query=25.13072014,43.65808396", "View Map")</f>
        <v>View Map</v>
      </c>
    </row>
    <row r="337" spans="1:6" x14ac:dyDescent="0.35">
      <c r="A337" t="s">
        <v>1672</v>
      </c>
      <c r="B337" t="s">
        <v>1673</v>
      </c>
      <c r="C337" t="s">
        <v>1095</v>
      </c>
      <c r="D337" t="s">
        <v>9</v>
      </c>
      <c r="E337">
        <v>650</v>
      </c>
      <c r="F337" t="str">
        <f>HYPERLINK("https://www.google.com/maps/search/?api=1&amp;query=24.59405338,46.1395481", "View Map")</f>
        <v>View Map</v>
      </c>
    </row>
    <row r="338" spans="1:6" x14ac:dyDescent="0.35">
      <c r="A338" t="s">
        <v>1242</v>
      </c>
      <c r="B338" t="s">
        <v>1674</v>
      </c>
      <c r="C338" t="s">
        <v>1095</v>
      </c>
      <c r="D338" t="s">
        <v>9</v>
      </c>
      <c r="E338">
        <v>650</v>
      </c>
      <c r="F338" t="str">
        <f>HYPERLINK("https://www.google.com/maps/search/?api=1&amp;query=24.59191803,46.14981991", "View Map")</f>
        <v>View Map</v>
      </c>
    </row>
    <row r="339" spans="1:6" x14ac:dyDescent="0.35">
      <c r="A339" t="s">
        <v>1675</v>
      </c>
      <c r="B339" t="s">
        <v>1676</v>
      </c>
      <c r="C339" t="s">
        <v>1063</v>
      </c>
      <c r="D339" t="s">
        <v>9</v>
      </c>
      <c r="E339">
        <v>650</v>
      </c>
      <c r="F339" t="str">
        <f>HYPERLINK("https://www.google.com/maps/search/?api=1&amp;query=24.03915999,42.9481821", "View Map")</f>
        <v>View Map</v>
      </c>
    </row>
    <row r="340" spans="1:6" x14ac:dyDescent="0.35">
      <c r="A340" t="s">
        <v>1232</v>
      </c>
      <c r="B340" t="s">
        <v>1677</v>
      </c>
      <c r="C340" t="s">
        <v>1056</v>
      </c>
      <c r="D340" t="s">
        <v>9</v>
      </c>
      <c r="E340">
        <v>648</v>
      </c>
      <c r="F340" t="str">
        <f>HYPERLINK("https://www.google.com/maps/search/?api=1&amp;query=25.20792934,44.59124785", "View Map")</f>
        <v>View Map</v>
      </c>
    </row>
    <row r="341" spans="1:6" x14ac:dyDescent="0.35">
      <c r="A341" t="s">
        <v>1278</v>
      </c>
      <c r="B341" t="s">
        <v>1678</v>
      </c>
      <c r="C341" t="s">
        <v>1048</v>
      </c>
      <c r="D341" t="s">
        <v>9</v>
      </c>
      <c r="E341">
        <v>646</v>
      </c>
      <c r="F341" t="str">
        <f>HYPERLINK("https://www.google.com/maps/search/?api=1&amp;query=23.2494467,45.56749194", "View Map")</f>
        <v>View Map</v>
      </c>
    </row>
    <row r="342" spans="1:6" x14ac:dyDescent="0.35">
      <c r="A342" t="s">
        <v>1679</v>
      </c>
      <c r="B342" t="s">
        <v>1680</v>
      </c>
      <c r="C342" t="s">
        <v>1056</v>
      </c>
      <c r="D342" t="s">
        <v>9</v>
      </c>
      <c r="E342">
        <v>645</v>
      </c>
      <c r="F342" t="str">
        <f>HYPERLINK("https://www.google.com/maps/search/?api=1&amp;query=24.44964203,44.3728154", "View Map")</f>
        <v>View Map</v>
      </c>
    </row>
    <row r="343" spans="1:6" x14ac:dyDescent="0.35">
      <c r="A343" t="s">
        <v>1681</v>
      </c>
      <c r="B343" t="s">
        <v>1682</v>
      </c>
      <c r="C343" t="s">
        <v>1051</v>
      </c>
      <c r="D343" t="s">
        <v>9</v>
      </c>
      <c r="E343">
        <v>642</v>
      </c>
      <c r="F343" t="str">
        <f>HYPERLINK("https://www.google.com/maps/search/?api=1&amp;query=23.76092942,44.76481213", "View Map")</f>
        <v>View Map</v>
      </c>
    </row>
    <row r="344" spans="1:6" x14ac:dyDescent="0.35">
      <c r="A344" t="s">
        <v>1683</v>
      </c>
      <c r="B344" t="s">
        <v>1684</v>
      </c>
      <c r="C344" t="s">
        <v>1051</v>
      </c>
      <c r="D344" t="s">
        <v>9</v>
      </c>
      <c r="E344">
        <v>642</v>
      </c>
      <c r="F344" t="str">
        <f>HYPERLINK("https://www.google.com/maps/search/?api=1&amp;query=24.33484622,45.80896281", "View Map")</f>
        <v>View Map</v>
      </c>
    </row>
    <row r="345" spans="1:6" x14ac:dyDescent="0.35">
      <c r="A345" t="s">
        <v>1685</v>
      </c>
      <c r="B345" t="s">
        <v>1686</v>
      </c>
      <c r="C345" t="s">
        <v>1056</v>
      </c>
      <c r="D345" t="s">
        <v>13</v>
      </c>
      <c r="E345">
        <v>641</v>
      </c>
      <c r="F345" t="str">
        <f>HYPERLINK("https://www.google.com/maps/search/?api=1&amp;query=24.52132293,44.4159675", "View Map")</f>
        <v>View Map</v>
      </c>
    </row>
    <row r="346" spans="1:6" x14ac:dyDescent="0.35">
      <c r="A346" t="s">
        <v>1687</v>
      </c>
      <c r="B346" t="s">
        <v>1688</v>
      </c>
      <c r="C346" t="s">
        <v>1048</v>
      </c>
      <c r="D346" t="s">
        <v>9</v>
      </c>
      <c r="E346">
        <v>641</v>
      </c>
      <c r="F346" t="str">
        <f>HYPERLINK("https://www.google.com/maps/search/?api=1&amp;query=22.80815776,44.78236435", "View Map")</f>
        <v>View Map</v>
      </c>
    </row>
    <row r="347" spans="1:6" x14ac:dyDescent="0.35">
      <c r="A347" t="s">
        <v>1689</v>
      </c>
      <c r="B347" t="s">
        <v>1690</v>
      </c>
      <c r="C347" t="s">
        <v>1056</v>
      </c>
      <c r="D347" t="s">
        <v>9</v>
      </c>
      <c r="E347">
        <v>640</v>
      </c>
      <c r="F347" t="str">
        <f>HYPERLINK("https://www.google.com/maps/search/?api=1&amp;query=25.35644537,44.55655466", "View Map")</f>
        <v>View Map</v>
      </c>
    </row>
    <row r="348" spans="1:6" x14ac:dyDescent="0.35">
      <c r="A348" t="s">
        <v>1093</v>
      </c>
      <c r="B348" t="s">
        <v>1691</v>
      </c>
      <c r="C348" t="s">
        <v>1095</v>
      </c>
      <c r="D348" t="s">
        <v>9</v>
      </c>
      <c r="E348">
        <v>639</v>
      </c>
      <c r="F348" t="str">
        <f>HYPERLINK("https://www.google.com/maps/search/?api=1&amp;query=24.5908024,46.13035834", "View Map")</f>
        <v>View Map</v>
      </c>
    </row>
    <row r="349" spans="1:6" x14ac:dyDescent="0.35">
      <c r="A349" t="s">
        <v>1692</v>
      </c>
      <c r="B349" t="s">
        <v>1693</v>
      </c>
      <c r="C349" t="s">
        <v>1048</v>
      </c>
      <c r="D349" t="s">
        <v>9</v>
      </c>
      <c r="E349">
        <v>638</v>
      </c>
      <c r="F349" t="str">
        <f>HYPERLINK("https://www.google.com/maps/search/?api=1&amp;query=22.61770891,45.07420906", "View Map")</f>
        <v>View Map</v>
      </c>
    </row>
    <row r="350" spans="1:6" x14ac:dyDescent="0.35">
      <c r="A350" t="s">
        <v>1108</v>
      </c>
      <c r="B350" t="s">
        <v>1694</v>
      </c>
      <c r="C350" t="s">
        <v>1056</v>
      </c>
      <c r="D350" t="s">
        <v>9</v>
      </c>
      <c r="E350">
        <v>638</v>
      </c>
      <c r="F350" t="str">
        <f>HYPERLINK("https://www.google.com/maps/search/?api=1&amp;query=24.54542547,44.42274401", "View Map")</f>
        <v>View Map</v>
      </c>
    </row>
    <row r="351" spans="1:6" x14ac:dyDescent="0.35">
      <c r="A351" t="s">
        <v>1695</v>
      </c>
      <c r="B351" t="s">
        <v>1696</v>
      </c>
      <c r="C351" t="s">
        <v>1056</v>
      </c>
      <c r="D351" t="s">
        <v>9</v>
      </c>
      <c r="E351">
        <v>638</v>
      </c>
      <c r="F351" t="str">
        <f>HYPERLINK("https://www.google.com/maps/search/?api=1&amp;query=25.1701483,44.22521572", "View Map")</f>
        <v>View Map</v>
      </c>
    </row>
    <row r="352" spans="1:6" x14ac:dyDescent="0.35">
      <c r="A352" t="s">
        <v>1697</v>
      </c>
      <c r="B352" t="s">
        <v>1698</v>
      </c>
      <c r="C352" t="s">
        <v>1056</v>
      </c>
      <c r="D352" t="s">
        <v>9</v>
      </c>
      <c r="E352">
        <v>637</v>
      </c>
      <c r="F352" t="str">
        <f>HYPERLINK("https://www.google.com/maps/search/?api=1&amp;query=24.71006592,44.29490944", "View Map")</f>
        <v>View Map</v>
      </c>
    </row>
    <row r="353" spans="1:6" x14ac:dyDescent="0.35">
      <c r="A353" t="s">
        <v>1699</v>
      </c>
      <c r="B353" t="s">
        <v>1700</v>
      </c>
      <c r="C353" t="s">
        <v>1056</v>
      </c>
      <c r="D353" t="s">
        <v>9</v>
      </c>
      <c r="E353">
        <v>637</v>
      </c>
      <c r="F353" t="str">
        <f>HYPERLINK("https://www.google.com/maps/search/?api=1&amp;query=24.4929964,43.617265", "View Map")</f>
        <v>View Map</v>
      </c>
    </row>
    <row r="354" spans="1:6" x14ac:dyDescent="0.35">
      <c r="A354" t="s">
        <v>1701</v>
      </c>
      <c r="B354" t="s">
        <v>1702</v>
      </c>
      <c r="C354" t="s">
        <v>1063</v>
      </c>
      <c r="D354" t="s">
        <v>9</v>
      </c>
      <c r="E354">
        <v>637</v>
      </c>
      <c r="F354" t="str">
        <f>HYPERLINK("https://www.google.com/maps/search/?api=1&amp;query=23.91393466,42.92605712", "View Map")</f>
        <v>View Map</v>
      </c>
    </row>
    <row r="355" spans="1:6" x14ac:dyDescent="0.35">
      <c r="A355" t="s">
        <v>1085</v>
      </c>
      <c r="B355" t="s">
        <v>1703</v>
      </c>
      <c r="C355" t="s">
        <v>1056</v>
      </c>
      <c r="D355" t="s">
        <v>9</v>
      </c>
      <c r="E355">
        <v>636</v>
      </c>
      <c r="F355" t="str">
        <f>HYPERLINK("https://www.google.com/maps/search/?api=1&amp;query=24.49901271,44.36178485", "View Map")</f>
        <v>View Map</v>
      </c>
    </row>
    <row r="356" spans="1:6" x14ac:dyDescent="0.35">
      <c r="A356" t="s">
        <v>1704</v>
      </c>
      <c r="B356" t="s">
        <v>1705</v>
      </c>
      <c r="C356" t="s">
        <v>1056</v>
      </c>
      <c r="D356" t="s">
        <v>9</v>
      </c>
      <c r="E356">
        <v>636</v>
      </c>
      <c r="F356" t="str">
        <f>HYPERLINK("https://www.google.com/maps/search/?api=1&amp;query=24.45988799,44.35890947", "View Map")</f>
        <v>View Map</v>
      </c>
    </row>
    <row r="357" spans="1:6" x14ac:dyDescent="0.35">
      <c r="A357" t="s">
        <v>1706</v>
      </c>
      <c r="B357" t="s">
        <v>1707</v>
      </c>
      <c r="C357" t="s">
        <v>1056</v>
      </c>
      <c r="D357" t="s">
        <v>9</v>
      </c>
      <c r="E357">
        <v>634</v>
      </c>
      <c r="F357" t="str">
        <f>HYPERLINK("https://www.google.com/maps/search/?api=1&amp;query=25.02341321,44.39828746", "View Map")</f>
        <v>View Map</v>
      </c>
    </row>
    <row r="358" spans="1:6" x14ac:dyDescent="0.35">
      <c r="A358" t="s">
        <v>1708</v>
      </c>
      <c r="B358" t="s">
        <v>1709</v>
      </c>
      <c r="C358" t="s">
        <v>1051</v>
      </c>
      <c r="D358" t="s">
        <v>9</v>
      </c>
      <c r="E358">
        <v>632</v>
      </c>
      <c r="F358" t="str">
        <f>HYPERLINK("https://www.google.com/maps/search/?api=1&amp;query=24.33259542,45.80124257", "View Map")</f>
        <v>View Map</v>
      </c>
    </row>
    <row r="359" spans="1:6" x14ac:dyDescent="0.35">
      <c r="A359" t="s">
        <v>1232</v>
      </c>
      <c r="B359" t="s">
        <v>1710</v>
      </c>
      <c r="C359" t="s">
        <v>1056</v>
      </c>
      <c r="D359" t="s">
        <v>9</v>
      </c>
      <c r="E359">
        <v>631</v>
      </c>
      <c r="F359" t="str">
        <f>HYPERLINK("https://www.google.com/maps/search/?api=1&amp;query=25.37763757,44.44068938", "View Map")</f>
        <v>View Map</v>
      </c>
    </row>
    <row r="360" spans="1:6" x14ac:dyDescent="0.35">
      <c r="A360" t="s">
        <v>1711</v>
      </c>
      <c r="B360" t="s">
        <v>1712</v>
      </c>
      <c r="C360" t="s">
        <v>1056</v>
      </c>
      <c r="D360" t="s">
        <v>9</v>
      </c>
      <c r="E360">
        <v>630</v>
      </c>
      <c r="F360" t="str">
        <f>HYPERLINK("https://www.google.com/maps/search/?api=1&amp;query=24.29648426,43.74034792", "View Map")</f>
        <v>View Map</v>
      </c>
    </row>
    <row r="361" spans="1:6" x14ac:dyDescent="0.35">
      <c r="A361" t="s">
        <v>1527</v>
      </c>
      <c r="B361" t="s">
        <v>1713</v>
      </c>
      <c r="C361" t="s">
        <v>1048</v>
      </c>
      <c r="D361" t="s">
        <v>9</v>
      </c>
      <c r="E361">
        <v>629</v>
      </c>
      <c r="F361" t="str">
        <f>HYPERLINK("https://www.google.com/maps/search/?api=1&amp;query=23.56710505,45.6145457", "View Map")</f>
        <v>View Map</v>
      </c>
    </row>
    <row r="362" spans="1:6" x14ac:dyDescent="0.35">
      <c r="A362" t="s">
        <v>611</v>
      </c>
      <c r="B362" t="s">
        <v>1714</v>
      </c>
      <c r="C362" t="s">
        <v>1048</v>
      </c>
      <c r="D362" t="s">
        <v>9</v>
      </c>
      <c r="E362">
        <v>626</v>
      </c>
      <c r="F362" t="str">
        <f>HYPERLINK("https://www.google.com/maps/search/?api=1&amp;query=22.61735234,45.07455042", "View Map")</f>
        <v>View Map</v>
      </c>
    </row>
    <row r="363" spans="1:6" x14ac:dyDescent="0.35">
      <c r="A363" t="s">
        <v>1715</v>
      </c>
      <c r="B363" t="s">
        <v>1716</v>
      </c>
      <c r="C363" t="s">
        <v>1051</v>
      </c>
      <c r="D363" t="s">
        <v>9</v>
      </c>
      <c r="E363">
        <v>625</v>
      </c>
      <c r="F363" t="str">
        <f>HYPERLINK("https://www.google.com/maps/search/?api=1&amp;query=23.764479,45.08108117", "View Map")</f>
        <v>View Map</v>
      </c>
    </row>
    <row r="364" spans="1:6" x14ac:dyDescent="0.35">
      <c r="A364" t="s">
        <v>1717</v>
      </c>
      <c r="B364" t="s">
        <v>1718</v>
      </c>
      <c r="C364" t="s">
        <v>1048</v>
      </c>
      <c r="D364" t="s">
        <v>9</v>
      </c>
      <c r="E364">
        <v>624</v>
      </c>
      <c r="F364" t="str">
        <f>HYPERLINK("https://www.google.com/maps/search/?api=1&amp;query=22.94586304,45.01662705", "View Map")</f>
        <v>View Map</v>
      </c>
    </row>
    <row r="365" spans="1:6" x14ac:dyDescent="0.35">
      <c r="A365" t="s">
        <v>1345</v>
      </c>
      <c r="B365" t="s">
        <v>1719</v>
      </c>
      <c r="C365" t="s">
        <v>1051</v>
      </c>
      <c r="D365" t="s">
        <v>9</v>
      </c>
      <c r="E365">
        <v>623</v>
      </c>
      <c r="F365" t="str">
        <f>HYPERLINK("https://www.google.com/maps/search/?api=1&amp;query=23.46329998,44.32734468", "View Map")</f>
        <v>View Map</v>
      </c>
    </row>
    <row r="366" spans="1:6" x14ac:dyDescent="0.35">
      <c r="A366" t="s">
        <v>1073</v>
      </c>
      <c r="B366" t="s">
        <v>1720</v>
      </c>
      <c r="C366" t="s">
        <v>1051</v>
      </c>
      <c r="D366" t="s">
        <v>9</v>
      </c>
      <c r="E366">
        <v>622</v>
      </c>
      <c r="F366" t="str">
        <f>HYPERLINK("https://www.google.com/maps/search/?api=1&amp;query=24.52463718,45.76798693", "View Map")</f>
        <v>View Map</v>
      </c>
    </row>
    <row r="367" spans="1:6" x14ac:dyDescent="0.35">
      <c r="A367" t="s">
        <v>1721</v>
      </c>
      <c r="B367" t="s">
        <v>1722</v>
      </c>
      <c r="C367" t="s">
        <v>1116</v>
      </c>
      <c r="D367" t="s">
        <v>9</v>
      </c>
      <c r="E367">
        <v>618</v>
      </c>
      <c r="F367" t="str">
        <f>HYPERLINK("https://www.google.com/maps/search/?api=1&amp;query=24.47240618,46.28943317", "View Map")</f>
        <v>View Map</v>
      </c>
    </row>
    <row r="368" spans="1:6" x14ac:dyDescent="0.35">
      <c r="A368" t="s">
        <v>1723</v>
      </c>
      <c r="B368" t="s">
        <v>1724</v>
      </c>
      <c r="C368" t="s">
        <v>1056</v>
      </c>
      <c r="D368" t="s">
        <v>318</v>
      </c>
      <c r="E368">
        <v>615</v>
      </c>
      <c r="F368" t="str">
        <f>HYPERLINK("https://www.google.com/maps/search/?api=1&amp;query=25.18153362,44.59708181", "View Map")</f>
        <v>View Map</v>
      </c>
    </row>
    <row r="369" spans="1:6" x14ac:dyDescent="0.35">
      <c r="A369" t="s">
        <v>1345</v>
      </c>
      <c r="B369" t="s">
        <v>1725</v>
      </c>
      <c r="C369" t="s">
        <v>1051</v>
      </c>
      <c r="D369" t="s">
        <v>9</v>
      </c>
      <c r="E369">
        <v>612</v>
      </c>
      <c r="F369" t="str">
        <f>HYPERLINK("https://www.google.com/maps/search/?api=1&amp;query=23.45462212,44.95014209", "View Map")</f>
        <v>View Map</v>
      </c>
    </row>
    <row r="370" spans="1:6" x14ac:dyDescent="0.35">
      <c r="A370" t="s">
        <v>1085</v>
      </c>
      <c r="B370" t="s">
        <v>1726</v>
      </c>
      <c r="C370" t="s">
        <v>1056</v>
      </c>
      <c r="D370" t="s">
        <v>318</v>
      </c>
      <c r="E370">
        <v>579</v>
      </c>
      <c r="F370" t="str">
        <f>HYPERLINK("https://www.google.com/maps/search/?api=1&amp;query=24.52590159,44.39200649", "View Map")</f>
        <v>View Map</v>
      </c>
    </row>
    <row r="371" spans="1:6" x14ac:dyDescent="0.35">
      <c r="A371" t="s">
        <v>1727</v>
      </c>
      <c r="B371" t="s">
        <v>1728</v>
      </c>
      <c r="C371" t="s">
        <v>1056</v>
      </c>
      <c r="D371" t="s">
        <v>318</v>
      </c>
      <c r="E371">
        <v>569</v>
      </c>
      <c r="F371" t="str">
        <f>HYPERLINK("https://www.google.com/maps/search/?api=1&amp;query=24.52434182,44.42230074", "View Map")</f>
        <v>View Map</v>
      </c>
    </row>
    <row r="372" spans="1:6" x14ac:dyDescent="0.35">
      <c r="A372" t="s">
        <v>1729</v>
      </c>
      <c r="B372" t="s">
        <v>1730</v>
      </c>
      <c r="C372" t="s">
        <v>1056</v>
      </c>
      <c r="D372" t="s">
        <v>9</v>
      </c>
      <c r="E372">
        <v>558</v>
      </c>
      <c r="F372" t="str">
        <f>HYPERLINK("https://www.google.com/maps/search/?api=1&amp;query=24.50983412,43.78630565", "View Map")</f>
        <v>View Map</v>
      </c>
    </row>
    <row r="373" spans="1:6" x14ac:dyDescent="0.35">
      <c r="A373" t="s">
        <v>1085</v>
      </c>
      <c r="B373" t="s">
        <v>1731</v>
      </c>
      <c r="C373" t="s">
        <v>1056</v>
      </c>
      <c r="D373" t="s">
        <v>9</v>
      </c>
      <c r="E373">
        <v>551</v>
      </c>
      <c r="F373" t="str">
        <f>HYPERLINK("https://www.google.com/maps/search/?api=1&amp;query=24.61838167,44.07259833", "View Map")</f>
        <v>View Map</v>
      </c>
    </row>
    <row r="374" spans="1:6" x14ac:dyDescent="0.35">
      <c r="A374" t="s">
        <v>1732</v>
      </c>
      <c r="B374" t="s">
        <v>1733</v>
      </c>
      <c r="C374" t="s">
        <v>1056</v>
      </c>
      <c r="D374" t="s">
        <v>318</v>
      </c>
      <c r="E374">
        <v>551</v>
      </c>
      <c r="F374" t="str">
        <f>HYPERLINK("https://www.google.com/maps/search/?api=1&amp;query=24.79363121,44.81721559", "View Map")</f>
        <v>View Map</v>
      </c>
    </row>
    <row r="375" spans="1:6" x14ac:dyDescent="0.35">
      <c r="A375" t="s">
        <v>1573</v>
      </c>
      <c r="B375" t="s">
        <v>1734</v>
      </c>
      <c r="C375" t="s">
        <v>1051</v>
      </c>
      <c r="D375" t="s">
        <v>318</v>
      </c>
      <c r="E375">
        <v>544</v>
      </c>
      <c r="F375" t="str">
        <f>HYPERLINK("https://www.google.com/maps/search/?api=1&amp;query=24.27750544,45.8733683", "View Map")</f>
        <v>View Map</v>
      </c>
    </row>
    <row r="376" spans="1:6" x14ac:dyDescent="0.35">
      <c r="A376" t="s">
        <v>1735</v>
      </c>
      <c r="B376" t="s">
        <v>1736</v>
      </c>
      <c r="C376" t="s">
        <v>1171</v>
      </c>
      <c r="D376" t="s">
        <v>9</v>
      </c>
      <c r="E376">
        <v>503</v>
      </c>
      <c r="F376" t="str">
        <f>HYPERLINK("https://www.google.com/maps/search/?api=1&amp;query=24.44016569,41.85807789", "View Map")</f>
        <v>View Map</v>
      </c>
    </row>
    <row r="377" spans="1:6" x14ac:dyDescent="0.35">
      <c r="A377" t="s">
        <v>1737</v>
      </c>
      <c r="B377" t="s">
        <v>1738</v>
      </c>
      <c r="C377" t="s">
        <v>1056</v>
      </c>
      <c r="D377" t="s">
        <v>318</v>
      </c>
      <c r="E377">
        <v>483</v>
      </c>
      <c r="F377" t="str">
        <f>HYPERLINK("https://www.google.com/maps/search/?api=1&amp;query=24.6769992,43.69130423", "View Map")</f>
        <v>View Map</v>
      </c>
    </row>
    <row r="378" spans="1:6" x14ac:dyDescent="0.35">
      <c r="A378" t="s">
        <v>1739</v>
      </c>
      <c r="B378" t="s">
        <v>1740</v>
      </c>
      <c r="C378" t="s">
        <v>1063</v>
      </c>
      <c r="D378" t="s">
        <v>13</v>
      </c>
      <c r="E378">
        <v>477</v>
      </c>
      <c r="F378" t="str">
        <f>HYPERLINK("https://www.google.com/maps/search/?api=1&amp;query=23.967795,43.33463", "View Map")</f>
        <v>View Map</v>
      </c>
    </row>
    <row r="379" spans="1:6" x14ac:dyDescent="0.35">
      <c r="A379" t="s">
        <v>1741</v>
      </c>
      <c r="B379" t="s">
        <v>1742</v>
      </c>
      <c r="C379" t="s">
        <v>1056</v>
      </c>
      <c r="D379" t="s">
        <v>9</v>
      </c>
      <c r="E379">
        <v>450</v>
      </c>
      <c r="F379" t="str">
        <f>HYPERLINK("https://www.google.com/maps/search/?api=1&amp;query=24.72213032,43.79925855", "View Map")</f>
        <v>View Map</v>
      </c>
    </row>
    <row r="380" spans="1:6" x14ac:dyDescent="0.35">
      <c r="A380" t="s">
        <v>1743</v>
      </c>
      <c r="B380" t="s">
        <v>1744</v>
      </c>
      <c r="C380" t="s">
        <v>1116</v>
      </c>
      <c r="D380" t="s">
        <v>318</v>
      </c>
      <c r="E380">
        <v>446</v>
      </c>
      <c r="F380" t="str">
        <f>HYPERLINK("https://www.google.com/maps/search/?api=1&amp;query=24.4433005,46.10886165", "View Map")</f>
        <v>View Map</v>
      </c>
    </row>
    <row r="381" spans="1:6" x14ac:dyDescent="0.35">
      <c r="A381" t="s">
        <v>1745</v>
      </c>
      <c r="B381" t="s">
        <v>1746</v>
      </c>
      <c r="C381" t="s">
        <v>1063</v>
      </c>
      <c r="D381" t="s">
        <v>13</v>
      </c>
      <c r="E381">
        <v>444</v>
      </c>
      <c r="F381" t="str">
        <f>HYPERLINK("https://www.google.com/maps/search/?api=1&amp;query=23.74346865,43.10195353", "View Map")</f>
        <v>View Map</v>
      </c>
    </row>
    <row r="382" spans="1:6" x14ac:dyDescent="0.35">
      <c r="A382" t="s">
        <v>1747</v>
      </c>
      <c r="B382" t="s">
        <v>1748</v>
      </c>
      <c r="C382" t="s">
        <v>1048</v>
      </c>
      <c r="D382" t="s">
        <v>318</v>
      </c>
      <c r="E382">
        <v>396</v>
      </c>
      <c r="F382" t="str">
        <f>HYPERLINK("https://www.google.com/maps/search/?api=1&amp;query=22.84031669,44.95784718", "View Map")</f>
        <v>View Map</v>
      </c>
    </row>
    <row r="383" spans="1:6" x14ac:dyDescent="0.35">
      <c r="A383" t="s">
        <v>1749</v>
      </c>
      <c r="B383" t="s">
        <v>1750</v>
      </c>
      <c r="C383" t="s">
        <v>1051</v>
      </c>
      <c r="D383" t="s">
        <v>318</v>
      </c>
      <c r="E383">
        <v>380</v>
      </c>
      <c r="F383" t="str">
        <f>HYPERLINK("https://www.google.com/maps/search/?api=1&amp;query=24.26687362,45.08342179", "View Map")</f>
        <v>View Map</v>
      </c>
    </row>
    <row r="384" spans="1:6" x14ac:dyDescent="0.35">
      <c r="A384" t="s">
        <v>1751</v>
      </c>
      <c r="B384" t="s">
        <v>1752</v>
      </c>
      <c r="C384" t="s">
        <v>1056</v>
      </c>
      <c r="D384" t="s">
        <v>9</v>
      </c>
      <c r="E384">
        <v>372</v>
      </c>
      <c r="F384" t="str">
        <f>HYPERLINK("https://www.google.com/maps/search/?api=1&amp;query=25.20458695,44.1999896", "View Map")</f>
        <v>View Map</v>
      </c>
    </row>
    <row r="385" spans="1:6" x14ac:dyDescent="0.35">
      <c r="A385" t="s">
        <v>1753</v>
      </c>
      <c r="B385" t="s">
        <v>1754</v>
      </c>
      <c r="C385" t="s">
        <v>1048</v>
      </c>
      <c r="D385" t="s">
        <v>318</v>
      </c>
      <c r="E385">
        <v>371</v>
      </c>
      <c r="F385" t="str">
        <f>HYPERLINK("https://www.google.com/maps/search/?api=1&amp;query=23.24768865,45.56059288", "View Map")</f>
        <v>View Map</v>
      </c>
    </row>
    <row r="386" spans="1:6" x14ac:dyDescent="0.35">
      <c r="A386" t="s">
        <v>1200</v>
      </c>
      <c r="B386" t="s">
        <v>1755</v>
      </c>
      <c r="C386" t="s">
        <v>1056</v>
      </c>
      <c r="D386" t="s">
        <v>318</v>
      </c>
      <c r="E386">
        <v>370</v>
      </c>
      <c r="F386" t="str">
        <f>HYPERLINK("https://www.google.com/maps/search/?api=1&amp;query=24.51519258,44.38269998", "View Map")</f>
        <v>View Map</v>
      </c>
    </row>
    <row r="387" spans="1:6" x14ac:dyDescent="0.35">
      <c r="A387" t="s">
        <v>611</v>
      </c>
      <c r="B387" t="s">
        <v>1756</v>
      </c>
      <c r="C387" t="s">
        <v>1051</v>
      </c>
      <c r="D387" t="s">
        <v>318</v>
      </c>
      <c r="E387">
        <v>330</v>
      </c>
      <c r="F387" t="str">
        <f>HYPERLINK("https://www.google.com/maps/search/?api=1&amp;query=24.11082955,45.93596291", "View Map")</f>
        <v>View Map</v>
      </c>
    </row>
    <row r="388" spans="1:6" x14ac:dyDescent="0.35">
      <c r="A388" t="s">
        <v>1757</v>
      </c>
      <c r="B388" t="s">
        <v>1758</v>
      </c>
      <c r="C388" t="s">
        <v>1056</v>
      </c>
      <c r="D388" t="s">
        <v>318</v>
      </c>
      <c r="E388">
        <v>321</v>
      </c>
      <c r="F388" t="str">
        <f>HYPERLINK("https://www.google.com/maps/search/?api=1&amp;query=25.07184317,44.70193392", "View Map")</f>
        <v>View Map</v>
      </c>
    </row>
    <row r="389" spans="1:6" x14ac:dyDescent="0.35">
      <c r="A389" t="s">
        <v>1759</v>
      </c>
      <c r="B389" t="s">
        <v>1760</v>
      </c>
      <c r="C389" t="s">
        <v>1056</v>
      </c>
      <c r="D389" t="s">
        <v>318</v>
      </c>
      <c r="E389">
        <v>307</v>
      </c>
      <c r="F389" t="str">
        <f>HYPERLINK("https://www.google.com/maps/search/?api=1&amp;query=24.54456886,44.43271592", "View Map")</f>
        <v>View Map</v>
      </c>
    </row>
    <row r="390" spans="1:6" x14ac:dyDescent="0.35">
      <c r="A390" t="s">
        <v>1761</v>
      </c>
      <c r="B390" t="s">
        <v>1762</v>
      </c>
      <c r="C390" t="s">
        <v>1116</v>
      </c>
      <c r="D390" t="s">
        <v>318</v>
      </c>
      <c r="E390">
        <v>299</v>
      </c>
      <c r="F390" t="str">
        <f>HYPERLINK("https://www.google.com/maps/search/?api=1&amp;query=24.46566535,46.27107943", "View Map")</f>
        <v>View Map</v>
      </c>
    </row>
    <row r="391" spans="1:6" x14ac:dyDescent="0.35">
      <c r="A391" t="s">
        <v>1527</v>
      </c>
      <c r="B391" t="s">
        <v>1763</v>
      </c>
      <c r="C391" t="s">
        <v>1048</v>
      </c>
      <c r="D391" t="s">
        <v>318</v>
      </c>
      <c r="E391">
        <v>296</v>
      </c>
      <c r="F391" t="str">
        <f>HYPERLINK("https://www.google.com/maps/search/?api=1&amp;query=23.50983411,45.52891829", "View Map")</f>
        <v>View Map</v>
      </c>
    </row>
    <row r="392" spans="1:6" x14ac:dyDescent="0.35">
      <c r="A392" t="s">
        <v>1764</v>
      </c>
      <c r="B392" t="s">
        <v>1765</v>
      </c>
      <c r="C392" t="s">
        <v>1051</v>
      </c>
      <c r="D392" t="s">
        <v>318</v>
      </c>
      <c r="E392">
        <v>295</v>
      </c>
      <c r="F392" t="str">
        <f>HYPERLINK("https://www.google.com/maps/search/?api=1&amp;query=24.08258881,45.3255726", "View Map")</f>
        <v>View Map</v>
      </c>
    </row>
    <row r="393" spans="1:6" x14ac:dyDescent="0.35">
      <c r="A393" t="s">
        <v>1766</v>
      </c>
      <c r="B393" t="s">
        <v>1767</v>
      </c>
      <c r="C393" t="s">
        <v>1095</v>
      </c>
      <c r="D393" t="s">
        <v>318</v>
      </c>
      <c r="E393">
        <v>289</v>
      </c>
      <c r="F393" t="str">
        <f>HYPERLINK("https://www.google.com/maps/search/?api=1&amp;query=24.59130884,46.13438279", "View Map")</f>
        <v>View Map</v>
      </c>
    </row>
    <row r="394" spans="1:6" x14ac:dyDescent="0.35">
      <c r="A394" t="s">
        <v>1768</v>
      </c>
      <c r="B394" t="s">
        <v>1769</v>
      </c>
      <c r="C394" t="s">
        <v>1056</v>
      </c>
      <c r="D394" t="s">
        <v>318</v>
      </c>
      <c r="E394">
        <v>285</v>
      </c>
      <c r="F394" t="str">
        <f>HYPERLINK("https://www.google.com/maps/search/?api=1&amp;query=24.33986748,44.80249837", "View Map")</f>
        <v>View Map</v>
      </c>
    </row>
    <row r="395" spans="1:6" x14ac:dyDescent="0.35">
      <c r="A395" t="s">
        <v>1770</v>
      </c>
      <c r="B395" t="s">
        <v>1771</v>
      </c>
      <c r="C395" t="s">
        <v>1051</v>
      </c>
      <c r="D395" t="s">
        <v>318</v>
      </c>
      <c r="E395">
        <v>281</v>
      </c>
      <c r="F395" t="str">
        <f>HYPERLINK("https://www.google.com/maps/search/?api=1&amp;query=23.49302395,44.39454124", "View Map")</f>
        <v>View Map</v>
      </c>
    </row>
    <row r="396" spans="1:6" x14ac:dyDescent="0.35">
      <c r="A396" t="s">
        <v>1772</v>
      </c>
      <c r="B396" t="s">
        <v>1773</v>
      </c>
      <c r="C396" t="s">
        <v>1051</v>
      </c>
      <c r="D396" t="s">
        <v>9</v>
      </c>
      <c r="E396">
        <v>224</v>
      </c>
      <c r="F396" t="str">
        <f>HYPERLINK("https://www.google.com/maps/search/?api=1&amp;query=23.51919022,43.75418106", "View Map")</f>
        <v>View Map</v>
      </c>
    </row>
  </sheetData>
  <pageMargins left="0.75" right="0.75" top="1" bottom="1" header="0.5" footer="0.5"/>
  <headerFooter>
    <oddFooter>&amp;C_x000D_&amp;1#&amp;"Calibri"&amp;10&amp;K0000FF Restricted - مقيد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547"/>
  <sheetViews>
    <sheetView workbookViewId="0">
      <selection activeCell="E11" sqref="E11"/>
    </sheetView>
  </sheetViews>
  <sheetFormatPr defaultRowHeight="14.5" x14ac:dyDescent="0.35"/>
  <cols>
    <col min="1" max="1" width="46" customWidth="1"/>
    <col min="2" max="2" width="18" customWidth="1"/>
    <col min="3" max="3" width="10" customWidth="1"/>
    <col min="4" max="4" width="16.26953125" customWidth="1"/>
    <col min="5" max="5" width="24" customWidth="1"/>
    <col min="6" max="6" width="10.45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1774</v>
      </c>
      <c r="B2" t="s">
        <v>1775</v>
      </c>
      <c r="C2" t="s">
        <v>1776</v>
      </c>
      <c r="D2" t="s">
        <v>13</v>
      </c>
      <c r="E2">
        <v>133510</v>
      </c>
      <c r="F2" t="str">
        <f>HYPERLINK("https://www.google.com/maps/search/?api=1&amp;query=24.6290373,46.70857805", "View Map")</f>
        <v>View Map</v>
      </c>
    </row>
    <row r="3" spans="1:6" x14ac:dyDescent="0.35">
      <c r="A3" t="s">
        <v>1777</v>
      </c>
      <c r="B3" t="s">
        <v>1778</v>
      </c>
      <c r="C3" t="s">
        <v>1776</v>
      </c>
      <c r="D3" t="s">
        <v>13</v>
      </c>
      <c r="E3">
        <v>127519</v>
      </c>
      <c r="F3" t="str">
        <f>HYPERLINK("https://www.google.com/maps/search/?api=1&amp;query=24.71878225,46.7552068", "View Map")</f>
        <v>View Map</v>
      </c>
    </row>
    <row r="4" spans="1:6" x14ac:dyDescent="0.35">
      <c r="A4" t="s">
        <v>1779</v>
      </c>
      <c r="B4" t="s">
        <v>1780</v>
      </c>
      <c r="C4" t="s">
        <v>1776</v>
      </c>
      <c r="D4" t="s">
        <v>13</v>
      </c>
      <c r="E4">
        <v>64708</v>
      </c>
      <c r="F4" t="str">
        <f>HYPERLINK("https://www.google.com/maps/search/?api=1&amp;query=24.674339,46.7816788", "View Map")</f>
        <v>View Map</v>
      </c>
    </row>
    <row r="5" spans="1:6" x14ac:dyDescent="0.35">
      <c r="A5" t="s">
        <v>1781</v>
      </c>
      <c r="B5" t="s">
        <v>1782</v>
      </c>
      <c r="C5" t="s">
        <v>1776</v>
      </c>
      <c r="D5" t="s">
        <v>13</v>
      </c>
      <c r="E5">
        <v>40668</v>
      </c>
      <c r="F5" t="str">
        <f>HYPERLINK("https://www.google.com/maps/search/?api=1&amp;query=24.70051282,46.65273349", "View Map")</f>
        <v>View Map</v>
      </c>
    </row>
    <row r="6" spans="1:6" x14ac:dyDescent="0.35">
      <c r="A6" t="s">
        <v>1783</v>
      </c>
      <c r="B6" t="s">
        <v>1784</v>
      </c>
      <c r="C6" t="s">
        <v>1776</v>
      </c>
      <c r="D6" t="s">
        <v>13</v>
      </c>
      <c r="E6">
        <v>31096</v>
      </c>
      <c r="F6" t="str">
        <f>HYPERLINK("https://www.google.com/maps/search/?api=1&amp;query=24.62872277,46.71230113", "View Map")</f>
        <v>View Map</v>
      </c>
    </row>
    <row r="7" spans="1:6" x14ac:dyDescent="0.35">
      <c r="A7" t="s">
        <v>1785</v>
      </c>
      <c r="B7" t="s">
        <v>1786</v>
      </c>
      <c r="C7" t="s">
        <v>1776</v>
      </c>
      <c r="D7" t="s">
        <v>13</v>
      </c>
      <c r="E7">
        <v>26723</v>
      </c>
      <c r="F7" t="str">
        <f>HYPERLINK("https://www.google.com/maps/search/?api=1&amp;query=24.67053649,46.65803202", "View Map")</f>
        <v>View Map</v>
      </c>
    </row>
    <row r="8" spans="1:6" x14ac:dyDescent="0.35">
      <c r="A8" t="s">
        <v>1787</v>
      </c>
      <c r="B8" t="s">
        <v>1788</v>
      </c>
      <c r="C8" t="s">
        <v>1776</v>
      </c>
      <c r="D8" t="s">
        <v>13</v>
      </c>
      <c r="E8">
        <v>24905</v>
      </c>
      <c r="F8" t="str">
        <f>HYPERLINK("https://www.google.com/maps/search/?api=1&amp;query=24.67439423,46.87595957", "View Map")</f>
        <v>View Map</v>
      </c>
    </row>
    <row r="9" spans="1:6" x14ac:dyDescent="0.35">
      <c r="A9" t="s">
        <v>1781</v>
      </c>
      <c r="B9" t="s">
        <v>1789</v>
      </c>
      <c r="C9" t="s">
        <v>1776</v>
      </c>
      <c r="D9" t="s">
        <v>13</v>
      </c>
      <c r="E9">
        <v>24339</v>
      </c>
      <c r="F9" t="str">
        <f>HYPERLINK("https://www.google.com/maps/search/?api=1&amp;query=24.70051434,46.65273532", "View Map")</f>
        <v>View Map</v>
      </c>
    </row>
    <row r="10" spans="1:6" x14ac:dyDescent="0.35">
      <c r="A10" t="s">
        <v>1790</v>
      </c>
      <c r="B10" t="s">
        <v>1791</v>
      </c>
      <c r="C10" t="s">
        <v>1776</v>
      </c>
      <c r="D10" t="s">
        <v>13</v>
      </c>
      <c r="E10">
        <v>21324</v>
      </c>
      <c r="F10" t="str">
        <f>HYPERLINK("https://www.google.com/maps/search/?api=1&amp;query=24.67291561,46.86330744", "View Map")</f>
        <v>View Map</v>
      </c>
    </row>
    <row r="11" spans="1:6" x14ac:dyDescent="0.35">
      <c r="A11" t="s">
        <v>1792</v>
      </c>
      <c r="B11" t="s">
        <v>1793</v>
      </c>
      <c r="C11" t="s">
        <v>1776</v>
      </c>
      <c r="D11" t="s">
        <v>13</v>
      </c>
      <c r="E11">
        <v>18968</v>
      </c>
      <c r="F11" t="str">
        <f>HYPERLINK("https://www.google.com/maps/search/?api=1&amp;query=24.80437452,46.61631235", "View Map")</f>
        <v>View Map</v>
      </c>
    </row>
    <row r="12" spans="1:6" x14ac:dyDescent="0.35">
      <c r="A12" t="s">
        <v>1794</v>
      </c>
      <c r="B12" t="s">
        <v>1795</v>
      </c>
      <c r="C12" t="s">
        <v>1776</v>
      </c>
      <c r="D12" t="s">
        <v>13</v>
      </c>
      <c r="E12">
        <v>16477</v>
      </c>
      <c r="F12" t="str">
        <f>HYPERLINK("https://www.google.com/maps/search/?api=1&amp;query=24.7196813,46.65872229", "View Map")</f>
        <v>View Map</v>
      </c>
    </row>
    <row r="13" spans="1:6" x14ac:dyDescent="0.35">
      <c r="A13" t="s">
        <v>1796</v>
      </c>
      <c r="B13" t="s">
        <v>1797</v>
      </c>
      <c r="C13" t="s">
        <v>1776</v>
      </c>
      <c r="D13" t="s">
        <v>13</v>
      </c>
      <c r="E13">
        <v>15794</v>
      </c>
      <c r="F13" t="str">
        <f>HYPERLINK("https://www.google.com/maps/search/?api=1&amp;query=24.66201851,46.86361439", "View Map")</f>
        <v>View Map</v>
      </c>
    </row>
    <row r="14" spans="1:6" x14ac:dyDescent="0.35">
      <c r="A14" t="s">
        <v>1798</v>
      </c>
      <c r="B14" t="s">
        <v>1799</v>
      </c>
      <c r="C14" t="s">
        <v>1776</v>
      </c>
      <c r="D14" t="s">
        <v>13</v>
      </c>
      <c r="E14">
        <v>15189</v>
      </c>
      <c r="F14" t="str">
        <f>HYPERLINK("https://www.google.com/maps/search/?api=1&amp;query=24.8589,46.6406", "View Map")</f>
        <v>View Map</v>
      </c>
    </row>
    <row r="15" spans="1:6" x14ac:dyDescent="0.35">
      <c r="A15" t="s">
        <v>1800</v>
      </c>
      <c r="B15" t="s">
        <v>1801</v>
      </c>
      <c r="C15" t="s">
        <v>1776</v>
      </c>
      <c r="D15" t="s">
        <v>13</v>
      </c>
      <c r="E15">
        <v>14735</v>
      </c>
      <c r="F15" t="str">
        <f>HYPERLINK("https://www.google.com/maps/search/?api=1&amp;query=24.673575,46.88101881", "View Map")</f>
        <v>View Map</v>
      </c>
    </row>
    <row r="16" spans="1:6" x14ac:dyDescent="0.35">
      <c r="A16" t="s">
        <v>1802</v>
      </c>
      <c r="B16" t="s">
        <v>1803</v>
      </c>
      <c r="C16" t="s">
        <v>1776</v>
      </c>
      <c r="D16" t="s">
        <v>13</v>
      </c>
      <c r="E16">
        <v>14638</v>
      </c>
      <c r="F16" t="str">
        <f>HYPERLINK("https://www.google.com/maps/search/?api=1&amp;query=24.64446,46.67468", "View Map")</f>
        <v>View Map</v>
      </c>
    </row>
    <row r="17" spans="1:6" x14ac:dyDescent="0.35">
      <c r="A17" t="s">
        <v>1804</v>
      </c>
      <c r="B17" t="s">
        <v>1805</v>
      </c>
      <c r="C17" t="s">
        <v>1776</v>
      </c>
      <c r="D17" t="s">
        <v>13</v>
      </c>
      <c r="E17">
        <v>14367</v>
      </c>
      <c r="F17" t="str">
        <f>HYPERLINK("https://www.google.com/maps/search/?api=1&amp;query=24.63422828,46.70184492", "View Map")</f>
        <v>View Map</v>
      </c>
    </row>
    <row r="18" spans="1:6" x14ac:dyDescent="0.35">
      <c r="A18" t="s">
        <v>1806</v>
      </c>
      <c r="B18" t="s">
        <v>1807</v>
      </c>
      <c r="C18" t="s">
        <v>1776</v>
      </c>
      <c r="D18" t="s">
        <v>13</v>
      </c>
      <c r="E18">
        <v>13896</v>
      </c>
      <c r="F18" t="str">
        <f>HYPERLINK("https://www.google.com/maps/search/?api=1&amp;query=24.79307551,46.76440138", "View Map")</f>
        <v>View Map</v>
      </c>
    </row>
    <row r="19" spans="1:6" x14ac:dyDescent="0.35">
      <c r="A19" t="s">
        <v>1808</v>
      </c>
      <c r="B19" t="s">
        <v>1809</v>
      </c>
      <c r="C19" t="s">
        <v>1776</v>
      </c>
      <c r="D19" t="s">
        <v>13</v>
      </c>
      <c r="E19">
        <v>13577</v>
      </c>
      <c r="F19" t="str">
        <f>HYPERLINK("https://www.google.com/maps/search/?api=1&amp;query=24.56288985,46.87173798", "View Map")</f>
        <v>View Map</v>
      </c>
    </row>
    <row r="20" spans="1:6" x14ac:dyDescent="0.35">
      <c r="A20" t="s">
        <v>1810</v>
      </c>
      <c r="B20" t="s">
        <v>1811</v>
      </c>
      <c r="C20" t="s">
        <v>1776</v>
      </c>
      <c r="D20" t="s">
        <v>13</v>
      </c>
      <c r="E20">
        <v>13482</v>
      </c>
      <c r="F20" t="str">
        <f>HYPERLINK("https://www.google.com/maps/search/?api=1&amp;query=24.71811061,46.85098508", "View Map")</f>
        <v>View Map</v>
      </c>
    </row>
    <row r="21" spans="1:6" x14ac:dyDescent="0.35">
      <c r="A21" t="s">
        <v>1812</v>
      </c>
      <c r="B21" t="s">
        <v>1813</v>
      </c>
      <c r="C21" t="s">
        <v>1776</v>
      </c>
      <c r="D21" t="s">
        <v>13</v>
      </c>
      <c r="E21">
        <v>13429</v>
      </c>
      <c r="F21" t="str">
        <f>HYPERLINK("https://www.google.com/maps/search/?api=1&amp;query=24.74076623,46.79615151", "View Map")</f>
        <v>View Map</v>
      </c>
    </row>
    <row r="22" spans="1:6" x14ac:dyDescent="0.35">
      <c r="A22" t="s">
        <v>1798</v>
      </c>
      <c r="B22" t="s">
        <v>1814</v>
      </c>
      <c r="C22" t="s">
        <v>1776</v>
      </c>
      <c r="D22" t="s">
        <v>13</v>
      </c>
      <c r="E22">
        <v>13372</v>
      </c>
      <c r="F22" t="str">
        <f>HYPERLINK("https://www.google.com/maps/search/?api=1&amp;query=24.7961,46.6783", "View Map")</f>
        <v>View Map</v>
      </c>
    </row>
    <row r="23" spans="1:6" x14ac:dyDescent="0.35">
      <c r="A23" t="s">
        <v>1815</v>
      </c>
      <c r="B23" t="s">
        <v>1816</v>
      </c>
      <c r="C23" t="s">
        <v>1776</v>
      </c>
      <c r="D23" t="s">
        <v>13</v>
      </c>
      <c r="E23">
        <v>13372</v>
      </c>
      <c r="F23" t="str">
        <f>HYPERLINK("https://www.google.com/maps/search/?api=1&amp;query=24.6142033,46.70814639", "View Map")</f>
        <v>View Map</v>
      </c>
    </row>
    <row r="24" spans="1:6" x14ac:dyDescent="0.35">
      <c r="A24" t="s">
        <v>1817</v>
      </c>
      <c r="B24" t="s">
        <v>1818</v>
      </c>
      <c r="C24" t="s">
        <v>1776</v>
      </c>
      <c r="D24" t="s">
        <v>13</v>
      </c>
      <c r="E24">
        <v>13167</v>
      </c>
      <c r="F24" t="str">
        <f>HYPERLINK("https://www.google.com/maps/search/?api=1&amp;query=24.67329557,46.7328561", "View Map")</f>
        <v>View Map</v>
      </c>
    </row>
    <row r="25" spans="1:6" x14ac:dyDescent="0.35">
      <c r="A25" t="s">
        <v>1798</v>
      </c>
      <c r="B25" t="s">
        <v>1819</v>
      </c>
      <c r="C25" t="s">
        <v>1776</v>
      </c>
      <c r="D25" t="s">
        <v>13</v>
      </c>
      <c r="E25">
        <v>12582</v>
      </c>
      <c r="F25" t="str">
        <f>HYPERLINK("https://www.google.com/maps/search/?api=1&amp;query=24.84761723,46.62807962", "View Map")</f>
        <v>View Map</v>
      </c>
    </row>
    <row r="26" spans="1:6" x14ac:dyDescent="0.35">
      <c r="A26" t="s">
        <v>1820</v>
      </c>
      <c r="B26" t="s">
        <v>1821</v>
      </c>
      <c r="C26" t="s">
        <v>1776</v>
      </c>
      <c r="D26" t="s">
        <v>13</v>
      </c>
      <c r="E26">
        <v>12452</v>
      </c>
      <c r="F26" t="str">
        <f>HYPERLINK("https://www.google.com/maps/search/?api=1&amp;query=24.62757384,46.74264107", "View Map")</f>
        <v>View Map</v>
      </c>
    </row>
    <row r="27" spans="1:6" x14ac:dyDescent="0.35">
      <c r="A27" t="s">
        <v>1798</v>
      </c>
      <c r="B27" t="s">
        <v>1822</v>
      </c>
      <c r="C27" t="s">
        <v>1776</v>
      </c>
      <c r="D27" t="s">
        <v>13</v>
      </c>
      <c r="E27">
        <v>12431</v>
      </c>
      <c r="F27" t="str">
        <f>HYPERLINK("https://www.google.com/maps/search/?api=1&amp;query=24.81908,46.61899", "View Map")</f>
        <v>View Map</v>
      </c>
    </row>
    <row r="28" spans="1:6" x14ac:dyDescent="0.35">
      <c r="A28" t="s">
        <v>1798</v>
      </c>
      <c r="B28" t="s">
        <v>1823</v>
      </c>
      <c r="C28" t="s">
        <v>1776</v>
      </c>
      <c r="D28" t="s">
        <v>13</v>
      </c>
      <c r="E28">
        <v>12341</v>
      </c>
      <c r="F28" t="str">
        <f>HYPERLINK("https://www.google.com/maps/search/?api=1&amp;query=24.79720059,46.59853213", "View Map")</f>
        <v>View Map</v>
      </c>
    </row>
    <row r="29" spans="1:6" x14ac:dyDescent="0.35">
      <c r="A29" t="s">
        <v>1798</v>
      </c>
      <c r="B29" t="s">
        <v>1824</v>
      </c>
      <c r="C29" t="s">
        <v>1776</v>
      </c>
      <c r="D29" t="s">
        <v>13</v>
      </c>
      <c r="E29">
        <v>12173</v>
      </c>
      <c r="F29" t="str">
        <f>HYPERLINK("https://www.google.com/maps/search/?api=1&amp;query=24.8608,46.6494", "View Map")</f>
        <v>View Map</v>
      </c>
    </row>
    <row r="30" spans="1:6" x14ac:dyDescent="0.35">
      <c r="A30" t="s">
        <v>1825</v>
      </c>
      <c r="B30" t="s">
        <v>1826</v>
      </c>
      <c r="C30" t="s">
        <v>1776</v>
      </c>
      <c r="D30" t="s">
        <v>13</v>
      </c>
      <c r="E30">
        <v>12142</v>
      </c>
      <c r="F30" t="str">
        <f>HYPERLINK("https://www.google.com/maps/search/?api=1&amp;query=24.75244777,46.66041016", "View Map")</f>
        <v>View Map</v>
      </c>
    </row>
    <row r="31" spans="1:6" x14ac:dyDescent="0.35">
      <c r="A31" t="s">
        <v>1827</v>
      </c>
      <c r="B31" t="s">
        <v>1828</v>
      </c>
      <c r="C31" t="s">
        <v>1776</v>
      </c>
      <c r="D31" t="s">
        <v>13</v>
      </c>
      <c r="E31">
        <v>12112</v>
      </c>
      <c r="F31" t="str">
        <f>HYPERLINK("https://www.google.com/maps/search/?api=1&amp;query=24.80580317,46.64511913", "View Map")</f>
        <v>View Map</v>
      </c>
    </row>
    <row r="32" spans="1:6" x14ac:dyDescent="0.35">
      <c r="A32" t="s">
        <v>1798</v>
      </c>
      <c r="B32" t="s">
        <v>1829</v>
      </c>
      <c r="C32" t="s">
        <v>1776</v>
      </c>
      <c r="D32" t="s">
        <v>13</v>
      </c>
      <c r="E32">
        <v>12082</v>
      </c>
      <c r="F32" t="str">
        <f>HYPERLINK("https://www.google.com/maps/search/?api=1&amp;query=24.87769689,46.64635932", "View Map")</f>
        <v>View Map</v>
      </c>
    </row>
    <row r="33" spans="1:6" x14ac:dyDescent="0.35">
      <c r="A33" t="s">
        <v>1794</v>
      </c>
      <c r="B33" t="s">
        <v>1830</v>
      </c>
      <c r="C33" t="s">
        <v>1776</v>
      </c>
      <c r="D33" t="s">
        <v>13</v>
      </c>
      <c r="E33">
        <v>11978</v>
      </c>
      <c r="F33" t="str">
        <f>HYPERLINK("https://www.google.com/maps/search/?api=1&amp;query=24.75392709,46.61690089", "View Map")</f>
        <v>View Map</v>
      </c>
    </row>
    <row r="34" spans="1:6" x14ac:dyDescent="0.35">
      <c r="A34" t="s">
        <v>1831</v>
      </c>
      <c r="B34" t="s">
        <v>1832</v>
      </c>
      <c r="C34" t="s">
        <v>1776</v>
      </c>
      <c r="D34" t="s">
        <v>13</v>
      </c>
      <c r="E34">
        <v>11916</v>
      </c>
      <c r="F34" t="str">
        <f>HYPERLINK("https://www.google.com/maps/search/?api=1&amp;query=24.6076925,46.63268705", "View Map")</f>
        <v>View Map</v>
      </c>
    </row>
    <row r="35" spans="1:6" x14ac:dyDescent="0.35">
      <c r="A35" t="s">
        <v>1833</v>
      </c>
      <c r="B35" t="s">
        <v>1834</v>
      </c>
      <c r="C35" t="s">
        <v>1776</v>
      </c>
      <c r="D35" t="s">
        <v>13</v>
      </c>
      <c r="E35">
        <v>11717</v>
      </c>
      <c r="F35" t="str">
        <f>HYPERLINK("https://www.google.com/maps/search/?api=1&amp;query=24.70831193,46.80891747", "View Map")</f>
        <v>View Map</v>
      </c>
    </row>
    <row r="36" spans="1:6" x14ac:dyDescent="0.35">
      <c r="A36" t="s">
        <v>1835</v>
      </c>
      <c r="B36" t="s">
        <v>1836</v>
      </c>
      <c r="C36" t="s">
        <v>1776</v>
      </c>
      <c r="D36" t="s">
        <v>13</v>
      </c>
      <c r="E36">
        <v>11651</v>
      </c>
      <c r="F36" t="str">
        <f>HYPERLINK("https://www.google.com/maps/search/?api=1&amp;query=24.64905,46.68186", "View Map")</f>
        <v>View Map</v>
      </c>
    </row>
    <row r="37" spans="1:6" x14ac:dyDescent="0.35">
      <c r="A37" t="s">
        <v>1837</v>
      </c>
      <c r="B37" t="s">
        <v>1838</v>
      </c>
      <c r="C37" t="s">
        <v>1776</v>
      </c>
      <c r="D37" t="s">
        <v>13</v>
      </c>
      <c r="E37">
        <v>11242</v>
      </c>
      <c r="F37" t="str">
        <f>HYPERLINK("https://www.google.com/maps/search/?api=1&amp;query=24.67622402,46.72770081", "View Map")</f>
        <v>View Map</v>
      </c>
    </row>
    <row r="38" spans="1:6" x14ac:dyDescent="0.35">
      <c r="A38" t="s">
        <v>1839</v>
      </c>
      <c r="B38" t="s">
        <v>1840</v>
      </c>
      <c r="C38" t="s">
        <v>1776</v>
      </c>
      <c r="D38" t="s">
        <v>13</v>
      </c>
      <c r="E38">
        <v>11141</v>
      </c>
      <c r="F38" t="str">
        <f>HYPERLINK("https://www.google.com/maps/search/?api=1&amp;query=24.63849898,46.66478357", "View Map")</f>
        <v>View Map</v>
      </c>
    </row>
    <row r="39" spans="1:6" x14ac:dyDescent="0.35">
      <c r="A39" t="s">
        <v>1841</v>
      </c>
      <c r="B39" t="s">
        <v>1842</v>
      </c>
      <c r="C39" t="s">
        <v>1843</v>
      </c>
      <c r="D39" t="s">
        <v>13</v>
      </c>
      <c r="E39">
        <v>10942</v>
      </c>
      <c r="F39" t="str">
        <f>HYPERLINK("https://www.google.com/maps/search/?api=1&amp;query=24.74883235,46.5738511", "View Map")</f>
        <v>View Map</v>
      </c>
    </row>
    <row r="40" spans="1:6" x14ac:dyDescent="0.35">
      <c r="A40" t="s">
        <v>1844</v>
      </c>
      <c r="B40" t="s">
        <v>1845</v>
      </c>
      <c r="C40" t="s">
        <v>1776</v>
      </c>
      <c r="D40" t="s">
        <v>13</v>
      </c>
      <c r="E40">
        <v>10893</v>
      </c>
      <c r="F40" t="str">
        <f>HYPERLINK("https://www.google.com/maps/search/?api=1&amp;query=24.67564658,46.87356533", "View Map")</f>
        <v>View Map</v>
      </c>
    </row>
    <row r="41" spans="1:6" x14ac:dyDescent="0.35">
      <c r="A41" t="s">
        <v>1798</v>
      </c>
      <c r="B41" t="s">
        <v>1846</v>
      </c>
      <c r="C41" t="s">
        <v>1776</v>
      </c>
      <c r="D41" t="s">
        <v>13</v>
      </c>
      <c r="E41">
        <v>10882</v>
      </c>
      <c r="F41" t="str">
        <f>HYPERLINK("https://www.google.com/maps/search/?api=1&amp;query=24.83314673,46.74338989", "View Map")</f>
        <v>View Map</v>
      </c>
    </row>
    <row r="42" spans="1:6" x14ac:dyDescent="0.35">
      <c r="A42" t="s">
        <v>1847</v>
      </c>
      <c r="B42" t="s">
        <v>1848</v>
      </c>
      <c r="C42" t="s">
        <v>1776</v>
      </c>
      <c r="D42" t="s">
        <v>13</v>
      </c>
      <c r="E42">
        <v>10718</v>
      </c>
      <c r="F42" t="str">
        <f>HYPERLINK("https://www.google.com/maps/search/?api=1&amp;query=24.58819031,46.57208541", "View Map")</f>
        <v>View Map</v>
      </c>
    </row>
    <row r="43" spans="1:6" x14ac:dyDescent="0.35">
      <c r="A43" t="s">
        <v>1849</v>
      </c>
      <c r="B43" t="s">
        <v>1850</v>
      </c>
      <c r="C43" t="s">
        <v>1776</v>
      </c>
      <c r="D43" t="s">
        <v>13</v>
      </c>
      <c r="E43">
        <v>10676</v>
      </c>
      <c r="F43" t="str">
        <f>HYPERLINK("https://www.google.com/maps/search/?api=1&amp;query=24.68503394,46.57709164", "View Map")</f>
        <v>View Map</v>
      </c>
    </row>
    <row r="44" spans="1:6" x14ac:dyDescent="0.35">
      <c r="A44" t="s">
        <v>1851</v>
      </c>
      <c r="B44" t="s">
        <v>1852</v>
      </c>
      <c r="C44" t="s">
        <v>1776</v>
      </c>
      <c r="D44" t="s">
        <v>13</v>
      </c>
      <c r="E44">
        <v>10656</v>
      </c>
      <c r="F44" t="str">
        <f>HYPERLINK("https://www.google.com/maps/search/?api=1&amp;query=24.79026589,46.80096866", "View Map")</f>
        <v>View Map</v>
      </c>
    </row>
    <row r="45" spans="1:6" x14ac:dyDescent="0.35">
      <c r="A45" t="s">
        <v>1853</v>
      </c>
      <c r="B45" t="s">
        <v>1854</v>
      </c>
      <c r="C45" t="s">
        <v>1843</v>
      </c>
      <c r="D45" t="s">
        <v>13</v>
      </c>
      <c r="E45">
        <v>10523</v>
      </c>
      <c r="F45" t="str">
        <f>HYPERLINK("https://www.google.com/maps/search/?api=1&amp;query=24.80390597,46.52287513", "View Map")</f>
        <v>View Map</v>
      </c>
    </row>
    <row r="46" spans="1:6" x14ac:dyDescent="0.35">
      <c r="A46" t="s">
        <v>1798</v>
      </c>
      <c r="B46" t="s">
        <v>1855</v>
      </c>
      <c r="C46" t="s">
        <v>1776</v>
      </c>
      <c r="D46" t="s">
        <v>13</v>
      </c>
      <c r="E46">
        <v>10408</v>
      </c>
      <c r="F46" t="str">
        <f>HYPERLINK("https://www.google.com/maps/search/?api=1&amp;query=24.69409578,46.60271828", "View Map")</f>
        <v>View Map</v>
      </c>
    </row>
    <row r="47" spans="1:6" x14ac:dyDescent="0.35">
      <c r="A47" t="s">
        <v>1798</v>
      </c>
      <c r="B47" t="s">
        <v>1856</v>
      </c>
      <c r="C47" t="s">
        <v>1776</v>
      </c>
      <c r="D47" t="s">
        <v>13</v>
      </c>
      <c r="E47">
        <v>10351</v>
      </c>
      <c r="F47" t="str">
        <f>HYPERLINK("https://www.google.com/maps/search/?api=1&amp;query=24.68444607,46.58426799", "View Map")</f>
        <v>View Map</v>
      </c>
    </row>
    <row r="48" spans="1:6" x14ac:dyDescent="0.35">
      <c r="A48" t="s">
        <v>1857</v>
      </c>
      <c r="B48" t="s">
        <v>1858</v>
      </c>
      <c r="C48" t="s">
        <v>1776</v>
      </c>
      <c r="D48" t="s">
        <v>13</v>
      </c>
      <c r="E48">
        <v>10031</v>
      </c>
      <c r="F48" t="str">
        <f>HYPERLINK("https://www.google.com/maps/search/?api=1&amp;query=24.66912039,46.86116075", "View Map")</f>
        <v>View Map</v>
      </c>
    </row>
    <row r="49" spans="1:6" x14ac:dyDescent="0.35">
      <c r="A49" t="s">
        <v>1859</v>
      </c>
      <c r="B49" t="s">
        <v>1860</v>
      </c>
      <c r="C49" t="s">
        <v>1776</v>
      </c>
      <c r="D49" t="s">
        <v>13</v>
      </c>
      <c r="E49">
        <v>10020</v>
      </c>
      <c r="F49" t="str">
        <f>HYPERLINK("https://www.google.com/maps/search/?api=1&amp;query=24.72963194,46.75550089", "View Map")</f>
        <v>View Map</v>
      </c>
    </row>
    <row r="50" spans="1:6" x14ac:dyDescent="0.35">
      <c r="A50" t="s">
        <v>1861</v>
      </c>
      <c r="B50" t="s">
        <v>1862</v>
      </c>
      <c r="C50" t="s">
        <v>1776</v>
      </c>
      <c r="D50" t="s">
        <v>13</v>
      </c>
      <c r="E50">
        <v>10014</v>
      </c>
      <c r="F50" t="str">
        <f>HYPERLINK("https://www.google.com/maps/search/?api=1&amp;query=24.81794716,46.77955596", "View Map")</f>
        <v>View Map</v>
      </c>
    </row>
    <row r="51" spans="1:6" x14ac:dyDescent="0.35">
      <c r="A51" t="s">
        <v>1863</v>
      </c>
      <c r="B51" t="s">
        <v>1864</v>
      </c>
      <c r="C51" t="s">
        <v>1776</v>
      </c>
      <c r="D51" t="s">
        <v>13</v>
      </c>
      <c r="E51">
        <v>9988</v>
      </c>
      <c r="F51" t="str">
        <f>HYPERLINK("https://www.google.com/maps/search/?api=1&amp;query=24.77342195,46.69107172", "View Map")</f>
        <v>View Map</v>
      </c>
    </row>
    <row r="52" spans="1:6" x14ac:dyDescent="0.35">
      <c r="A52" t="s">
        <v>1865</v>
      </c>
      <c r="B52" t="s">
        <v>1866</v>
      </c>
      <c r="C52" t="s">
        <v>1776</v>
      </c>
      <c r="D52" t="s">
        <v>13</v>
      </c>
      <c r="E52">
        <v>9964</v>
      </c>
      <c r="F52" t="str">
        <f>HYPERLINK("https://www.google.com/maps/search/?api=1&amp;query=24.65884065,46.87719912", "View Map")</f>
        <v>View Map</v>
      </c>
    </row>
    <row r="53" spans="1:6" x14ac:dyDescent="0.35">
      <c r="A53" t="s">
        <v>1867</v>
      </c>
      <c r="B53" t="s">
        <v>1868</v>
      </c>
      <c r="C53" t="s">
        <v>1776</v>
      </c>
      <c r="D53" t="s">
        <v>13</v>
      </c>
      <c r="E53">
        <v>9476</v>
      </c>
      <c r="F53" t="str">
        <f>HYPERLINK("https://www.google.com/maps/search/?api=1&amp;query=24.6798632,46.71079373", "View Map")</f>
        <v>View Map</v>
      </c>
    </row>
    <row r="54" spans="1:6" x14ac:dyDescent="0.35">
      <c r="A54" t="s">
        <v>1798</v>
      </c>
      <c r="B54" t="s">
        <v>1869</v>
      </c>
      <c r="C54" t="s">
        <v>1843</v>
      </c>
      <c r="D54" t="s">
        <v>13</v>
      </c>
      <c r="E54">
        <v>9469</v>
      </c>
      <c r="F54" t="str">
        <f>HYPERLINK("https://www.google.com/maps/search/?api=1&amp;query=24.8244511,46.56413091", "View Map")</f>
        <v>View Map</v>
      </c>
    </row>
    <row r="55" spans="1:6" x14ac:dyDescent="0.35">
      <c r="A55" t="s">
        <v>1870</v>
      </c>
      <c r="B55" t="s">
        <v>1871</v>
      </c>
      <c r="C55" t="s">
        <v>1776</v>
      </c>
      <c r="D55" t="s">
        <v>13</v>
      </c>
      <c r="E55">
        <v>9322</v>
      </c>
      <c r="F55" t="str">
        <f>HYPERLINK("https://www.google.com/maps/search/?api=1&amp;query=24.7529,46.87116", "View Map")</f>
        <v>View Map</v>
      </c>
    </row>
    <row r="56" spans="1:6" x14ac:dyDescent="0.35">
      <c r="A56" t="s">
        <v>1872</v>
      </c>
      <c r="B56" t="s">
        <v>1873</v>
      </c>
      <c r="C56" t="s">
        <v>1776</v>
      </c>
      <c r="D56" t="s">
        <v>13</v>
      </c>
      <c r="E56">
        <v>9223</v>
      </c>
      <c r="F56" t="str">
        <f>HYPERLINK("https://www.google.com/maps/search/?api=1&amp;query=24.80658817,46.62264935", "View Map")</f>
        <v>View Map</v>
      </c>
    </row>
    <row r="57" spans="1:6" x14ac:dyDescent="0.35">
      <c r="A57" t="s">
        <v>1798</v>
      </c>
      <c r="B57" t="s">
        <v>1874</v>
      </c>
      <c r="C57" t="s">
        <v>1776</v>
      </c>
      <c r="D57" t="s">
        <v>13</v>
      </c>
      <c r="E57">
        <v>8855</v>
      </c>
      <c r="F57" t="str">
        <f>HYPERLINK("https://www.google.com/maps/search/?api=1&amp;query=24.82874649,46.73084389", "View Map")</f>
        <v>View Map</v>
      </c>
    </row>
    <row r="58" spans="1:6" x14ac:dyDescent="0.35">
      <c r="A58" t="s">
        <v>1875</v>
      </c>
      <c r="B58" t="s">
        <v>1876</v>
      </c>
      <c r="C58" t="s">
        <v>1776</v>
      </c>
      <c r="D58" t="s">
        <v>13</v>
      </c>
      <c r="E58">
        <v>8805</v>
      </c>
      <c r="F58" t="str">
        <f>HYPERLINK("https://www.google.com/maps/search/?api=1&amp;query=24.5517,46.7622", "View Map")</f>
        <v>View Map</v>
      </c>
    </row>
    <row r="59" spans="1:6" x14ac:dyDescent="0.35">
      <c r="A59" t="s">
        <v>1798</v>
      </c>
      <c r="B59" t="s">
        <v>1877</v>
      </c>
      <c r="C59" t="s">
        <v>1843</v>
      </c>
      <c r="D59" t="s">
        <v>13</v>
      </c>
      <c r="E59">
        <v>8636</v>
      </c>
      <c r="F59" t="str">
        <f>HYPERLINK("https://www.google.com/maps/search/?api=1&amp;query=24.79095,46.57925", "View Map")</f>
        <v>View Map</v>
      </c>
    </row>
    <row r="60" spans="1:6" x14ac:dyDescent="0.35">
      <c r="A60" t="s">
        <v>1798</v>
      </c>
      <c r="B60" t="s">
        <v>1878</v>
      </c>
      <c r="C60" t="s">
        <v>1776</v>
      </c>
      <c r="D60" t="s">
        <v>13</v>
      </c>
      <c r="E60">
        <v>8573</v>
      </c>
      <c r="F60" t="str">
        <f>HYPERLINK("https://www.google.com/maps/search/?api=1&amp;query=24.78495628,46.71657203", "View Map")</f>
        <v>View Map</v>
      </c>
    </row>
    <row r="61" spans="1:6" x14ac:dyDescent="0.35">
      <c r="A61" t="s">
        <v>1879</v>
      </c>
      <c r="B61" t="s">
        <v>1880</v>
      </c>
      <c r="C61" t="s">
        <v>1776</v>
      </c>
      <c r="D61" t="s">
        <v>13</v>
      </c>
      <c r="E61">
        <v>8373</v>
      </c>
      <c r="F61" t="str">
        <f>HYPERLINK("https://www.google.com/maps/search/?api=1&amp;query=24.58757385,46.59471991", "View Map")</f>
        <v>View Map</v>
      </c>
    </row>
    <row r="62" spans="1:6" x14ac:dyDescent="0.35">
      <c r="A62" t="s">
        <v>1881</v>
      </c>
      <c r="B62" t="s">
        <v>1882</v>
      </c>
      <c r="C62" t="s">
        <v>1776</v>
      </c>
      <c r="D62" t="s">
        <v>13</v>
      </c>
      <c r="E62">
        <v>8357</v>
      </c>
      <c r="F62" t="str">
        <f>HYPERLINK("https://www.google.com/maps/search/?api=1&amp;query=24.78932199,46.76853061", "View Map")</f>
        <v>View Map</v>
      </c>
    </row>
    <row r="63" spans="1:6" x14ac:dyDescent="0.35">
      <c r="A63" t="s">
        <v>1883</v>
      </c>
      <c r="B63" t="s">
        <v>1884</v>
      </c>
      <c r="C63" t="s">
        <v>1776</v>
      </c>
      <c r="D63" t="s">
        <v>13</v>
      </c>
      <c r="E63">
        <v>8099</v>
      </c>
      <c r="F63" t="str">
        <f>HYPERLINK("https://www.google.com/maps/search/?api=1&amp;query=24.74727361,46.84160882", "View Map")</f>
        <v>View Map</v>
      </c>
    </row>
    <row r="64" spans="1:6" x14ac:dyDescent="0.35">
      <c r="A64" t="s">
        <v>1885</v>
      </c>
      <c r="B64" t="s">
        <v>1886</v>
      </c>
      <c r="C64" t="s">
        <v>1776</v>
      </c>
      <c r="D64" t="s">
        <v>13</v>
      </c>
      <c r="E64">
        <v>8086</v>
      </c>
      <c r="F64" t="str">
        <f>HYPERLINK("https://www.google.com/maps/search/?api=1&amp;query=24.77267282,46.75851137", "View Map")</f>
        <v>View Map</v>
      </c>
    </row>
    <row r="65" spans="1:6" x14ac:dyDescent="0.35">
      <c r="A65" t="s">
        <v>1875</v>
      </c>
      <c r="B65" t="s">
        <v>1887</v>
      </c>
      <c r="C65" t="s">
        <v>1776</v>
      </c>
      <c r="D65" t="s">
        <v>13</v>
      </c>
      <c r="E65">
        <v>8017</v>
      </c>
      <c r="F65" t="str">
        <f>HYPERLINK("https://www.google.com/maps/search/?api=1&amp;query=24.55178967,46.76239806", "View Map")</f>
        <v>View Map</v>
      </c>
    </row>
    <row r="66" spans="1:6" x14ac:dyDescent="0.35">
      <c r="A66" t="s">
        <v>1888</v>
      </c>
      <c r="B66" t="s">
        <v>1889</v>
      </c>
      <c r="C66" t="s">
        <v>1843</v>
      </c>
      <c r="D66" t="s">
        <v>13</v>
      </c>
      <c r="E66">
        <v>7956</v>
      </c>
      <c r="F66" t="str">
        <f>HYPERLINK("https://www.google.com/maps/search/?api=1&amp;query=24.76002407,46.57250774", "View Map")</f>
        <v>View Map</v>
      </c>
    </row>
    <row r="67" spans="1:6" x14ac:dyDescent="0.35">
      <c r="A67" t="s">
        <v>1890</v>
      </c>
      <c r="B67" t="s">
        <v>1891</v>
      </c>
      <c r="C67" t="s">
        <v>1776</v>
      </c>
      <c r="D67" t="s">
        <v>13</v>
      </c>
      <c r="E67">
        <v>7784</v>
      </c>
      <c r="F67" t="str">
        <f>HYPERLINK("https://www.google.com/maps/search/?api=1&amp;query=24.78040768,46.74986449", "View Map")</f>
        <v>View Map</v>
      </c>
    </row>
    <row r="68" spans="1:6" x14ac:dyDescent="0.35">
      <c r="A68" t="s">
        <v>1794</v>
      </c>
      <c r="B68" t="s">
        <v>1892</v>
      </c>
      <c r="C68" t="s">
        <v>1776</v>
      </c>
      <c r="D68" t="s">
        <v>13</v>
      </c>
      <c r="E68">
        <v>7769</v>
      </c>
      <c r="F68" t="str">
        <f>HYPERLINK("https://www.google.com/maps/search/?api=1&amp;query=24.78684,46.61241", "View Map")</f>
        <v>View Map</v>
      </c>
    </row>
    <row r="69" spans="1:6" x14ac:dyDescent="0.35">
      <c r="A69" t="s">
        <v>1893</v>
      </c>
      <c r="B69" t="s">
        <v>1894</v>
      </c>
      <c r="C69" t="s">
        <v>1776</v>
      </c>
      <c r="D69" t="s">
        <v>13</v>
      </c>
      <c r="E69">
        <v>7716</v>
      </c>
      <c r="F69" t="str">
        <f>HYPERLINK("https://www.google.com/maps/search/?api=1&amp;query=24.79261396,46.63660156", "View Map")</f>
        <v>View Map</v>
      </c>
    </row>
    <row r="70" spans="1:6" x14ac:dyDescent="0.35">
      <c r="A70" t="s">
        <v>1895</v>
      </c>
      <c r="B70" t="s">
        <v>1896</v>
      </c>
      <c r="C70" t="s">
        <v>1776</v>
      </c>
      <c r="D70" t="s">
        <v>13</v>
      </c>
      <c r="E70">
        <v>7700</v>
      </c>
      <c r="F70" t="str">
        <f>HYPERLINK("https://www.google.com/maps/search/?api=1&amp;query=24.82324652,46.64278055", "View Map")</f>
        <v>View Map</v>
      </c>
    </row>
    <row r="71" spans="1:6" x14ac:dyDescent="0.35">
      <c r="A71" t="s">
        <v>1897</v>
      </c>
      <c r="B71" t="s">
        <v>1898</v>
      </c>
      <c r="C71" t="s">
        <v>1776</v>
      </c>
      <c r="D71" t="s">
        <v>13</v>
      </c>
      <c r="E71">
        <v>7669</v>
      </c>
      <c r="F71" t="str">
        <f>HYPERLINK("https://www.google.com/maps/search/?api=1&amp;query=24.6042,46.7106", "View Map")</f>
        <v>View Map</v>
      </c>
    </row>
    <row r="72" spans="1:6" x14ac:dyDescent="0.35">
      <c r="A72" t="s">
        <v>1899</v>
      </c>
      <c r="B72" t="s">
        <v>1900</v>
      </c>
      <c r="C72" t="s">
        <v>1776</v>
      </c>
      <c r="D72" t="s">
        <v>13</v>
      </c>
      <c r="E72">
        <v>7661</v>
      </c>
      <c r="F72" t="str">
        <f>HYPERLINK("https://www.google.com/maps/search/?api=1&amp;query=24.75976505,46.62691597", "View Map")</f>
        <v>View Map</v>
      </c>
    </row>
    <row r="73" spans="1:6" x14ac:dyDescent="0.35">
      <c r="A73" t="s">
        <v>1901</v>
      </c>
      <c r="B73" t="s">
        <v>1902</v>
      </c>
      <c r="C73" t="s">
        <v>1776</v>
      </c>
      <c r="D73" t="s">
        <v>13</v>
      </c>
      <c r="E73">
        <v>7633</v>
      </c>
      <c r="F73" t="str">
        <f>HYPERLINK("https://www.google.com/maps/search/?api=1&amp;query=24.67184839,46.87290208", "View Map")</f>
        <v>View Map</v>
      </c>
    </row>
    <row r="74" spans="1:6" x14ac:dyDescent="0.35">
      <c r="A74" t="s">
        <v>1903</v>
      </c>
      <c r="B74" t="s">
        <v>1904</v>
      </c>
      <c r="C74" t="s">
        <v>1776</v>
      </c>
      <c r="D74" t="s">
        <v>13</v>
      </c>
      <c r="E74">
        <v>7542</v>
      </c>
      <c r="F74" t="str">
        <f>HYPERLINK("https://www.google.com/maps/search/?api=1&amp;query=24.66706887,46.74262083", "View Map")</f>
        <v>View Map</v>
      </c>
    </row>
    <row r="75" spans="1:6" x14ac:dyDescent="0.35">
      <c r="A75" t="s">
        <v>1905</v>
      </c>
      <c r="B75" t="s">
        <v>1906</v>
      </c>
      <c r="C75" t="s">
        <v>1776</v>
      </c>
      <c r="D75" t="s">
        <v>13</v>
      </c>
      <c r="E75">
        <v>7420</v>
      </c>
      <c r="F75" t="str">
        <f>HYPERLINK("https://www.google.com/maps/search/?api=1&amp;query=24.55649386,46.67708684", "View Map")</f>
        <v>View Map</v>
      </c>
    </row>
    <row r="76" spans="1:6" x14ac:dyDescent="0.35">
      <c r="A76" t="s">
        <v>1907</v>
      </c>
      <c r="B76" t="s">
        <v>1908</v>
      </c>
      <c r="C76" t="s">
        <v>1776</v>
      </c>
      <c r="D76" t="s">
        <v>13</v>
      </c>
      <c r="E76">
        <v>7408</v>
      </c>
      <c r="F76" t="str">
        <f>HYPERLINK("https://www.google.com/maps/search/?api=1&amp;query=24.69302381,46.66629719", "View Map")</f>
        <v>View Map</v>
      </c>
    </row>
    <row r="77" spans="1:6" x14ac:dyDescent="0.35">
      <c r="A77" t="s">
        <v>1798</v>
      </c>
      <c r="B77" t="s">
        <v>1909</v>
      </c>
      <c r="C77" t="s">
        <v>1776</v>
      </c>
      <c r="D77" t="s">
        <v>13</v>
      </c>
      <c r="E77">
        <v>7372</v>
      </c>
      <c r="F77" t="str">
        <f>HYPERLINK("https://www.google.com/maps/search/?api=1&amp;query=24.79239619,46.58872121", "View Map")</f>
        <v>View Map</v>
      </c>
    </row>
    <row r="78" spans="1:6" x14ac:dyDescent="0.35">
      <c r="A78" t="s">
        <v>1910</v>
      </c>
      <c r="B78" t="s">
        <v>1911</v>
      </c>
      <c r="C78" t="s">
        <v>1776</v>
      </c>
      <c r="D78" t="s">
        <v>13</v>
      </c>
      <c r="E78">
        <v>7357</v>
      </c>
      <c r="F78" t="str">
        <f>HYPERLINK("https://www.google.com/maps/search/?api=1&amp;query=24.79631409,46.70845731", "View Map")</f>
        <v>View Map</v>
      </c>
    </row>
    <row r="79" spans="1:6" x14ac:dyDescent="0.35">
      <c r="A79" t="s">
        <v>1912</v>
      </c>
      <c r="B79" t="s">
        <v>1913</v>
      </c>
      <c r="C79" t="s">
        <v>1776</v>
      </c>
      <c r="D79" t="s">
        <v>13</v>
      </c>
      <c r="E79">
        <v>7356</v>
      </c>
      <c r="F79" t="str">
        <f>HYPERLINK("https://www.google.com/maps/search/?api=1&amp;query=24.56930384,46.84492638", "View Map")</f>
        <v>View Map</v>
      </c>
    </row>
    <row r="80" spans="1:6" x14ac:dyDescent="0.35">
      <c r="A80" t="s">
        <v>1798</v>
      </c>
      <c r="B80" t="s">
        <v>1914</v>
      </c>
      <c r="C80" t="s">
        <v>1776</v>
      </c>
      <c r="D80" t="s">
        <v>13</v>
      </c>
      <c r="E80">
        <v>7309</v>
      </c>
      <c r="F80" t="str">
        <f>HYPERLINK("https://www.google.com/maps/search/?api=1&amp;query=24.77533413,46.69329393", "View Map")</f>
        <v>View Map</v>
      </c>
    </row>
    <row r="81" spans="1:6" x14ac:dyDescent="0.35">
      <c r="A81" t="s">
        <v>1915</v>
      </c>
      <c r="B81" t="s">
        <v>1916</v>
      </c>
      <c r="C81" t="s">
        <v>1776</v>
      </c>
      <c r="D81" t="s">
        <v>13</v>
      </c>
      <c r="E81">
        <v>7282</v>
      </c>
      <c r="F81" t="str">
        <f>HYPERLINK("https://www.google.com/maps/search/?api=1&amp;query=24.56028075,46.76468396", "View Map")</f>
        <v>View Map</v>
      </c>
    </row>
    <row r="82" spans="1:6" x14ac:dyDescent="0.35">
      <c r="A82" t="s">
        <v>1917</v>
      </c>
      <c r="B82" t="s">
        <v>1918</v>
      </c>
      <c r="C82" t="s">
        <v>1776</v>
      </c>
      <c r="D82" t="s">
        <v>13</v>
      </c>
      <c r="E82">
        <v>7273</v>
      </c>
      <c r="F82" t="str">
        <f>HYPERLINK("https://www.google.com/maps/search/?api=1&amp;query=24.80627015,46.66876306", "View Map")</f>
        <v>View Map</v>
      </c>
    </row>
    <row r="83" spans="1:6" x14ac:dyDescent="0.35">
      <c r="A83" t="s">
        <v>1919</v>
      </c>
      <c r="B83" t="s">
        <v>1920</v>
      </c>
      <c r="C83" t="s">
        <v>1776</v>
      </c>
      <c r="D83" t="s">
        <v>13</v>
      </c>
      <c r="E83">
        <v>7265</v>
      </c>
      <c r="F83" t="str">
        <f>HYPERLINK("https://www.google.com/maps/search/?api=1&amp;query=24.69469787,46.74235539", "View Map")</f>
        <v>View Map</v>
      </c>
    </row>
    <row r="84" spans="1:6" x14ac:dyDescent="0.35">
      <c r="A84" t="s">
        <v>1921</v>
      </c>
      <c r="B84" t="s">
        <v>1922</v>
      </c>
      <c r="C84" t="s">
        <v>1776</v>
      </c>
      <c r="D84" t="s">
        <v>13</v>
      </c>
      <c r="E84">
        <v>7250</v>
      </c>
      <c r="F84" t="str">
        <f>HYPERLINK("https://www.google.com/maps/search/?api=1&amp;query=24.72517966,46.80649294", "View Map")</f>
        <v>View Map</v>
      </c>
    </row>
    <row r="85" spans="1:6" x14ac:dyDescent="0.35">
      <c r="A85" t="s">
        <v>1923</v>
      </c>
      <c r="B85" t="s">
        <v>1924</v>
      </c>
      <c r="C85" t="s">
        <v>1776</v>
      </c>
      <c r="D85" t="s">
        <v>13</v>
      </c>
      <c r="E85">
        <v>7207</v>
      </c>
      <c r="F85" t="str">
        <f>HYPERLINK("https://www.google.com/maps/search/?api=1&amp;query=24.66639,46.87482", "View Map")</f>
        <v>View Map</v>
      </c>
    </row>
    <row r="86" spans="1:6" x14ac:dyDescent="0.35">
      <c r="A86" t="s">
        <v>1925</v>
      </c>
      <c r="B86" t="s">
        <v>1926</v>
      </c>
      <c r="C86" t="s">
        <v>1776</v>
      </c>
      <c r="D86" t="s">
        <v>13</v>
      </c>
      <c r="E86">
        <v>7111</v>
      </c>
      <c r="F86" t="str">
        <f>HYPERLINK("https://www.google.com/maps/search/?api=1&amp;query=24.82022623,46.77454046", "View Map")</f>
        <v>View Map</v>
      </c>
    </row>
    <row r="87" spans="1:6" x14ac:dyDescent="0.35">
      <c r="A87" t="s">
        <v>1927</v>
      </c>
      <c r="B87" t="s">
        <v>1928</v>
      </c>
      <c r="C87" t="s">
        <v>1776</v>
      </c>
      <c r="D87" t="s">
        <v>13</v>
      </c>
      <c r="E87">
        <v>7053</v>
      </c>
      <c r="F87" t="str">
        <f>HYPERLINK("https://www.google.com/maps/search/?api=1&amp;query=24.78245443,46.66026953", "View Map")</f>
        <v>View Map</v>
      </c>
    </row>
    <row r="88" spans="1:6" x14ac:dyDescent="0.35">
      <c r="A88" t="s">
        <v>1929</v>
      </c>
      <c r="B88" t="s">
        <v>1930</v>
      </c>
      <c r="C88" t="s">
        <v>1776</v>
      </c>
      <c r="D88" t="s">
        <v>13</v>
      </c>
      <c r="E88">
        <v>7034</v>
      </c>
      <c r="F88" t="str">
        <f>HYPERLINK("https://www.google.com/maps/search/?api=1&amp;query=24.70812841,46.82041352", "View Map")</f>
        <v>View Map</v>
      </c>
    </row>
    <row r="89" spans="1:6" x14ac:dyDescent="0.35">
      <c r="A89" t="s">
        <v>1931</v>
      </c>
      <c r="B89" t="s">
        <v>1932</v>
      </c>
      <c r="C89" t="s">
        <v>1776</v>
      </c>
      <c r="D89" t="s">
        <v>13</v>
      </c>
      <c r="E89">
        <v>6936</v>
      </c>
      <c r="F89" t="str">
        <f>HYPERLINK("https://www.google.com/maps/search/?api=1&amp;query=24.77880642,46.64982861", "View Map")</f>
        <v>View Map</v>
      </c>
    </row>
    <row r="90" spans="1:6" x14ac:dyDescent="0.35">
      <c r="A90" t="s">
        <v>1933</v>
      </c>
      <c r="B90" t="s">
        <v>1934</v>
      </c>
      <c r="C90" t="s">
        <v>1776</v>
      </c>
      <c r="D90" t="s">
        <v>13</v>
      </c>
      <c r="E90">
        <v>6931</v>
      </c>
      <c r="F90" t="str">
        <f>HYPERLINK("https://www.google.com/maps/search/?api=1&amp;query=24.80957067,46.88653704", "View Map")</f>
        <v>View Map</v>
      </c>
    </row>
    <row r="91" spans="1:6" x14ac:dyDescent="0.35">
      <c r="A91" t="s">
        <v>1935</v>
      </c>
      <c r="B91" t="s">
        <v>1936</v>
      </c>
      <c r="C91" t="s">
        <v>1776</v>
      </c>
      <c r="D91" t="s">
        <v>13</v>
      </c>
      <c r="E91">
        <v>6809</v>
      </c>
      <c r="F91" t="str">
        <f>HYPERLINK("https://www.google.com/maps/search/?api=1&amp;query=24.61919749,46.7485558", "View Map")</f>
        <v>View Map</v>
      </c>
    </row>
    <row r="92" spans="1:6" x14ac:dyDescent="0.35">
      <c r="A92" t="s">
        <v>1937</v>
      </c>
      <c r="B92" t="s">
        <v>1938</v>
      </c>
      <c r="C92" t="s">
        <v>1776</v>
      </c>
      <c r="D92" t="s">
        <v>13</v>
      </c>
      <c r="E92">
        <v>6800</v>
      </c>
      <c r="F92" t="str">
        <f>HYPERLINK("https://www.google.com/maps/search/?api=1&amp;query=24.66920219,46.86510731", "View Map")</f>
        <v>View Map</v>
      </c>
    </row>
    <row r="93" spans="1:6" x14ac:dyDescent="0.35">
      <c r="A93" t="s">
        <v>1939</v>
      </c>
      <c r="B93" t="s">
        <v>1940</v>
      </c>
      <c r="C93" t="s">
        <v>1776</v>
      </c>
      <c r="D93" t="s">
        <v>13</v>
      </c>
      <c r="E93">
        <v>6786</v>
      </c>
      <c r="F93" t="str">
        <f>HYPERLINK("https://www.google.com/maps/search/?api=1&amp;query=24.55545024,46.71343576", "View Map")</f>
        <v>View Map</v>
      </c>
    </row>
    <row r="94" spans="1:6" x14ac:dyDescent="0.35">
      <c r="A94" t="s">
        <v>1941</v>
      </c>
      <c r="B94" t="s">
        <v>1942</v>
      </c>
      <c r="C94" t="s">
        <v>1776</v>
      </c>
      <c r="D94" t="s">
        <v>13</v>
      </c>
      <c r="E94">
        <v>6685</v>
      </c>
      <c r="F94" t="str">
        <f>HYPERLINK("https://www.google.com/maps/search/?api=1&amp;query=24.69414993,46.59166411", "View Map")</f>
        <v>View Map</v>
      </c>
    </row>
    <row r="95" spans="1:6" x14ac:dyDescent="0.35">
      <c r="A95" t="s">
        <v>1943</v>
      </c>
      <c r="B95" t="s">
        <v>1944</v>
      </c>
      <c r="C95" t="s">
        <v>1776</v>
      </c>
      <c r="D95" t="s">
        <v>13</v>
      </c>
      <c r="E95">
        <v>6647</v>
      </c>
      <c r="F95" t="str">
        <f>HYPERLINK("https://www.google.com/maps/search/?api=1&amp;query=24.5885165,46.67740114", "View Map")</f>
        <v>View Map</v>
      </c>
    </row>
    <row r="96" spans="1:6" x14ac:dyDescent="0.35">
      <c r="A96" t="s">
        <v>1945</v>
      </c>
      <c r="B96" t="s">
        <v>1946</v>
      </c>
      <c r="C96" t="s">
        <v>1776</v>
      </c>
      <c r="D96" t="s">
        <v>13</v>
      </c>
      <c r="E96">
        <v>6621</v>
      </c>
      <c r="F96" t="str">
        <f>HYPERLINK("https://www.google.com/maps/search/?api=1&amp;query=24.80106567,46.81345225", "View Map")</f>
        <v>View Map</v>
      </c>
    </row>
    <row r="97" spans="1:6" x14ac:dyDescent="0.35">
      <c r="A97" t="s">
        <v>1947</v>
      </c>
      <c r="B97" t="s">
        <v>1948</v>
      </c>
      <c r="C97" t="s">
        <v>1776</v>
      </c>
      <c r="D97" t="s">
        <v>13</v>
      </c>
      <c r="E97">
        <v>6482</v>
      </c>
      <c r="F97" t="str">
        <f>HYPERLINK("https://www.google.com/maps/search/?api=1&amp;query=24.55363744,46.55218514", "View Map")</f>
        <v>View Map</v>
      </c>
    </row>
    <row r="98" spans="1:6" x14ac:dyDescent="0.35">
      <c r="A98" t="s">
        <v>1949</v>
      </c>
      <c r="B98" t="s">
        <v>1950</v>
      </c>
      <c r="C98" t="s">
        <v>1776</v>
      </c>
      <c r="D98" t="s">
        <v>13</v>
      </c>
      <c r="E98">
        <v>6466</v>
      </c>
      <c r="F98" t="str">
        <f>HYPERLINK("https://www.google.com/maps/search/?api=1&amp;query=24.78268175,46.70087355", "View Map")</f>
        <v>View Map</v>
      </c>
    </row>
    <row r="99" spans="1:6" x14ac:dyDescent="0.35">
      <c r="A99" t="s">
        <v>1951</v>
      </c>
      <c r="B99" t="s">
        <v>1952</v>
      </c>
      <c r="C99" t="s">
        <v>1776</v>
      </c>
      <c r="D99" t="s">
        <v>13</v>
      </c>
      <c r="E99">
        <v>6457</v>
      </c>
      <c r="F99" t="str">
        <f>HYPERLINK("https://www.google.com/maps/search/?api=1&amp;query=24.77867952,46.65492895", "View Map")</f>
        <v>View Map</v>
      </c>
    </row>
    <row r="100" spans="1:6" x14ac:dyDescent="0.35">
      <c r="A100" t="s">
        <v>1798</v>
      </c>
      <c r="B100" t="s">
        <v>1953</v>
      </c>
      <c r="C100" t="s">
        <v>1776</v>
      </c>
      <c r="D100" t="s">
        <v>13</v>
      </c>
      <c r="E100">
        <v>6323</v>
      </c>
      <c r="F100" t="str">
        <f>HYPERLINK("https://www.google.com/maps/search/?api=1&amp;query=24.81315951,46.79012088", "View Map")</f>
        <v>View Map</v>
      </c>
    </row>
    <row r="101" spans="1:6" x14ac:dyDescent="0.35">
      <c r="A101" t="s">
        <v>1806</v>
      </c>
      <c r="B101" t="s">
        <v>1954</v>
      </c>
      <c r="C101" t="s">
        <v>1776</v>
      </c>
      <c r="D101" t="s">
        <v>13</v>
      </c>
      <c r="E101">
        <v>6225</v>
      </c>
      <c r="F101" t="str">
        <f>HYPERLINK("https://www.google.com/maps/search/?api=1&amp;query=24.75061791,46.76832507", "View Map")</f>
        <v>View Map</v>
      </c>
    </row>
    <row r="102" spans="1:6" x14ac:dyDescent="0.35">
      <c r="A102" t="s">
        <v>1955</v>
      </c>
      <c r="B102" t="s">
        <v>1956</v>
      </c>
      <c r="C102" t="s">
        <v>1776</v>
      </c>
      <c r="D102" t="s">
        <v>13</v>
      </c>
      <c r="E102">
        <v>6193</v>
      </c>
      <c r="F102" t="str">
        <f>HYPERLINK("https://www.google.com/maps/search/?api=1&amp;query=24.69341833,46.70865915", "View Map")</f>
        <v>View Map</v>
      </c>
    </row>
    <row r="103" spans="1:6" x14ac:dyDescent="0.35">
      <c r="A103" t="s">
        <v>1798</v>
      </c>
      <c r="B103" t="s">
        <v>1957</v>
      </c>
      <c r="C103" t="s">
        <v>1776</v>
      </c>
      <c r="D103" t="s">
        <v>13</v>
      </c>
      <c r="E103">
        <v>6167</v>
      </c>
      <c r="F103" t="str">
        <f>HYPERLINK("https://www.google.com/maps/search/?api=1&amp;query=24.82845,46.60742", "View Map")</f>
        <v>View Map</v>
      </c>
    </row>
    <row r="104" spans="1:6" x14ac:dyDescent="0.35">
      <c r="A104" t="s">
        <v>1958</v>
      </c>
      <c r="B104" t="s">
        <v>1959</v>
      </c>
      <c r="C104" t="s">
        <v>1776</v>
      </c>
      <c r="D104" t="s">
        <v>13</v>
      </c>
      <c r="E104">
        <v>6124</v>
      </c>
      <c r="F104" t="str">
        <f>HYPERLINK("https://www.google.com/maps/search/?api=1&amp;query=24.73006,46.65733", "View Map")</f>
        <v>View Map</v>
      </c>
    </row>
    <row r="105" spans="1:6" x14ac:dyDescent="0.35">
      <c r="A105" t="s">
        <v>1960</v>
      </c>
      <c r="B105" t="s">
        <v>1961</v>
      </c>
      <c r="C105" t="s">
        <v>1776</v>
      </c>
      <c r="D105" t="s">
        <v>13</v>
      </c>
      <c r="E105">
        <v>6122</v>
      </c>
      <c r="F105" t="str">
        <f>HYPERLINK("https://www.google.com/maps/search/?api=1&amp;query=24.8112021,46.78053911", "View Map")</f>
        <v>View Map</v>
      </c>
    </row>
    <row r="106" spans="1:6" x14ac:dyDescent="0.35">
      <c r="A106" t="s">
        <v>1962</v>
      </c>
      <c r="B106" t="s">
        <v>1963</v>
      </c>
      <c r="C106" t="s">
        <v>1776</v>
      </c>
      <c r="D106" t="s">
        <v>13</v>
      </c>
      <c r="E106">
        <v>6112</v>
      </c>
      <c r="F106" t="str">
        <f>HYPERLINK("https://www.google.com/maps/search/?api=1&amp;query=24.66101798,46.8607738", "View Map")</f>
        <v>View Map</v>
      </c>
    </row>
    <row r="107" spans="1:6" x14ac:dyDescent="0.35">
      <c r="A107" t="s">
        <v>1964</v>
      </c>
      <c r="B107" t="s">
        <v>1965</v>
      </c>
      <c r="C107" t="s">
        <v>1776</v>
      </c>
      <c r="D107" t="s">
        <v>13</v>
      </c>
      <c r="E107">
        <v>6082</v>
      </c>
      <c r="F107" t="str">
        <f>HYPERLINK("https://www.google.com/maps/search/?api=1&amp;query=24.71568591,46.82771854", "View Map")</f>
        <v>View Map</v>
      </c>
    </row>
    <row r="108" spans="1:6" x14ac:dyDescent="0.35">
      <c r="A108" t="s">
        <v>1966</v>
      </c>
      <c r="B108" t="s">
        <v>1967</v>
      </c>
      <c r="C108" t="s">
        <v>1776</v>
      </c>
      <c r="D108" t="s">
        <v>13</v>
      </c>
      <c r="E108">
        <v>6060</v>
      </c>
      <c r="F108" t="str">
        <f>HYPERLINK("https://www.google.com/maps/search/?api=1&amp;query=24.67610276,46.86496369", "View Map")</f>
        <v>View Map</v>
      </c>
    </row>
    <row r="109" spans="1:6" x14ac:dyDescent="0.35">
      <c r="A109" t="s">
        <v>1968</v>
      </c>
      <c r="B109" t="s">
        <v>1969</v>
      </c>
      <c r="C109" t="s">
        <v>1776</v>
      </c>
      <c r="D109" t="s">
        <v>13</v>
      </c>
      <c r="E109">
        <v>6005</v>
      </c>
      <c r="F109" t="str">
        <f>HYPERLINK("https://www.google.com/maps/search/?api=1&amp;query=24.76462182,46.76403247", "View Map")</f>
        <v>View Map</v>
      </c>
    </row>
    <row r="110" spans="1:6" x14ac:dyDescent="0.35">
      <c r="A110" t="s">
        <v>1798</v>
      </c>
      <c r="B110" t="s">
        <v>1970</v>
      </c>
      <c r="C110" t="s">
        <v>1776</v>
      </c>
      <c r="D110" t="s">
        <v>13</v>
      </c>
      <c r="E110">
        <v>5948</v>
      </c>
      <c r="F110" t="str">
        <f>HYPERLINK("https://www.google.com/maps/search/?api=1&amp;query=24.73728402,46.78538541", "View Map")</f>
        <v>View Map</v>
      </c>
    </row>
    <row r="111" spans="1:6" x14ac:dyDescent="0.35">
      <c r="A111" t="s">
        <v>1971</v>
      </c>
      <c r="B111" t="s">
        <v>1972</v>
      </c>
      <c r="C111" t="s">
        <v>1776</v>
      </c>
      <c r="D111" t="s">
        <v>13</v>
      </c>
      <c r="E111">
        <v>5941</v>
      </c>
      <c r="F111" t="str">
        <f>HYPERLINK("https://www.google.com/maps/search/?api=1&amp;query=24.66598522,46.7009511", "View Map")</f>
        <v>View Map</v>
      </c>
    </row>
    <row r="112" spans="1:6" x14ac:dyDescent="0.35">
      <c r="A112" t="s">
        <v>1973</v>
      </c>
      <c r="B112" t="s">
        <v>1974</v>
      </c>
      <c r="C112" t="s">
        <v>1776</v>
      </c>
      <c r="D112" t="s">
        <v>13</v>
      </c>
      <c r="E112">
        <v>5881</v>
      </c>
      <c r="F112" t="str">
        <f>HYPERLINK("https://www.google.com/maps/search/?api=1&amp;query=24.69470816,46.68759636", "View Map")</f>
        <v>View Map</v>
      </c>
    </row>
    <row r="113" spans="1:6" x14ac:dyDescent="0.35">
      <c r="A113" t="s">
        <v>1108</v>
      </c>
      <c r="B113" t="s">
        <v>1975</v>
      </c>
      <c r="C113" t="s">
        <v>1776</v>
      </c>
      <c r="D113" t="s">
        <v>13</v>
      </c>
      <c r="E113">
        <v>5841</v>
      </c>
      <c r="F113" t="str">
        <f>HYPERLINK("https://www.google.com/maps/search/?api=1&amp;query=24.59857647,46.77267912", "View Map")</f>
        <v>View Map</v>
      </c>
    </row>
    <row r="114" spans="1:6" x14ac:dyDescent="0.35">
      <c r="A114" t="s">
        <v>1976</v>
      </c>
      <c r="B114" t="s">
        <v>1977</v>
      </c>
      <c r="C114" t="s">
        <v>1776</v>
      </c>
      <c r="D114" t="s">
        <v>13</v>
      </c>
      <c r="E114">
        <v>5805</v>
      </c>
      <c r="F114" t="str">
        <f>HYPERLINK("https://www.google.com/maps/search/?api=1&amp;query=24.75554387,46.78789353", "View Map")</f>
        <v>View Map</v>
      </c>
    </row>
    <row r="115" spans="1:6" x14ac:dyDescent="0.35">
      <c r="A115" t="s">
        <v>1978</v>
      </c>
      <c r="B115" t="s">
        <v>1979</v>
      </c>
      <c r="C115" t="s">
        <v>1776</v>
      </c>
      <c r="D115" t="s">
        <v>13</v>
      </c>
      <c r="E115">
        <v>5799</v>
      </c>
      <c r="F115" t="str">
        <f>HYPERLINK("https://www.google.com/maps/search/?api=1&amp;query=24.60363978,46.6584658", "View Map")</f>
        <v>View Map</v>
      </c>
    </row>
    <row r="116" spans="1:6" x14ac:dyDescent="0.35">
      <c r="A116" t="s">
        <v>1980</v>
      </c>
      <c r="B116" t="s">
        <v>1981</v>
      </c>
      <c r="C116" t="s">
        <v>1776</v>
      </c>
      <c r="D116" t="s">
        <v>13</v>
      </c>
      <c r="E116">
        <v>5783</v>
      </c>
      <c r="F116" t="str">
        <f>HYPERLINK("https://www.google.com/maps/search/?api=1&amp;query=24.58584592,46.66717194", "View Map")</f>
        <v>View Map</v>
      </c>
    </row>
    <row r="117" spans="1:6" x14ac:dyDescent="0.35">
      <c r="A117" t="s">
        <v>1982</v>
      </c>
      <c r="B117" t="s">
        <v>1983</v>
      </c>
      <c r="C117" t="s">
        <v>1776</v>
      </c>
      <c r="D117" t="s">
        <v>13</v>
      </c>
      <c r="E117">
        <v>5768</v>
      </c>
      <c r="F117" t="str">
        <f>HYPERLINK("https://www.google.com/maps/search/?api=1&amp;query=24.76785944,46.7377981", "View Map")</f>
        <v>View Map</v>
      </c>
    </row>
    <row r="118" spans="1:6" x14ac:dyDescent="0.35">
      <c r="A118" t="s">
        <v>1798</v>
      </c>
      <c r="B118" t="s">
        <v>1984</v>
      </c>
      <c r="C118" t="s">
        <v>1776</v>
      </c>
      <c r="D118" t="s">
        <v>13</v>
      </c>
      <c r="E118">
        <v>5754</v>
      </c>
      <c r="F118" t="str">
        <f>HYPERLINK("https://www.google.com/maps/search/?api=1&amp;query=24.7822977,46.8353532", "View Map")</f>
        <v>View Map</v>
      </c>
    </row>
    <row r="119" spans="1:6" x14ac:dyDescent="0.35">
      <c r="A119" t="s">
        <v>1985</v>
      </c>
      <c r="B119" t="s">
        <v>1986</v>
      </c>
      <c r="C119" t="s">
        <v>1776</v>
      </c>
      <c r="D119" t="s">
        <v>13</v>
      </c>
      <c r="E119">
        <v>5748</v>
      </c>
      <c r="F119" t="str">
        <f>HYPERLINK("https://www.google.com/maps/search/?api=1&amp;query=24.7960199,46.63184058", "View Map")</f>
        <v>View Map</v>
      </c>
    </row>
    <row r="120" spans="1:6" x14ac:dyDescent="0.35">
      <c r="A120" t="s">
        <v>1987</v>
      </c>
      <c r="B120" t="s">
        <v>1988</v>
      </c>
      <c r="C120" t="s">
        <v>1776</v>
      </c>
      <c r="D120" t="s">
        <v>13</v>
      </c>
      <c r="E120">
        <v>5719</v>
      </c>
      <c r="F120" t="str">
        <f>HYPERLINK("https://www.google.com/maps/search/?api=1&amp;query=24.73936669,46.60787857", "View Map")</f>
        <v>View Map</v>
      </c>
    </row>
    <row r="121" spans="1:6" x14ac:dyDescent="0.35">
      <c r="A121" t="s">
        <v>1989</v>
      </c>
      <c r="B121" t="s">
        <v>1990</v>
      </c>
      <c r="C121" t="s">
        <v>1776</v>
      </c>
      <c r="D121" t="s">
        <v>13</v>
      </c>
      <c r="E121">
        <v>5704</v>
      </c>
      <c r="F121" t="str">
        <f>HYPERLINK("https://www.google.com/maps/search/?api=1&amp;query=24.78883047,46.73059015", "View Map")</f>
        <v>View Map</v>
      </c>
    </row>
    <row r="122" spans="1:6" x14ac:dyDescent="0.35">
      <c r="A122" t="s">
        <v>1798</v>
      </c>
      <c r="B122" t="s">
        <v>1991</v>
      </c>
      <c r="C122" t="s">
        <v>1776</v>
      </c>
      <c r="D122" t="s">
        <v>13</v>
      </c>
      <c r="E122">
        <v>5700</v>
      </c>
      <c r="F122" t="str">
        <f>HYPERLINK("https://www.google.com/maps/search/?api=1&amp;query=24.86718667,46.63469465", "View Map")</f>
        <v>View Map</v>
      </c>
    </row>
    <row r="123" spans="1:6" x14ac:dyDescent="0.35">
      <c r="A123" t="s">
        <v>1992</v>
      </c>
      <c r="B123" t="s">
        <v>1993</v>
      </c>
      <c r="C123" t="s">
        <v>1776</v>
      </c>
      <c r="D123" t="s">
        <v>13</v>
      </c>
      <c r="E123">
        <v>5679</v>
      </c>
      <c r="F123" t="str">
        <f>HYPERLINK("https://www.google.com/maps/search/?api=1&amp;query=24.57913996,46.66583556", "View Map")</f>
        <v>View Map</v>
      </c>
    </row>
    <row r="124" spans="1:6" x14ac:dyDescent="0.35">
      <c r="A124" t="s">
        <v>1798</v>
      </c>
      <c r="B124" t="s">
        <v>1994</v>
      </c>
      <c r="C124" t="s">
        <v>1776</v>
      </c>
      <c r="D124" t="s">
        <v>13</v>
      </c>
      <c r="E124">
        <v>5678</v>
      </c>
      <c r="F124" t="str">
        <f>HYPERLINK("https://www.google.com/maps/search/?api=1&amp;query=24.92334319,46.82037301", "View Map")</f>
        <v>View Map</v>
      </c>
    </row>
    <row r="125" spans="1:6" x14ac:dyDescent="0.35">
      <c r="A125" t="s">
        <v>1995</v>
      </c>
      <c r="B125" t="s">
        <v>1996</v>
      </c>
      <c r="C125" t="s">
        <v>1776</v>
      </c>
      <c r="D125" t="s">
        <v>13</v>
      </c>
      <c r="E125">
        <v>5651</v>
      </c>
      <c r="F125" t="str">
        <f>HYPERLINK("https://www.google.com/maps/search/?api=1&amp;query=24.56145228,46.79002075", "View Map")</f>
        <v>View Map</v>
      </c>
    </row>
    <row r="126" spans="1:6" x14ac:dyDescent="0.35">
      <c r="A126" t="s">
        <v>1997</v>
      </c>
      <c r="B126" t="s">
        <v>1998</v>
      </c>
      <c r="C126" t="s">
        <v>1843</v>
      </c>
      <c r="D126" t="s">
        <v>13</v>
      </c>
      <c r="E126">
        <v>5644</v>
      </c>
      <c r="F126" t="str">
        <f>HYPERLINK("https://www.google.com/maps/search/?api=1&amp;query=24.73793,46.57923", "View Map")</f>
        <v>View Map</v>
      </c>
    </row>
    <row r="127" spans="1:6" x14ac:dyDescent="0.35">
      <c r="A127" t="s">
        <v>122</v>
      </c>
      <c r="B127" t="s">
        <v>1999</v>
      </c>
      <c r="C127" t="s">
        <v>1776</v>
      </c>
      <c r="D127" t="s">
        <v>13</v>
      </c>
      <c r="E127">
        <v>5535</v>
      </c>
      <c r="F127" t="str">
        <f>HYPERLINK("https://www.google.com/maps/search/?api=1&amp;query=24.67643014,46.80624134", "View Map")</f>
        <v>View Map</v>
      </c>
    </row>
    <row r="128" spans="1:6" x14ac:dyDescent="0.35">
      <c r="A128" t="s">
        <v>2000</v>
      </c>
      <c r="B128" t="s">
        <v>2001</v>
      </c>
      <c r="C128" t="s">
        <v>1776</v>
      </c>
      <c r="D128" t="s">
        <v>13</v>
      </c>
      <c r="E128">
        <v>5524</v>
      </c>
      <c r="F128" t="str">
        <f>HYPERLINK("https://www.google.com/maps/search/?api=1&amp;query=24.55530165,46.8648805", "View Map")</f>
        <v>View Map</v>
      </c>
    </row>
    <row r="129" spans="1:6" x14ac:dyDescent="0.35">
      <c r="A129" t="s">
        <v>2002</v>
      </c>
      <c r="B129" t="s">
        <v>2003</v>
      </c>
      <c r="C129" t="s">
        <v>1776</v>
      </c>
      <c r="D129" t="s">
        <v>13</v>
      </c>
      <c r="E129">
        <v>5524</v>
      </c>
      <c r="F129" t="str">
        <f>HYPERLINK("https://www.google.com/maps/search/?api=1&amp;query=24.69756071,46.76240858", "View Map")</f>
        <v>View Map</v>
      </c>
    </row>
    <row r="130" spans="1:6" x14ac:dyDescent="0.35">
      <c r="A130" t="s">
        <v>1798</v>
      </c>
      <c r="B130" t="s">
        <v>2004</v>
      </c>
      <c r="C130" t="s">
        <v>1776</v>
      </c>
      <c r="D130" t="s">
        <v>13</v>
      </c>
      <c r="E130">
        <v>5479</v>
      </c>
      <c r="F130" t="str">
        <f>HYPERLINK("https://www.google.com/maps/search/?api=1&amp;query=24.64672947,46.5638687", "View Map")</f>
        <v>View Map</v>
      </c>
    </row>
    <row r="131" spans="1:6" x14ac:dyDescent="0.35">
      <c r="A131" t="s">
        <v>2005</v>
      </c>
      <c r="B131" t="s">
        <v>2006</v>
      </c>
      <c r="C131" t="s">
        <v>1776</v>
      </c>
      <c r="D131" t="s">
        <v>13</v>
      </c>
      <c r="E131">
        <v>5463</v>
      </c>
      <c r="F131" t="str">
        <f>HYPERLINK("https://www.google.com/maps/search/?api=1&amp;query=24.80129235,46.74042935", "View Map")</f>
        <v>View Map</v>
      </c>
    </row>
    <row r="132" spans="1:6" x14ac:dyDescent="0.35">
      <c r="A132" t="s">
        <v>2007</v>
      </c>
      <c r="B132" t="s">
        <v>2008</v>
      </c>
      <c r="C132" t="s">
        <v>1776</v>
      </c>
      <c r="D132" t="s">
        <v>13</v>
      </c>
      <c r="E132">
        <v>5444</v>
      </c>
      <c r="F132" t="str">
        <f>HYPERLINK("https://www.google.com/maps/search/?api=1&amp;query=24.79523579,46.73767582", "View Map")</f>
        <v>View Map</v>
      </c>
    </row>
    <row r="133" spans="1:6" x14ac:dyDescent="0.35">
      <c r="A133" t="s">
        <v>2009</v>
      </c>
      <c r="B133" t="s">
        <v>2010</v>
      </c>
      <c r="C133" t="s">
        <v>1776</v>
      </c>
      <c r="D133" t="s">
        <v>13</v>
      </c>
      <c r="E133">
        <v>5431</v>
      </c>
      <c r="F133" t="str">
        <f>HYPERLINK("https://www.google.com/maps/search/?api=1&amp;query=24.75806727,46.74662437", "View Map")</f>
        <v>View Map</v>
      </c>
    </row>
    <row r="134" spans="1:6" x14ac:dyDescent="0.35">
      <c r="A134" t="s">
        <v>1798</v>
      </c>
      <c r="B134" t="s">
        <v>2011</v>
      </c>
      <c r="C134" t="s">
        <v>1776</v>
      </c>
      <c r="D134" t="s">
        <v>13</v>
      </c>
      <c r="E134">
        <v>5349</v>
      </c>
      <c r="F134" t="str">
        <f>HYPERLINK("https://www.google.com/maps/search/?api=1&amp;query=24.70226648,46.66692736", "View Map")</f>
        <v>View Map</v>
      </c>
    </row>
    <row r="135" spans="1:6" x14ac:dyDescent="0.35">
      <c r="A135" t="s">
        <v>1798</v>
      </c>
      <c r="B135" t="s">
        <v>2012</v>
      </c>
      <c r="C135" t="s">
        <v>1776</v>
      </c>
      <c r="D135" t="s">
        <v>13</v>
      </c>
      <c r="E135">
        <v>5327</v>
      </c>
      <c r="F135" t="str">
        <f>HYPERLINK("https://www.google.com/maps/search/?api=1&amp;query=24.8797477,46.60346858", "View Map")</f>
        <v>View Map</v>
      </c>
    </row>
    <row r="136" spans="1:6" x14ac:dyDescent="0.35">
      <c r="A136" t="s">
        <v>2013</v>
      </c>
      <c r="B136" t="s">
        <v>2014</v>
      </c>
      <c r="C136" t="s">
        <v>1776</v>
      </c>
      <c r="D136" t="s">
        <v>13</v>
      </c>
      <c r="E136">
        <v>5312</v>
      </c>
      <c r="F136" t="str">
        <f>HYPERLINK("https://www.google.com/maps/search/?api=1&amp;query=24.73298,46.65794", "View Map")</f>
        <v>View Map</v>
      </c>
    </row>
    <row r="137" spans="1:6" x14ac:dyDescent="0.35">
      <c r="A137" t="s">
        <v>2015</v>
      </c>
      <c r="B137" t="s">
        <v>2016</v>
      </c>
      <c r="C137" t="s">
        <v>1776</v>
      </c>
      <c r="D137" t="s">
        <v>13</v>
      </c>
      <c r="E137">
        <v>5311</v>
      </c>
      <c r="F137" t="str">
        <f>HYPERLINK("https://www.google.com/maps/search/?api=1&amp;query=24.80212711,46.7338643", "View Map")</f>
        <v>View Map</v>
      </c>
    </row>
    <row r="138" spans="1:6" x14ac:dyDescent="0.35">
      <c r="A138" t="s">
        <v>2017</v>
      </c>
      <c r="B138" t="s">
        <v>2018</v>
      </c>
      <c r="C138" t="s">
        <v>1776</v>
      </c>
      <c r="D138" t="s">
        <v>13</v>
      </c>
      <c r="E138">
        <v>5308</v>
      </c>
      <c r="F138" t="str">
        <f>HYPERLINK("https://www.google.com/maps/search/?api=1&amp;query=24.66957461,46.70044643", "View Map")</f>
        <v>View Map</v>
      </c>
    </row>
    <row r="139" spans="1:6" x14ac:dyDescent="0.35">
      <c r="A139" t="s">
        <v>2019</v>
      </c>
      <c r="B139" t="s">
        <v>2020</v>
      </c>
      <c r="C139" t="s">
        <v>1776</v>
      </c>
      <c r="D139" t="s">
        <v>13</v>
      </c>
      <c r="E139">
        <v>5228</v>
      </c>
      <c r="F139" t="str">
        <f>HYPERLINK("https://www.google.com/maps/search/?api=1&amp;query=24.63105049,46.7143999", "View Map")</f>
        <v>View Map</v>
      </c>
    </row>
    <row r="140" spans="1:6" x14ac:dyDescent="0.35">
      <c r="A140" t="s">
        <v>2021</v>
      </c>
      <c r="B140" t="s">
        <v>2022</v>
      </c>
      <c r="C140" t="s">
        <v>1776</v>
      </c>
      <c r="D140" t="s">
        <v>13</v>
      </c>
      <c r="E140">
        <v>5209</v>
      </c>
      <c r="F140" t="str">
        <f>HYPERLINK("https://www.google.com/maps/search/?api=1&amp;query=24.63609762,46.7104271", "View Map")</f>
        <v>View Map</v>
      </c>
    </row>
    <row r="141" spans="1:6" x14ac:dyDescent="0.35">
      <c r="A141" t="s">
        <v>2023</v>
      </c>
      <c r="B141" t="s">
        <v>2024</v>
      </c>
      <c r="C141" t="s">
        <v>1776</v>
      </c>
      <c r="D141" t="s">
        <v>13</v>
      </c>
      <c r="E141">
        <v>5199</v>
      </c>
      <c r="F141" t="str">
        <f>HYPERLINK("https://www.google.com/maps/search/?api=1&amp;query=24.69496368,46.76523926", "View Map")</f>
        <v>View Map</v>
      </c>
    </row>
    <row r="142" spans="1:6" x14ac:dyDescent="0.35">
      <c r="A142" t="s">
        <v>2025</v>
      </c>
      <c r="B142" t="s">
        <v>2026</v>
      </c>
      <c r="C142" t="s">
        <v>1776</v>
      </c>
      <c r="D142" t="s">
        <v>13</v>
      </c>
      <c r="E142">
        <v>5180</v>
      </c>
      <c r="F142" t="str">
        <f>HYPERLINK("https://www.google.com/maps/search/?api=1&amp;query=24.68619557,46.78018729", "View Map")</f>
        <v>View Map</v>
      </c>
    </row>
    <row r="143" spans="1:6" x14ac:dyDescent="0.35">
      <c r="A143" t="s">
        <v>2027</v>
      </c>
      <c r="B143" t="s">
        <v>2028</v>
      </c>
      <c r="C143" t="s">
        <v>1776</v>
      </c>
      <c r="D143" t="s">
        <v>13</v>
      </c>
      <c r="E143">
        <v>5174</v>
      </c>
      <c r="F143" t="str">
        <f>HYPERLINK("https://www.google.com/maps/search/?api=1&amp;query=24.67939988,46.66350969", "View Map")</f>
        <v>View Map</v>
      </c>
    </row>
    <row r="144" spans="1:6" x14ac:dyDescent="0.35">
      <c r="A144" t="s">
        <v>1798</v>
      </c>
      <c r="B144" t="s">
        <v>2029</v>
      </c>
      <c r="C144" t="s">
        <v>1776</v>
      </c>
      <c r="D144" t="s">
        <v>13</v>
      </c>
      <c r="E144">
        <v>5169</v>
      </c>
      <c r="F144" t="str">
        <f>HYPERLINK("https://www.google.com/maps/search/?api=1&amp;query=24.92576238,46.82523471", "View Map")</f>
        <v>View Map</v>
      </c>
    </row>
    <row r="145" spans="1:6" x14ac:dyDescent="0.35">
      <c r="A145" t="s">
        <v>2030</v>
      </c>
      <c r="B145" t="s">
        <v>2031</v>
      </c>
      <c r="C145" t="s">
        <v>1776</v>
      </c>
      <c r="D145" t="s">
        <v>13</v>
      </c>
      <c r="E145">
        <v>5135</v>
      </c>
      <c r="F145" t="str">
        <f>HYPERLINK("https://www.google.com/maps/search/?api=1&amp;query=24.72108914,46.85436542", "View Map")</f>
        <v>View Map</v>
      </c>
    </row>
    <row r="146" spans="1:6" x14ac:dyDescent="0.35">
      <c r="A146" t="s">
        <v>2032</v>
      </c>
      <c r="B146" t="s">
        <v>2033</v>
      </c>
      <c r="C146" t="s">
        <v>1776</v>
      </c>
      <c r="D146" t="s">
        <v>13</v>
      </c>
      <c r="E146">
        <v>5127</v>
      </c>
      <c r="F146" t="str">
        <f>HYPERLINK("https://www.google.com/maps/search/?api=1&amp;query=24.79599263,46.62389353", "View Map")</f>
        <v>View Map</v>
      </c>
    </row>
    <row r="147" spans="1:6" x14ac:dyDescent="0.35">
      <c r="A147" t="s">
        <v>1794</v>
      </c>
      <c r="B147" t="s">
        <v>2034</v>
      </c>
      <c r="C147" t="s">
        <v>1776</v>
      </c>
      <c r="D147" t="s">
        <v>13</v>
      </c>
      <c r="E147">
        <v>5103</v>
      </c>
      <c r="F147" t="str">
        <f>HYPERLINK("https://www.google.com/maps/search/?api=1&amp;query=24.82120776,46.60274635", "View Map")</f>
        <v>View Map</v>
      </c>
    </row>
    <row r="148" spans="1:6" x14ac:dyDescent="0.35">
      <c r="A148" t="s">
        <v>2035</v>
      </c>
      <c r="B148" t="s">
        <v>2036</v>
      </c>
      <c r="C148" t="s">
        <v>1776</v>
      </c>
      <c r="D148" t="s">
        <v>13</v>
      </c>
      <c r="E148">
        <v>5083</v>
      </c>
      <c r="F148" t="str">
        <f>HYPERLINK("https://www.google.com/maps/search/?api=1&amp;query=24.68184014,46.71961591", "View Map")</f>
        <v>View Map</v>
      </c>
    </row>
    <row r="149" spans="1:6" x14ac:dyDescent="0.35">
      <c r="A149" t="s">
        <v>2037</v>
      </c>
      <c r="B149" t="s">
        <v>2038</v>
      </c>
      <c r="C149" t="s">
        <v>1843</v>
      </c>
      <c r="D149" t="s">
        <v>13</v>
      </c>
      <c r="E149">
        <v>5079</v>
      </c>
      <c r="F149" t="str">
        <f>HYPERLINK("https://www.google.com/maps/search/?api=1&amp;query=24.73759225,46.59876738", "View Map")</f>
        <v>View Map</v>
      </c>
    </row>
    <row r="150" spans="1:6" x14ac:dyDescent="0.35">
      <c r="A150" t="s">
        <v>2039</v>
      </c>
      <c r="B150" t="s">
        <v>2040</v>
      </c>
      <c r="C150" t="s">
        <v>1776</v>
      </c>
      <c r="D150" t="s">
        <v>13</v>
      </c>
      <c r="E150">
        <v>5071</v>
      </c>
      <c r="F150" t="str">
        <f>HYPERLINK("https://www.google.com/maps/search/?api=1&amp;query=24.6742582,46.75742232", "View Map")</f>
        <v>View Map</v>
      </c>
    </row>
    <row r="151" spans="1:6" x14ac:dyDescent="0.35">
      <c r="A151" t="s">
        <v>2041</v>
      </c>
      <c r="B151" t="s">
        <v>2042</v>
      </c>
      <c r="C151" t="s">
        <v>1776</v>
      </c>
      <c r="D151" t="s">
        <v>13</v>
      </c>
      <c r="E151">
        <v>5061</v>
      </c>
      <c r="F151" t="str">
        <f>HYPERLINK("https://www.google.com/maps/search/?api=1&amp;query=24.67994789,46.70623404", "View Map")</f>
        <v>View Map</v>
      </c>
    </row>
    <row r="152" spans="1:6" x14ac:dyDescent="0.35">
      <c r="A152" t="s">
        <v>2043</v>
      </c>
      <c r="B152" t="s">
        <v>2044</v>
      </c>
      <c r="C152" t="s">
        <v>1776</v>
      </c>
      <c r="D152" t="s">
        <v>13</v>
      </c>
      <c r="E152">
        <v>5058</v>
      </c>
      <c r="F152" t="str">
        <f>HYPERLINK("https://www.google.com/maps/search/?api=1&amp;query=24.58332673,46.77322263", "View Map")</f>
        <v>View Map</v>
      </c>
    </row>
    <row r="153" spans="1:6" x14ac:dyDescent="0.35">
      <c r="A153" t="s">
        <v>2045</v>
      </c>
      <c r="B153" t="s">
        <v>2046</v>
      </c>
      <c r="C153" t="s">
        <v>1776</v>
      </c>
      <c r="D153" t="s">
        <v>13</v>
      </c>
      <c r="E153">
        <v>5056</v>
      </c>
      <c r="F153" t="str">
        <f>HYPERLINK("https://www.google.com/maps/search/?api=1&amp;query=24.78265071,46.58388412", "View Map")</f>
        <v>View Map</v>
      </c>
    </row>
    <row r="154" spans="1:6" x14ac:dyDescent="0.35">
      <c r="A154" t="s">
        <v>1798</v>
      </c>
      <c r="B154" t="s">
        <v>2047</v>
      </c>
      <c r="C154" t="s">
        <v>1776</v>
      </c>
      <c r="D154" t="s">
        <v>13</v>
      </c>
      <c r="E154">
        <v>5019</v>
      </c>
      <c r="F154" t="str">
        <f>HYPERLINK("https://www.google.com/maps/search/?api=1&amp;query=24.6137815,46.75777171", "View Map")</f>
        <v>View Map</v>
      </c>
    </row>
    <row r="155" spans="1:6" x14ac:dyDescent="0.35">
      <c r="A155" t="s">
        <v>1798</v>
      </c>
      <c r="B155" t="s">
        <v>2048</v>
      </c>
      <c r="C155" t="s">
        <v>1776</v>
      </c>
      <c r="D155" t="s">
        <v>13</v>
      </c>
      <c r="E155">
        <v>5009</v>
      </c>
      <c r="F155" t="str">
        <f>HYPERLINK("https://www.google.com/maps/search/?api=1&amp;query=24.56362419,46.80326295", "View Map")</f>
        <v>View Map</v>
      </c>
    </row>
    <row r="156" spans="1:6" x14ac:dyDescent="0.35">
      <c r="A156" t="s">
        <v>1947</v>
      </c>
      <c r="B156" t="s">
        <v>2049</v>
      </c>
      <c r="C156" t="s">
        <v>1776</v>
      </c>
      <c r="D156" t="s">
        <v>13</v>
      </c>
      <c r="E156">
        <v>4997</v>
      </c>
      <c r="F156" t="str">
        <f>HYPERLINK("https://www.google.com/maps/search/?api=1&amp;query=24.61477434,46.70980659", "View Map")</f>
        <v>View Map</v>
      </c>
    </row>
    <row r="157" spans="1:6" x14ac:dyDescent="0.35">
      <c r="A157" t="s">
        <v>1997</v>
      </c>
      <c r="B157" t="s">
        <v>2050</v>
      </c>
      <c r="C157" t="s">
        <v>1843</v>
      </c>
      <c r="D157" t="s">
        <v>13</v>
      </c>
      <c r="E157">
        <v>4992</v>
      </c>
      <c r="F157" t="str">
        <f>HYPERLINK("https://www.google.com/maps/search/?api=1&amp;query=24.73795,46.57921", "View Map")</f>
        <v>View Map</v>
      </c>
    </row>
    <row r="158" spans="1:6" x14ac:dyDescent="0.35">
      <c r="A158" t="s">
        <v>2051</v>
      </c>
      <c r="B158" t="s">
        <v>2052</v>
      </c>
      <c r="C158" t="s">
        <v>1776</v>
      </c>
      <c r="D158" t="s">
        <v>13</v>
      </c>
      <c r="E158">
        <v>4975</v>
      </c>
      <c r="F158" t="str">
        <f>HYPERLINK("https://www.google.com/maps/search/?api=1&amp;query=24.71415605,46.78377465", "View Map")</f>
        <v>View Map</v>
      </c>
    </row>
    <row r="159" spans="1:6" x14ac:dyDescent="0.35">
      <c r="A159" t="s">
        <v>2053</v>
      </c>
      <c r="B159" t="s">
        <v>2054</v>
      </c>
      <c r="C159" t="s">
        <v>1776</v>
      </c>
      <c r="D159" t="s">
        <v>13</v>
      </c>
      <c r="E159">
        <v>4963</v>
      </c>
      <c r="F159" t="str">
        <f>HYPERLINK("https://www.google.com/maps/search/?api=1&amp;query=24.73271,46.65093", "View Map")</f>
        <v>View Map</v>
      </c>
    </row>
    <row r="160" spans="1:6" x14ac:dyDescent="0.35">
      <c r="A160" t="s">
        <v>1798</v>
      </c>
      <c r="B160" t="s">
        <v>2055</v>
      </c>
      <c r="C160" t="s">
        <v>1776</v>
      </c>
      <c r="D160" t="s">
        <v>13</v>
      </c>
      <c r="E160">
        <v>4933</v>
      </c>
      <c r="F160" t="str">
        <f>HYPERLINK("https://www.google.com/maps/search/?api=1&amp;query=24.89540143,46.61677811", "View Map")</f>
        <v>View Map</v>
      </c>
    </row>
    <row r="161" spans="1:6" x14ac:dyDescent="0.35">
      <c r="A161" t="s">
        <v>2056</v>
      </c>
      <c r="B161" t="s">
        <v>2057</v>
      </c>
      <c r="C161" t="s">
        <v>1776</v>
      </c>
      <c r="D161" t="s">
        <v>13</v>
      </c>
      <c r="E161">
        <v>4930</v>
      </c>
      <c r="F161" t="str">
        <f>HYPERLINK("https://www.google.com/maps/search/?api=1&amp;query=24.8078,46.6183", "View Map")</f>
        <v>View Map</v>
      </c>
    </row>
    <row r="162" spans="1:6" x14ac:dyDescent="0.35">
      <c r="A162" t="s">
        <v>1947</v>
      </c>
      <c r="B162" t="s">
        <v>2058</v>
      </c>
      <c r="C162" t="s">
        <v>1776</v>
      </c>
      <c r="D162" t="s">
        <v>13</v>
      </c>
      <c r="E162">
        <v>4915</v>
      </c>
      <c r="F162" t="str">
        <f>HYPERLINK("https://www.google.com/maps/search/?api=1&amp;query=24.6069,46.625", "View Map")</f>
        <v>View Map</v>
      </c>
    </row>
    <row r="163" spans="1:6" x14ac:dyDescent="0.35">
      <c r="A163" t="s">
        <v>2059</v>
      </c>
      <c r="B163" t="s">
        <v>2060</v>
      </c>
      <c r="C163" t="s">
        <v>1776</v>
      </c>
      <c r="D163" t="s">
        <v>13</v>
      </c>
      <c r="E163">
        <v>4889</v>
      </c>
      <c r="F163" t="str">
        <f>HYPERLINK("https://www.google.com/maps/search/?api=1&amp;query=24.67259,46.71596", "View Map")</f>
        <v>View Map</v>
      </c>
    </row>
    <row r="164" spans="1:6" x14ac:dyDescent="0.35">
      <c r="A164" t="s">
        <v>2061</v>
      </c>
      <c r="B164" t="s">
        <v>2062</v>
      </c>
      <c r="C164" t="s">
        <v>1776</v>
      </c>
      <c r="D164" t="s">
        <v>13</v>
      </c>
      <c r="E164">
        <v>4883</v>
      </c>
      <c r="F164" t="str">
        <f>HYPERLINK("https://www.google.com/maps/search/?api=1&amp;query=24.81133093,46.61878903", "View Map")</f>
        <v>View Map</v>
      </c>
    </row>
    <row r="165" spans="1:6" x14ac:dyDescent="0.35">
      <c r="A165" t="s">
        <v>2063</v>
      </c>
      <c r="B165" t="s">
        <v>2064</v>
      </c>
      <c r="C165" t="s">
        <v>1776</v>
      </c>
      <c r="D165" t="s">
        <v>13</v>
      </c>
      <c r="E165">
        <v>4881</v>
      </c>
      <c r="F165" t="str">
        <f>HYPERLINK("https://www.google.com/maps/search/?api=1&amp;query=24.6908,46.6269", "View Map")</f>
        <v>View Map</v>
      </c>
    </row>
    <row r="166" spans="1:6" x14ac:dyDescent="0.35">
      <c r="A166" t="s">
        <v>2065</v>
      </c>
      <c r="B166" t="s">
        <v>2066</v>
      </c>
      <c r="C166" t="s">
        <v>1776</v>
      </c>
      <c r="D166" t="s">
        <v>13</v>
      </c>
      <c r="E166">
        <v>4859</v>
      </c>
      <c r="F166" t="str">
        <f>HYPERLINK("https://www.google.com/maps/search/?api=1&amp;query=24.67088702,46.74360874", "View Map")</f>
        <v>View Map</v>
      </c>
    </row>
    <row r="167" spans="1:6" x14ac:dyDescent="0.35">
      <c r="A167" t="s">
        <v>2067</v>
      </c>
      <c r="B167" t="s">
        <v>2068</v>
      </c>
      <c r="C167" t="s">
        <v>1776</v>
      </c>
      <c r="D167" t="s">
        <v>13</v>
      </c>
      <c r="E167">
        <v>4853</v>
      </c>
      <c r="F167" t="str">
        <f>HYPERLINK("https://www.google.com/maps/search/?api=1&amp;query=24.5919537,46.7471375", "View Map")</f>
        <v>View Map</v>
      </c>
    </row>
    <row r="168" spans="1:6" x14ac:dyDescent="0.35">
      <c r="A168" t="s">
        <v>1806</v>
      </c>
      <c r="B168" t="s">
        <v>2069</v>
      </c>
      <c r="C168" t="s">
        <v>1776</v>
      </c>
      <c r="D168" t="s">
        <v>13</v>
      </c>
      <c r="E168">
        <v>4834</v>
      </c>
      <c r="F168" t="str">
        <f>HYPERLINK("https://www.google.com/maps/search/?api=1&amp;query=24.78065677,46.58766811", "View Map")</f>
        <v>View Map</v>
      </c>
    </row>
    <row r="169" spans="1:6" x14ac:dyDescent="0.35">
      <c r="A169" t="s">
        <v>2070</v>
      </c>
      <c r="B169" t="s">
        <v>2071</v>
      </c>
      <c r="C169" t="s">
        <v>1776</v>
      </c>
      <c r="D169" t="s">
        <v>13</v>
      </c>
      <c r="E169">
        <v>4834</v>
      </c>
      <c r="F169" t="str">
        <f>HYPERLINK("https://www.google.com/maps/search/?api=1&amp;query=24.62418346,46.74383133", "View Map")</f>
        <v>View Map</v>
      </c>
    </row>
    <row r="170" spans="1:6" x14ac:dyDescent="0.35">
      <c r="A170" t="s">
        <v>1947</v>
      </c>
      <c r="B170" t="s">
        <v>2072</v>
      </c>
      <c r="C170" t="s">
        <v>1776</v>
      </c>
      <c r="D170" t="s">
        <v>13</v>
      </c>
      <c r="E170">
        <v>4819</v>
      </c>
      <c r="F170" t="str">
        <f>HYPERLINK("https://www.google.com/maps/search/?api=1&amp;query=24.57398396,46.63571953", "View Map")</f>
        <v>View Map</v>
      </c>
    </row>
    <row r="171" spans="1:6" x14ac:dyDescent="0.35">
      <c r="A171" t="s">
        <v>1798</v>
      </c>
      <c r="B171" t="s">
        <v>2073</v>
      </c>
      <c r="C171" t="s">
        <v>1776</v>
      </c>
      <c r="D171" t="s">
        <v>13</v>
      </c>
      <c r="E171">
        <v>4801</v>
      </c>
      <c r="F171" t="str">
        <f>HYPERLINK("https://www.google.com/maps/search/?api=1&amp;query=24.81243589,46.82744311", "View Map")</f>
        <v>View Map</v>
      </c>
    </row>
    <row r="172" spans="1:6" x14ac:dyDescent="0.35">
      <c r="A172" t="s">
        <v>2074</v>
      </c>
      <c r="B172" t="s">
        <v>2075</v>
      </c>
      <c r="C172" t="s">
        <v>1776</v>
      </c>
      <c r="D172" t="s">
        <v>13</v>
      </c>
      <c r="E172">
        <v>4793</v>
      </c>
      <c r="F172" t="str">
        <f>HYPERLINK("https://www.google.com/maps/search/?api=1&amp;query=24.68620666,46.58833388", "View Map")</f>
        <v>View Map</v>
      </c>
    </row>
    <row r="173" spans="1:6" x14ac:dyDescent="0.35">
      <c r="A173" t="s">
        <v>1798</v>
      </c>
      <c r="B173" t="s">
        <v>2076</v>
      </c>
      <c r="C173" t="s">
        <v>1776</v>
      </c>
      <c r="D173" t="s">
        <v>13</v>
      </c>
      <c r="E173">
        <v>4768</v>
      </c>
      <c r="F173" t="str">
        <f>HYPERLINK("https://www.google.com/maps/search/?api=1&amp;query=24.83051913,46.57855565", "View Map")</f>
        <v>View Map</v>
      </c>
    </row>
    <row r="174" spans="1:6" x14ac:dyDescent="0.35">
      <c r="A174" t="s">
        <v>1794</v>
      </c>
      <c r="B174" t="s">
        <v>2077</v>
      </c>
      <c r="C174" t="s">
        <v>1776</v>
      </c>
      <c r="D174" t="s">
        <v>13</v>
      </c>
      <c r="E174">
        <v>4755</v>
      </c>
      <c r="F174" t="str">
        <f>HYPERLINK("https://www.google.com/maps/search/?api=1&amp;query=24.78503888,46.67786923", "View Map")</f>
        <v>View Map</v>
      </c>
    </row>
    <row r="175" spans="1:6" x14ac:dyDescent="0.35">
      <c r="A175" t="s">
        <v>2078</v>
      </c>
      <c r="B175" t="s">
        <v>2079</v>
      </c>
      <c r="C175" t="s">
        <v>1843</v>
      </c>
      <c r="D175" t="s">
        <v>13</v>
      </c>
      <c r="E175">
        <v>4754</v>
      </c>
      <c r="F175" t="str">
        <f>HYPERLINK("https://www.google.com/maps/search/?api=1&amp;query=24.74555352,46.574474", "View Map")</f>
        <v>View Map</v>
      </c>
    </row>
    <row r="176" spans="1:6" x14ac:dyDescent="0.35">
      <c r="A176" t="s">
        <v>2080</v>
      </c>
      <c r="B176" t="s">
        <v>2081</v>
      </c>
      <c r="C176" t="s">
        <v>1776</v>
      </c>
      <c r="D176" t="s">
        <v>13</v>
      </c>
      <c r="E176">
        <v>4744</v>
      </c>
      <c r="F176" t="str">
        <f>HYPERLINK("https://www.google.com/maps/search/?api=1&amp;query=24.57351722,46.6148052", "View Map")</f>
        <v>View Map</v>
      </c>
    </row>
    <row r="177" spans="1:6" x14ac:dyDescent="0.35">
      <c r="A177" t="s">
        <v>2082</v>
      </c>
      <c r="B177" t="s">
        <v>2083</v>
      </c>
      <c r="C177" t="s">
        <v>1776</v>
      </c>
      <c r="D177" t="s">
        <v>13</v>
      </c>
      <c r="E177">
        <v>4741</v>
      </c>
      <c r="F177" t="str">
        <f>HYPERLINK("https://www.google.com/maps/search/?api=1&amp;query=24.58041158,46.67659749", "View Map")</f>
        <v>View Map</v>
      </c>
    </row>
    <row r="178" spans="1:6" x14ac:dyDescent="0.35">
      <c r="A178" t="s">
        <v>2084</v>
      </c>
      <c r="B178" t="s">
        <v>2085</v>
      </c>
      <c r="C178" t="s">
        <v>1776</v>
      </c>
      <c r="D178" t="s">
        <v>13</v>
      </c>
      <c r="E178">
        <v>4737</v>
      </c>
      <c r="F178" t="str">
        <f>HYPERLINK("https://www.google.com/maps/search/?api=1&amp;query=24.59613063,46.71067492", "View Map")</f>
        <v>View Map</v>
      </c>
    </row>
    <row r="179" spans="1:6" x14ac:dyDescent="0.35">
      <c r="A179" t="s">
        <v>1798</v>
      </c>
      <c r="B179" t="s">
        <v>2086</v>
      </c>
      <c r="C179" t="s">
        <v>1776</v>
      </c>
      <c r="D179" t="s">
        <v>13</v>
      </c>
      <c r="E179">
        <v>4698</v>
      </c>
      <c r="F179" t="str">
        <f>HYPERLINK("https://www.google.com/maps/search/?api=1&amp;query=24.84062294,46.88054074", "View Map")</f>
        <v>View Map</v>
      </c>
    </row>
    <row r="180" spans="1:6" x14ac:dyDescent="0.35">
      <c r="A180" t="s">
        <v>2087</v>
      </c>
      <c r="B180" t="s">
        <v>2088</v>
      </c>
      <c r="C180" t="s">
        <v>1776</v>
      </c>
      <c r="D180" t="s">
        <v>13</v>
      </c>
      <c r="E180">
        <v>4696</v>
      </c>
      <c r="F180" t="str">
        <f>HYPERLINK("https://www.google.com/maps/search/?api=1&amp;query=24.7675,46.5931", "View Map")</f>
        <v>View Map</v>
      </c>
    </row>
    <row r="181" spans="1:6" x14ac:dyDescent="0.35">
      <c r="A181" t="s">
        <v>1794</v>
      </c>
      <c r="B181" t="s">
        <v>2089</v>
      </c>
      <c r="C181" t="s">
        <v>1776</v>
      </c>
      <c r="D181" t="s">
        <v>13</v>
      </c>
      <c r="E181">
        <v>4657</v>
      </c>
      <c r="F181" t="str">
        <f>HYPERLINK("https://www.google.com/maps/search/?api=1&amp;query=24.68734844,46.56685804", "View Map")</f>
        <v>View Map</v>
      </c>
    </row>
    <row r="182" spans="1:6" x14ac:dyDescent="0.35">
      <c r="A182" t="s">
        <v>1806</v>
      </c>
      <c r="B182" t="s">
        <v>2090</v>
      </c>
      <c r="C182" t="s">
        <v>1776</v>
      </c>
      <c r="D182" t="s">
        <v>13</v>
      </c>
      <c r="E182">
        <v>4618</v>
      </c>
      <c r="F182" t="str">
        <f>HYPERLINK("https://www.google.com/maps/search/?api=1&amp;query=24.81083538,46.7401432", "View Map")</f>
        <v>View Map</v>
      </c>
    </row>
    <row r="183" spans="1:6" x14ac:dyDescent="0.35">
      <c r="A183" t="s">
        <v>2091</v>
      </c>
      <c r="B183" t="s">
        <v>2092</v>
      </c>
      <c r="C183" t="s">
        <v>1776</v>
      </c>
      <c r="D183" t="s">
        <v>13</v>
      </c>
      <c r="E183">
        <v>4600</v>
      </c>
      <c r="F183" t="str">
        <f>HYPERLINK("https://www.google.com/maps/search/?api=1&amp;query=24.70921421,46.76989273", "View Map")</f>
        <v>View Map</v>
      </c>
    </row>
    <row r="184" spans="1:6" x14ac:dyDescent="0.35">
      <c r="A184" t="s">
        <v>2093</v>
      </c>
      <c r="B184" t="s">
        <v>2094</v>
      </c>
      <c r="C184" t="s">
        <v>1776</v>
      </c>
      <c r="D184" t="s">
        <v>13</v>
      </c>
      <c r="E184">
        <v>4544</v>
      </c>
      <c r="F184" t="str">
        <f>HYPERLINK("https://www.google.com/maps/search/?api=1&amp;query=24.8157958,46.79362523", "View Map")</f>
        <v>View Map</v>
      </c>
    </row>
    <row r="185" spans="1:6" x14ac:dyDescent="0.35">
      <c r="A185" t="s">
        <v>2095</v>
      </c>
      <c r="B185" t="s">
        <v>2096</v>
      </c>
      <c r="C185" t="s">
        <v>1776</v>
      </c>
      <c r="D185" t="s">
        <v>13</v>
      </c>
      <c r="E185">
        <v>4541</v>
      </c>
      <c r="F185" t="str">
        <f>HYPERLINK("https://www.google.com/maps/search/?api=1&amp;query=24.82195567,46.77697875", "View Map")</f>
        <v>View Map</v>
      </c>
    </row>
    <row r="186" spans="1:6" x14ac:dyDescent="0.35">
      <c r="A186" t="s">
        <v>2097</v>
      </c>
      <c r="B186" t="s">
        <v>2098</v>
      </c>
      <c r="C186" t="s">
        <v>1776</v>
      </c>
      <c r="D186" t="s">
        <v>13</v>
      </c>
      <c r="E186">
        <v>4530</v>
      </c>
      <c r="F186" t="str">
        <f>HYPERLINK("https://www.google.com/maps/search/?api=1&amp;query=24.81032301,46.61099192", "View Map")</f>
        <v>View Map</v>
      </c>
    </row>
    <row r="187" spans="1:6" x14ac:dyDescent="0.35">
      <c r="A187" t="s">
        <v>2099</v>
      </c>
      <c r="B187" t="s">
        <v>2100</v>
      </c>
      <c r="C187" t="s">
        <v>1776</v>
      </c>
      <c r="D187" t="s">
        <v>13</v>
      </c>
      <c r="E187">
        <v>4522</v>
      </c>
      <c r="F187" t="str">
        <f>HYPERLINK("https://www.google.com/maps/search/?api=1&amp;query=24.75026011,46.67943946", "View Map")</f>
        <v>View Map</v>
      </c>
    </row>
    <row r="188" spans="1:6" x14ac:dyDescent="0.35">
      <c r="A188" t="s">
        <v>2101</v>
      </c>
      <c r="B188" t="s">
        <v>2102</v>
      </c>
      <c r="C188" t="s">
        <v>1776</v>
      </c>
      <c r="D188" t="s">
        <v>13</v>
      </c>
      <c r="E188">
        <v>4513</v>
      </c>
      <c r="F188" t="str">
        <f>HYPERLINK("https://www.google.com/maps/search/?api=1&amp;query=24.77070675,46.71048516", "View Map")</f>
        <v>View Map</v>
      </c>
    </row>
    <row r="189" spans="1:6" x14ac:dyDescent="0.35">
      <c r="A189" t="s">
        <v>1806</v>
      </c>
      <c r="B189" t="s">
        <v>2103</v>
      </c>
      <c r="C189" t="s">
        <v>1776</v>
      </c>
      <c r="D189" t="s">
        <v>13</v>
      </c>
      <c r="E189">
        <v>4512</v>
      </c>
      <c r="F189" t="str">
        <f>HYPERLINK("https://www.google.com/maps/search/?api=1&amp;query=24.81078765,46.74026016", "View Map")</f>
        <v>View Map</v>
      </c>
    </row>
    <row r="190" spans="1:6" x14ac:dyDescent="0.35">
      <c r="A190" t="s">
        <v>1798</v>
      </c>
      <c r="B190" t="s">
        <v>2104</v>
      </c>
      <c r="C190" t="s">
        <v>1776</v>
      </c>
      <c r="D190" t="s">
        <v>13</v>
      </c>
      <c r="E190">
        <v>4480</v>
      </c>
      <c r="F190" t="str">
        <f>HYPERLINK("https://www.google.com/maps/search/?api=1&amp;query=24.74721,46.84946", "View Map")</f>
        <v>View Map</v>
      </c>
    </row>
    <row r="191" spans="1:6" x14ac:dyDescent="0.35">
      <c r="A191" t="s">
        <v>2105</v>
      </c>
      <c r="B191" t="s">
        <v>2106</v>
      </c>
      <c r="C191" t="s">
        <v>1776</v>
      </c>
      <c r="D191" t="s">
        <v>13</v>
      </c>
      <c r="E191">
        <v>4471</v>
      </c>
      <c r="F191" t="str">
        <f>HYPERLINK("https://www.google.com/maps/search/?api=1&amp;query=24.81224366,46.66457489", "View Map")</f>
        <v>View Map</v>
      </c>
    </row>
    <row r="192" spans="1:6" x14ac:dyDescent="0.35">
      <c r="A192" t="s">
        <v>2107</v>
      </c>
      <c r="B192" t="s">
        <v>2108</v>
      </c>
      <c r="C192" t="s">
        <v>1776</v>
      </c>
      <c r="D192" t="s">
        <v>13</v>
      </c>
      <c r="E192">
        <v>4408</v>
      </c>
      <c r="F192" t="str">
        <f>HYPERLINK("https://www.google.com/maps/search/?api=1&amp;query=24.69664673,46.81679054", "View Map")</f>
        <v>View Map</v>
      </c>
    </row>
    <row r="193" spans="1:6" x14ac:dyDescent="0.35">
      <c r="A193" t="s">
        <v>2109</v>
      </c>
      <c r="B193" t="s">
        <v>2110</v>
      </c>
      <c r="C193" t="s">
        <v>1776</v>
      </c>
      <c r="D193" t="s">
        <v>13</v>
      </c>
      <c r="E193">
        <v>4408</v>
      </c>
      <c r="F193" t="str">
        <f>HYPERLINK("https://www.google.com/maps/search/?api=1&amp;query=24.7549957,46.72114823", "View Map")</f>
        <v>View Map</v>
      </c>
    </row>
    <row r="194" spans="1:6" x14ac:dyDescent="0.35">
      <c r="A194" t="s">
        <v>2111</v>
      </c>
      <c r="B194" t="s">
        <v>2112</v>
      </c>
      <c r="C194" t="s">
        <v>1776</v>
      </c>
      <c r="D194" t="s">
        <v>13</v>
      </c>
      <c r="E194">
        <v>4405</v>
      </c>
      <c r="F194" t="str">
        <f>HYPERLINK("https://www.google.com/maps/search/?api=1&amp;query=24.74499644,46.71869362", "View Map")</f>
        <v>View Map</v>
      </c>
    </row>
    <row r="195" spans="1:6" x14ac:dyDescent="0.35">
      <c r="A195" t="s">
        <v>1794</v>
      </c>
      <c r="B195" t="s">
        <v>2113</v>
      </c>
      <c r="C195" t="s">
        <v>1776</v>
      </c>
      <c r="D195" t="s">
        <v>13</v>
      </c>
      <c r="E195">
        <v>4387</v>
      </c>
      <c r="F195" t="str">
        <f>HYPERLINK("https://www.google.com/maps/search/?api=1&amp;query=24.63540454,46.55433271", "View Map")</f>
        <v>View Map</v>
      </c>
    </row>
    <row r="196" spans="1:6" x14ac:dyDescent="0.35">
      <c r="A196" t="s">
        <v>2114</v>
      </c>
      <c r="B196" t="s">
        <v>2115</v>
      </c>
      <c r="C196" t="s">
        <v>1776</v>
      </c>
      <c r="D196" t="s">
        <v>13</v>
      </c>
      <c r="E196">
        <v>4383</v>
      </c>
      <c r="F196" t="str">
        <f>HYPERLINK("https://www.google.com/maps/search/?api=1&amp;query=24.82202884,46.62588032", "View Map")</f>
        <v>View Map</v>
      </c>
    </row>
    <row r="197" spans="1:6" x14ac:dyDescent="0.35">
      <c r="A197" t="s">
        <v>2116</v>
      </c>
      <c r="B197" t="s">
        <v>2117</v>
      </c>
      <c r="C197" t="s">
        <v>1776</v>
      </c>
      <c r="D197" t="s">
        <v>13</v>
      </c>
      <c r="E197">
        <v>4364</v>
      </c>
      <c r="F197" t="str">
        <f>HYPERLINK("https://www.google.com/maps/search/?api=1&amp;query=24.65996461,46.74198876", "View Map")</f>
        <v>View Map</v>
      </c>
    </row>
    <row r="198" spans="1:6" x14ac:dyDescent="0.35">
      <c r="A198" t="s">
        <v>1798</v>
      </c>
      <c r="B198" t="s">
        <v>2118</v>
      </c>
      <c r="C198" t="s">
        <v>1776</v>
      </c>
      <c r="D198" t="s">
        <v>13</v>
      </c>
      <c r="E198">
        <v>4337</v>
      </c>
      <c r="F198" t="str">
        <f>HYPERLINK("https://www.google.com/maps/search/?api=1&amp;query=24.84802253,46.78672859", "View Map")</f>
        <v>View Map</v>
      </c>
    </row>
    <row r="199" spans="1:6" x14ac:dyDescent="0.35">
      <c r="A199" t="s">
        <v>2119</v>
      </c>
      <c r="B199" t="s">
        <v>2120</v>
      </c>
      <c r="C199" t="s">
        <v>1776</v>
      </c>
      <c r="D199" t="s">
        <v>13</v>
      </c>
      <c r="E199">
        <v>4333</v>
      </c>
      <c r="F199" t="str">
        <f>HYPERLINK("https://www.google.com/maps/search/?api=1&amp;query=24.6585166,46.80513643", "View Map")</f>
        <v>View Map</v>
      </c>
    </row>
    <row r="200" spans="1:6" x14ac:dyDescent="0.35">
      <c r="A200" t="s">
        <v>2121</v>
      </c>
      <c r="B200" t="s">
        <v>2122</v>
      </c>
      <c r="C200" t="s">
        <v>1776</v>
      </c>
      <c r="D200" t="s">
        <v>13</v>
      </c>
      <c r="E200">
        <v>4324</v>
      </c>
      <c r="F200" t="str">
        <f>HYPERLINK("https://www.google.com/maps/search/?api=1&amp;query=24.79318363,46.69914311", "View Map")</f>
        <v>View Map</v>
      </c>
    </row>
    <row r="201" spans="1:6" x14ac:dyDescent="0.35">
      <c r="A201" t="s">
        <v>1798</v>
      </c>
      <c r="B201" t="s">
        <v>2123</v>
      </c>
      <c r="C201" t="s">
        <v>1776</v>
      </c>
      <c r="D201" t="s">
        <v>13</v>
      </c>
      <c r="E201">
        <v>4286</v>
      </c>
      <c r="F201" t="str">
        <f>HYPERLINK("https://www.google.com/maps/search/?api=1&amp;query=24.70896007,46.68531757", "View Map")</f>
        <v>View Map</v>
      </c>
    </row>
    <row r="202" spans="1:6" x14ac:dyDescent="0.35">
      <c r="A202" t="s">
        <v>2124</v>
      </c>
      <c r="B202" t="s">
        <v>2125</v>
      </c>
      <c r="C202" t="s">
        <v>1776</v>
      </c>
      <c r="D202" t="s">
        <v>13</v>
      </c>
      <c r="E202">
        <v>4281</v>
      </c>
      <c r="F202" t="str">
        <f>HYPERLINK("https://www.google.com/maps/search/?api=1&amp;query=24.79887,46.74665", "View Map")</f>
        <v>View Map</v>
      </c>
    </row>
    <row r="203" spans="1:6" x14ac:dyDescent="0.35">
      <c r="A203" t="s">
        <v>2126</v>
      </c>
      <c r="B203" t="s">
        <v>2127</v>
      </c>
      <c r="C203" t="s">
        <v>1776</v>
      </c>
      <c r="D203" t="s">
        <v>13</v>
      </c>
      <c r="E203">
        <v>4276</v>
      </c>
      <c r="F203" t="str">
        <f>HYPERLINK("https://www.google.com/maps/search/?api=1&amp;query=24.72058456,46.65218849", "View Map")</f>
        <v>View Map</v>
      </c>
    </row>
    <row r="204" spans="1:6" x14ac:dyDescent="0.35">
      <c r="A204" t="s">
        <v>2128</v>
      </c>
      <c r="B204" t="s">
        <v>2129</v>
      </c>
      <c r="C204" t="s">
        <v>1776</v>
      </c>
      <c r="D204" t="s">
        <v>13</v>
      </c>
      <c r="E204">
        <v>4232</v>
      </c>
      <c r="F204" t="str">
        <f>HYPERLINK("https://www.google.com/maps/search/?api=1&amp;query=24.68868255,46.84266039", "View Map")</f>
        <v>View Map</v>
      </c>
    </row>
    <row r="205" spans="1:6" x14ac:dyDescent="0.35">
      <c r="A205" t="s">
        <v>2130</v>
      </c>
      <c r="B205" t="s">
        <v>2131</v>
      </c>
      <c r="C205" t="s">
        <v>1776</v>
      </c>
      <c r="D205" t="s">
        <v>13</v>
      </c>
      <c r="E205">
        <v>4231</v>
      </c>
      <c r="F205" t="str">
        <f>HYPERLINK("https://www.google.com/maps/search/?api=1&amp;query=24.82106777,46.63710869", "View Map")</f>
        <v>View Map</v>
      </c>
    </row>
    <row r="206" spans="1:6" x14ac:dyDescent="0.35">
      <c r="A206" t="s">
        <v>2132</v>
      </c>
      <c r="B206" t="s">
        <v>2133</v>
      </c>
      <c r="C206" t="s">
        <v>1776</v>
      </c>
      <c r="D206" t="s">
        <v>13</v>
      </c>
      <c r="E206">
        <v>4231</v>
      </c>
      <c r="F206" t="str">
        <f>HYPERLINK("https://www.google.com/maps/search/?api=1&amp;query=24.66517893,46.87975884", "View Map")</f>
        <v>View Map</v>
      </c>
    </row>
    <row r="207" spans="1:6" x14ac:dyDescent="0.35">
      <c r="A207" t="s">
        <v>2134</v>
      </c>
      <c r="B207" t="s">
        <v>2135</v>
      </c>
      <c r="C207" t="s">
        <v>1776</v>
      </c>
      <c r="D207" t="s">
        <v>13</v>
      </c>
      <c r="E207">
        <v>4219</v>
      </c>
      <c r="F207" t="str">
        <f>HYPERLINK("https://www.google.com/maps/search/?api=1&amp;query=24.72321569,46.68044048", "View Map")</f>
        <v>View Map</v>
      </c>
    </row>
    <row r="208" spans="1:6" x14ac:dyDescent="0.35">
      <c r="A208" t="s">
        <v>1798</v>
      </c>
      <c r="B208" t="s">
        <v>2136</v>
      </c>
      <c r="C208" t="s">
        <v>1776</v>
      </c>
      <c r="D208" t="s">
        <v>13</v>
      </c>
      <c r="E208">
        <v>4217</v>
      </c>
      <c r="F208" t="str">
        <f>HYPERLINK("https://www.google.com/maps/search/?api=1&amp;query=24.81908134,46.6605319", "View Map")</f>
        <v>View Map</v>
      </c>
    </row>
    <row r="209" spans="1:6" x14ac:dyDescent="0.35">
      <c r="A209" t="s">
        <v>1947</v>
      </c>
      <c r="B209" t="s">
        <v>2137</v>
      </c>
      <c r="C209" t="s">
        <v>1776</v>
      </c>
      <c r="D209" t="s">
        <v>13</v>
      </c>
      <c r="E209">
        <v>4210</v>
      </c>
      <c r="F209" t="str">
        <f>HYPERLINK("https://www.google.com/maps/search/?api=1&amp;query=24.55203435,46.54888884", "View Map")</f>
        <v>View Map</v>
      </c>
    </row>
    <row r="210" spans="1:6" x14ac:dyDescent="0.35">
      <c r="A210" t="s">
        <v>1947</v>
      </c>
      <c r="B210" t="s">
        <v>2138</v>
      </c>
      <c r="C210" t="s">
        <v>1776</v>
      </c>
      <c r="D210" t="s">
        <v>13</v>
      </c>
      <c r="E210">
        <v>4200</v>
      </c>
      <c r="F210" t="str">
        <f>HYPERLINK("https://www.google.com/maps/search/?api=1&amp;query=24.52771284,46.6906314", "View Map")</f>
        <v>View Map</v>
      </c>
    </row>
    <row r="211" spans="1:6" x14ac:dyDescent="0.35">
      <c r="A211" t="s">
        <v>2139</v>
      </c>
      <c r="B211" t="s">
        <v>2140</v>
      </c>
      <c r="C211" t="s">
        <v>1776</v>
      </c>
      <c r="D211" t="s">
        <v>9</v>
      </c>
      <c r="E211">
        <v>4122</v>
      </c>
      <c r="F211" t="str">
        <f>HYPERLINK("https://www.google.com/maps/search/?api=1&amp;query=24.707473,46.696697", "View Map")</f>
        <v>View Map</v>
      </c>
    </row>
    <row r="212" spans="1:6" x14ac:dyDescent="0.35">
      <c r="A212" t="s">
        <v>2141</v>
      </c>
      <c r="B212" t="s">
        <v>2142</v>
      </c>
      <c r="C212" t="s">
        <v>1776</v>
      </c>
      <c r="D212" t="s">
        <v>13</v>
      </c>
      <c r="E212">
        <v>4077</v>
      </c>
      <c r="F212" t="str">
        <f>HYPERLINK("https://www.google.com/maps/search/?api=1&amp;query=24.67626846,46.81616517", "View Map")</f>
        <v>View Map</v>
      </c>
    </row>
    <row r="213" spans="1:6" x14ac:dyDescent="0.35">
      <c r="A213" t="s">
        <v>1798</v>
      </c>
      <c r="B213" t="s">
        <v>2143</v>
      </c>
      <c r="C213" t="s">
        <v>1776</v>
      </c>
      <c r="D213" t="s">
        <v>13</v>
      </c>
      <c r="E213">
        <v>4033</v>
      </c>
      <c r="F213" t="str">
        <f>HYPERLINK("https://www.google.com/maps/search/?api=1&amp;query=24.75067195,46.75744096", "View Map")</f>
        <v>View Map</v>
      </c>
    </row>
    <row r="214" spans="1:6" x14ac:dyDescent="0.35">
      <c r="A214" t="s">
        <v>2144</v>
      </c>
      <c r="B214" t="s">
        <v>2145</v>
      </c>
      <c r="C214" t="s">
        <v>1776</v>
      </c>
      <c r="D214" t="s">
        <v>13</v>
      </c>
      <c r="E214">
        <v>4032</v>
      </c>
      <c r="F214" t="str">
        <f>HYPERLINK("https://www.google.com/maps/search/?api=1&amp;query=24.76978328,46.78655468", "View Map")</f>
        <v>View Map</v>
      </c>
    </row>
    <row r="215" spans="1:6" x14ac:dyDescent="0.35">
      <c r="A215" t="s">
        <v>1806</v>
      </c>
      <c r="B215" t="s">
        <v>2146</v>
      </c>
      <c r="C215" t="s">
        <v>1776</v>
      </c>
      <c r="D215" t="s">
        <v>13</v>
      </c>
      <c r="E215">
        <v>4010</v>
      </c>
      <c r="F215" t="str">
        <f>HYPERLINK("https://www.google.com/maps/search/?api=1&amp;query=24.8132771,46.73512109", "View Map")</f>
        <v>View Map</v>
      </c>
    </row>
    <row r="216" spans="1:6" x14ac:dyDescent="0.35">
      <c r="A216" t="s">
        <v>2147</v>
      </c>
      <c r="B216" t="s">
        <v>2148</v>
      </c>
      <c r="C216" t="s">
        <v>1776</v>
      </c>
      <c r="D216" t="s">
        <v>13</v>
      </c>
      <c r="E216">
        <v>4009</v>
      </c>
      <c r="F216" t="str">
        <f>HYPERLINK("https://www.google.com/maps/search/?api=1&amp;query=24.7808198,46.80009952", "View Map")</f>
        <v>View Map</v>
      </c>
    </row>
    <row r="217" spans="1:6" x14ac:dyDescent="0.35">
      <c r="A217" t="s">
        <v>2149</v>
      </c>
      <c r="B217" t="s">
        <v>2150</v>
      </c>
      <c r="C217" t="s">
        <v>1776</v>
      </c>
      <c r="D217" t="s">
        <v>13</v>
      </c>
      <c r="E217">
        <v>4004</v>
      </c>
      <c r="F217" t="str">
        <f>HYPERLINK("https://www.google.com/maps/search/?api=1&amp;query=24.73141341,46.81933181", "View Map")</f>
        <v>View Map</v>
      </c>
    </row>
    <row r="218" spans="1:6" x14ac:dyDescent="0.35">
      <c r="A218" t="s">
        <v>2151</v>
      </c>
      <c r="B218" t="s">
        <v>2152</v>
      </c>
      <c r="C218" t="s">
        <v>1776</v>
      </c>
      <c r="D218" t="s">
        <v>13</v>
      </c>
      <c r="E218">
        <v>3970</v>
      </c>
      <c r="F218" t="str">
        <f>HYPERLINK("https://www.google.com/maps/search/?api=1&amp;query=24.87572,46.58971", "View Map")</f>
        <v>View Map</v>
      </c>
    </row>
    <row r="219" spans="1:6" x14ac:dyDescent="0.35">
      <c r="A219" t="s">
        <v>2153</v>
      </c>
      <c r="B219" t="s">
        <v>2154</v>
      </c>
      <c r="C219" t="s">
        <v>1776</v>
      </c>
      <c r="D219" t="s">
        <v>13</v>
      </c>
      <c r="E219">
        <v>3966</v>
      </c>
      <c r="F219" t="str">
        <f>HYPERLINK("https://www.google.com/maps/search/?api=1&amp;query=24.61438633,46.71976303", "View Map")</f>
        <v>View Map</v>
      </c>
    </row>
    <row r="220" spans="1:6" x14ac:dyDescent="0.35">
      <c r="A220" t="s">
        <v>2155</v>
      </c>
      <c r="B220" t="s">
        <v>2156</v>
      </c>
      <c r="C220" t="s">
        <v>1776</v>
      </c>
      <c r="D220" t="s">
        <v>13</v>
      </c>
      <c r="E220">
        <v>3959</v>
      </c>
      <c r="F220" t="str">
        <f>HYPERLINK("https://www.google.com/maps/search/?api=1&amp;query=24.73232027,46.68662811", "View Map")</f>
        <v>View Map</v>
      </c>
    </row>
    <row r="221" spans="1:6" x14ac:dyDescent="0.35">
      <c r="A221" t="s">
        <v>1798</v>
      </c>
      <c r="B221" t="s">
        <v>2157</v>
      </c>
      <c r="C221" t="s">
        <v>1776</v>
      </c>
      <c r="D221" t="s">
        <v>13</v>
      </c>
      <c r="E221">
        <v>3945</v>
      </c>
      <c r="F221" t="str">
        <f>HYPERLINK("https://www.google.com/maps/search/?api=1&amp;query=24.83797343,46.60331339", "View Map")</f>
        <v>View Map</v>
      </c>
    </row>
    <row r="222" spans="1:6" x14ac:dyDescent="0.35">
      <c r="A222" t="s">
        <v>2063</v>
      </c>
      <c r="B222" t="s">
        <v>2158</v>
      </c>
      <c r="C222" t="s">
        <v>1776</v>
      </c>
      <c r="D222" t="s">
        <v>13</v>
      </c>
      <c r="E222">
        <v>3945</v>
      </c>
      <c r="F222" t="str">
        <f>HYPERLINK("https://www.google.com/maps/search/?api=1&amp;query=24.6807,46.61716", "View Map")</f>
        <v>View Map</v>
      </c>
    </row>
    <row r="223" spans="1:6" x14ac:dyDescent="0.35">
      <c r="A223" t="s">
        <v>1798</v>
      </c>
      <c r="B223" t="s">
        <v>2159</v>
      </c>
      <c r="C223" t="s">
        <v>1776</v>
      </c>
      <c r="D223" t="s">
        <v>13</v>
      </c>
      <c r="E223">
        <v>3945</v>
      </c>
      <c r="F223" t="str">
        <f>HYPERLINK("https://www.google.com/maps/search/?api=1&amp;query=24.84300835,46.7751923", "View Map")</f>
        <v>View Map</v>
      </c>
    </row>
    <row r="224" spans="1:6" x14ac:dyDescent="0.35">
      <c r="A224" t="s">
        <v>2160</v>
      </c>
      <c r="B224" t="s">
        <v>2161</v>
      </c>
      <c r="C224" t="s">
        <v>1776</v>
      </c>
      <c r="D224" t="s">
        <v>13</v>
      </c>
      <c r="E224">
        <v>3942</v>
      </c>
      <c r="F224" t="str">
        <f>HYPERLINK("https://www.google.com/maps/search/?api=1&amp;query=24.76530146,46.62392789", "View Map")</f>
        <v>View Map</v>
      </c>
    </row>
    <row r="225" spans="1:6" x14ac:dyDescent="0.35">
      <c r="A225" t="s">
        <v>2162</v>
      </c>
      <c r="B225" t="s">
        <v>2163</v>
      </c>
      <c r="C225" t="s">
        <v>1776</v>
      </c>
      <c r="D225" t="s">
        <v>13</v>
      </c>
      <c r="E225">
        <v>3928</v>
      </c>
      <c r="F225" t="str">
        <f>HYPERLINK("https://www.google.com/maps/search/?api=1&amp;query=24.64249818,46.70717456", "View Map")</f>
        <v>View Map</v>
      </c>
    </row>
    <row r="226" spans="1:6" x14ac:dyDescent="0.35">
      <c r="A226" t="s">
        <v>2164</v>
      </c>
      <c r="B226" t="s">
        <v>2165</v>
      </c>
      <c r="C226" t="s">
        <v>1776</v>
      </c>
      <c r="D226" t="s">
        <v>13</v>
      </c>
      <c r="E226">
        <v>3926</v>
      </c>
      <c r="F226" t="str">
        <f>HYPERLINK("https://www.google.com/maps/search/?api=1&amp;query=24.78604308,46.76298235", "View Map")</f>
        <v>View Map</v>
      </c>
    </row>
    <row r="227" spans="1:6" x14ac:dyDescent="0.35">
      <c r="A227" t="s">
        <v>1798</v>
      </c>
      <c r="B227" t="s">
        <v>2166</v>
      </c>
      <c r="C227" t="s">
        <v>1776</v>
      </c>
      <c r="D227" t="s">
        <v>13</v>
      </c>
      <c r="E227">
        <v>3920</v>
      </c>
      <c r="F227" t="str">
        <f>HYPERLINK("https://www.google.com/maps/search/?api=1&amp;query=24.81079056,46.74341364", "View Map")</f>
        <v>View Map</v>
      </c>
    </row>
    <row r="228" spans="1:6" x14ac:dyDescent="0.35">
      <c r="A228" t="s">
        <v>2167</v>
      </c>
      <c r="B228" t="s">
        <v>2168</v>
      </c>
      <c r="C228" t="s">
        <v>1776</v>
      </c>
      <c r="D228" t="s">
        <v>13</v>
      </c>
      <c r="E228">
        <v>3907</v>
      </c>
      <c r="F228" t="str">
        <f>HYPERLINK("https://www.google.com/maps/search/?api=1&amp;query=24.79234344,46.78817133", "View Map")</f>
        <v>View Map</v>
      </c>
    </row>
    <row r="229" spans="1:6" x14ac:dyDescent="0.35">
      <c r="A229" t="s">
        <v>1798</v>
      </c>
      <c r="B229" t="s">
        <v>2169</v>
      </c>
      <c r="C229" t="s">
        <v>1776</v>
      </c>
      <c r="D229" t="s">
        <v>13</v>
      </c>
      <c r="E229">
        <v>3905</v>
      </c>
      <c r="F229" t="str">
        <f>HYPERLINK("https://www.google.com/maps/search/?api=1&amp;query=24.92525789,46.82341566", "View Map")</f>
        <v>View Map</v>
      </c>
    </row>
    <row r="230" spans="1:6" x14ac:dyDescent="0.35">
      <c r="A230" t="s">
        <v>2170</v>
      </c>
      <c r="B230" t="s">
        <v>2171</v>
      </c>
      <c r="C230" t="s">
        <v>1776</v>
      </c>
      <c r="D230" t="s">
        <v>13</v>
      </c>
      <c r="E230">
        <v>3896</v>
      </c>
      <c r="F230" t="str">
        <f>HYPERLINK("https://www.google.com/maps/search/?api=1&amp;query=24.59429692,46.77229409", "View Map")</f>
        <v>View Map</v>
      </c>
    </row>
    <row r="231" spans="1:6" x14ac:dyDescent="0.35">
      <c r="A231" t="s">
        <v>2172</v>
      </c>
      <c r="B231" t="s">
        <v>2173</v>
      </c>
      <c r="C231" t="s">
        <v>1776</v>
      </c>
      <c r="D231" t="s">
        <v>13</v>
      </c>
      <c r="E231">
        <v>3889</v>
      </c>
      <c r="F231" t="str">
        <f>HYPERLINK("https://www.google.com/maps/search/?api=1&amp;query=24.74781716,46.70447247", "View Map")</f>
        <v>View Map</v>
      </c>
    </row>
    <row r="232" spans="1:6" x14ac:dyDescent="0.35">
      <c r="A232" t="s">
        <v>2174</v>
      </c>
      <c r="B232" t="s">
        <v>2175</v>
      </c>
      <c r="C232" t="s">
        <v>1776</v>
      </c>
      <c r="D232" t="s">
        <v>13</v>
      </c>
      <c r="E232">
        <v>3865</v>
      </c>
      <c r="F232" t="str">
        <f>HYPERLINK("https://www.google.com/maps/search/?api=1&amp;query=24.791792,46.65668941", "View Map")</f>
        <v>View Map</v>
      </c>
    </row>
    <row r="233" spans="1:6" x14ac:dyDescent="0.35">
      <c r="A233" t="s">
        <v>2176</v>
      </c>
      <c r="B233" t="s">
        <v>2177</v>
      </c>
      <c r="C233" t="s">
        <v>1776</v>
      </c>
      <c r="D233" t="s">
        <v>13</v>
      </c>
      <c r="E233">
        <v>3859</v>
      </c>
      <c r="F233" t="str">
        <f>HYPERLINK("https://www.google.com/maps/search/?api=1&amp;query=24.81351193,46.63982027", "View Map")</f>
        <v>View Map</v>
      </c>
    </row>
    <row r="234" spans="1:6" x14ac:dyDescent="0.35">
      <c r="A234" t="s">
        <v>2178</v>
      </c>
      <c r="B234" t="s">
        <v>2179</v>
      </c>
      <c r="C234" t="s">
        <v>1776</v>
      </c>
      <c r="D234" t="s">
        <v>13</v>
      </c>
      <c r="E234">
        <v>3846</v>
      </c>
      <c r="F234" t="str">
        <f>HYPERLINK("https://www.google.com/maps/search/?api=1&amp;query=24.74132,46.61862", "View Map")</f>
        <v>View Map</v>
      </c>
    </row>
    <row r="235" spans="1:6" x14ac:dyDescent="0.35">
      <c r="A235" t="s">
        <v>2180</v>
      </c>
      <c r="B235" t="s">
        <v>2181</v>
      </c>
      <c r="C235" t="s">
        <v>1776</v>
      </c>
      <c r="D235" t="s">
        <v>13</v>
      </c>
      <c r="E235">
        <v>3839</v>
      </c>
      <c r="F235" t="str">
        <f>HYPERLINK("https://www.google.com/maps/search/?api=1&amp;query=24.56246651,46.64444749", "View Map")</f>
        <v>View Map</v>
      </c>
    </row>
    <row r="236" spans="1:6" x14ac:dyDescent="0.35">
      <c r="A236" t="s">
        <v>2182</v>
      </c>
      <c r="B236" t="s">
        <v>2183</v>
      </c>
      <c r="C236" t="s">
        <v>1776</v>
      </c>
      <c r="D236" t="s">
        <v>13</v>
      </c>
      <c r="E236">
        <v>3836</v>
      </c>
      <c r="F236" t="str">
        <f>HYPERLINK("https://www.google.com/maps/search/?api=1&amp;query=24.68048832,46.75019139", "View Map")</f>
        <v>View Map</v>
      </c>
    </row>
    <row r="237" spans="1:6" x14ac:dyDescent="0.35">
      <c r="A237" t="s">
        <v>1798</v>
      </c>
      <c r="B237" t="s">
        <v>2184</v>
      </c>
      <c r="C237" t="s">
        <v>1776</v>
      </c>
      <c r="D237" t="s">
        <v>13</v>
      </c>
      <c r="E237">
        <v>3824</v>
      </c>
      <c r="F237" t="str">
        <f>HYPERLINK("https://www.google.com/maps/search/?api=1&amp;query=24.84848672,46.81388526", "View Map")</f>
        <v>View Map</v>
      </c>
    </row>
    <row r="238" spans="1:6" x14ac:dyDescent="0.35">
      <c r="A238" t="s">
        <v>2185</v>
      </c>
      <c r="B238" t="s">
        <v>2186</v>
      </c>
      <c r="C238" t="s">
        <v>1776</v>
      </c>
      <c r="D238" t="s">
        <v>13</v>
      </c>
      <c r="E238">
        <v>3812</v>
      </c>
      <c r="F238" t="str">
        <f>HYPERLINK("https://www.google.com/maps/search/?api=1&amp;query=24.82941374,46.74639906", "View Map")</f>
        <v>View Map</v>
      </c>
    </row>
    <row r="239" spans="1:6" x14ac:dyDescent="0.35">
      <c r="A239" t="s">
        <v>2187</v>
      </c>
      <c r="B239" t="s">
        <v>2188</v>
      </c>
      <c r="C239" t="s">
        <v>1776</v>
      </c>
      <c r="D239" t="s">
        <v>13</v>
      </c>
      <c r="E239">
        <v>3798</v>
      </c>
      <c r="F239" t="str">
        <f>HYPERLINK("https://www.google.com/maps/search/?api=1&amp;query=24.60263241,46.66814416", "View Map")</f>
        <v>View Map</v>
      </c>
    </row>
    <row r="240" spans="1:6" x14ac:dyDescent="0.35">
      <c r="A240" t="s">
        <v>2189</v>
      </c>
      <c r="B240" t="s">
        <v>2190</v>
      </c>
      <c r="C240" t="s">
        <v>1776</v>
      </c>
      <c r="D240" t="s">
        <v>13</v>
      </c>
      <c r="E240">
        <v>3788</v>
      </c>
      <c r="F240" t="str">
        <f>HYPERLINK("https://www.google.com/maps/search/?api=1&amp;query=24.59312243,46.63023738", "View Map")</f>
        <v>View Map</v>
      </c>
    </row>
    <row r="241" spans="1:6" x14ac:dyDescent="0.35">
      <c r="A241" t="s">
        <v>1947</v>
      </c>
      <c r="B241" t="s">
        <v>2191</v>
      </c>
      <c r="C241" t="s">
        <v>1776</v>
      </c>
      <c r="D241" t="s">
        <v>13</v>
      </c>
      <c r="E241">
        <v>3773</v>
      </c>
      <c r="F241" t="str">
        <f>HYPERLINK("https://www.google.com/maps/search/?api=1&amp;query=24.55584605,46.61643833", "View Map")</f>
        <v>View Map</v>
      </c>
    </row>
    <row r="242" spans="1:6" x14ac:dyDescent="0.35">
      <c r="A242" t="s">
        <v>2192</v>
      </c>
      <c r="B242" t="s">
        <v>2193</v>
      </c>
      <c r="C242" t="s">
        <v>1776</v>
      </c>
      <c r="D242" t="s">
        <v>13</v>
      </c>
      <c r="E242">
        <v>3771</v>
      </c>
      <c r="F242" t="str">
        <f>HYPERLINK("https://www.google.com/maps/search/?api=1&amp;query=24.70743241,46.7825186", "View Map")</f>
        <v>View Map</v>
      </c>
    </row>
    <row r="243" spans="1:6" x14ac:dyDescent="0.35">
      <c r="A243" t="s">
        <v>1798</v>
      </c>
      <c r="B243" t="s">
        <v>2194</v>
      </c>
      <c r="C243" t="s">
        <v>1843</v>
      </c>
      <c r="D243" t="s">
        <v>13</v>
      </c>
      <c r="E243">
        <v>3769</v>
      </c>
      <c r="F243" t="str">
        <f>HYPERLINK("https://www.google.com/maps/search/?api=1&amp;query=24.77072396,46.58629832", "View Map")</f>
        <v>View Map</v>
      </c>
    </row>
    <row r="244" spans="1:6" x14ac:dyDescent="0.35">
      <c r="A244" t="s">
        <v>2195</v>
      </c>
      <c r="B244" t="s">
        <v>2196</v>
      </c>
      <c r="C244" t="s">
        <v>1776</v>
      </c>
      <c r="D244" t="s">
        <v>13</v>
      </c>
      <c r="E244">
        <v>3765</v>
      </c>
      <c r="F244" t="str">
        <f>HYPERLINK("https://www.google.com/maps/search/?api=1&amp;query=24.73787535,46.75838404", "View Map")</f>
        <v>View Map</v>
      </c>
    </row>
    <row r="245" spans="1:6" x14ac:dyDescent="0.35">
      <c r="A245" t="s">
        <v>2043</v>
      </c>
      <c r="B245" t="s">
        <v>2197</v>
      </c>
      <c r="C245" t="s">
        <v>1776</v>
      </c>
      <c r="D245" t="s">
        <v>13</v>
      </c>
      <c r="E245">
        <v>3760</v>
      </c>
      <c r="F245" t="str">
        <f>HYPERLINK("https://www.google.com/maps/search/?api=1&amp;query=24.58333482,46.77321823", "View Map")</f>
        <v>View Map</v>
      </c>
    </row>
    <row r="246" spans="1:6" x14ac:dyDescent="0.35">
      <c r="A246" t="s">
        <v>1798</v>
      </c>
      <c r="B246" t="s">
        <v>2198</v>
      </c>
      <c r="C246" t="s">
        <v>1776</v>
      </c>
      <c r="D246" t="s">
        <v>13</v>
      </c>
      <c r="E246">
        <v>3760</v>
      </c>
      <c r="F246" t="str">
        <f>HYPERLINK("https://www.google.com/maps/search/?api=1&amp;query=24.87214561,46.63960209", "View Map")</f>
        <v>View Map</v>
      </c>
    </row>
    <row r="247" spans="1:6" x14ac:dyDescent="0.35">
      <c r="A247" t="s">
        <v>2199</v>
      </c>
      <c r="B247" t="s">
        <v>2200</v>
      </c>
      <c r="C247" t="s">
        <v>1776</v>
      </c>
      <c r="D247" t="s">
        <v>13</v>
      </c>
      <c r="E247">
        <v>3754</v>
      </c>
      <c r="F247" t="str">
        <f>HYPERLINK("https://www.google.com/maps/search/?api=1&amp;query=24.5453159,46.66009751", "View Map")</f>
        <v>View Map</v>
      </c>
    </row>
    <row r="248" spans="1:6" x14ac:dyDescent="0.35">
      <c r="A248" t="s">
        <v>1806</v>
      </c>
      <c r="B248" t="s">
        <v>2201</v>
      </c>
      <c r="C248" t="s">
        <v>1776</v>
      </c>
      <c r="D248" t="s">
        <v>13</v>
      </c>
      <c r="E248">
        <v>3753</v>
      </c>
      <c r="F248" t="str">
        <f>HYPERLINK("https://www.google.com/maps/search/?api=1&amp;query=24.75162793,46.8422796", "View Map")</f>
        <v>View Map</v>
      </c>
    </row>
    <row r="249" spans="1:6" x14ac:dyDescent="0.35">
      <c r="A249" t="s">
        <v>2202</v>
      </c>
      <c r="B249" t="s">
        <v>2203</v>
      </c>
      <c r="C249" t="s">
        <v>1776</v>
      </c>
      <c r="D249" t="s">
        <v>13</v>
      </c>
      <c r="E249">
        <v>3724</v>
      </c>
      <c r="F249" t="str">
        <f>HYPERLINK("https://www.google.com/maps/search/?api=1&amp;query=24.6757,46.63011", "View Map")</f>
        <v>View Map</v>
      </c>
    </row>
    <row r="250" spans="1:6" x14ac:dyDescent="0.35">
      <c r="A250" t="s">
        <v>2204</v>
      </c>
      <c r="B250" t="s">
        <v>2205</v>
      </c>
      <c r="C250" t="s">
        <v>1843</v>
      </c>
      <c r="D250" t="s">
        <v>13</v>
      </c>
      <c r="E250">
        <v>3722</v>
      </c>
      <c r="F250" t="str">
        <f>HYPERLINK("https://www.google.com/maps/search/?api=1&amp;query=24.77574319,46.58338538", "View Map")</f>
        <v>View Map</v>
      </c>
    </row>
    <row r="251" spans="1:6" x14ac:dyDescent="0.35">
      <c r="A251" t="s">
        <v>1798</v>
      </c>
      <c r="B251" t="s">
        <v>2206</v>
      </c>
      <c r="C251" t="s">
        <v>1776</v>
      </c>
      <c r="D251" t="s">
        <v>13</v>
      </c>
      <c r="E251">
        <v>3716</v>
      </c>
      <c r="F251" t="str">
        <f>HYPERLINK("https://www.google.com/maps/search/?api=1&amp;query=24.85091661,46.57664797", "View Map")</f>
        <v>View Map</v>
      </c>
    </row>
    <row r="252" spans="1:6" x14ac:dyDescent="0.35">
      <c r="A252" t="s">
        <v>2207</v>
      </c>
      <c r="B252" t="s">
        <v>2208</v>
      </c>
      <c r="C252" t="s">
        <v>1776</v>
      </c>
      <c r="D252" t="s">
        <v>13</v>
      </c>
      <c r="E252">
        <v>3678</v>
      </c>
      <c r="F252" t="str">
        <f>HYPERLINK("https://www.google.com/maps/search/?api=1&amp;query=24.6839708,46.75931963", "View Map")</f>
        <v>View Map</v>
      </c>
    </row>
    <row r="253" spans="1:6" x14ac:dyDescent="0.35">
      <c r="A253" t="s">
        <v>1947</v>
      </c>
      <c r="B253" t="s">
        <v>2209</v>
      </c>
      <c r="C253" t="s">
        <v>1776</v>
      </c>
      <c r="D253" t="s">
        <v>13</v>
      </c>
      <c r="E253">
        <v>3672</v>
      </c>
      <c r="F253" t="str">
        <f>HYPERLINK("https://www.google.com/maps/search/?api=1&amp;query=24.61958456,46.71918604", "View Map")</f>
        <v>View Map</v>
      </c>
    </row>
    <row r="254" spans="1:6" x14ac:dyDescent="0.35">
      <c r="A254" t="s">
        <v>2210</v>
      </c>
      <c r="B254" t="s">
        <v>2211</v>
      </c>
      <c r="C254" t="s">
        <v>1776</v>
      </c>
      <c r="D254" t="s">
        <v>13</v>
      </c>
      <c r="E254">
        <v>3671</v>
      </c>
      <c r="F254" t="str">
        <f>HYPERLINK("https://www.google.com/maps/search/?api=1&amp;query=24.76349582,46.73857398", "View Map")</f>
        <v>View Map</v>
      </c>
    </row>
    <row r="255" spans="1:6" x14ac:dyDescent="0.35">
      <c r="A255" t="s">
        <v>2212</v>
      </c>
      <c r="B255" t="s">
        <v>2213</v>
      </c>
      <c r="C255" t="s">
        <v>1776</v>
      </c>
      <c r="D255" t="s">
        <v>13</v>
      </c>
      <c r="E255">
        <v>3645</v>
      </c>
      <c r="F255" t="str">
        <f>HYPERLINK("https://www.google.com/maps/search/?api=1&amp;query=24.77467428,46.65619389", "View Map")</f>
        <v>View Map</v>
      </c>
    </row>
    <row r="256" spans="1:6" x14ac:dyDescent="0.35">
      <c r="A256" t="s">
        <v>2214</v>
      </c>
      <c r="B256" t="s">
        <v>2215</v>
      </c>
      <c r="C256" t="s">
        <v>1843</v>
      </c>
      <c r="D256" t="s">
        <v>13</v>
      </c>
      <c r="E256">
        <v>3640</v>
      </c>
      <c r="F256" t="str">
        <f>HYPERLINK("https://www.google.com/maps/search/?api=1&amp;query=24.74393078,46.59568889", "View Map")</f>
        <v>View Map</v>
      </c>
    </row>
    <row r="257" spans="1:6" x14ac:dyDescent="0.35">
      <c r="A257" t="s">
        <v>2216</v>
      </c>
      <c r="B257" t="s">
        <v>2217</v>
      </c>
      <c r="C257" t="s">
        <v>1776</v>
      </c>
      <c r="D257" t="s">
        <v>13</v>
      </c>
      <c r="E257">
        <v>3636</v>
      </c>
      <c r="F257" t="str">
        <f>HYPERLINK("https://www.google.com/maps/search/?api=1&amp;query=24.67988475,46.81956778", "View Map")</f>
        <v>View Map</v>
      </c>
    </row>
    <row r="258" spans="1:6" x14ac:dyDescent="0.35">
      <c r="A258" t="s">
        <v>2218</v>
      </c>
      <c r="B258" t="s">
        <v>2219</v>
      </c>
      <c r="C258" t="s">
        <v>1776</v>
      </c>
      <c r="D258" t="s">
        <v>13</v>
      </c>
      <c r="E258">
        <v>3634</v>
      </c>
      <c r="F258" t="str">
        <f>HYPERLINK("https://www.google.com/maps/search/?api=1&amp;query=24.65289934,46.55807417", "View Map")</f>
        <v>View Map</v>
      </c>
    </row>
    <row r="259" spans="1:6" x14ac:dyDescent="0.35">
      <c r="A259" t="s">
        <v>2220</v>
      </c>
      <c r="B259" t="s">
        <v>2221</v>
      </c>
      <c r="C259" t="s">
        <v>1776</v>
      </c>
      <c r="D259" t="s">
        <v>13</v>
      </c>
      <c r="E259">
        <v>3623</v>
      </c>
      <c r="F259" t="str">
        <f>HYPERLINK("https://www.google.com/maps/search/?api=1&amp;query=24.61106184,46.74747155", "View Map")</f>
        <v>View Map</v>
      </c>
    </row>
    <row r="260" spans="1:6" x14ac:dyDescent="0.35">
      <c r="A260" t="s">
        <v>2222</v>
      </c>
      <c r="B260" t="s">
        <v>2223</v>
      </c>
      <c r="C260" t="s">
        <v>1776</v>
      </c>
      <c r="D260" t="s">
        <v>13</v>
      </c>
      <c r="E260">
        <v>3622</v>
      </c>
      <c r="F260" t="str">
        <f>HYPERLINK("https://www.google.com/maps/search/?api=1&amp;query=24.75627161,46.79285684", "View Map")</f>
        <v>View Map</v>
      </c>
    </row>
    <row r="261" spans="1:6" x14ac:dyDescent="0.35">
      <c r="A261" t="s">
        <v>2224</v>
      </c>
      <c r="B261" t="s">
        <v>2225</v>
      </c>
      <c r="C261" t="s">
        <v>1776</v>
      </c>
      <c r="D261" t="s">
        <v>13</v>
      </c>
      <c r="E261">
        <v>3614</v>
      </c>
      <c r="F261" t="str">
        <f>HYPERLINK("https://www.google.com/maps/search/?api=1&amp;query=24.5894657,46.79147885", "View Map")</f>
        <v>View Map</v>
      </c>
    </row>
    <row r="262" spans="1:6" x14ac:dyDescent="0.35">
      <c r="A262" t="s">
        <v>1806</v>
      </c>
      <c r="B262" t="s">
        <v>2226</v>
      </c>
      <c r="C262" t="s">
        <v>1776</v>
      </c>
      <c r="D262" t="s">
        <v>13</v>
      </c>
      <c r="E262">
        <v>3603</v>
      </c>
      <c r="F262" t="str">
        <f>HYPERLINK("https://www.google.com/maps/search/?api=1&amp;query=24.81756076,46.77037614", "View Map")</f>
        <v>View Map</v>
      </c>
    </row>
    <row r="263" spans="1:6" x14ac:dyDescent="0.35">
      <c r="A263" t="s">
        <v>2227</v>
      </c>
      <c r="B263" t="s">
        <v>2228</v>
      </c>
      <c r="C263" t="s">
        <v>1776</v>
      </c>
      <c r="D263" t="s">
        <v>13</v>
      </c>
      <c r="E263">
        <v>3597</v>
      </c>
      <c r="F263" t="str">
        <f>HYPERLINK("https://www.google.com/maps/search/?api=1&amp;query=24.79033084,46.70312404", "View Map")</f>
        <v>View Map</v>
      </c>
    </row>
    <row r="264" spans="1:6" x14ac:dyDescent="0.35">
      <c r="A264" t="s">
        <v>1798</v>
      </c>
      <c r="B264" t="s">
        <v>2229</v>
      </c>
      <c r="C264" t="s">
        <v>1843</v>
      </c>
      <c r="D264" t="s">
        <v>13</v>
      </c>
      <c r="E264">
        <v>3562</v>
      </c>
      <c r="F264" t="str">
        <f>HYPERLINK("https://www.google.com/maps/search/?api=1&amp;query=24.77141234,46.58162402", "View Map")</f>
        <v>View Map</v>
      </c>
    </row>
    <row r="265" spans="1:6" x14ac:dyDescent="0.35">
      <c r="A265" t="s">
        <v>2230</v>
      </c>
      <c r="B265" t="s">
        <v>2231</v>
      </c>
      <c r="C265" t="s">
        <v>1776</v>
      </c>
      <c r="D265" t="s">
        <v>13</v>
      </c>
      <c r="E265">
        <v>3561</v>
      </c>
      <c r="F265" t="str">
        <f>HYPERLINK("https://www.google.com/maps/search/?api=1&amp;query=24.58650894,46.56472162", "View Map")</f>
        <v>View Map</v>
      </c>
    </row>
    <row r="266" spans="1:6" x14ac:dyDescent="0.35">
      <c r="A266" t="s">
        <v>2232</v>
      </c>
      <c r="B266" t="s">
        <v>2233</v>
      </c>
      <c r="C266" t="s">
        <v>1776</v>
      </c>
      <c r="D266" t="s">
        <v>13</v>
      </c>
      <c r="E266">
        <v>3547</v>
      </c>
      <c r="F266" t="str">
        <f>HYPERLINK("https://www.google.com/maps/search/?api=1&amp;query=24.78821659,46.64503146", "View Map")</f>
        <v>View Map</v>
      </c>
    </row>
    <row r="267" spans="1:6" x14ac:dyDescent="0.35">
      <c r="A267" t="s">
        <v>1798</v>
      </c>
      <c r="B267" t="s">
        <v>2234</v>
      </c>
      <c r="C267" t="s">
        <v>1776</v>
      </c>
      <c r="D267" t="s">
        <v>13</v>
      </c>
      <c r="E267">
        <v>3545</v>
      </c>
      <c r="F267" t="str">
        <f>HYPERLINK("https://www.google.com/maps/search/?api=1&amp;query=24.83657073,46.74370043", "View Map")</f>
        <v>View Map</v>
      </c>
    </row>
    <row r="268" spans="1:6" x14ac:dyDescent="0.35">
      <c r="A268" t="s">
        <v>2235</v>
      </c>
      <c r="B268" t="s">
        <v>2236</v>
      </c>
      <c r="C268" t="s">
        <v>1776</v>
      </c>
      <c r="D268" t="s">
        <v>13</v>
      </c>
      <c r="E268">
        <v>3539</v>
      </c>
      <c r="F268" t="str">
        <f>HYPERLINK("https://www.google.com/maps/search/?api=1&amp;query=24.78992452,46.81871222", "View Map")</f>
        <v>View Map</v>
      </c>
    </row>
    <row r="269" spans="1:6" x14ac:dyDescent="0.35">
      <c r="A269" t="s">
        <v>2237</v>
      </c>
      <c r="B269" t="s">
        <v>2238</v>
      </c>
      <c r="C269" t="s">
        <v>1776</v>
      </c>
      <c r="D269" t="s">
        <v>9</v>
      </c>
      <c r="E269">
        <v>3534</v>
      </c>
      <c r="F269" t="str">
        <f>HYPERLINK("https://www.google.com/maps/search/?api=1&amp;query=24.4094,46.8456", "View Map")</f>
        <v>View Map</v>
      </c>
    </row>
    <row r="270" spans="1:6" x14ac:dyDescent="0.35">
      <c r="A270" t="s">
        <v>2239</v>
      </c>
      <c r="B270" t="s">
        <v>2240</v>
      </c>
      <c r="C270" t="s">
        <v>1776</v>
      </c>
      <c r="D270" t="s">
        <v>13</v>
      </c>
      <c r="E270">
        <v>3533</v>
      </c>
      <c r="F270" t="str">
        <f>HYPERLINK("https://www.google.com/maps/search/?api=1&amp;query=24.71041136,46.61485027", "View Map")</f>
        <v>View Map</v>
      </c>
    </row>
    <row r="271" spans="1:6" x14ac:dyDescent="0.35">
      <c r="A271" t="s">
        <v>2241</v>
      </c>
      <c r="B271" t="s">
        <v>2242</v>
      </c>
      <c r="C271" t="s">
        <v>1776</v>
      </c>
      <c r="D271" t="s">
        <v>13</v>
      </c>
      <c r="E271">
        <v>3531</v>
      </c>
      <c r="F271" t="str">
        <f>HYPERLINK("https://www.google.com/maps/search/?api=1&amp;query=24.65966611,46.86842639", "View Map")</f>
        <v>View Map</v>
      </c>
    </row>
    <row r="272" spans="1:6" x14ac:dyDescent="0.35">
      <c r="A272" t="s">
        <v>1798</v>
      </c>
      <c r="B272" t="s">
        <v>2243</v>
      </c>
      <c r="C272" t="s">
        <v>1776</v>
      </c>
      <c r="D272" t="s">
        <v>13</v>
      </c>
      <c r="E272">
        <v>3520</v>
      </c>
      <c r="F272" t="str">
        <f>HYPERLINK("https://www.google.com/maps/search/?api=1&amp;query=24.81437163,46.68478694", "View Map")</f>
        <v>View Map</v>
      </c>
    </row>
    <row r="273" spans="1:6" x14ac:dyDescent="0.35">
      <c r="A273" t="s">
        <v>2244</v>
      </c>
      <c r="B273" t="s">
        <v>2245</v>
      </c>
      <c r="C273" t="s">
        <v>1776</v>
      </c>
      <c r="D273" t="s">
        <v>13</v>
      </c>
      <c r="E273">
        <v>3512</v>
      </c>
      <c r="F273" t="str">
        <f>HYPERLINK("https://www.google.com/maps/search/?api=1&amp;query=24.79638973,46.70013016", "View Map")</f>
        <v>View Map</v>
      </c>
    </row>
    <row r="274" spans="1:6" x14ac:dyDescent="0.35">
      <c r="A274" t="s">
        <v>2246</v>
      </c>
      <c r="B274" t="s">
        <v>2247</v>
      </c>
      <c r="C274" t="s">
        <v>1776</v>
      </c>
      <c r="D274" t="s">
        <v>13</v>
      </c>
      <c r="E274">
        <v>3509</v>
      </c>
      <c r="F274" t="str">
        <f>HYPERLINK("https://www.google.com/maps/search/?api=1&amp;query=24.70531838,46.76942957", "View Map")</f>
        <v>View Map</v>
      </c>
    </row>
    <row r="275" spans="1:6" x14ac:dyDescent="0.35">
      <c r="A275" t="s">
        <v>2248</v>
      </c>
      <c r="B275" t="s">
        <v>2249</v>
      </c>
      <c r="C275" t="s">
        <v>1776</v>
      </c>
      <c r="D275" t="s">
        <v>13</v>
      </c>
      <c r="E275">
        <v>3504</v>
      </c>
      <c r="F275" t="str">
        <f>HYPERLINK("https://www.google.com/maps/search/?api=1&amp;query=24.5641861,46.79203736", "View Map")</f>
        <v>View Map</v>
      </c>
    </row>
    <row r="276" spans="1:6" x14ac:dyDescent="0.35">
      <c r="A276" t="s">
        <v>2250</v>
      </c>
      <c r="B276" t="s">
        <v>2251</v>
      </c>
      <c r="C276" t="s">
        <v>1776</v>
      </c>
      <c r="D276" t="s">
        <v>13</v>
      </c>
      <c r="E276">
        <v>3487</v>
      </c>
      <c r="F276" t="str">
        <f>HYPERLINK("https://www.google.com/maps/search/?api=1&amp;query=24.72106303,46.78516465", "View Map")</f>
        <v>View Map</v>
      </c>
    </row>
    <row r="277" spans="1:6" x14ac:dyDescent="0.35">
      <c r="A277" t="s">
        <v>2252</v>
      </c>
      <c r="B277" t="s">
        <v>2253</v>
      </c>
      <c r="C277" t="s">
        <v>1776</v>
      </c>
      <c r="D277" t="s">
        <v>13</v>
      </c>
      <c r="E277">
        <v>3486</v>
      </c>
      <c r="F277" t="str">
        <f>HYPERLINK("https://www.google.com/maps/search/?api=1&amp;query=24.79112,46.71663", "View Map")</f>
        <v>View Map</v>
      </c>
    </row>
    <row r="278" spans="1:6" x14ac:dyDescent="0.35">
      <c r="A278" t="s">
        <v>2254</v>
      </c>
      <c r="B278" t="s">
        <v>2255</v>
      </c>
      <c r="C278" t="s">
        <v>1776</v>
      </c>
      <c r="D278" t="s">
        <v>13</v>
      </c>
      <c r="E278">
        <v>3479</v>
      </c>
      <c r="F278" t="str">
        <f>HYPERLINK("https://www.google.com/maps/search/?api=1&amp;query=24.71878225,46.7552068", "View Map")</f>
        <v>View Map</v>
      </c>
    </row>
    <row r="279" spans="1:6" x14ac:dyDescent="0.35">
      <c r="A279" t="s">
        <v>2256</v>
      </c>
      <c r="B279" t="s">
        <v>2257</v>
      </c>
      <c r="C279" t="s">
        <v>1776</v>
      </c>
      <c r="D279" t="s">
        <v>13</v>
      </c>
      <c r="E279">
        <v>3476</v>
      </c>
      <c r="F279" t="str">
        <f>HYPERLINK("https://www.google.com/maps/search/?api=1&amp;query=24.8252308,46.77551103", "View Map")</f>
        <v>View Map</v>
      </c>
    </row>
    <row r="280" spans="1:6" x14ac:dyDescent="0.35">
      <c r="A280" t="s">
        <v>2258</v>
      </c>
      <c r="B280" t="s">
        <v>2259</v>
      </c>
      <c r="C280" t="s">
        <v>1776</v>
      </c>
      <c r="D280" t="s">
        <v>13</v>
      </c>
      <c r="E280">
        <v>3473</v>
      </c>
      <c r="F280" t="str">
        <f>HYPERLINK("https://www.google.com/maps/search/?api=1&amp;query=24.78812478,46.66134629", "View Map")</f>
        <v>View Map</v>
      </c>
    </row>
    <row r="281" spans="1:6" x14ac:dyDescent="0.35">
      <c r="A281" t="s">
        <v>2260</v>
      </c>
      <c r="B281" t="s">
        <v>2261</v>
      </c>
      <c r="C281" t="s">
        <v>1776</v>
      </c>
      <c r="D281" t="s">
        <v>13</v>
      </c>
      <c r="E281">
        <v>3465</v>
      </c>
      <c r="F281" t="str">
        <f>HYPERLINK("https://www.google.com/maps/search/?api=1&amp;query=24.7350782,46.64576413", "View Map")</f>
        <v>View Map</v>
      </c>
    </row>
    <row r="282" spans="1:6" x14ac:dyDescent="0.35">
      <c r="A282" t="s">
        <v>1794</v>
      </c>
      <c r="B282" t="s">
        <v>2262</v>
      </c>
      <c r="C282" t="s">
        <v>1776</v>
      </c>
      <c r="D282" t="s">
        <v>13</v>
      </c>
      <c r="E282">
        <v>3463</v>
      </c>
      <c r="F282" t="str">
        <f>HYPERLINK("https://www.google.com/maps/search/?api=1&amp;query=24.74195971,46.7134947", "View Map")</f>
        <v>View Map</v>
      </c>
    </row>
    <row r="283" spans="1:6" x14ac:dyDescent="0.35">
      <c r="A283" t="s">
        <v>2263</v>
      </c>
      <c r="B283" t="s">
        <v>2264</v>
      </c>
      <c r="C283" t="s">
        <v>1776</v>
      </c>
      <c r="D283" t="s">
        <v>13</v>
      </c>
      <c r="E283">
        <v>3458</v>
      </c>
      <c r="F283" t="str">
        <f>HYPERLINK("https://www.google.com/maps/search/?api=1&amp;query=24.79397828,46.77968977", "View Map")</f>
        <v>View Map</v>
      </c>
    </row>
    <row r="284" spans="1:6" x14ac:dyDescent="0.35">
      <c r="A284" t="s">
        <v>2265</v>
      </c>
      <c r="B284" t="s">
        <v>2266</v>
      </c>
      <c r="C284" t="s">
        <v>1776</v>
      </c>
      <c r="D284" t="s">
        <v>13</v>
      </c>
      <c r="E284">
        <v>3456</v>
      </c>
      <c r="F284" t="str">
        <f>HYPERLINK("https://www.google.com/maps/search/?api=1&amp;query=24.60350696,46.66371151", "View Map")</f>
        <v>View Map</v>
      </c>
    </row>
    <row r="285" spans="1:6" x14ac:dyDescent="0.35">
      <c r="A285" t="s">
        <v>2267</v>
      </c>
      <c r="B285" t="s">
        <v>2268</v>
      </c>
      <c r="C285" t="s">
        <v>1776</v>
      </c>
      <c r="D285" t="s">
        <v>13</v>
      </c>
      <c r="E285">
        <v>3456</v>
      </c>
      <c r="F285" t="str">
        <f>HYPERLINK("https://www.google.com/maps/search/?api=1&amp;query=24.78809276,46.64128075", "View Map")</f>
        <v>View Map</v>
      </c>
    </row>
    <row r="286" spans="1:6" x14ac:dyDescent="0.35">
      <c r="A286" t="s">
        <v>2269</v>
      </c>
      <c r="B286" t="s">
        <v>2270</v>
      </c>
      <c r="C286" t="s">
        <v>1776</v>
      </c>
      <c r="D286" t="s">
        <v>13</v>
      </c>
      <c r="E286">
        <v>3431</v>
      </c>
      <c r="F286" t="str">
        <f>HYPERLINK("https://www.google.com/maps/search/?api=1&amp;query=24.75029505,46.72127648", "View Map")</f>
        <v>View Map</v>
      </c>
    </row>
    <row r="287" spans="1:6" x14ac:dyDescent="0.35">
      <c r="A287" t="s">
        <v>2271</v>
      </c>
      <c r="B287" t="s">
        <v>2272</v>
      </c>
      <c r="C287" t="s">
        <v>1776</v>
      </c>
      <c r="D287" t="s">
        <v>13</v>
      </c>
      <c r="E287">
        <v>3423</v>
      </c>
      <c r="F287" t="str">
        <f>HYPERLINK("https://www.google.com/maps/search/?api=1&amp;query=24.6348789,46.72995099", "View Map")</f>
        <v>View Map</v>
      </c>
    </row>
    <row r="288" spans="1:6" x14ac:dyDescent="0.35">
      <c r="A288" t="s">
        <v>2273</v>
      </c>
      <c r="B288" t="s">
        <v>2274</v>
      </c>
      <c r="C288" t="s">
        <v>1776</v>
      </c>
      <c r="D288" t="s">
        <v>13</v>
      </c>
      <c r="E288">
        <v>3406</v>
      </c>
      <c r="F288" t="str">
        <f>HYPERLINK("https://www.google.com/maps/search/?api=1&amp;query=24.7471122,46.80341236", "View Map")</f>
        <v>View Map</v>
      </c>
    </row>
    <row r="289" spans="1:6" x14ac:dyDescent="0.35">
      <c r="A289" t="s">
        <v>2275</v>
      </c>
      <c r="B289" t="s">
        <v>2276</v>
      </c>
      <c r="C289" t="s">
        <v>1776</v>
      </c>
      <c r="D289" t="s">
        <v>13</v>
      </c>
      <c r="E289">
        <v>3396</v>
      </c>
      <c r="F289" t="str">
        <f>HYPERLINK("https://www.google.com/maps/search/?api=1&amp;query=24.79923,46.5878", "View Map")</f>
        <v>View Map</v>
      </c>
    </row>
    <row r="290" spans="1:6" x14ac:dyDescent="0.35">
      <c r="A290" t="s">
        <v>2277</v>
      </c>
      <c r="B290" t="s">
        <v>2278</v>
      </c>
      <c r="C290" t="s">
        <v>1776</v>
      </c>
      <c r="D290" t="s">
        <v>13</v>
      </c>
      <c r="E290">
        <v>3396</v>
      </c>
      <c r="F290" t="str">
        <f>HYPERLINK("https://www.google.com/maps/search/?api=1&amp;query=24.67628728,46.77676379", "View Map")</f>
        <v>View Map</v>
      </c>
    </row>
    <row r="291" spans="1:6" x14ac:dyDescent="0.35">
      <c r="A291" t="s">
        <v>2279</v>
      </c>
      <c r="B291" t="s">
        <v>2280</v>
      </c>
      <c r="C291" t="s">
        <v>1776</v>
      </c>
      <c r="D291" t="s">
        <v>13</v>
      </c>
      <c r="E291">
        <v>3374</v>
      </c>
      <c r="F291" t="str">
        <f>HYPERLINK("https://www.google.com/maps/search/?api=1&amp;query=24.7432809,46.78827508", "View Map")</f>
        <v>View Map</v>
      </c>
    </row>
    <row r="292" spans="1:6" x14ac:dyDescent="0.35">
      <c r="A292" t="s">
        <v>1798</v>
      </c>
      <c r="B292" t="s">
        <v>2281</v>
      </c>
      <c r="C292" t="s">
        <v>1776</v>
      </c>
      <c r="D292" t="s">
        <v>13</v>
      </c>
      <c r="E292">
        <v>3372</v>
      </c>
      <c r="F292" t="str">
        <f>HYPERLINK("https://www.google.com/maps/search/?api=1&amp;query=24.6903,46.5869", "View Map")</f>
        <v>View Map</v>
      </c>
    </row>
    <row r="293" spans="1:6" x14ac:dyDescent="0.35">
      <c r="A293" t="s">
        <v>1798</v>
      </c>
      <c r="B293" t="s">
        <v>2282</v>
      </c>
      <c r="C293" t="s">
        <v>1776</v>
      </c>
      <c r="D293" t="s">
        <v>13</v>
      </c>
      <c r="E293">
        <v>3350</v>
      </c>
      <c r="F293" t="str">
        <f>HYPERLINK("https://www.google.com/maps/search/?api=1&amp;query=24.85319071,46.66450634", "View Map")</f>
        <v>View Map</v>
      </c>
    </row>
    <row r="294" spans="1:6" x14ac:dyDescent="0.35">
      <c r="A294" t="s">
        <v>2283</v>
      </c>
      <c r="B294" t="s">
        <v>2284</v>
      </c>
      <c r="C294" t="s">
        <v>1776</v>
      </c>
      <c r="D294" t="s">
        <v>13</v>
      </c>
      <c r="E294">
        <v>3346</v>
      </c>
      <c r="F294" t="str">
        <f>HYPERLINK("https://www.google.com/maps/search/?api=1&amp;query=24.65678285,46.67067659", "View Map")</f>
        <v>View Map</v>
      </c>
    </row>
    <row r="295" spans="1:6" x14ac:dyDescent="0.35">
      <c r="A295" t="s">
        <v>2285</v>
      </c>
      <c r="B295" t="s">
        <v>2286</v>
      </c>
      <c r="C295" t="s">
        <v>1776</v>
      </c>
      <c r="D295" t="s">
        <v>13</v>
      </c>
      <c r="E295">
        <v>3342</v>
      </c>
      <c r="F295" t="str">
        <f>HYPERLINK("https://www.google.com/maps/search/?api=1&amp;query=24.77926497,46.62438618", "View Map")</f>
        <v>View Map</v>
      </c>
    </row>
    <row r="296" spans="1:6" x14ac:dyDescent="0.35">
      <c r="A296" t="s">
        <v>2144</v>
      </c>
      <c r="B296" t="s">
        <v>2287</v>
      </c>
      <c r="C296" t="s">
        <v>1776</v>
      </c>
      <c r="D296" t="s">
        <v>13</v>
      </c>
      <c r="E296">
        <v>3327</v>
      </c>
      <c r="F296" t="str">
        <f>HYPERLINK("https://www.google.com/maps/search/?api=1&amp;query=24.77426357,46.79551526", "View Map")</f>
        <v>View Map</v>
      </c>
    </row>
    <row r="297" spans="1:6" x14ac:dyDescent="0.35">
      <c r="A297" t="s">
        <v>2288</v>
      </c>
      <c r="B297" t="s">
        <v>2289</v>
      </c>
      <c r="C297" t="s">
        <v>1776</v>
      </c>
      <c r="D297" t="s">
        <v>13</v>
      </c>
      <c r="E297">
        <v>3309</v>
      </c>
      <c r="F297" t="str">
        <f>HYPERLINK("https://www.google.com/maps/search/?api=1&amp;query=24.7835667,46.71021498", "View Map")</f>
        <v>View Map</v>
      </c>
    </row>
    <row r="298" spans="1:6" x14ac:dyDescent="0.35">
      <c r="A298" t="s">
        <v>1806</v>
      </c>
      <c r="B298" t="s">
        <v>2290</v>
      </c>
      <c r="C298" t="s">
        <v>1776</v>
      </c>
      <c r="D298" t="s">
        <v>13</v>
      </c>
      <c r="E298">
        <v>3306</v>
      </c>
      <c r="F298" t="str">
        <f>HYPERLINK("https://www.google.com/maps/search/?api=1&amp;query=24.82608047,46.75326701", "View Map")</f>
        <v>View Map</v>
      </c>
    </row>
    <row r="299" spans="1:6" x14ac:dyDescent="0.35">
      <c r="A299" t="s">
        <v>2291</v>
      </c>
      <c r="B299" t="s">
        <v>2292</v>
      </c>
      <c r="C299" t="s">
        <v>1776</v>
      </c>
      <c r="D299" t="s">
        <v>13</v>
      </c>
      <c r="E299">
        <v>3300</v>
      </c>
      <c r="F299" t="str">
        <f>HYPERLINK("https://www.google.com/maps/search/?api=1&amp;query=24.72976975,46.6530934", "View Map")</f>
        <v>View Map</v>
      </c>
    </row>
    <row r="300" spans="1:6" x14ac:dyDescent="0.35">
      <c r="A300" t="s">
        <v>1798</v>
      </c>
      <c r="B300" t="s">
        <v>2293</v>
      </c>
      <c r="C300" t="s">
        <v>1776</v>
      </c>
      <c r="D300" t="s">
        <v>13</v>
      </c>
      <c r="E300">
        <v>3296</v>
      </c>
      <c r="F300" t="str">
        <f>HYPERLINK("https://www.google.com/maps/search/?api=1&amp;query=24.83066896,46.66620127", "View Map")</f>
        <v>View Map</v>
      </c>
    </row>
    <row r="301" spans="1:6" x14ac:dyDescent="0.35">
      <c r="A301" t="s">
        <v>2294</v>
      </c>
      <c r="B301" t="s">
        <v>2295</v>
      </c>
      <c r="C301" t="s">
        <v>1776</v>
      </c>
      <c r="D301" t="s">
        <v>13</v>
      </c>
      <c r="E301">
        <v>3286</v>
      </c>
      <c r="F301" t="str">
        <f>HYPERLINK("https://www.google.com/maps/search/?api=1&amp;query=24.81524319,46.62503079", "View Map")</f>
        <v>View Map</v>
      </c>
    </row>
    <row r="302" spans="1:6" x14ac:dyDescent="0.35">
      <c r="A302" t="s">
        <v>2296</v>
      </c>
      <c r="B302" t="s">
        <v>2297</v>
      </c>
      <c r="C302" t="s">
        <v>1776</v>
      </c>
      <c r="D302" t="s">
        <v>13</v>
      </c>
      <c r="E302">
        <v>3283</v>
      </c>
      <c r="F302" t="str">
        <f>HYPERLINK("https://www.google.com/maps/search/?api=1&amp;query=24.80553186,46.76491938", "View Map")</f>
        <v>View Map</v>
      </c>
    </row>
    <row r="303" spans="1:6" x14ac:dyDescent="0.35">
      <c r="A303" t="s">
        <v>1806</v>
      </c>
      <c r="B303" t="s">
        <v>2298</v>
      </c>
      <c r="C303" t="s">
        <v>1776</v>
      </c>
      <c r="D303" t="s">
        <v>13</v>
      </c>
      <c r="E303">
        <v>3274</v>
      </c>
      <c r="F303" t="str">
        <f>HYPERLINK("https://www.google.com/maps/search/?api=1&amp;query=24.82942092,46.68542883", "View Map")</f>
        <v>View Map</v>
      </c>
    </row>
    <row r="304" spans="1:6" x14ac:dyDescent="0.35">
      <c r="A304" t="s">
        <v>2299</v>
      </c>
      <c r="B304" t="s">
        <v>2300</v>
      </c>
      <c r="C304" t="s">
        <v>1776</v>
      </c>
      <c r="D304" t="s">
        <v>13</v>
      </c>
      <c r="E304">
        <v>3273</v>
      </c>
      <c r="F304" t="str">
        <f>HYPERLINK("https://www.google.com/maps/search/?api=1&amp;query=24.53781668,46.66622221", "View Map")</f>
        <v>View Map</v>
      </c>
    </row>
    <row r="305" spans="1:6" x14ac:dyDescent="0.35">
      <c r="A305" t="s">
        <v>2301</v>
      </c>
      <c r="B305" t="s">
        <v>2302</v>
      </c>
      <c r="C305" t="s">
        <v>1776</v>
      </c>
      <c r="D305" t="s">
        <v>13</v>
      </c>
      <c r="E305">
        <v>3269</v>
      </c>
      <c r="F305" t="str">
        <f>HYPERLINK("https://www.google.com/maps/search/?api=1&amp;query=24.72332361,46.79331423", "View Map")</f>
        <v>View Map</v>
      </c>
    </row>
    <row r="306" spans="1:6" x14ac:dyDescent="0.35">
      <c r="A306" t="s">
        <v>1947</v>
      </c>
      <c r="B306" t="s">
        <v>2303</v>
      </c>
      <c r="C306" t="s">
        <v>1776</v>
      </c>
      <c r="D306" t="s">
        <v>13</v>
      </c>
      <c r="E306">
        <v>3269</v>
      </c>
      <c r="F306" t="str">
        <f>HYPERLINK("https://www.google.com/maps/search/?api=1&amp;query=24.62704288,46.70263391", "View Map")</f>
        <v>View Map</v>
      </c>
    </row>
    <row r="307" spans="1:6" x14ac:dyDescent="0.35">
      <c r="A307" t="s">
        <v>1798</v>
      </c>
      <c r="B307" t="s">
        <v>2304</v>
      </c>
      <c r="C307" t="s">
        <v>1776</v>
      </c>
      <c r="D307" t="s">
        <v>13</v>
      </c>
      <c r="E307">
        <v>3268</v>
      </c>
      <c r="F307" t="str">
        <f>HYPERLINK("https://www.google.com/maps/search/?api=1&amp;query=24.78706105,46.87565385", "View Map")</f>
        <v>View Map</v>
      </c>
    </row>
    <row r="308" spans="1:6" x14ac:dyDescent="0.35">
      <c r="A308" t="s">
        <v>2305</v>
      </c>
      <c r="B308" t="s">
        <v>2306</v>
      </c>
      <c r="C308" t="s">
        <v>1776</v>
      </c>
      <c r="D308" t="s">
        <v>13</v>
      </c>
      <c r="E308">
        <v>3243</v>
      </c>
      <c r="F308" t="str">
        <f>HYPERLINK("https://www.google.com/maps/search/?api=1&amp;query=24.7370575,46.71942659", "View Map")</f>
        <v>View Map</v>
      </c>
    </row>
    <row r="309" spans="1:6" x14ac:dyDescent="0.35">
      <c r="A309" t="s">
        <v>2307</v>
      </c>
      <c r="B309" t="s">
        <v>2308</v>
      </c>
      <c r="C309" t="s">
        <v>1776</v>
      </c>
      <c r="D309" t="s">
        <v>13</v>
      </c>
      <c r="E309">
        <v>3232</v>
      </c>
      <c r="F309" t="str">
        <f>HYPERLINK("https://www.google.com/maps/search/?api=1&amp;query=24.63143668,46.55845555", "View Map")</f>
        <v>View Map</v>
      </c>
    </row>
    <row r="310" spans="1:6" x14ac:dyDescent="0.35">
      <c r="A310" t="s">
        <v>2309</v>
      </c>
      <c r="B310" t="s">
        <v>2310</v>
      </c>
      <c r="C310" t="s">
        <v>1776</v>
      </c>
      <c r="D310" t="s">
        <v>13</v>
      </c>
      <c r="E310">
        <v>3229</v>
      </c>
      <c r="F310" t="str">
        <f>HYPERLINK("https://www.google.com/maps/search/?api=1&amp;query=24.77025071,46.66617964", "View Map")</f>
        <v>View Map</v>
      </c>
    </row>
    <row r="311" spans="1:6" x14ac:dyDescent="0.35">
      <c r="A311" t="s">
        <v>1794</v>
      </c>
      <c r="B311" t="s">
        <v>2311</v>
      </c>
      <c r="C311" t="s">
        <v>1843</v>
      </c>
      <c r="D311" t="s">
        <v>13</v>
      </c>
      <c r="E311">
        <v>3229</v>
      </c>
      <c r="F311" t="str">
        <f>HYPERLINK("https://www.google.com/maps/search/?api=1&amp;query=24.7453,46.5272", "View Map")</f>
        <v>View Map</v>
      </c>
    </row>
    <row r="312" spans="1:6" x14ac:dyDescent="0.35">
      <c r="A312" t="s">
        <v>2312</v>
      </c>
      <c r="B312" t="s">
        <v>2313</v>
      </c>
      <c r="C312" t="s">
        <v>1776</v>
      </c>
      <c r="D312" t="s">
        <v>13</v>
      </c>
      <c r="E312">
        <v>3219</v>
      </c>
      <c r="F312" t="str">
        <f>HYPERLINK("https://www.google.com/maps/search/?api=1&amp;query=24.63543151,46.66348217", "View Map")</f>
        <v>View Map</v>
      </c>
    </row>
    <row r="313" spans="1:6" x14ac:dyDescent="0.35">
      <c r="A313" t="s">
        <v>1798</v>
      </c>
      <c r="B313" t="s">
        <v>2314</v>
      </c>
      <c r="C313" t="s">
        <v>1776</v>
      </c>
      <c r="D313" t="s">
        <v>13</v>
      </c>
      <c r="E313">
        <v>3200</v>
      </c>
      <c r="F313" t="str">
        <f>HYPERLINK("https://www.google.com/maps/search/?api=1&amp;query=24.62811641,46.52462515", "View Map")</f>
        <v>View Map</v>
      </c>
    </row>
    <row r="314" spans="1:6" x14ac:dyDescent="0.35">
      <c r="A314" t="s">
        <v>1798</v>
      </c>
      <c r="B314" t="s">
        <v>2315</v>
      </c>
      <c r="C314" t="s">
        <v>1776</v>
      </c>
      <c r="D314" t="s">
        <v>13</v>
      </c>
      <c r="E314">
        <v>3189</v>
      </c>
      <c r="F314" t="str">
        <f>HYPERLINK("https://www.google.com/maps/search/?api=1&amp;query=0.0,0.0", "View Map")</f>
        <v>View Map</v>
      </c>
    </row>
    <row r="315" spans="1:6" x14ac:dyDescent="0.35">
      <c r="A315" t="s">
        <v>2316</v>
      </c>
      <c r="B315" t="s">
        <v>2317</v>
      </c>
      <c r="C315" t="s">
        <v>1776</v>
      </c>
      <c r="D315" t="s">
        <v>13</v>
      </c>
      <c r="E315">
        <v>3188</v>
      </c>
      <c r="F315" t="str">
        <f>HYPERLINK("https://www.google.com/maps/search/?api=1&amp;query=24.59691053,46.70225699", "View Map")</f>
        <v>View Map</v>
      </c>
    </row>
    <row r="316" spans="1:6" x14ac:dyDescent="0.35">
      <c r="A316" t="s">
        <v>2318</v>
      </c>
      <c r="B316" t="s">
        <v>2319</v>
      </c>
      <c r="C316" t="s">
        <v>1776</v>
      </c>
      <c r="D316" t="s">
        <v>13</v>
      </c>
      <c r="E316">
        <v>3186</v>
      </c>
      <c r="F316" t="str">
        <f>HYPERLINK("https://www.google.com/maps/search/?api=1&amp;query=24.69646524,46.78867533", "View Map")</f>
        <v>View Map</v>
      </c>
    </row>
    <row r="317" spans="1:6" x14ac:dyDescent="0.35">
      <c r="A317" t="s">
        <v>2320</v>
      </c>
      <c r="B317" t="s">
        <v>2321</v>
      </c>
      <c r="C317" t="s">
        <v>1776</v>
      </c>
      <c r="D317" t="s">
        <v>13</v>
      </c>
      <c r="E317">
        <v>3180</v>
      </c>
      <c r="F317" t="str">
        <f>HYPERLINK("https://www.google.com/maps/search/?api=1&amp;query=24.59883664,46.68591839", "View Map")</f>
        <v>View Map</v>
      </c>
    </row>
    <row r="318" spans="1:6" x14ac:dyDescent="0.35">
      <c r="A318" t="s">
        <v>2322</v>
      </c>
      <c r="B318" t="s">
        <v>2323</v>
      </c>
      <c r="C318" t="s">
        <v>1776</v>
      </c>
      <c r="D318" t="s">
        <v>13</v>
      </c>
      <c r="E318">
        <v>3171</v>
      </c>
      <c r="F318" t="str">
        <f>HYPERLINK("https://www.google.com/maps/search/?api=1&amp;query=24.80787682,46.86147383", "View Map")</f>
        <v>View Map</v>
      </c>
    </row>
    <row r="319" spans="1:6" x14ac:dyDescent="0.35">
      <c r="A319" t="s">
        <v>1947</v>
      </c>
      <c r="B319" t="s">
        <v>2324</v>
      </c>
      <c r="C319" t="s">
        <v>1776</v>
      </c>
      <c r="D319" t="s">
        <v>13</v>
      </c>
      <c r="E319">
        <v>3166</v>
      </c>
      <c r="F319" t="str">
        <f>HYPERLINK("https://www.google.com/maps/search/?api=1&amp;query=24.68074,46.57364", "View Map")</f>
        <v>View Map</v>
      </c>
    </row>
    <row r="320" spans="1:6" x14ac:dyDescent="0.35">
      <c r="A320" t="s">
        <v>1947</v>
      </c>
      <c r="B320" t="s">
        <v>2325</v>
      </c>
      <c r="C320" t="s">
        <v>1776</v>
      </c>
      <c r="D320" t="s">
        <v>13</v>
      </c>
      <c r="E320">
        <v>3162</v>
      </c>
      <c r="F320" t="str">
        <f>HYPERLINK("https://www.google.com/maps/search/?api=1&amp;query=24.5040804,46.6683632", "View Map")</f>
        <v>View Map</v>
      </c>
    </row>
    <row r="321" spans="1:6" x14ac:dyDescent="0.35">
      <c r="A321" t="s">
        <v>2326</v>
      </c>
      <c r="B321" t="s">
        <v>2327</v>
      </c>
      <c r="C321" t="s">
        <v>1776</v>
      </c>
      <c r="D321" t="s">
        <v>13</v>
      </c>
      <c r="E321">
        <v>3144</v>
      </c>
      <c r="F321" t="str">
        <f>HYPERLINK("https://www.google.com/maps/search/?api=1&amp;query=24.75253842,46.77390533", "View Map")</f>
        <v>View Map</v>
      </c>
    </row>
    <row r="322" spans="1:6" x14ac:dyDescent="0.35">
      <c r="A322" t="s">
        <v>2328</v>
      </c>
      <c r="B322" t="s">
        <v>2329</v>
      </c>
      <c r="C322" t="s">
        <v>1776</v>
      </c>
      <c r="D322" t="s">
        <v>13</v>
      </c>
      <c r="E322">
        <v>3140</v>
      </c>
      <c r="F322" t="str">
        <f>HYPERLINK("https://www.google.com/maps/search/?api=1&amp;query=24.70025958,46.63927743", "View Map")</f>
        <v>View Map</v>
      </c>
    </row>
    <row r="323" spans="1:6" x14ac:dyDescent="0.35">
      <c r="A323" t="s">
        <v>2330</v>
      </c>
      <c r="B323" t="s">
        <v>2331</v>
      </c>
      <c r="C323" t="s">
        <v>1776</v>
      </c>
      <c r="D323" t="s">
        <v>13</v>
      </c>
      <c r="E323">
        <v>3136</v>
      </c>
      <c r="F323" t="str">
        <f>HYPERLINK("https://www.google.com/maps/search/?api=1&amp;query=24.68022,46.62634", "View Map")</f>
        <v>View Map</v>
      </c>
    </row>
    <row r="324" spans="1:6" x14ac:dyDescent="0.35">
      <c r="A324" t="s">
        <v>2332</v>
      </c>
      <c r="B324" t="s">
        <v>2333</v>
      </c>
      <c r="C324" t="s">
        <v>1776</v>
      </c>
      <c r="D324" t="s">
        <v>13</v>
      </c>
      <c r="E324">
        <v>3127</v>
      </c>
      <c r="F324" t="str">
        <f>HYPERLINK("https://www.google.com/maps/search/?api=1&amp;query=24.58210422,46.83014168", "View Map")</f>
        <v>View Map</v>
      </c>
    </row>
    <row r="325" spans="1:6" x14ac:dyDescent="0.35">
      <c r="A325" t="s">
        <v>1798</v>
      </c>
      <c r="B325" t="s">
        <v>2334</v>
      </c>
      <c r="C325" t="s">
        <v>1776</v>
      </c>
      <c r="D325" t="s">
        <v>13</v>
      </c>
      <c r="E325">
        <v>3127</v>
      </c>
      <c r="F325" t="str">
        <f>HYPERLINK("https://www.google.com/maps/search/?api=1&amp;query=24.85604,46.6519", "View Map")</f>
        <v>View Map</v>
      </c>
    </row>
    <row r="326" spans="1:6" x14ac:dyDescent="0.35">
      <c r="A326" t="s">
        <v>2335</v>
      </c>
      <c r="B326" t="s">
        <v>2336</v>
      </c>
      <c r="C326" t="s">
        <v>1776</v>
      </c>
      <c r="D326" t="s">
        <v>13</v>
      </c>
      <c r="E326">
        <v>3122</v>
      </c>
      <c r="F326" t="str">
        <f>HYPERLINK("https://www.google.com/maps/search/?api=1&amp;query=24.75965878,46.67599022", "View Map")</f>
        <v>View Map</v>
      </c>
    </row>
    <row r="327" spans="1:6" x14ac:dyDescent="0.35">
      <c r="A327" t="s">
        <v>2337</v>
      </c>
      <c r="B327" t="s">
        <v>2338</v>
      </c>
      <c r="C327" t="s">
        <v>1776</v>
      </c>
      <c r="D327" t="s">
        <v>13</v>
      </c>
      <c r="E327">
        <v>3109</v>
      </c>
      <c r="F327" t="str">
        <f>HYPERLINK("https://www.google.com/maps/search/?api=1&amp;query=24.73033882,46.65855522", "View Map")</f>
        <v>View Map</v>
      </c>
    </row>
    <row r="328" spans="1:6" x14ac:dyDescent="0.35">
      <c r="A328" t="s">
        <v>1798</v>
      </c>
      <c r="B328" t="s">
        <v>2339</v>
      </c>
      <c r="C328" t="s">
        <v>1776</v>
      </c>
      <c r="D328" t="s">
        <v>13</v>
      </c>
      <c r="E328">
        <v>3108</v>
      </c>
      <c r="F328" t="str">
        <f>HYPERLINK("https://www.google.com/maps/search/?api=1&amp;query=24.62069505,46.76202884", "View Map")</f>
        <v>View Map</v>
      </c>
    </row>
    <row r="329" spans="1:6" x14ac:dyDescent="0.35">
      <c r="A329" t="s">
        <v>2192</v>
      </c>
      <c r="B329" t="s">
        <v>2340</v>
      </c>
      <c r="C329" t="s">
        <v>1776</v>
      </c>
      <c r="D329" t="s">
        <v>13</v>
      </c>
      <c r="E329">
        <v>3108</v>
      </c>
      <c r="F329" t="str">
        <f>HYPERLINK("https://www.google.com/maps/search/?api=1&amp;query=24.70711492,46.78274636", "View Map")</f>
        <v>View Map</v>
      </c>
    </row>
    <row r="330" spans="1:6" x14ac:dyDescent="0.35">
      <c r="A330" t="s">
        <v>1798</v>
      </c>
      <c r="B330" t="s">
        <v>2341</v>
      </c>
      <c r="C330" t="s">
        <v>1776</v>
      </c>
      <c r="D330" t="s">
        <v>13</v>
      </c>
      <c r="E330">
        <v>3105</v>
      </c>
      <c r="F330" t="str">
        <f>HYPERLINK("https://www.google.com/maps/search/?api=1&amp;query=24.78699481,46.60725271", "View Map")</f>
        <v>View Map</v>
      </c>
    </row>
    <row r="331" spans="1:6" x14ac:dyDescent="0.35">
      <c r="A331" t="s">
        <v>2342</v>
      </c>
      <c r="B331" t="s">
        <v>2343</v>
      </c>
      <c r="C331" t="s">
        <v>1776</v>
      </c>
      <c r="D331" t="s">
        <v>13</v>
      </c>
      <c r="E331">
        <v>3094</v>
      </c>
      <c r="F331" t="str">
        <f>HYPERLINK("https://www.google.com/maps/search/?api=1&amp;query=24.68278566,46.81484869", "View Map")</f>
        <v>View Map</v>
      </c>
    </row>
    <row r="332" spans="1:6" x14ac:dyDescent="0.35">
      <c r="A332" t="s">
        <v>2344</v>
      </c>
      <c r="B332" t="s">
        <v>2345</v>
      </c>
      <c r="C332" t="s">
        <v>1776</v>
      </c>
      <c r="D332" t="s">
        <v>13</v>
      </c>
      <c r="E332">
        <v>3090</v>
      </c>
      <c r="F332" t="str">
        <f>HYPERLINK("https://www.google.com/maps/search/?api=1&amp;query=24.8140633,46.80113044", "View Map")</f>
        <v>View Map</v>
      </c>
    </row>
    <row r="333" spans="1:6" x14ac:dyDescent="0.35">
      <c r="A333" t="s">
        <v>2346</v>
      </c>
      <c r="B333" t="s">
        <v>2347</v>
      </c>
      <c r="C333" t="s">
        <v>1776</v>
      </c>
      <c r="D333" t="s">
        <v>13</v>
      </c>
      <c r="E333">
        <v>3087</v>
      </c>
      <c r="F333" t="str">
        <f>HYPERLINK("https://www.google.com/maps/search/?api=1&amp;query=24.56722617,46.77511662", "View Map")</f>
        <v>View Map</v>
      </c>
    </row>
    <row r="334" spans="1:6" x14ac:dyDescent="0.35">
      <c r="A334" t="s">
        <v>2348</v>
      </c>
      <c r="B334" t="s">
        <v>2349</v>
      </c>
      <c r="C334" t="s">
        <v>1776</v>
      </c>
      <c r="D334" t="s">
        <v>13</v>
      </c>
      <c r="E334">
        <v>3086</v>
      </c>
      <c r="F334" t="str">
        <f>HYPERLINK("https://www.google.com/maps/search/?api=1&amp;query=24.67481433,46.64755393", "View Map")</f>
        <v>View Map</v>
      </c>
    </row>
    <row r="335" spans="1:6" x14ac:dyDescent="0.35">
      <c r="A335" t="s">
        <v>2043</v>
      </c>
      <c r="B335" t="s">
        <v>2350</v>
      </c>
      <c r="C335" t="s">
        <v>1776</v>
      </c>
      <c r="D335" t="s">
        <v>13</v>
      </c>
      <c r="E335">
        <v>3081</v>
      </c>
      <c r="F335" t="str">
        <f>HYPERLINK("https://www.google.com/maps/search/?api=1&amp;query=24.58332442,46.77322389", "View Map")</f>
        <v>View Map</v>
      </c>
    </row>
    <row r="336" spans="1:6" x14ac:dyDescent="0.35">
      <c r="A336" t="s">
        <v>1947</v>
      </c>
      <c r="B336" t="s">
        <v>2351</v>
      </c>
      <c r="C336" t="s">
        <v>1776</v>
      </c>
      <c r="D336" t="s">
        <v>13</v>
      </c>
      <c r="E336">
        <v>3071</v>
      </c>
      <c r="F336" t="str">
        <f>HYPERLINK("https://www.google.com/maps/search/?api=1&amp;query=24.5572,46.5258", "View Map")</f>
        <v>View Map</v>
      </c>
    </row>
    <row r="337" spans="1:6" x14ac:dyDescent="0.35">
      <c r="A337" t="s">
        <v>2352</v>
      </c>
      <c r="B337" t="s">
        <v>2353</v>
      </c>
      <c r="C337" t="s">
        <v>1776</v>
      </c>
      <c r="D337" t="s">
        <v>13</v>
      </c>
      <c r="E337">
        <v>3070</v>
      </c>
      <c r="F337" t="str">
        <f>HYPERLINK("https://www.google.com/maps/search/?api=1&amp;query=24.73843638,46.79563318", "View Map")</f>
        <v>View Map</v>
      </c>
    </row>
    <row r="338" spans="1:6" x14ac:dyDescent="0.35">
      <c r="A338" t="s">
        <v>2354</v>
      </c>
      <c r="B338" t="s">
        <v>2355</v>
      </c>
      <c r="C338" t="s">
        <v>1776</v>
      </c>
      <c r="D338" t="s">
        <v>13</v>
      </c>
      <c r="E338">
        <v>3061</v>
      </c>
      <c r="F338" t="str">
        <f>HYPERLINK("https://www.google.com/maps/search/?api=1&amp;query=24.72941517,46.64848986", "View Map")</f>
        <v>View Map</v>
      </c>
    </row>
    <row r="339" spans="1:6" x14ac:dyDescent="0.35">
      <c r="A339" t="s">
        <v>1798</v>
      </c>
      <c r="B339" t="s">
        <v>2356</v>
      </c>
      <c r="C339" t="s">
        <v>1776</v>
      </c>
      <c r="D339" t="s">
        <v>13</v>
      </c>
      <c r="E339">
        <v>3061</v>
      </c>
      <c r="F339" t="str">
        <f>HYPERLINK("https://www.google.com/maps/search/?api=1&amp;query=24.81598812,46.72746", "View Map")</f>
        <v>View Map</v>
      </c>
    </row>
    <row r="340" spans="1:6" x14ac:dyDescent="0.35">
      <c r="A340" t="s">
        <v>2357</v>
      </c>
      <c r="B340" t="s">
        <v>2358</v>
      </c>
      <c r="C340" t="s">
        <v>1776</v>
      </c>
      <c r="D340" t="s">
        <v>13</v>
      </c>
      <c r="E340">
        <v>3049</v>
      </c>
      <c r="F340" t="str">
        <f>HYPERLINK("https://www.google.com/maps/search/?api=1&amp;query=24.63454616,46.68208697", "View Map")</f>
        <v>View Map</v>
      </c>
    </row>
    <row r="341" spans="1:6" x14ac:dyDescent="0.35">
      <c r="A341" t="s">
        <v>2359</v>
      </c>
      <c r="B341" t="s">
        <v>2360</v>
      </c>
      <c r="C341" t="s">
        <v>1776</v>
      </c>
      <c r="D341" t="s">
        <v>13</v>
      </c>
      <c r="E341">
        <v>3040</v>
      </c>
      <c r="F341" t="str">
        <f>HYPERLINK("https://www.google.com/maps/search/?api=1&amp;query=24.76167728,46.65921951", "View Map")</f>
        <v>View Map</v>
      </c>
    </row>
    <row r="342" spans="1:6" x14ac:dyDescent="0.35">
      <c r="A342" t="s">
        <v>2361</v>
      </c>
      <c r="B342" t="s">
        <v>2362</v>
      </c>
      <c r="C342" t="s">
        <v>1776</v>
      </c>
      <c r="D342" t="s">
        <v>13</v>
      </c>
      <c r="E342">
        <v>3038</v>
      </c>
      <c r="F342" t="str">
        <f>HYPERLINK("https://www.google.com/maps/search/?api=1&amp;query=24.54885924,46.86622893", "View Map")</f>
        <v>View Map</v>
      </c>
    </row>
    <row r="343" spans="1:6" x14ac:dyDescent="0.35">
      <c r="A343" t="s">
        <v>2363</v>
      </c>
      <c r="B343" t="s">
        <v>2364</v>
      </c>
      <c r="C343" t="s">
        <v>1776</v>
      </c>
      <c r="D343" t="s">
        <v>13</v>
      </c>
      <c r="E343">
        <v>3032</v>
      </c>
      <c r="F343" t="str">
        <f>HYPERLINK("https://www.google.com/maps/search/?api=1&amp;query=24.63499109,46.69101628", "View Map")</f>
        <v>View Map</v>
      </c>
    </row>
    <row r="344" spans="1:6" x14ac:dyDescent="0.35">
      <c r="A344" t="s">
        <v>1798</v>
      </c>
      <c r="B344" t="s">
        <v>2365</v>
      </c>
      <c r="C344" t="s">
        <v>1776</v>
      </c>
      <c r="D344" t="s">
        <v>13</v>
      </c>
      <c r="E344">
        <v>3022</v>
      </c>
      <c r="F344" t="str">
        <f>HYPERLINK("https://www.google.com/maps/search/?api=1&amp;query=24.79032223,46.59870231", "View Map")</f>
        <v>View Map</v>
      </c>
    </row>
    <row r="345" spans="1:6" x14ac:dyDescent="0.35">
      <c r="A345" t="s">
        <v>2366</v>
      </c>
      <c r="B345" t="s">
        <v>2367</v>
      </c>
      <c r="C345" t="s">
        <v>1776</v>
      </c>
      <c r="D345" t="s">
        <v>13</v>
      </c>
      <c r="E345">
        <v>3010</v>
      </c>
      <c r="F345" t="str">
        <f>HYPERLINK("https://www.google.com/maps/search/?api=1&amp;query=24.68720105,46.75389824", "View Map")</f>
        <v>View Map</v>
      </c>
    </row>
    <row r="346" spans="1:6" x14ac:dyDescent="0.35">
      <c r="A346" t="s">
        <v>1798</v>
      </c>
      <c r="B346" t="s">
        <v>2368</v>
      </c>
      <c r="C346" t="s">
        <v>1776</v>
      </c>
      <c r="D346" t="s">
        <v>13</v>
      </c>
      <c r="E346">
        <v>3009</v>
      </c>
      <c r="F346" t="str">
        <f>HYPERLINK("https://www.google.com/maps/search/?api=1&amp;query=24.79683667,46.7940238", "View Map")</f>
        <v>View Map</v>
      </c>
    </row>
    <row r="347" spans="1:6" x14ac:dyDescent="0.35">
      <c r="A347" t="s">
        <v>2369</v>
      </c>
      <c r="B347" t="s">
        <v>2370</v>
      </c>
      <c r="C347" t="s">
        <v>1843</v>
      </c>
      <c r="D347" t="s">
        <v>13</v>
      </c>
      <c r="E347">
        <v>3003</v>
      </c>
      <c r="F347" t="str">
        <f>HYPERLINK("https://www.google.com/maps/search/?api=1&amp;query=24.77658931,46.57349104", "View Map")</f>
        <v>View Map</v>
      </c>
    </row>
    <row r="348" spans="1:6" x14ac:dyDescent="0.35">
      <c r="A348" t="s">
        <v>2371</v>
      </c>
      <c r="B348" t="s">
        <v>2372</v>
      </c>
      <c r="C348" t="s">
        <v>1776</v>
      </c>
      <c r="D348" t="s">
        <v>13</v>
      </c>
      <c r="E348">
        <v>3001</v>
      </c>
      <c r="F348" t="str">
        <f>HYPERLINK("https://www.google.com/maps/search/?api=1&amp;query=24.76325194,46.61802798", "View Map")</f>
        <v>View Map</v>
      </c>
    </row>
    <row r="349" spans="1:6" x14ac:dyDescent="0.35">
      <c r="A349" t="s">
        <v>2373</v>
      </c>
      <c r="B349" t="s">
        <v>2374</v>
      </c>
      <c r="C349" t="s">
        <v>1776</v>
      </c>
      <c r="D349" t="s">
        <v>13</v>
      </c>
      <c r="E349">
        <v>2997</v>
      </c>
      <c r="F349" t="str">
        <f>HYPERLINK("https://www.google.com/maps/search/?api=1&amp;query=24.57357787,46.75189298", "View Map")</f>
        <v>View Map</v>
      </c>
    </row>
    <row r="350" spans="1:6" x14ac:dyDescent="0.35">
      <c r="A350" t="s">
        <v>2375</v>
      </c>
      <c r="B350" t="s">
        <v>2376</v>
      </c>
      <c r="C350" t="s">
        <v>1776</v>
      </c>
      <c r="D350" t="s">
        <v>13</v>
      </c>
      <c r="E350">
        <v>2986</v>
      </c>
      <c r="F350" t="str">
        <f>HYPERLINK("https://www.google.com/maps/search/?api=1&amp;query=24.76372004,46.82905062", "View Map")</f>
        <v>View Map</v>
      </c>
    </row>
    <row r="351" spans="1:6" x14ac:dyDescent="0.35">
      <c r="A351" t="s">
        <v>2377</v>
      </c>
      <c r="B351" t="s">
        <v>2378</v>
      </c>
      <c r="C351" t="s">
        <v>1776</v>
      </c>
      <c r="D351" t="s">
        <v>13</v>
      </c>
      <c r="E351">
        <v>2982</v>
      </c>
      <c r="F351" t="str">
        <f>HYPERLINK("https://www.google.com/maps/search/?api=1&amp;query=24.7129834,46.79048354", "View Map")</f>
        <v>View Map</v>
      </c>
    </row>
    <row r="352" spans="1:6" x14ac:dyDescent="0.35">
      <c r="A352" t="s">
        <v>2379</v>
      </c>
      <c r="B352" t="s">
        <v>2380</v>
      </c>
      <c r="C352" t="s">
        <v>1776</v>
      </c>
      <c r="D352" t="s">
        <v>13</v>
      </c>
      <c r="E352">
        <v>2953</v>
      </c>
      <c r="F352" t="str">
        <f>HYPERLINK("https://www.google.com/maps/search/?api=1&amp;query=24.60389191,46.68976118", "View Map")</f>
        <v>View Map</v>
      </c>
    </row>
    <row r="353" spans="1:6" x14ac:dyDescent="0.35">
      <c r="A353" t="s">
        <v>1947</v>
      </c>
      <c r="B353" t="s">
        <v>2381</v>
      </c>
      <c r="C353" t="s">
        <v>1776</v>
      </c>
      <c r="D353" t="s">
        <v>13</v>
      </c>
      <c r="E353">
        <v>2951</v>
      </c>
      <c r="F353" t="str">
        <f>HYPERLINK("https://www.google.com/maps/search/?api=1&amp;query=24.56339244,46.59136083", "View Map")</f>
        <v>View Map</v>
      </c>
    </row>
    <row r="354" spans="1:6" x14ac:dyDescent="0.35">
      <c r="A354" t="s">
        <v>2382</v>
      </c>
      <c r="B354" t="s">
        <v>2383</v>
      </c>
      <c r="C354" t="s">
        <v>1776</v>
      </c>
      <c r="D354" t="s">
        <v>13</v>
      </c>
      <c r="E354">
        <v>2946</v>
      </c>
      <c r="F354" t="str">
        <f>HYPERLINK("https://www.google.com/maps/search/?api=1&amp;query=24.72993825,46.65608824", "View Map")</f>
        <v>View Map</v>
      </c>
    </row>
    <row r="355" spans="1:6" x14ac:dyDescent="0.35">
      <c r="A355" t="s">
        <v>2384</v>
      </c>
      <c r="B355" t="s">
        <v>2385</v>
      </c>
      <c r="C355" t="s">
        <v>1776</v>
      </c>
      <c r="D355" t="s">
        <v>13</v>
      </c>
      <c r="E355">
        <v>2944</v>
      </c>
      <c r="F355" t="str">
        <f>HYPERLINK("https://www.google.com/maps/search/?api=1&amp;query=24.80083616,46.64942101", "View Map")</f>
        <v>View Map</v>
      </c>
    </row>
    <row r="356" spans="1:6" x14ac:dyDescent="0.35">
      <c r="A356" t="s">
        <v>2386</v>
      </c>
      <c r="B356" t="s">
        <v>2387</v>
      </c>
      <c r="C356" t="s">
        <v>1776</v>
      </c>
      <c r="D356" t="s">
        <v>13</v>
      </c>
      <c r="E356">
        <v>2934</v>
      </c>
      <c r="F356" t="str">
        <f>HYPERLINK("https://www.google.com/maps/search/?api=1&amp;query=24.58436535,46.76394362", "View Map")</f>
        <v>View Map</v>
      </c>
    </row>
    <row r="357" spans="1:6" x14ac:dyDescent="0.35">
      <c r="A357" t="s">
        <v>2388</v>
      </c>
      <c r="B357" t="s">
        <v>2389</v>
      </c>
      <c r="C357" t="s">
        <v>1776</v>
      </c>
      <c r="D357" t="s">
        <v>13</v>
      </c>
      <c r="E357">
        <v>2934</v>
      </c>
      <c r="F357" t="str">
        <f>HYPERLINK("https://www.google.com/maps/search/?api=1&amp;query=24.69856028,46.78649476", "View Map")</f>
        <v>View Map</v>
      </c>
    </row>
    <row r="358" spans="1:6" x14ac:dyDescent="0.35">
      <c r="A358" t="s">
        <v>2390</v>
      </c>
      <c r="B358" t="s">
        <v>2391</v>
      </c>
      <c r="C358" t="s">
        <v>1776</v>
      </c>
      <c r="D358" t="s">
        <v>13</v>
      </c>
      <c r="E358">
        <v>2929</v>
      </c>
      <c r="F358" t="str">
        <f>HYPERLINK("https://www.google.com/maps/search/?api=1&amp;query=24.73160227,46.69385327", "View Map")</f>
        <v>View Map</v>
      </c>
    </row>
    <row r="359" spans="1:6" x14ac:dyDescent="0.35">
      <c r="A359" t="s">
        <v>2392</v>
      </c>
      <c r="B359" t="s">
        <v>2393</v>
      </c>
      <c r="C359" t="s">
        <v>1776</v>
      </c>
      <c r="D359" t="s">
        <v>13</v>
      </c>
      <c r="E359">
        <v>2927</v>
      </c>
      <c r="F359" t="str">
        <f>HYPERLINK("https://www.google.com/maps/search/?api=1&amp;query=24.68061524,46.7845886", "View Map")</f>
        <v>View Map</v>
      </c>
    </row>
    <row r="360" spans="1:6" x14ac:dyDescent="0.35">
      <c r="A360" t="s">
        <v>2394</v>
      </c>
      <c r="B360" t="s">
        <v>2395</v>
      </c>
      <c r="C360" t="s">
        <v>1776</v>
      </c>
      <c r="D360" t="s">
        <v>13</v>
      </c>
      <c r="E360">
        <v>2924</v>
      </c>
      <c r="F360" t="str">
        <f>HYPERLINK("https://www.google.com/maps/search/?api=1&amp;query=24.73451893,46.65339147", "View Map")</f>
        <v>View Map</v>
      </c>
    </row>
    <row r="361" spans="1:6" x14ac:dyDescent="0.35">
      <c r="A361" t="s">
        <v>2396</v>
      </c>
      <c r="B361" t="s">
        <v>2397</v>
      </c>
      <c r="C361" t="s">
        <v>1776</v>
      </c>
      <c r="D361" t="s">
        <v>13</v>
      </c>
      <c r="E361">
        <v>2908</v>
      </c>
      <c r="F361" t="str">
        <f>HYPERLINK("https://www.google.com/maps/search/?api=1&amp;query=24.60894509,46.74114648", "View Map")</f>
        <v>View Map</v>
      </c>
    </row>
    <row r="362" spans="1:6" x14ac:dyDescent="0.35">
      <c r="A362" t="s">
        <v>1798</v>
      </c>
      <c r="B362" t="s">
        <v>2398</v>
      </c>
      <c r="C362" t="s">
        <v>1776</v>
      </c>
      <c r="D362" t="s">
        <v>13</v>
      </c>
      <c r="E362">
        <v>2898</v>
      </c>
      <c r="F362" t="str">
        <f>HYPERLINK("https://www.google.com/maps/search/?api=1&amp;query=24.83703111,46.77066822", "View Map")</f>
        <v>View Map</v>
      </c>
    </row>
    <row r="363" spans="1:6" x14ac:dyDescent="0.35">
      <c r="A363" t="s">
        <v>2399</v>
      </c>
      <c r="B363" t="s">
        <v>2400</v>
      </c>
      <c r="C363" t="s">
        <v>1776</v>
      </c>
      <c r="D363" t="s">
        <v>13</v>
      </c>
      <c r="E363">
        <v>2898</v>
      </c>
      <c r="F363" t="str">
        <f>HYPERLINK("https://www.google.com/maps/search/?api=1&amp;query=24.73280569,46.66256694", "View Map")</f>
        <v>View Map</v>
      </c>
    </row>
    <row r="364" spans="1:6" x14ac:dyDescent="0.35">
      <c r="A364" t="s">
        <v>2401</v>
      </c>
      <c r="B364" t="s">
        <v>2402</v>
      </c>
      <c r="C364" t="s">
        <v>1776</v>
      </c>
      <c r="D364" t="s">
        <v>13</v>
      </c>
      <c r="E364">
        <v>2894</v>
      </c>
      <c r="F364" t="str">
        <f>HYPERLINK("https://www.google.com/maps/search/?api=1&amp;query=24.67036033,46.79370774", "View Map")</f>
        <v>View Map</v>
      </c>
    </row>
    <row r="365" spans="1:6" x14ac:dyDescent="0.35">
      <c r="A365" t="s">
        <v>2403</v>
      </c>
      <c r="B365" t="s">
        <v>2404</v>
      </c>
      <c r="C365" t="s">
        <v>1776</v>
      </c>
      <c r="D365" t="s">
        <v>13</v>
      </c>
      <c r="E365">
        <v>2891</v>
      </c>
      <c r="F365" t="str">
        <f>HYPERLINK("https://www.google.com/maps/search/?api=1&amp;query=24.67519209,46.79597774", "View Map")</f>
        <v>View Map</v>
      </c>
    </row>
    <row r="366" spans="1:6" x14ac:dyDescent="0.35">
      <c r="A366" t="s">
        <v>1798</v>
      </c>
      <c r="B366" t="s">
        <v>2405</v>
      </c>
      <c r="C366" t="s">
        <v>1776</v>
      </c>
      <c r="D366" t="s">
        <v>13</v>
      </c>
      <c r="E366">
        <v>2887</v>
      </c>
      <c r="F366" t="str">
        <f>HYPERLINK("https://www.google.com/maps/search/?api=1&amp;query=24.82311751,46.77345016", "View Map")</f>
        <v>View Map</v>
      </c>
    </row>
    <row r="367" spans="1:6" x14ac:dyDescent="0.35">
      <c r="A367" t="s">
        <v>2406</v>
      </c>
      <c r="B367" t="s">
        <v>2407</v>
      </c>
      <c r="C367" t="s">
        <v>1776</v>
      </c>
      <c r="D367" t="s">
        <v>13</v>
      </c>
      <c r="E367">
        <v>2885</v>
      </c>
      <c r="F367" t="str">
        <f>HYPERLINK("https://www.google.com/maps/search/?api=1&amp;query=24.6788181,46.82417938", "View Map")</f>
        <v>View Map</v>
      </c>
    </row>
    <row r="368" spans="1:6" x14ac:dyDescent="0.35">
      <c r="A368" t="s">
        <v>2408</v>
      </c>
      <c r="B368" t="s">
        <v>2409</v>
      </c>
      <c r="C368" t="s">
        <v>1776</v>
      </c>
      <c r="D368" t="s">
        <v>13</v>
      </c>
      <c r="E368">
        <v>2884</v>
      </c>
      <c r="F368" t="str">
        <f>HYPERLINK("https://www.google.com/maps/search/?api=1&amp;query=24.59371774,46.76144005", "View Map")</f>
        <v>View Map</v>
      </c>
    </row>
    <row r="369" spans="1:6" x14ac:dyDescent="0.35">
      <c r="A369" t="s">
        <v>2410</v>
      </c>
      <c r="B369" t="s">
        <v>2411</v>
      </c>
      <c r="C369" t="s">
        <v>1776</v>
      </c>
      <c r="D369" t="s">
        <v>13</v>
      </c>
      <c r="E369">
        <v>2883</v>
      </c>
      <c r="F369" t="str">
        <f>HYPERLINK("https://www.google.com/maps/search/?api=1&amp;query=24.77321573,46.64560772", "View Map")</f>
        <v>View Map</v>
      </c>
    </row>
    <row r="370" spans="1:6" x14ac:dyDescent="0.35">
      <c r="A370" t="s">
        <v>2412</v>
      </c>
      <c r="B370" t="s">
        <v>2413</v>
      </c>
      <c r="C370" t="s">
        <v>1776</v>
      </c>
      <c r="D370" t="s">
        <v>13</v>
      </c>
      <c r="E370">
        <v>2881</v>
      </c>
      <c r="F370" t="str">
        <f>HYPERLINK("https://www.google.com/maps/search/?api=1&amp;query=24.81650648,46.77273439", "View Map")</f>
        <v>View Map</v>
      </c>
    </row>
    <row r="371" spans="1:6" x14ac:dyDescent="0.35">
      <c r="A371" t="s">
        <v>2414</v>
      </c>
      <c r="B371" t="s">
        <v>2415</v>
      </c>
      <c r="C371" t="s">
        <v>1776</v>
      </c>
      <c r="D371" t="s">
        <v>13</v>
      </c>
      <c r="E371">
        <v>2876</v>
      </c>
      <c r="F371" t="str">
        <f>HYPERLINK("https://www.google.com/maps/search/?api=1&amp;query=24.7089,46.7492", "View Map")</f>
        <v>View Map</v>
      </c>
    </row>
    <row r="372" spans="1:6" x14ac:dyDescent="0.35">
      <c r="A372" t="s">
        <v>1798</v>
      </c>
      <c r="B372" t="s">
        <v>2416</v>
      </c>
      <c r="C372" t="s">
        <v>1776</v>
      </c>
      <c r="D372" t="s">
        <v>13</v>
      </c>
      <c r="E372">
        <v>2875</v>
      </c>
      <c r="F372" t="str">
        <f>HYPERLINK("https://www.google.com/maps/search/?api=1&amp;query=24.82910127,46.63398993", "View Map")</f>
        <v>View Map</v>
      </c>
    </row>
    <row r="373" spans="1:6" x14ac:dyDescent="0.35">
      <c r="A373" t="s">
        <v>2417</v>
      </c>
      <c r="B373" t="s">
        <v>2418</v>
      </c>
      <c r="C373" t="s">
        <v>1776</v>
      </c>
      <c r="D373" t="s">
        <v>13</v>
      </c>
      <c r="E373">
        <v>2870</v>
      </c>
      <c r="F373" t="str">
        <f>HYPERLINK("https://www.google.com/maps/search/?api=1&amp;query=24.57545013,46.6309083", "View Map")</f>
        <v>View Map</v>
      </c>
    </row>
    <row r="374" spans="1:6" x14ac:dyDescent="0.35">
      <c r="A374" t="s">
        <v>1794</v>
      </c>
      <c r="B374" t="s">
        <v>2419</v>
      </c>
      <c r="C374" t="s">
        <v>1776</v>
      </c>
      <c r="D374" t="s">
        <v>13</v>
      </c>
      <c r="E374">
        <v>2858</v>
      </c>
      <c r="F374" t="str">
        <f>HYPERLINK("https://www.google.com/maps/search/?api=1&amp;query=24.63850329,46.58642776", "View Map")</f>
        <v>View Map</v>
      </c>
    </row>
    <row r="375" spans="1:6" x14ac:dyDescent="0.35">
      <c r="A375" t="s">
        <v>1995</v>
      </c>
      <c r="B375" t="s">
        <v>2420</v>
      </c>
      <c r="C375" t="s">
        <v>1776</v>
      </c>
      <c r="D375" t="s">
        <v>13</v>
      </c>
      <c r="E375">
        <v>2849</v>
      </c>
      <c r="F375" t="str">
        <f>HYPERLINK("https://www.google.com/maps/search/?api=1&amp;query=24.70510695,46.66334575", "View Map")</f>
        <v>View Map</v>
      </c>
    </row>
    <row r="376" spans="1:6" x14ac:dyDescent="0.35">
      <c r="A376" t="s">
        <v>1798</v>
      </c>
      <c r="B376" t="s">
        <v>2421</v>
      </c>
      <c r="C376" t="s">
        <v>1776</v>
      </c>
      <c r="D376" t="s">
        <v>13</v>
      </c>
      <c r="E376">
        <v>2845</v>
      </c>
      <c r="F376" t="str">
        <f>HYPERLINK("https://www.google.com/maps/search/?api=1&amp;query=24.83613636,46.60738876", "View Map")</f>
        <v>View Map</v>
      </c>
    </row>
    <row r="377" spans="1:6" x14ac:dyDescent="0.35">
      <c r="A377" t="s">
        <v>2422</v>
      </c>
      <c r="B377" t="s">
        <v>2423</v>
      </c>
      <c r="C377" t="s">
        <v>1776</v>
      </c>
      <c r="D377" t="s">
        <v>13</v>
      </c>
      <c r="E377">
        <v>2839</v>
      </c>
      <c r="F377" t="str">
        <f>HYPERLINK("https://www.google.com/maps/search/?api=1&amp;query=24.64237849,46.69975979", "View Map")</f>
        <v>View Map</v>
      </c>
    </row>
    <row r="378" spans="1:6" x14ac:dyDescent="0.35">
      <c r="A378" t="s">
        <v>2424</v>
      </c>
      <c r="B378" t="s">
        <v>2425</v>
      </c>
      <c r="C378" t="s">
        <v>1776</v>
      </c>
      <c r="D378" t="s">
        <v>13</v>
      </c>
      <c r="E378">
        <v>2822</v>
      </c>
      <c r="F378" t="str">
        <f>HYPERLINK("https://www.google.com/maps/search/?api=1&amp;query=24.73238448,46.7794887", "View Map")</f>
        <v>View Map</v>
      </c>
    </row>
    <row r="379" spans="1:6" x14ac:dyDescent="0.35">
      <c r="A379" t="s">
        <v>2178</v>
      </c>
      <c r="B379" t="s">
        <v>2426</v>
      </c>
      <c r="C379" t="s">
        <v>1776</v>
      </c>
      <c r="D379" t="s">
        <v>13</v>
      </c>
      <c r="E379">
        <v>2821</v>
      </c>
      <c r="F379" t="str">
        <f>HYPERLINK("https://www.google.com/maps/search/?api=1&amp;query=24.86124226,46.64060644", "View Map")</f>
        <v>View Map</v>
      </c>
    </row>
    <row r="380" spans="1:6" x14ac:dyDescent="0.35">
      <c r="A380" t="s">
        <v>2427</v>
      </c>
      <c r="B380" t="s">
        <v>2428</v>
      </c>
      <c r="C380" t="s">
        <v>1776</v>
      </c>
      <c r="D380" t="s">
        <v>13</v>
      </c>
      <c r="E380">
        <v>2819</v>
      </c>
      <c r="F380" t="str">
        <f>HYPERLINK("https://www.google.com/maps/search/?api=1&amp;query=24.7820034,46.63845924", "View Map")</f>
        <v>View Map</v>
      </c>
    </row>
    <row r="381" spans="1:6" x14ac:dyDescent="0.35">
      <c r="A381" t="s">
        <v>1798</v>
      </c>
      <c r="B381" t="s">
        <v>2429</v>
      </c>
      <c r="C381" t="s">
        <v>1843</v>
      </c>
      <c r="D381" t="s">
        <v>13</v>
      </c>
      <c r="E381">
        <v>2810</v>
      </c>
      <c r="F381" t="str">
        <f>HYPERLINK("https://www.google.com/maps/search/?api=1&amp;query=24.82563064,46.56039825", "View Map")</f>
        <v>View Map</v>
      </c>
    </row>
    <row r="382" spans="1:6" x14ac:dyDescent="0.35">
      <c r="A382" t="s">
        <v>2430</v>
      </c>
      <c r="B382" t="s">
        <v>2431</v>
      </c>
      <c r="C382" t="s">
        <v>1776</v>
      </c>
      <c r="D382" t="s">
        <v>13</v>
      </c>
      <c r="E382">
        <v>2805</v>
      </c>
      <c r="F382" t="str">
        <f>HYPERLINK("https://www.google.com/maps/search/?api=1&amp;query=24.67828762,46.64568013", "View Map")</f>
        <v>View Map</v>
      </c>
    </row>
    <row r="383" spans="1:6" x14ac:dyDescent="0.35">
      <c r="A383" t="s">
        <v>1806</v>
      </c>
      <c r="B383" t="s">
        <v>2432</v>
      </c>
      <c r="C383" t="s">
        <v>1776</v>
      </c>
      <c r="D383" t="s">
        <v>13</v>
      </c>
      <c r="E383">
        <v>2804</v>
      </c>
      <c r="F383" t="str">
        <f>HYPERLINK("https://www.google.com/maps/search/?api=1&amp;query=24.823577,46.734064", "View Map")</f>
        <v>View Map</v>
      </c>
    </row>
    <row r="384" spans="1:6" x14ac:dyDescent="0.35">
      <c r="A384" t="s">
        <v>2433</v>
      </c>
      <c r="B384" t="s">
        <v>2434</v>
      </c>
      <c r="C384" t="s">
        <v>1776</v>
      </c>
      <c r="D384" t="s">
        <v>13</v>
      </c>
      <c r="E384">
        <v>2797</v>
      </c>
      <c r="F384" t="str">
        <f>HYPERLINK("https://www.google.com/maps/search/?api=1&amp;query=24.68403664,46.64290979", "View Map")</f>
        <v>View Map</v>
      </c>
    </row>
    <row r="385" spans="1:6" x14ac:dyDescent="0.35">
      <c r="A385" t="s">
        <v>1798</v>
      </c>
      <c r="B385" t="s">
        <v>2435</v>
      </c>
      <c r="C385" t="s">
        <v>1776</v>
      </c>
      <c r="D385" t="s">
        <v>13</v>
      </c>
      <c r="E385">
        <v>2795</v>
      </c>
      <c r="F385" t="str">
        <f>HYPERLINK("https://www.google.com/maps/search/?api=1&amp;query=24.8224203,46.73908315", "View Map")</f>
        <v>View Map</v>
      </c>
    </row>
    <row r="386" spans="1:6" x14ac:dyDescent="0.35">
      <c r="A386" t="s">
        <v>2436</v>
      </c>
      <c r="B386" t="s">
        <v>2437</v>
      </c>
      <c r="C386" t="s">
        <v>1776</v>
      </c>
      <c r="D386" t="s">
        <v>13</v>
      </c>
      <c r="E386">
        <v>2764</v>
      </c>
      <c r="F386" t="str">
        <f>HYPERLINK("https://www.google.com/maps/search/?api=1&amp;query=24.59053613,46.64161047", "View Map")</f>
        <v>View Map</v>
      </c>
    </row>
    <row r="387" spans="1:6" x14ac:dyDescent="0.35">
      <c r="A387" t="s">
        <v>2438</v>
      </c>
      <c r="B387" t="s">
        <v>2439</v>
      </c>
      <c r="C387" t="s">
        <v>1776</v>
      </c>
      <c r="D387" t="s">
        <v>13</v>
      </c>
      <c r="E387">
        <v>2763</v>
      </c>
      <c r="F387" t="str">
        <f>HYPERLINK("https://www.google.com/maps/search/?api=1&amp;query=24.79919183,46.90345477", "View Map")</f>
        <v>View Map</v>
      </c>
    </row>
    <row r="388" spans="1:6" x14ac:dyDescent="0.35">
      <c r="A388" t="s">
        <v>2440</v>
      </c>
      <c r="B388" t="s">
        <v>2441</v>
      </c>
      <c r="C388" t="s">
        <v>1776</v>
      </c>
      <c r="D388" t="s">
        <v>13</v>
      </c>
      <c r="E388">
        <v>2757</v>
      </c>
      <c r="F388" t="str">
        <f>HYPERLINK("https://www.google.com/maps/search/?api=1&amp;query=24.74580983,46.83531074", "View Map")</f>
        <v>View Map</v>
      </c>
    </row>
    <row r="389" spans="1:6" x14ac:dyDescent="0.35">
      <c r="A389" t="s">
        <v>1947</v>
      </c>
      <c r="B389" t="s">
        <v>2442</v>
      </c>
      <c r="C389" t="s">
        <v>1776</v>
      </c>
      <c r="D389" t="s">
        <v>13</v>
      </c>
      <c r="E389">
        <v>2753</v>
      </c>
      <c r="F389" t="str">
        <f>HYPERLINK("https://www.google.com/maps/search/?api=1&amp;query=24.53586152,46.63978243", "View Map")</f>
        <v>View Map</v>
      </c>
    </row>
    <row r="390" spans="1:6" x14ac:dyDescent="0.35">
      <c r="A390" t="s">
        <v>2443</v>
      </c>
      <c r="B390" t="s">
        <v>2444</v>
      </c>
      <c r="C390" t="s">
        <v>1776</v>
      </c>
      <c r="D390" t="s">
        <v>13</v>
      </c>
      <c r="E390">
        <v>2753</v>
      </c>
      <c r="F390" t="str">
        <f>HYPERLINK("https://www.google.com/maps/search/?api=1&amp;query=24.61242848,46.74421928", "View Map")</f>
        <v>View Map</v>
      </c>
    </row>
    <row r="391" spans="1:6" x14ac:dyDescent="0.35">
      <c r="A391" t="s">
        <v>2445</v>
      </c>
      <c r="B391" t="s">
        <v>2446</v>
      </c>
      <c r="C391" t="s">
        <v>1776</v>
      </c>
      <c r="D391" t="s">
        <v>13</v>
      </c>
      <c r="E391">
        <v>2750</v>
      </c>
      <c r="F391" t="str">
        <f>HYPERLINK("https://www.google.com/maps/search/?api=1&amp;query=24.68959386,46.61181068", "View Map")</f>
        <v>View Map</v>
      </c>
    </row>
    <row r="392" spans="1:6" x14ac:dyDescent="0.35">
      <c r="A392" t="s">
        <v>1798</v>
      </c>
      <c r="B392" t="s">
        <v>2447</v>
      </c>
      <c r="C392" t="s">
        <v>1776</v>
      </c>
      <c r="D392" t="s">
        <v>13</v>
      </c>
      <c r="E392">
        <v>2744</v>
      </c>
      <c r="F392" t="str">
        <f>HYPERLINK("https://www.google.com/maps/search/?api=1&amp;query=24.7251261,46.75134483", "View Map")</f>
        <v>View Map</v>
      </c>
    </row>
    <row r="393" spans="1:6" x14ac:dyDescent="0.35">
      <c r="A393" t="s">
        <v>1947</v>
      </c>
      <c r="B393" t="s">
        <v>2448</v>
      </c>
      <c r="C393" t="s">
        <v>1776</v>
      </c>
      <c r="D393" t="s">
        <v>13</v>
      </c>
      <c r="E393">
        <v>2740</v>
      </c>
      <c r="F393" t="str">
        <f>HYPERLINK("https://www.google.com/maps/search/?api=1&amp;query=24.68303487,46.57086891", "View Map")</f>
        <v>View Map</v>
      </c>
    </row>
    <row r="394" spans="1:6" x14ac:dyDescent="0.35">
      <c r="A394" t="s">
        <v>2449</v>
      </c>
      <c r="B394" t="s">
        <v>2450</v>
      </c>
      <c r="C394" t="s">
        <v>1776</v>
      </c>
      <c r="D394" t="s">
        <v>13</v>
      </c>
      <c r="E394">
        <v>2731</v>
      </c>
      <c r="F394" t="str">
        <f>HYPERLINK("https://www.google.com/maps/search/?api=1&amp;query=24.68401806,46.67712572", "View Map")</f>
        <v>View Map</v>
      </c>
    </row>
    <row r="395" spans="1:6" x14ac:dyDescent="0.35">
      <c r="A395" t="s">
        <v>2451</v>
      </c>
      <c r="B395" t="s">
        <v>2452</v>
      </c>
      <c r="C395" t="s">
        <v>1776</v>
      </c>
      <c r="D395" t="s">
        <v>13</v>
      </c>
      <c r="E395">
        <v>2725</v>
      </c>
      <c r="F395" t="str">
        <f>HYPERLINK("https://www.google.com/maps/search/?api=1&amp;query=24.79818718,46.6509949", "View Map")</f>
        <v>View Map</v>
      </c>
    </row>
    <row r="396" spans="1:6" x14ac:dyDescent="0.35">
      <c r="A396" t="s">
        <v>2453</v>
      </c>
      <c r="B396" t="s">
        <v>2454</v>
      </c>
      <c r="C396" t="s">
        <v>1776</v>
      </c>
      <c r="D396" t="s">
        <v>13</v>
      </c>
      <c r="E396">
        <v>2723</v>
      </c>
      <c r="F396" t="str">
        <f>HYPERLINK("https://www.google.com/maps/search/?api=1&amp;query=24.5976122,46.86700742", "View Map")</f>
        <v>View Map</v>
      </c>
    </row>
    <row r="397" spans="1:6" x14ac:dyDescent="0.35">
      <c r="A397" t="s">
        <v>2455</v>
      </c>
      <c r="B397" t="s">
        <v>2456</v>
      </c>
      <c r="C397" t="s">
        <v>1776</v>
      </c>
      <c r="D397" t="s">
        <v>13</v>
      </c>
      <c r="E397">
        <v>2723</v>
      </c>
      <c r="F397" t="str">
        <f>HYPERLINK("https://www.google.com/maps/search/?api=1&amp;query=24.68586567,46.6778582", "View Map")</f>
        <v>View Map</v>
      </c>
    </row>
    <row r="398" spans="1:6" x14ac:dyDescent="0.35">
      <c r="A398" t="s">
        <v>1798</v>
      </c>
      <c r="B398" t="s">
        <v>2457</v>
      </c>
      <c r="C398" t="s">
        <v>1776</v>
      </c>
      <c r="D398" t="s">
        <v>13</v>
      </c>
      <c r="E398">
        <v>2706</v>
      </c>
      <c r="F398" t="str">
        <f>HYPERLINK("https://www.google.com/maps/search/?api=1&amp;query=24.8034611,46.84307362", "View Map")</f>
        <v>View Map</v>
      </c>
    </row>
    <row r="399" spans="1:6" x14ac:dyDescent="0.35">
      <c r="A399" t="s">
        <v>2458</v>
      </c>
      <c r="B399" t="s">
        <v>2459</v>
      </c>
      <c r="C399" t="s">
        <v>1776</v>
      </c>
      <c r="D399" t="s">
        <v>13</v>
      </c>
      <c r="E399">
        <v>2704</v>
      </c>
      <c r="F399" t="str">
        <f>HYPERLINK("https://www.google.com/maps/search/?api=1&amp;query=24.73790389,46.71423975", "View Map")</f>
        <v>View Map</v>
      </c>
    </row>
    <row r="400" spans="1:6" x14ac:dyDescent="0.35">
      <c r="A400" t="s">
        <v>2460</v>
      </c>
      <c r="B400" t="s">
        <v>2461</v>
      </c>
      <c r="C400" t="s">
        <v>1776</v>
      </c>
      <c r="D400" t="s">
        <v>13</v>
      </c>
      <c r="E400">
        <v>2700</v>
      </c>
      <c r="F400" t="str">
        <f>HYPERLINK("https://www.google.com/maps/search/?api=1&amp;query=24.69716626,46.75205603", "View Map")</f>
        <v>View Map</v>
      </c>
    </row>
    <row r="401" spans="1:6" x14ac:dyDescent="0.35">
      <c r="A401" t="s">
        <v>2462</v>
      </c>
      <c r="B401" t="s">
        <v>2463</v>
      </c>
      <c r="C401" t="s">
        <v>1776</v>
      </c>
      <c r="D401" t="s">
        <v>13</v>
      </c>
      <c r="E401">
        <v>2699</v>
      </c>
      <c r="F401" t="str">
        <f>HYPERLINK("https://www.google.com/maps/search/?api=1&amp;query=24.78505252,46.75259701", "View Map")</f>
        <v>View Map</v>
      </c>
    </row>
    <row r="402" spans="1:6" x14ac:dyDescent="0.35">
      <c r="A402" t="s">
        <v>1806</v>
      </c>
      <c r="B402" t="s">
        <v>2464</v>
      </c>
      <c r="C402" t="s">
        <v>1776</v>
      </c>
      <c r="D402" t="s">
        <v>13</v>
      </c>
      <c r="E402">
        <v>2694</v>
      </c>
      <c r="F402" t="str">
        <f>HYPERLINK("https://www.google.com/maps/search/?api=1&amp;query=24.82971391,46.73196701", "View Map")</f>
        <v>View Map</v>
      </c>
    </row>
    <row r="403" spans="1:6" x14ac:dyDescent="0.35">
      <c r="A403" t="s">
        <v>2465</v>
      </c>
      <c r="B403" t="s">
        <v>2466</v>
      </c>
      <c r="C403" t="s">
        <v>1776</v>
      </c>
      <c r="D403" t="s">
        <v>13</v>
      </c>
      <c r="E403">
        <v>2692</v>
      </c>
      <c r="F403" t="str">
        <f>HYPERLINK("https://www.google.com/maps/search/?api=1&amp;query=24.58331852,46.61143754", "View Map")</f>
        <v>View Map</v>
      </c>
    </row>
    <row r="404" spans="1:6" x14ac:dyDescent="0.35">
      <c r="A404" t="s">
        <v>1947</v>
      </c>
      <c r="B404" t="s">
        <v>2467</v>
      </c>
      <c r="C404" t="s">
        <v>1776</v>
      </c>
      <c r="D404" t="s">
        <v>13</v>
      </c>
      <c r="E404">
        <v>2691</v>
      </c>
      <c r="F404" t="str">
        <f>HYPERLINK("https://www.google.com/maps/search/?api=1&amp;query=24.56314833,46.59821793", "View Map")</f>
        <v>View Map</v>
      </c>
    </row>
    <row r="405" spans="1:6" x14ac:dyDescent="0.35">
      <c r="A405" t="s">
        <v>1798</v>
      </c>
      <c r="B405" t="s">
        <v>2468</v>
      </c>
      <c r="C405" t="s">
        <v>1776</v>
      </c>
      <c r="D405" t="s">
        <v>13</v>
      </c>
      <c r="E405">
        <v>2689</v>
      </c>
      <c r="F405" t="str">
        <f>HYPERLINK("https://www.google.com/maps/search/?api=1&amp;query=24.85522799,46.62433144", "View Map")</f>
        <v>View Map</v>
      </c>
    </row>
    <row r="406" spans="1:6" x14ac:dyDescent="0.35">
      <c r="A406" t="s">
        <v>2469</v>
      </c>
      <c r="B406" t="s">
        <v>2470</v>
      </c>
      <c r="C406" t="s">
        <v>1776</v>
      </c>
      <c r="D406" t="s">
        <v>13</v>
      </c>
      <c r="E406">
        <v>2685</v>
      </c>
      <c r="F406" t="str">
        <f>HYPERLINK("https://www.google.com/maps/search/?api=1&amp;query=24.79958821,46.63371581", "View Map")</f>
        <v>View Map</v>
      </c>
    </row>
    <row r="407" spans="1:6" x14ac:dyDescent="0.35">
      <c r="A407" t="s">
        <v>2471</v>
      </c>
      <c r="B407" t="s">
        <v>2472</v>
      </c>
      <c r="C407" t="s">
        <v>1776</v>
      </c>
      <c r="D407" t="s">
        <v>13</v>
      </c>
      <c r="E407">
        <v>2682</v>
      </c>
      <c r="F407" t="str">
        <f>HYPERLINK("https://www.google.com/maps/search/?api=1&amp;query=24.67875292,46.70016142", "View Map")</f>
        <v>View Map</v>
      </c>
    </row>
    <row r="408" spans="1:6" x14ac:dyDescent="0.35">
      <c r="A408" t="s">
        <v>1947</v>
      </c>
      <c r="B408" t="s">
        <v>2473</v>
      </c>
      <c r="C408" t="s">
        <v>1776</v>
      </c>
      <c r="D408" t="s">
        <v>13</v>
      </c>
      <c r="E408">
        <v>2682</v>
      </c>
      <c r="F408" t="str">
        <f>HYPERLINK("https://www.google.com/maps/search/?api=1&amp;query=24.55106877,46.67705814", "View Map")</f>
        <v>View Map</v>
      </c>
    </row>
    <row r="409" spans="1:6" x14ac:dyDescent="0.35">
      <c r="A409" t="s">
        <v>2474</v>
      </c>
      <c r="B409" t="s">
        <v>2475</v>
      </c>
      <c r="C409" t="s">
        <v>1776</v>
      </c>
      <c r="D409" t="s">
        <v>13</v>
      </c>
      <c r="E409">
        <v>2675</v>
      </c>
      <c r="F409" t="str">
        <f>HYPERLINK("https://www.google.com/maps/search/?api=1&amp;query=24.7915941,46.65051766", "View Map")</f>
        <v>View Map</v>
      </c>
    </row>
    <row r="410" spans="1:6" x14ac:dyDescent="0.35">
      <c r="A410" t="s">
        <v>961</v>
      </c>
      <c r="B410" t="s">
        <v>2476</v>
      </c>
      <c r="C410" t="s">
        <v>1776</v>
      </c>
      <c r="D410" t="s">
        <v>13</v>
      </c>
      <c r="E410">
        <v>2671</v>
      </c>
      <c r="F410" t="str">
        <f>HYPERLINK("https://www.google.com/maps/search/?api=1&amp;query=24.58589189,46.78317575", "View Map")</f>
        <v>View Map</v>
      </c>
    </row>
    <row r="411" spans="1:6" x14ac:dyDescent="0.35">
      <c r="A411" t="s">
        <v>1947</v>
      </c>
      <c r="B411" t="s">
        <v>2477</v>
      </c>
      <c r="C411" t="s">
        <v>1776</v>
      </c>
      <c r="D411" t="s">
        <v>13</v>
      </c>
      <c r="E411">
        <v>2671</v>
      </c>
      <c r="F411" t="str">
        <f>HYPERLINK("https://www.google.com/maps/search/?api=1&amp;query=24.53493221,46.71747365", "View Map")</f>
        <v>View Map</v>
      </c>
    </row>
    <row r="412" spans="1:6" x14ac:dyDescent="0.35">
      <c r="A412" t="s">
        <v>2478</v>
      </c>
      <c r="B412" t="s">
        <v>2479</v>
      </c>
      <c r="C412" t="s">
        <v>1776</v>
      </c>
      <c r="D412" t="s">
        <v>13</v>
      </c>
      <c r="E412">
        <v>2670</v>
      </c>
      <c r="F412" t="str">
        <f>HYPERLINK("https://www.google.com/maps/search/?api=1&amp;query=24.80595262,46.60508968", "View Map")</f>
        <v>View Map</v>
      </c>
    </row>
    <row r="413" spans="1:6" x14ac:dyDescent="0.35">
      <c r="A413" t="s">
        <v>1976</v>
      </c>
      <c r="B413" t="s">
        <v>2480</v>
      </c>
      <c r="C413" t="s">
        <v>1776</v>
      </c>
      <c r="D413" t="s">
        <v>13</v>
      </c>
      <c r="E413">
        <v>2662</v>
      </c>
      <c r="F413" t="str">
        <f>HYPERLINK("https://www.google.com/maps/search/?api=1&amp;query=24.76531804,46.7630721", "View Map")</f>
        <v>View Map</v>
      </c>
    </row>
    <row r="414" spans="1:6" x14ac:dyDescent="0.35">
      <c r="A414" t="s">
        <v>1794</v>
      </c>
      <c r="B414" t="s">
        <v>2481</v>
      </c>
      <c r="C414" t="s">
        <v>1843</v>
      </c>
      <c r="D414" t="s">
        <v>13</v>
      </c>
      <c r="E414">
        <v>2652</v>
      </c>
      <c r="F414" t="str">
        <f>HYPERLINK("https://www.google.com/maps/search/?api=1&amp;query=24.7731,46.5667", "View Map")</f>
        <v>View Map</v>
      </c>
    </row>
    <row r="415" spans="1:6" x14ac:dyDescent="0.35">
      <c r="A415" t="s">
        <v>2482</v>
      </c>
      <c r="B415" t="s">
        <v>2483</v>
      </c>
      <c r="C415" t="s">
        <v>1776</v>
      </c>
      <c r="D415" t="s">
        <v>13</v>
      </c>
      <c r="E415">
        <v>2648</v>
      </c>
      <c r="F415" t="str">
        <f>HYPERLINK("https://www.google.com/maps/search/?api=1&amp;query=24.601876,46.648235", "View Map")</f>
        <v>View Map</v>
      </c>
    </row>
    <row r="416" spans="1:6" x14ac:dyDescent="0.35">
      <c r="A416" t="s">
        <v>2484</v>
      </c>
      <c r="B416" t="s">
        <v>2485</v>
      </c>
      <c r="C416" t="s">
        <v>1776</v>
      </c>
      <c r="D416" t="s">
        <v>13</v>
      </c>
      <c r="E416">
        <v>2646</v>
      </c>
      <c r="F416" t="str">
        <f>HYPERLINK("https://www.google.com/maps/search/?api=1&amp;query=24.75528654,46.80413415", "View Map")</f>
        <v>View Map</v>
      </c>
    </row>
    <row r="417" spans="1:6" x14ac:dyDescent="0.35">
      <c r="A417" t="s">
        <v>2486</v>
      </c>
      <c r="B417" t="s">
        <v>2487</v>
      </c>
      <c r="C417" t="s">
        <v>1776</v>
      </c>
      <c r="D417" t="s">
        <v>13</v>
      </c>
      <c r="E417">
        <v>2645</v>
      </c>
      <c r="F417" t="str">
        <f>HYPERLINK("https://www.google.com/maps/search/?api=1&amp;query=24.71303789,46.81407533", "View Map")</f>
        <v>View Map</v>
      </c>
    </row>
    <row r="418" spans="1:6" x14ac:dyDescent="0.35">
      <c r="A418" t="s">
        <v>2488</v>
      </c>
      <c r="B418" t="s">
        <v>2489</v>
      </c>
      <c r="C418" t="s">
        <v>1776</v>
      </c>
      <c r="D418" t="s">
        <v>13</v>
      </c>
      <c r="E418">
        <v>2638</v>
      </c>
      <c r="F418" t="str">
        <f>HYPERLINK("https://www.google.com/maps/search/?api=1&amp;query=24.7014662,46.64439781", "View Map")</f>
        <v>View Map</v>
      </c>
    </row>
    <row r="419" spans="1:6" x14ac:dyDescent="0.35">
      <c r="A419" t="s">
        <v>2490</v>
      </c>
      <c r="B419" t="s">
        <v>2491</v>
      </c>
      <c r="C419" t="s">
        <v>1776</v>
      </c>
      <c r="D419" t="s">
        <v>13</v>
      </c>
      <c r="E419">
        <v>2633</v>
      </c>
      <c r="F419" t="str">
        <f>HYPERLINK("https://www.google.com/maps/search/?api=1&amp;query=24.76381798,46.66711131", "View Map")</f>
        <v>View Map</v>
      </c>
    </row>
    <row r="420" spans="1:6" x14ac:dyDescent="0.35">
      <c r="A420" t="s">
        <v>2492</v>
      </c>
      <c r="B420" t="s">
        <v>2493</v>
      </c>
      <c r="C420" t="s">
        <v>1776</v>
      </c>
      <c r="D420" t="s">
        <v>13</v>
      </c>
      <c r="E420">
        <v>2627</v>
      </c>
      <c r="F420" t="str">
        <f>HYPERLINK("https://www.google.com/maps/search/?api=1&amp;query=24.71378224,46.66415674", "View Map")</f>
        <v>View Map</v>
      </c>
    </row>
    <row r="421" spans="1:6" x14ac:dyDescent="0.35">
      <c r="A421" t="s">
        <v>2494</v>
      </c>
      <c r="B421" t="s">
        <v>2495</v>
      </c>
      <c r="C421" t="s">
        <v>1776</v>
      </c>
      <c r="D421" t="s">
        <v>13</v>
      </c>
      <c r="E421">
        <v>2625</v>
      </c>
      <c r="F421" t="str">
        <f>HYPERLINK("https://www.google.com/maps/search/?api=1&amp;query=24.65104427,46.81195515", "View Map")</f>
        <v>View Map</v>
      </c>
    </row>
    <row r="422" spans="1:6" x14ac:dyDescent="0.35">
      <c r="A422" t="s">
        <v>2496</v>
      </c>
      <c r="B422" t="s">
        <v>2497</v>
      </c>
      <c r="C422" t="s">
        <v>1776</v>
      </c>
      <c r="D422" t="s">
        <v>13</v>
      </c>
      <c r="E422">
        <v>2622</v>
      </c>
      <c r="F422" t="str">
        <f>HYPERLINK("https://www.google.com/maps/search/?api=1&amp;query=24.48979644,46.61598214", "View Map")</f>
        <v>View Map</v>
      </c>
    </row>
    <row r="423" spans="1:6" x14ac:dyDescent="0.35">
      <c r="A423" t="s">
        <v>2498</v>
      </c>
      <c r="B423" t="s">
        <v>2499</v>
      </c>
      <c r="C423" t="s">
        <v>1776</v>
      </c>
      <c r="D423" t="s">
        <v>13</v>
      </c>
      <c r="E423">
        <v>2622</v>
      </c>
      <c r="F423" t="str">
        <f>HYPERLINK("https://www.google.com/maps/search/?api=1&amp;query=24.72666641,46.85361565", "View Map")</f>
        <v>View Map</v>
      </c>
    </row>
    <row r="424" spans="1:6" x14ac:dyDescent="0.35">
      <c r="A424" t="s">
        <v>2500</v>
      </c>
      <c r="B424" t="s">
        <v>2501</v>
      </c>
      <c r="C424" t="s">
        <v>1776</v>
      </c>
      <c r="D424" t="s">
        <v>13</v>
      </c>
      <c r="E424">
        <v>2616</v>
      </c>
      <c r="F424" t="str">
        <f>HYPERLINK("https://www.google.com/maps/search/?api=1&amp;query=24.69234504,46.80164413", "View Map")</f>
        <v>View Map</v>
      </c>
    </row>
    <row r="425" spans="1:6" x14ac:dyDescent="0.35">
      <c r="A425" t="s">
        <v>2124</v>
      </c>
      <c r="B425" t="s">
        <v>2502</v>
      </c>
      <c r="C425" t="s">
        <v>1776</v>
      </c>
      <c r="D425" t="s">
        <v>13</v>
      </c>
      <c r="E425">
        <v>2608</v>
      </c>
      <c r="F425" t="str">
        <f>HYPERLINK("https://www.google.com/maps/search/?api=1&amp;query=24.80349,46.80487", "View Map")</f>
        <v>View Map</v>
      </c>
    </row>
    <row r="426" spans="1:6" x14ac:dyDescent="0.35">
      <c r="A426" t="s">
        <v>2503</v>
      </c>
      <c r="B426" t="s">
        <v>2504</v>
      </c>
      <c r="C426" t="s">
        <v>1776</v>
      </c>
      <c r="D426" t="s">
        <v>13</v>
      </c>
      <c r="E426">
        <v>2603</v>
      </c>
      <c r="F426" t="str">
        <f>HYPERLINK("https://www.google.com/maps/search/?api=1&amp;query=24.73660421,46.76481192", "View Map")</f>
        <v>View Map</v>
      </c>
    </row>
    <row r="427" spans="1:6" x14ac:dyDescent="0.35">
      <c r="A427" t="s">
        <v>1806</v>
      </c>
      <c r="B427" t="s">
        <v>2505</v>
      </c>
      <c r="C427" t="s">
        <v>1776</v>
      </c>
      <c r="D427" t="s">
        <v>13</v>
      </c>
      <c r="E427">
        <v>2595</v>
      </c>
      <c r="F427" t="str">
        <f>HYPERLINK("https://www.google.com/maps/search/?api=1&amp;query=24.8277018,46.78878921", "View Map")</f>
        <v>View Map</v>
      </c>
    </row>
    <row r="428" spans="1:6" x14ac:dyDescent="0.35">
      <c r="A428" t="s">
        <v>1806</v>
      </c>
      <c r="B428" t="s">
        <v>2506</v>
      </c>
      <c r="C428" t="s">
        <v>1776</v>
      </c>
      <c r="D428" t="s">
        <v>13</v>
      </c>
      <c r="E428">
        <v>2591</v>
      </c>
      <c r="F428" t="str">
        <f>HYPERLINK("https://www.google.com/maps/search/?api=1&amp;query=24.83112837,46.6431487", "View Map")</f>
        <v>View Map</v>
      </c>
    </row>
    <row r="429" spans="1:6" x14ac:dyDescent="0.35">
      <c r="A429" t="s">
        <v>2507</v>
      </c>
      <c r="B429" t="s">
        <v>2508</v>
      </c>
      <c r="C429" t="s">
        <v>1776</v>
      </c>
      <c r="D429" t="s">
        <v>13</v>
      </c>
      <c r="E429">
        <v>2590</v>
      </c>
      <c r="F429" t="str">
        <f>HYPERLINK("https://www.google.com/maps/search/?api=1&amp;query=24.71462786,46.80416291", "View Map")</f>
        <v>View Map</v>
      </c>
    </row>
    <row r="430" spans="1:6" x14ac:dyDescent="0.35">
      <c r="A430" t="s">
        <v>2509</v>
      </c>
      <c r="B430" t="s">
        <v>2510</v>
      </c>
      <c r="C430" t="s">
        <v>1776</v>
      </c>
      <c r="D430" t="s">
        <v>9</v>
      </c>
      <c r="E430">
        <v>2588</v>
      </c>
      <c r="F430" t="str">
        <f>HYPERLINK("https://www.google.com/maps/search/?api=1&amp;query=24.91030407,46.80917563", "View Map")</f>
        <v>View Map</v>
      </c>
    </row>
    <row r="431" spans="1:6" x14ac:dyDescent="0.35">
      <c r="A431" t="s">
        <v>1798</v>
      </c>
      <c r="B431" t="s">
        <v>2511</v>
      </c>
      <c r="C431" t="s">
        <v>1776</v>
      </c>
      <c r="D431" t="s">
        <v>13</v>
      </c>
      <c r="E431">
        <v>2587</v>
      </c>
      <c r="F431" t="str">
        <f>HYPERLINK("https://www.google.com/maps/search/?api=1&amp;query=24.85509467,46.65538219", "View Map")</f>
        <v>View Map</v>
      </c>
    </row>
    <row r="432" spans="1:6" x14ac:dyDescent="0.35">
      <c r="A432" t="s">
        <v>2512</v>
      </c>
      <c r="B432" t="s">
        <v>2513</v>
      </c>
      <c r="C432" t="s">
        <v>1776</v>
      </c>
      <c r="D432" t="s">
        <v>13</v>
      </c>
      <c r="E432">
        <v>2585</v>
      </c>
      <c r="F432" t="str">
        <f>HYPERLINK("https://www.google.com/maps/search/?api=1&amp;query=24.70428071,46.67103887", "View Map")</f>
        <v>View Map</v>
      </c>
    </row>
    <row r="433" spans="1:6" x14ac:dyDescent="0.35">
      <c r="A433" t="s">
        <v>2514</v>
      </c>
      <c r="B433" t="s">
        <v>2515</v>
      </c>
      <c r="C433" t="s">
        <v>1776</v>
      </c>
      <c r="D433" t="s">
        <v>13</v>
      </c>
      <c r="E433">
        <v>2583</v>
      </c>
      <c r="F433" t="str">
        <f>HYPERLINK("https://www.google.com/maps/search/?api=1&amp;query=24.70084072,46.80484557", "View Map")</f>
        <v>View Map</v>
      </c>
    </row>
    <row r="434" spans="1:6" x14ac:dyDescent="0.35">
      <c r="A434" t="s">
        <v>1798</v>
      </c>
      <c r="B434" t="s">
        <v>2516</v>
      </c>
      <c r="C434" t="s">
        <v>1776</v>
      </c>
      <c r="D434" t="s">
        <v>13</v>
      </c>
      <c r="E434">
        <v>2582</v>
      </c>
      <c r="F434" t="str">
        <f>HYPERLINK("https://www.google.com/maps/search/?api=1&amp;query=0.0,0.0", "View Map")</f>
        <v>View Map</v>
      </c>
    </row>
    <row r="435" spans="1:6" x14ac:dyDescent="0.35">
      <c r="A435" t="s">
        <v>1798</v>
      </c>
      <c r="B435" t="s">
        <v>2517</v>
      </c>
      <c r="C435" t="s">
        <v>1776</v>
      </c>
      <c r="D435" t="s">
        <v>13</v>
      </c>
      <c r="E435">
        <v>2579</v>
      </c>
      <c r="F435" t="str">
        <f>HYPERLINK("https://www.google.com/maps/search/?api=1&amp;query=24.84607118,46.6320328", "View Map")</f>
        <v>View Map</v>
      </c>
    </row>
    <row r="436" spans="1:6" x14ac:dyDescent="0.35">
      <c r="A436" t="s">
        <v>1798</v>
      </c>
      <c r="B436" t="s">
        <v>2518</v>
      </c>
      <c r="C436" t="s">
        <v>1776</v>
      </c>
      <c r="D436" t="s">
        <v>13</v>
      </c>
      <c r="E436">
        <v>2571</v>
      </c>
      <c r="F436" t="str">
        <f>HYPERLINK("https://www.google.com/maps/search/?api=1&amp;query=0.0,0.0", "View Map")</f>
        <v>View Map</v>
      </c>
    </row>
    <row r="437" spans="1:6" x14ac:dyDescent="0.35">
      <c r="A437" t="s">
        <v>2065</v>
      </c>
      <c r="B437" t="s">
        <v>2519</v>
      </c>
      <c r="C437" t="s">
        <v>1776</v>
      </c>
      <c r="D437" t="s">
        <v>13</v>
      </c>
      <c r="E437">
        <v>2570</v>
      </c>
      <c r="F437" t="str">
        <f>HYPERLINK("https://www.google.com/maps/search/?api=1&amp;query=24.63679652,46.75307336", "View Map")</f>
        <v>View Map</v>
      </c>
    </row>
    <row r="438" spans="1:6" x14ac:dyDescent="0.35">
      <c r="A438" t="s">
        <v>2520</v>
      </c>
      <c r="B438" t="s">
        <v>2521</v>
      </c>
      <c r="C438" t="s">
        <v>1776</v>
      </c>
      <c r="D438" t="s">
        <v>13</v>
      </c>
      <c r="E438">
        <v>2553</v>
      </c>
      <c r="F438" t="str">
        <f>HYPERLINK("https://www.google.com/maps/search/?api=1&amp;query=24.79288283,46.64229655", "View Map")</f>
        <v>View Map</v>
      </c>
    </row>
    <row r="439" spans="1:6" x14ac:dyDescent="0.35">
      <c r="A439" t="s">
        <v>2522</v>
      </c>
      <c r="B439" t="s">
        <v>2523</v>
      </c>
      <c r="C439" t="s">
        <v>1776</v>
      </c>
      <c r="D439" t="s">
        <v>13</v>
      </c>
      <c r="E439">
        <v>2551</v>
      </c>
      <c r="F439" t="str">
        <f>HYPERLINK("https://www.google.com/maps/search/?api=1&amp;query=24.5919537,46.7471375", "View Map")</f>
        <v>View Map</v>
      </c>
    </row>
    <row r="440" spans="1:6" x14ac:dyDescent="0.35">
      <c r="A440" t="s">
        <v>2524</v>
      </c>
      <c r="B440" t="s">
        <v>2525</v>
      </c>
      <c r="C440" t="s">
        <v>1776</v>
      </c>
      <c r="D440" t="s">
        <v>13</v>
      </c>
      <c r="E440">
        <v>2550</v>
      </c>
      <c r="F440" t="str">
        <f>HYPERLINK("https://www.google.com/maps/search/?api=1&amp;query=24.74282844,46.76123553", "View Map")</f>
        <v>View Map</v>
      </c>
    </row>
    <row r="441" spans="1:6" x14ac:dyDescent="0.35">
      <c r="A441" t="s">
        <v>2526</v>
      </c>
      <c r="B441" t="s">
        <v>2527</v>
      </c>
      <c r="C441" t="s">
        <v>1776</v>
      </c>
      <c r="D441" t="s">
        <v>13</v>
      </c>
      <c r="E441">
        <v>2546</v>
      </c>
      <c r="F441" t="str">
        <f>HYPERLINK("https://www.google.com/maps/search/?api=1&amp;query=24.68996777,46.79271818", "View Map")</f>
        <v>View Map</v>
      </c>
    </row>
    <row r="442" spans="1:6" x14ac:dyDescent="0.35">
      <c r="A442" t="s">
        <v>1798</v>
      </c>
      <c r="B442" t="s">
        <v>2528</v>
      </c>
      <c r="C442" t="s">
        <v>1776</v>
      </c>
      <c r="D442" t="s">
        <v>13</v>
      </c>
      <c r="E442">
        <v>2544</v>
      </c>
      <c r="F442" t="str">
        <f>HYPERLINK("https://www.google.com/maps/search/?api=1&amp;query=24.8259204,46.58849274", "View Map")</f>
        <v>View Map</v>
      </c>
    </row>
    <row r="443" spans="1:6" x14ac:dyDescent="0.35">
      <c r="A443" t="s">
        <v>2529</v>
      </c>
      <c r="B443" t="s">
        <v>2530</v>
      </c>
      <c r="C443" t="s">
        <v>1776</v>
      </c>
      <c r="D443" t="s">
        <v>13</v>
      </c>
      <c r="E443">
        <v>2542</v>
      </c>
      <c r="F443" t="str">
        <f>HYPERLINK("https://www.google.com/maps/search/?api=1&amp;query=24.63565497,46.73478913", "View Map")</f>
        <v>View Map</v>
      </c>
    </row>
    <row r="444" spans="1:6" x14ac:dyDescent="0.35">
      <c r="A444" t="s">
        <v>2531</v>
      </c>
      <c r="B444" t="s">
        <v>2532</v>
      </c>
      <c r="C444" t="s">
        <v>1776</v>
      </c>
      <c r="D444" t="s">
        <v>13</v>
      </c>
      <c r="E444">
        <v>2536</v>
      </c>
      <c r="F444" t="str">
        <f>HYPERLINK("https://www.google.com/maps/search/?api=1&amp;query=24.69872224,46.65581211", "View Map")</f>
        <v>View Map</v>
      </c>
    </row>
    <row r="445" spans="1:6" x14ac:dyDescent="0.35">
      <c r="A445" t="s">
        <v>2533</v>
      </c>
      <c r="B445" t="s">
        <v>2534</v>
      </c>
      <c r="C445" t="s">
        <v>1776</v>
      </c>
      <c r="D445" t="s">
        <v>13</v>
      </c>
      <c r="E445">
        <v>2529</v>
      </c>
      <c r="F445" t="str">
        <f>HYPERLINK("https://www.google.com/maps/search/?api=1&amp;query=24.76779662,46.63119513", "View Map")</f>
        <v>View Map</v>
      </c>
    </row>
    <row r="446" spans="1:6" x14ac:dyDescent="0.35">
      <c r="A446" t="s">
        <v>2535</v>
      </c>
      <c r="B446" t="s">
        <v>2536</v>
      </c>
      <c r="C446" t="s">
        <v>1776</v>
      </c>
      <c r="D446" t="s">
        <v>13</v>
      </c>
      <c r="E446">
        <v>2524</v>
      </c>
      <c r="F446" t="str">
        <f>HYPERLINK("https://www.google.com/maps/search/?api=1&amp;query=24.68219483,46.79184304", "View Map")</f>
        <v>View Map</v>
      </c>
    </row>
    <row r="447" spans="1:6" x14ac:dyDescent="0.35">
      <c r="A447" t="s">
        <v>2537</v>
      </c>
      <c r="B447" t="s">
        <v>2538</v>
      </c>
      <c r="C447" t="s">
        <v>1776</v>
      </c>
      <c r="D447" t="s">
        <v>13</v>
      </c>
      <c r="E447">
        <v>2522</v>
      </c>
      <c r="F447" t="str">
        <f>HYPERLINK("https://www.google.com/maps/search/?api=1&amp;query=24.74151075,46.82299896", "View Map")</f>
        <v>View Map</v>
      </c>
    </row>
    <row r="448" spans="1:6" x14ac:dyDescent="0.35">
      <c r="A448" t="s">
        <v>1798</v>
      </c>
      <c r="B448" t="s">
        <v>2539</v>
      </c>
      <c r="C448" t="s">
        <v>1776</v>
      </c>
      <c r="D448" t="s">
        <v>9</v>
      </c>
      <c r="E448">
        <v>2508</v>
      </c>
      <c r="F448" t="str">
        <f>HYPERLINK("https://www.google.com/maps/search/?api=1&amp;query=24.82519516,46.57665367", "View Map")</f>
        <v>View Map</v>
      </c>
    </row>
    <row r="449" spans="1:6" x14ac:dyDescent="0.35">
      <c r="A449" t="s">
        <v>1976</v>
      </c>
      <c r="B449" t="s">
        <v>2540</v>
      </c>
      <c r="C449" t="s">
        <v>1776</v>
      </c>
      <c r="D449" t="s">
        <v>13</v>
      </c>
      <c r="E449">
        <v>2508</v>
      </c>
      <c r="F449" t="str">
        <f>HYPERLINK("https://www.google.com/maps/search/?api=1&amp;query=24.7625263,46.79104833", "View Map")</f>
        <v>View Map</v>
      </c>
    </row>
    <row r="450" spans="1:6" x14ac:dyDescent="0.35">
      <c r="A450" t="s">
        <v>2065</v>
      </c>
      <c r="B450" t="s">
        <v>2541</v>
      </c>
      <c r="C450" t="s">
        <v>1776</v>
      </c>
      <c r="D450" t="s">
        <v>13</v>
      </c>
      <c r="E450">
        <v>2508</v>
      </c>
      <c r="F450" t="str">
        <f>HYPERLINK("https://www.google.com/maps/search/?api=1&amp;query=24.6528115,46.75738867", "View Map")</f>
        <v>View Map</v>
      </c>
    </row>
    <row r="451" spans="1:6" x14ac:dyDescent="0.35">
      <c r="A451" t="s">
        <v>2542</v>
      </c>
      <c r="B451" t="s">
        <v>2543</v>
      </c>
      <c r="C451" t="s">
        <v>1776</v>
      </c>
      <c r="D451" t="s">
        <v>13</v>
      </c>
      <c r="E451">
        <v>2504</v>
      </c>
      <c r="F451" t="str">
        <f>HYPERLINK("https://www.google.com/maps/search/?api=1&amp;query=24.8161,46.6872", "View Map")</f>
        <v>View Map</v>
      </c>
    </row>
    <row r="452" spans="1:6" x14ac:dyDescent="0.35">
      <c r="A452" t="s">
        <v>1798</v>
      </c>
      <c r="B452" t="s">
        <v>2544</v>
      </c>
      <c r="C452" t="s">
        <v>1776</v>
      </c>
      <c r="D452" t="s">
        <v>13</v>
      </c>
      <c r="E452">
        <v>2503</v>
      </c>
      <c r="F452" t="str">
        <f>HYPERLINK("https://www.google.com/maps/search/?api=1&amp;query=24.79414024,46.73328974", "View Map")</f>
        <v>View Map</v>
      </c>
    </row>
    <row r="453" spans="1:6" x14ac:dyDescent="0.35">
      <c r="A453" t="s">
        <v>2545</v>
      </c>
      <c r="B453" t="s">
        <v>2546</v>
      </c>
      <c r="C453" t="s">
        <v>1776</v>
      </c>
      <c r="D453" t="s">
        <v>13</v>
      </c>
      <c r="E453">
        <v>2496</v>
      </c>
      <c r="F453" t="str">
        <f>HYPERLINK("https://www.google.com/maps/search/?api=1&amp;query=24.58050058,46.76986772", "View Map")</f>
        <v>View Map</v>
      </c>
    </row>
    <row r="454" spans="1:6" x14ac:dyDescent="0.35">
      <c r="A454" t="s">
        <v>1798</v>
      </c>
      <c r="B454" t="s">
        <v>2547</v>
      </c>
      <c r="C454" t="s">
        <v>1776</v>
      </c>
      <c r="D454" t="s">
        <v>13</v>
      </c>
      <c r="E454">
        <v>2491</v>
      </c>
      <c r="F454" t="str">
        <f>HYPERLINK("https://www.google.com/maps/search/?api=1&amp;query=24.83227,46.64166", "View Map")</f>
        <v>View Map</v>
      </c>
    </row>
    <row r="455" spans="1:6" x14ac:dyDescent="0.35">
      <c r="A455" t="s">
        <v>2548</v>
      </c>
      <c r="B455" t="s">
        <v>2549</v>
      </c>
      <c r="C455" t="s">
        <v>1776</v>
      </c>
      <c r="D455" t="s">
        <v>13</v>
      </c>
      <c r="E455">
        <v>2490</v>
      </c>
      <c r="F455" t="str">
        <f>HYPERLINK("https://www.google.com/maps/search/?api=1&amp;query=24.57151923,46.6304919", "View Map")</f>
        <v>View Map</v>
      </c>
    </row>
    <row r="456" spans="1:6" x14ac:dyDescent="0.35">
      <c r="A456" t="s">
        <v>2550</v>
      </c>
      <c r="B456" t="s">
        <v>2551</v>
      </c>
      <c r="C456" t="s">
        <v>1776</v>
      </c>
      <c r="D456" t="s">
        <v>13</v>
      </c>
      <c r="E456">
        <v>2490</v>
      </c>
      <c r="F456" t="str">
        <f>HYPERLINK("https://www.google.com/maps/search/?api=1&amp;query=24.71016165,46.69043979", "View Map")</f>
        <v>View Map</v>
      </c>
    </row>
    <row r="457" spans="1:6" x14ac:dyDescent="0.35">
      <c r="A457" t="s">
        <v>2552</v>
      </c>
      <c r="B457" t="s">
        <v>2553</v>
      </c>
      <c r="C457" t="s">
        <v>1776</v>
      </c>
      <c r="D457" t="s">
        <v>13</v>
      </c>
      <c r="E457">
        <v>2484</v>
      </c>
      <c r="F457" t="str">
        <f>HYPERLINK("https://www.google.com/maps/search/?api=1&amp;query=24.8092,46.63193", "View Map")</f>
        <v>View Map</v>
      </c>
    </row>
    <row r="458" spans="1:6" x14ac:dyDescent="0.35">
      <c r="A458" t="s">
        <v>1947</v>
      </c>
      <c r="B458" t="s">
        <v>2554</v>
      </c>
      <c r="C458" t="s">
        <v>1776</v>
      </c>
      <c r="D458" t="s">
        <v>13</v>
      </c>
      <c r="E458">
        <v>2480</v>
      </c>
      <c r="F458" t="str">
        <f>HYPERLINK("https://www.google.com/maps/search/?api=1&amp;query=24.67851479,46.57639115", "View Map")</f>
        <v>View Map</v>
      </c>
    </row>
    <row r="459" spans="1:6" x14ac:dyDescent="0.35">
      <c r="A459" t="s">
        <v>2555</v>
      </c>
      <c r="B459" t="s">
        <v>2556</v>
      </c>
      <c r="C459" t="s">
        <v>1776</v>
      </c>
      <c r="D459" t="s">
        <v>13</v>
      </c>
      <c r="E459">
        <v>2480</v>
      </c>
      <c r="F459" t="str">
        <f>HYPERLINK("https://www.google.com/maps/search/?api=1&amp;query=24.78350463,46.66439239", "View Map")</f>
        <v>View Map</v>
      </c>
    </row>
    <row r="460" spans="1:6" x14ac:dyDescent="0.35">
      <c r="A460" t="s">
        <v>2557</v>
      </c>
      <c r="B460" t="s">
        <v>2558</v>
      </c>
      <c r="C460" t="s">
        <v>1776</v>
      </c>
      <c r="D460" t="s">
        <v>13</v>
      </c>
      <c r="E460">
        <v>2479</v>
      </c>
      <c r="F460" t="str">
        <f>HYPERLINK("https://www.google.com/maps/search/?api=1&amp;query=24.5919537,46.7471375", "View Map")</f>
        <v>View Map</v>
      </c>
    </row>
    <row r="461" spans="1:6" x14ac:dyDescent="0.35">
      <c r="A461" t="s">
        <v>2559</v>
      </c>
      <c r="B461" t="s">
        <v>2560</v>
      </c>
      <c r="C461" t="s">
        <v>1776</v>
      </c>
      <c r="D461" t="s">
        <v>13</v>
      </c>
      <c r="E461">
        <v>2479</v>
      </c>
      <c r="F461" t="str">
        <f>HYPERLINK("https://www.google.com/maps/search/?api=1&amp;query=24.57850436,46.70339837", "View Map")</f>
        <v>View Map</v>
      </c>
    </row>
    <row r="462" spans="1:6" x14ac:dyDescent="0.35">
      <c r="A462" t="s">
        <v>2561</v>
      </c>
      <c r="B462" t="s">
        <v>2562</v>
      </c>
      <c r="C462" t="s">
        <v>1776</v>
      </c>
      <c r="D462" t="s">
        <v>13</v>
      </c>
      <c r="E462">
        <v>2479</v>
      </c>
      <c r="F462" t="str">
        <f>HYPERLINK("https://www.google.com/maps/search/?api=1&amp;query=24.57091572,46.66374636", "View Map")</f>
        <v>View Map</v>
      </c>
    </row>
    <row r="463" spans="1:6" x14ac:dyDescent="0.35">
      <c r="A463" t="s">
        <v>2563</v>
      </c>
      <c r="B463" t="s">
        <v>2564</v>
      </c>
      <c r="C463" t="s">
        <v>1776</v>
      </c>
      <c r="D463" t="s">
        <v>13</v>
      </c>
      <c r="E463">
        <v>2476</v>
      </c>
      <c r="F463" t="str">
        <f>HYPERLINK("https://www.google.com/maps/search/?api=1&amp;query=24.75885056,46.67936433", "View Map")</f>
        <v>View Map</v>
      </c>
    </row>
    <row r="464" spans="1:6" x14ac:dyDescent="0.35">
      <c r="A464" t="s">
        <v>2565</v>
      </c>
      <c r="B464" t="s">
        <v>2566</v>
      </c>
      <c r="C464" t="s">
        <v>1776</v>
      </c>
      <c r="D464" t="s">
        <v>13</v>
      </c>
      <c r="E464">
        <v>2475</v>
      </c>
      <c r="F464" t="str">
        <f>HYPERLINK("https://www.google.com/maps/search/?api=1&amp;query=24.72772256,46.77760433", "View Map")</f>
        <v>View Map</v>
      </c>
    </row>
    <row r="465" spans="1:6" x14ac:dyDescent="0.35">
      <c r="A465" t="s">
        <v>2567</v>
      </c>
      <c r="B465" t="s">
        <v>2568</v>
      </c>
      <c r="C465" t="s">
        <v>1776</v>
      </c>
      <c r="D465" t="s">
        <v>13</v>
      </c>
      <c r="E465">
        <v>2471</v>
      </c>
      <c r="F465" t="str">
        <f>HYPERLINK("https://www.google.com/maps/search/?api=1&amp;query=24.77136132,46.77601617", "View Map")</f>
        <v>View Map</v>
      </c>
    </row>
    <row r="466" spans="1:6" x14ac:dyDescent="0.35">
      <c r="A466" t="s">
        <v>2569</v>
      </c>
      <c r="B466" t="s">
        <v>2570</v>
      </c>
      <c r="C466" t="s">
        <v>1776</v>
      </c>
      <c r="D466" t="s">
        <v>13</v>
      </c>
      <c r="E466">
        <v>2469</v>
      </c>
      <c r="F466" t="str">
        <f>HYPERLINK("https://www.google.com/maps/search/?api=1&amp;query=24.68188405,46.68902352", "View Map")</f>
        <v>View Map</v>
      </c>
    </row>
    <row r="467" spans="1:6" x14ac:dyDescent="0.35">
      <c r="A467" t="s">
        <v>2571</v>
      </c>
      <c r="B467" t="s">
        <v>2572</v>
      </c>
      <c r="C467" t="s">
        <v>1776</v>
      </c>
      <c r="D467" t="s">
        <v>13</v>
      </c>
      <c r="E467">
        <v>2465</v>
      </c>
      <c r="F467" t="str">
        <f>HYPERLINK("https://www.google.com/maps/search/?api=1&amp;query=24.5919537,46.7471375", "View Map")</f>
        <v>View Map</v>
      </c>
    </row>
    <row r="468" spans="1:6" x14ac:dyDescent="0.35">
      <c r="A468" t="s">
        <v>2178</v>
      </c>
      <c r="B468" t="s">
        <v>2573</v>
      </c>
      <c r="C468" t="s">
        <v>1776</v>
      </c>
      <c r="D468" t="s">
        <v>13</v>
      </c>
      <c r="E468">
        <v>2451</v>
      </c>
      <c r="F468" t="str">
        <f>HYPERLINK("https://www.google.com/maps/search/?api=1&amp;query=24.72690278,46.70476956", "View Map")</f>
        <v>View Map</v>
      </c>
    </row>
    <row r="469" spans="1:6" x14ac:dyDescent="0.35">
      <c r="A469" t="s">
        <v>2574</v>
      </c>
      <c r="B469" t="s">
        <v>2575</v>
      </c>
      <c r="C469" t="s">
        <v>1776</v>
      </c>
      <c r="D469" t="s">
        <v>13</v>
      </c>
      <c r="E469">
        <v>2450</v>
      </c>
      <c r="F469" t="str">
        <f>HYPERLINK("https://www.google.com/maps/search/?api=1&amp;query=24.77052623,46.65025996", "View Map")</f>
        <v>View Map</v>
      </c>
    </row>
    <row r="470" spans="1:6" x14ac:dyDescent="0.35">
      <c r="A470" t="s">
        <v>2576</v>
      </c>
      <c r="B470" t="s">
        <v>2577</v>
      </c>
      <c r="C470" t="s">
        <v>1776</v>
      </c>
      <c r="D470" t="s">
        <v>13</v>
      </c>
      <c r="E470">
        <v>2441</v>
      </c>
      <c r="F470" t="str">
        <f>HYPERLINK("https://www.google.com/maps/search/?api=1&amp;query=24.75424432,46.66459586", "View Map")</f>
        <v>View Map</v>
      </c>
    </row>
    <row r="471" spans="1:6" x14ac:dyDescent="0.35">
      <c r="A471" t="s">
        <v>2578</v>
      </c>
      <c r="B471" t="s">
        <v>2579</v>
      </c>
      <c r="C471" t="s">
        <v>1776</v>
      </c>
      <c r="D471" t="s">
        <v>13</v>
      </c>
      <c r="E471">
        <v>2439</v>
      </c>
      <c r="F471" t="str">
        <f>HYPERLINK("https://www.google.com/maps/search/?api=1&amp;query=24.7585534,46.65049362", "View Map")</f>
        <v>View Map</v>
      </c>
    </row>
    <row r="472" spans="1:6" x14ac:dyDescent="0.35">
      <c r="A472" t="s">
        <v>1806</v>
      </c>
      <c r="B472" t="s">
        <v>2580</v>
      </c>
      <c r="C472" t="s">
        <v>1776</v>
      </c>
      <c r="D472" t="s">
        <v>13</v>
      </c>
      <c r="E472">
        <v>2438</v>
      </c>
      <c r="F472" t="str">
        <f>HYPERLINK("https://www.google.com/maps/search/?api=1&amp;query=24.70789208,46.83324805", "View Map")</f>
        <v>View Map</v>
      </c>
    </row>
    <row r="473" spans="1:6" x14ac:dyDescent="0.35">
      <c r="A473" t="s">
        <v>1806</v>
      </c>
      <c r="B473" t="s">
        <v>2581</v>
      </c>
      <c r="C473" t="s">
        <v>1776</v>
      </c>
      <c r="D473" t="s">
        <v>13</v>
      </c>
      <c r="E473">
        <v>2437</v>
      </c>
      <c r="F473" t="str">
        <f>HYPERLINK("https://www.google.com/maps/search/?api=1&amp;query=24.82399195,46.78630701", "View Map")</f>
        <v>View Map</v>
      </c>
    </row>
    <row r="474" spans="1:6" x14ac:dyDescent="0.35">
      <c r="A474" t="s">
        <v>1794</v>
      </c>
      <c r="B474" t="s">
        <v>2582</v>
      </c>
      <c r="C474" t="s">
        <v>1843</v>
      </c>
      <c r="D474" t="s">
        <v>13</v>
      </c>
      <c r="E474">
        <v>2434</v>
      </c>
      <c r="F474" t="str">
        <f>HYPERLINK("https://www.google.com/maps/search/?api=1&amp;query=24.74563765,46.59197015", "View Map")</f>
        <v>View Map</v>
      </c>
    </row>
    <row r="475" spans="1:6" x14ac:dyDescent="0.35">
      <c r="A475" t="s">
        <v>2583</v>
      </c>
      <c r="B475" t="s">
        <v>2584</v>
      </c>
      <c r="C475" t="s">
        <v>1776</v>
      </c>
      <c r="D475" t="s">
        <v>13</v>
      </c>
      <c r="E475">
        <v>2415</v>
      </c>
      <c r="F475" t="str">
        <f>HYPERLINK("https://www.google.com/maps/search/?api=1&amp;query=24.67134361,46.71365382", "View Map")</f>
        <v>View Map</v>
      </c>
    </row>
    <row r="476" spans="1:6" x14ac:dyDescent="0.35">
      <c r="A476" t="s">
        <v>1798</v>
      </c>
      <c r="B476" t="s">
        <v>2585</v>
      </c>
      <c r="C476" t="s">
        <v>1776</v>
      </c>
      <c r="D476" t="s">
        <v>9</v>
      </c>
      <c r="E476">
        <v>2413</v>
      </c>
      <c r="F476" t="str">
        <f>HYPERLINK("https://www.google.com/maps/search/?api=1&amp;query=24.84375129,46.79091178", "View Map")</f>
        <v>View Map</v>
      </c>
    </row>
    <row r="477" spans="1:6" x14ac:dyDescent="0.35">
      <c r="A477" t="s">
        <v>1798</v>
      </c>
      <c r="B477" t="s">
        <v>2586</v>
      </c>
      <c r="C477" t="s">
        <v>1776</v>
      </c>
      <c r="D477" t="s">
        <v>13</v>
      </c>
      <c r="E477">
        <v>2411</v>
      </c>
      <c r="F477" t="str">
        <f>HYPERLINK("https://www.google.com/maps/search/?api=1&amp;query=24.84132377,46.75461212", "View Map")</f>
        <v>View Map</v>
      </c>
    </row>
    <row r="478" spans="1:6" x14ac:dyDescent="0.35">
      <c r="A478" t="s">
        <v>2587</v>
      </c>
      <c r="B478" t="s">
        <v>2588</v>
      </c>
      <c r="C478" t="s">
        <v>1776</v>
      </c>
      <c r="D478" t="s">
        <v>13</v>
      </c>
      <c r="E478">
        <v>2407</v>
      </c>
      <c r="F478" t="str">
        <f>HYPERLINK("https://www.google.com/maps/search/?api=1&amp;query=24.57945465,46.60578049", "View Map")</f>
        <v>View Map</v>
      </c>
    </row>
    <row r="479" spans="1:6" x14ac:dyDescent="0.35">
      <c r="A479" t="s">
        <v>2589</v>
      </c>
      <c r="B479" t="s">
        <v>2590</v>
      </c>
      <c r="C479" t="s">
        <v>1776</v>
      </c>
      <c r="D479" t="s">
        <v>13</v>
      </c>
      <c r="E479">
        <v>2402</v>
      </c>
      <c r="F479" t="str">
        <f>HYPERLINK("https://www.google.com/maps/search/?api=1&amp;query=24.68783706,46.67492904", "View Map")</f>
        <v>View Map</v>
      </c>
    </row>
    <row r="480" spans="1:6" x14ac:dyDescent="0.35">
      <c r="A480" t="s">
        <v>1798</v>
      </c>
      <c r="B480" t="s">
        <v>2591</v>
      </c>
      <c r="C480" t="s">
        <v>1776</v>
      </c>
      <c r="D480" t="s">
        <v>13</v>
      </c>
      <c r="E480">
        <v>2399</v>
      </c>
      <c r="F480" t="str">
        <f>HYPERLINK("https://www.google.com/maps/search/?api=1&amp;query=24.84435305,46.80595562", "View Map")</f>
        <v>View Map</v>
      </c>
    </row>
    <row r="481" spans="1:6" x14ac:dyDescent="0.35">
      <c r="A481" t="s">
        <v>2592</v>
      </c>
      <c r="B481" t="s">
        <v>2593</v>
      </c>
      <c r="C481" t="s">
        <v>1776</v>
      </c>
      <c r="D481" t="s">
        <v>13</v>
      </c>
      <c r="E481">
        <v>2394</v>
      </c>
      <c r="F481" t="str">
        <f>HYPERLINK("https://www.google.com/maps/search/?api=1&amp;query=24.39528917,46.83902328", "View Map")</f>
        <v>View Map</v>
      </c>
    </row>
    <row r="482" spans="1:6" x14ac:dyDescent="0.35">
      <c r="A482" t="s">
        <v>2594</v>
      </c>
      <c r="B482" t="s">
        <v>2595</v>
      </c>
      <c r="C482" t="s">
        <v>1776</v>
      </c>
      <c r="D482" t="s">
        <v>13</v>
      </c>
      <c r="E482">
        <v>2393</v>
      </c>
      <c r="F482" t="str">
        <f>HYPERLINK("https://www.google.com/maps/search/?api=1&amp;query=24.67481433,46.64755393", "View Map")</f>
        <v>View Map</v>
      </c>
    </row>
    <row r="483" spans="1:6" x14ac:dyDescent="0.35">
      <c r="A483" t="s">
        <v>1798</v>
      </c>
      <c r="B483" t="s">
        <v>2596</v>
      </c>
      <c r="C483" t="s">
        <v>1776</v>
      </c>
      <c r="D483" t="s">
        <v>13</v>
      </c>
      <c r="E483">
        <v>2391</v>
      </c>
      <c r="F483" t="str">
        <f>HYPERLINK("https://www.google.com/maps/search/?api=1&amp;query=24.82135816,46.71911923", "View Map")</f>
        <v>View Map</v>
      </c>
    </row>
    <row r="484" spans="1:6" x14ac:dyDescent="0.35">
      <c r="A484" t="s">
        <v>2597</v>
      </c>
      <c r="B484" t="s">
        <v>2598</v>
      </c>
      <c r="C484" t="s">
        <v>1776</v>
      </c>
      <c r="D484" t="s">
        <v>13</v>
      </c>
      <c r="E484">
        <v>2386</v>
      </c>
      <c r="F484" t="str">
        <f>HYPERLINK("https://www.google.com/maps/search/?api=1&amp;query=24.81903905,46.72484647", "View Map")</f>
        <v>View Map</v>
      </c>
    </row>
    <row r="485" spans="1:6" x14ac:dyDescent="0.35">
      <c r="A485" t="s">
        <v>1798</v>
      </c>
      <c r="B485" t="s">
        <v>2599</v>
      </c>
      <c r="C485" t="s">
        <v>1776</v>
      </c>
      <c r="D485" t="s">
        <v>13</v>
      </c>
      <c r="E485">
        <v>2386</v>
      </c>
      <c r="F485" t="str">
        <f>HYPERLINK("https://www.google.com/maps/search/?api=1&amp;query=24.8933,46.6367", "View Map")</f>
        <v>View Map</v>
      </c>
    </row>
    <row r="486" spans="1:6" x14ac:dyDescent="0.35">
      <c r="A486" t="s">
        <v>1798</v>
      </c>
      <c r="B486" t="s">
        <v>2600</v>
      </c>
      <c r="C486" t="s">
        <v>1776</v>
      </c>
      <c r="D486" t="s">
        <v>13</v>
      </c>
      <c r="E486">
        <v>2384</v>
      </c>
      <c r="F486" t="str">
        <f>HYPERLINK("https://www.google.com/maps/search/?api=1&amp;query=24.86500454,46.64300251", "View Map")</f>
        <v>View Map</v>
      </c>
    </row>
    <row r="487" spans="1:6" x14ac:dyDescent="0.35">
      <c r="A487" t="s">
        <v>2601</v>
      </c>
      <c r="B487" t="s">
        <v>2602</v>
      </c>
      <c r="C487" t="s">
        <v>1776</v>
      </c>
      <c r="D487" t="s">
        <v>13</v>
      </c>
      <c r="E487">
        <v>2384</v>
      </c>
      <c r="F487" t="str">
        <f>HYPERLINK("https://www.google.com/maps/search/?api=1&amp;query=24.81908134,46.6605319", "View Map")</f>
        <v>View Map</v>
      </c>
    </row>
    <row r="488" spans="1:6" x14ac:dyDescent="0.35">
      <c r="A488" t="s">
        <v>1798</v>
      </c>
      <c r="B488" t="s">
        <v>2603</v>
      </c>
      <c r="C488" t="s">
        <v>1776</v>
      </c>
      <c r="D488" t="s">
        <v>13</v>
      </c>
      <c r="E488">
        <v>2374</v>
      </c>
      <c r="F488" t="str">
        <f>HYPERLINK("https://www.google.com/maps/search/?api=1&amp;query=24.83867618,46.77747984", "View Map")</f>
        <v>View Map</v>
      </c>
    </row>
    <row r="489" spans="1:6" x14ac:dyDescent="0.35">
      <c r="A489" t="s">
        <v>2604</v>
      </c>
      <c r="B489" t="s">
        <v>2605</v>
      </c>
      <c r="C489" t="s">
        <v>1776</v>
      </c>
      <c r="D489" t="s">
        <v>13</v>
      </c>
      <c r="E489">
        <v>2373</v>
      </c>
      <c r="F489" t="str">
        <f>HYPERLINK("https://www.google.com/maps/search/?api=1&amp;query=24.63100061,46.70569836", "View Map")</f>
        <v>View Map</v>
      </c>
    </row>
    <row r="490" spans="1:6" x14ac:dyDescent="0.35">
      <c r="A490" t="s">
        <v>1798</v>
      </c>
      <c r="B490" t="s">
        <v>2606</v>
      </c>
      <c r="C490" t="s">
        <v>1776</v>
      </c>
      <c r="D490" t="s">
        <v>13</v>
      </c>
      <c r="E490">
        <v>2371</v>
      </c>
      <c r="F490" t="str">
        <f>HYPERLINK("https://www.google.com/maps/search/?api=1&amp;query=24.75768663,46.75600076", "View Map")</f>
        <v>View Map</v>
      </c>
    </row>
    <row r="491" spans="1:6" x14ac:dyDescent="0.35">
      <c r="A491" t="s">
        <v>2607</v>
      </c>
      <c r="B491" t="s">
        <v>2608</v>
      </c>
      <c r="C491" t="s">
        <v>1776</v>
      </c>
      <c r="D491" t="s">
        <v>13</v>
      </c>
      <c r="E491">
        <v>2369</v>
      </c>
      <c r="F491" t="str">
        <f>HYPERLINK("https://www.google.com/maps/search/?api=1&amp;query=24.58820307,46.61441952", "View Map")</f>
        <v>View Map</v>
      </c>
    </row>
    <row r="492" spans="1:6" x14ac:dyDescent="0.35">
      <c r="A492" t="s">
        <v>1798</v>
      </c>
      <c r="B492" t="s">
        <v>2609</v>
      </c>
      <c r="C492" t="s">
        <v>1776</v>
      </c>
      <c r="D492" t="s">
        <v>13</v>
      </c>
      <c r="E492">
        <v>2366</v>
      </c>
      <c r="F492" t="str">
        <f>HYPERLINK("https://www.google.com/maps/search/?api=1&amp;query=24.82043797,46.58948209", "View Map")</f>
        <v>View Map</v>
      </c>
    </row>
    <row r="493" spans="1:6" x14ac:dyDescent="0.35">
      <c r="A493" t="s">
        <v>2610</v>
      </c>
      <c r="B493" t="s">
        <v>2611</v>
      </c>
      <c r="C493" t="s">
        <v>1776</v>
      </c>
      <c r="D493" t="s">
        <v>13</v>
      </c>
      <c r="E493">
        <v>2361</v>
      </c>
      <c r="F493" t="str">
        <f>HYPERLINK("https://www.google.com/maps/search/?api=1&amp;query=24.5617344,46.63880384", "View Map")</f>
        <v>View Map</v>
      </c>
    </row>
    <row r="494" spans="1:6" x14ac:dyDescent="0.35">
      <c r="A494" t="s">
        <v>2612</v>
      </c>
      <c r="B494" t="s">
        <v>2613</v>
      </c>
      <c r="C494" t="s">
        <v>1776</v>
      </c>
      <c r="D494" t="s">
        <v>13</v>
      </c>
      <c r="E494">
        <v>2359</v>
      </c>
      <c r="F494" t="str">
        <f>HYPERLINK("https://www.google.com/maps/search/?api=1&amp;query=24.73685094,46.76052308", "View Map")</f>
        <v>View Map</v>
      </c>
    </row>
    <row r="495" spans="1:6" x14ac:dyDescent="0.35">
      <c r="A495" t="s">
        <v>2614</v>
      </c>
      <c r="B495" t="s">
        <v>2615</v>
      </c>
      <c r="C495" t="s">
        <v>1776</v>
      </c>
      <c r="D495" t="s">
        <v>13</v>
      </c>
      <c r="E495">
        <v>2355</v>
      </c>
      <c r="F495" t="str">
        <f>HYPERLINK("https://www.google.com/maps/search/?api=1&amp;query=24.59043053,46.64855906", "View Map")</f>
        <v>View Map</v>
      </c>
    </row>
    <row r="496" spans="1:6" x14ac:dyDescent="0.35">
      <c r="A496" t="s">
        <v>2616</v>
      </c>
      <c r="B496" t="s">
        <v>2617</v>
      </c>
      <c r="C496" t="s">
        <v>1776</v>
      </c>
      <c r="D496" t="s">
        <v>13</v>
      </c>
      <c r="E496">
        <v>2348</v>
      </c>
      <c r="F496" t="str">
        <f>HYPERLINK("https://www.google.com/maps/search/?api=1&amp;query=24.75376616,46.70238851", "View Map")</f>
        <v>View Map</v>
      </c>
    </row>
    <row r="497" spans="1:6" x14ac:dyDescent="0.35">
      <c r="A497" t="s">
        <v>2618</v>
      </c>
      <c r="B497" t="s">
        <v>2619</v>
      </c>
      <c r="C497" t="s">
        <v>1776</v>
      </c>
      <c r="D497" t="s">
        <v>13</v>
      </c>
      <c r="E497">
        <v>2348</v>
      </c>
      <c r="F497" t="str">
        <f>HYPERLINK("https://www.google.com/maps/search/?api=1&amp;query=24.59055247,46.67017034", "View Map")</f>
        <v>View Map</v>
      </c>
    </row>
    <row r="498" spans="1:6" x14ac:dyDescent="0.35">
      <c r="A498" t="s">
        <v>2620</v>
      </c>
      <c r="B498" t="s">
        <v>2621</v>
      </c>
      <c r="C498" t="s">
        <v>1776</v>
      </c>
      <c r="D498" t="s">
        <v>13</v>
      </c>
      <c r="E498">
        <v>2346</v>
      </c>
      <c r="F498" t="str">
        <f>HYPERLINK("https://www.google.com/maps/search/?api=1&amp;query=24.68890721,46.77067909", "View Map")</f>
        <v>View Map</v>
      </c>
    </row>
    <row r="499" spans="1:6" x14ac:dyDescent="0.35">
      <c r="A499" t="s">
        <v>2622</v>
      </c>
      <c r="B499" t="s">
        <v>2623</v>
      </c>
      <c r="C499" t="s">
        <v>1776</v>
      </c>
      <c r="D499" t="s">
        <v>13</v>
      </c>
      <c r="E499">
        <v>2340</v>
      </c>
      <c r="F499" t="str">
        <f>HYPERLINK("https://www.google.com/maps/search/?api=1&amp;query=24.75492832,46.64334662", "View Map")</f>
        <v>View Map</v>
      </c>
    </row>
    <row r="500" spans="1:6" x14ac:dyDescent="0.35">
      <c r="A500" t="s">
        <v>2624</v>
      </c>
      <c r="B500" t="s">
        <v>2625</v>
      </c>
      <c r="C500" t="s">
        <v>1776</v>
      </c>
      <c r="D500" t="s">
        <v>13</v>
      </c>
      <c r="E500">
        <v>2339</v>
      </c>
      <c r="F500" t="str">
        <f>HYPERLINK("https://www.google.com/maps/search/?api=1&amp;query=24.62685783,46.6557251", "View Map")</f>
        <v>View Map</v>
      </c>
    </row>
    <row r="501" spans="1:6" x14ac:dyDescent="0.35">
      <c r="A501" t="s">
        <v>2626</v>
      </c>
      <c r="B501" t="s">
        <v>2627</v>
      </c>
      <c r="C501" t="s">
        <v>1776</v>
      </c>
      <c r="D501" t="s">
        <v>13</v>
      </c>
      <c r="E501">
        <v>2338</v>
      </c>
      <c r="F501" t="str">
        <f>HYPERLINK("https://www.google.com/maps/search/?api=1&amp;query=24.62227973,46.52827251", "View Map")</f>
        <v>View Map</v>
      </c>
    </row>
    <row r="502" spans="1:6" x14ac:dyDescent="0.35">
      <c r="A502" t="s">
        <v>2628</v>
      </c>
      <c r="B502" t="s">
        <v>2629</v>
      </c>
      <c r="C502" t="s">
        <v>1776</v>
      </c>
      <c r="D502" t="s">
        <v>13</v>
      </c>
      <c r="E502">
        <v>2336</v>
      </c>
      <c r="F502" t="str">
        <f>HYPERLINK("https://www.google.com/maps/search/?api=1&amp;query=24.66250716,46.72494639", "View Map")</f>
        <v>View Map</v>
      </c>
    </row>
    <row r="503" spans="1:6" x14ac:dyDescent="0.35">
      <c r="A503" t="s">
        <v>2630</v>
      </c>
      <c r="B503" t="s">
        <v>2631</v>
      </c>
      <c r="C503" t="s">
        <v>1776</v>
      </c>
      <c r="D503" t="s">
        <v>13</v>
      </c>
      <c r="E503">
        <v>2333</v>
      </c>
      <c r="F503" t="str">
        <f>HYPERLINK("https://www.google.com/maps/search/?api=1&amp;query=24.80299941,46.71617693", "View Map")</f>
        <v>View Map</v>
      </c>
    </row>
    <row r="504" spans="1:6" x14ac:dyDescent="0.35">
      <c r="A504" t="s">
        <v>2632</v>
      </c>
      <c r="B504" t="s">
        <v>2633</v>
      </c>
      <c r="C504" t="s">
        <v>1776</v>
      </c>
      <c r="D504" t="s">
        <v>13</v>
      </c>
      <c r="E504">
        <v>2333</v>
      </c>
      <c r="F504" t="str">
        <f>HYPERLINK("https://www.google.com/maps/search/?api=1&amp;query=24.68594,46.6705", "View Map")</f>
        <v>View Map</v>
      </c>
    </row>
    <row r="505" spans="1:6" x14ac:dyDescent="0.35">
      <c r="A505" t="s">
        <v>2634</v>
      </c>
      <c r="B505" t="s">
        <v>2635</v>
      </c>
      <c r="C505" t="s">
        <v>1776</v>
      </c>
      <c r="D505" t="s">
        <v>13</v>
      </c>
      <c r="E505">
        <v>2332</v>
      </c>
      <c r="F505" t="str">
        <f>HYPERLINK("https://www.google.com/maps/search/?api=1&amp;query=24.57766606,46.67910207", "View Map")</f>
        <v>View Map</v>
      </c>
    </row>
    <row r="506" spans="1:6" x14ac:dyDescent="0.35">
      <c r="A506" t="s">
        <v>2636</v>
      </c>
      <c r="B506" t="s">
        <v>2637</v>
      </c>
      <c r="C506" t="s">
        <v>1776</v>
      </c>
      <c r="D506" t="s">
        <v>13</v>
      </c>
      <c r="E506">
        <v>2330</v>
      </c>
      <c r="F506" t="str">
        <f>HYPERLINK("https://www.google.com/maps/search/?api=1&amp;query=24.56970915,46.65257787", "View Map")</f>
        <v>View Map</v>
      </c>
    </row>
    <row r="507" spans="1:6" x14ac:dyDescent="0.35">
      <c r="A507" t="s">
        <v>1798</v>
      </c>
      <c r="B507" t="s">
        <v>2638</v>
      </c>
      <c r="C507" t="s">
        <v>1776</v>
      </c>
      <c r="D507" t="s">
        <v>13</v>
      </c>
      <c r="E507">
        <v>2328</v>
      </c>
      <c r="F507" t="str">
        <f>HYPERLINK("https://www.google.com/maps/search/?api=1&amp;query=24.55998194,46.80414634", "View Map")</f>
        <v>View Map</v>
      </c>
    </row>
    <row r="508" spans="1:6" x14ac:dyDescent="0.35">
      <c r="A508" t="s">
        <v>2639</v>
      </c>
      <c r="B508" t="s">
        <v>2640</v>
      </c>
      <c r="C508" t="s">
        <v>1776</v>
      </c>
      <c r="D508" t="s">
        <v>13</v>
      </c>
      <c r="E508">
        <v>2328</v>
      </c>
      <c r="F508" t="str">
        <f>HYPERLINK("https://www.google.com/maps/search/?api=1&amp;query=24.7016225,46.6596974", "View Map")</f>
        <v>View Map</v>
      </c>
    </row>
    <row r="509" spans="1:6" x14ac:dyDescent="0.35">
      <c r="A509" t="s">
        <v>1798</v>
      </c>
      <c r="B509" t="s">
        <v>2641</v>
      </c>
      <c r="C509" t="s">
        <v>1776</v>
      </c>
      <c r="D509" t="s">
        <v>13</v>
      </c>
      <c r="E509">
        <v>2326</v>
      </c>
      <c r="F509" t="str">
        <f>HYPERLINK("https://www.google.com/maps/search/?api=1&amp;query=24.64422334,46.71817887", "View Map")</f>
        <v>View Map</v>
      </c>
    </row>
    <row r="510" spans="1:6" x14ac:dyDescent="0.35">
      <c r="A510" t="s">
        <v>2642</v>
      </c>
      <c r="B510" t="s">
        <v>2643</v>
      </c>
      <c r="C510" t="s">
        <v>1776</v>
      </c>
      <c r="D510" t="s">
        <v>13</v>
      </c>
      <c r="E510">
        <v>2326</v>
      </c>
      <c r="F510" t="str">
        <f>HYPERLINK("https://www.google.com/maps/search/?api=1&amp;query=24.55676043,46.5226673", "View Map")</f>
        <v>View Map</v>
      </c>
    </row>
    <row r="511" spans="1:6" x14ac:dyDescent="0.35">
      <c r="A511" t="s">
        <v>2644</v>
      </c>
      <c r="B511" t="s">
        <v>2645</v>
      </c>
      <c r="C511" t="s">
        <v>1776</v>
      </c>
      <c r="D511" t="s">
        <v>13</v>
      </c>
      <c r="E511">
        <v>2323</v>
      </c>
      <c r="F511" t="str">
        <f>HYPERLINK("https://www.google.com/maps/search/?api=1&amp;query=24.75964203,46.78409231", "View Map")</f>
        <v>View Map</v>
      </c>
    </row>
    <row r="512" spans="1:6" x14ac:dyDescent="0.35">
      <c r="A512" t="s">
        <v>2646</v>
      </c>
      <c r="B512" t="s">
        <v>2647</v>
      </c>
      <c r="C512" t="s">
        <v>1776</v>
      </c>
      <c r="D512" t="s">
        <v>13</v>
      </c>
      <c r="E512">
        <v>2322</v>
      </c>
      <c r="F512" t="str">
        <f>HYPERLINK("https://www.google.com/maps/search/?api=1&amp;query=24.57764299,46.54183285", "View Map")</f>
        <v>View Map</v>
      </c>
    </row>
    <row r="513" spans="1:6" x14ac:dyDescent="0.35">
      <c r="A513" t="s">
        <v>2648</v>
      </c>
      <c r="B513" t="s">
        <v>2649</v>
      </c>
      <c r="C513" t="s">
        <v>1776</v>
      </c>
      <c r="D513" t="s">
        <v>13</v>
      </c>
      <c r="E513">
        <v>2322</v>
      </c>
      <c r="F513" t="str">
        <f>HYPERLINK("https://www.google.com/maps/search/?api=1&amp;query=24.58069407,46.67935242", "View Map")</f>
        <v>View Map</v>
      </c>
    </row>
    <row r="514" spans="1:6" x14ac:dyDescent="0.35">
      <c r="A514" t="s">
        <v>2650</v>
      </c>
      <c r="B514" t="s">
        <v>2651</v>
      </c>
      <c r="C514" t="s">
        <v>1776</v>
      </c>
      <c r="D514" t="s">
        <v>13</v>
      </c>
      <c r="E514">
        <v>2321</v>
      </c>
      <c r="F514" t="str">
        <f>HYPERLINK("https://www.google.com/maps/search/?api=1&amp;query=24.66213054,46.80220782", "View Map")</f>
        <v>View Map</v>
      </c>
    </row>
    <row r="515" spans="1:6" x14ac:dyDescent="0.35">
      <c r="A515" t="s">
        <v>2652</v>
      </c>
      <c r="B515" t="s">
        <v>2653</v>
      </c>
      <c r="C515" t="s">
        <v>1776</v>
      </c>
      <c r="D515" t="s">
        <v>9</v>
      </c>
      <c r="E515">
        <v>2320</v>
      </c>
      <c r="F515" t="str">
        <f>HYPERLINK("https://www.google.com/maps/search/?api=1&amp;query=24.70904817,46.8313787", "View Map")</f>
        <v>View Map</v>
      </c>
    </row>
    <row r="516" spans="1:6" x14ac:dyDescent="0.35">
      <c r="A516" t="s">
        <v>2654</v>
      </c>
      <c r="B516" t="s">
        <v>2655</v>
      </c>
      <c r="C516" t="s">
        <v>1776</v>
      </c>
      <c r="D516" t="s">
        <v>13</v>
      </c>
      <c r="E516">
        <v>2319</v>
      </c>
      <c r="F516" t="str">
        <f>HYPERLINK("https://www.google.com/maps/search/?api=1&amp;query=24.76045268,46.66736514", "View Map")</f>
        <v>View Map</v>
      </c>
    </row>
    <row r="517" spans="1:6" x14ac:dyDescent="0.35">
      <c r="A517" t="s">
        <v>2656</v>
      </c>
      <c r="B517" t="s">
        <v>2657</v>
      </c>
      <c r="C517" t="s">
        <v>1776</v>
      </c>
      <c r="D517" t="s">
        <v>13</v>
      </c>
      <c r="E517">
        <v>2314</v>
      </c>
      <c r="F517" t="str">
        <f>HYPERLINK("https://www.google.com/maps/search/?api=1&amp;query=24.76467804,46.82075889", "View Map")</f>
        <v>View Map</v>
      </c>
    </row>
    <row r="518" spans="1:6" x14ac:dyDescent="0.35">
      <c r="A518" t="s">
        <v>1798</v>
      </c>
      <c r="B518" t="s">
        <v>2658</v>
      </c>
      <c r="C518" t="s">
        <v>1776</v>
      </c>
      <c r="D518" t="s">
        <v>13</v>
      </c>
      <c r="E518">
        <v>2313</v>
      </c>
      <c r="F518" t="str">
        <f>HYPERLINK("https://www.google.com/maps/search/?api=1&amp;query=24.69122129,46.8444315", "View Map")</f>
        <v>View Map</v>
      </c>
    </row>
    <row r="519" spans="1:6" x14ac:dyDescent="0.35">
      <c r="A519" t="s">
        <v>1947</v>
      </c>
      <c r="B519" t="s">
        <v>2659</v>
      </c>
      <c r="C519" t="s">
        <v>1776</v>
      </c>
      <c r="D519" t="s">
        <v>13</v>
      </c>
      <c r="E519">
        <v>2311</v>
      </c>
      <c r="F519" t="str">
        <f>HYPERLINK("https://www.google.com/maps/search/?api=1&amp;query=24.9207114,46.8107448", "View Map")</f>
        <v>View Map</v>
      </c>
    </row>
    <row r="520" spans="1:6" x14ac:dyDescent="0.35">
      <c r="A520" t="s">
        <v>2660</v>
      </c>
      <c r="B520" t="s">
        <v>2661</v>
      </c>
      <c r="C520" t="s">
        <v>1776</v>
      </c>
      <c r="D520" t="s">
        <v>9</v>
      </c>
      <c r="E520">
        <v>2310</v>
      </c>
      <c r="F520" t="str">
        <f>HYPERLINK("https://www.google.com/maps/search/?api=1&amp;query=24.68915115,46.80418445", "View Map")</f>
        <v>View Map</v>
      </c>
    </row>
    <row r="521" spans="1:6" x14ac:dyDescent="0.35">
      <c r="A521" t="s">
        <v>1798</v>
      </c>
      <c r="B521" t="s">
        <v>2662</v>
      </c>
      <c r="C521" t="s">
        <v>1776</v>
      </c>
      <c r="D521" t="s">
        <v>13</v>
      </c>
      <c r="E521">
        <v>2303</v>
      </c>
      <c r="F521" t="str">
        <f>HYPERLINK("https://www.google.com/maps/search/?api=1&amp;query=24.83131162,46.58232585", "View Map")</f>
        <v>View Map</v>
      </c>
    </row>
    <row r="522" spans="1:6" x14ac:dyDescent="0.35">
      <c r="A522" t="s">
        <v>2663</v>
      </c>
      <c r="B522" t="s">
        <v>2664</v>
      </c>
      <c r="C522" t="s">
        <v>1776</v>
      </c>
      <c r="D522" t="s">
        <v>13</v>
      </c>
      <c r="E522">
        <v>2302</v>
      </c>
      <c r="F522" t="str">
        <f>HYPERLINK("https://www.google.com/maps/search/?api=1&amp;query=24.58082044,46.68156942", "View Map")</f>
        <v>View Map</v>
      </c>
    </row>
    <row r="523" spans="1:6" x14ac:dyDescent="0.35">
      <c r="A523" t="s">
        <v>2665</v>
      </c>
      <c r="B523" t="s">
        <v>2666</v>
      </c>
      <c r="C523" t="s">
        <v>1776</v>
      </c>
      <c r="D523" t="s">
        <v>13</v>
      </c>
      <c r="E523">
        <v>2300</v>
      </c>
      <c r="F523" t="str">
        <f>HYPERLINK("https://www.google.com/maps/search/?api=1&amp;query=24.6224902,46.75413262", "View Map")</f>
        <v>View Map</v>
      </c>
    </row>
    <row r="524" spans="1:6" x14ac:dyDescent="0.35">
      <c r="A524" t="s">
        <v>2667</v>
      </c>
      <c r="B524" t="s">
        <v>2668</v>
      </c>
      <c r="C524" t="s">
        <v>1776</v>
      </c>
      <c r="D524" t="s">
        <v>13</v>
      </c>
      <c r="E524">
        <v>2297</v>
      </c>
      <c r="F524" t="str">
        <f>HYPERLINK("https://www.google.com/maps/search/?api=1&amp;query=24.68166379,46.80459328", "View Map")</f>
        <v>View Map</v>
      </c>
    </row>
    <row r="525" spans="1:6" x14ac:dyDescent="0.35">
      <c r="A525" t="s">
        <v>2669</v>
      </c>
      <c r="B525" t="s">
        <v>2670</v>
      </c>
      <c r="C525" t="s">
        <v>1776</v>
      </c>
      <c r="D525" t="s">
        <v>13</v>
      </c>
      <c r="E525">
        <v>2296</v>
      </c>
      <c r="F525" t="str">
        <f>HYPERLINK("https://www.google.com/maps/search/?api=1&amp;query=24.68289251,46.68160418", "View Map")</f>
        <v>View Map</v>
      </c>
    </row>
    <row r="526" spans="1:6" x14ac:dyDescent="0.35">
      <c r="A526" t="s">
        <v>2671</v>
      </c>
      <c r="B526" t="s">
        <v>2672</v>
      </c>
      <c r="C526" t="s">
        <v>1776</v>
      </c>
      <c r="D526" t="s">
        <v>13</v>
      </c>
      <c r="E526">
        <v>2294</v>
      </c>
      <c r="F526" t="str">
        <f>HYPERLINK("https://www.google.com/maps/search/?api=1&amp;query=24.70771,46.67637", "View Map")</f>
        <v>View Map</v>
      </c>
    </row>
    <row r="527" spans="1:6" x14ac:dyDescent="0.35">
      <c r="A527" t="s">
        <v>2673</v>
      </c>
      <c r="B527" t="s">
        <v>2674</v>
      </c>
      <c r="C527" t="s">
        <v>1776</v>
      </c>
      <c r="D527" t="s">
        <v>13</v>
      </c>
      <c r="E527">
        <v>2294</v>
      </c>
      <c r="F527" t="str">
        <f>HYPERLINK("https://www.google.com/maps/search/?api=1&amp;query=24.67528726,46.58276208", "View Map")</f>
        <v>View Map</v>
      </c>
    </row>
    <row r="528" spans="1:6" x14ac:dyDescent="0.35">
      <c r="A528" t="s">
        <v>1794</v>
      </c>
      <c r="B528" t="s">
        <v>2675</v>
      </c>
      <c r="C528" t="s">
        <v>1776</v>
      </c>
      <c r="D528" t="s">
        <v>13</v>
      </c>
      <c r="E528">
        <v>2293</v>
      </c>
      <c r="F528" t="str">
        <f>HYPERLINK("https://www.google.com/maps/search/?api=1&amp;query=24.8319,46.6525", "View Map")</f>
        <v>View Map</v>
      </c>
    </row>
    <row r="529" spans="1:6" x14ac:dyDescent="0.35">
      <c r="A529" t="s">
        <v>2676</v>
      </c>
      <c r="B529" t="s">
        <v>2677</v>
      </c>
      <c r="C529" t="s">
        <v>1776</v>
      </c>
      <c r="D529" t="s">
        <v>13</v>
      </c>
      <c r="E529">
        <v>2292</v>
      </c>
      <c r="F529" t="str">
        <f>HYPERLINK("https://www.google.com/maps/search/?api=1&amp;query=24.55335453,46.86842219", "View Map")</f>
        <v>View Map</v>
      </c>
    </row>
    <row r="530" spans="1:6" x14ac:dyDescent="0.35">
      <c r="A530" t="s">
        <v>2678</v>
      </c>
      <c r="B530" t="s">
        <v>2679</v>
      </c>
      <c r="C530" t="s">
        <v>1776</v>
      </c>
      <c r="D530" t="s">
        <v>13</v>
      </c>
      <c r="E530">
        <v>2291</v>
      </c>
      <c r="F530" t="str">
        <f>HYPERLINK("https://www.google.com/maps/search/?api=1&amp;query=24.65642147,46.74074333", "View Map")</f>
        <v>View Map</v>
      </c>
    </row>
    <row r="531" spans="1:6" x14ac:dyDescent="0.35">
      <c r="A531" t="s">
        <v>2680</v>
      </c>
      <c r="B531" t="s">
        <v>2681</v>
      </c>
      <c r="C531" t="s">
        <v>1776</v>
      </c>
      <c r="D531" t="s">
        <v>13</v>
      </c>
      <c r="E531">
        <v>2286</v>
      </c>
      <c r="F531" t="str">
        <f>HYPERLINK("https://www.google.com/maps/search/?api=1&amp;query=24.72411491,46.85601722", "View Map")</f>
        <v>View Map</v>
      </c>
    </row>
    <row r="532" spans="1:6" x14ac:dyDescent="0.35">
      <c r="A532" t="s">
        <v>2682</v>
      </c>
      <c r="B532" t="s">
        <v>2683</v>
      </c>
      <c r="C532" t="s">
        <v>1776</v>
      </c>
      <c r="D532" t="s">
        <v>13</v>
      </c>
      <c r="E532">
        <v>2275</v>
      </c>
      <c r="F532" t="str">
        <f>HYPERLINK("https://www.google.com/maps/search/?api=1&amp;query=24.54167953,46.73054959", "View Map")</f>
        <v>View Map</v>
      </c>
    </row>
    <row r="533" spans="1:6" x14ac:dyDescent="0.35">
      <c r="A533" t="s">
        <v>2684</v>
      </c>
      <c r="B533" t="s">
        <v>2685</v>
      </c>
      <c r="C533" t="s">
        <v>1776</v>
      </c>
      <c r="D533" t="s">
        <v>13</v>
      </c>
      <c r="E533">
        <v>2271</v>
      </c>
      <c r="F533" t="str">
        <f>HYPERLINK("https://www.google.com/maps/search/?api=1&amp;query=24.626032,46.67015535", "View Map")</f>
        <v>View Map</v>
      </c>
    </row>
    <row r="534" spans="1:6" x14ac:dyDescent="0.35">
      <c r="A534" t="s">
        <v>1798</v>
      </c>
      <c r="B534" t="s">
        <v>2686</v>
      </c>
      <c r="C534" t="s">
        <v>1776</v>
      </c>
      <c r="D534" t="s">
        <v>13</v>
      </c>
      <c r="E534">
        <v>2252</v>
      </c>
      <c r="F534" t="str">
        <f>HYPERLINK("https://www.google.com/maps/search/?api=1&amp;query=24.74721727,46.62628386", "View Map")</f>
        <v>View Map</v>
      </c>
    </row>
    <row r="535" spans="1:6" x14ac:dyDescent="0.35">
      <c r="A535" t="s">
        <v>2687</v>
      </c>
      <c r="B535" t="s">
        <v>2688</v>
      </c>
      <c r="C535" t="s">
        <v>1776</v>
      </c>
      <c r="D535" t="s">
        <v>13</v>
      </c>
      <c r="E535">
        <v>2251</v>
      </c>
      <c r="F535" t="str">
        <f>HYPERLINK("https://www.google.com/maps/search/?api=1&amp;query=24.6325,46.7156", "View Map")</f>
        <v>View Map</v>
      </c>
    </row>
    <row r="536" spans="1:6" x14ac:dyDescent="0.35">
      <c r="A536" t="s">
        <v>2689</v>
      </c>
      <c r="B536" t="s">
        <v>2690</v>
      </c>
      <c r="C536" t="s">
        <v>1776</v>
      </c>
      <c r="D536" t="s">
        <v>13</v>
      </c>
      <c r="E536">
        <v>2250</v>
      </c>
      <c r="F536" t="str">
        <f>HYPERLINK("https://www.google.com/maps/search/?api=1&amp;query=24.80040817,46.61245204", "View Map")</f>
        <v>View Map</v>
      </c>
    </row>
    <row r="537" spans="1:6" x14ac:dyDescent="0.35">
      <c r="A537" t="s">
        <v>2691</v>
      </c>
      <c r="B537" t="s">
        <v>2692</v>
      </c>
      <c r="C537" t="s">
        <v>1776</v>
      </c>
      <c r="D537" t="s">
        <v>13</v>
      </c>
      <c r="E537">
        <v>2249</v>
      </c>
      <c r="F537" t="str">
        <f>HYPERLINK("https://www.google.com/maps/search/?api=1&amp;query=24.87258727,46.80882715", "View Map")</f>
        <v>View Map</v>
      </c>
    </row>
    <row r="538" spans="1:6" x14ac:dyDescent="0.35">
      <c r="A538" t="s">
        <v>1798</v>
      </c>
      <c r="B538" t="s">
        <v>2693</v>
      </c>
      <c r="C538" t="s">
        <v>1776</v>
      </c>
      <c r="D538" t="s">
        <v>13</v>
      </c>
      <c r="E538">
        <v>2245</v>
      </c>
      <c r="F538" t="str">
        <f>HYPERLINK("https://www.google.com/maps/search/?api=1&amp;query=24.81538117,46.8052495", "View Map")</f>
        <v>View Map</v>
      </c>
    </row>
    <row r="539" spans="1:6" x14ac:dyDescent="0.35">
      <c r="A539" t="s">
        <v>2694</v>
      </c>
      <c r="B539" t="s">
        <v>2695</v>
      </c>
      <c r="C539" t="s">
        <v>1776</v>
      </c>
      <c r="D539" t="s">
        <v>13</v>
      </c>
      <c r="E539">
        <v>2244</v>
      </c>
      <c r="F539" t="str">
        <f>HYPERLINK("https://www.google.com/maps/search/?api=1&amp;query=24.7526,46.70686", "View Map")</f>
        <v>View Map</v>
      </c>
    </row>
    <row r="540" spans="1:6" x14ac:dyDescent="0.35">
      <c r="A540" t="s">
        <v>2567</v>
      </c>
      <c r="B540" t="s">
        <v>2696</v>
      </c>
      <c r="C540" t="s">
        <v>1776</v>
      </c>
      <c r="D540" t="s">
        <v>13</v>
      </c>
      <c r="E540">
        <v>2243</v>
      </c>
      <c r="F540" t="str">
        <f>HYPERLINK("https://www.google.com/maps/search/?api=1&amp;query=24.77136506,46.77602207", "View Map")</f>
        <v>View Map</v>
      </c>
    </row>
    <row r="541" spans="1:6" x14ac:dyDescent="0.35">
      <c r="A541" t="s">
        <v>2697</v>
      </c>
      <c r="B541" t="s">
        <v>2698</v>
      </c>
      <c r="C541" t="s">
        <v>1776</v>
      </c>
      <c r="D541" t="s">
        <v>13</v>
      </c>
      <c r="E541">
        <v>2239</v>
      </c>
      <c r="F541" t="str">
        <f>HYPERLINK("https://www.google.com/maps/search/?api=1&amp;query=24.71092091,46.83455047", "View Map")</f>
        <v>View Map</v>
      </c>
    </row>
    <row r="542" spans="1:6" x14ac:dyDescent="0.35">
      <c r="A542" t="s">
        <v>2699</v>
      </c>
      <c r="B542" t="s">
        <v>2700</v>
      </c>
      <c r="C542" t="s">
        <v>1776</v>
      </c>
      <c r="D542" t="s">
        <v>13</v>
      </c>
      <c r="E542">
        <v>2232</v>
      </c>
      <c r="F542" t="str">
        <f>HYPERLINK("https://www.google.com/maps/search/?api=1&amp;query=24.7226486,46.79984027", "View Map")</f>
        <v>View Map</v>
      </c>
    </row>
    <row r="543" spans="1:6" x14ac:dyDescent="0.35">
      <c r="A543" t="s">
        <v>1798</v>
      </c>
      <c r="B543" t="s">
        <v>2701</v>
      </c>
      <c r="C543" t="s">
        <v>1776</v>
      </c>
      <c r="D543" t="s">
        <v>13</v>
      </c>
      <c r="E543">
        <v>2232</v>
      </c>
      <c r="F543" t="str">
        <f>HYPERLINK("https://www.google.com/maps/search/?api=1&amp;query=24.8482485,46.82373402", "View Map")</f>
        <v>View Map</v>
      </c>
    </row>
    <row r="544" spans="1:6" x14ac:dyDescent="0.35">
      <c r="A544" t="s">
        <v>1806</v>
      </c>
      <c r="B544" t="s">
        <v>2702</v>
      </c>
      <c r="C544" t="s">
        <v>1776</v>
      </c>
      <c r="D544" t="s">
        <v>13</v>
      </c>
      <c r="E544">
        <v>2229</v>
      </c>
      <c r="F544" t="str">
        <f>HYPERLINK("https://www.google.com/maps/search/?api=1&amp;query=24.81358583,46.78162619", "View Map")</f>
        <v>View Map</v>
      </c>
    </row>
    <row r="545" spans="1:6" x14ac:dyDescent="0.35">
      <c r="A545" t="s">
        <v>1806</v>
      </c>
      <c r="B545" t="s">
        <v>2703</v>
      </c>
      <c r="C545" t="s">
        <v>1776</v>
      </c>
      <c r="D545" t="s">
        <v>13</v>
      </c>
      <c r="E545">
        <v>2226</v>
      </c>
      <c r="F545" t="str">
        <f>HYPERLINK("https://www.google.com/maps/search/?api=1&amp;query=24.83148734,46.88593313", "View Map")</f>
        <v>View Map</v>
      </c>
    </row>
    <row r="546" spans="1:6" x14ac:dyDescent="0.35">
      <c r="A546" t="s">
        <v>2704</v>
      </c>
      <c r="B546" t="s">
        <v>2705</v>
      </c>
      <c r="C546" t="s">
        <v>1776</v>
      </c>
      <c r="D546" t="s">
        <v>13</v>
      </c>
      <c r="E546">
        <v>2224</v>
      </c>
      <c r="F546" t="str">
        <f>HYPERLINK("https://www.google.com/maps/search/?api=1&amp;query=24.71732238,46.77786977", "View Map")</f>
        <v>View Map</v>
      </c>
    </row>
    <row r="547" spans="1:6" x14ac:dyDescent="0.35">
      <c r="A547" t="s">
        <v>1267</v>
      </c>
      <c r="B547" t="s">
        <v>2706</v>
      </c>
      <c r="C547" t="s">
        <v>1776</v>
      </c>
      <c r="D547" t="s">
        <v>13</v>
      </c>
      <c r="E547">
        <v>2223</v>
      </c>
      <c r="F547" t="str">
        <f>HYPERLINK("https://www.google.com/maps/search/?api=1&amp;query=24.70893355,46.78726012", "View Map")</f>
        <v>View Map</v>
      </c>
    </row>
    <row r="548" spans="1:6" x14ac:dyDescent="0.35">
      <c r="A548" t="s">
        <v>2707</v>
      </c>
      <c r="B548" t="s">
        <v>2708</v>
      </c>
      <c r="C548" t="s">
        <v>1776</v>
      </c>
      <c r="D548" t="s">
        <v>13</v>
      </c>
      <c r="E548">
        <v>2221</v>
      </c>
      <c r="F548" t="str">
        <f>HYPERLINK("https://www.google.com/maps/search/?api=1&amp;query=24.57016355,46.62149744", "View Map")</f>
        <v>View Map</v>
      </c>
    </row>
    <row r="549" spans="1:6" x14ac:dyDescent="0.35">
      <c r="A549" t="s">
        <v>2709</v>
      </c>
      <c r="B549" t="s">
        <v>2710</v>
      </c>
      <c r="C549" t="s">
        <v>1776</v>
      </c>
      <c r="D549" t="s">
        <v>13</v>
      </c>
      <c r="E549">
        <v>2220</v>
      </c>
      <c r="F549" t="str">
        <f>HYPERLINK("https://www.google.com/maps/search/?api=1&amp;query=24.64,46.6964", "View Map")</f>
        <v>View Map</v>
      </c>
    </row>
    <row r="550" spans="1:6" x14ac:dyDescent="0.35">
      <c r="A550" t="s">
        <v>2711</v>
      </c>
      <c r="B550" t="s">
        <v>2712</v>
      </c>
      <c r="C550" t="s">
        <v>1776</v>
      </c>
      <c r="D550" t="s">
        <v>13</v>
      </c>
      <c r="E550">
        <v>2216</v>
      </c>
      <c r="F550" t="str">
        <f>HYPERLINK("https://www.google.com/maps/search/?api=1&amp;query=24.73894872,46.78983778", "View Map")</f>
        <v>View Map</v>
      </c>
    </row>
    <row r="551" spans="1:6" x14ac:dyDescent="0.35">
      <c r="A551" t="s">
        <v>1798</v>
      </c>
      <c r="B551" t="s">
        <v>2713</v>
      </c>
      <c r="C551" t="s">
        <v>1776</v>
      </c>
      <c r="D551" t="s">
        <v>13</v>
      </c>
      <c r="E551">
        <v>2213</v>
      </c>
      <c r="F551" t="str">
        <f>HYPERLINK("https://www.google.com/maps/search/?api=1&amp;query=24.84817858,46.82772415", "View Map")</f>
        <v>View Map</v>
      </c>
    </row>
    <row r="552" spans="1:6" x14ac:dyDescent="0.35">
      <c r="A552" t="s">
        <v>2714</v>
      </c>
      <c r="B552" t="s">
        <v>2715</v>
      </c>
      <c r="C552" t="s">
        <v>1776</v>
      </c>
      <c r="D552" t="s">
        <v>13</v>
      </c>
      <c r="E552">
        <v>2212</v>
      </c>
      <c r="F552" t="str">
        <f>HYPERLINK("https://www.google.com/maps/search/?api=1&amp;query=24.61632806,46.64672449", "View Map")</f>
        <v>View Map</v>
      </c>
    </row>
    <row r="553" spans="1:6" x14ac:dyDescent="0.35">
      <c r="A553" t="s">
        <v>1798</v>
      </c>
      <c r="B553" t="s">
        <v>2716</v>
      </c>
      <c r="C553" t="s">
        <v>1776</v>
      </c>
      <c r="D553" t="s">
        <v>13</v>
      </c>
      <c r="E553">
        <v>2207</v>
      </c>
      <c r="F553" t="str">
        <f>HYPERLINK("https://www.google.com/maps/search/?api=1&amp;query=24.64157218,46.66129257", "View Map")</f>
        <v>View Map</v>
      </c>
    </row>
    <row r="554" spans="1:6" x14ac:dyDescent="0.35">
      <c r="A554" t="s">
        <v>2717</v>
      </c>
      <c r="B554" t="s">
        <v>2718</v>
      </c>
      <c r="C554" t="s">
        <v>1776</v>
      </c>
      <c r="D554" t="s">
        <v>13</v>
      </c>
      <c r="E554">
        <v>2206</v>
      </c>
      <c r="F554" t="str">
        <f>HYPERLINK("https://www.google.com/maps/search/?api=1&amp;query=24.68787843,46.57693484", "View Map")</f>
        <v>View Map</v>
      </c>
    </row>
    <row r="555" spans="1:6" x14ac:dyDescent="0.35">
      <c r="A555" t="s">
        <v>1947</v>
      </c>
      <c r="B555" t="s">
        <v>2719</v>
      </c>
      <c r="C555" t="s">
        <v>1776</v>
      </c>
      <c r="D555" t="s">
        <v>13</v>
      </c>
      <c r="E555">
        <v>2205</v>
      </c>
      <c r="F555" t="str">
        <f>HYPERLINK("https://www.google.com/maps/search/?api=1&amp;query=24.6122,46.7017", "View Map")</f>
        <v>View Map</v>
      </c>
    </row>
    <row r="556" spans="1:6" x14ac:dyDescent="0.35">
      <c r="A556" t="s">
        <v>2720</v>
      </c>
      <c r="B556" t="s">
        <v>2721</v>
      </c>
      <c r="C556" t="s">
        <v>1776</v>
      </c>
      <c r="D556" t="s">
        <v>13</v>
      </c>
      <c r="E556">
        <v>2200</v>
      </c>
      <c r="F556" t="str">
        <f>HYPERLINK("https://www.google.com/maps/search/?api=1&amp;query=24.57608323,46.83532588", "View Map")</f>
        <v>View Map</v>
      </c>
    </row>
    <row r="557" spans="1:6" x14ac:dyDescent="0.35">
      <c r="A557" t="s">
        <v>2722</v>
      </c>
      <c r="B557" t="s">
        <v>2723</v>
      </c>
      <c r="C557" t="s">
        <v>1776</v>
      </c>
      <c r="D557" t="s">
        <v>13</v>
      </c>
      <c r="E557">
        <v>2200</v>
      </c>
      <c r="F557" t="str">
        <f>HYPERLINK("https://www.google.com/maps/search/?api=1&amp;query=24.56381494,46.70718724", "View Map")</f>
        <v>View Map</v>
      </c>
    </row>
    <row r="558" spans="1:6" x14ac:dyDescent="0.35">
      <c r="A558" t="s">
        <v>1798</v>
      </c>
      <c r="B558" t="s">
        <v>2724</v>
      </c>
      <c r="C558" t="s">
        <v>1776</v>
      </c>
      <c r="D558" t="s">
        <v>13</v>
      </c>
      <c r="E558">
        <v>2196</v>
      </c>
      <c r="F558" t="str">
        <f>HYPERLINK("https://www.google.com/maps/search/?api=1&amp;query=0.0,0.0", "View Map")</f>
        <v>View Map</v>
      </c>
    </row>
    <row r="559" spans="1:6" x14ac:dyDescent="0.35">
      <c r="A559" t="s">
        <v>2725</v>
      </c>
      <c r="B559" t="s">
        <v>2726</v>
      </c>
      <c r="C559" t="s">
        <v>1776</v>
      </c>
      <c r="D559" t="s">
        <v>13</v>
      </c>
      <c r="E559">
        <v>2193</v>
      </c>
      <c r="F559" t="str">
        <f>HYPERLINK("https://www.google.com/maps/search/?api=1&amp;query=24.77379701,46.67295", "View Map")</f>
        <v>View Map</v>
      </c>
    </row>
    <row r="560" spans="1:6" x14ac:dyDescent="0.35">
      <c r="A560" t="s">
        <v>2689</v>
      </c>
      <c r="B560" t="s">
        <v>2727</v>
      </c>
      <c r="C560" t="s">
        <v>1776</v>
      </c>
      <c r="D560" t="s">
        <v>13</v>
      </c>
      <c r="E560">
        <v>2191</v>
      </c>
      <c r="F560" t="str">
        <f>HYPERLINK("https://www.google.com/maps/search/?api=1&amp;query=24.73929471,46.7187042", "View Map")</f>
        <v>View Map</v>
      </c>
    </row>
    <row r="561" spans="1:6" x14ac:dyDescent="0.35">
      <c r="A561" t="s">
        <v>2728</v>
      </c>
      <c r="B561" t="s">
        <v>2729</v>
      </c>
      <c r="C561" t="s">
        <v>1776</v>
      </c>
      <c r="D561" t="s">
        <v>13</v>
      </c>
      <c r="E561">
        <v>2191</v>
      </c>
      <c r="F561" t="str">
        <f>HYPERLINK("https://www.google.com/maps/search/?api=1&amp;query=24.69948418,46.85979804", "View Map")</f>
        <v>View Map</v>
      </c>
    </row>
    <row r="562" spans="1:6" x14ac:dyDescent="0.35">
      <c r="A562" t="s">
        <v>2730</v>
      </c>
      <c r="B562" t="s">
        <v>2731</v>
      </c>
      <c r="C562" t="s">
        <v>1776</v>
      </c>
      <c r="D562" t="s">
        <v>13</v>
      </c>
      <c r="E562">
        <v>2190</v>
      </c>
      <c r="F562" t="str">
        <f>HYPERLINK("https://www.google.com/maps/search/?api=1&amp;query=24.57064654,46.71489436", "View Map")</f>
        <v>View Map</v>
      </c>
    </row>
    <row r="563" spans="1:6" x14ac:dyDescent="0.35">
      <c r="A563" t="s">
        <v>2732</v>
      </c>
      <c r="B563" t="s">
        <v>2733</v>
      </c>
      <c r="C563" t="s">
        <v>1776</v>
      </c>
      <c r="D563" t="s">
        <v>13</v>
      </c>
      <c r="E563">
        <v>2188</v>
      </c>
      <c r="F563" t="str">
        <f>HYPERLINK("https://www.google.com/maps/search/?api=1&amp;query=24.65428805,46.74159627", "View Map")</f>
        <v>View Map</v>
      </c>
    </row>
    <row r="564" spans="1:6" x14ac:dyDescent="0.35">
      <c r="A564" t="s">
        <v>2734</v>
      </c>
      <c r="B564" t="s">
        <v>2735</v>
      </c>
      <c r="C564" t="s">
        <v>1776</v>
      </c>
      <c r="D564" t="s">
        <v>13</v>
      </c>
      <c r="E564">
        <v>2184</v>
      </c>
      <c r="F564" t="str">
        <f>HYPERLINK("https://www.google.com/maps/search/?api=1&amp;query=24.55324627,46.68157371", "View Map")</f>
        <v>View Map</v>
      </c>
    </row>
    <row r="565" spans="1:6" x14ac:dyDescent="0.35">
      <c r="A565" t="s">
        <v>2736</v>
      </c>
      <c r="B565" t="s">
        <v>2737</v>
      </c>
      <c r="C565" t="s">
        <v>1776</v>
      </c>
      <c r="D565" t="s">
        <v>13</v>
      </c>
      <c r="E565">
        <v>2178</v>
      </c>
      <c r="F565" t="str">
        <f>HYPERLINK("https://www.google.com/maps/search/?api=1&amp;query=24.78023049,46.67701325", "View Map")</f>
        <v>View Map</v>
      </c>
    </row>
    <row r="566" spans="1:6" x14ac:dyDescent="0.35">
      <c r="A566" t="s">
        <v>2738</v>
      </c>
      <c r="B566" t="s">
        <v>2739</v>
      </c>
      <c r="C566" t="s">
        <v>1776</v>
      </c>
      <c r="D566" t="s">
        <v>13</v>
      </c>
      <c r="E566">
        <v>2174</v>
      </c>
      <c r="F566" t="str">
        <f>HYPERLINK("https://www.google.com/maps/search/?api=1&amp;query=24.71807026,46.83111536", "View Map")</f>
        <v>View Map</v>
      </c>
    </row>
    <row r="567" spans="1:6" x14ac:dyDescent="0.35">
      <c r="A567" t="s">
        <v>2740</v>
      </c>
      <c r="B567" t="s">
        <v>2741</v>
      </c>
      <c r="C567" t="s">
        <v>1776</v>
      </c>
      <c r="D567" t="s">
        <v>13</v>
      </c>
      <c r="E567">
        <v>2171</v>
      </c>
      <c r="F567" t="str">
        <f>HYPERLINK("https://www.google.com/maps/search/?api=1&amp;query=24.58976787,46.73712067", "View Map")</f>
        <v>View Map</v>
      </c>
    </row>
    <row r="568" spans="1:6" x14ac:dyDescent="0.35">
      <c r="A568" t="s">
        <v>2742</v>
      </c>
      <c r="B568" t="s">
        <v>2743</v>
      </c>
      <c r="C568" t="s">
        <v>1776</v>
      </c>
      <c r="D568" t="s">
        <v>13</v>
      </c>
      <c r="E568">
        <v>2167</v>
      </c>
      <c r="F568" t="str">
        <f>HYPERLINK("https://www.google.com/maps/search/?api=1&amp;query=24.57640778,46.59466383", "View Map")</f>
        <v>View Map</v>
      </c>
    </row>
    <row r="569" spans="1:6" x14ac:dyDescent="0.35">
      <c r="A569" t="s">
        <v>2744</v>
      </c>
      <c r="B569" t="s">
        <v>2745</v>
      </c>
      <c r="C569" t="s">
        <v>1776</v>
      </c>
      <c r="D569" t="s">
        <v>13</v>
      </c>
      <c r="E569">
        <v>2165</v>
      </c>
      <c r="F569" t="str">
        <f>HYPERLINK("https://www.google.com/maps/search/?api=1&amp;query=24.62036701,46.80794113", "View Map")</f>
        <v>View Map</v>
      </c>
    </row>
    <row r="570" spans="1:6" x14ac:dyDescent="0.35">
      <c r="A570" t="s">
        <v>2746</v>
      </c>
      <c r="B570" t="s">
        <v>2747</v>
      </c>
      <c r="C570" t="s">
        <v>1776</v>
      </c>
      <c r="D570" t="s">
        <v>13</v>
      </c>
      <c r="E570">
        <v>2165</v>
      </c>
      <c r="F570" t="str">
        <f>HYPERLINK("https://www.google.com/maps/search/?api=1&amp;query=24.8063862,46.65123976", "View Map")</f>
        <v>View Map</v>
      </c>
    </row>
    <row r="571" spans="1:6" x14ac:dyDescent="0.35">
      <c r="A571" t="s">
        <v>1798</v>
      </c>
      <c r="B571" t="s">
        <v>2748</v>
      </c>
      <c r="C571" t="s">
        <v>1776</v>
      </c>
      <c r="D571" t="s">
        <v>13</v>
      </c>
      <c r="E571">
        <v>2153</v>
      </c>
      <c r="F571" t="str">
        <f>HYPERLINK("https://www.google.com/maps/search/?api=1&amp;query=24.82624901,46.79934931", "View Map")</f>
        <v>View Map</v>
      </c>
    </row>
    <row r="572" spans="1:6" x14ac:dyDescent="0.35">
      <c r="A572" t="s">
        <v>2749</v>
      </c>
      <c r="B572" t="s">
        <v>2750</v>
      </c>
      <c r="C572" t="s">
        <v>1776</v>
      </c>
      <c r="D572" t="s">
        <v>13</v>
      </c>
      <c r="E572">
        <v>2151</v>
      </c>
      <c r="F572" t="str">
        <f>HYPERLINK("https://www.google.com/maps/search/?api=1&amp;query=24.6119,46.6864", "View Map")</f>
        <v>View Map</v>
      </c>
    </row>
    <row r="573" spans="1:6" x14ac:dyDescent="0.35">
      <c r="A573" t="s">
        <v>2751</v>
      </c>
      <c r="B573" t="s">
        <v>2752</v>
      </c>
      <c r="C573" t="s">
        <v>1776</v>
      </c>
      <c r="D573" t="s">
        <v>13</v>
      </c>
      <c r="E573">
        <v>2151</v>
      </c>
      <c r="F573" t="str">
        <f>HYPERLINK("https://www.google.com/maps/search/?api=1&amp;query=24.57878307,46.6626018", "View Map")</f>
        <v>View Map</v>
      </c>
    </row>
    <row r="574" spans="1:6" x14ac:dyDescent="0.35">
      <c r="A574" t="s">
        <v>2753</v>
      </c>
      <c r="B574" t="s">
        <v>2754</v>
      </c>
      <c r="C574" t="s">
        <v>1776</v>
      </c>
      <c r="D574" t="s">
        <v>13</v>
      </c>
      <c r="E574">
        <v>2144</v>
      </c>
      <c r="F574" t="str">
        <f>HYPERLINK("https://www.google.com/maps/search/?api=1&amp;query=24.60170897,46.69501853", "View Map")</f>
        <v>View Map</v>
      </c>
    </row>
    <row r="575" spans="1:6" x14ac:dyDescent="0.35">
      <c r="A575" t="s">
        <v>2755</v>
      </c>
      <c r="B575" t="s">
        <v>2756</v>
      </c>
      <c r="C575" t="s">
        <v>1776</v>
      </c>
      <c r="D575" t="s">
        <v>13</v>
      </c>
      <c r="E575">
        <v>2139</v>
      </c>
      <c r="F575" t="str">
        <f>HYPERLINK("https://www.google.com/maps/search/?api=1&amp;query=24.7368616,46.67932325", "View Map")</f>
        <v>View Map</v>
      </c>
    </row>
    <row r="576" spans="1:6" x14ac:dyDescent="0.35">
      <c r="A576" t="s">
        <v>2757</v>
      </c>
      <c r="B576" t="s">
        <v>2758</v>
      </c>
      <c r="C576" t="s">
        <v>1776</v>
      </c>
      <c r="D576" t="s">
        <v>13</v>
      </c>
      <c r="E576">
        <v>2135</v>
      </c>
      <c r="F576" t="str">
        <f>HYPERLINK("https://www.google.com/maps/search/?api=1&amp;query=24.73725396,46.80359199", "View Map")</f>
        <v>View Map</v>
      </c>
    </row>
    <row r="577" spans="1:6" x14ac:dyDescent="0.35">
      <c r="A577" t="s">
        <v>1798</v>
      </c>
      <c r="B577" t="s">
        <v>2759</v>
      </c>
      <c r="C577" t="s">
        <v>1776</v>
      </c>
      <c r="D577" t="s">
        <v>13</v>
      </c>
      <c r="E577">
        <v>2134</v>
      </c>
      <c r="F577" t="str">
        <f>HYPERLINK("https://www.google.com/maps/search/?api=1&amp;query=0.0,0.0", "View Map")</f>
        <v>View Map</v>
      </c>
    </row>
    <row r="578" spans="1:6" x14ac:dyDescent="0.35">
      <c r="A578" t="s">
        <v>2760</v>
      </c>
      <c r="B578" t="s">
        <v>2761</v>
      </c>
      <c r="C578" t="s">
        <v>1776</v>
      </c>
      <c r="D578" t="s">
        <v>13</v>
      </c>
      <c r="E578">
        <v>2131</v>
      </c>
      <c r="F578" t="str">
        <f>HYPERLINK("https://www.google.com/maps/search/?api=1&amp;query=24.6819685,46.82093711", "View Map")</f>
        <v>View Map</v>
      </c>
    </row>
    <row r="579" spans="1:6" x14ac:dyDescent="0.35">
      <c r="A579" t="s">
        <v>1798</v>
      </c>
      <c r="B579" t="s">
        <v>2762</v>
      </c>
      <c r="C579" t="s">
        <v>1776</v>
      </c>
      <c r="D579" t="s">
        <v>13</v>
      </c>
      <c r="E579">
        <v>2126</v>
      </c>
      <c r="F579" t="str">
        <f>HYPERLINK("https://www.google.com/maps/search/?api=1&amp;query=24.83307,46.68694", "View Map")</f>
        <v>View Map</v>
      </c>
    </row>
    <row r="580" spans="1:6" x14ac:dyDescent="0.35">
      <c r="A580" t="s">
        <v>1798</v>
      </c>
      <c r="B580" t="s">
        <v>2763</v>
      </c>
      <c r="C580" t="s">
        <v>1776</v>
      </c>
      <c r="D580" t="s">
        <v>13</v>
      </c>
      <c r="E580">
        <v>2124</v>
      </c>
      <c r="F580" t="str">
        <f>HYPERLINK("https://www.google.com/maps/search/?api=1&amp;query=24.83262768,46.81771632", "View Map")</f>
        <v>View Map</v>
      </c>
    </row>
    <row r="581" spans="1:6" x14ac:dyDescent="0.35">
      <c r="A581" t="s">
        <v>2764</v>
      </c>
      <c r="B581" t="s">
        <v>2765</v>
      </c>
      <c r="C581" t="s">
        <v>1776</v>
      </c>
      <c r="D581" t="s">
        <v>13</v>
      </c>
      <c r="E581">
        <v>2120</v>
      </c>
      <c r="F581" t="str">
        <f>HYPERLINK("https://www.google.com/maps/search/?api=1&amp;query=24.61743165,46.70012993", "View Map")</f>
        <v>View Map</v>
      </c>
    </row>
    <row r="582" spans="1:6" x14ac:dyDescent="0.35">
      <c r="A582" t="s">
        <v>2766</v>
      </c>
      <c r="B582" t="s">
        <v>2767</v>
      </c>
      <c r="C582" t="s">
        <v>1776</v>
      </c>
      <c r="D582" t="s">
        <v>13</v>
      </c>
      <c r="E582">
        <v>2120</v>
      </c>
      <c r="F582" t="str">
        <f>HYPERLINK("https://www.google.com/maps/search/?api=1&amp;query=24.68348817,46.77779585", "View Map")</f>
        <v>View Map</v>
      </c>
    </row>
    <row r="583" spans="1:6" x14ac:dyDescent="0.35">
      <c r="A583" t="s">
        <v>2768</v>
      </c>
      <c r="B583" t="s">
        <v>2769</v>
      </c>
      <c r="C583" t="s">
        <v>1776</v>
      </c>
      <c r="D583" t="s">
        <v>13</v>
      </c>
      <c r="E583">
        <v>2119</v>
      </c>
      <c r="F583" t="str">
        <f>HYPERLINK("https://www.google.com/maps/search/?api=1&amp;query=24.65657097,46.72239725", "View Map")</f>
        <v>View Map</v>
      </c>
    </row>
    <row r="584" spans="1:6" x14ac:dyDescent="0.35">
      <c r="A584" t="s">
        <v>2770</v>
      </c>
      <c r="B584" t="s">
        <v>2771</v>
      </c>
      <c r="C584" t="s">
        <v>1776</v>
      </c>
      <c r="D584" t="s">
        <v>13</v>
      </c>
      <c r="E584">
        <v>2113</v>
      </c>
      <c r="F584" t="str">
        <f>HYPERLINK("https://www.google.com/maps/search/?api=1&amp;query=24.73153205,46.64280987", "View Map")</f>
        <v>View Map</v>
      </c>
    </row>
    <row r="585" spans="1:6" x14ac:dyDescent="0.35">
      <c r="A585" t="s">
        <v>1798</v>
      </c>
      <c r="B585" t="s">
        <v>2772</v>
      </c>
      <c r="C585" t="s">
        <v>1776</v>
      </c>
      <c r="D585" t="s">
        <v>13</v>
      </c>
      <c r="E585">
        <v>2113</v>
      </c>
      <c r="F585" t="str">
        <f>HYPERLINK("https://www.google.com/maps/search/?api=1&amp;query=24.76371,46.69553", "View Map")</f>
        <v>View Map</v>
      </c>
    </row>
    <row r="586" spans="1:6" x14ac:dyDescent="0.35">
      <c r="A586" t="s">
        <v>2773</v>
      </c>
      <c r="B586" t="s">
        <v>2774</v>
      </c>
      <c r="C586" t="s">
        <v>1776</v>
      </c>
      <c r="D586" t="s">
        <v>13</v>
      </c>
      <c r="E586">
        <v>2112</v>
      </c>
      <c r="F586" t="str">
        <f>HYPERLINK("https://www.google.com/maps/search/?api=1&amp;query=24.63351133,46.75650956", "View Map")</f>
        <v>View Map</v>
      </c>
    </row>
    <row r="587" spans="1:6" x14ac:dyDescent="0.35">
      <c r="A587" t="s">
        <v>1851</v>
      </c>
      <c r="B587" t="s">
        <v>2775</v>
      </c>
      <c r="C587" t="s">
        <v>1776</v>
      </c>
      <c r="D587" t="s">
        <v>13</v>
      </c>
      <c r="E587">
        <v>2106</v>
      </c>
      <c r="F587" t="str">
        <f>HYPERLINK("https://www.google.com/maps/search/?api=1&amp;query=24.7861178,46.79299834", "View Map")</f>
        <v>View Map</v>
      </c>
    </row>
    <row r="588" spans="1:6" x14ac:dyDescent="0.35">
      <c r="A588" t="s">
        <v>2486</v>
      </c>
      <c r="B588" t="s">
        <v>2776</v>
      </c>
      <c r="C588" t="s">
        <v>1776</v>
      </c>
      <c r="D588" t="s">
        <v>13</v>
      </c>
      <c r="E588">
        <v>2104</v>
      </c>
      <c r="F588" t="str">
        <f>HYPERLINK("https://www.google.com/maps/search/?api=1&amp;query=24.71118916,46.80532115", "View Map")</f>
        <v>View Map</v>
      </c>
    </row>
    <row r="589" spans="1:6" x14ac:dyDescent="0.35">
      <c r="A589" t="s">
        <v>2777</v>
      </c>
      <c r="B589" t="s">
        <v>2778</v>
      </c>
      <c r="C589" t="s">
        <v>1776</v>
      </c>
      <c r="D589" t="s">
        <v>13</v>
      </c>
      <c r="E589">
        <v>2100</v>
      </c>
      <c r="F589" t="str">
        <f>HYPERLINK("https://www.google.com/maps/search/?api=1&amp;query=24.6306191,46.75079643", "View Map")</f>
        <v>View Map</v>
      </c>
    </row>
    <row r="590" spans="1:6" x14ac:dyDescent="0.35">
      <c r="A590" t="s">
        <v>1947</v>
      </c>
      <c r="B590" t="s">
        <v>2779</v>
      </c>
      <c r="C590" t="s">
        <v>1776</v>
      </c>
      <c r="D590" t="s">
        <v>13</v>
      </c>
      <c r="E590">
        <v>2098</v>
      </c>
      <c r="F590" t="str">
        <f>HYPERLINK("https://www.google.com/maps/search/?api=1&amp;query=24.51032709,46.67249126", "View Map")</f>
        <v>View Map</v>
      </c>
    </row>
    <row r="591" spans="1:6" x14ac:dyDescent="0.35">
      <c r="A591" t="s">
        <v>1794</v>
      </c>
      <c r="B591" t="s">
        <v>2780</v>
      </c>
      <c r="C591" t="s">
        <v>1776</v>
      </c>
      <c r="D591" t="s">
        <v>13</v>
      </c>
      <c r="E591">
        <v>2095</v>
      </c>
      <c r="F591" t="str">
        <f>HYPERLINK("https://www.google.com/maps/search/?api=1&amp;query=24.65968414,46.79532928", "View Map")</f>
        <v>View Map</v>
      </c>
    </row>
    <row r="592" spans="1:6" x14ac:dyDescent="0.35">
      <c r="A592" t="s">
        <v>2781</v>
      </c>
      <c r="B592" t="s">
        <v>2782</v>
      </c>
      <c r="C592" t="s">
        <v>1776</v>
      </c>
      <c r="D592" t="s">
        <v>13</v>
      </c>
      <c r="E592">
        <v>2091</v>
      </c>
      <c r="F592" t="str">
        <f>HYPERLINK("https://www.google.com/maps/search/?api=1&amp;query=24.73037392,46.68446288", "View Map")</f>
        <v>View Map</v>
      </c>
    </row>
    <row r="593" spans="1:6" x14ac:dyDescent="0.35">
      <c r="A593" t="s">
        <v>2783</v>
      </c>
      <c r="B593" t="s">
        <v>2784</v>
      </c>
      <c r="C593" t="s">
        <v>1776</v>
      </c>
      <c r="D593" t="s">
        <v>13</v>
      </c>
      <c r="E593">
        <v>2088</v>
      </c>
      <c r="F593" t="str">
        <f>HYPERLINK("https://www.google.com/maps/search/?api=1&amp;query=24.68306407,46.71265569", "View Map")</f>
        <v>View Map</v>
      </c>
    </row>
    <row r="594" spans="1:6" x14ac:dyDescent="0.35">
      <c r="A594" t="s">
        <v>2785</v>
      </c>
      <c r="B594" t="s">
        <v>2786</v>
      </c>
      <c r="C594" t="s">
        <v>1776</v>
      </c>
      <c r="D594" t="s">
        <v>13</v>
      </c>
      <c r="E594">
        <v>2086</v>
      </c>
      <c r="F594" t="str">
        <f>HYPERLINK("https://www.google.com/maps/search/?api=1&amp;query=24.58650463,46.68320732", "View Map")</f>
        <v>View Map</v>
      </c>
    </row>
    <row r="595" spans="1:6" x14ac:dyDescent="0.35">
      <c r="A595" t="s">
        <v>2787</v>
      </c>
      <c r="B595" t="s">
        <v>2788</v>
      </c>
      <c r="C595" t="s">
        <v>1776</v>
      </c>
      <c r="D595" t="s">
        <v>13</v>
      </c>
      <c r="E595">
        <v>2086</v>
      </c>
      <c r="F595" t="str">
        <f>HYPERLINK("https://www.google.com/maps/search/?api=1&amp;query=24.69849762,46.686346", "View Map")</f>
        <v>View Map</v>
      </c>
    </row>
    <row r="596" spans="1:6" x14ac:dyDescent="0.35">
      <c r="A596" t="s">
        <v>2789</v>
      </c>
      <c r="B596" t="s">
        <v>2790</v>
      </c>
      <c r="C596" t="s">
        <v>1776</v>
      </c>
      <c r="D596" t="s">
        <v>13</v>
      </c>
      <c r="E596">
        <v>2084</v>
      </c>
      <c r="F596" t="str">
        <f>HYPERLINK("https://www.google.com/maps/search/?api=1&amp;query=24.68549506,46.82876099", "View Map")</f>
        <v>View Map</v>
      </c>
    </row>
    <row r="597" spans="1:6" x14ac:dyDescent="0.35">
      <c r="A597" t="s">
        <v>2791</v>
      </c>
      <c r="B597" t="s">
        <v>2792</v>
      </c>
      <c r="C597" t="s">
        <v>1776</v>
      </c>
      <c r="D597" t="s">
        <v>13</v>
      </c>
      <c r="E597">
        <v>2080</v>
      </c>
      <c r="F597" t="str">
        <f>HYPERLINK("https://www.google.com/maps/search/?api=1&amp;query=24.59719193,46.65401444", "View Map")</f>
        <v>View Map</v>
      </c>
    </row>
    <row r="598" spans="1:6" x14ac:dyDescent="0.35">
      <c r="A598" t="s">
        <v>2793</v>
      </c>
      <c r="B598" t="s">
        <v>2794</v>
      </c>
      <c r="C598" t="s">
        <v>1776</v>
      </c>
      <c r="D598" t="s">
        <v>13</v>
      </c>
      <c r="E598">
        <v>2079</v>
      </c>
      <c r="F598" t="str">
        <f>HYPERLINK("https://www.google.com/maps/search/?api=1&amp;query=24.72207968,46.80221719", "View Map")</f>
        <v>View Map</v>
      </c>
    </row>
    <row r="599" spans="1:6" x14ac:dyDescent="0.35">
      <c r="A599" t="s">
        <v>2795</v>
      </c>
      <c r="B599" t="s">
        <v>2796</v>
      </c>
      <c r="C599" t="s">
        <v>1776</v>
      </c>
      <c r="D599" t="s">
        <v>13</v>
      </c>
      <c r="E599">
        <v>2074</v>
      </c>
      <c r="F599" t="str">
        <f>HYPERLINK("https://www.google.com/maps/search/?api=1&amp;query=24.78875116,46.70551882", "View Map")</f>
        <v>View Map</v>
      </c>
    </row>
    <row r="600" spans="1:6" x14ac:dyDescent="0.35">
      <c r="A600" t="s">
        <v>2797</v>
      </c>
      <c r="B600" t="s">
        <v>2798</v>
      </c>
      <c r="C600" t="s">
        <v>1776</v>
      </c>
      <c r="D600" t="s">
        <v>13</v>
      </c>
      <c r="E600">
        <v>2072</v>
      </c>
      <c r="F600" t="str">
        <f>HYPERLINK("https://www.google.com/maps/search/?api=1&amp;query=24.77589286,46.68995651", "View Map")</f>
        <v>View Map</v>
      </c>
    </row>
    <row r="601" spans="1:6" x14ac:dyDescent="0.35">
      <c r="A601" t="s">
        <v>2799</v>
      </c>
      <c r="B601" t="s">
        <v>2800</v>
      </c>
      <c r="C601" t="s">
        <v>1776</v>
      </c>
      <c r="D601" t="s">
        <v>13</v>
      </c>
      <c r="E601">
        <v>2070</v>
      </c>
      <c r="F601" t="str">
        <f>HYPERLINK("https://www.google.com/maps/search/?api=1&amp;query=24.6834691,46.7412753", "View Map")</f>
        <v>View Map</v>
      </c>
    </row>
    <row r="602" spans="1:6" x14ac:dyDescent="0.35">
      <c r="A602" t="s">
        <v>2801</v>
      </c>
      <c r="B602" t="s">
        <v>2802</v>
      </c>
      <c r="C602" t="s">
        <v>1776</v>
      </c>
      <c r="D602" t="s">
        <v>13</v>
      </c>
      <c r="E602">
        <v>2068</v>
      </c>
      <c r="F602" t="str">
        <f>HYPERLINK("https://www.google.com/maps/search/?api=1&amp;query=24.81112149,46.79641324", "View Map")</f>
        <v>View Map</v>
      </c>
    </row>
    <row r="603" spans="1:6" x14ac:dyDescent="0.35">
      <c r="A603" t="s">
        <v>2803</v>
      </c>
      <c r="B603" t="s">
        <v>2804</v>
      </c>
      <c r="C603" t="s">
        <v>1776</v>
      </c>
      <c r="D603" t="s">
        <v>13</v>
      </c>
      <c r="E603">
        <v>2066</v>
      </c>
      <c r="F603" t="str">
        <f>HYPERLINK("https://www.google.com/maps/search/?api=1&amp;query=24.77013796,46.82593766", "View Map")</f>
        <v>View Map</v>
      </c>
    </row>
    <row r="604" spans="1:6" x14ac:dyDescent="0.35">
      <c r="A604" t="s">
        <v>2805</v>
      </c>
      <c r="B604" t="s">
        <v>2806</v>
      </c>
      <c r="C604" t="s">
        <v>1776</v>
      </c>
      <c r="D604" t="s">
        <v>13</v>
      </c>
      <c r="E604">
        <v>2060</v>
      </c>
      <c r="F604" t="str">
        <f>HYPERLINK("https://www.google.com/maps/search/?api=1&amp;query=24.81829816,46.63466773", "View Map")</f>
        <v>View Map</v>
      </c>
    </row>
    <row r="605" spans="1:6" x14ac:dyDescent="0.35">
      <c r="A605" t="s">
        <v>2807</v>
      </c>
      <c r="B605" t="s">
        <v>2808</v>
      </c>
      <c r="C605" t="s">
        <v>1776</v>
      </c>
      <c r="D605" t="s">
        <v>13</v>
      </c>
      <c r="E605">
        <v>2058</v>
      </c>
      <c r="F605" t="str">
        <f>HYPERLINK("https://www.google.com/maps/search/?api=1&amp;query=24.57247204,46.61897024", "View Map")</f>
        <v>View Map</v>
      </c>
    </row>
    <row r="606" spans="1:6" x14ac:dyDescent="0.35">
      <c r="A606" t="s">
        <v>2809</v>
      </c>
      <c r="B606" t="s">
        <v>2810</v>
      </c>
      <c r="C606" t="s">
        <v>1776</v>
      </c>
      <c r="D606" t="s">
        <v>13</v>
      </c>
      <c r="E606">
        <v>2057</v>
      </c>
      <c r="F606" t="str">
        <f>HYPERLINK("https://www.google.com/maps/search/?api=1&amp;query=24.64942153,46.70695369", "View Map")</f>
        <v>View Map</v>
      </c>
    </row>
    <row r="607" spans="1:6" x14ac:dyDescent="0.35">
      <c r="A607" t="s">
        <v>2811</v>
      </c>
      <c r="B607" t="s">
        <v>2812</v>
      </c>
      <c r="C607" t="s">
        <v>1776</v>
      </c>
      <c r="D607" t="s">
        <v>13</v>
      </c>
      <c r="E607">
        <v>2053</v>
      </c>
      <c r="F607" t="str">
        <f>HYPERLINK("https://www.google.com/maps/search/?api=1&amp;query=24.7280551,46.82088315", "View Map")</f>
        <v>View Map</v>
      </c>
    </row>
    <row r="608" spans="1:6" x14ac:dyDescent="0.35">
      <c r="A608" t="s">
        <v>2386</v>
      </c>
      <c r="B608" t="s">
        <v>2813</v>
      </c>
      <c r="C608" t="s">
        <v>1776</v>
      </c>
      <c r="D608" t="s">
        <v>13</v>
      </c>
      <c r="E608">
        <v>2050</v>
      </c>
      <c r="F608" t="str">
        <f>HYPERLINK("https://www.google.com/maps/search/?api=1&amp;query=24.58435564,46.76394926", "View Map")</f>
        <v>View Map</v>
      </c>
    </row>
    <row r="609" spans="1:6" x14ac:dyDescent="0.35">
      <c r="A609" t="s">
        <v>2814</v>
      </c>
      <c r="B609" t="s">
        <v>2815</v>
      </c>
      <c r="C609" t="s">
        <v>1776</v>
      </c>
      <c r="D609" t="s">
        <v>13</v>
      </c>
      <c r="E609">
        <v>2048</v>
      </c>
      <c r="F609" t="str">
        <f>HYPERLINK("https://www.google.com/maps/search/?api=1&amp;query=24.80039563,46.80001072", "View Map")</f>
        <v>View Map</v>
      </c>
    </row>
    <row r="610" spans="1:6" x14ac:dyDescent="0.35">
      <c r="A610" t="s">
        <v>2816</v>
      </c>
      <c r="B610" t="s">
        <v>2817</v>
      </c>
      <c r="C610" t="s">
        <v>1776</v>
      </c>
      <c r="D610" t="s">
        <v>13</v>
      </c>
      <c r="E610">
        <v>2048</v>
      </c>
      <c r="F610" t="str">
        <f>HYPERLINK("https://www.google.com/maps/search/?api=1&amp;query=24.80549012,46.70952652", "View Map")</f>
        <v>View Map</v>
      </c>
    </row>
    <row r="611" spans="1:6" x14ac:dyDescent="0.35">
      <c r="A611" t="s">
        <v>1798</v>
      </c>
      <c r="B611" t="s">
        <v>2818</v>
      </c>
      <c r="C611" t="s">
        <v>1776</v>
      </c>
      <c r="D611" t="s">
        <v>13</v>
      </c>
      <c r="E611">
        <v>2043</v>
      </c>
      <c r="F611" t="str">
        <f>HYPERLINK("https://www.google.com/maps/search/?api=1&amp;query=24.85203405,46.82693237", "View Map")</f>
        <v>View Map</v>
      </c>
    </row>
    <row r="612" spans="1:6" x14ac:dyDescent="0.35">
      <c r="A612" t="s">
        <v>1794</v>
      </c>
      <c r="B612" t="s">
        <v>2819</v>
      </c>
      <c r="C612" t="s">
        <v>1776</v>
      </c>
      <c r="D612" t="s">
        <v>13</v>
      </c>
      <c r="E612">
        <v>2042</v>
      </c>
      <c r="F612" t="str">
        <f>HYPERLINK("https://www.google.com/maps/search/?api=1&amp;query=24.8265293,46.59987905", "View Map")</f>
        <v>View Map</v>
      </c>
    </row>
    <row r="613" spans="1:6" x14ac:dyDescent="0.35">
      <c r="A613" t="s">
        <v>2820</v>
      </c>
      <c r="B613" t="s">
        <v>2821</v>
      </c>
      <c r="C613" t="s">
        <v>1776</v>
      </c>
      <c r="D613" t="s">
        <v>13</v>
      </c>
      <c r="E613">
        <v>2041</v>
      </c>
      <c r="F613" t="str">
        <f>HYPERLINK("https://www.google.com/maps/search/?api=1&amp;query=24.62112977,46.73223297", "View Map")</f>
        <v>View Map</v>
      </c>
    </row>
    <row r="614" spans="1:6" x14ac:dyDescent="0.35">
      <c r="A614" t="s">
        <v>2822</v>
      </c>
      <c r="B614" t="s">
        <v>2823</v>
      </c>
      <c r="C614" t="s">
        <v>1776</v>
      </c>
      <c r="D614" t="s">
        <v>13</v>
      </c>
      <c r="E614">
        <v>2035</v>
      </c>
      <c r="F614" t="str">
        <f>HYPERLINK("https://www.google.com/maps/search/?api=1&amp;query=24.71435212,46.66846967", "View Map")</f>
        <v>View Map</v>
      </c>
    </row>
    <row r="615" spans="1:6" x14ac:dyDescent="0.35">
      <c r="A615" t="s">
        <v>2824</v>
      </c>
      <c r="B615" t="s">
        <v>2825</v>
      </c>
      <c r="C615" t="s">
        <v>1776</v>
      </c>
      <c r="D615" t="s">
        <v>13</v>
      </c>
      <c r="E615">
        <v>2027</v>
      </c>
      <c r="F615" t="str">
        <f>HYPERLINK("https://www.google.com/maps/search/?api=1&amp;query=24.63186916,46.68972409", "View Map")</f>
        <v>View Map</v>
      </c>
    </row>
    <row r="616" spans="1:6" x14ac:dyDescent="0.35">
      <c r="A616" t="s">
        <v>2826</v>
      </c>
      <c r="B616" t="s">
        <v>2827</v>
      </c>
      <c r="C616" t="s">
        <v>1776</v>
      </c>
      <c r="D616" t="s">
        <v>13</v>
      </c>
      <c r="E616">
        <v>2021</v>
      </c>
      <c r="F616" t="str">
        <f>HYPERLINK("https://www.google.com/maps/search/?api=1&amp;query=24.63693425,46.66294383", "View Map")</f>
        <v>View Map</v>
      </c>
    </row>
    <row r="617" spans="1:6" x14ac:dyDescent="0.35">
      <c r="A617" t="s">
        <v>2828</v>
      </c>
      <c r="B617" t="s">
        <v>2829</v>
      </c>
      <c r="C617" t="s">
        <v>1776</v>
      </c>
      <c r="D617" t="s">
        <v>13</v>
      </c>
      <c r="E617">
        <v>2015</v>
      </c>
      <c r="F617" t="str">
        <f>HYPERLINK("https://www.google.com/maps/search/?api=1&amp;query=24.58363943,46.67838005", "View Map")</f>
        <v>View Map</v>
      </c>
    </row>
    <row r="618" spans="1:6" x14ac:dyDescent="0.35">
      <c r="A618" t="s">
        <v>1947</v>
      </c>
      <c r="B618" t="s">
        <v>2830</v>
      </c>
      <c r="C618" t="s">
        <v>1776</v>
      </c>
      <c r="D618" t="s">
        <v>13</v>
      </c>
      <c r="E618">
        <v>2013</v>
      </c>
      <c r="F618" t="str">
        <f>HYPERLINK("https://www.google.com/maps/search/?api=1&amp;query=24.5594289,46.54186244", "View Map")</f>
        <v>View Map</v>
      </c>
    </row>
    <row r="619" spans="1:6" x14ac:dyDescent="0.35">
      <c r="A619" t="s">
        <v>2820</v>
      </c>
      <c r="B619" t="s">
        <v>2831</v>
      </c>
      <c r="C619" t="s">
        <v>1776</v>
      </c>
      <c r="D619" t="s">
        <v>13</v>
      </c>
      <c r="E619">
        <v>2013</v>
      </c>
      <c r="F619" t="str">
        <f>HYPERLINK("https://www.google.com/maps/search/?api=1&amp;query=24.66000596,46.72130472", "View Map")</f>
        <v>View Map</v>
      </c>
    </row>
    <row r="620" spans="1:6" x14ac:dyDescent="0.35">
      <c r="A620" t="s">
        <v>2832</v>
      </c>
      <c r="B620" t="s">
        <v>2833</v>
      </c>
      <c r="C620" t="s">
        <v>1776</v>
      </c>
      <c r="D620" t="s">
        <v>13</v>
      </c>
      <c r="E620">
        <v>2012</v>
      </c>
      <c r="F620" t="str">
        <f>HYPERLINK("https://www.google.com/maps/search/?api=1&amp;query=24.74494592,46.83091449", "View Map")</f>
        <v>View Map</v>
      </c>
    </row>
    <row r="621" spans="1:6" x14ac:dyDescent="0.35">
      <c r="A621" t="s">
        <v>2834</v>
      </c>
      <c r="B621" t="s">
        <v>2835</v>
      </c>
      <c r="C621" t="s">
        <v>1776</v>
      </c>
      <c r="D621" t="s">
        <v>13</v>
      </c>
      <c r="E621">
        <v>2012</v>
      </c>
      <c r="F621" t="str">
        <f>HYPERLINK("https://www.google.com/maps/search/?api=1&amp;query=24.74067191,46.82436082", "View Map")</f>
        <v>View Map</v>
      </c>
    </row>
    <row r="622" spans="1:6" x14ac:dyDescent="0.35">
      <c r="A622" t="s">
        <v>2836</v>
      </c>
      <c r="B622" t="s">
        <v>2837</v>
      </c>
      <c r="C622" t="s">
        <v>1776</v>
      </c>
      <c r="D622" t="s">
        <v>13</v>
      </c>
      <c r="E622">
        <v>2009</v>
      </c>
      <c r="F622" t="str">
        <f>HYPERLINK("https://www.google.com/maps/search/?api=1&amp;query=24.8124717,46.63054777", "View Map")</f>
        <v>View Map</v>
      </c>
    </row>
    <row r="623" spans="1:6" x14ac:dyDescent="0.35">
      <c r="A623" t="s">
        <v>2838</v>
      </c>
      <c r="B623" t="s">
        <v>2839</v>
      </c>
      <c r="C623" t="s">
        <v>1776</v>
      </c>
      <c r="D623" t="s">
        <v>13</v>
      </c>
      <c r="E623">
        <v>2007</v>
      </c>
      <c r="F623" t="str">
        <f>HYPERLINK("https://www.google.com/maps/search/?api=1&amp;query=24.75799798,46.75921396", "View Map")</f>
        <v>View Map</v>
      </c>
    </row>
    <row r="624" spans="1:6" x14ac:dyDescent="0.35">
      <c r="A624" t="s">
        <v>2840</v>
      </c>
      <c r="B624" t="s">
        <v>2841</v>
      </c>
      <c r="C624" t="s">
        <v>1776</v>
      </c>
      <c r="D624" t="s">
        <v>13</v>
      </c>
      <c r="E624">
        <v>2006</v>
      </c>
      <c r="F624" t="str">
        <f>HYPERLINK("https://www.google.com/maps/search/?api=1&amp;query=24.68310064,46.77263798", "View Map")</f>
        <v>View Map</v>
      </c>
    </row>
    <row r="625" spans="1:6" x14ac:dyDescent="0.35">
      <c r="A625" t="s">
        <v>1790</v>
      </c>
      <c r="B625" t="s">
        <v>2842</v>
      </c>
      <c r="C625" t="s">
        <v>1776</v>
      </c>
      <c r="D625" t="s">
        <v>13</v>
      </c>
      <c r="E625">
        <v>2006</v>
      </c>
      <c r="F625" t="str">
        <f>HYPERLINK("https://www.google.com/maps/search/?api=1&amp;query=24.75744134,46.82088493", "View Map")</f>
        <v>View Map</v>
      </c>
    </row>
    <row r="626" spans="1:6" x14ac:dyDescent="0.35">
      <c r="A626" t="s">
        <v>2843</v>
      </c>
      <c r="B626" t="s">
        <v>2844</v>
      </c>
      <c r="C626" t="s">
        <v>1776</v>
      </c>
      <c r="D626" t="s">
        <v>13</v>
      </c>
      <c r="E626">
        <v>2005</v>
      </c>
      <c r="F626" t="str">
        <f>HYPERLINK("https://www.google.com/maps/search/?api=1&amp;query=24.697,46.68687", "View Map")</f>
        <v>View Map</v>
      </c>
    </row>
    <row r="627" spans="1:6" x14ac:dyDescent="0.35">
      <c r="A627" t="s">
        <v>2845</v>
      </c>
      <c r="B627" t="s">
        <v>2846</v>
      </c>
      <c r="C627" t="s">
        <v>1776</v>
      </c>
      <c r="D627" t="s">
        <v>13</v>
      </c>
      <c r="E627">
        <v>2000</v>
      </c>
      <c r="F627" t="str">
        <f>HYPERLINK("https://www.google.com/maps/search/?api=1&amp;query=24.62124237,46.67574559", "View Map")</f>
        <v>View Map</v>
      </c>
    </row>
    <row r="628" spans="1:6" x14ac:dyDescent="0.35">
      <c r="A628" t="s">
        <v>1798</v>
      </c>
      <c r="B628" t="s">
        <v>2847</v>
      </c>
      <c r="C628" t="s">
        <v>1776</v>
      </c>
      <c r="D628" t="s">
        <v>13</v>
      </c>
      <c r="E628">
        <v>1998</v>
      </c>
      <c r="F628" t="str">
        <f>HYPERLINK("https://www.google.com/maps/search/?api=1&amp;query=24.74721727,46.62628386", "View Map")</f>
        <v>View Map</v>
      </c>
    </row>
    <row r="629" spans="1:6" x14ac:dyDescent="0.35">
      <c r="A629" t="s">
        <v>1931</v>
      </c>
      <c r="B629" t="s">
        <v>2848</v>
      </c>
      <c r="C629" t="s">
        <v>1776</v>
      </c>
      <c r="D629" t="s">
        <v>13</v>
      </c>
      <c r="E629">
        <v>1994</v>
      </c>
      <c r="F629" t="str">
        <f>HYPERLINK("https://www.google.com/maps/search/?api=1&amp;query=24.77700994,46.64653054", "View Map")</f>
        <v>View Map</v>
      </c>
    </row>
    <row r="630" spans="1:6" x14ac:dyDescent="0.35">
      <c r="A630" t="s">
        <v>2849</v>
      </c>
      <c r="B630" t="s">
        <v>2850</v>
      </c>
      <c r="C630" t="s">
        <v>1776</v>
      </c>
      <c r="D630" t="s">
        <v>13</v>
      </c>
      <c r="E630">
        <v>1989</v>
      </c>
      <c r="F630" t="str">
        <f>HYPERLINK("https://www.google.com/maps/search/?api=1&amp;query=24.82343327,46.66038619", "View Map")</f>
        <v>View Map</v>
      </c>
    </row>
    <row r="631" spans="1:6" x14ac:dyDescent="0.35">
      <c r="A631" t="s">
        <v>2178</v>
      </c>
      <c r="B631" t="s">
        <v>2851</v>
      </c>
      <c r="C631" t="s">
        <v>1776</v>
      </c>
      <c r="D631" t="s">
        <v>13</v>
      </c>
      <c r="E631">
        <v>1987</v>
      </c>
      <c r="F631" t="str">
        <f>HYPERLINK("https://www.google.com/maps/search/?api=1&amp;query=24.64274007,46.56680742", "View Map")</f>
        <v>View Map</v>
      </c>
    </row>
    <row r="632" spans="1:6" x14ac:dyDescent="0.35">
      <c r="A632" t="s">
        <v>1794</v>
      </c>
      <c r="B632" t="s">
        <v>2852</v>
      </c>
      <c r="C632" t="s">
        <v>1776</v>
      </c>
      <c r="D632" t="s">
        <v>13</v>
      </c>
      <c r="E632">
        <v>1984</v>
      </c>
      <c r="F632" t="str">
        <f>HYPERLINK("https://www.google.com/maps/search/?api=1&amp;query=24.62463958,46.52681672", "View Map")</f>
        <v>View Map</v>
      </c>
    </row>
    <row r="633" spans="1:6" x14ac:dyDescent="0.35">
      <c r="A633" t="s">
        <v>2065</v>
      </c>
      <c r="B633" t="s">
        <v>2853</v>
      </c>
      <c r="C633" t="s">
        <v>1776</v>
      </c>
      <c r="D633" t="s">
        <v>13</v>
      </c>
      <c r="E633">
        <v>1983</v>
      </c>
      <c r="F633" t="str">
        <f>HYPERLINK("https://www.google.com/maps/search/?api=1&amp;query=24.67811386,46.70644698", "View Map")</f>
        <v>View Map</v>
      </c>
    </row>
    <row r="634" spans="1:6" x14ac:dyDescent="0.35">
      <c r="A634" t="s">
        <v>1794</v>
      </c>
      <c r="B634" t="s">
        <v>2854</v>
      </c>
      <c r="C634" t="s">
        <v>1776</v>
      </c>
      <c r="D634" t="s">
        <v>13</v>
      </c>
      <c r="E634">
        <v>1982</v>
      </c>
      <c r="F634" t="str">
        <f>HYPERLINK("https://www.google.com/maps/search/?api=1&amp;query=24.85592841,46.63178187", "View Map")</f>
        <v>View Map</v>
      </c>
    </row>
    <row r="635" spans="1:6" x14ac:dyDescent="0.35">
      <c r="A635" t="s">
        <v>2855</v>
      </c>
      <c r="B635" t="s">
        <v>2856</v>
      </c>
      <c r="C635" t="s">
        <v>1776</v>
      </c>
      <c r="D635" t="s">
        <v>13</v>
      </c>
      <c r="E635">
        <v>1981</v>
      </c>
      <c r="F635" t="str">
        <f>HYPERLINK("https://www.google.com/maps/search/?api=1&amp;query=24.69361629,46.77754291", "View Map")</f>
        <v>View Map</v>
      </c>
    </row>
    <row r="636" spans="1:6" x14ac:dyDescent="0.35">
      <c r="A636" t="s">
        <v>2857</v>
      </c>
      <c r="B636" t="s">
        <v>2858</v>
      </c>
      <c r="C636" t="s">
        <v>1776</v>
      </c>
      <c r="D636" t="s">
        <v>13</v>
      </c>
      <c r="E636">
        <v>1979</v>
      </c>
      <c r="F636" t="str">
        <f>HYPERLINK("https://www.google.com/maps/search/?api=1&amp;query=24.79239853,46.77130603", "View Map")</f>
        <v>View Map</v>
      </c>
    </row>
    <row r="637" spans="1:6" x14ac:dyDescent="0.35">
      <c r="A637" t="s">
        <v>1798</v>
      </c>
      <c r="B637" t="s">
        <v>2859</v>
      </c>
      <c r="C637" t="s">
        <v>1776</v>
      </c>
      <c r="D637" t="s">
        <v>13</v>
      </c>
      <c r="E637">
        <v>1977</v>
      </c>
      <c r="F637" t="str">
        <f>HYPERLINK("https://www.google.com/maps/search/?api=1&amp;query=24.64479596,46.55154994", "View Map")</f>
        <v>View Map</v>
      </c>
    </row>
    <row r="638" spans="1:6" x14ac:dyDescent="0.35">
      <c r="A638" t="s">
        <v>1798</v>
      </c>
      <c r="B638" t="s">
        <v>2860</v>
      </c>
      <c r="C638" t="s">
        <v>1776</v>
      </c>
      <c r="D638" t="s">
        <v>13</v>
      </c>
      <c r="E638">
        <v>1974</v>
      </c>
      <c r="F638" t="str">
        <f>HYPERLINK("https://www.google.com/maps/search/?api=1&amp;query=24.83601156,46.81241589", "View Map")</f>
        <v>View Map</v>
      </c>
    </row>
    <row r="639" spans="1:6" x14ac:dyDescent="0.35">
      <c r="A639" t="s">
        <v>2861</v>
      </c>
      <c r="B639" t="s">
        <v>2862</v>
      </c>
      <c r="C639" t="s">
        <v>1776</v>
      </c>
      <c r="D639" t="s">
        <v>13</v>
      </c>
      <c r="E639">
        <v>1968</v>
      </c>
      <c r="F639" t="str">
        <f>HYPERLINK("https://www.google.com/maps/search/?api=1&amp;query=24.78422683,46.77884073", "View Map")</f>
        <v>View Map</v>
      </c>
    </row>
    <row r="640" spans="1:6" x14ac:dyDescent="0.35">
      <c r="A640" t="s">
        <v>2863</v>
      </c>
      <c r="B640" t="s">
        <v>2864</v>
      </c>
      <c r="C640" t="s">
        <v>1776</v>
      </c>
      <c r="D640" t="s">
        <v>9</v>
      </c>
      <c r="E640">
        <v>1960</v>
      </c>
      <c r="F640" t="str">
        <f>HYPERLINK("https://www.google.com/maps/search/?api=1&amp;query=24.59258883,46.53948231", "View Map")</f>
        <v>View Map</v>
      </c>
    </row>
    <row r="641" spans="1:6" x14ac:dyDescent="0.35">
      <c r="A641" t="s">
        <v>2244</v>
      </c>
      <c r="B641" t="s">
        <v>2865</v>
      </c>
      <c r="C641" t="s">
        <v>1776</v>
      </c>
      <c r="D641" t="s">
        <v>13</v>
      </c>
      <c r="E641">
        <v>1958</v>
      </c>
      <c r="F641" t="str">
        <f>HYPERLINK("https://www.google.com/maps/search/?api=1&amp;query=24.79630775,46.7139173", "View Map")</f>
        <v>View Map</v>
      </c>
    </row>
    <row r="642" spans="1:6" x14ac:dyDescent="0.35">
      <c r="A642" t="s">
        <v>1947</v>
      </c>
      <c r="B642" t="s">
        <v>2866</v>
      </c>
      <c r="C642" t="s">
        <v>1776</v>
      </c>
      <c r="D642" t="s">
        <v>13</v>
      </c>
      <c r="E642">
        <v>1957</v>
      </c>
      <c r="F642" t="str">
        <f>HYPERLINK("https://www.google.com/maps/search/?api=1&amp;query=24.58203389,46.59985164", "View Map")</f>
        <v>View Map</v>
      </c>
    </row>
    <row r="643" spans="1:6" x14ac:dyDescent="0.35">
      <c r="A643" t="s">
        <v>2867</v>
      </c>
      <c r="B643" t="s">
        <v>2868</v>
      </c>
      <c r="C643" t="s">
        <v>1776</v>
      </c>
      <c r="D643" t="s">
        <v>13</v>
      </c>
      <c r="E643">
        <v>1956</v>
      </c>
      <c r="F643" t="str">
        <f>HYPERLINK("https://www.google.com/maps/search/?api=1&amp;query=24.63183474,46.60425225", "View Map")</f>
        <v>View Map</v>
      </c>
    </row>
    <row r="644" spans="1:6" x14ac:dyDescent="0.35">
      <c r="A644" t="s">
        <v>1875</v>
      </c>
      <c r="B644" t="s">
        <v>2869</v>
      </c>
      <c r="C644" t="s">
        <v>1776</v>
      </c>
      <c r="D644" t="s">
        <v>9</v>
      </c>
      <c r="E644">
        <v>1954</v>
      </c>
      <c r="F644" t="str">
        <f>HYPERLINK("https://www.google.com/maps/search/?api=1&amp;query=24.55182071,46.76246338", "View Map")</f>
        <v>View Map</v>
      </c>
    </row>
    <row r="645" spans="1:6" x14ac:dyDescent="0.35">
      <c r="A645" t="s">
        <v>2870</v>
      </c>
      <c r="B645" t="s">
        <v>2871</v>
      </c>
      <c r="C645" t="s">
        <v>1776</v>
      </c>
      <c r="D645" t="s">
        <v>13</v>
      </c>
      <c r="E645">
        <v>1953</v>
      </c>
      <c r="F645" t="str">
        <f>HYPERLINK("https://www.google.com/maps/search/?api=1&amp;query=24.8128698,46.65727134", "View Map")</f>
        <v>View Map</v>
      </c>
    </row>
    <row r="646" spans="1:6" x14ac:dyDescent="0.35">
      <c r="A646" t="s">
        <v>1798</v>
      </c>
      <c r="B646" t="s">
        <v>2872</v>
      </c>
      <c r="C646" t="s">
        <v>1843</v>
      </c>
      <c r="D646" t="s">
        <v>13</v>
      </c>
      <c r="E646">
        <v>1950</v>
      </c>
      <c r="F646" t="str">
        <f>HYPERLINK("https://www.google.com/maps/search/?api=1&amp;query=24.78281,46.56064", "View Map")</f>
        <v>View Map</v>
      </c>
    </row>
    <row r="647" spans="1:6" x14ac:dyDescent="0.35">
      <c r="A647" t="s">
        <v>2734</v>
      </c>
      <c r="B647" t="s">
        <v>2873</v>
      </c>
      <c r="C647" t="s">
        <v>1776</v>
      </c>
      <c r="D647" t="s">
        <v>13</v>
      </c>
      <c r="E647">
        <v>1949</v>
      </c>
      <c r="F647" t="str">
        <f>HYPERLINK("https://www.google.com/maps/search/?api=1&amp;query=24.55581248,46.68653837", "View Map")</f>
        <v>View Map</v>
      </c>
    </row>
    <row r="648" spans="1:6" x14ac:dyDescent="0.35">
      <c r="A648" t="s">
        <v>2874</v>
      </c>
      <c r="B648" t="s">
        <v>2875</v>
      </c>
      <c r="C648" t="s">
        <v>1776</v>
      </c>
      <c r="D648" t="s">
        <v>9</v>
      </c>
      <c r="E648">
        <v>1948</v>
      </c>
      <c r="F648" t="str">
        <f>HYPERLINK("https://www.google.com/maps/search/?api=1&amp;query=24.64718083,46.81012662", "View Map")</f>
        <v>View Map</v>
      </c>
    </row>
    <row r="649" spans="1:6" x14ac:dyDescent="0.35">
      <c r="A649" t="s">
        <v>2876</v>
      </c>
      <c r="B649" t="s">
        <v>2877</v>
      </c>
      <c r="C649" t="s">
        <v>1776</v>
      </c>
      <c r="D649" t="s">
        <v>13</v>
      </c>
      <c r="E649">
        <v>1946</v>
      </c>
      <c r="F649" t="str">
        <f>HYPERLINK("https://www.google.com/maps/search/?api=1&amp;query=24.5711092,46.8365653", "View Map")</f>
        <v>View Map</v>
      </c>
    </row>
    <row r="650" spans="1:6" x14ac:dyDescent="0.35">
      <c r="A650" t="s">
        <v>1798</v>
      </c>
      <c r="B650" t="s">
        <v>2878</v>
      </c>
      <c r="C650" t="s">
        <v>1776</v>
      </c>
      <c r="D650" t="s">
        <v>13</v>
      </c>
      <c r="E650">
        <v>1946</v>
      </c>
      <c r="F650" t="str">
        <f>HYPERLINK("https://www.google.com/maps/search/?api=1&amp;query=24.9017873,46.61425903", "View Map")</f>
        <v>View Map</v>
      </c>
    </row>
    <row r="651" spans="1:6" x14ac:dyDescent="0.35">
      <c r="A651" t="s">
        <v>1798</v>
      </c>
      <c r="B651" t="s">
        <v>2879</v>
      </c>
      <c r="C651" t="s">
        <v>1776</v>
      </c>
      <c r="D651" t="s">
        <v>13</v>
      </c>
      <c r="E651">
        <v>1945</v>
      </c>
      <c r="F651" t="str">
        <f>HYPERLINK("https://www.google.com/maps/search/?api=1&amp;query=24.84452324,46.62858748", "View Map")</f>
        <v>View Map</v>
      </c>
    </row>
    <row r="652" spans="1:6" x14ac:dyDescent="0.35">
      <c r="A652" t="s">
        <v>2880</v>
      </c>
      <c r="B652" t="s">
        <v>2881</v>
      </c>
      <c r="C652" t="s">
        <v>1776</v>
      </c>
      <c r="D652" t="s">
        <v>13</v>
      </c>
      <c r="E652">
        <v>1932</v>
      </c>
      <c r="F652" t="str">
        <f>HYPERLINK("https://www.google.com/maps/search/?api=1&amp;query=24.77869471,46.72186221", "View Map")</f>
        <v>View Map</v>
      </c>
    </row>
    <row r="653" spans="1:6" x14ac:dyDescent="0.35">
      <c r="A653" t="s">
        <v>2882</v>
      </c>
      <c r="B653" t="s">
        <v>2883</v>
      </c>
      <c r="C653" t="s">
        <v>1776</v>
      </c>
      <c r="D653" t="s">
        <v>13</v>
      </c>
      <c r="E653">
        <v>1932</v>
      </c>
      <c r="F653" t="str">
        <f>HYPERLINK("https://www.google.com/maps/search/?api=1&amp;query=24.78268326,46.69424282", "View Map")</f>
        <v>View Map</v>
      </c>
    </row>
    <row r="654" spans="1:6" x14ac:dyDescent="0.35">
      <c r="A654" t="s">
        <v>1798</v>
      </c>
      <c r="B654" t="s">
        <v>2884</v>
      </c>
      <c r="C654" t="s">
        <v>1776</v>
      </c>
      <c r="D654" t="s">
        <v>13</v>
      </c>
      <c r="E654">
        <v>1931</v>
      </c>
      <c r="F654" t="str">
        <f>HYPERLINK("https://www.google.com/maps/search/?api=1&amp;query=24.83991516,46.76439191", "View Map")</f>
        <v>View Map</v>
      </c>
    </row>
    <row r="655" spans="1:6" x14ac:dyDescent="0.35">
      <c r="A655" t="s">
        <v>2885</v>
      </c>
      <c r="B655" t="s">
        <v>2886</v>
      </c>
      <c r="C655" t="s">
        <v>1776</v>
      </c>
      <c r="D655" t="s">
        <v>13</v>
      </c>
      <c r="E655">
        <v>1930</v>
      </c>
      <c r="F655" t="str">
        <f>HYPERLINK("https://www.google.com/maps/search/?api=1&amp;query=24.69873387,46.76547353", "View Map")</f>
        <v>View Map</v>
      </c>
    </row>
    <row r="656" spans="1:6" x14ac:dyDescent="0.35">
      <c r="A656" t="s">
        <v>2887</v>
      </c>
      <c r="B656" t="s">
        <v>2888</v>
      </c>
      <c r="C656" t="s">
        <v>1776</v>
      </c>
      <c r="D656" t="s">
        <v>13</v>
      </c>
      <c r="E656">
        <v>1929</v>
      </c>
      <c r="F656" t="str">
        <f>HYPERLINK("https://www.google.com/maps/search/?api=1&amp;query=24.55015781,46.68665308", "View Map")</f>
        <v>View Map</v>
      </c>
    </row>
    <row r="657" spans="1:6" x14ac:dyDescent="0.35">
      <c r="A657" t="s">
        <v>2889</v>
      </c>
      <c r="B657" t="s">
        <v>2890</v>
      </c>
      <c r="C657" t="s">
        <v>1776</v>
      </c>
      <c r="D657" t="s">
        <v>13</v>
      </c>
      <c r="E657">
        <v>1928</v>
      </c>
      <c r="F657" t="str">
        <f>HYPERLINK("https://www.google.com/maps/search/?api=1&amp;query=24.57921983,46.66917462", "View Map")</f>
        <v>View Map</v>
      </c>
    </row>
    <row r="658" spans="1:6" x14ac:dyDescent="0.35">
      <c r="A658" t="s">
        <v>2891</v>
      </c>
      <c r="B658" t="s">
        <v>2892</v>
      </c>
      <c r="C658" t="s">
        <v>1776</v>
      </c>
      <c r="D658" t="s">
        <v>13</v>
      </c>
      <c r="E658">
        <v>1927</v>
      </c>
      <c r="F658" t="str">
        <f>HYPERLINK("https://www.google.com/maps/search/?api=1&amp;query=24.78226,46.62534", "View Map")</f>
        <v>View Map</v>
      </c>
    </row>
    <row r="659" spans="1:6" x14ac:dyDescent="0.35">
      <c r="A659" t="s">
        <v>2893</v>
      </c>
      <c r="B659" t="s">
        <v>2894</v>
      </c>
      <c r="C659" t="s">
        <v>1776</v>
      </c>
      <c r="D659" t="s">
        <v>13</v>
      </c>
      <c r="E659">
        <v>1927</v>
      </c>
      <c r="F659" t="str">
        <f>HYPERLINK("https://www.google.com/maps/search/?api=1&amp;query=24.67065671,46.80566227", "View Map")</f>
        <v>View Map</v>
      </c>
    </row>
    <row r="660" spans="1:6" x14ac:dyDescent="0.35">
      <c r="A660" t="s">
        <v>2895</v>
      </c>
      <c r="B660" t="s">
        <v>2896</v>
      </c>
      <c r="C660" t="s">
        <v>1776</v>
      </c>
      <c r="D660" t="s">
        <v>13</v>
      </c>
      <c r="E660">
        <v>1925</v>
      </c>
      <c r="F660" t="str">
        <f>HYPERLINK("https://www.google.com/maps/search/?api=1&amp;query=24.77965298,46.78322262", "View Map")</f>
        <v>View Map</v>
      </c>
    </row>
    <row r="661" spans="1:6" x14ac:dyDescent="0.35">
      <c r="A661" t="s">
        <v>2285</v>
      </c>
      <c r="B661" t="s">
        <v>2897</v>
      </c>
      <c r="C661" t="s">
        <v>1776</v>
      </c>
      <c r="D661" t="s">
        <v>13</v>
      </c>
      <c r="E661">
        <v>1919</v>
      </c>
      <c r="F661" t="str">
        <f>HYPERLINK("https://www.google.com/maps/search/?api=1&amp;query=24.75870156,46.62421305", "View Map")</f>
        <v>View Map</v>
      </c>
    </row>
    <row r="662" spans="1:6" x14ac:dyDescent="0.35">
      <c r="A662" t="s">
        <v>2898</v>
      </c>
      <c r="B662" t="s">
        <v>2899</v>
      </c>
      <c r="C662" t="s">
        <v>1776</v>
      </c>
      <c r="D662" t="s">
        <v>13</v>
      </c>
      <c r="E662">
        <v>1919</v>
      </c>
      <c r="F662" t="str">
        <f>HYPERLINK("https://www.google.com/maps/search/?api=1&amp;query=24.75000313,46.74563075", "View Map")</f>
        <v>View Map</v>
      </c>
    </row>
    <row r="663" spans="1:6" x14ac:dyDescent="0.35">
      <c r="A663" t="s">
        <v>2900</v>
      </c>
      <c r="B663" t="s">
        <v>2901</v>
      </c>
      <c r="C663" t="s">
        <v>1776</v>
      </c>
      <c r="D663" t="s">
        <v>13</v>
      </c>
      <c r="E663">
        <v>1914</v>
      </c>
      <c r="F663" t="str">
        <f>HYPERLINK("https://www.google.com/maps/search/?api=1&amp;query=24.68618231,46.84282116", "View Map")</f>
        <v>View Map</v>
      </c>
    </row>
    <row r="664" spans="1:6" x14ac:dyDescent="0.35">
      <c r="A664" t="s">
        <v>1798</v>
      </c>
      <c r="B664" t="s">
        <v>2902</v>
      </c>
      <c r="C664" t="s">
        <v>1776</v>
      </c>
      <c r="D664" t="s">
        <v>13</v>
      </c>
      <c r="E664">
        <v>1913</v>
      </c>
      <c r="F664" t="str">
        <f>HYPERLINK("https://www.google.com/maps/search/?api=1&amp;query=24.55736,46.78215", "View Map")</f>
        <v>View Map</v>
      </c>
    </row>
    <row r="665" spans="1:6" x14ac:dyDescent="0.35">
      <c r="A665" t="s">
        <v>2903</v>
      </c>
      <c r="B665" t="s">
        <v>2904</v>
      </c>
      <c r="C665" t="s">
        <v>1776</v>
      </c>
      <c r="D665" t="s">
        <v>13</v>
      </c>
      <c r="E665">
        <v>1911</v>
      </c>
      <c r="F665" t="str">
        <f>HYPERLINK("https://www.google.com/maps/search/?api=1&amp;query=24.57960877,46.77533728", "View Map")</f>
        <v>View Map</v>
      </c>
    </row>
    <row r="666" spans="1:6" x14ac:dyDescent="0.35">
      <c r="A666" t="s">
        <v>2905</v>
      </c>
      <c r="B666" t="s">
        <v>2906</v>
      </c>
      <c r="C666" t="s">
        <v>1776</v>
      </c>
      <c r="D666" t="s">
        <v>13</v>
      </c>
      <c r="E666">
        <v>1910</v>
      </c>
      <c r="F666" t="str">
        <f>HYPERLINK("https://www.google.com/maps/search/?api=1&amp;query=24.70161253,46.81505033", "View Map")</f>
        <v>View Map</v>
      </c>
    </row>
    <row r="667" spans="1:6" x14ac:dyDescent="0.35">
      <c r="A667" t="s">
        <v>1798</v>
      </c>
      <c r="B667" t="s">
        <v>2907</v>
      </c>
      <c r="C667" t="s">
        <v>1776</v>
      </c>
      <c r="D667" t="s">
        <v>13</v>
      </c>
      <c r="E667">
        <v>1909</v>
      </c>
      <c r="F667" t="str">
        <f>HYPERLINK("https://www.google.com/maps/search/?api=1&amp;query=24.67755331,46.74678615", "View Map")</f>
        <v>View Map</v>
      </c>
    </row>
    <row r="668" spans="1:6" x14ac:dyDescent="0.35">
      <c r="A668" t="s">
        <v>2908</v>
      </c>
      <c r="B668" t="s">
        <v>2909</v>
      </c>
      <c r="C668" t="s">
        <v>1776</v>
      </c>
      <c r="D668" t="s">
        <v>13</v>
      </c>
      <c r="E668">
        <v>1908</v>
      </c>
      <c r="F668" t="str">
        <f>HYPERLINK("https://www.google.com/maps/search/?api=1&amp;query=24.74676282,46.77700217", "View Map")</f>
        <v>View Map</v>
      </c>
    </row>
    <row r="669" spans="1:6" x14ac:dyDescent="0.35">
      <c r="A669" t="s">
        <v>2910</v>
      </c>
      <c r="B669" t="s">
        <v>2911</v>
      </c>
      <c r="C669" t="s">
        <v>1776</v>
      </c>
      <c r="D669" t="s">
        <v>13</v>
      </c>
      <c r="E669">
        <v>1902</v>
      </c>
      <c r="F669" t="str">
        <f>HYPERLINK("https://www.google.com/maps/search/?api=1&amp;query=24.69763043,46.67411699", "View Map")</f>
        <v>View Map</v>
      </c>
    </row>
    <row r="670" spans="1:6" x14ac:dyDescent="0.35">
      <c r="A670" t="s">
        <v>2912</v>
      </c>
      <c r="B670" t="s">
        <v>2913</v>
      </c>
      <c r="C670" t="s">
        <v>1776</v>
      </c>
      <c r="D670" t="s">
        <v>13</v>
      </c>
      <c r="E670">
        <v>1899</v>
      </c>
      <c r="F670" t="str">
        <f>HYPERLINK("https://www.google.com/maps/search/?api=1&amp;query=24.76161484,46.70948484", "View Map")</f>
        <v>View Map</v>
      </c>
    </row>
    <row r="671" spans="1:6" x14ac:dyDescent="0.35">
      <c r="A671" t="s">
        <v>2914</v>
      </c>
      <c r="B671" t="s">
        <v>2915</v>
      </c>
      <c r="C671" t="s">
        <v>1776</v>
      </c>
      <c r="D671" t="s">
        <v>13</v>
      </c>
      <c r="E671">
        <v>1897</v>
      </c>
      <c r="F671" t="str">
        <f>HYPERLINK("https://www.google.com/maps/search/?api=1&amp;query=24.78580006,46.64839887", "View Map")</f>
        <v>View Map</v>
      </c>
    </row>
    <row r="672" spans="1:6" x14ac:dyDescent="0.35">
      <c r="A672" t="s">
        <v>2916</v>
      </c>
      <c r="B672" t="s">
        <v>2917</v>
      </c>
      <c r="C672" t="s">
        <v>1776</v>
      </c>
      <c r="D672" t="s">
        <v>13</v>
      </c>
      <c r="E672">
        <v>1896</v>
      </c>
      <c r="F672" t="str">
        <f>HYPERLINK("https://www.google.com/maps/search/?api=1&amp;query=24.59711476,46.78066055", "View Map")</f>
        <v>View Map</v>
      </c>
    </row>
    <row r="673" spans="1:6" x14ac:dyDescent="0.35">
      <c r="A673" t="s">
        <v>2918</v>
      </c>
      <c r="B673" t="s">
        <v>2919</v>
      </c>
      <c r="C673" t="s">
        <v>1776</v>
      </c>
      <c r="D673" t="s">
        <v>13</v>
      </c>
      <c r="E673">
        <v>1892</v>
      </c>
      <c r="F673" t="str">
        <f>HYPERLINK("https://www.google.com/maps/search/?api=1&amp;query=24.56862568,46.62866045", "View Map")</f>
        <v>View Map</v>
      </c>
    </row>
    <row r="674" spans="1:6" x14ac:dyDescent="0.35">
      <c r="A674" t="s">
        <v>1947</v>
      </c>
      <c r="B674" t="s">
        <v>2920</v>
      </c>
      <c r="C674" t="s">
        <v>1776</v>
      </c>
      <c r="D674" t="s">
        <v>13</v>
      </c>
      <c r="E674">
        <v>1892</v>
      </c>
      <c r="F674" t="str">
        <f>HYPERLINK("https://www.google.com/maps/search/?api=1&amp;query=24.51386838,46.68149558", "View Map")</f>
        <v>View Map</v>
      </c>
    </row>
    <row r="675" spans="1:6" x14ac:dyDescent="0.35">
      <c r="A675" t="s">
        <v>2921</v>
      </c>
      <c r="B675" t="s">
        <v>2922</v>
      </c>
      <c r="C675" t="s">
        <v>1776</v>
      </c>
      <c r="D675" t="s">
        <v>13</v>
      </c>
      <c r="E675">
        <v>1887</v>
      </c>
      <c r="F675" t="str">
        <f>HYPERLINK("https://www.google.com/maps/search/?api=1&amp;query=24.79693803,46.79002441", "View Map")</f>
        <v>View Map</v>
      </c>
    </row>
    <row r="676" spans="1:6" x14ac:dyDescent="0.35">
      <c r="A676" t="s">
        <v>2923</v>
      </c>
      <c r="B676" t="s">
        <v>2924</v>
      </c>
      <c r="C676" t="s">
        <v>1776</v>
      </c>
      <c r="D676" t="s">
        <v>13</v>
      </c>
      <c r="E676">
        <v>1885</v>
      </c>
      <c r="F676" t="str">
        <f>HYPERLINK("https://www.google.com/maps/search/?api=1&amp;query=24.68959898,46.78564211", "View Map")</f>
        <v>View Map</v>
      </c>
    </row>
    <row r="677" spans="1:6" x14ac:dyDescent="0.35">
      <c r="A677" t="s">
        <v>1798</v>
      </c>
      <c r="B677" t="s">
        <v>2925</v>
      </c>
      <c r="C677" t="s">
        <v>1776</v>
      </c>
      <c r="D677" t="s">
        <v>13</v>
      </c>
      <c r="E677">
        <v>1884</v>
      </c>
      <c r="F677" t="str">
        <f>HYPERLINK("https://www.google.com/maps/search/?api=1&amp;query=24.85931823,46.82822139", "View Map")</f>
        <v>View Map</v>
      </c>
    </row>
    <row r="678" spans="1:6" x14ac:dyDescent="0.35">
      <c r="A678" t="s">
        <v>1947</v>
      </c>
      <c r="B678" t="s">
        <v>2926</v>
      </c>
      <c r="C678" t="s">
        <v>1776</v>
      </c>
      <c r="D678" t="s">
        <v>9</v>
      </c>
      <c r="E678">
        <v>1878</v>
      </c>
      <c r="F678" t="str">
        <f>HYPERLINK("https://www.google.com/maps/search/?api=1&amp;query=24.55488805,46.58872846", "View Map")</f>
        <v>View Map</v>
      </c>
    </row>
    <row r="679" spans="1:6" x14ac:dyDescent="0.35">
      <c r="A679" t="s">
        <v>1798</v>
      </c>
      <c r="B679" t="s">
        <v>2927</v>
      </c>
      <c r="C679" t="s">
        <v>1776</v>
      </c>
      <c r="D679" t="s">
        <v>13</v>
      </c>
      <c r="E679">
        <v>1878</v>
      </c>
      <c r="F679" t="str">
        <f>HYPERLINK("https://www.google.com/maps/search/?api=1&amp;query=24.83743043,46.79815654", "View Map")</f>
        <v>View Map</v>
      </c>
    </row>
    <row r="680" spans="1:6" x14ac:dyDescent="0.35">
      <c r="A680" t="s">
        <v>2928</v>
      </c>
      <c r="B680" t="s">
        <v>2929</v>
      </c>
      <c r="C680" t="s">
        <v>1776</v>
      </c>
      <c r="D680" t="s">
        <v>13</v>
      </c>
      <c r="E680">
        <v>1878</v>
      </c>
      <c r="F680" t="str">
        <f>HYPERLINK("https://www.google.com/maps/search/?api=1&amp;query=24.7753332,46.66127253", "View Map")</f>
        <v>View Map</v>
      </c>
    </row>
    <row r="681" spans="1:6" x14ac:dyDescent="0.35">
      <c r="A681" t="s">
        <v>2930</v>
      </c>
      <c r="B681" t="s">
        <v>2931</v>
      </c>
      <c r="C681" t="s">
        <v>1776</v>
      </c>
      <c r="D681" t="s">
        <v>13</v>
      </c>
      <c r="E681">
        <v>1876</v>
      </c>
      <c r="F681" t="str">
        <f>HYPERLINK("https://www.google.com/maps/search/?api=1&amp;query=24.76157554,46.74725419", "View Map")</f>
        <v>View Map</v>
      </c>
    </row>
    <row r="682" spans="1:6" x14ac:dyDescent="0.35">
      <c r="A682" t="s">
        <v>2932</v>
      </c>
      <c r="B682" t="s">
        <v>2933</v>
      </c>
      <c r="C682" t="s">
        <v>1776</v>
      </c>
      <c r="D682" t="s">
        <v>13</v>
      </c>
      <c r="E682">
        <v>1874</v>
      </c>
      <c r="F682" t="str">
        <f>HYPERLINK("https://www.google.com/maps/search/?api=1&amp;query=24.78560178,46.736722", "View Map")</f>
        <v>View Map</v>
      </c>
    </row>
    <row r="683" spans="1:6" x14ac:dyDescent="0.35">
      <c r="A683" t="s">
        <v>2934</v>
      </c>
      <c r="B683" t="s">
        <v>2935</v>
      </c>
      <c r="C683" t="s">
        <v>1776</v>
      </c>
      <c r="D683" t="s">
        <v>13</v>
      </c>
      <c r="E683">
        <v>1874</v>
      </c>
      <c r="F683" t="str">
        <f>HYPERLINK("https://www.google.com/maps/search/?api=1&amp;query=24.58400892,46.62669641", "View Map")</f>
        <v>View Map</v>
      </c>
    </row>
    <row r="684" spans="1:6" x14ac:dyDescent="0.35">
      <c r="A684" t="s">
        <v>2936</v>
      </c>
      <c r="B684" t="s">
        <v>2937</v>
      </c>
      <c r="C684" t="s">
        <v>1776</v>
      </c>
      <c r="D684" t="s">
        <v>13</v>
      </c>
      <c r="E684">
        <v>1872</v>
      </c>
      <c r="F684" t="str">
        <f>HYPERLINK("https://www.google.com/maps/search/?api=1&amp;query=24.7573069,46.76949974", "View Map")</f>
        <v>View Map</v>
      </c>
    </row>
    <row r="685" spans="1:6" x14ac:dyDescent="0.35">
      <c r="A685" t="s">
        <v>2938</v>
      </c>
      <c r="B685" t="s">
        <v>2939</v>
      </c>
      <c r="C685" t="s">
        <v>1776</v>
      </c>
      <c r="D685" t="s">
        <v>13</v>
      </c>
      <c r="E685">
        <v>1872</v>
      </c>
      <c r="F685" t="str">
        <f>HYPERLINK("https://www.google.com/maps/search/?api=1&amp;query=24.68589089,46.57203168", "View Map")</f>
        <v>View Map</v>
      </c>
    </row>
    <row r="686" spans="1:6" x14ac:dyDescent="0.35">
      <c r="A686" t="s">
        <v>1798</v>
      </c>
      <c r="B686" t="s">
        <v>2940</v>
      </c>
      <c r="C686" t="s">
        <v>1776</v>
      </c>
      <c r="D686" t="s">
        <v>13</v>
      </c>
      <c r="E686">
        <v>1871</v>
      </c>
      <c r="F686" t="str">
        <f>HYPERLINK("https://www.google.com/maps/search/?api=1&amp;query=24.55117376,46.77483011", "View Map")</f>
        <v>View Map</v>
      </c>
    </row>
    <row r="687" spans="1:6" x14ac:dyDescent="0.35">
      <c r="A687" t="s">
        <v>2941</v>
      </c>
      <c r="B687" t="s">
        <v>2942</v>
      </c>
      <c r="C687" t="s">
        <v>1843</v>
      </c>
      <c r="D687" t="s">
        <v>13</v>
      </c>
      <c r="E687">
        <v>1871</v>
      </c>
      <c r="F687" t="str">
        <f>HYPERLINK("https://www.google.com/maps/search/?api=1&amp;query=24.75189835,46.57878527", "View Map")</f>
        <v>View Map</v>
      </c>
    </row>
    <row r="688" spans="1:6" x14ac:dyDescent="0.35">
      <c r="A688" t="s">
        <v>2943</v>
      </c>
      <c r="B688" t="s">
        <v>2944</v>
      </c>
      <c r="C688" t="s">
        <v>1776</v>
      </c>
      <c r="D688" t="s">
        <v>13</v>
      </c>
      <c r="E688">
        <v>1865</v>
      </c>
      <c r="F688" t="str">
        <f>HYPERLINK("https://www.google.com/maps/search/?api=1&amp;query=24.76882229,46.70801249", "View Map")</f>
        <v>View Map</v>
      </c>
    </row>
    <row r="689" spans="1:6" x14ac:dyDescent="0.35">
      <c r="A689" t="s">
        <v>2945</v>
      </c>
      <c r="B689" t="s">
        <v>2946</v>
      </c>
      <c r="C689" t="s">
        <v>1776</v>
      </c>
      <c r="D689" t="s">
        <v>13</v>
      </c>
      <c r="E689">
        <v>1862</v>
      </c>
      <c r="F689" t="str">
        <f>HYPERLINK("https://www.google.com/maps/search/?api=1&amp;query=24.6818563,46.76009502", "View Map")</f>
        <v>View Map</v>
      </c>
    </row>
    <row r="690" spans="1:6" x14ac:dyDescent="0.35">
      <c r="A690" t="s">
        <v>1947</v>
      </c>
      <c r="B690" t="s">
        <v>2947</v>
      </c>
      <c r="C690" t="s">
        <v>1776</v>
      </c>
      <c r="D690" t="s">
        <v>13</v>
      </c>
      <c r="E690">
        <v>1861</v>
      </c>
      <c r="F690" t="str">
        <f>HYPERLINK("https://www.google.com/maps/search/?api=1&amp;query=24.57958915,46.61910479", "View Map")</f>
        <v>View Map</v>
      </c>
    </row>
    <row r="691" spans="1:6" x14ac:dyDescent="0.35">
      <c r="A691" t="s">
        <v>2948</v>
      </c>
      <c r="B691" t="s">
        <v>2949</v>
      </c>
      <c r="C691" t="s">
        <v>1776</v>
      </c>
      <c r="D691" t="s">
        <v>13</v>
      </c>
      <c r="E691">
        <v>1861</v>
      </c>
      <c r="F691" t="str">
        <f>HYPERLINK("https://www.google.com/maps/search/?api=1&amp;query=24.57471028,46.70445909", "View Map")</f>
        <v>View Map</v>
      </c>
    </row>
    <row r="692" spans="1:6" x14ac:dyDescent="0.35">
      <c r="A692" t="s">
        <v>2950</v>
      </c>
      <c r="B692" t="s">
        <v>2951</v>
      </c>
      <c r="C692" t="s">
        <v>1776</v>
      </c>
      <c r="D692" t="s">
        <v>13</v>
      </c>
      <c r="E692">
        <v>1861</v>
      </c>
      <c r="F692" t="str">
        <f>HYPERLINK("https://www.google.com/maps/search/?api=1&amp;query=24.71842281,46.77646545", "View Map")</f>
        <v>View Map</v>
      </c>
    </row>
    <row r="693" spans="1:6" x14ac:dyDescent="0.35">
      <c r="A693" t="s">
        <v>2684</v>
      </c>
      <c r="B693" t="s">
        <v>2952</v>
      </c>
      <c r="C693" t="s">
        <v>1776</v>
      </c>
      <c r="D693" t="s">
        <v>9</v>
      </c>
      <c r="E693">
        <v>1855</v>
      </c>
      <c r="F693" t="str">
        <f>HYPERLINK("https://www.google.com/maps/search/?api=1&amp;query=24.58944915,46.58230989", "View Map")</f>
        <v>View Map</v>
      </c>
    </row>
    <row r="694" spans="1:6" x14ac:dyDescent="0.35">
      <c r="A694" t="s">
        <v>2953</v>
      </c>
      <c r="B694" t="s">
        <v>2954</v>
      </c>
      <c r="C694" t="s">
        <v>1776</v>
      </c>
      <c r="D694" t="s">
        <v>13</v>
      </c>
      <c r="E694">
        <v>1854</v>
      </c>
      <c r="F694" t="str">
        <f>HYPERLINK("https://www.google.com/maps/search/?api=1&amp;query=24.75102533,46.66455953", "View Map")</f>
        <v>View Map</v>
      </c>
    </row>
    <row r="695" spans="1:6" x14ac:dyDescent="0.35">
      <c r="A695" t="s">
        <v>2955</v>
      </c>
      <c r="B695" t="s">
        <v>2956</v>
      </c>
      <c r="C695" t="s">
        <v>1776</v>
      </c>
      <c r="D695" t="s">
        <v>13</v>
      </c>
      <c r="E695">
        <v>1851</v>
      </c>
      <c r="F695" t="str">
        <f>HYPERLINK("https://www.google.com/maps/search/?api=1&amp;query=24.76053985,46.77389475", "View Map")</f>
        <v>View Map</v>
      </c>
    </row>
    <row r="696" spans="1:6" x14ac:dyDescent="0.35">
      <c r="A696" t="s">
        <v>2957</v>
      </c>
      <c r="B696" t="s">
        <v>2958</v>
      </c>
      <c r="C696" t="s">
        <v>1776</v>
      </c>
      <c r="D696" t="s">
        <v>13</v>
      </c>
      <c r="E696">
        <v>1851</v>
      </c>
      <c r="F696" t="str">
        <f>HYPERLINK("https://www.google.com/maps/search/?api=1&amp;query=24.76040456,46.8216772", "View Map")</f>
        <v>View Map</v>
      </c>
    </row>
    <row r="697" spans="1:6" x14ac:dyDescent="0.35">
      <c r="A697" t="s">
        <v>1798</v>
      </c>
      <c r="B697" t="s">
        <v>2959</v>
      </c>
      <c r="C697" t="s">
        <v>1776</v>
      </c>
      <c r="D697" t="s">
        <v>13</v>
      </c>
      <c r="E697">
        <v>1851</v>
      </c>
      <c r="F697" t="str">
        <f>HYPERLINK("https://www.google.com/maps/search/?api=1&amp;query=24.83705,46.65104", "View Map")</f>
        <v>View Map</v>
      </c>
    </row>
    <row r="698" spans="1:6" x14ac:dyDescent="0.35">
      <c r="A698" t="s">
        <v>2960</v>
      </c>
      <c r="B698" t="s">
        <v>2961</v>
      </c>
      <c r="C698" t="s">
        <v>1776</v>
      </c>
      <c r="D698" t="s">
        <v>13</v>
      </c>
      <c r="E698">
        <v>1849</v>
      </c>
      <c r="F698" t="str">
        <f>HYPERLINK("https://www.google.com/maps/search/?api=1&amp;query=24.68909814,46.80700506", "View Map")</f>
        <v>View Map</v>
      </c>
    </row>
    <row r="699" spans="1:6" x14ac:dyDescent="0.35">
      <c r="A699" t="s">
        <v>1947</v>
      </c>
      <c r="B699" t="s">
        <v>2962</v>
      </c>
      <c r="C699" t="s">
        <v>1776</v>
      </c>
      <c r="D699" t="s">
        <v>13</v>
      </c>
      <c r="E699">
        <v>1847</v>
      </c>
      <c r="F699" t="str">
        <f>HYPERLINK("https://www.google.com/maps/search/?api=1&amp;query=24.62153594,46.71398173", "View Map")</f>
        <v>View Map</v>
      </c>
    </row>
    <row r="700" spans="1:6" x14ac:dyDescent="0.35">
      <c r="A700" t="s">
        <v>2955</v>
      </c>
      <c r="B700" t="s">
        <v>2963</v>
      </c>
      <c r="C700" t="s">
        <v>1776</v>
      </c>
      <c r="D700" t="s">
        <v>13</v>
      </c>
      <c r="E700">
        <v>1847</v>
      </c>
      <c r="F700" t="str">
        <f>HYPERLINK("https://www.google.com/maps/search/?api=1&amp;query=24.75215275,46.74779009", "View Map")</f>
        <v>View Map</v>
      </c>
    </row>
    <row r="701" spans="1:6" x14ac:dyDescent="0.35">
      <c r="A701" t="s">
        <v>1798</v>
      </c>
      <c r="B701" t="s">
        <v>2964</v>
      </c>
      <c r="C701" t="s">
        <v>1776</v>
      </c>
      <c r="D701" t="s">
        <v>13</v>
      </c>
      <c r="E701">
        <v>1845</v>
      </c>
      <c r="F701" t="str">
        <f>HYPERLINK("https://www.google.com/maps/search/?api=1&amp;query=24.74688546,46.75833224", "View Map")</f>
        <v>View Map</v>
      </c>
    </row>
    <row r="702" spans="1:6" x14ac:dyDescent="0.35">
      <c r="A702" t="s">
        <v>2965</v>
      </c>
      <c r="B702" t="s">
        <v>2966</v>
      </c>
      <c r="C702" t="s">
        <v>1776</v>
      </c>
      <c r="D702" t="s">
        <v>13</v>
      </c>
      <c r="E702">
        <v>1844</v>
      </c>
      <c r="F702" t="str">
        <f>HYPERLINK("https://www.google.com/maps/search/?api=1&amp;query=24.62298743,46.69722577", "View Map")</f>
        <v>View Map</v>
      </c>
    </row>
    <row r="703" spans="1:6" x14ac:dyDescent="0.35">
      <c r="A703" t="s">
        <v>2967</v>
      </c>
      <c r="B703" t="s">
        <v>2968</v>
      </c>
      <c r="C703" t="s">
        <v>1776</v>
      </c>
      <c r="D703" t="s">
        <v>13</v>
      </c>
      <c r="E703">
        <v>1842</v>
      </c>
      <c r="F703" t="str">
        <f>HYPERLINK("https://www.google.com/maps/search/?api=1&amp;query=24.74996795,46.83261496", "View Map")</f>
        <v>View Map</v>
      </c>
    </row>
    <row r="704" spans="1:6" x14ac:dyDescent="0.35">
      <c r="A704" t="s">
        <v>2969</v>
      </c>
      <c r="B704" t="s">
        <v>2970</v>
      </c>
      <c r="C704" t="s">
        <v>1776</v>
      </c>
      <c r="D704" t="s">
        <v>13</v>
      </c>
      <c r="E704">
        <v>1839</v>
      </c>
      <c r="F704" t="str">
        <f>HYPERLINK("https://www.google.com/maps/search/?api=1&amp;query=24.62823722,46.69525798", "View Map")</f>
        <v>View Map</v>
      </c>
    </row>
    <row r="705" spans="1:6" x14ac:dyDescent="0.35">
      <c r="A705" t="s">
        <v>2971</v>
      </c>
      <c r="B705" t="s">
        <v>2972</v>
      </c>
      <c r="C705" t="s">
        <v>1776</v>
      </c>
      <c r="D705" t="s">
        <v>13</v>
      </c>
      <c r="E705">
        <v>1838</v>
      </c>
      <c r="F705" t="str">
        <f>HYPERLINK("https://www.google.com/maps/search/?api=1&amp;query=24.7168156,46.84746171", "View Map")</f>
        <v>View Map</v>
      </c>
    </row>
    <row r="706" spans="1:6" x14ac:dyDescent="0.35">
      <c r="A706" t="s">
        <v>2689</v>
      </c>
      <c r="B706" t="s">
        <v>2973</v>
      </c>
      <c r="C706" t="s">
        <v>1776</v>
      </c>
      <c r="D706" t="s">
        <v>13</v>
      </c>
      <c r="E706">
        <v>1837</v>
      </c>
      <c r="F706" t="str">
        <f>HYPERLINK("https://www.google.com/maps/search/?api=1&amp;query=24.77581432,46.58818802", "View Map")</f>
        <v>View Map</v>
      </c>
    </row>
    <row r="707" spans="1:6" x14ac:dyDescent="0.35">
      <c r="A707" t="s">
        <v>2974</v>
      </c>
      <c r="B707" t="s">
        <v>2975</v>
      </c>
      <c r="C707" t="s">
        <v>1776</v>
      </c>
      <c r="D707" t="s">
        <v>13</v>
      </c>
      <c r="E707">
        <v>1835</v>
      </c>
      <c r="F707" t="str">
        <f>HYPERLINK("https://www.google.com/maps/search/?api=1&amp;query=24.62540948,46.70816725", "View Map")</f>
        <v>View Map</v>
      </c>
    </row>
    <row r="708" spans="1:6" x14ac:dyDescent="0.35">
      <c r="A708" t="s">
        <v>2976</v>
      </c>
      <c r="B708" t="s">
        <v>2977</v>
      </c>
      <c r="C708" t="s">
        <v>1776</v>
      </c>
      <c r="D708" t="s">
        <v>13</v>
      </c>
      <c r="E708">
        <v>1831</v>
      </c>
      <c r="F708" t="str">
        <f>HYPERLINK("https://www.google.com/maps/search/?api=1&amp;query=24.66875972,46.73301653", "View Map")</f>
        <v>View Map</v>
      </c>
    </row>
    <row r="709" spans="1:6" x14ac:dyDescent="0.35">
      <c r="A709" t="s">
        <v>2178</v>
      </c>
      <c r="B709" t="s">
        <v>2978</v>
      </c>
      <c r="C709" t="s">
        <v>1776</v>
      </c>
      <c r="D709" t="s">
        <v>13</v>
      </c>
      <c r="E709">
        <v>1830</v>
      </c>
      <c r="F709" t="str">
        <f>HYPERLINK("https://www.google.com/maps/search/?api=1&amp;query=24.77894893,46.67866674", "View Map")</f>
        <v>View Map</v>
      </c>
    </row>
    <row r="710" spans="1:6" x14ac:dyDescent="0.35">
      <c r="A710" t="s">
        <v>2979</v>
      </c>
      <c r="B710" t="s">
        <v>2980</v>
      </c>
      <c r="C710" t="s">
        <v>1776</v>
      </c>
      <c r="D710" t="s">
        <v>13</v>
      </c>
      <c r="E710">
        <v>1830</v>
      </c>
      <c r="F710" t="str">
        <f>HYPERLINK("https://www.google.com/maps/search/?api=1&amp;query=24.68439801,46.66427217", "View Map")</f>
        <v>View Map</v>
      </c>
    </row>
    <row r="711" spans="1:6" x14ac:dyDescent="0.35">
      <c r="A711" t="s">
        <v>2981</v>
      </c>
      <c r="B711" t="s">
        <v>2982</v>
      </c>
      <c r="C711" t="s">
        <v>1776</v>
      </c>
      <c r="D711" t="s">
        <v>13</v>
      </c>
      <c r="E711">
        <v>1830</v>
      </c>
      <c r="F711" t="str">
        <f>HYPERLINK("https://www.google.com/maps/search/?api=1&amp;query=24.76813,46.653602", "View Map")</f>
        <v>View Map</v>
      </c>
    </row>
    <row r="712" spans="1:6" x14ac:dyDescent="0.35">
      <c r="A712" t="s">
        <v>2983</v>
      </c>
      <c r="B712" t="s">
        <v>2984</v>
      </c>
      <c r="C712" t="s">
        <v>1776</v>
      </c>
      <c r="D712" t="s">
        <v>13</v>
      </c>
      <c r="E712">
        <v>1829</v>
      </c>
      <c r="F712" t="str">
        <f>HYPERLINK("https://www.google.com/maps/search/?api=1&amp;query=24.80359883,46.6223745", "View Map")</f>
        <v>View Map</v>
      </c>
    </row>
    <row r="713" spans="1:6" x14ac:dyDescent="0.35">
      <c r="A713" t="s">
        <v>2985</v>
      </c>
      <c r="B713" t="s">
        <v>2986</v>
      </c>
      <c r="C713" t="s">
        <v>1776</v>
      </c>
      <c r="D713" t="s">
        <v>13</v>
      </c>
      <c r="E713">
        <v>1827</v>
      </c>
      <c r="F713" t="str">
        <f>HYPERLINK("https://www.google.com/maps/search/?api=1&amp;query=24.63989924,46.7349719", "View Map")</f>
        <v>View Map</v>
      </c>
    </row>
    <row r="714" spans="1:6" x14ac:dyDescent="0.35">
      <c r="A714" t="s">
        <v>2987</v>
      </c>
      <c r="B714" t="s">
        <v>2988</v>
      </c>
      <c r="C714" t="s">
        <v>1776</v>
      </c>
      <c r="D714" t="s">
        <v>13</v>
      </c>
      <c r="E714">
        <v>1826</v>
      </c>
      <c r="F714" t="str">
        <f>HYPERLINK("https://www.google.com/maps/search/?api=1&amp;query=24.64598,46.70929", "View Map")</f>
        <v>View Map</v>
      </c>
    </row>
    <row r="715" spans="1:6" x14ac:dyDescent="0.35">
      <c r="A715" t="s">
        <v>2989</v>
      </c>
      <c r="B715" t="s">
        <v>2990</v>
      </c>
      <c r="C715" t="s">
        <v>1776</v>
      </c>
      <c r="D715" t="s">
        <v>13</v>
      </c>
      <c r="E715">
        <v>1824</v>
      </c>
      <c r="F715" t="str">
        <f>HYPERLINK("https://www.google.com/maps/search/?api=1&amp;query=24.67397487,46.72966388", "View Map")</f>
        <v>View Map</v>
      </c>
    </row>
    <row r="716" spans="1:6" x14ac:dyDescent="0.35">
      <c r="A716" t="s">
        <v>1947</v>
      </c>
      <c r="B716" t="s">
        <v>2991</v>
      </c>
      <c r="C716" t="s">
        <v>1776</v>
      </c>
      <c r="D716" t="s">
        <v>13</v>
      </c>
      <c r="E716">
        <v>1821</v>
      </c>
      <c r="F716" t="str">
        <f>HYPERLINK("https://www.google.com/maps/search/?api=1&amp;query=24.55574042,46.53210576", "View Map")</f>
        <v>View Map</v>
      </c>
    </row>
    <row r="717" spans="1:6" x14ac:dyDescent="0.35">
      <c r="A717" t="s">
        <v>1794</v>
      </c>
      <c r="B717" t="s">
        <v>2992</v>
      </c>
      <c r="C717" t="s">
        <v>1776</v>
      </c>
      <c r="D717" t="s">
        <v>13</v>
      </c>
      <c r="E717">
        <v>1819</v>
      </c>
      <c r="F717" t="str">
        <f>HYPERLINK("https://www.google.com/maps/search/?api=1&amp;query=24.81157258,46.66226254", "View Map")</f>
        <v>View Map</v>
      </c>
    </row>
    <row r="718" spans="1:6" x14ac:dyDescent="0.35">
      <c r="A718" t="s">
        <v>2993</v>
      </c>
      <c r="B718" t="s">
        <v>2994</v>
      </c>
      <c r="C718" t="s">
        <v>1776</v>
      </c>
      <c r="D718" t="s">
        <v>13</v>
      </c>
      <c r="E718">
        <v>1819</v>
      </c>
      <c r="F718" t="str">
        <f>HYPERLINK("https://www.google.com/maps/search/?api=1&amp;query=24.5557612,46.72303303", "View Map")</f>
        <v>View Map</v>
      </c>
    </row>
    <row r="719" spans="1:6" x14ac:dyDescent="0.35">
      <c r="A719" t="s">
        <v>2995</v>
      </c>
      <c r="B719" t="s">
        <v>2996</v>
      </c>
      <c r="C719" t="s">
        <v>1776</v>
      </c>
      <c r="D719" t="s">
        <v>13</v>
      </c>
      <c r="E719">
        <v>1816</v>
      </c>
      <c r="F719" t="str">
        <f>HYPERLINK("https://www.google.com/maps/search/?api=1&amp;query=24.8213314,46.62972164", "View Map")</f>
        <v>View Map</v>
      </c>
    </row>
    <row r="720" spans="1:6" x14ac:dyDescent="0.35">
      <c r="A720" t="s">
        <v>1931</v>
      </c>
      <c r="B720" t="s">
        <v>2997</v>
      </c>
      <c r="C720" t="s">
        <v>1776</v>
      </c>
      <c r="D720" t="s">
        <v>13</v>
      </c>
      <c r="E720">
        <v>1812</v>
      </c>
      <c r="F720" t="str">
        <f>HYPERLINK("https://www.google.com/maps/search/?api=1&amp;query=24.77162154,46.66114227", "View Map")</f>
        <v>View Map</v>
      </c>
    </row>
    <row r="721" spans="1:6" x14ac:dyDescent="0.35">
      <c r="A721" t="s">
        <v>2998</v>
      </c>
      <c r="B721" t="s">
        <v>2999</v>
      </c>
      <c r="C721" t="s">
        <v>1776</v>
      </c>
      <c r="D721" t="s">
        <v>13</v>
      </c>
      <c r="E721">
        <v>1811</v>
      </c>
      <c r="F721" t="str">
        <f>HYPERLINK("https://www.google.com/maps/search/?api=1&amp;query=24.61821528,46.68802054", "View Map")</f>
        <v>View Map</v>
      </c>
    </row>
    <row r="722" spans="1:6" x14ac:dyDescent="0.35">
      <c r="A722" t="s">
        <v>2051</v>
      </c>
      <c r="B722" t="s">
        <v>3000</v>
      </c>
      <c r="C722" t="s">
        <v>1776</v>
      </c>
      <c r="D722" t="s">
        <v>13</v>
      </c>
      <c r="E722">
        <v>1811</v>
      </c>
      <c r="F722" t="str">
        <f>HYPERLINK("https://www.google.com/maps/search/?api=1&amp;query=24.69643018,46.86031652", "View Map")</f>
        <v>View Map</v>
      </c>
    </row>
    <row r="723" spans="1:6" x14ac:dyDescent="0.35">
      <c r="A723" t="s">
        <v>3001</v>
      </c>
      <c r="B723" t="s">
        <v>3002</v>
      </c>
      <c r="C723" t="s">
        <v>1776</v>
      </c>
      <c r="D723" t="s">
        <v>13</v>
      </c>
      <c r="E723">
        <v>1811</v>
      </c>
      <c r="F723" t="str">
        <f>HYPERLINK("https://www.google.com/maps/search/?api=1&amp;query=24.70092834,46.67108849", "View Map")</f>
        <v>View Map</v>
      </c>
    </row>
    <row r="724" spans="1:6" x14ac:dyDescent="0.35">
      <c r="A724" t="s">
        <v>2863</v>
      </c>
      <c r="B724" t="s">
        <v>3003</v>
      </c>
      <c r="C724" t="s">
        <v>1776</v>
      </c>
      <c r="D724" t="s">
        <v>13</v>
      </c>
      <c r="E724">
        <v>1810</v>
      </c>
      <c r="F724" t="str">
        <f>HYPERLINK("https://www.google.com/maps/search/?api=1&amp;query=24.56920344,46.5368839", "View Map")</f>
        <v>View Map</v>
      </c>
    </row>
    <row r="725" spans="1:6" x14ac:dyDescent="0.35">
      <c r="A725" t="s">
        <v>1794</v>
      </c>
      <c r="B725" t="s">
        <v>3004</v>
      </c>
      <c r="C725" t="s">
        <v>1776</v>
      </c>
      <c r="D725" t="s">
        <v>9</v>
      </c>
      <c r="E725">
        <v>1809</v>
      </c>
      <c r="F725" t="str">
        <f>HYPERLINK("https://www.google.com/maps/search/?api=1&amp;query=24.81336981,46.60082727", "View Map")</f>
        <v>View Map</v>
      </c>
    </row>
    <row r="726" spans="1:6" x14ac:dyDescent="0.35">
      <c r="A726" t="s">
        <v>1921</v>
      </c>
      <c r="B726" t="s">
        <v>3005</v>
      </c>
      <c r="C726" t="s">
        <v>1776</v>
      </c>
      <c r="D726" t="s">
        <v>13</v>
      </c>
      <c r="E726">
        <v>1809</v>
      </c>
      <c r="F726" t="str">
        <f>HYPERLINK("https://www.google.com/maps/search/?api=1&amp;query=24.72356668,46.80803843", "View Map")</f>
        <v>View Map</v>
      </c>
    </row>
    <row r="727" spans="1:6" x14ac:dyDescent="0.35">
      <c r="A727" t="s">
        <v>3006</v>
      </c>
      <c r="B727" t="s">
        <v>3007</v>
      </c>
      <c r="C727" t="s">
        <v>1776</v>
      </c>
      <c r="D727" t="s">
        <v>13</v>
      </c>
      <c r="E727">
        <v>1808</v>
      </c>
      <c r="F727" t="str">
        <f>HYPERLINK("https://www.google.com/maps/search/?api=1&amp;query=24.69040432,46.60629368", "View Map")</f>
        <v>View Map</v>
      </c>
    </row>
    <row r="728" spans="1:6" x14ac:dyDescent="0.35">
      <c r="A728" t="s">
        <v>3008</v>
      </c>
      <c r="B728" t="s">
        <v>3009</v>
      </c>
      <c r="C728" t="s">
        <v>1776</v>
      </c>
      <c r="D728" t="s">
        <v>13</v>
      </c>
      <c r="E728">
        <v>1808</v>
      </c>
      <c r="F728" t="str">
        <f>HYPERLINK("https://www.google.com/maps/search/?api=1&amp;query=24.39639471,46.83362787", "View Map")</f>
        <v>View Map</v>
      </c>
    </row>
    <row r="729" spans="1:6" x14ac:dyDescent="0.35">
      <c r="A729" t="s">
        <v>1794</v>
      </c>
      <c r="B729" t="s">
        <v>3010</v>
      </c>
      <c r="C729" t="s">
        <v>1776</v>
      </c>
      <c r="D729" t="s">
        <v>13</v>
      </c>
      <c r="E729">
        <v>1802</v>
      </c>
      <c r="F729" t="str">
        <f>HYPERLINK("https://www.google.com/maps/search/?api=1&amp;query=24.6636443,46.74780097", "View Map")</f>
        <v>View Map</v>
      </c>
    </row>
    <row r="730" spans="1:6" x14ac:dyDescent="0.35">
      <c r="A730" t="s">
        <v>3011</v>
      </c>
      <c r="B730" t="s">
        <v>3012</v>
      </c>
      <c r="C730" t="s">
        <v>1776</v>
      </c>
      <c r="D730" t="s">
        <v>9</v>
      </c>
      <c r="E730">
        <v>1802</v>
      </c>
      <c r="F730" t="str">
        <f>HYPERLINK("https://www.google.com/maps/search/?api=1&amp;query=24.80937133,46.65371925", "View Map")</f>
        <v>View Map</v>
      </c>
    </row>
    <row r="731" spans="1:6" x14ac:dyDescent="0.35">
      <c r="A731" t="s">
        <v>3013</v>
      </c>
      <c r="B731" t="s">
        <v>3014</v>
      </c>
      <c r="C731" t="s">
        <v>1776</v>
      </c>
      <c r="D731" t="s">
        <v>13</v>
      </c>
      <c r="E731">
        <v>1802</v>
      </c>
      <c r="F731" t="str">
        <f>HYPERLINK("https://www.google.com/maps/search/?api=1&amp;query=24.58888553,46.78430336", "View Map")</f>
        <v>View Map</v>
      </c>
    </row>
    <row r="732" spans="1:6" x14ac:dyDescent="0.35">
      <c r="A732" t="s">
        <v>3015</v>
      </c>
      <c r="B732" t="s">
        <v>3016</v>
      </c>
      <c r="C732" t="s">
        <v>1776</v>
      </c>
      <c r="D732" t="s">
        <v>13</v>
      </c>
      <c r="E732">
        <v>1798</v>
      </c>
      <c r="F732" t="str">
        <f>HYPERLINK("https://www.google.com/maps/search/?api=1&amp;query=24.57652756,46.56808213", "View Map")</f>
        <v>View Map</v>
      </c>
    </row>
    <row r="733" spans="1:6" x14ac:dyDescent="0.35">
      <c r="A733" t="s">
        <v>3017</v>
      </c>
      <c r="B733" t="s">
        <v>3018</v>
      </c>
      <c r="C733" t="s">
        <v>1776</v>
      </c>
      <c r="D733" t="s">
        <v>13</v>
      </c>
      <c r="E733">
        <v>1797</v>
      </c>
      <c r="F733" t="str">
        <f>HYPERLINK("https://www.google.com/maps/search/?api=1&amp;query=24.72327384,46.81496584", "View Map")</f>
        <v>View Map</v>
      </c>
    </row>
    <row r="734" spans="1:6" x14ac:dyDescent="0.35">
      <c r="A734" t="s">
        <v>1798</v>
      </c>
      <c r="B734" t="s">
        <v>3019</v>
      </c>
      <c r="C734" t="s">
        <v>1776</v>
      </c>
      <c r="D734" t="s">
        <v>13</v>
      </c>
      <c r="E734">
        <v>1796</v>
      </c>
      <c r="F734" t="str">
        <f>HYPERLINK("https://www.google.com/maps/search/?api=1&amp;query=24.65657724,46.68381828", "View Map")</f>
        <v>View Map</v>
      </c>
    </row>
    <row r="735" spans="1:6" x14ac:dyDescent="0.35">
      <c r="A735" t="s">
        <v>3020</v>
      </c>
      <c r="B735" t="s">
        <v>3021</v>
      </c>
      <c r="C735" t="s">
        <v>1776</v>
      </c>
      <c r="D735" t="s">
        <v>13</v>
      </c>
      <c r="E735">
        <v>1796</v>
      </c>
      <c r="F735" t="str">
        <f>HYPERLINK("https://www.google.com/maps/search/?api=1&amp;query=24.76982841,46.75012222", "View Map")</f>
        <v>View Map</v>
      </c>
    </row>
    <row r="736" spans="1:6" x14ac:dyDescent="0.35">
      <c r="A736" t="s">
        <v>3022</v>
      </c>
      <c r="B736" t="s">
        <v>3023</v>
      </c>
      <c r="C736" t="s">
        <v>1776</v>
      </c>
      <c r="D736" t="s">
        <v>13</v>
      </c>
      <c r="E736">
        <v>1795</v>
      </c>
      <c r="F736" t="str">
        <f>HYPERLINK("https://www.google.com/maps/search/?api=1&amp;query=24.80221509,46.8580866", "View Map")</f>
        <v>View Map</v>
      </c>
    </row>
    <row r="737" spans="1:6" x14ac:dyDescent="0.35">
      <c r="A737" t="s">
        <v>3024</v>
      </c>
      <c r="B737" t="s">
        <v>3025</v>
      </c>
      <c r="C737" t="s">
        <v>1776</v>
      </c>
      <c r="D737" t="s">
        <v>13</v>
      </c>
      <c r="E737">
        <v>1792</v>
      </c>
      <c r="F737" t="str">
        <f>HYPERLINK("https://www.google.com/maps/search/?api=1&amp;query=24.7378628,46.61243436", "View Map")</f>
        <v>View Map</v>
      </c>
    </row>
    <row r="738" spans="1:6" x14ac:dyDescent="0.35">
      <c r="A738" t="s">
        <v>1798</v>
      </c>
      <c r="B738" t="s">
        <v>3026</v>
      </c>
      <c r="C738" t="s">
        <v>1776</v>
      </c>
      <c r="D738" t="s">
        <v>13</v>
      </c>
      <c r="E738">
        <v>1792</v>
      </c>
      <c r="F738" t="str">
        <f>HYPERLINK("https://www.google.com/maps/search/?api=1&amp;query=24.8007155,46.72669667", "View Map")</f>
        <v>View Map</v>
      </c>
    </row>
    <row r="739" spans="1:6" x14ac:dyDescent="0.35">
      <c r="A739" t="s">
        <v>3027</v>
      </c>
      <c r="B739" t="s">
        <v>3028</v>
      </c>
      <c r="C739" t="s">
        <v>1776</v>
      </c>
      <c r="D739" t="s">
        <v>13</v>
      </c>
      <c r="E739">
        <v>1791</v>
      </c>
      <c r="F739" t="str">
        <f>HYPERLINK("https://www.google.com/maps/search/?api=1&amp;query=24.69418897,46.69232732", "View Map")</f>
        <v>View Map</v>
      </c>
    </row>
    <row r="740" spans="1:6" x14ac:dyDescent="0.35">
      <c r="A740" t="s">
        <v>1794</v>
      </c>
      <c r="B740" t="s">
        <v>3029</v>
      </c>
      <c r="C740" t="s">
        <v>1776</v>
      </c>
      <c r="D740" t="s">
        <v>13</v>
      </c>
      <c r="E740">
        <v>1790</v>
      </c>
      <c r="F740" t="str">
        <f>HYPERLINK("https://www.google.com/maps/search/?api=1&amp;query=24.81487507,46.61758932", "View Map")</f>
        <v>View Map</v>
      </c>
    </row>
    <row r="741" spans="1:6" x14ac:dyDescent="0.35">
      <c r="A741" t="s">
        <v>3030</v>
      </c>
      <c r="B741" t="s">
        <v>3031</v>
      </c>
      <c r="C741" t="s">
        <v>1776</v>
      </c>
      <c r="D741" t="s">
        <v>13</v>
      </c>
      <c r="E741">
        <v>1790</v>
      </c>
      <c r="F741" t="str">
        <f>HYPERLINK("https://www.google.com/maps/search/?api=1&amp;query=24.82311751,46.77345016", "View Map")</f>
        <v>View Map</v>
      </c>
    </row>
    <row r="742" spans="1:6" x14ac:dyDescent="0.35">
      <c r="A742" t="s">
        <v>2246</v>
      </c>
      <c r="B742" t="s">
        <v>3032</v>
      </c>
      <c r="C742" t="s">
        <v>1776</v>
      </c>
      <c r="D742" t="s">
        <v>13</v>
      </c>
      <c r="E742">
        <v>1787</v>
      </c>
      <c r="F742" t="str">
        <f>HYPERLINK("https://www.google.com/maps/search/?api=1&amp;query=24.70479326,46.77123185", "View Map")</f>
        <v>View Map</v>
      </c>
    </row>
    <row r="743" spans="1:6" x14ac:dyDescent="0.35">
      <c r="A743" t="s">
        <v>1798</v>
      </c>
      <c r="B743" t="s">
        <v>3033</v>
      </c>
      <c r="C743" t="s">
        <v>1776</v>
      </c>
      <c r="D743" t="s">
        <v>13</v>
      </c>
      <c r="E743">
        <v>1785</v>
      </c>
      <c r="F743" t="str">
        <f>HYPERLINK("https://www.google.com/maps/search/?api=1&amp;query=24.86698,46.62094", "View Map")</f>
        <v>View Map</v>
      </c>
    </row>
    <row r="744" spans="1:6" x14ac:dyDescent="0.35">
      <c r="A744" t="s">
        <v>3034</v>
      </c>
      <c r="B744" t="s">
        <v>3035</v>
      </c>
      <c r="C744" t="s">
        <v>1776</v>
      </c>
      <c r="D744" t="s">
        <v>13</v>
      </c>
      <c r="E744">
        <v>1784</v>
      </c>
      <c r="F744" t="str">
        <f>HYPERLINK("https://www.google.com/maps/search/?api=1&amp;query=24.5376302,46.64505804", "View Map")</f>
        <v>View Map</v>
      </c>
    </row>
    <row r="745" spans="1:6" x14ac:dyDescent="0.35">
      <c r="A745" t="s">
        <v>1798</v>
      </c>
      <c r="B745" t="s">
        <v>3036</v>
      </c>
      <c r="C745" t="s">
        <v>1776</v>
      </c>
      <c r="D745" t="s">
        <v>13</v>
      </c>
      <c r="E745">
        <v>1783</v>
      </c>
      <c r="F745" t="str">
        <f>HYPERLINK("https://www.google.com/maps/search/?api=1&amp;query=24.83270518,46.75637819", "View Map")</f>
        <v>View Map</v>
      </c>
    </row>
    <row r="746" spans="1:6" x14ac:dyDescent="0.35">
      <c r="A746" t="s">
        <v>3037</v>
      </c>
      <c r="B746" t="s">
        <v>3038</v>
      </c>
      <c r="C746" t="s">
        <v>1776</v>
      </c>
      <c r="D746" t="s">
        <v>13</v>
      </c>
      <c r="E746">
        <v>1782</v>
      </c>
      <c r="F746" t="str">
        <f>HYPERLINK("https://www.google.com/maps/search/?api=1&amp;query=24.57215663,46.58360309", "View Map")</f>
        <v>View Map</v>
      </c>
    </row>
    <row r="747" spans="1:6" x14ac:dyDescent="0.35">
      <c r="A747" t="s">
        <v>1947</v>
      </c>
      <c r="B747" t="s">
        <v>3039</v>
      </c>
      <c r="C747" t="s">
        <v>1776</v>
      </c>
      <c r="D747" t="s">
        <v>13</v>
      </c>
      <c r="E747">
        <v>1782</v>
      </c>
      <c r="F747" t="str">
        <f>HYPERLINK("https://www.google.com/maps/search/?api=1&amp;query=24.6125,46.7017", "View Map")</f>
        <v>View Map</v>
      </c>
    </row>
    <row r="748" spans="1:6" x14ac:dyDescent="0.35">
      <c r="A748" t="s">
        <v>3040</v>
      </c>
      <c r="B748" t="s">
        <v>3041</v>
      </c>
      <c r="C748" t="s">
        <v>1776</v>
      </c>
      <c r="D748" t="s">
        <v>13</v>
      </c>
      <c r="E748">
        <v>1781</v>
      </c>
      <c r="F748" t="str">
        <f>HYPERLINK("https://www.google.com/maps/search/?api=1&amp;query=24.80437328,46.64869483", "View Map")</f>
        <v>View Map</v>
      </c>
    </row>
    <row r="749" spans="1:6" x14ac:dyDescent="0.35">
      <c r="A749" t="s">
        <v>3042</v>
      </c>
      <c r="B749" t="s">
        <v>3043</v>
      </c>
      <c r="C749" t="s">
        <v>1776</v>
      </c>
      <c r="D749" t="s">
        <v>13</v>
      </c>
      <c r="E749">
        <v>1778</v>
      </c>
      <c r="F749" t="str">
        <f>HYPERLINK("https://www.google.com/maps/search/?api=1&amp;query=24.68324188,46.78661618", "View Map")</f>
        <v>View Map</v>
      </c>
    </row>
    <row r="750" spans="1:6" x14ac:dyDescent="0.35">
      <c r="A750" t="s">
        <v>1798</v>
      </c>
      <c r="B750" t="s">
        <v>3044</v>
      </c>
      <c r="C750" t="s">
        <v>1776</v>
      </c>
      <c r="D750" t="s">
        <v>13</v>
      </c>
      <c r="E750">
        <v>1777</v>
      </c>
      <c r="F750" t="str">
        <f>HYPERLINK("https://www.google.com/maps/search/?api=1&amp;query=24.64417295,46.79255834", "View Map")</f>
        <v>View Map</v>
      </c>
    </row>
    <row r="751" spans="1:6" x14ac:dyDescent="0.35">
      <c r="A751" t="s">
        <v>3045</v>
      </c>
      <c r="B751" t="s">
        <v>3046</v>
      </c>
      <c r="C751" t="s">
        <v>1776</v>
      </c>
      <c r="D751" t="s">
        <v>13</v>
      </c>
      <c r="E751">
        <v>1774</v>
      </c>
      <c r="F751" t="str">
        <f>HYPERLINK("https://www.google.com/maps/search/?api=1&amp;query=24.72266972,46.82456923", "View Map")</f>
        <v>View Map</v>
      </c>
    </row>
    <row r="752" spans="1:6" x14ac:dyDescent="0.35">
      <c r="A752" t="s">
        <v>3047</v>
      </c>
      <c r="B752" t="s">
        <v>3048</v>
      </c>
      <c r="C752" t="s">
        <v>1776</v>
      </c>
      <c r="D752" t="s">
        <v>13</v>
      </c>
      <c r="E752">
        <v>1772</v>
      </c>
      <c r="F752" t="str">
        <f>HYPERLINK("https://www.google.com/maps/search/?api=1&amp;query=24.73681019,46.66074584", "View Map")</f>
        <v>View Map</v>
      </c>
    </row>
    <row r="753" spans="1:6" x14ac:dyDescent="0.35">
      <c r="A753" t="s">
        <v>3049</v>
      </c>
      <c r="B753" t="s">
        <v>3050</v>
      </c>
      <c r="C753" t="s">
        <v>1776</v>
      </c>
      <c r="D753" t="s">
        <v>13</v>
      </c>
      <c r="E753">
        <v>1770</v>
      </c>
      <c r="F753" t="str">
        <f>HYPERLINK("https://www.google.com/maps/search/?api=1&amp;query=24.77811662,46.66856117", "View Map")</f>
        <v>View Map</v>
      </c>
    </row>
    <row r="754" spans="1:6" x14ac:dyDescent="0.35">
      <c r="A754" t="s">
        <v>3051</v>
      </c>
      <c r="B754" t="s">
        <v>3052</v>
      </c>
      <c r="C754" t="s">
        <v>1776</v>
      </c>
      <c r="D754" t="s">
        <v>13</v>
      </c>
      <c r="E754">
        <v>1770</v>
      </c>
      <c r="F754" t="str">
        <f>HYPERLINK("https://www.google.com/maps/search/?api=1&amp;query=24.78074525,46.79005083", "View Map")</f>
        <v>View Map</v>
      </c>
    </row>
    <row r="755" spans="1:6" x14ac:dyDescent="0.35">
      <c r="A755" t="s">
        <v>3053</v>
      </c>
      <c r="B755" t="s">
        <v>3054</v>
      </c>
      <c r="C755" t="s">
        <v>1776</v>
      </c>
      <c r="D755" t="s">
        <v>13</v>
      </c>
      <c r="E755">
        <v>1767</v>
      </c>
      <c r="F755" t="str">
        <f>HYPERLINK("https://www.google.com/maps/search/?api=1&amp;query=24.63964814,46.78593666", "View Map")</f>
        <v>View Map</v>
      </c>
    </row>
    <row r="756" spans="1:6" x14ac:dyDescent="0.35">
      <c r="A756" t="s">
        <v>3055</v>
      </c>
      <c r="B756" t="s">
        <v>3056</v>
      </c>
      <c r="C756" t="s">
        <v>1776</v>
      </c>
      <c r="D756" t="s">
        <v>13</v>
      </c>
      <c r="E756">
        <v>1764</v>
      </c>
      <c r="F756" t="str">
        <f>HYPERLINK("https://www.google.com/maps/search/?api=1&amp;query=24.610464,46.71866615", "View Map")</f>
        <v>View Map</v>
      </c>
    </row>
    <row r="757" spans="1:6" x14ac:dyDescent="0.35">
      <c r="A757" t="s">
        <v>3057</v>
      </c>
      <c r="B757" t="s">
        <v>3058</v>
      </c>
      <c r="C757" t="s">
        <v>1776</v>
      </c>
      <c r="D757" t="s">
        <v>13</v>
      </c>
      <c r="E757">
        <v>1761</v>
      </c>
      <c r="F757" t="str">
        <f>HYPERLINK("https://www.google.com/maps/search/?api=1&amp;query=24.58115827,46.57092668", "View Map")</f>
        <v>View Map</v>
      </c>
    </row>
    <row r="758" spans="1:6" x14ac:dyDescent="0.35">
      <c r="A758" t="s">
        <v>3059</v>
      </c>
      <c r="B758" t="s">
        <v>3060</v>
      </c>
      <c r="C758" t="s">
        <v>1776</v>
      </c>
      <c r="D758" t="s">
        <v>13</v>
      </c>
      <c r="E758">
        <v>1761</v>
      </c>
      <c r="F758" t="str">
        <f>HYPERLINK("https://www.google.com/maps/search/?api=1&amp;query=24.81092439,46.85793814", "View Map")</f>
        <v>View Map</v>
      </c>
    </row>
    <row r="759" spans="1:6" x14ac:dyDescent="0.35">
      <c r="A759" t="s">
        <v>1798</v>
      </c>
      <c r="B759" t="s">
        <v>3061</v>
      </c>
      <c r="C759" t="s">
        <v>1776</v>
      </c>
      <c r="D759" t="s">
        <v>13</v>
      </c>
      <c r="E759">
        <v>1755</v>
      </c>
      <c r="F759" t="str">
        <f>HYPERLINK("https://www.google.com/maps/search/?api=1&amp;query=24.87392999,46.61298512", "View Map")</f>
        <v>View Map</v>
      </c>
    </row>
    <row r="760" spans="1:6" x14ac:dyDescent="0.35">
      <c r="A760" t="s">
        <v>3062</v>
      </c>
      <c r="B760" t="s">
        <v>3063</v>
      </c>
      <c r="C760" t="s">
        <v>1776</v>
      </c>
      <c r="D760" t="s">
        <v>13</v>
      </c>
      <c r="E760">
        <v>1755</v>
      </c>
      <c r="F760" t="str">
        <f>HYPERLINK("https://www.google.com/maps/search/?api=1&amp;query=24.56388862,46.71046769", "View Map")</f>
        <v>View Map</v>
      </c>
    </row>
    <row r="761" spans="1:6" x14ac:dyDescent="0.35">
      <c r="A761" t="s">
        <v>3064</v>
      </c>
      <c r="B761" t="s">
        <v>3065</v>
      </c>
      <c r="C761" t="s">
        <v>1776</v>
      </c>
      <c r="D761" t="s">
        <v>13</v>
      </c>
      <c r="E761">
        <v>1755</v>
      </c>
      <c r="F761" t="str">
        <f>HYPERLINK("https://www.google.com/maps/search/?api=1&amp;query=24.69498401,46.78966611", "View Map")</f>
        <v>View Map</v>
      </c>
    </row>
    <row r="762" spans="1:6" x14ac:dyDescent="0.35">
      <c r="A762" t="s">
        <v>3066</v>
      </c>
      <c r="B762" t="s">
        <v>3067</v>
      </c>
      <c r="C762" t="s">
        <v>1776</v>
      </c>
      <c r="D762" t="s">
        <v>13</v>
      </c>
      <c r="E762">
        <v>1751</v>
      </c>
      <c r="F762" t="str">
        <f>HYPERLINK("https://www.google.com/maps/search/?api=1&amp;query=24.65306179,46.65133897", "View Map")</f>
        <v>View Map</v>
      </c>
    </row>
    <row r="763" spans="1:6" x14ac:dyDescent="0.35">
      <c r="A763" t="s">
        <v>1798</v>
      </c>
      <c r="B763" t="s">
        <v>3068</v>
      </c>
      <c r="C763" t="s">
        <v>1776</v>
      </c>
      <c r="D763" t="s">
        <v>13</v>
      </c>
      <c r="E763">
        <v>1750</v>
      </c>
      <c r="F763" t="str">
        <f>HYPERLINK("https://www.google.com/maps/search/?api=1&amp;query=24.85562724,46.84151737", "View Map")</f>
        <v>View Map</v>
      </c>
    </row>
    <row r="764" spans="1:6" x14ac:dyDescent="0.35">
      <c r="A764" t="s">
        <v>3069</v>
      </c>
      <c r="B764" t="s">
        <v>3070</v>
      </c>
      <c r="C764" t="s">
        <v>1776</v>
      </c>
      <c r="D764" t="s">
        <v>13</v>
      </c>
      <c r="E764">
        <v>1748</v>
      </c>
      <c r="F764" t="str">
        <f>HYPERLINK("https://www.google.com/maps/search/?api=1&amp;query=24.76978416,46.77890583", "View Map")</f>
        <v>View Map</v>
      </c>
    </row>
    <row r="765" spans="1:6" x14ac:dyDescent="0.35">
      <c r="A765" t="s">
        <v>3071</v>
      </c>
      <c r="B765" t="s">
        <v>3072</v>
      </c>
      <c r="C765" t="s">
        <v>1776</v>
      </c>
      <c r="D765" t="s">
        <v>13</v>
      </c>
      <c r="E765">
        <v>1747</v>
      </c>
      <c r="F765" t="str">
        <f>HYPERLINK("https://www.google.com/maps/search/?api=1&amp;query=24.74449693,46.82619363", "View Map")</f>
        <v>View Map</v>
      </c>
    </row>
    <row r="766" spans="1:6" x14ac:dyDescent="0.35">
      <c r="A766" t="s">
        <v>3073</v>
      </c>
      <c r="B766" t="s">
        <v>3074</v>
      </c>
      <c r="C766" t="s">
        <v>1776</v>
      </c>
      <c r="D766" t="s">
        <v>13</v>
      </c>
      <c r="E766">
        <v>1747</v>
      </c>
      <c r="F766" t="str">
        <f>HYPERLINK("https://www.google.com/maps/search/?api=1&amp;query=24.73916575,46.76853328", "View Map")</f>
        <v>View Map</v>
      </c>
    </row>
    <row r="767" spans="1:6" x14ac:dyDescent="0.35">
      <c r="A767" t="s">
        <v>3075</v>
      </c>
      <c r="B767" t="s">
        <v>3076</v>
      </c>
      <c r="C767" t="s">
        <v>1776</v>
      </c>
      <c r="D767" t="s">
        <v>13</v>
      </c>
      <c r="E767">
        <v>1745</v>
      </c>
      <c r="F767" t="str">
        <f>HYPERLINK("https://www.google.com/maps/search/?api=1&amp;query=24.74523184,46.79897044", "View Map")</f>
        <v>View Map</v>
      </c>
    </row>
    <row r="768" spans="1:6" x14ac:dyDescent="0.35">
      <c r="A768" t="s">
        <v>1806</v>
      </c>
      <c r="B768" t="s">
        <v>3077</v>
      </c>
      <c r="C768" t="s">
        <v>1776</v>
      </c>
      <c r="D768" t="s">
        <v>9</v>
      </c>
      <c r="E768">
        <v>1741</v>
      </c>
      <c r="F768" t="str">
        <f>HYPERLINK("https://www.google.com/maps/search/?api=1&amp;query=24.82533509,46.74783763", "View Map")</f>
        <v>View Map</v>
      </c>
    </row>
    <row r="769" spans="1:6" x14ac:dyDescent="0.35">
      <c r="A769" t="s">
        <v>3078</v>
      </c>
      <c r="B769" t="s">
        <v>3079</v>
      </c>
      <c r="C769" t="s">
        <v>1776</v>
      </c>
      <c r="D769" t="s">
        <v>13</v>
      </c>
      <c r="E769">
        <v>1740</v>
      </c>
      <c r="F769" t="str">
        <f>HYPERLINK("https://www.google.com/maps/search/?api=1&amp;query=24.61958038,46.68755354", "View Map")</f>
        <v>View Map</v>
      </c>
    </row>
    <row r="770" spans="1:6" x14ac:dyDescent="0.35">
      <c r="A770" t="s">
        <v>3080</v>
      </c>
      <c r="B770" t="s">
        <v>3081</v>
      </c>
      <c r="C770" t="s">
        <v>1776</v>
      </c>
      <c r="D770" t="s">
        <v>13</v>
      </c>
      <c r="E770">
        <v>1735</v>
      </c>
      <c r="F770" t="str">
        <f>HYPERLINK("https://www.google.com/maps/search/?api=1&amp;query=24.65659264,46.74825675", "View Map")</f>
        <v>View Map</v>
      </c>
    </row>
    <row r="771" spans="1:6" x14ac:dyDescent="0.35">
      <c r="A771" t="s">
        <v>3082</v>
      </c>
      <c r="B771" t="s">
        <v>3083</v>
      </c>
      <c r="C771" t="s">
        <v>1776</v>
      </c>
      <c r="D771" t="s">
        <v>13</v>
      </c>
      <c r="E771">
        <v>1735</v>
      </c>
      <c r="F771" t="str">
        <f>HYPERLINK("https://www.google.com/maps/search/?api=1&amp;query=24.73937506,46.70818929", "View Map")</f>
        <v>View Map</v>
      </c>
    </row>
    <row r="772" spans="1:6" x14ac:dyDescent="0.35">
      <c r="A772" t="s">
        <v>3084</v>
      </c>
      <c r="B772" t="s">
        <v>3085</v>
      </c>
      <c r="C772" t="s">
        <v>1776</v>
      </c>
      <c r="D772" t="s">
        <v>13</v>
      </c>
      <c r="E772">
        <v>1732</v>
      </c>
      <c r="F772" t="str">
        <f>HYPERLINK("https://www.google.com/maps/search/?api=1&amp;query=24.68607,46.56311", "View Map")</f>
        <v>View Map</v>
      </c>
    </row>
    <row r="773" spans="1:6" x14ac:dyDescent="0.35">
      <c r="A773" t="s">
        <v>3086</v>
      </c>
      <c r="B773" t="s">
        <v>3087</v>
      </c>
      <c r="C773" t="s">
        <v>1776</v>
      </c>
      <c r="D773" t="s">
        <v>13</v>
      </c>
      <c r="E773">
        <v>1730</v>
      </c>
      <c r="F773" t="str">
        <f>HYPERLINK("https://www.google.com/maps/search/?api=1&amp;query=24.76100008,46.77698716", "View Map")</f>
        <v>View Map</v>
      </c>
    </row>
    <row r="774" spans="1:6" x14ac:dyDescent="0.35">
      <c r="A774" t="s">
        <v>1798</v>
      </c>
      <c r="B774" t="s">
        <v>3088</v>
      </c>
      <c r="C774" t="s">
        <v>1776</v>
      </c>
      <c r="D774" t="s">
        <v>13</v>
      </c>
      <c r="E774">
        <v>1726</v>
      </c>
      <c r="F774" t="str">
        <f>HYPERLINK("https://www.google.com/maps/search/?api=1&amp;query=24.61917,46.50129", "View Map")</f>
        <v>View Map</v>
      </c>
    </row>
    <row r="775" spans="1:6" x14ac:dyDescent="0.35">
      <c r="A775" t="s">
        <v>3089</v>
      </c>
      <c r="B775" t="s">
        <v>3090</v>
      </c>
      <c r="C775" t="s">
        <v>1776</v>
      </c>
      <c r="D775" t="s">
        <v>13</v>
      </c>
      <c r="E775">
        <v>1726</v>
      </c>
      <c r="F775" t="str">
        <f>HYPERLINK("https://www.google.com/maps/search/?api=1&amp;query=24.818616,46.88765731", "View Map")</f>
        <v>View Map</v>
      </c>
    </row>
    <row r="776" spans="1:6" x14ac:dyDescent="0.35">
      <c r="A776" t="s">
        <v>1798</v>
      </c>
      <c r="B776" t="s">
        <v>3091</v>
      </c>
      <c r="C776" t="s">
        <v>1776</v>
      </c>
      <c r="D776" t="s">
        <v>13</v>
      </c>
      <c r="E776">
        <v>1724</v>
      </c>
      <c r="F776" t="str">
        <f>HYPERLINK("https://www.google.com/maps/search/?api=1&amp;query=24.85334648,46.82699941", "View Map")</f>
        <v>View Map</v>
      </c>
    </row>
    <row r="777" spans="1:6" x14ac:dyDescent="0.35">
      <c r="A777" t="s">
        <v>3092</v>
      </c>
      <c r="B777" t="s">
        <v>3093</v>
      </c>
      <c r="C777" t="s">
        <v>1776</v>
      </c>
      <c r="D777" t="s">
        <v>13</v>
      </c>
      <c r="E777">
        <v>1723</v>
      </c>
      <c r="F777" t="str">
        <f>HYPERLINK("https://www.google.com/maps/search/?api=1&amp;query=24.6755305,46.73820465", "View Map")</f>
        <v>View Map</v>
      </c>
    </row>
    <row r="778" spans="1:6" x14ac:dyDescent="0.35">
      <c r="A778" t="s">
        <v>1798</v>
      </c>
      <c r="B778" t="s">
        <v>3094</v>
      </c>
      <c r="C778" t="s">
        <v>1776</v>
      </c>
      <c r="D778" t="s">
        <v>13</v>
      </c>
      <c r="E778">
        <v>1722</v>
      </c>
      <c r="F778" t="str">
        <f>HYPERLINK("https://www.google.com/maps/search/?api=1&amp;query=24.87025862,46.61654794", "View Map")</f>
        <v>View Map</v>
      </c>
    </row>
    <row r="779" spans="1:6" x14ac:dyDescent="0.35">
      <c r="A779" t="s">
        <v>3095</v>
      </c>
      <c r="B779" t="s">
        <v>3096</v>
      </c>
      <c r="C779" t="s">
        <v>1776</v>
      </c>
      <c r="D779" t="s">
        <v>13</v>
      </c>
      <c r="E779">
        <v>1722</v>
      </c>
      <c r="F779" t="str">
        <f>HYPERLINK("https://www.google.com/maps/search/?api=1&amp;query=24.76900782,46.75974478", "View Map")</f>
        <v>View Map</v>
      </c>
    </row>
    <row r="780" spans="1:6" x14ac:dyDescent="0.35">
      <c r="A780" t="s">
        <v>3097</v>
      </c>
      <c r="B780" t="s">
        <v>3098</v>
      </c>
      <c r="C780" t="s">
        <v>1776</v>
      </c>
      <c r="D780" t="s">
        <v>13</v>
      </c>
      <c r="E780">
        <v>1722</v>
      </c>
      <c r="F780" t="str">
        <f>HYPERLINK("https://www.google.com/maps/search/?api=1&amp;query=24.69826097,46.80339704", "View Map")</f>
        <v>View Map</v>
      </c>
    </row>
    <row r="781" spans="1:6" x14ac:dyDescent="0.35">
      <c r="A781" t="s">
        <v>3099</v>
      </c>
      <c r="B781" t="s">
        <v>3100</v>
      </c>
      <c r="C781" t="s">
        <v>1776</v>
      </c>
      <c r="D781" t="s">
        <v>13</v>
      </c>
      <c r="E781">
        <v>1722</v>
      </c>
      <c r="F781" t="str">
        <f>HYPERLINK("https://www.google.com/maps/search/?api=1&amp;query=24.78612007,46.71853143", "View Map")</f>
        <v>View Map</v>
      </c>
    </row>
    <row r="782" spans="1:6" x14ac:dyDescent="0.35">
      <c r="A782" t="s">
        <v>1798</v>
      </c>
      <c r="B782" t="s">
        <v>3101</v>
      </c>
      <c r="C782" t="s">
        <v>1776</v>
      </c>
      <c r="D782" t="s">
        <v>13</v>
      </c>
      <c r="E782">
        <v>1721</v>
      </c>
      <c r="F782" t="str">
        <f>HYPERLINK("https://www.google.com/maps/search/?api=1&amp;query=24.79030918,46.58661777", "View Map")</f>
        <v>View Map</v>
      </c>
    </row>
    <row r="783" spans="1:6" x14ac:dyDescent="0.35">
      <c r="A783" t="s">
        <v>3102</v>
      </c>
      <c r="B783" t="s">
        <v>3103</v>
      </c>
      <c r="C783" t="s">
        <v>1776</v>
      </c>
      <c r="D783" t="s">
        <v>13</v>
      </c>
      <c r="E783">
        <v>1720</v>
      </c>
      <c r="F783" t="str">
        <f>HYPERLINK("https://www.google.com/maps/search/?api=1&amp;query=24.81973682,46.77088875", "View Map")</f>
        <v>View Map</v>
      </c>
    </row>
    <row r="784" spans="1:6" x14ac:dyDescent="0.35">
      <c r="A784" t="s">
        <v>3104</v>
      </c>
      <c r="B784" t="s">
        <v>3105</v>
      </c>
      <c r="C784" t="s">
        <v>1776</v>
      </c>
      <c r="D784" t="s">
        <v>13</v>
      </c>
      <c r="E784">
        <v>1717</v>
      </c>
      <c r="F784" t="str">
        <f>HYPERLINK("https://www.google.com/maps/search/?api=1&amp;query=24.67914182,46.67245604", "View Map")</f>
        <v>View Map</v>
      </c>
    </row>
    <row r="785" spans="1:6" x14ac:dyDescent="0.35">
      <c r="A785" t="s">
        <v>3106</v>
      </c>
      <c r="B785" t="s">
        <v>3107</v>
      </c>
      <c r="C785" t="s">
        <v>1776</v>
      </c>
      <c r="D785" t="s">
        <v>13</v>
      </c>
      <c r="E785">
        <v>1717</v>
      </c>
      <c r="F785" t="str">
        <f>HYPERLINK("https://www.google.com/maps/search/?api=1&amp;query=24.60534966,46.75245119", "View Map")</f>
        <v>View Map</v>
      </c>
    </row>
    <row r="786" spans="1:6" x14ac:dyDescent="0.35">
      <c r="A786" t="s">
        <v>3108</v>
      </c>
      <c r="B786" t="s">
        <v>3109</v>
      </c>
      <c r="C786" t="s">
        <v>1776</v>
      </c>
      <c r="D786" t="s">
        <v>13</v>
      </c>
      <c r="E786">
        <v>1716</v>
      </c>
      <c r="F786" t="str">
        <f>HYPERLINK("https://www.google.com/maps/search/?api=1&amp;query=24.59147088,46.68608856", "View Map")</f>
        <v>View Map</v>
      </c>
    </row>
    <row r="787" spans="1:6" x14ac:dyDescent="0.35">
      <c r="A787" t="s">
        <v>3110</v>
      </c>
      <c r="B787" t="s">
        <v>3111</v>
      </c>
      <c r="C787" t="s">
        <v>1776</v>
      </c>
      <c r="D787" t="s">
        <v>13</v>
      </c>
      <c r="E787">
        <v>1713</v>
      </c>
      <c r="F787" t="str">
        <f>HYPERLINK("https://www.google.com/maps/search/?api=1&amp;query=24.61121842,46.75690634", "View Map")</f>
        <v>View Map</v>
      </c>
    </row>
    <row r="788" spans="1:6" x14ac:dyDescent="0.35">
      <c r="A788" t="s">
        <v>1798</v>
      </c>
      <c r="B788" t="s">
        <v>3112</v>
      </c>
      <c r="C788" t="s">
        <v>1776</v>
      </c>
      <c r="D788" t="s">
        <v>13</v>
      </c>
      <c r="E788">
        <v>1713</v>
      </c>
      <c r="F788" t="str">
        <f>HYPERLINK("https://www.google.com/maps/search/?api=1&amp;query=24.8808,46.6236", "View Map")</f>
        <v>View Map</v>
      </c>
    </row>
    <row r="789" spans="1:6" x14ac:dyDescent="0.35">
      <c r="A789" t="s">
        <v>3113</v>
      </c>
      <c r="B789" t="s">
        <v>3114</v>
      </c>
      <c r="C789" t="s">
        <v>1776</v>
      </c>
      <c r="D789" t="s">
        <v>13</v>
      </c>
      <c r="E789">
        <v>1710</v>
      </c>
      <c r="F789" t="str">
        <f>HYPERLINK("https://www.google.com/maps/search/?api=1&amp;query=24.53179082,46.68905157", "View Map")</f>
        <v>View Map</v>
      </c>
    </row>
    <row r="790" spans="1:6" x14ac:dyDescent="0.35">
      <c r="A790" t="s">
        <v>3115</v>
      </c>
      <c r="B790" t="s">
        <v>3116</v>
      </c>
      <c r="C790" t="s">
        <v>1776</v>
      </c>
      <c r="D790" t="s">
        <v>13</v>
      </c>
      <c r="E790">
        <v>1709</v>
      </c>
      <c r="F790" t="str">
        <f>HYPERLINK("https://www.google.com/maps/search/?api=1&amp;query=24.62332877,46.70473099", "View Map")</f>
        <v>View Map</v>
      </c>
    </row>
    <row r="791" spans="1:6" x14ac:dyDescent="0.35">
      <c r="A791" t="s">
        <v>3117</v>
      </c>
      <c r="B791" t="s">
        <v>3118</v>
      </c>
      <c r="C791" t="s">
        <v>1776</v>
      </c>
      <c r="D791" t="s">
        <v>13</v>
      </c>
      <c r="E791">
        <v>1707</v>
      </c>
      <c r="F791" t="str">
        <f>HYPERLINK("https://www.google.com/maps/search/?api=1&amp;query=24.54658521,46.70994599", "View Map")</f>
        <v>View Map</v>
      </c>
    </row>
    <row r="792" spans="1:6" x14ac:dyDescent="0.35">
      <c r="A792" t="s">
        <v>3119</v>
      </c>
      <c r="B792" t="s">
        <v>3120</v>
      </c>
      <c r="C792" t="s">
        <v>1776</v>
      </c>
      <c r="D792" t="s">
        <v>13</v>
      </c>
      <c r="E792">
        <v>1704</v>
      </c>
      <c r="F792" t="str">
        <f>HYPERLINK("https://www.google.com/maps/search/?api=1&amp;query=24.58419747,46.78672538", "View Map")</f>
        <v>View Map</v>
      </c>
    </row>
    <row r="793" spans="1:6" x14ac:dyDescent="0.35">
      <c r="A793" t="s">
        <v>3121</v>
      </c>
      <c r="B793" t="s">
        <v>3122</v>
      </c>
      <c r="C793" t="s">
        <v>1776</v>
      </c>
      <c r="D793" t="s">
        <v>13</v>
      </c>
      <c r="E793">
        <v>1703</v>
      </c>
      <c r="F793" t="str">
        <f>HYPERLINK("https://www.google.com/maps/search/?api=1&amp;query=24.7972609,46.65974272", "View Map")</f>
        <v>View Map</v>
      </c>
    </row>
    <row r="794" spans="1:6" x14ac:dyDescent="0.35">
      <c r="A794" t="s">
        <v>3123</v>
      </c>
      <c r="B794" t="s">
        <v>3124</v>
      </c>
      <c r="C794" t="s">
        <v>1776</v>
      </c>
      <c r="D794" t="s">
        <v>9</v>
      </c>
      <c r="E794">
        <v>1703</v>
      </c>
      <c r="F794" t="str">
        <f>HYPERLINK("https://www.google.com/maps/search/?api=1&amp;query=24.75177033,46.66900921", "View Map")</f>
        <v>View Map</v>
      </c>
    </row>
    <row r="795" spans="1:6" x14ac:dyDescent="0.35">
      <c r="A795" t="s">
        <v>3125</v>
      </c>
      <c r="B795" t="s">
        <v>3126</v>
      </c>
      <c r="C795" t="s">
        <v>1776</v>
      </c>
      <c r="D795" t="s">
        <v>13</v>
      </c>
      <c r="E795">
        <v>1700</v>
      </c>
      <c r="F795" t="str">
        <f>HYPERLINK("https://www.google.com/maps/search/?api=1&amp;query=24.72548506,46.78920127", "View Map")</f>
        <v>View Map</v>
      </c>
    </row>
    <row r="796" spans="1:6" x14ac:dyDescent="0.35">
      <c r="A796" t="s">
        <v>3127</v>
      </c>
      <c r="B796" t="s">
        <v>3128</v>
      </c>
      <c r="C796" t="s">
        <v>1776</v>
      </c>
      <c r="D796" t="s">
        <v>13</v>
      </c>
      <c r="E796">
        <v>1699</v>
      </c>
      <c r="F796" t="str">
        <f>HYPERLINK("https://www.google.com/maps/search/?api=1&amp;query=24.70415088,46.78257565", "View Map")</f>
        <v>View Map</v>
      </c>
    </row>
    <row r="797" spans="1:6" x14ac:dyDescent="0.35">
      <c r="A797" t="s">
        <v>3129</v>
      </c>
      <c r="B797" t="s">
        <v>3130</v>
      </c>
      <c r="C797" t="s">
        <v>1776</v>
      </c>
      <c r="D797" t="s">
        <v>13</v>
      </c>
      <c r="E797">
        <v>1699</v>
      </c>
      <c r="F797" t="str">
        <f>HYPERLINK("https://www.google.com/maps/search/?api=1&amp;query=24.53152096,46.72424144", "View Map")</f>
        <v>View Map</v>
      </c>
    </row>
    <row r="798" spans="1:6" x14ac:dyDescent="0.35">
      <c r="A798" t="s">
        <v>3131</v>
      </c>
      <c r="B798" t="s">
        <v>3132</v>
      </c>
      <c r="C798" t="s">
        <v>1776</v>
      </c>
      <c r="D798" t="s">
        <v>13</v>
      </c>
      <c r="E798">
        <v>1699</v>
      </c>
      <c r="F798" t="str">
        <f>HYPERLINK("https://www.google.com/maps/search/?api=1&amp;query=24.62069505,46.76202884", "View Map")</f>
        <v>View Map</v>
      </c>
    </row>
    <row r="799" spans="1:6" x14ac:dyDescent="0.35">
      <c r="A799" t="s">
        <v>3133</v>
      </c>
      <c r="B799" t="s">
        <v>3134</v>
      </c>
      <c r="C799" t="s">
        <v>1776</v>
      </c>
      <c r="D799" t="s">
        <v>13</v>
      </c>
      <c r="E799">
        <v>1695</v>
      </c>
      <c r="F799" t="str">
        <f>HYPERLINK("https://www.google.com/maps/search/?api=1&amp;query=24.58572068,46.61544731", "View Map")</f>
        <v>View Map</v>
      </c>
    </row>
    <row r="800" spans="1:6" x14ac:dyDescent="0.35">
      <c r="A800" t="s">
        <v>1947</v>
      </c>
      <c r="B800" t="s">
        <v>3135</v>
      </c>
      <c r="C800" t="s">
        <v>1776</v>
      </c>
      <c r="D800" t="s">
        <v>13</v>
      </c>
      <c r="E800">
        <v>1695</v>
      </c>
      <c r="F800" t="str">
        <f>HYPERLINK("https://www.google.com/maps/search/?api=1&amp;query=24.55537117,46.56147134", "View Map")</f>
        <v>View Map</v>
      </c>
    </row>
    <row r="801" spans="1:6" x14ac:dyDescent="0.35">
      <c r="A801" t="s">
        <v>2880</v>
      </c>
      <c r="B801" t="s">
        <v>3136</v>
      </c>
      <c r="C801" t="s">
        <v>1776</v>
      </c>
      <c r="D801" t="s">
        <v>13</v>
      </c>
      <c r="E801">
        <v>1694</v>
      </c>
      <c r="F801" t="str">
        <f>HYPERLINK("https://www.google.com/maps/search/?api=1&amp;query=24.77451704,46.71654556", "View Map")</f>
        <v>View Map</v>
      </c>
    </row>
    <row r="802" spans="1:6" x14ac:dyDescent="0.35">
      <c r="A802" t="s">
        <v>3137</v>
      </c>
      <c r="B802" t="s">
        <v>3138</v>
      </c>
      <c r="C802" t="s">
        <v>1776</v>
      </c>
      <c r="D802" t="s">
        <v>13</v>
      </c>
      <c r="E802">
        <v>1693</v>
      </c>
      <c r="F802" t="str">
        <f>HYPERLINK("https://www.google.com/maps/search/?api=1&amp;query=24.58361235,46.6761238", "View Map")</f>
        <v>View Map</v>
      </c>
    </row>
    <row r="803" spans="1:6" x14ac:dyDescent="0.35">
      <c r="A803" t="s">
        <v>3139</v>
      </c>
      <c r="B803" t="s">
        <v>3140</v>
      </c>
      <c r="C803" t="s">
        <v>1776</v>
      </c>
      <c r="D803" t="s">
        <v>13</v>
      </c>
      <c r="E803">
        <v>1691</v>
      </c>
      <c r="F803" t="str">
        <f>HYPERLINK("https://www.google.com/maps/search/?api=1&amp;query=24.82493525,46.60410168", "View Map")</f>
        <v>View Map</v>
      </c>
    </row>
    <row r="804" spans="1:6" x14ac:dyDescent="0.35">
      <c r="A804" t="s">
        <v>3092</v>
      </c>
      <c r="B804" t="s">
        <v>3141</v>
      </c>
      <c r="C804" t="s">
        <v>1776</v>
      </c>
      <c r="D804" t="s">
        <v>13</v>
      </c>
      <c r="E804">
        <v>1690</v>
      </c>
      <c r="F804" t="str">
        <f>HYPERLINK("https://www.google.com/maps/search/?api=1&amp;query=24.67557452,46.73825129", "View Map")</f>
        <v>View Map</v>
      </c>
    </row>
    <row r="805" spans="1:6" x14ac:dyDescent="0.35">
      <c r="A805" t="s">
        <v>3142</v>
      </c>
      <c r="B805" t="s">
        <v>3143</v>
      </c>
      <c r="C805" t="s">
        <v>1776</v>
      </c>
      <c r="D805" t="s">
        <v>13</v>
      </c>
      <c r="E805">
        <v>1689</v>
      </c>
      <c r="F805" t="str">
        <f>HYPERLINK("https://www.google.com/maps/search/?api=1&amp;query=24.79689306,46.69508732", "View Map")</f>
        <v>View Map</v>
      </c>
    </row>
    <row r="806" spans="1:6" x14ac:dyDescent="0.35">
      <c r="A806" t="s">
        <v>1798</v>
      </c>
      <c r="B806" t="s">
        <v>3144</v>
      </c>
      <c r="C806" t="s">
        <v>1776</v>
      </c>
      <c r="D806" t="s">
        <v>13</v>
      </c>
      <c r="E806">
        <v>1688</v>
      </c>
      <c r="F806" t="str">
        <f>HYPERLINK("https://www.google.com/maps/search/?api=1&amp;query=24.70035436,46.69717708", "View Map")</f>
        <v>View Map</v>
      </c>
    </row>
    <row r="807" spans="1:6" x14ac:dyDescent="0.35">
      <c r="A807" t="s">
        <v>3145</v>
      </c>
      <c r="B807" t="s">
        <v>3146</v>
      </c>
      <c r="C807" t="s">
        <v>1776</v>
      </c>
      <c r="D807" t="s">
        <v>13</v>
      </c>
      <c r="E807">
        <v>1688</v>
      </c>
      <c r="F807" t="str">
        <f>HYPERLINK("https://www.google.com/maps/search/?api=1&amp;query=24.7681246,46.80888843", "View Map")</f>
        <v>View Map</v>
      </c>
    </row>
    <row r="808" spans="1:6" x14ac:dyDescent="0.35">
      <c r="A808" t="s">
        <v>3147</v>
      </c>
      <c r="B808" t="s">
        <v>3148</v>
      </c>
      <c r="C808" t="s">
        <v>1776</v>
      </c>
      <c r="D808" t="s">
        <v>13</v>
      </c>
      <c r="E808">
        <v>1682</v>
      </c>
      <c r="F808" t="str">
        <f>HYPERLINK("https://www.google.com/maps/search/?api=1&amp;query=24.77985182,46.66452388", "View Map")</f>
        <v>View Map</v>
      </c>
    </row>
    <row r="809" spans="1:6" x14ac:dyDescent="0.35">
      <c r="A809" t="s">
        <v>3149</v>
      </c>
      <c r="B809" t="s">
        <v>3150</v>
      </c>
      <c r="C809" t="s">
        <v>1776</v>
      </c>
      <c r="D809" t="s">
        <v>13</v>
      </c>
      <c r="E809">
        <v>1680</v>
      </c>
      <c r="F809" t="str">
        <f>HYPERLINK("https://www.google.com/maps/search/?api=1&amp;query=24.73519123,46.79249913", "View Map")</f>
        <v>View Map</v>
      </c>
    </row>
    <row r="810" spans="1:6" x14ac:dyDescent="0.35">
      <c r="A810" t="s">
        <v>3151</v>
      </c>
      <c r="B810" t="s">
        <v>3152</v>
      </c>
      <c r="C810" t="s">
        <v>1776</v>
      </c>
      <c r="D810" t="s">
        <v>13</v>
      </c>
      <c r="E810">
        <v>1679</v>
      </c>
      <c r="F810" t="str">
        <f>HYPERLINK("https://www.google.com/maps/search/?api=1&amp;query=24.77815541,46.69634206", "View Map")</f>
        <v>View Map</v>
      </c>
    </row>
    <row r="811" spans="1:6" x14ac:dyDescent="0.35">
      <c r="A811" t="s">
        <v>3153</v>
      </c>
      <c r="B811" t="s">
        <v>3154</v>
      </c>
      <c r="C811" t="s">
        <v>1776</v>
      </c>
      <c r="D811" t="s">
        <v>9</v>
      </c>
      <c r="E811">
        <v>1676</v>
      </c>
      <c r="F811" t="str">
        <f>HYPERLINK("https://www.google.com/maps/search/?api=1&amp;query=24.57383797,46.78921138", "View Map")</f>
        <v>View Map</v>
      </c>
    </row>
    <row r="812" spans="1:6" x14ac:dyDescent="0.35">
      <c r="A812" t="s">
        <v>3155</v>
      </c>
      <c r="B812" t="s">
        <v>3156</v>
      </c>
      <c r="C812" t="s">
        <v>1776</v>
      </c>
      <c r="D812" t="s">
        <v>13</v>
      </c>
      <c r="E812">
        <v>1676</v>
      </c>
      <c r="F812" t="str">
        <f>HYPERLINK("https://www.google.com/maps/search/?api=1&amp;query=24.69963299,46.80964405", "View Map")</f>
        <v>View Map</v>
      </c>
    </row>
    <row r="813" spans="1:6" x14ac:dyDescent="0.35">
      <c r="A813" t="s">
        <v>3157</v>
      </c>
      <c r="B813" t="s">
        <v>3158</v>
      </c>
      <c r="C813" t="s">
        <v>1776</v>
      </c>
      <c r="D813" t="s">
        <v>13</v>
      </c>
      <c r="E813">
        <v>1674</v>
      </c>
      <c r="F813" t="str">
        <f>HYPERLINK("https://www.google.com/maps/search/?api=1&amp;query=24.79119023,46.63903953", "View Map")</f>
        <v>View Map</v>
      </c>
    </row>
    <row r="814" spans="1:6" x14ac:dyDescent="0.35">
      <c r="A814" t="s">
        <v>2738</v>
      </c>
      <c r="B814" t="s">
        <v>3159</v>
      </c>
      <c r="C814" t="s">
        <v>1776</v>
      </c>
      <c r="D814" t="s">
        <v>13</v>
      </c>
      <c r="E814">
        <v>1674</v>
      </c>
      <c r="F814" t="str">
        <f>HYPERLINK("https://www.google.com/maps/search/?api=1&amp;query=24.69569309,46.86418031", "View Map")</f>
        <v>View Map</v>
      </c>
    </row>
    <row r="815" spans="1:6" x14ac:dyDescent="0.35">
      <c r="A815" t="s">
        <v>3160</v>
      </c>
      <c r="B815" t="s">
        <v>3161</v>
      </c>
      <c r="C815" t="s">
        <v>1776</v>
      </c>
      <c r="D815" t="s">
        <v>13</v>
      </c>
      <c r="E815">
        <v>1673</v>
      </c>
      <c r="F815" t="str">
        <f>HYPERLINK("https://www.google.com/maps/search/?api=1&amp;query=24.57489369,46.76836296", "View Map")</f>
        <v>View Map</v>
      </c>
    </row>
    <row r="816" spans="1:6" x14ac:dyDescent="0.35">
      <c r="A816" t="s">
        <v>3162</v>
      </c>
      <c r="B816" t="s">
        <v>3163</v>
      </c>
      <c r="C816" t="s">
        <v>1776</v>
      </c>
      <c r="D816" t="s">
        <v>13</v>
      </c>
      <c r="E816">
        <v>1673</v>
      </c>
      <c r="F816" t="str">
        <f>HYPERLINK("https://www.google.com/maps/search/?api=1&amp;query=24.6431252,46.59996808", "View Map")</f>
        <v>View Map</v>
      </c>
    </row>
    <row r="817" spans="1:6" x14ac:dyDescent="0.35">
      <c r="A817" t="s">
        <v>1798</v>
      </c>
      <c r="B817" t="s">
        <v>3164</v>
      </c>
      <c r="C817" t="s">
        <v>1776</v>
      </c>
      <c r="D817" t="s">
        <v>13</v>
      </c>
      <c r="E817">
        <v>1672</v>
      </c>
      <c r="F817" t="str">
        <f>HYPERLINK("https://www.google.com/maps/search/?api=1&amp;query=24.87531205,46.86324002", "View Map")</f>
        <v>View Map</v>
      </c>
    </row>
    <row r="818" spans="1:6" x14ac:dyDescent="0.35">
      <c r="A818" t="s">
        <v>3165</v>
      </c>
      <c r="B818" t="s">
        <v>3166</v>
      </c>
      <c r="C818" t="s">
        <v>1776</v>
      </c>
      <c r="D818" t="s">
        <v>13</v>
      </c>
      <c r="E818">
        <v>1671</v>
      </c>
      <c r="F818" t="str">
        <f>HYPERLINK("https://www.google.com/maps/search/?api=1&amp;query=24.80948888,46.63975357", "View Map")</f>
        <v>View Map</v>
      </c>
    </row>
    <row r="819" spans="1:6" x14ac:dyDescent="0.35">
      <c r="A819" t="s">
        <v>3167</v>
      </c>
      <c r="B819" t="s">
        <v>3168</v>
      </c>
      <c r="C819" t="s">
        <v>1776</v>
      </c>
      <c r="D819" t="s">
        <v>13</v>
      </c>
      <c r="E819">
        <v>1670</v>
      </c>
      <c r="F819" t="str">
        <f>HYPERLINK("https://www.google.com/maps/search/?api=1&amp;query=24.81176894,46.59821957", "View Map")</f>
        <v>View Map</v>
      </c>
    </row>
    <row r="820" spans="1:6" x14ac:dyDescent="0.35">
      <c r="A820" t="s">
        <v>3169</v>
      </c>
      <c r="B820" t="s">
        <v>3170</v>
      </c>
      <c r="C820" t="s">
        <v>1776</v>
      </c>
      <c r="D820" t="s">
        <v>13</v>
      </c>
      <c r="E820">
        <v>1670</v>
      </c>
      <c r="F820" t="str">
        <f>HYPERLINK("https://www.google.com/maps/search/?api=1&amp;query=24.60161561,46.72360367", "View Map")</f>
        <v>View Map</v>
      </c>
    </row>
    <row r="821" spans="1:6" x14ac:dyDescent="0.35">
      <c r="A821" t="s">
        <v>3171</v>
      </c>
      <c r="B821" t="s">
        <v>3172</v>
      </c>
      <c r="C821" t="s">
        <v>1776</v>
      </c>
      <c r="D821" t="s">
        <v>13</v>
      </c>
      <c r="E821">
        <v>1669</v>
      </c>
      <c r="F821" t="str">
        <f>HYPERLINK("https://www.google.com/maps/search/?api=1&amp;query=24.80888206,46.62844027", "View Map")</f>
        <v>View Map</v>
      </c>
    </row>
    <row r="822" spans="1:6" x14ac:dyDescent="0.35">
      <c r="A822" t="s">
        <v>3173</v>
      </c>
      <c r="B822" t="s">
        <v>3174</v>
      </c>
      <c r="C822" t="s">
        <v>1776</v>
      </c>
      <c r="D822" t="s">
        <v>13</v>
      </c>
      <c r="E822">
        <v>1668</v>
      </c>
      <c r="F822" t="str">
        <f>HYPERLINK("https://www.google.com/maps/search/?api=1&amp;query=24.75112788,46.65064676", "View Map")</f>
        <v>View Map</v>
      </c>
    </row>
    <row r="823" spans="1:6" x14ac:dyDescent="0.35">
      <c r="A823" t="s">
        <v>19</v>
      </c>
      <c r="B823" t="s">
        <v>3175</v>
      </c>
      <c r="C823" t="s">
        <v>1776</v>
      </c>
      <c r="D823" t="s">
        <v>13</v>
      </c>
      <c r="E823">
        <v>1665</v>
      </c>
      <c r="F823" t="str">
        <f>HYPERLINK("https://www.google.com/maps/search/?api=1&amp;query=24.68834519,46.68858984", "View Map")</f>
        <v>View Map</v>
      </c>
    </row>
    <row r="824" spans="1:6" x14ac:dyDescent="0.35">
      <c r="A824" t="s">
        <v>2144</v>
      </c>
      <c r="B824" t="s">
        <v>3176</v>
      </c>
      <c r="C824" t="s">
        <v>1776</v>
      </c>
      <c r="D824" t="s">
        <v>13</v>
      </c>
      <c r="E824">
        <v>1665</v>
      </c>
      <c r="F824" t="str">
        <f>HYPERLINK("https://www.google.com/maps/search/?api=1&amp;query=24.76573903,46.79209436", "View Map")</f>
        <v>View Map</v>
      </c>
    </row>
    <row r="825" spans="1:6" x14ac:dyDescent="0.35">
      <c r="A825" t="s">
        <v>3177</v>
      </c>
      <c r="B825" t="s">
        <v>3178</v>
      </c>
      <c r="C825" t="s">
        <v>1776</v>
      </c>
      <c r="D825" t="s">
        <v>13</v>
      </c>
      <c r="E825">
        <v>1664</v>
      </c>
      <c r="F825" t="str">
        <f>HYPERLINK("https://www.google.com/maps/search/?api=1&amp;query=24.82657066,46.81154922", "View Map")</f>
        <v>View Map</v>
      </c>
    </row>
    <row r="826" spans="1:6" x14ac:dyDescent="0.35">
      <c r="A826" t="s">
        <v>3179</v>
      </c>
      <c r="B826" t="s">
        <v>3180</v>
      </c>
      <c r="C826" t="s">
        <v>1776</v>
      </c>
      <c r="D826" t="s">
        <v>13</v>
      </c>
      <c r="E826">
        <v>1663</v>
      </c>
      <c r="F826" t="str">
        <f>HYPERLINK("https://www.google.com/maps/search/?api=1&amp;query=24.55374905,46.88931426", "View Map")</f>
        <v>View Map</v>
      </c>
    </row>
    <row r="827" spans="1:6" x14ac:dyDescent="0.35">
      <c r="A827" t="s">
        <v>3181</v>
      </c>
      <c r="B827" t="s">
        <v>3182</v>
      </c>
      <c r="C827" t="s">
        <v>1776</v>
      </c>
      <c r="D827" t="s">
        <v>13</v>
      </c>
      <c r="E827">
        <v>1662</v>
      </c>
      <c r="F827" t="str">
        <f>HYPERLINK("https://www.google.com/maps/search/?api=1&amp;query=24.67867249,46.79019099", "View Map")</f>
        <v>View Map</v>
      </c>
    </row>
    <row r="828" spans="1:6" x14ac:dyDescent="0.35">
      <c r="A828" t="s">
        <v>3183</v>
      </c>
      <c r="B828" t="s">
        <v>3184</v>
      </c>
      <c r="C828" t="s">
        <v>1776</v>
      </c>
      <c r="D828" t="s">
        <v>13</v>
      </c>
      <c r="E828">
        <v>1662</v>
      </c>
      <c r="F828" t="str">
        <f>HYPERLINK("https://www.google.com/maps/search/?api=1&amp;query=24.79321913,46.62678256", "View Map")</f>
        <v>View Map</v>
      </c>
    </row>
    <row r="829" spans="1:6" x14ac:dyDescent="0.35">
      <c r="A829" t="s">
        <v>3185</v>
      </c>
      <c r="B829" t="s">
        <v>3186</v>
      </c>
      <c r="C829" t="s">
        <v>1776</v>
      </c>
      <c r="D829" t="s">
        <v>13</v>
      </c>
      <c r="E829">
        <v>1662</v>
      </c>
      <c r="F829" t="str">
        <f>HYPERLINK("https://www.google.com/maps/search/?api=1&amp;query=24.69087579,46.6892298", "View Map")</f>
        <v>View Map</v>
      </c>
    </row>
    <row r="830" spans="1:6" x14ac:dyDescent="0.35">
      <c r="A830" t="s">
        <v>3187</v>
      </c>
      <c r="B830" t="s">
        <v>3188</v>
      </c>
      <c r="C830" t="s">
        <v>1776</v>
      </c>
      <c r="D830" t="s">
        <v>13</v>
      </c>
      <c r="E830">
        <v>1659</v>
      </c>
      <c r="F830" t="str">
        <f>HYPERLINK("https://www.google.com/maps/search/?api=1&amp;query=24.79351,46.77427", "View Map")</f>
        <v>View Map</v>
      </c>
    </row>
    <row r="831" spans="1:6" x14ac:dyDescent="0.35">
      <c r="A831" t="s">
        <v>3189</v>
      </c>
      <c r="B831" t="s">
        <v>3190</v>
      </c>
      <c r="C831" t="s">
        <v>1776</v>
      </c>
      <c r="D831" t="s">
        <v>13</v>
      </c>
      <c r="E831">
        <v>1658</v>
      </c>
      <c r="F831" t="str">
        <f>HYPERLINK("https://www.google.com/maps/search/?api=1&amp;query=24.58322524,46.52242644", "View Map")</f>
        <v>View Map</v>
      </c>
    </row>
    <row r="832" spans="1:6" x14ac:dyDescent="0.35">
      <c r="A832" t="s">
        <v>3191</v>
      </c>
      <c r="B832" t="s">
        <v>3192</v>
      </c>
      <c r="C832" t="s">
        <v>1776</v>
      </c>
      <c r="D832" t="s">
        <v>13</v>
      </c>
      <c r="E832">
        <v>1656</v>
      </c>
      <c r="F832" t="str">
        <f>HYPERLINK("https://www.google.com/maps/search/?api=1&amp;query=24.57767904,46.77713849", "View Map")</f>
        <v>View Map</v>
      </c>
    </row>
    <row r="833" spans="1:6" x14ac:dyDescent="0.35">
      <c r="A833" t="s">
        <v>1798</v>
      </c>
      <c r="B833" t="s">
        <v>3193</v>
      </c>
      <c r="C833" t="s">
        <v>1776</v>
      </c>
      <c r="D833" t="s">
        <v>13</v>
      </c>
      <c r="E833">
        <v>1656</v>
      </c>
      <c r="F833" t="str">
        <f>HYPERLINK("https://www.google.com/maps/search/?api=1&amp;query=24.92334319,46.82037301", "View Map")</f>
        <v>View Map</v>
      </c>
    </row>
    <row r="834" spans="1:6" x14ac:dyDescent="0.35">
      <c r="A834" t="s">
        <v>3194</v>
      </c>
      <c r="B834" t="s">
        <v>3195</v>
      </c>
      <c r="C834" t="s">
        <v>1776</v>
      </c>
      <c r="D834" t="s">
        <v>13</v>
      </c>
      <c r="E834">
        <v>1655</v>
      </c>
      <c r="F834" t="str">
        <f>HYPERLINK("https://www.google.com/maps/search/?api=1&amp;query=24.77727932,46.8304126", "View Map")</f>
        <v>View Map</v>
      </c>
    </row>
    <row r="835" spans="1:6" x14ac:dyDescent="0.35">
      <c r="A835" t="s">
        <v>3196</v>
      </c>
      <c r="B835" t="s">
        <v>3197</v>
      </c>
      <c r="C835" t="s">
        <v>1776</v>
      </c>
      <c r="D835" t="s">
        <v>13</v>
      </c>
      <c r="E835">
        <v>1653</v>
      </c>
      <c r="F835" t="str">
        <f>HYPERLINK("https://www.google.com/maps/search/?api=1&amp;query=24.74185043,46.792993", "View Map")</f>
        <v>View Map</v>
      </c>
    </row>
    <row r="836" spans="1:6" x14ac:dyDescent="0.35">
      <c r="A836" t="s">
        <v>1798</v>
      </c>
      <c r="B836" t="s">
        <v>3198</v>
      </c>
      <c r="C836" t="s">
        <v>1776</v>
      </c>
      <c r="D836" t="s">
        <v>13</v>
      </c>
      <c r="E836">
        <v>1653</v>
      </c>
      <c r="F836" t="str">
        <f>HYPERLINK("https://www.google.com/maps/search/?api=1&amp;query=24.8373228,46.59367661", "View Map")</f>
        <v>View Map</v>
      </c>
    </row>
    <row r="837" spans="1:6" x14ac:dyDescent="0.35">
      <c r="A837" t="s">
        <v>3199</v>
      </c>
      <c r="B837" t="s">
        <v>3200</v>
      </c>
      <c r="C837" t="s">
        <v>1776</v>
      </c>
      <c r="D837" t="s">
        <v>13</v>
      </c>
      <c r="E837">
        <v>1652</v>
      </c>
      <c r="F837" t="str">
        <f>HYPERLINK("https://www.google.com/maps/search/?api=1&amp;query=24.79937955,46.69492821", "View Map")</f>
        <v>View Map</v>
      </c>
    </row>
    <row r="838" spans="1:6" x14ac:dyDescent="0.35">
      <c r="A838" t="s">
        <v>3201</v>
      </c>
      <c r="B838" t="s">
        <v>3202</v>
      </c>
      <c r="C838" t="s">
        <v>1776</v>
      </c>
      <c r="D838" t="s">
        <v>13</v>
      </c>
      <c r="E838">
        <v>1651</v>
      </c>
      <c r="F838" t="str">
        <f>HYPERLINK("https://www.google.com/maps/search/?api=1&amp;query=24.5950431,46.5771202", "View Map")</f>
        <v>View Map</v>
      </c>
    </row>
    <row r="839" spans="1:6" x14ac:dyDescent="0.35">
      <c r="A839" t="s">
        <v>3203</v>
      </c>
      <c r="B839" t="s">
        <v>3204</v>
      </c>
      <c r="C839" t="s">
        <v>1776</v>
      </c>
      <c r="D839" t="s">
        <v>13</v>
      </c>
      <c r="E839">
        <v>1651</v>
      </c>
      <c r="F839" t="str">
        <f>HYPERLINK("https://www.google.com/maps/search/?api=1&amp;query=24.74151523,46.81355322", "View Map")</f>
        <v>View Map</v>
      </c>
    </row>
    <row r="840" spans="1:6" x14ac:dyDescent="0.35">
      <c r="A840" t="s">
        <v>1947</v>
      </c>
      <c r="B840" t="s">
        <v>3205</v>
      </c>
      <c r="C840" t="s">
        <v>1776</v>
      </c>
      <c r="D840" t="s">
        <v>13</v>
      </c>
      <c r="E840">
        <v>1649</v>
      </c>
      <c r="F840" t="str">
        <f>HYPERLINK("https://www.google.com/maps/search/?api=1&amp;query=24.57384886,46.71337917", "View Map")</f>
        <v>View Map</v>
      </c>
    </row>
    <row r="841" spans="1:6" x14ac:dyDescent="0.35">
      <c r="A841" t="s">
        <v>1798</v>
      </c>
      <c r="B841" t="s">
        <v>3206</v>
      </c>
      <c r="C841" t="s">
        <v>1776</v>
      </c>
      <c r="D841" t="s">
        <v>13</v>
      </c>
      <c r="E841">
        <v>1647</v>
      </c>
      <c r="F841" t="str">
        <f>HYPERLINK("https://www.google.com/maps/search/?api=1&amp;query=24.8839,46.6358", "View Map")</f>
        <v>View Map</v>
      </c>
    </row>
    <row r="842" spans="1:6" x14ac:dyDescent="0.35">
      <c r="A842" t="s">
        <v>3207</v>
      </c>
      <c r="B842" t="s">
        <v>3208</v>
      </c>
      <c r="C842" t="s">
        <v>1776</v>
      </c>
      <c r="D842" t="s">
        <v>13</v>
      </c>
      <c r="E842">
        <v>1646</v>
      </c>
      <c r="F842" t="str">
        <f>HYPERLINK("https://www.google.com/maps/search/?api=1&amp;query=24.63736913,46.55090118", "View Map")</f>
        <v>View Map</v>
      </c>
    </row>
    <row r="843" spans="1:6" x14ac:dyDescent="0.35">
      <c r="A843" t="s">
        <v>3209</v>
      </c>
      <c r="B843" t="s">
        <v>3210</v>
      </c>
      <c r="C843" t="s">
        <v>1776</v>
      </c>
      <c r="D843" t="s">
        <v>13</v>
      </c>
      <c r="E843">
        <v>1646</v>
      </c>
      <c r="F843" t="str">
        <f>HYPERLINK("https://www.google.com/maps/search/?api=1&amp;query=24.71509161,46.78822783", "View Map")</f>
        <v>View Map</v>
      </c>
    </row>
    <row r="844" spans="1:6" x14ac:dyDescent="0.35">
      <c r="A844" t="s">
        <v>3211</v>
      </c>
      <c r="B844" t="s">
        <v>3212</v>
      </c>
      <c r="C844" t="s">
        <v>1776</v>
      </c>
      <c r="D844" t="s">
        <v>13</v>
      </c>
      <c r="E844">
        <v>1646</v>
      </c>
      <c r="F844" t="str">
        <f>HYPERLINK("https://www.google.com/maps/search/?api=1&amp;query=24.75578177,46.74512079", "View Map")</f>
        <v>View Map</v>
      </c>
    </row>
    <row r="845" spans="1:6" x14ac:dyDescent="0.35">
      <c r="A845" t="s">
        <v>3213</v>
      </c>
      <c r="B845" t="s">
        <v>3214</v>
      </c>
      <c r="C845" t="s">
        <v>1776</v>
      </c>
      <c r="D845" t="s">
        <v>13</v>
      </c>
      <c r="E845">
        <v>1646</v>
      </c>
      <c r="F845" t="str">
        <f>HYPERLINK("https://www.google.com/maps/search/?api=1&amp;query=24.78142229,46.71765395", "View Map")</f>
        <v>View Map</v>
      </c>
    </row>
    <row r="846" spans="1:6" x14ac:dyDescent="0.35">
      <c r="A846" t="s">
        <v>1947</v>
      </c>
      <c r="B846" t="s">
        <v>3215</v>
      </c>
      <c r="C846" t="s">
        <v>1776</v>
      </c>
      <c r="D846" t="s">
        <v>13</v>
      </c>
      <c r="E846">
        <v>1642</v>
      </c>
      <c r="F846" t="str">
        <f>HYPERLINK("https://www.google.com/maps/search/?api=1&amp;query=24.51901915,46.6729652", "View Map")</f>
        <v>View Map</v>
      </c>
    </row>
    <row r="847" spans="1:6" x14ac:dyDescent="0.35">
      <c r="A847" t="s">
        <v>3216</v>
      </c>
      <c r="B847" t="s">
        <v>3217</v>
      </c>
      <c r="C847" t="s">
        <v>1776</v>
      </c>
      <c r="D847" t="s">
        <v>13</v>
      </c>
      <c r="E847">
        <v>1641</v>
      </c>
      <c r="F847" t="str">
        <f>HYPERLINK("https://www.google.com/maps/search/?api=1&amp;query=24.57478232,46.54426344", "View Map")</f>
        <v>View Map</v>
      </c>
    </row>
    <row r="848" spans="1:6" x14ac:dyDescent="0.35">
      <c r="A848" t="s">
        <v>1798</v>
      </c>
      <c r="B848" t="s">
        <v>3218</v>
      </c>
      <c r="C848" t="s">
        <v>1776</v>
      </c>
      <c r="D848" t="s">
        <v>9</v>
      </c>
      <c r="E848">
        <v>1641</v>
      </c>
      <c r="F848" t="str">
        <f>HYPERLINK("https://www.google.com/maps/search/?api=1&amp;query=24.806819,46.82055937", "View Map")</f>
        <v>View Map</v>
      </c>
    </row>
    <row r="849" spans="1:6" x14ac:dyDescent="0.35">
      <c r="A849" t="s">
        <v>1798</v>
      </c>
      <c r="B849" t="s">
        <v>3219</v>
      </c>
      <c r="C849" t="s">
        <v>1776</v>
      </c>
      <c r="D849" t="s">
        <v>13</v>
      </c>
      <c r="E849">
        <v>1640</v>
      </c>
      <c r="F849" t="str">
        <f>HYPERLINK("https://www.google.com/maps/search/?api=1&amp;query=24.64570349,46.77105869", "View Map")</f>
        <v>View Map</v>
      </c>
    </row>
    <row r="850" spans="1:6" x14ac:dyDescent="0.35">
      <c r="A850" t="s">
        <v>1798</v>
      </c>
      <c r="B850" t="s">
        <v>3220</v>
      </c>
      <c r="C850" t="s">
        <v>1776</v>
      </c>
      <c r="D850" t="s">
        <v>13</v>
      </c>
      <c r="E850">
        <v>1638</v>
      </c>
      <c r="F850" t="str">
        <f>HYPERLINK("https://www.google.com/maps/search/?api=1&amp;query=24.8261,46.6792", "View Map")</f>
        <v>View Map</v>
      </c>
    </row>
    <row r="851" spans="1:6" x14ac:dyDescent="0.35">
      <c r="A851" t="s">
        <v>1798</v>
      </c>
      <c r="B851" t="s">
        <v>3221</v>
      </c>
      <c r="C851" t="s">
        <v>1776</v>
      </c>
      <c r="D851" t="s">
        <v>13</v>
      </c>
      <c r="E851">
        <v>1636</v>
      </c>
      <c r="F851" t="str">
        <f>HYPERLINK("https://www.google.com/maps/search/?api=1&amp;query=24.63936591,46.48995104", "View Map")</f>
        <v>View Map</v>
      </c>
    </row>
    <row r="852" spans="1:6" x14ac:dyDescent="0.35">
      <c r="A852" t="s">
        <v>3222</v>
      </c>
      <c r="B852" t="s">
        <v>3223</v>
      </c>
      <c r="C852" t="s">
        <v>1776</v>
      </c>
      <c r="D852" t="s">
        <v>13</v>
      </c>
      <c r="E852">
        <v>1634</v>
      </c>
      <c r="F852" t="str">
        <f>HYPERLINK("https://www.google.com/maps/search/?api=1&amp;query=24.69049771,46.77193113", "View Map")</f>
        <v>View Map</v>
      </c>
    </row>
    <row r="853" spans="1:6" x14ac:dyDescent="0.35">
      <c r="A853" t="s">
        <v>1794</v>
      </c>
      <c r="B853" t="s">
        <v>3224</v>
      </c>
      <c r="C853" t="s">
        <v>1776</v>
      </c>
      <c r="D853" t="s">
        <v>13</v>
      </c>
      <c r="E853">
        <v>1634</v>
      </c>
      <c r="F853" t="str">
        <f>HYPERLINK("https://www.google.com/maps/search/?api=1&amp;query=24.60974482,46.75899631", "View Map")</f>
        <v>View Map</v>
      </c>
    </row>
    <row r="854" spans="1:6" x14ac:dyDescent="0.35">
      <c r="A854" t="s">
        <v>3071</v>
      </c>
      <c r="B854" t="s">
        <v>3225</v>
      </c>
      <c r="C854" t="s">
        <v>1776</v>
      </c>
      <c r="D854" t="s">
        <v>13</v>
      </c>
      <c r="E854">
        <v>1633</v>
      </c>
      <c r="F854" t="str">
        <f>HYPERLINK("https://www.google.com/maps/search/?api=1&amp;query=24.73878948,46.84631879", "View Map")</f>
        <v>View Map</v>
      </c>
    </row>
    <row r="855" spans="1:6" x14ac:dyDescent="0.35">
      <c r="A855" t="s">
        <v>3226</v>
      </c>
      <c r="B855" t="s">
        <v>3227</v>
      </c>
      <c r="C855" t="s">
        <v>1776</v>
      </c>
      <c r="D855" t="s">
        <v>13</v>
      </c>
      <c r="E855">
        <v>1633</v>
      </c>
      <c r="F855" t="str">
        <f>HYPERLINK("https://www.google.com/maps/search/?api=1&amp;query=24.79669619,46.85184418", "View Map")</f>
        <v>View Map</v>
      </c>
    </row>
    <row r="856" spans="1:6" x14ac:dyDescent="0.35">
      <c r="A856" t="s">
        <v>2620</v>
      </c>
      <c r="B856" t="s">
        <v>3228</v>
      </c>
      <c r="C856" t="s">
        <v>1776</v>
      </c>
      <c r="D856" t="s">
        <v>9</v>
      </c>
      <c r="E856">
        <v>1633</v>
      </c>
      <c r="F856" t="str">
        <f>HYPERLINK("https://www.google.com/maps/search/?api=1&amp;query=24.75823602,46.72582692", "View Map")</f>
        <v>View Map</v>
      </c>
    </row>
    <row r="857" spans="1:6" x14ac:dyDescent="0.35">
      <c r="A857" t="s">
        <v>1798</v>
      </c>
      <c r="B857" t="s">
        <v>3229</v>
      </c>
      <c r="C857" t="s">
        <v>1843</v>
      </c>
      <c r="D857" t="s">
        <v>13</v>
      </c>
      <c r="E857">
        <v>1632</v>
      </c>
      <c r="F857" t="str">
        <f>HYPERLINK("https://www.google.com/maps/search/?api=1&amp;query=24.82994564,46.5653247", "View Map")</f>
        <v>View Map</v>
      </c>
    </row>
    <row r="858" spans="1:6" x14ac:dyDescent="0.35">
      <c r="A858" t="s">
        <v>3230</v>
      </c>
      <c r="B858" t="s">
        <v>3231</v>
      </c>
      <c r="C858" t="s">
        <v>1776</v>
      </c>
      <c r="D858" t="s">
        <v>13</v>
      </c>
      <c r="E858">
        <v>1631</v>
      </c>
      <c r="F858" t="str">
        <f>HYPERLINK("https://www.google.com/maps/search/?api=1&amp;query=24.56559255,46.68669281", "View Map")</f>
        <v>View Map</v>
      </c>
    </row>
    <row r="859" spans="1:6" x14ac:dyDescent="0.35">
      <c r="A859" t="s">
        <v>2375</v>
      </c>
      <c r="B859" t="s">
        <v>3232</v>
      </c>
      <c r="C859" t="s">
        <v>1776</v>
      </c>
      <c r="D859" t="s">
        <v>13</v>
      </c>
      <c r="E859">
        <v>1629</v>
      </c>
      <c r="F859" t="str">
        <f>HYPERLINK("https://www.google.com/maps/search/?api=1&amp;query=24.76040933,46.80472769", "View Map")</f>
        <v>View Map</v>
      </c>
    </row>
    <row r="860" spans="1:6" x14ac:dyDescent="0.35">
      <c r="A860" t="s">
        <v>3233</v>
      </c>
      <c r="B860" t="s">
        <v>3234</v>
      </c>
      <c r="C860" t="s">
        <v>1776</v>
      </c>
      <c r="D860" t="s">
        <v>13</v>
      </c>
      <c r="E860">
        <v>1628</v>
      </c>
      <c r="F860" t="str">
        <f>HYPERLINK("https://www.google.com/maps/search/?api=1&amp;query=24.72898476,46.81507056", "View Map")</f>
        <v>View Map</v>
      </c>
    </row>
    <row r="861" spans="1:6" x14ac:dyDescent="0.35">
      <c r="A861" t="s">
        <v>3235</v>
      </c>
      <c r="B861" t="s">
        <v>3236</v>
      </c>
      <c r="C861" t="s">
        <v>1776</v>
      </c>
      <c r="D861" t="s">
        <v>13</v>
      </c>
      <c r="E861">
        <v>1628</v>
      </c>
      <c r="F861" t="str">
        <f>HYPERLINK("https://www.google.com/maps/search/?api=1&amp;query=24.60464948,46.63196645", "View Map")</f>
        <v>View Map</v>
      </c>
    </row>
    <row r="862" spans="1:6" x14ac:dyDescent="0.35">
      <c r="A862" t="s">
        <v>3237</v>
      </c>
      <c r="B862" t="s">
        <v>3238</v>
      </c>
      <c r="C862" t="s">
        <v>1776</v>
      </c>
      <c r="D862" t="s">
        <v>13</v>
      </c>
      <c r="E862">
        <v>1628</v>
      </c>
      <c r="F862" t="str">
        <f>HYPERLINK("https://www.google.com/maps/search/?api=1&amp;query=24.78295897,46.64679276", "View Map")</f>
        <v>View Map</v>
      </c>
    </row>
    <row r="863" spans="1:6" x14ac:dyDescent="0.35">
      <c r="A863" t="s">
        <v>1798</v>
      </c>
      <c r="B863" t="s">
        <v>3239</v>
      </c>
      <c r="C863" t="s">
        <v>1776</v>
      </c>
      <c r="D863" t="s">
        <v>13</v>
      </c>
      <c r="E863">
        <v>1625</v>
      </c>
      <c r="F863" t="str">
        <f>HYPERLINK("https://www.google.com/maps/search/?api=1&amp;query=24.84047586,46.632355", "View Map")</f>
        <v>View Map</v>
      </c>
    </row>
    <row r="864" spans="1:6" x14ac:dyDescent="0.35">
      <c r="A864" t="s">
        <v>1798</v>
      </c>
      <c r="B864" t="s">
        <v>3240</v>
      </c>
      <c r="C864" t="s">
        <v>1776</v>
      </c>
      <c r="D864" t="s">
        <v>13</v>
      </c>
      <c r="E864">
        <v>1624</v>
      </c>
      <c r="F864" t="str">
        <f>HYPERLINK("https://www.google.com/maps/search/?api=1&amp;query=24.92525789,46.82341566", "View Map")</f>
        <v>View Map</v>
      </c>
    </row>
    <row r="865" spans="1:6" x14ac:dyDescent="0.35">
      <c r="A865" t="s">
        <v>2178</v>
      </c>
      <c r="B865" t="s">
        <v>3241</v>
      </c>
      <c r="C865" t="s">
        <v>1843</v>
      </c>
      <c r="D865" t="s">
        <v>13</v>
      </c>
      <c r="E865">
        <v>1623</v>
      </c>
      <c r="F865" t="str">
        <f>HYPERLINK("https://www.google.com/maps/search/?api=1&amp;query=24.74331904,46.57984013", "View Map")</f>
        <v>View Map</v>
      </c>
    </row>
    <row r="866" spans="1:6" x14ac:dyDescent="0.35">
      <c r="A866" t="s">
        <v>3242</v>
      </c>
      <c r="B866" t="s">
        <v>3243</v>
      </c>
      <c r="C866" t="s">
        <v>1776</v>
      </c>
      <c r="D866" t="s">
        <v>13</v>
      </c>
      <c r="E866">
        <v>1621</v>
      </c>
      <c r="F866" t="str">
        <f>HYPERLINK("https://www.google.com/maps/search/?api=1&amp;query=24.52840106,46.70179337", "View Map")</f>
        <v>View Map</v>
      </c>
    </row>
    <row r="867" spans="1:6" x14ac:dyDescent="0.35">
      <c r="A867" t="s">
        <v>1798</v>
      </c>
      <c r="B867" t="s">
        <v>3244</v>
      </c>
      <c r="C867" t="s">
        <v>1776</v>
      </c>
      <c r="D867" t="s">
        <v>13</v>
      </c>
      <c r="E867">
        <v>1620</v>
      </c>
      <c r="F867" t="str">
        <f>HYPERLINK("https://www.google.com/maps/search/?api=1&amp;query=24.5596323,46.8080934", "View Map")</f>
        <v>View Map</v>
      </c>
    </row>
    <row r="868" spans="1:6" x14ac:dyDescent="0.35">
      <c r="A868" t="s">
        <v>3245</v>
      </c>
      <c r="B868" t="s">
        <v>3246</v>
      </c>
      <c r="C868" t="s">
        <v>1776</v>
      </c>
      <c r="D868" t="s">
        <v>13</v>
      </c>
      <c r="E868">
        <v>1620</v>
      </c>
      <c r="F868" t="str">
        <f>HYPERLINK("https://www.google.com/maps/search/?api=1&amp;query=24.68129367,46.80878535", "View Map")</f>
        <v>View Map</v>
      </c>
    </row>
    <row r="869" spans="1:6" x14ac:dyDescent="0.35">
      <c r="A869" t="s">
        <v>3247</v>
      </c>
      <c r="B869" t="s">
        <v>3248</v>
      </c>
      <c r="C869" t="s">
        <v>1776</v>
      </c>
      <c r="D869" t="s">
        <v>13</v>
      </c>
      <c r="E869">
        <v>1619</v>
      </c>
      <c r="F869" t="str">
        <f>HYPERLINK("https://www.google.com/maps/search/?api=1&amp;query=24.80938896,46.68705046", "View Map")</f>
        <v>View Map</v>
      </c>
    </row>
    <row r="870" spans="1:6" x14ac:dyDescent="0.35">
      <c r="A870" t="s">
        <v>1798</v>
      </c>
      <c r="B870" t="s">
        <v>3249</v>
      </c>
      <c r="C870" t="s">
        <v>1776</v>
      </c>
      <c r="D870" t="s">
        <v>13</v>
      </c>
      <c r="E870">
        <v>1619</v>
      </c>
      <c r="F870" t="str">
        <f>HYPERLINK("https://www.google.com/maps/search/?api=1&amp;query=24.86585165,46.67032626", "View Map")</f>
        <v>View Map</v>
      </c>
    </row>
    <row r="871" spans="1:6" x14ac:dyDescent="0.35">
      <c r="A871" t="s">
        <v>3250</v>
      </c>
      <c r="B871" t="s">
        <v>3251</v>
      </c>
      <c r="C871" t="s">
        <v>1776</v>
      </c>
      <c r="D871" t="s">
        <v>13</v>
      </c>
      <c r="E871">
        <v>1618</v>
      </c>
      <c r="F871" t="str">
        <f>HYPERLINK("https://www.google.com/maps/search/?api=1&amp;query=24.73949871,46.65047424", "View Map")</f>
        <v>View Map</v>
      </c>
    </row>
    <row r="872" spans="1:6" x14ac:dyDescent="0.35">
      <c r="A872" t="s">
        <v>3252</v>
      </c>
      <c r="B872" t="s">
        <v>3253</v>
      </c>
      <c r="C872" t="s">
        <v>1776</v>
      </c>
      <c r="D872" t="s">
        <v>13</v>
      </c>
      <c r="E872">
        <v>1616</v>
      </c>
      <c r="F872" t="str">
        <f>HYPERLINK("https://www.google.com/maps/search/?api=1&amp;query=24.66026452,46.79987258", "View Map")</f>
        <v>View Map</v>
      </c>
    </row>
    <row r="873" spans="1:6" x14ac:dyDescent="0.35">
      <c r="A873" t="s">
        <v>3254</v>
      </c>
      <c r="B873" t="s">
        <v>3255</v>
      </c>
      <c r="C873" t="s">
        <v>1776</v>
      </c>
      <c r="D873" t="s">
        <v>13</v>
      </c>
      <c r="E873">
        <v>1615</v>
      </c>
      <c r="F873" t="str">
        <f>HYPERLINK("https://www.google.com/maps/search/?api=1&amp;query=24.78854595,46.65750142", "View Map")</f>
        <v>View Map</v>
      </c>
    </row>
    <row r="874" spans="1:6" x14ac:dyDescent="0.35">
      <c r="A874" t="s">
        <v>3256</v>
      </c>
      <c r="B874" t="s">
        <v>3257</v>
      </c>
      <c r="C874" t="s">
        <v>1776</v>
      </c>
      <c r="D874" t="s">
        <v>13</v>
      </c>
      <c r="E874">
        <v>1615</v>
      </c>
      <c r="F874" t="str">
        <f>HYPERLINK("https://www.google.com/maps/search/?api=1&amp;query=24.74552817,46.83964266", "View Map")</f>
        <v>View Map</v>
      </c>
    </row>
    <row r="875" spans="1:6" x14ac:dyDescent="0.35">
      <c r="A875" t="s">
        <v>1798</v>
      </c>
      <c r="B875" t="s">
        <v>3258</v>
      </c>
      <c r="C875" t="s">
        <v>1776</v>
      </c>
      <c r="D875" t="s">
        <v>13</v>
      </c>
      <c r="E875">
        <v>1614</v>
      </c>
      <c r="F875" t="str">
        <f>HYPERLINK("https://www.google.com/maps/search/?api=1&amp;query=24.87773,46.60725", "View Map")</f>
        <v>View Map</v>
      </c>
    </row>
    <row r="876" spans="1:6" x14ac:dyDescent="0.35">
      <c r="A876" t="s">
        <v>2178</v>
      </c>
      <c r="B876" t="s">
        <v>3259</v>
      </c>
      <c r="C876" t="s">
        <v>1776</v>
      </c>
      <c r="D876" t="s">
        <v>13</v>
      </c>
      <c r="E876">
        <v>1612</v>
      </c>
      <c r="F876" t="str">
        <f>HYPERLINK("https://www.google.com/maps/search/?api=1&amp;query=24.63892197,46.61882601", "View Map")</f>
        <v>View Map</v>
      </c>
    </row>
    <row r="877" spans="1:6" x14ac:dyDescent="0.35">
      <c r="A877" t="s">
        <v>3260</v>
      </c>
      <c r="B877" t="s">
        <v>3261</v>
      </c>
      <c r="C877" t="s">
        <v>1776</v>
      </c>
      <c r="D877" t="s">
        <v>13</v>
      </c>
      <c r="E877">
        <v>1610</v>
      </c>
      <c r="F877" t="str">
        <f>HYPERLINK("https://www.google.com/maps/search/?api=1&amp;query=24.56168925,46.79831275", "View Map")</f>
        <v>View Map</v>
      </c>
    </row>
    <row r="878" spans="1:6" x14ac:dyDescent="0.35">
      <c r="A878" t="s">
        <v>2279</v>
      </c>
      <c r="B878" t="s">
        <v>3262</v>
      </c>
      <c r="C878" t="s">
        <v>1776</v>
      </c>
      <c r="D878" t="s">
        <v>13</v>
      </c>
      <c r="E878">
        <v>1608</v>
      </c>
      <c r="F878" t="str">
        <f>HYPERLINK("https://www.google.com/maps/search/?api=1&amp;query=24.754226,46.77333975", "View Map")</f>
        <v>View Map</v>
      </c>
    </row>
    <row r="879" spans="1:6" x14ac:dyDescent="0.35">
      <c r="A879" t="s">
        <v>3263</v>
      </c>
      <c r="B879" t="s">
        <v>3264</v>
      </c>
      <c r="C879" t="s">
        <v>1776</v>
      </c>
      <c r="D879" t="s">
        <v>13</v>
      </c>
      <c r="E879">
        <v>1607</v>
      </c>
      <c r="F879" t="str">
        <f>HYPERLINK("https://www.google.com/maps/search/?api=1&amp;query=24.76648616,46.78203754", "View Map")</f>
        <v>View Map</v>
      </c>
    </row>
    <row r="880" spans="1:6" x14ac:dyDescent="0.35">
      <c r="A880" t="s">
        <v>3265</v>
      </c>
      <c r="B880" t="s">
        <v>3266</v>
      </c>
      <c r="C880" t="s">
        <v>1776</v>
      </c>
      <c r="D880" t="s">
        <v>13</v>
      </c>
      <c r="E880">
        <v>1607</v>
      </c>
      <c r="F880" t="str">
        <f>HYPERLINK("https://www.google.com/maps/search/?api=1&amp;query=24.60057902,46.67514172", "View Map")</f>
        <v>View Map</v>
      </c>
    </row>
    <row r="881" spans="1:6" x14ac:dyDescent="0.35">
      <c r="A881" t="s">
        <v>3267</v>
      </c>
      <c r="B881" t="s">
        <v>3268</v>
      </c>
      <c r="C881" t="s">
        <v>1776</v>
      </c>
      <c r="D881" t="s">
        <v>13</v>
      </c>
      <c r="E881">
        <v>1602</v>
      </c>
      <c r="F881" t="str">
        <f>HYPERLINK("https://www.google.com/maps/search/?api=1&amp;query=24.79444339,46.67263107", "View Map")</f>
        <v>View Map</v>
      </c>
    </row>
    <row r="882" spans="1:6" x14ac:dyDescent="0.35">
      <c r="A882" t="s">
        <v>1947</v>
      </c>
      <c r="B882" t="s">
        <v>3269</v>
      </c>
      <c r="C882" t="s">
        <v>1776</v>
      </c>
      <c r="D882" t="s">
        <v>13</v>
      </c>
      <c r="E882">
        <v>1602</v>
      </c>
      <c r="F882" t="str">
        <f>HYPERLINK("https://www.google.com/maps/search/?api=1&amp;query=24.54906702,46.57560674", "View Map")</f>
        <v>View Map</v>
      </c>
    </row>
    <row r="883" spans="1:6" x14ac:dyDescent="0.35">
      <c r="A883" t="s">
        <v>1798</v>
      </c>
      <c r="B883" t="s">
        <v>3270</v>
      </c>
      <c r="C883" t="s">
        <v>1776</v>
      </c>
      <c r="D883" t="s">
        <v>13</v>
      </c>
      <c r="E883">
        <v>1601</v>
      </c>
      <c r="F883" t="str">
        <f>HYPERLINK("https://www.google.com/maps/search/?api=1&amp;query=24.61947042,46.83782531", "View Map")</f>
        <v>View Map</v>
      </c>
    </row>
    <row r="884" spans="1:6" x14ac:dyDescent="0.35">
      <c r="A884" t="s">
        <v>3271</v>
      </c>
      <c r="B884" t="s">
        <v>3272</v>
      </c>
      <c r="C884" t="s">
        <v>1776</v>
      </c>
      <c r="D884" t="s">
        <v>13</v>
      </c>
      <c r="E884">
        <v>1601</v>
      </c>
      <c r="F884" t="str">
        <f>HYPERLINK("https://www.google.com/maps/search/?api=1&amp;query=24.75013626,46.71003316", "View Map")</f>
        <v>View Map</v>
      </c>
    </row>
    <row r="885" spans="1:6" x14ac:dyDescent="0.35">
      <c r="A885" t="s">
        <v>3273</v>
      </c>
      <c r="B885" t="s">
        <v>3274</v>
      </c>
      <c r="C885" t="s">
        <v>1843</v>
      </c>
      <c r="D885" t="s">
        <v>13</v>
      </c>
      <c r="E885">
        <v>1601</v>
      </c>
      <c r="F885" t="str">
        <f>HYPERLINK("https://www.google.com/maps/search/?api=1&amp;query=24.74095,46.57136", "View Map")</f>
        <v>View Map</v>
      </c>
    </row>
    <row r="886" spans="1:6" x14ac:dyDescent="0.35">
      <c r="A886" t="s">
        <v>3275</v>
      </c>
      <c r="B886" t="s">
        <v>3276</v>
      </c>
      <c r="C886" t="s">
        <v>1776</v>
      </c>
      <c r="D886" t="s">
        <v>13</v>
      </c>
      <c r="E886">
        <v>1599</v>
      </c>
      <c r="F886" t="str">
        <f>HYPERLINK("https://www.google.com/maps/search/?api=1&amp;query=24.5363744,46.64409573", "View Map")</f>
        <v>View Map</v>
      </c>
    </row>
    <row r="887" spans="1:6" x14ac:dyDescent="0.35">
      <c r="A887" t="s">
        <v>3277</v>
      </c>
      <c r="B887" t="s">
        <v>3278</v>
      </c>
      <c r="C887" t="s">
        <v>1776</v>
      </c>
      <c r="D887" t="s">
        <v>13</v>
      </c>
      <c r="E887">
        <v>1598</v>
      </c>
      <c r="F887" t="str">
        <f>HYPERLINK("https://www.google.com/maps/search/?api=1&amp;query=24.73645164,46.64181861", "View Map")</f>
        <v>View Map</v>
      </c>
    </row>
    <row r="888" spans="1:6" x14ac:dyDescent="0.35">
      <c r="A888" t="s">
        <v>1798</v>
      </c>
      <c r="B888" t="s">
        <v>3279</v>
      </c>
      <c r="C888" t="s">
        <v>1776</v>
      </c>
      <c r="D888" t="s">
        <v>13</v>
      </c>
      <c r="E888">
        <v>1597</v>
      </c>
      <c r="F888" t="str">
        <f>HYPERLINK("https://www.google.com/maps/search/?api=1&amp;query=24.83501,46.59884", "View Map")</f>
        <v>View Map</v>
      </c>
    </row>
    <row r="889" spans="1:6" x14ac:dyDescent="0.35">
      <c r="A889" t="s">
        <v>3280</v>
      </c>
      <c r="B889" t="s">
        <v>3281</v>
      </c>
      <c r="C889" t="s">
        <v>1776</v>
      </c>
      <c r="D889" t="s">
        <v>13</v>
      </c>
      <c r="E889">
        <v>1597</v>
      </c>
      <c r="F889" t="str">
        <f>HYPERLINK("https://www.google.com/maps/search/?api=1&amp;query=24.65144119,46.57818116", "View Map")</f>
        <v>View Map</v>
      </c>
    </row>
    <row r="890" spans="1:6" x14ac:dyDescent="0.35">
      <c r="A890" t="s">
        <v>3282</v>
      </c>
      <c r="B890" t="s">
        <v>3283</v>
      </c>
      <c r="C890" t="s">
        <v>1776</v>
      </c>
      <c r="D890" t="s">
        <v>13</v>
      </c>
      <c r="E890">
        <v>1596</v>
      </c>
      <c r="F890" t="str">
        <f>HYPERLINK("https://www.google.com/maps/search/?api=1&amp;query=24.68583329,46.80294072", "View Map")</f>
        <v>View Map</v>
      </c>
    </row>
    <row r="891" spans="1:6" x14ac:dyDescent="0.35">
      <c r="A891" t="s">
        <v>3284</v>
      </c>
      <c r="B891" t="s">
        <v>3285</v>
      </c>
      <c r="C891" t="s">
        <v>1776</v>
      </c>
      <c r="D891" t="s">
        <v>13</v>
      </c>
      <c r="E891">
        <v>1595</v>
      </c>
      <c r="F891" t="str">
        <f>HYPERLINK("https://www.google.com/maps/search/?api=1&amp;query=24.64145838,46.72166231", "View Map")</f>
        <v>View Map</v>
      </c>
    </row>
    <row r="892" spans="1:6" x14ac:dyDescent="0.35">
      <c r="A892" t="s">
        <v>3286</v>
      </c>
      <c r="B892" t="s">
        <v>3287</v>
      </c>
      <c r="C892" t="s">
        <v>1776</v>
      </c>
      <c r="D892" t="s">
        <v>13</v>
      </c>
      <c r="E892">
        <v>1595</v>
      </c>
      <c r="F892" t="str">
        <f>HYPERLINK("https://www.google.com/maps/search/?api=1&amp;query=24.74132249,46.78830507", "View Map")</f>
        <v>View Map</v>
      </c>
    </row>
    <row r="893" spans="1:6" x14ac:dyDescent="0.35">
      <c r="A893" t="s">
        <v>1798</v>
      </c>
      <c r="B893" t="s">
        <v>3288</v>
      </c>
      <c r="C893" t="s">
        <v>1776</v>
      </c>
      <c r="D893" t="s">
        <v>13</v>
      </c>
      <c r="E893">
        <v>1592</v>
      </c>
      <c r="F893" t="str">
        <f>HYPERLINK("https://www.google.com/maps/search/?api=1&amp;query=24.76777355,46.74623896", "View Map")</f>
        <v>View Map</v>
      </c>
    </row>
    <row r="894" spans="1:6" x14ac:dyDescent="0.35">
      <c r="A894" t="s">
        <v>3289</v>
      </c>
      <c r="B894" t="s">
        <v>3290</v>
      </c>
      <c r="C894" t="s">
        <v>1776</v>
      </c>
      <c r="D894" t="s">
        <v>13</v>
      </c>
      <c r="E894">
        <v>1592</v>
      </c>
      <c r="F894" t="str">
        <f>HYPERLINK("https://www.google.com/maps/search/?api=1&amp;query=24.62920244,46.74461055", "View Map")</f>
        <v>View Map</v>
      </c>
    </row>
    <row r="895" spans="1:6" x14ac:dyDescent="0.35">
      <c r="A895" t="s">
        <v>3291</v>
      </c>
      <c r="B895" t="s">
        <v>3292</v>
      </c>
      <c r="C895" t="s">
        <v>1776</v>
      </c>
      <c r="D895" t="s">
        <v>13</v>
      </c>
      <c r="E895">
        <v>1589</v>
      </c>
      <c r="F895" t="str">
        <f>HYPERLINK("https://www.google.com/maps/search/?api=1&amp;query=24.69105104,46.60085528", "View Map")</f>
        <v>View Map</v>
      </c>
    </row>
    <row r="896" spans="1:6" x14ac:dyDescent="0.35">
      <c r="A896" t="s">
        <v>1798</v>
      </c>
      <c r="B896" t="s">
        <v>3293</v>
      </c>
      <c r="C896" t="s">
        <v>1776</v>
      </c>
      <c r="D896" t="s">
        <v>13</v>
      </c>
      <c r="E896">
        <v>1588</v>
      </c>
      <c r="F896" t="str">
        <f>HYPERLINK("https://www.google.com/maps/search/?api=1&amp;query=24.82820974,46.58653605", "View Map")</f>
        <v>View Map</v>
      </c>
    </row>
    <row r="897" spans="1:6" x14ac:dyDescent="0.35">
      <c r="A897" t="s">
        <v>1798</v>
      </c>
      <c r="B897" t="s">
        <v>3294</v>
      </c>
      <c r="C897" t="s">
        <v>1776</v>
      </c>
      <c r="D897" t="s">
        <v>13</v>
      </c>
      <c r="E897">
        <v>1588</v>
      </c>
      <c r="F897" t="str">
        <f>HYPERLINK("https://www.google.com/maps/search/?api=1&amp;query=24.6494479,46.76635901", "View Map")</f>
        <v>View Map</v>
      </c>
    </row>
    <row r="898" spans="1:6" x14ac:dyDescent="0.35">
      <c r="A898" t="s">
        <v>3295</v>
      </c>
      <c r="B898" t="s">
        <v>3296</v>
      </c>
      <c r="C898" t="s">
        <v>1776</v>
      </c>
      <c r="D898" t="s">
        <v>13</v>
      </c>
      <c r="E898">
        <v>1584</v>
      </c>
      <c r="F898" t="str">
        <f>HYPERLINK("https://www.google.com/maps/search/?api=1&amp;query=24.6729878,46.75500375", "View Map")</f>
        <v>View Map</v>
      </c>
    </row>
    <row r="899" spans="1:6" x14ac:dyDescent="0.35">
      <c r="A899" t="s">
        <v>606</v>
      </c>
      <c r="B899" t="s">
        <v>3297</v>
      </c>
      <c r="C899" t="s">
        <v>1776</v>
      </c>
      <c r="D899" t="s">
        <v>13</v>
      </c>
      <c r="E899">
        <v>1583</v>
      </c>
      <c r="F899" t="str">
        <f>HYPERLINK("https://www.google.com/maps/search/?api=1&amp;query=24.70482385,46.74874615", "View Map")</f>
        <v>View Map</v>
      </c>
    </row>
    <row r="900" spans="1:6" x14ac:dyDescent="0.35">
      <c r="A900" t="s">
        <v>438</v>
      </c>
      <c r="B900" t="s">
        <v>3298</v>
      </c>
      <c r="C900" t="s">
        <v>1776</v>
      </c>
      <c r="D900" t="s">
        <v>13</v>
      </c>
      <c r="E900">
        <v>1583</v>
      </c>
      <c r="F900" t="str">
        <f>HYPERLINK("https://www.google.com/maps/search/?api=1&amp;query=0.0,0.0", "View Map")</f>
        <v>View Map</v>
      </c>
    </row>
    <row r="901" spans="1:6" x14ac:dyDescent="0.35">
      <c r="A901" t="s">
        <v>3299</v>
      </c>
      <c r="B901" t="s">
        <v>3300</v>
      </c>
      <c r="C901" t="s">
        <v>1776</v>
      </c>
      <c r="D901" t="s">
        <v>9</v>
      </c>
      <c r="E901">
        <v>1578</v>
      </c>
      <c r="F901" t="str">
        <f>HYPERLINK("https://www.google.com/maps/search/?api=1&amp;query=24.64139568,46.84214511", "View Map")</f>
        <v>View Map</v>
      </c>
    </row>
    <row r="902" spans="1:6" x14ac:dyDescent="0.35">
      <c r="A902" t="s">
        <v>1798</v>
      </c>
      <c r="B902" t="s">
        <v>3301</v>
      </c>
      <c r="C902" t="s">
        <v>1776</v>
      </c>
      <c r="D902" t="s">
        <v>13</v>
      </c>
      <c r="E902">
        <v>1577</v>
      </c>
      <c r="F902" t="str">
        <f>HYPERLINK("https://www.google.com/maps/search/?api=1&amp;query=24.81797816,46.72120351", "View Map")</f>
        <v>View Map</v>
      </c>
    </row>
    <row r="903" spans="1:6" x14ac:dyDescent="0.35">
      <c r="A903" t="s">
        <v>3302</v>
      </c>
      <c r="B903" t="s">
        <v>3303</v>
      </c>
      <c r="C903" t="s">
        <v>1776</v>
      </c>
      <c r="D903" t="s">
        <v>13</v>
      </c>
      <c r="E903">
        <v>1576</v>
      </c>
      <c r="F903" t="str">
        <f>HYPERLINK("https://www.google.com/maps/search/?api=1&amp;query=24.63504009,46.71130222", "View Map")</f>
        <v>View Map</v>
      </c>
    </row>
    <row r="904" spans="1:6" x14ac:dyDescent="0.35">
      <c r="A904" t="s">
        <v>3304</v>
      </c>
      <c r="B904" t="s">
        <v>3305</v>
      </c>
      <c r="C904" t="s">
        <v>1776</v>
      </c>
      <c r="D904" t="s">
        <v>13</v>
      </c>
      <c r="E904">
        <v>1574</v>
      </c>
      <c r="F904" t="str">
        <f>HYPERLINK("https://www.google.com/maps/search/?api=1&amp;query=24.81886849,46.62444331", "View Map")</f>
        <v>View Map</v>
      </c>
    </row>
    <row r="905" spans="1:6" x14ac:dyDescent="0.35">
      <c r="A905" t="s">
        <v>3306</v>
      </c>
      <c r="B905" t="s">
        <v>3307</v>
      </c>
      <c r="C905" t="s">
        <v>1776</v>
      </c>
      <c r="D905" t="s">
        <v>13</v>
      </c>
      <c r="E905">
        <v>1574</v>
      </c>
      <c r="F905" t="str">
        <f>HYPERLINK("https://www.google.com/maps/search/?api=1&amp;query=24.67323691,46.58947592", "View Map")</f>
        <v>View Map</v>
      </c>
    </row>
    <row r="906" spans="1:6" x14ac:dyDescent="0.35">
      <c r="A906" t="s">
        <v>2144</v>
      </c>
      <c r="B906" t="s">
        <v>3308</v>
      </c>
      <c r="C906" t="s">
        <v>1776</v>
      </c>
      <c r="D906" t="s">
        <v>13</v>
      </c>
      <c r="E906">
        <v>1572</v>
      </c>
      <c r="F906" t="str">
        <f>HYPERLINK("https://www.google.com/maps/search/?api=1&amp;query=24.77706843,46.78446967", "View Map")</f>
        <v>View Map</v>
      </c>
    </row>
    <row r="907" spans="1:6" x14ac:dyDescent="0.35">
      <c r="A907" t="s">
        <v>3309</v>
      </c>
      <c r="B907" t="s">
        <v>3310</v>
      </c>
      <c r="C907" t="s">
        <v>1776</v>
      </c>
      <c r="D907" t="s">
        <v>13</v>
      </c>
      <c r="E907">
        <v>1570</v>
      </c>
      <c r="F907" t="str">
        <f>HYPERLINK("https://www.google.com/maps/search/?api=1&amp;query=24.80313311,46.81063206", "View Map")</f>
        <v>View Map</v>
      </c>
    </row>
    <row r="908" spans="1:6" x14ac:dyDescent="0.35">
      <c r="A908" t="s">
        <v>3311</v>
      </c>
      <c r="B908" t="s">
        <v>3312</v>
      </c>
      <c r="C908" t="s">
        <v>1776</v>
      </c>
      <c r="D908" t="s">
        <v>13</v>
      </c>
      <c r="E908">
        <v>1570</v>
      </c>
      <c r="F908" t="str">
        <f>HYPERLINK("https://www.google.com/maps/search/?api=1&amp;query=24.76065,46.73701", "View Map")</f>
        <v>View Map</v>
      </c>
    </row>
    <row r="909" spans="1:6" x14ac:dyDescent="0.35">
      <c r="A909" t="s">
        <v>3313</v>
      </c>
      <c r="B909" t="s">
        <v>3314</v>
      </c>
      <c r="C909" t="s">
        <v>1776</v>
      </c>
      <c r="D909" t="s">
        <v>9</v>
      </c>
      <c r="E909">
        <v>1569</v>
      </c>
      <c r="F909" t="str">
        <f>HYPERLINK("https://www.google.com/maps/search/?api=1&amp;query=24.66450296,46.70559509", "View Map")</f>
        <v>View Map</v>
      </c>
    </row>
    <row r="910" spans="1:6" x14ac:dyDescent="0.35">
      <c r="A910" t="s">
        <v>3165</v>
      </c>
      <c r="B910" t="s">
        <v>3315</v>
      </c>
      <c r="C910" t="s">
        <v>1776</v>
      </c>
      <c r="D910" t="s">
        <v>13</v>
      </c>
      <c r="E910">
        <v>1567</v>
      </c>
      <c r="F910" t="str">
        <f>HYPERLINK("https://www.google.com/maps/search/?api=1&amp;query=24.69238976,46.75732329", "View Map")</f>
        <v>View Map</v>
      </c>
    </row>
    <row r="911" spans="1:6" x14ac:dyDescent="0.35">
      <c r="A911" t="s">
        <v>1798</v>
      </c>
      <c r="B911" t="s">
        <v>3316</v>
      </c>
      <c r="C911" t="s">
        <v>1776</v>
      </c>
      <c r="D911" t="s">
        <v>13</v>
      </c>
      <c r="E911">
        <v>1567</v>
      </c>
      <c r="F911" t="str">
        <f>HYPERLINK("https://www.google.com/maps/search/?api=1&amp;query=24.8795,46.6381", "View Map")</f>
        <v>View Map</v>
      </c>
    </row>
    <row r="912" spans="1:6" x14ac:dyDescent="0.35">
      <c r="A912" t="s">
        <v>3317</v>
      </c>
      <c r="B912" t="s">
        <v>3318</v>
      </c>
      <c r="C912" t="s">
        <v>1776</v>
      </c>
      <c r="D912" t="s">
        <v>13</v>
      </c>
      <c r="E912">
        <v>1567</v>
      </c>
      <c r="F912" t="str">
        <f>HYPERLINK("https://www.google.com/maps/search/?api=1&amp;query=24.55190546,46.65689037", "View Map")</f>
        <v>View Map</v>
      </c>
    </row>
    <row r="913" spans="1:6" x14ac:dyDescent="0.35">
      <c r="A913" t="s">
        <v>1794</v>
      </c>
      <c r="B913" t="s">
        <v>3319</v>
      </c>
      <c r="C913" t="s">
        <v>1776</v>
      </c>
      <c r="D913" t="s">
        <v>13</v>
      </c>
      <c r="E913">
        <v>1565</v>
      </c>
      <c r="F913" t="str">
        <f>HYPERLINK("https://www.google.com/maps/search/?api=1&amp;query=24.80736,46.60096", "View Map")</f>
        <v>View Map</v>
      </c>
    </row>
    <row r="914" spans="1:6" x14ac:dyDescent="0.35">
      <c r="A914" t="s">
        <v>1798</v>
      </c>
      <c r="B914" t="s">
        <v>3320</v>
      </c>
      <c r="C914" t="s">
        <v>1776</v>
      </c>
      <c r="D914" t="s">
        <v>13</v>
      </c>
      <c r="E914">
        <v>1562</v>
      </c>
      <c r="F914" t="str">
        <f>HYPERLINK("https://www.google.com/maps/search/?api=1&amp;query=24.61595565,46.81474386", "View Map")</f>
        <v>View Map</v>
      </c>
    </row>
    <row r="915" spans="1:6" x14ac:dyDescent="0.35">
      <c r="A915" t="s">
        <v>2550</v>
      </c>
      <c r="B915" t="s">
        <v>3321</v>
      </c>
      <c r="C915" t="s">
        <v>1776</v>
      </c>
      <c r="D915" t="s">
        <v>13</v>
      </c>
      <c r="E915">
        <v>1562</v>
      </c>
      <c r="F915" t="str">
        <f>HYPERLINK("https://www.google.com/maps/search/?api=1&amp;query=24.69798989,46.71405306", "View Map")</f>
        <v>View Map</v>
      </c>
    </row>
    <row r="916" spans="1:6" x14ac:dyDescent="0.35">
      <c r="A916" t="s">
        <v>3322</v>
      </c>
      <c r="B916" t="s">
        <v>3323</v>
      </c>
      <c r="C916" t="s">
        <v>1776</v>
      </c>
      <c r="D916" t="s">
        <v>13</v>
      </c>
      <c r="E916">
        <v>1561</v>
      </c>
      <c r="F916" t="str">
        <f>HYPERLINK("https://www.google.com/maps/search/?api=1&amp;query=24.58311375,46.67311891", "View Map")</f>
        <v>View Map</v>
      </c>
    </row>
    <row r="917" spans="1:6" x14ac:dyDescent="0.35">
      <c r="A917" t="s">
        <v>3324</v>
      </c>
      <c r="B917" t="s">
        <v>3325</v>
      </c>
      <c r="C917" t="s">
        <v>1776</v>
      </c>
      <c r="D917" t="s">
        <v>13</v>
      </c>
      <c r="E917">
        <v>1560</v>
      </c>
      <c r="F917" t="str">
        <f>HYPERLINK("https://www.google.com/maps/search/?api=1&amp;query=24.62634393,46.79037156", "View Map")</f>
        <v>View Map</v>
      </c>
    </row>
    <row r="918" spans="1:6" x14ac:dyDescent="0.35">
      <c r="A918" t="s">
        <v>3326</v>
      </c>
      <c r="B918" t="s">
        <v>3327</v>
      </c>
      <c r="C918" t="s">
        <v>1776</v>
      </c>
      <c r="D918" t="s">
        <v>13</v>
      </c>
      <c r="E918">
        <v>1560</v>
      </c>
      <c r="F918" t="str">
        <f>HYPERLINK("https://www.google.com/maps/search/?api=1&amp;query=24.77294,46.71946", "View Map")</f>
        <v>View Map</v>
      </c>
    </row>
    <row r="919" spans="1:6" x14ac:dyDescent="0.35">
      <c r="A919" t="s">
        <v>3328</v>
      </c>
      <c r="B919" t="s">
        <v>3329</v>
      </c>
      <c r="C919" t="s">
        <v>1776</v>
      </c>
      <c r="D919" t="s">
        <v>13</v>
      </c>
      <c r="E919">
        <v>1560</v>
      </c>
      <c r="F919" t="str">
        <f>HYPERLINK("https://www.google.com/maps/search/?api=1&amp;query=24.710044,46.61807074", "View Map")</f>
        <v>View Map</v>
      </c>
    </row>
    <row r="920" spans="1:6" x14ac:dyDescent="0.35">
      <c r="A920" t="s">
        <v>3330</v>
      </c>
      <c r="B920" t="s">
        <v>3331</v>
      </c>
      <c r="C920" t="s">
        <v>1776</v>
      </c>
      <c r="D920" t="s">
        <v>13</v>
      </c>
      <c r="E920">
        <v>1559</v>
      </c>
      <c r="F920" t="str">
        <f>HYPERLINK("https://www.google.com/maps/search/?api=1&amp;query=24.81254218,46.77939426", "View Map")</f>
        <v>View Map</v>
      </c>
    </row>
    <row r="921" spans="1:6" x14ac:dyDescent="0.35">
      <c r="A921" t="s">
        <v>1798</v>
      </c>
      <c r="B921" t="s">
        <v>3332</v>
      </c>
      <c r="C921" t="s">
        <v>1776</v>
      </c>
      <c r="D921" t="s">
        <v>13</v>
      </c>
      <c r="E921">
        <v>1556</v>
      </c>
      <c r="F921" t="str">
        <f>HYPERLINK("https://www.google.com/maps/search/?api=1&amp;query=24.92525789,46.82341566", "View Map")</f>
        <v>View Map</v>
      </c>
    </row>
    <row r="922" spans="1:6" x14ac:dyDescent="0.35">
      <c r="A922" t="s">
        <v>3333</v>
      </c>
      <c r="B922" t="s">
        <v>3334</v>
      </c>
      <c r="C922" t="s">
        <v>1776</v>
      </c>
      <c r="D922" t="s">
        <v>13</v>
      </c>
      <c r="E922">
        <v>1555</v>
      </c>
      <c r="F922" t="str">
        <f>HYPERLINK("https://www.google.com/maps/search/?api=1&amp;query=24.73579043,46.85265709", "View Map")</f>
        <v>View Map</v>
      </c>
    </row>
    <row r="923" spans="1:6" x14ac:dyDescent="0.35">
      <c r="A923" t="s">
        <v>3335</v>
      </c>
      <c r="B923" t="s">
        <v>3336</v>
      </c>
      <c r="C923" t="s">
        <v>1776</v>
      </c>
      <c r="D923" t="s">
        <v>13</v>
      </c>
      <c r="E923">
        <v>1552</v>
      </c>
      <c r="F923" t="str">
        <f>HYPERLINK("https://www.google.com/maps/search/?api=1&amp;query=24.76800114,46.65045529", "View Map")</f>
        <v>View Map</v>
      </c>
    </row>
    <row r="924" spans="1:6" x14ac:dyDescent="0.35">
      <c r="A924" t="s">
        <v>3337</v>
      </c>
      <c r="B924" t="s">
        <v>3338</v>
      </c>
      <c r="C924" t="s">
        <v>1776</v>
      </c>
      <c r="D924" t="s">
        <v>13</v>
      </c>
      <c r="E924">
        <v>1550</v>
      </c>
      <c r="F924" t="str">
        <f>HYPERLINK("https://www.google.com/maps/search/?api=1&amp;query=24.6197,46.59", "View Map")</f>
        <v>View Map</v>
      </c>
    </row>
    <row r="925" spans="1:6" x14ac:dyDescent="0.35">
      <c r="A925" t="s">
        <v>3339</v>
      </c>
      <c r="B925" t="s">
        <v>3340</v>
      </c>
      <c r="C925" t="s">
        <v>1776</v>
      </c>
      <c r="D925" t="s">
        <v>13</v>
      </c>
      <c r="E925">
        <v>1550</v>
      </c>
      <c r="F925" t="str">
        <f>HYPERLINK("https://www.google.com/maps/search/?api=1&amp;query=24.79262182,46.62509763", "View Map")</f>
        <v>View Map</v>
      </c>
    </row>
    <row r="926" spans="1:6" x14ac:dyDescent="0.35">
      <c r="A926" t="s">
        <v>3341</v>
      </c>
      <c r="B926" t="s">
        <v>3342</v>
      </c>
      <c r="C926" t="s">
        <v>1776</v>
      </c>
      <c r="D926" t="s">
        <v>13</v>
      </c>
      <c r="E926">
        <v>1548</v>
      </c>
      <c r="F926" t="str">
        <f>HYPERLINK("https://www.google.com/maps/search/?api=1&amp;query=24.72195266,46.81280705", "View Map")</f>
        <v>View Map</v>
      </c>
    </row>
    <row r="927" spans="1:6" x14ac:dyDescent="0.35">
      <c r="A927" t="s">
        <v>3343</v>
      </c>
      <c r="B927" t="s">
        <v>3344</v>
      </c>
      <c r="C927" t="s">
        <v>1776</v>
      </c>
      <c r="D927" t="s">
        <v>13</v>
      </c>
      <c r="E927">
        <v>1547</v>
      </c>
      <c r="F927" t="str">
        <f>HYPERLINK("https://www.google.com/maps/search/?api=1&amp;query=24.75305819,46.8368532", "View Map")</f>
        <v>View Map</v>
      </c>
    </row>
    <row r="928" spans="1:6" x14ac:dyDescent="0.35">
      <c r="A928" t="s">
        <v>2375</v>
      </c>
      <c r="B928" t="s">
        <v>3345</v>
      </c>
      <c r="C928" t="s">
        <v>1776</v>
      </c>
      <c r="D928" t="s">
        <v>13</v>
      </c>
      <c r="E928">
        <v>1546</v>
      </c>
      <c r="F928" t="str">
        <f>HYPERLINK("https://www.google.com/maps/search/?api=1&amp;query=24.75402241,46.8084702", "View Map")</f>
        <v>View Map</v>
      </c>
    </row>
    <row r="929" spans="1:6" x14ac:dyDescent="0.35">
      <c r="A929" t="s">
        <v>3346</v>
      </c>
      <c r="B929" t="s">
        <v>3347</v>
      </c>
      <c r="C929" t="s">
        <v>1776</v>
      </c>
      <c r="D929" t="s">
        <v>13</v>
      </c>
      <c r="E929">
        <v>1546</v>
      </c>
      <c r="F929" t="str">
        <f>HYPERLINK("https://www.google.com/maps/search/?api=1&amp;query=24.79472957,46.87509731", "View Map")</f>
        <v>View Map</v>
      </c>
    </row>
    <row r="930" spans="1:6" x14ac:dyDescent="0.35">
      <c r="A930" t="s">
        <v>3348</v>
      </c>
      <c r="B930" t="s">
        <v>3349</v>
      </c>
      <c r="C930" t="s">
        <v>1776</v>
      </c>
      <c r="D930" t="s">
        <v>9</v>
      </c>
      <c r="E930">
        <v>1542</v>
      </c>
      <c r="F930" t="str">
        <f>HYPERLINK("https://www.google.com/maps/search/?api=1&amp;query=24.56885442,46.61709099", "View Map")</f>
        <v>View Map</v>
      </c>
    </row>
    <row r="931" spans="1:6" x14ac:dyDescent="0.35">
      <c r="A931" t="s">
        <v>1798</v>
      </c>
      <c r="B931" t="s">
        <v>3350</v>
      </c>
      <c r="C931" t="s">
        <v>1776</v>
      </c>
      <c r="D931" t="s">
        <v>13</v>
      </c>
      <c r="E931">
        <v>1541</v>
      </c>
      <c r="F931" t="str">
        <f>HYPERLINK("https://www.google.com/maps/search/?api=1&amp;query=24.88638,46.60249", "View Map")</f>
        <v>View Map</v>
      </c>
    </row>
    <row r="932" spans="1:6" x14ac:dyDescent="0.35">
      <c r="A932" t="s">
        <v>1794</v>
      </c>
      <c r="B932" t="s">
        <v>3351</v>
      </c>
      <c r="C932" t="s">
        <v>1776</v>
      </c>
      <c r="D932" t="s">
        <v>13</v>
      </c>
      <c r="E932">
        <v>1539</v>
      </c>
      <c r="F932" t="str">
        <f>HYPERLINK("https://www.google.com/maps/search/?api=1&amp;query=24.76508484,46.6821018", "View Map")</f>
        <v>View Map</v>
      </c>
    </row>
    <row r="933" spans="1:6" x14ac:dyDescent="0.35">
      <c r="A933" t="s">
        <v>3352</v>
      </c>
      <c r="B933" t="s">
        <v>3353</v>
      </c>
      <c r="C933" t="s">
        <v>1776</v>
      </c>
      <c r="D933" t="s">
        <v>13</v>
      </c>
      <c r="E933">
        <v>1537</v>
      </c>
      <c r="F933" t="str">
        <f>HYPERLINK("https://www.google.com/maps/search/?api=1&amp;query=24.6494479,46.76635901", "View Map")</f>
        <v>View Map</v>
      </c>
    </row>
    <row r="934" spans="1:6" x14ac:dyDescent="0.35">
      <c r="A934" t="s">
        <v>1976</v>
      </c>
      <c r="B934" t="s">
        <v>3354</v>
      </c>
      <c r="C934" t="s">
        <v>1776</v>
      </c>
      <c r="D934" t="s">
        <v>13</v>
      </c>
      <c r="E934">
        <v>1536</v>
      </c>
      <c r="F934" t="str">
        <f>HYPERLINK("https://www.google.com/maps/search/?api=1&amp;query=24.74873106,46.80280011", "View Map")</f>
        <v>View Map</v>
      </c>
    </row>
    <row r="935" spans="1:6" x14ac:dyDescent="0.35">
      <c r="A935" t="s">
        <v>3355</v>
      </c>
      <c r="B935" t="s">
        <v>3356</v>
      </c>
      <c r="C935" t="s">
        <v>1776</v>
      </c>
      <c r="D935" t="s">
        <v>13</v>
      </c>
      <c r="E935">
        <v>1535</v>
      </c>
      <c r="F935" t="str">
        <f>HYPERLINK("https://www.google.com/maps/search/?api=1&amp;query=24.79910457,46.76993008", "View Map")</f>
        <v>View Map</v>
      </c>
    </row>
    <row r="936" spans="1:6" x14ac:dyDescent="0.35">
      <c r="A936" t="s">
        <v>2296</v>
      </c>
      <c r="B936" t="s">
        <v>3357</v>
      </c>
      <c r="C936" t="s">
        <v>1776</v>
      </c>
      <c r="D936" t="s">
        <v>13</v>
      </c>
      <c r="E936">
        <v>1534</v>
      </c>
      <c r="F936" t="str">
        <f>HYPERLINK("https://www.google.com/maps/search/?api=1&amp;query=24.80761151,46.76343591", "View Map")</f>
        <v>View Map</v>
      </c>
    </row>
    <row r="937" spans="1:6" x14ac:dyDescent="0.35">
      <c r="A937" t="s">
        <v>3358</v>
      </c>
      <c r="B937" t="s">
        <v>3359</v>
      </c>
      <c r="C937" t="s">
        <v>1776</v>
      </c>
      <c r="D937" t="s">
        <v>13</v>
      </c>
      <c r="E937">
        <v>1530</v>
      </c>
      <c r="F937" t="str">
        <f>HYPERLINK("https://www.google.com/maps/search/?api=1&amp;query=24.57216899,46.66021177", "View Map")</f>
        <v>View Map</v>
      </c>
    </row>
    <row r="938" spans="1:6" x14ac:dyDescent="0.35">
      <c r="A938" t="s">
        <v>1798</v>
      </c>
      <c r="B938" t="s">
        <v>3360</v>
      </c>
      <c r="C938" t="s">
        <v>1776</v>
      </c>
      <c r="D938" t="s">
        <v>13</v>
      </c>
      <c r="E938">
        <v>1529</v>
      </c>
      <c r="F938" t="str">
        <f>HYPERLINK("https://www.google.com/maps/search/?api=1&amp;query=24.83368578,46.78245431", "View Map")</f>
        <v>View Map</v>
      </c>
    </row>
    <row r="939" spans="1:6" x14ac:dyDescent="0.35">
      <c r="A939" t="s">
        <v>3361</v>
      </c>
      <c r="B939" t="s">
        <v>3362</v>
      </c>
      <c r="C939" t="s">
        <v>1776</v>
      </c>
      <c r="D939" t="s">
        <v>13</v>
      </c>
      <c r="E939">
        <v>1527</v>
      </c>
      <c r="F939" t="str">
        <f>HYPERLINK("https://www.google.com/maps/search/?api=1&amp;query=24.6398036,46.71630179", "View Map")</f>
        <v>View Map</v>
      </c>
    </row>
    <row r="940" spans="1:6" x14ac:dyDescent="0.35">
      <c r="A940" t="s">
        <v>1794</v>
      </c>
      <c r="B940" t="s">
        <v>3363</v>
      </c>
      <c r="C940" t="s">
        <v>1776</v>
      </c>
      <c r="D940" t="s">
        <v>13</v>
      </c>
      <c r="E940">
        <v>1527</v>
      </c>
      <c r="F940" t="str">
        <f>HYPERLINK("https://www.google.com/maps/search/?api=1&amp;query=24.81286174,46.68884191", "View Map")</f>
        <v>View Map</v>
      </c>
    </row>
    <row r="941" spans="1:6" x14ac:dyDescent="0.35">
      <c r="A941" t="s">
        <v>3364</v>
      </c>
      <c r="B941" t="s">
        <v>3365</v>
      </c>
      <c r="C941" t="s">
        <v>1776</v>
      </c>
      <c r="D941" t="s">
        <v>13</v>
      </c>
      <c r="E941">
        <v>1526</v>
      </c>
      <c r="F941" t="str">
        <f>HYPERLINK("https://www.google.com/maps/search/?api=1&amp;query=24.54508074,46.6916449", "View Map")</f>
        <v>View Map</v>
      </c>
    </row>
    <row r="942" spans="1:6" x14ac:dyDescent="0.35">
      <c r="A942" t="s">
        <v>1798</v>
      </c>
      <c r="B942" t="s">
        <v>3366</v>
      </c>
      <c r="C942" t="s">
        <v>1776</v>
      </c>
      <c r="D942" t="s">
        <v>13</v>
      </c>
      <c r="E942">
        <v>1525</v>
      </c>
      <c r="F942" t="str">
        <f>HYPERLINK("https://www.google.com/maps/search/?api=1&amp;query=24.86567163,46.65031705", "View Map")</f>
        <v>View Map</v>
      </c>
    </row>
    <row r="943" spans="1:6" x14ac:dyDescent="0.35">
      <c r="A943" t="s">
        <v>1798</v>
      </c>
      <c r="B943" t="s">
        <v>3367</v>
      </c>
      <c r="C943" t="s">
        <v>1776</v>
      </c>
      <c r="D943" t="s">
        <v>13</v>
      </c>
      <c r="E943">
        <v>1519</v>
      </c>
      <c r="F943" t="str">
        <f>HYPERLINK("https://www.google.com/maps/search/?api=1&amp;query=24.83465468,46.66039893", "View Map")</f>
        <v>View Map</v>
      </c>
    </row>
    <row r="944" spans="1:6" x14ac:dyDescent="0.35">
      <c r="A944" t="s">
        <v>3368</v>
      </c>
      <c r="B944" t="s">
        <v>3369</v>
      </c>
      <c r="C944" t="s">
        <v>1776</v>
      </c>
      <c r="D944" t="s">
        <v>13</v>
      </c>
      <c r="E944">
        <v>1518</v>
      </c>
      <c r="F944" t="str">
        <f>HYPERLINK("https://www.google.com/maps/search/?api=1&amp;query=24.71551367,46.67279954", "View Map")</f>
        <v>View Map</v>
      </c>
    </row>
    <row r="945" spans="1:6" x14ac:dyDescent="0.35">
      <c r="A945" t="s">
        <v>3370</v>
      </c>
      <c r="B945" t="s">
        <v>3371</v>
      </c>
      <c r="C945" t="s">
        <v>1776</v>
      </c>
      <c r="D945" t="s">
        <v>13</v>
      </c>
      <c r="E945">
        <v>1517</v>
      </c>
      <c r="F945" t="str">
        <f>HYPERLINK("https://www.google.com/maps/search/?api=1&amp;query=24.75260202,46.63650499", "View Map")</f>
        <v>View Map</v>
      </c>
    </row>
    <row r="946" spans="1:6" x14ac:dyDescent="0.35">
      <c r="A946" t="s">
        <v>3372</v>
      </c>
      <c r="B946" t="s">
        <v>3373</v>
      </c>
      <c r="C946" t="s">
        <v>1776</v>
      </c>
      <c r="D946" t="s">
        <v>9</v>
      </c>
      <c r="E946">
        <v>1516</v>
      </c>
      <c r="F946" t="str">
        <f>HYPERLINK("https://www.google.com/maps/search/?api=1&amp;query=24.63406108,46.55279791", "View Map")</f>
        <v>View Map</v>
      </c>
    </row>
    <row r="947" spans="1:6" x14ac:dyDescent="0.35">
      <c r="A947" t="s">
        <v>1798</v>
      </c>
      <c r="B947" t="s">
        <v>3374</v>
      </c>
      <c r="C947" t="s">
        <v>1776</v>
      </c>
      <c r="D947" t="s">
        <v>13</v>
      </c>
      <c r="E947">
        <v>1513</v>
      </c>
      <c r="F947" t="str">
        <f>HYPERLINK("https://www.google.com/maps/search/?api=1&amp;query=24.80921122,46.67418771", "View Map")</f>
        <v>View Map</v>
      </c>
    </row>
    <row r="948" spans="1:6" x14ac:dyDescent="0.35">
      <c r="A948" t="s">
        <v>3375</v>
      </c>
      <c r="B948" t="s">
        <v>3376</v>
      </c>
      <c r="C948" t="s">
        <v>1776</v>
      </c>
      <c r="D948" t="s">
        <v>13</v>
      </c>
      <c r="E948">
        <v>1513</v>
      </c>
      <c r="F948" t="str">
        <f>HYPERLINK("https://www.google.com/maps/search/?api=1&amp;query=24.81733812,46.88340268", "View Map")</f>
        <v>View Map</v>
      </c>
    </row>
    <row r="949" spans="1:6" x14ac:dyDescent="0.35">
      <c r="A949" t="s">
        <v>3377</v>
      </c>
      <c r="B949" t="s">
        <v>3378</v>
      </c>
      <c r="C949" t="s">
        <v>1776</v>
      </c>
      <c r="D949" t="s">
        <v>13</v>
      </c>
      <c r="E949">
        <v>1512</v>
      </c>
      <c r="F949" t="str">
        <f>HYPERLINK("https://www.google.com/maps/search/?api=1&amp;query=24.5901523,46.77267602", "View Map")</f>
        <v>View Map</v>
      </c>
    </row>
    <row r="950" spans="1:6" x14ac:dyDescent="0.35">
      <c r="A950" t="s">
        <v>1798</v>
      </c>
      <c r="B950" t="s">
        <v>3379</v>
      </c>
      <c r="C950" t="s">
        <v>1776</v>
      </c>
      <c r="D950" t="s">
        <v>13</v>
      </c>
      <c r="E950">
        <v>1509</v>
      </c>
      <c r="F950" t="str">
        <f>HYPERLINK("https://www.google.com/maps/search/?api=1&amp;query=24.73900405,46.85128239", "View Map")</f>
        <v>View Map</v>
      </c>
    </row>
    <row r="951" spans="1:6" x14ac:dyDescent="0.35">
      <c r="A951" t="s">
        <v>1806</v>
      </c>
      <c r="B951" t="s">
        <v>3380</v>
      </c>
      <c r="C951" t="s">
        <v>1776</v>
      </c>
      <c r="D951" t="s">
        <v>13</v>
      </c>
      <c r="E951">
        <v>1509</v>
      </c>
      <c r="F951" t="str">
        <f>HYPERLINK("https://www.google.com/maps/search/?api=1&amp;query=24.81519369,46.74698505", "View Map")</f>
        <v>View Map</v>
      </c>
    </row>
    <row r="952" spans="1:6" x14ac:dyDescent="0.35">
      <c r="A952" t="s">
        <v>3381</v>
      </c>
      <c r="B952" t="s">
        <v>3382</v>
      </c>
      <c r="C952" t="s">
        <v>1776</v>
      </c>
      <c r="D952" t="s">
        <v>13</v>
      </c>
      <c r="E952">
        <v>1509</v>
      </c>
      <c r="F952" t="str">
        <f>HYPERLINK("https://www.google.com/maps/search/?api=1&amp;query=24.62391126,46.54828732", "View Map")</f>
        <v>View Map</v>
      </c>
    </row>
    <row r="953" spans="1:6" x14ac:dyDescent="0.35">
      <c r="A953" t="s">
        <v>3383</v>
      </c>
      <c r="B953" t="s">
        <v>3384</v>
      </c>
      <c r="C953" t="s">
        <v>1776</v>
      </c>
      <c r="D953" t="s">
        <v>13</v>
      </c>
      <c r="E953">
        <v>1509</v>
      </c>
      <c r="F953" t="str">
        <f>HYPERLINK("https://www.google.com/maps/search/?api=1&amp;query=24.69896691,46.8388006", "View Map")</f>
        <v>View Map</v>
      </c>
    </row>
    <row r="954" spans="1:6" x14ac:dyDescent="0.35">
      <c r="A954" t="s">
        <v>3385</v>
      </c>
      <c r="B954" t="s">
        <v>3386</v>
      </c>
      <c r="C954" t="s">
        <v>1776</v>
      </c>
      <c r="D954" t="s">
        <v>13</v>
      </c>
      <c r="E954">
        <v>1506</v>
      </c>
      <c r="F954" t="str">
        <f>HYPERLINK("https://www.google.com/maps/search/?api=1&amp;query=24.74253944,46.68709447", "View Map")</f>
        <v>View Map</v>
      </c>
    </row>
    <row r="955" spans="1:6" x14ac:dyDescent="0.35">
      <c r="A955" t="s">
        <v>3387</v>
      </c>
      <c r="B955" t="s">
        <v>3388</v>
      </c>
      <c r="C955" t="s">
        <v>1776</v>
      </c>
      <c r="D955" t="s">
        <v>13</v>
      </c>
      <c r="E955">
        <v>1503</v>
      </c>
      <c r="F955" t="str">
        <f>HYPERLINK("https://www.google.com/maps/search/?api=1&amp;query=24.73394748,46.76699091", "View Map")</f>
        <v>View Map</v>
      </c>
    </row>
    <row r="956" spans="1:6" x14ac:dyDescent="0.35">
      <c r="A956" t="s">
        <v>3389</v>
      </c>
      <c r="B956" t="s">
        <v>3390</v>
      </c>
      <c r="C956" t="s">
        <v>1776</v>
      </c>
      <c r="D956" t="s">
        <v>13</v>
      </c>
      <c r="E956">
        <v>1502</v>
      </c>
      <c r="F956" t="str">
        <f>HYPERLINK("https://www.google.com/maps/search/?api=1&amp;query=24.6896367,46.76720152", "View Map")</f>
        <v>View Map</v>
      </c>
    </row>
    <row r="957" spans="1:6" x14ac:dyDescent="0.35">
      <c r="A957" t="s">
        <v>2908</v>
      </c>
      <c r="B957" t="s">
        <v>3391</v>
      </c>
      <c r="C957" t="s">
        <v>1776</v>
      </c>
      <c r="D957" t="s">
        <v>13</v>
      </c>
      <c r="E957">
        <v>1501</v>
      </c>
      <c r="F957" t="str">
        <f>HYPERLINK("https://www.google.com/maps/search/?api=1&amp;query=24.74676686,46.77699915", "View Map")</f>
        <v>View Map</v>
      </c>
    </row>
    <row r="958" spans="1:6" x14ac:dyDescent="0.35">
      <c r="A958" t="s">
        <v>1947</v>
      </c>
      <c r="B958" t="s">
        <v>3392</v>
      </c>
      <c r="C958" t="s">
        <v>1776</v>
      </c>
      <c r="D958" t="s">
        <v>9</v>
      </c>
      <c r="E958">
        <v>1498</v>
      </c>
      <c r="F958" t="str">
        <f>HYPERLINK("https://www.google.com/maps/search/?api=1&amp;query=24.5736,46.5356", "View Map")</f>
        <v>View Map</v>
      </c>
    </row>
    <row r="959" spans="1:6" x14ac:dyDescent="0.35">
      <c r="A959" t="s">
        <v>3393</v>
      </c>
      <c r="B959" t="s">
        <v>3394</v>
      </c>
      <c r="C959" t="s">
        <v>1776</v>
      </c>
      <c r="D959" t="s">
        <v>13</v>
      </c>
      <c r="E959">
        <v>1498</v>
      </c>
      <c r="F959" t="str">
        <f>HYPERLINK("https://www.google.com/maps/search/?api=1&amp;query=24.69494106,46.78543914", "View Map")</f>
        <v>View Map</v>
      </c>
    </row>
    <row r="960" spans="1:6" x14ac:dyDescent="0.35">
      <c r="A960" t="s">
        <v>3395</v>
      </c>
      <c r="B960" t="s">
        <v>3396</v>
      </c>
      <c r="C960" t="s">
        <v>1776</v>
      </c>
      <c r="D960" t="s">
        <v>13</v>
      </c>
      <c r="E960">
        <v>1498</v>
      </c>
      <c r="F960" t="str">
        <f>HYPERLINK("https://www.google.com/maps/search/?api=1&amp;query=24.7912034,46.68409053", "View Map")</f>
        <v>View Map</v>
      </c>
    </row>
    <row r="961" spans="1:6" x14ac:dyDescent="0.35">
      <c r="A961" t="s">
        <v>3397</v>
      </c>
      <c r="B961" t="s">
        <v>3398</v>
      </c>
      <c r="C961" t="s">
        <v>1776</v>
      </c>
      <c r="D961" t="s">
        <v>13</v>
      </c>
      <c r="E961">
        <v>1497</v>
      </c>
      <c r="F961" t="str">
        <f>HYPERLINK("https://www.google.com/maps/search/?api=1&amp;query=24.76962761,46.76587473", "View Map")</f>
        <v>View Map</v>
      </c>
    </row>
    <row r="962" spans="1:6" x14ac:dyDescent="0.35">
      <c r="A962" t="s">
        <v>3399</v>
      </c>
      <c r="B962" t="s">
        <v>3400</v>
      </c>
      <c r="C962" t="s">
        <v>1776</v>
      </c>
      <c r="D962" t="s">
        <v>13</v>
      </c>
      <c r="E962">
        <v>1496</v>
      </c>
      <c r="F962" t="str">
        <f>HYPERLINK("https://www.google.com/maps/search/?api=1&amp;query=24.56863421,46.80182417", "View Map")</f>
        <v>View Map</v>
      </c>
    </row>
    <row r="963" spans="1:6" x14ac:dyDescent="0.35">
      <c r="A963" t="s">
        <v>1794</v>
      </c>
      <c r="B963" t="s">
        <v>3401</v>
      </c>
      <c r="C963" t="s">
        <v>1776</v>
      </c>
      <c r="D963" t="s">
        <v>13</v>
      </c>
      <c r="E963">
        <v>1496</v>
      </c>
      <c r="F963" t="str">
        <f>HYPERLINK("https://www.google.com/maps/search/?api=1&amp;query=24.82283085,46.59988485", "View Map")</f>
        <v>View Map</v>
      </c>
    </row>
    <row r="964" spans="1:6" x14ac:dyDescent="0.35">
      <c r="A964" t="s">
        <v>1798</v>
      </c>
      <c r="B964" t="s">
        <v>3402</v>
      </c>
      <c r="C964" t="s">
        <v>1776</v>
      </c>
      <c r="D964" t="s">
        <v>13</v>
      </c>
      <c r="E964">
        <v>1496</v>
      </c>
      <c r="F964" t="str">
        <f>HYPERLINK("https://www.google.com/maps/search/?api=1&amp;query=24.64724593,46.49726664", "View Map")</f>
        <v>View Map</v>
      </c>
    </row>
    <row r="965" spans="1:6" x14ac:dyDescent="0.35">
      <c r="A965" t="s">
        <v>2246</v>
      </c>
      <c r="B965" t="s">
        <v>3403</v>
      </c>
      <c r="C965" t="s">
        <v>1776</v>
      </c>
      <c r="D965" t="s">
        <v>13</v>
      </c>
      <c r="E965">
        <v>1495</v>
      </c>
      <c r="F965" t="str">
        <f>HYPERLINK("https://www.google.com/maps/search/?api=1&amp;query=24.71234783,46.77045046", "View Map")</f>
        <v>View Map</v>
      </c>
    </row>
    <row r="966" spans="1:6" x14ac:dyDescent="0.35">
      <c r="A966" t="s">
        <v>3404</v>
      </c>
      <c r="B966" t="s">
        <v>3405</v>
      </c>
      <c r="C966" t="s">
        <v>1776</v>
      </c>
      <c r="D966" t="s">
        <v>13</v>
      </c>
      <c r="E966">
        <v>1493</v>
      </c>
      <c r="F966" t="str">
        <f>HYPERLINK("https://www.google.com/maps/search/?api=1&amp;query=24.6907496,46.79423356", "View Map")</f>
        <v>View Map</v>
      </c>
    </row>
    <row r="967" spans="1:6" x14ac:dyDescent="0.35">
      <c r="A967" t="s">
        <v>3406</v>
      </c>
      <c r="B967" t="s">
        <v>3407</v>
      </c>
      <c r="C967" t="s">
        <v>1776</v>
      </c>
      <c r="D967" t="s">
        <v>13</v>
      </c>
      <c r="E967">
        <v>1492</v>
      </c>
      <c r="F967" t="str">
        <f>HYPERLINK("https://www.google.com/maps/search/?api=1&amp;query=24.6269,46.6867", "View Map")</f>
        <v>View Map</v>
      </c>
    </row>
    <row r="968" spans="1:6" x14ac:dyDescent="0.35">
      <c r="A968" t="s">
        <v>3408</v>
      </c>
      <c r="B968" t="s">
        <v>3409</v>
      </c>
      <c r="C968" t="s">
        <v>1776</v>
      </c>
      <c r="D968" t="s">
        <v>13</v>
      </c>
      <c r="E968">
        <v>1492</v>
      </c>
      <c r="F968" t="str">
        <f>HYPERLINK("https://www.google.com/maps/search/?api=1&amp;query=24.7328067,46.82586604", "View Map")</f>
        <v>View Map</v>
      </c>
    </row>
    <row r="969" spans="1:6" x14ac:dyDescent="0.35">
      <c r="A969" t="s">
        <v>3410</v>
      </c>
      <c r="B969" t="s">
        <v>3411</v>
      </c>
      <c r="C969" t="s">
        <v>1776</v>
      </c>
      <c r="D969" t="s">
        <v>13</v>
      </c>
      <c r="E969">
        <v>1489</v>
      </c>
      <c r="F969" t="str">
        <f>HYPERLINK("https://www.google.com/maps/search/?api=1&amp;query=24.58434024,46.63381265", "View Map")</f>
        <v>View Map</v>
      </c>
    </row>
    <row r="970" spans="1:6" x14ac:dyDescent="0.35">
      <c r="A970" t="s">
        <v>3412</v>
      </c>
      <c r="B970" t="s">
        <v>3413</v>
      </c>
      <c r="C970" t="s">
        <v>1843</v>
      </c>
      <c r="D970" t="s">
        <v>13</v>
      </c>
      <c r="E970">
        <v>1487</v>
      </c>
      <c r="F970" t="str">
        <f>HYPERLINK("https://www.google.com/maps/search/?api=1&amp;query=24.90454,46.38851", "View Map")</f>
        <v>View Map</v>
      </c>
    </row>
    <row r="971" spans="1:6" x14ac:dyDescent="0.35">
      <c r="A971" t="s">
        <v>1798</v>
      </c>
      <c r="B971" t="s">
        <v>3414</v>
      </c>
      <c r="C971" t="s">
        <v>1776</v>
      </c>
      <c r="D971" t="s">
        <v>13</v>
      </c>
      <c r="E971">
        <v>1487</v>
      </c>
      <c r="F971" t="str">
        <f>HYPERLINK("https://www.google.com/maps/search/?api=1&amp;query=24.59832019,46.77224332", "View Map")</f>
        <v>View Map</v>
      </c>
    </row>
    <row r="972" spans="1:6" x14ac:dyDescent="0.35">
      <c r="A972" t="s">
        <v>3415</v>
      </c>
      <c r="B972" t="s">
        <v>3416</v>
      </c>
      <c r="C972" t="s">
        <v>1776</v>
      </c>
      <c r="D972" t="s">
        <v>13</v>
      </c>
      <c r="E972">
        <v>1486</v>
      </c>
      <c r="F972" t="str">
        <f>HYPERLINK("https://www.google.com/maps/search/?api=1&amp;query=24.7248084,46.80294878", "View Map")</f>
        <v>View Map</v>
      </c>
    </row>
    <row r="973" spans="1:6" x14ac:dyDescent="0.35">
      <c r="A973" t="s">
        <v>3417</v>
      </c>
      <c r="B973" t="s">
        <v>3418</v>
      </c>
      <c r="C973" t="s">
        <v>1776</v>
      </c>
      <c r="D973" t="s">
        <v>13</v>
      </c>
      <c r="E973">
        <v>1485</v>
      </c>
      <c r="F973" t="str">
        <f>HYPERLINK("https://www.google.com/maps/search/?api=1&amp;query=24.7644474,46.67268185", "View Map")</f>
        <v>View Map</v>
      </c>
    </row>
    <row r="974" spans="1:6" x14ac:dyDescent="0.35">
      <c r="A974" t="s">
        <v>3419</v>
      </c>
      <c r="B974" t="s">
        <v>3420</v>
      </c>
      <c r="C974" t="s">
        <v>1776</v>
      </c>
      <c r="D974" t="s">
        <v>13</v>
      </c>
      <c r="E974">
        <v>1484</v>
      </c>
      <c r="F974" t="str">
        <f>HYPERLINK("https://www.google.com/maps/search/?api=1&amp;query=24.63137862,46.57013132", "View Map")</f>
        <v>View Map</v>
      </c>
    </row>
    <row r="975" spans="1:6" x14ac:dyDescent="0.35">
      <c r="A975" t="s">
        <v>3421</v>
      </c>
      <c r="B975" t="s">
        <v>3422</v>
      </c>
      <c r="C975" t="s">
        <v>1776</v>
      </c>
      <c r="D975" t="s">
        <v>13</v>
      </c>
      <c r="E975">
        <v>1484</v>
      </c>
      <c r="F975" t="str">
        <f>HYPERLINK("https://www.google.com/maps/search/?api=1&amp;query=24.720383,46.767455", "View Map")</f>
        <v>View Map</v>
      </c>
    </row>
    <row r="976" spans="1:6" x14ac:dyDescent="0.35">
      <c r="A976" t="s">
        <v>3423</v>
      </c>
      <c r="B976" t="s">
        <v>3424</v>
      </c>
      <c r="C976" t="s">
        <v>1843</v>
      </c>
      <c r="D976" t="s">
        <v>13</v>
      </c>
      <c r="E976">
        <v>1483</v>
      </c>
      <c r="F976" t="str">
        <f>HYPERLINK("https://www.google.com/maps/search/?api=1&amp;query=24.7567641,46.5746134", "View Map")</f>
        <v>View Map</v>
      </c>
    </row>
    <row r="977" spans="1:6" x14ac:dyDescent="0.35">
      <c r="A977" t="s">
        <v>3425</v>
      </c>
      <c r="B977" t="s">
        <v>3426</v>
      </c>
      <c r="C977" t="s">
        <v>1776</v>
      </c>
      <c r="D977" t="s">
        <v>13</v>
      </c>
      <c r="E977">
        <v>1483</v>
      </c>
      <c r="F977" t="str">
        <f>HYPERLINK("https://www.google.com/maps/search/?api=1&amp;query=24.66404451,46.78965257", "View Map")</f>
        <v>View Map</v>
      </c>
    </row>
    <row r="978" spans="1:6" x14ac:dyDescent="0.35">
      <c r="A978" t="s">
        <v>3427</v>
      </c>
      <c r="B978" t="s">
        <v>3428</v>
      </c>
      <c r="C978" t="s">
        <v>1776</v>
      </c>
      <c r="D978" t="s">
        <v>13</v>
      </c>
      <c r="E978">
        <v>1481</v>
      </c>
      <c r="F978" t="str">
        <f>HYPERLINK("https://www.google.com/maps/search/?api=1&amp;query=24.65742346,46.72664967", "View Map")</f>
        <v>View Map</v>
      </c>
    </row>
    <row r="979" spans="1:6" x14ac:dyDescent="0.35">
      <c r="A979" t="s">
        <v>3429</v>
      </c>
      <c r="B979" t="s">
        <v>3430</v>
      </c>
      <c r="C979" t="s">
        <v>1776</v>
      </c>
      <c r="D979" t="s">
        <v>13</v>
      </c>
      <c r="E979">
        <v>1481</v>
      </c>
      <c r="F979" t="str">
        <f>HYPERLINK("https://www.google.com/maps/search/?api=1&amp;query=24.66192178,46.79476876", "View Map")</f>
        <v>View Map</v>
      </c>
    </row>
    <row r="980" spans="1:6" x14ac:dyDescent="0.35">
      <c r="A980" t="s">
        <v>3431</v>
      </c>
      <c r="B980" t="s">
        <v>3432</v>
      </c>
      <c r="C980" t="s">
        <v>1776</v>
      </c>
      <c r="D980" t="s">
        <v>13</v>
      </c>
      <c r="E980">
        <v>1480</v>
      </c>
      <c r="F980" t="str">
        <f>HYPERLINK("https://www.google.com/maps/search/?api=1&amp;query=24.56846012,46.76360115", "View Map")</f>
        <v>View Map</v>
      </c>
    </row>
    <row r="981" spans="1:6" x14ac:dyDescent="0.35">
      <c r="A981" t="s">
        <v>3433</v>
      </c>
      <c r="B981" t="s">
        <v>3434</v>
      </c>
      <c r="C981" t="s">
        <v>1776</v>
      </c>
      <c r="D981" t="s">
        <v>13</v>
      </c>
      <c r="E981">
        <v>1479</v>
      </c>
      <c r="F981" t="str">
        <f>HYPERLINK("https://www.google.com/maps/search/?api=1&amp;query=24.6388695,46.79192884", "View Map")</f>
        <v>View Map</v>
      </c>
    </row>
    <row r="982" spans="1:6" x14ac:dyDescent="0.35">
      <c r="A982" t="s">
        <v>2490</v>
      </c>
      <c r="B982" t="s">
        <v>3435</v>
      </c>
      <c r="C982" t="s">
        <v>1776</v>
      </c>
      <c r="D982" t="s">
        <v>13</v>
      </c>
      <c r="E982">
        <v>1479</v>
      </c>
      <c r="F982" t="str">
        <f>HYPERLINK("https://www.google.com/maps/search/?api=1&amp;query=24.75684631,46.65556172", "View Map")</f>
        <v>View Map</v>
      </c>
    </row>
    <row r="983" spans="1:6" x14ac:dyDescent="0.35">
      <c r="A983" t="s">
        <v>3436</v>
      </c>
      <c r="B983" t="s">
        <v>3437</v>
      </c>
      <c r="C983" t="s">
        <v>1776</v>
      </c>
      <c r="D983" t="s">
        <v>13</v>
      </c>
      <c r="E983">
        <v>1477</v>
      </c>
      <c r="F983" t="str">
        <f>HYPERLINK("https://www.google.com/maps/search/?api=1&amp;query=24.76235781,46.70546629", "View Map")</f>
        <v>View Map</v>
      </c>
    </row>
    <row r="984" spans="1:6" x14ac:dyDescent="0.35">
      <c r="A984" t="s">
        <v>3438</v>
      </c>
      <c r="B984" t="s">
        <v>3439</v>
      </c>
      <c r="C984" t="s">
        <v>1776</v>
      </c>
      <c r="D984" t="s">
        <v>13</v>
      </c>
      <c r="E984">
        <v>1476</v>
      </c>
      <c r="F984" t="str">
        <f>HYPERLINK("https://www.google.com/maps/search/?api=1&amp;query=24.56681704,46.68363232", "View Map")</f>
        <v>View Map</v>
      </c>
    </row>
    <row r="985" spans="1:6" x14ac:dyDescent="0.35">
      <c r="A985" t="s">
        <v>1806</v>
      </c>
      <c r="B985" t="s">
        <v>3440</v>
      </c>
      <c r="C985" t="s">
        <v>1776</v>
      </c>
      <c r="D985" t="s">
        <v>13</v>
      </c>
      <c r="E985">
        <v>1474</v>
      </c>
      <c r="F985" t="str">
        <f>HYPERLINK("https://www.google.com/maps/search/?api=1&amp;query=24.68923446,46.57416266", "View Map")</f>
        <v>View Map</v>
      </c>
    </row>
    <row r="986" spans="1:6" x14ac:dyDescent="0.35">
      <c r="A986" t="s">
        <v>3441</v>
      </c>
      <c r="B986" t="s">
        <v>3442</v>
      </c>
      <c r="C986" t="s">
        <v>1776</v>
      </c>
      <c r="D986" t="s">
        <v>13</v>
      </c>
      <c r="E986">
        <v>1473</v>
      </c>
      <c r="F986" t="str">
        <f>HYPERLINK("https://www.google.com/maps/search/?api=1&amp;query=24.59675519,46.77607832", "View Map")</f>
        <v>View Map</v>
      </c>
    </row>
    <row r="987" spans="1:6" x14ac:dyDescent="0.35">
      <c r="A987" t="s">
        <v>2704</v>
      </c>
      <c r="B987" t="s">
        <v>3443</v>
      </c>
      <c r="C987" t="s">
        <v>1776</v>
      </c>
      <c r="D987" t="s">
        <v>13</v>
      </c>
      <c r="E987">
        <v>1473</v>
      </c>
      <c r="F987" t="str">
        <f>HYPERLINK("https://www.google.com/maps/search/?api=1&amp;query=24.73369854,46.78811198", "View Map")</f>
        <v>View Map</v>
      </c>
    </row>
    <row r="988" spans="1:6" x14ac:dyDescent="0.35">
      <c r="A988" t="s">
        <v>1798</v>
      </c>
      <c r="B988" t="s">
        <v>3444</v>
      </c>
      <c r="C988" t="s">
        <v>1776</v>
      </c>
      <c r="D988" t="s">
        <v>13</v>
      </c>
      <c r="E988">
        <v>1472</v>
      </c>
      <c r="F988" t="str">
        <f>HYPERLINK("https://www.google.com/maps/search/?api=1&amp;query=24.62140919,46.51406057", "View Map")</f>
        <v>View Map</v>
      </c>
    </row>
    <row r="989" spans="1:6" x14ac:dyDescent="0.35">
      <c r="A989" t="s">
        <v>3445</v>
      </c>
      <c r="B989" t="s">
        <v>3446</v>
      </c>
      <c r="C989" t="s">
        <v>1776</v>
      </c>
      <c r="D989" t="s">
        <v>13</v>
      </c>
      <c r="E989">
        <v>1472</v>
      </c>
      <c r="F989" t="str">
        <f>HYPERLINK("https://www.google.com/maps/search/?api=1&amp;query=24.68146447,46.72423429", "View Map")</f>
        <v>View Map</v>
      </c>
    </row>
    <row r="990" spans="1:6" x14ac:dyDescent="0.35">
      <c r="A990" t="s">
        <v>3447</v>
      </c>
      <c r="B990" t="s">
        <v>3448</v>
      </c>
      <c r="C990" t="s">
        <v>1776</v>
      </c>
      <c r="D990" t="s">
        <v>13</v>
      </c>
      <c r="E990">
        <v>1472</v>
      </c>
      <c r="F990" t="str">
        <f>HYPERLINK("https://www.google.com/maps/search/?api=1&amp;query=24.50393854,46.62759254", "View Map")</f>
        <v>View Map</v>
      </c>
    </row>
    <row r="991" spans="1:6" x14ac:dyDescent="0.35">
      <c r="A991" t="s">
        <v>3449</v>
      </c>
      <c r="B991" t="s">
        <v>3450</v>
      </c>
      <c r="C991" t="s">
        <v>1776</v>
      </c>
      <c r="D991" t="s">
        <v>13</v>
      </c>
      <c r="E991">
        <v>1472</v>
      </c>
      <c r="F991" t="str">
        <f>HYPERLINK("https://www.google.com/maps/search/?api=1&amp;query=24.71509161,46.78822783", "View Map")</f>
        <v>View Map</v>
      </c>
    </row>
    <row r="992" spans="1:6" x14ac:dyDescent="0.35">
      <c r="A992" t="s">
        <v>2178</v>
      </c>
      <c r="B992" t="s">
        <v>3451</v>
      </c>
      <c r="C992" t="s">
        <v>1776</v>
      </c>
      <c r="D992" t="s">
        <v>13</v>
      </c>
      <c r="E992">
        <v>1471</v>
      </c>
      <c r="F992" t="str">
        <f>HYPERLINK("https://www.google.com/maps/search/?api=1&amp;query=24.62884491,46.5406288", "View Map")</f>
        <v>View Map</v>
      </c>
    </row>
    <row r="993" spans="1:6" x14ac:dyDescent="0.35">
      <c r="A993" t="s">
        <v>2254</v>
      </c>
      <c r="B993" t="s">
        <v>3452</v>
      </c>
      <c r="C993" t="s">
        <v>1776</v>
      </c>
      <c r="D993" t="s">
        <v>13</v>
      </c>
      <c r="E993">
        <v>1469</v>
      </c>
      <c r="F993" t="str">
        <f>HYPERLINK("https://www.google.com/maps/search/?api=1&amp;query=24.71878225,46.7552068", "View Map")</f>
        <v>View Map</v>
      </c>
    </row>
    <row r="994" spans="1:6" x14ac:dyDescent="0.35">
      <c r="A994" t="s">
        <v>3453</v>
      </c>
      <c r="B994" t="s">
        <v>3454</v>
      </c>
      <c r="C994" t="s">
        <v>1776</v>
      </c>
      <c r="D994" t="s">
        <v>13</v>
      </c>
      <c r="E994">
        <v>1467</v>
      </c>
      <c r="F994" t="str">
        <f>HYPERLINK("https://www.google.com/maps/search/?api=1&amp;query=24.78786,46.75252646", "View Map")</f>
        <v>View Map</v>
      </c>
    </row>
    <row r="995" spans="1:6" x14ac:dyDescent="0.35">
      <c r="A995" t="s">
        <v>3455</v>
      </c>
      <c r="B995" t="s">
        <v>3456</v>
      </c>
      <c r="C995" t="s">
        <v>1776</v>
      </c>
      <c r="D995" t="s">
        <v>13</v>
      </c>
      <c r="E995">
        <v>1465</v>
      </c>
      <c r="F995" t="str">
        <f>HYPERLINK("https://www.google.com/maps/search/?api=1&amp;query=24.61892393,46.65474334", "View Map")</f>
        <v>View Map</v>
      </c>
    </row>
    <row r="996" spans="1:6" x14ac:dyDescent="0.35">
      <c r="A996" t="s">
        <v>3457</v>
      </c>
      <c r="B996" t="s">
        <v>3458</v>
      </c>
      <c r="C996" t="s">
        <v>1843</v>
      </c>
      <c r="D996" t="s">
        <v>13</v>
      </c>
      <c r="E996">
        <v>1465</v>
      </c>
      <c r="F996" t="str">
        <f>HYPERLINK("https://www.google.com/maps/search/?api=1&amp;query=24.75831558,46.57840631", "View Map")</f>
        <v>View Map</v>
      </c>
    </row>
    <row r="997" spans="1:6" x14ac:dyDescent="0.35">
      <c r="A997" t="s">
        <v>3459</v>
      </c>
      <c r="B997" t="s">
        <v>3460</v>
      </c>
      <c r="C997" t="s">
        <v>1776</v>
      </c>
      <c r="D997" t="s">
        <v>13</v>
      </c>
      <c r="E997">
        <v>1463</v>
      </c>
      <c r="F997" t="str">
        <f>HYPERLINK("https://www.google.com/maps/search/?api=1&amp;query=24.59554867,46.67081579", "View Map")</f>
        <v>View Map</v>
      </c>
    </row>
    <row r="998" spans="1:6" x14ac:dyDescent="0.35">
      <c r="A998" t="s">
        <v>3461</v>
      </c>
      <c r="B998" t="s">
        <v>3462</v>
      </c>
      <c r="C998" t="s">
        <v>1776</v>
      </c>
      <c r="D998" t="s">
        <v>13</v>
      </c>
      <c r="E998">
        <v>1463</v>
      </c>
      <c r="F998" t="str">
        <f>HYPERLINK("https://www.google.com/maps/search/?api=1&amp;query=24.70087307,46.79353336", "View Map")</f>
        <v>View Map</v>
      </c>
    </row>
    <row r="999" spans="1:6" x14ac:dyDescent="0.35">
      <c r="A999" t="s">
        <v>3463</v>
      </c>
      <c r="B999" t="s">
        <v>3464</v>
      </c>
      <c r="C999" t="s">
        <v>1776</v>
      </c>
      <c r="D999" t="s">
        <v>13</v>
      </c>
      <c r="E999">
        <v>1463</v>
      </c>
      <c r="F999" t="str">
        <f>HYPERLINK("https://www.google.com/maps/search/?api=1&amp;query=24.76462421,46.74507395", "View Map")</f>
        <v>View Map</v>
      </c>
    </row>
    <row r="1000" spans="1:6" x14ac:dyDescent="0.35">
      <c r="A1000" t="s">
        <v>2396</v>
      </c>
      <c r="B1000" t="s">
        <v>3465</v>
      </c>
      <c r="C1000" t="s">
        <v>1776</v>
      </c>
      <c r="D1000" t="s">
        <v>13</v>
      </c>
      <c r="E1000">
        <v>1462</v>
      </c>
      <c r="F1000" t="str">
        <f>HYPERLINK("https://www.google.com/maps/search/?api=1&amp;query=24.61662277,46.75131974", "View Map")</f>
        <v>View Map</v>
      </c>
    </row>
    <row r="1001" spans="1:6" x14ac:dyDescent="0.35">
      <c r="A1001" t="s">
        <v>3466</v>
      </c>
      <c r="B1001" t="s">
        <v>3467</v>
      </c>
      <c r="C1001" t="s">
        <v>1776</v>
      </c>
      <c r="D1001" t="s">
        <v>13</v>
      </c>
      <c r="E1001">
        <v>1462</v>
      </c>
      <c r="F1001" t="str">
        <f>HYPERLINK("https://www.google.com/maps/search/?api=1&amp;query=24.74786077,46.64960265", "View Map")</f>
        <v>View Map</v>
      </c>
    </row>
    <row r="1002" spans="1:6" x14ac:dyDescent="0.35">
      <c r="A1002" t="s">
        <v>1947</v>
      </c>
      <c r="B1002" t="s">
        <v>3468</v>
      </c>
      <c r="C1002" t="s">
        <v>1843</v>
      </c>
      <c r="D1002" t="s">
        <v>13</v>
      </c>
      <c r="E1002">
        <v>1460</v>
      </c>
      <c r="F1002" t="str">
        <f>HYPERLINK("https://www.google.com/maps/search/?api=1&amp;query=24.90602576,46.42934811", "View Map")</f>
        <v>View Map</v>
      </c>
    </row>
    <row r="1003" spans="1:6" x14ac:dyDescent="0.35">
      <c r="A1003" t="s">
        <v>3469</v>
      </c>
      <c r="B1003" t="s">
        <v>3470</v>
      </c>
      <c r="C1003" t="s">
        <v>1776</v>
      </c>
      <c r="D1003" t="s">
        <v>13</v>
      </c>
      <c r="E1003">
        <v>1460</v>
      </c>
      <c r="F1003" t="str">
        <f>HYPERLINK("https://www.google.com/maps/search/?api=1&amp;query=24.62056377,46.54295943", "View Map")</f>
        <v>View Map</v>
      </c>
    </row>
    <row r="1004" spans="1:6" x14ac:dyDescent="0.35">
      <c r="A1004" t="s">
        <v>1798</v>
      </c>
      <c r="B1004" t="s">
        <v>3471</v>
      </c>
      <c r="C1004" t="s">
        <v>1776</v>
      </c>
      <c r="D1004" t="s">
        <v>13</v>
      </c>
      <c r="E1004">
        <v>1457</v>
      </c>
      <c r="F1004" t="str">
        <f>HYPERLINK("https://www.google.com/maps/search/?api=1&amp;query=24.87142205,46.62866069", "View Map")</f>
        <v>View Map</v>
      </c>
    </row>
    <row r="1005" spans="1:6" x14ac:dyDescent="0.35">
      <c r="A1005" t="s">
        <v>3472</v>
      </c>
      <c r="B1005" t="s">
        <v>3473</v>
      </c>
      <c r="C1005" t="s">
        <v>1776</v>
      </c>
      <c r="D1005" t="s">
        <v>13</v>
      </c>
      <c r="E1005">
        <v>1456</v>
      </c>
      <c r="F1005" t="str">
        <f>HYPERLINK("https://www.google.com/maps/search/?api=1&amp;query=24.58844824,46.68656278", "View Map")</f>
        <v>View Map</v>
      </c>
    </row>
    <row r="1006" spans="1:6" x14ac:dyDescent="0.35">
      <c r="A1006" t="s">
        <v>3474</v>
      </c>
      <c r="B1006" t="s">
        <v>3475</v>
      </c>
      <c r="C1006" t="s">
        <v>1776</v>
      </c>
      <c r="D1006" t="s">
        <v>9</v>
      </c>
      <c r="E1006">
        <v>1456</v>
      </c>
      <c r="F1006" t="str">
        <f>HYPERLINK("https://www.google.com/maps/search/?api=1&amp;query=24.7786849,46.77117956", "View Map")</f>
        <v>View Map</v>
      </c>
    </row>
    <row r="1007" spans="1:6" x14ac:dyDescent="0.35">
      <c r="A1007" t="s">
        <v>3476</v>
      </c>
      <c r="B1007" t="s">
        <v>3477</v>
      </c>
      <c r="C1007" t="s">
        <v>1776</v>
      </c>
      <c r="D1007" t="s">
        <v>13</v>
      </c>
      <c r="E1007">
        <v>1455</v>
      </c>
      <c r="F1007" t="str">
        <f>HYPERLINK("https://www.google.com/maps/search/?api=1&amp;query=24.53702639,46.65281047", "View Map")</f>
        <v>View Map</v>
      </c>
    </row>
    <row r="1008" spans="1:6" x14ac:dyDescent="0.35">
      <c r="A1008" t="s">
        <v>3478</v>
      </c>
      <c r="B1008" t="s">
        <v>3479</v>
      </c>
      <c r="C1008" t="s">
        <v>1776</v>
      </c>
      <c r="D1008" t="s">
        <v>13</v>
      </c>
      <c r="E1008">
        <v>1454</v>
      </c>
      <c r="F1008" t="str">
        <f>HYPERLINK("https://www.google.com/maps/search/?api=1&amp;query=24.81616492,46.64085398", "View Map")</f>
        <v>View Map</v>
      </c>
    </row>
    <row r="1009" spans="1:6" x14ac:dyDescent="0.35">
      <c r="A1009" t="s">
        <v>3480</v>
      </c>
      <c r="B1009" t="s">
        <v>3481</v>
      </c>
      <c r="C1009" t="s">
        <v>1776</v>
      </c>
      <c r="D1009" t="s">
        <v>13</v>
      </c>
      <c r="E1009">
        <v>1453</v>
      </c>
      <c r="F1009" t="str">
        <f>HYPERLINK("https://www.google.com/maps/search/?api=1&amp;query=24.77974236,46.79705114", "View Map")</f>
        <v>View Map</v>
      </c>
    </row>
    <row r="1010" spans="1:6" x14ac:dyDescent="0.35">
      <c r="A1010" t="s">
        <v>3482</v>
      </c>
      <c r="B1010" t="s">
        <v>3483</v>
      </c>
      <c r="C1010" t="s">
        <v>1776</v>
      </c>
      <c r="D1010" t="s">
        <v>13</v>
      </c>
      <c r="E1010">
        <v>1453</v>
      </c>
      <c r="F1010" t="str">
        <f>HYPERLINK("https://www.google.com/maps/search/?api=1&amp;query=24.78347449,46.75415077", "View Map")</f>
        <v>View Map</v>
      </c>
    </row>
    <row r="1011" spans="1:6" x14ac:dyDescent="0.35">
      <c r="A1011" t="s">
        <v>1947</v>
      </c>
      <c r="B1011" t="s">
        <v>3484</v>
      </c>
      <c r="C1011" t="s">
        <v>1776</v>
      </c>
      <c r="D1011" t="s">
        <v>9</v>
      </c>
      <c r="E1011">
        <v>1452</v>
      </c>
      <c r="F1011" t="str">
        <f>HYPERLINK("https://www.google.com/maps/search/?api=1&amp;query=24.5575,46.625", "View Map")</f>
        <v>View Map</v>
      </c>
    </row>
    <row r="1012" spans="1:6" x14ac:dyDescent="0.35">
      <c r="A1012" t="s">
        <v>3485</v>
      </c>
      <c r="B1012" t="s">
        <v>3486</v>
      </c>
      <c r="C1012" t="s">
        <v>1776</v>
      </c>
      <c r="D1012" t="s">
        <v>13</v>
      </c>
      <c r="E1012">
        <v>1452</v>
      </c>
      <c r="F1012" t="str">
        <f>HYPERLINK("https://www.google.com/maps/search/?api=1&amp;query=24.69581022,46.64611761", "View Map")</f>
        <v>View Map</v>
      </c>
    </row>
    <row r="1013" spans="1:6" x14ac:dyDescent="0.35">
      <c r="A1013" t="s">
        <v>3069</v>
      </c>
      <c r="B1013" t="s">
        <v>3487</v>
      </c>
      <c r="C1013" t="s">
        <v>1776</v>
      </c>
      <c r="D1013" t="s">
        <v>13</v>
      </c>
      <c r="E1013">
        <v>1452</v>
      </c>
      <c r="F1013" t="str">
        <f>HYPERLINK("https://www.google.com/maps/search/?api=1&amp;query=24.77286418,46.75116341", "View Map")</f>
        <v>View Map</v>
      </c>
    </row>
    <row r="1014" spans="1:6" x14ac:dyDescent="0.35">
      <c r="A1014" t="s">
        <v>3488</v>
      </c>
      <c r="B1014" t="s">
        <v>3489</v>
      </c>
      <c r="C1014" t="s">
        <v>1776</v>
      </c>
      <c r="D1014" t="s">
        <v>13</v>
      </c>
      <c r="E1014">
        <v>1452</v>
      </c>
      <c r="F1014" t="str">
        <f>HYPERLINK("https://www.google.com/maps/search/?api=1&amp;query=24.62408399,46.7153048", "View Map")</f>
        <v>View Map</v>
      </c>
    </row>
    <row r="1015" spans="1:6" x14ac:dyDescent="0.35">
      <c r="A1015" t="s">
        <v>3490</v>
      </c>
      <c r="B1015" t="s">
        <v>3491</v>
      </c>
      <c r="C1015" t="s">
        <v>1776</v>
      </c>
      <c r="D1015" t="s">
        <v>13</v>
      </c>
      <c r="E1015">
        <v>1450</v>
      </c>
      <c r="F1015" t="str">
        <f>HYPERLINK("https://www.google.com/maps/search/?api=1&amp;query=24.81930483,46.79105116", "View Map")</f>
        <v>View Map</v>
      </c>
    </row>
    <row r="1016" spans="1:6" x14ac:dyDescent="0.35">
      <c r="A1016" t="s">
        <v>2285</v>
      </c>
      <c r="B1016" t="s">
        <v>3492</v>
      </c>
      <c r="C1016" t="s">
        <v>1776</v>
      </c>
      <c r="D1016" t="s">
        <v>13</v>
      </c>
      <c r="E1016">
        <v>1450</v>
      </c>
      <c r="F1016" t="str">
        <f>HYPERLINK("https://www.google.com/maps/search/?api=1&amp;query=24.75797935,46.63136185", "View Map")</f>
        <v>View Map</v>
      </c>
    </row>
    <row r="1017" spans="1:6" x14ac:dyDescent="0.35">
      <c r="A1017" t="s">
        <v>1798</v>
      </c>
      <c r="B1017" t="s">
        <v>3493</v>
      </c>
      <c r="C1017" t="s">
        <v>1776</v>
      </c>
      <c r="D1017" t="s">
        <v>13</v>
      </c>
      <c r="E1017">
        <v>1449</v>
      </c>
      <c r="F1017" t="str">
        <f>HYPERLINK("https://www.google.com/maps/search/?api=1&amp;query=24.89167,46.61803", "View Map")</f>
        <v>View Map</v>
      </c>
    </row>
    <row r="1018" spans="1:6" x14ac:dyDescent="0.35">
      <c r="A1018" t="s">
        <v>3494</v>
      </c>
      <c r="B1018" t="s">
        <v>3495</v>
      </c>
      <c r="C1018" t="s">
        <v>1776</v>
      </c>
      <c r="D1018" t="s">
        <v>13</v>
      </c>
      <c r="E1018">
        <v>1447</v>
      </c>
      <c r="F1018" t="str">
        <f>HYPERLINK("https://www.google.com/maps/search/?api=1&amp;query=24.79017132,46.78155278", "View Map")</f>
        <v>View Map</v>
      </c>
    </row>
    <row r="1019" spans="1:6" x14ac:dyDescent="0.35">
      <c r="A1019" t="s">
        <v>3496</v>
      </c>
      <c r="B1019" t="s">
        <v>3497</v>
      </c>
      <c r="C1019" t="s">
        <v>1776</v>
      </c>
      <c r="D1019" t="s">
        <v>13</v>
      </c>
      <c r="E1019">
        <v>1446</v>
      </c>
      <c r="F1019" t="str">
        <f>HYPERLINK("https://www.google.com/maps/search/?api=1&amp;query=24.78343952,46.73346747", "View Map")</f>
        <v>View Map</v>
      </c>
    </row>
    <row r="1020" spans="1:6" x14ac:dyDescent="0.35">
      <c r="A1020" t="s">
        <v>3498</v>
      </c>
      <c r="B1020" t="s">
        <v>3499</v>
      </c>
      <c r="C1020" t="s">
        <v>1776</v>
      </c>
      <c r="D1020" t="s">
        <v>13</v>
      </c>
      <c r="E1020">
        <v>1446</v>
      </c>
      <c r="F1020" t="str">
        <f>HYPERLINK("https://www.google.com/maps/search/?api=1&amp;query=24.69711241,46.78146253", "View Map")</f>
        <v>View Map</v>
      </c>
    </row>
    <row r="1021" spans="1:6" x14ac:dyDescent="0.35">
      <c r="A1021" t="s">
        <v>3500</v>
      </c>
      <c r="B1021" t="s">
        <v>3501</v>
      </c>
      <c r="C1021" t="s">
        <v>1776</v>
      </c>
      <c r="D1021" t="s">
        <v>13</v>
      </c>
      <c r="E1021">
        <v>1445</v>
      </c>
      <c r="F1021" t="str">
        <f>HYPERLINK("https://www.google.com/maps/search/?api=1&amp;query=24.62549501,46.69035341", "View Map")</f>
        <v>View Map</v>
      </c>
    </row>
    <row r="1022" spans="1:6" x14ac:dyDescent="0.35">
      <c r="A1022" t="s">
        <v>3502</v>
      </c>
      <c r="B1022" t="s">
        <v>3503</v>
      </c>
      <c r="C1022" t="s">
        <v>1776</v>
      </c>
      <c r="D1022" t="s">
        <v>13</v>
      </c>
      <c r="E1022">
        <v>1443</v>
      </c>
      <c r="F1022" t="str">
        <f>HYPERLINK("https://www.google.com/maps/search/?api=1&amp;query=24.78423236,46.77885377", "View Map")</f>
        <v>View Map</v>
      </c>
    </row>
    <row r="1023" spans="1:6" x14ac:dyDescent="0.35">
      <c r="A1023" t="s">
        <v>3504</v>
      </c>
      <c r="B1023" t="s">
        <v>3505</v>
      </c>
      <c r="C1023" t="s">
        <v>1776</v>
      </c>
      <c r="D1023" t="s">
        <v>13</v>
      </c>
      <c r="E1023">
        <v>1440</v>
      </c>
      <c r="F1023" t="str">
        <f>HYPERLINK("https://www.google.com/maps/search/?api=1&amp;query=24.75329868,46.79574182", "View Map")</f>
        <v>View Map</v>
      </c>
    </row>
    <row r="1024" spans="1:6" x14ac:dyDescent="0.35">
      <c r="A1024" t="s">
        <v>2246</v>
      </c>
      <c r="B1024" t="s">
        <v>3506</v>
      </c>
      <c r="C1024" t="s">
        <v>1776</v>
      </c>
      <c r="D1024" t="s">
        <v>13</v>
      </c>
      <c r="E1024">
        <v>1440</v>
      </c>
      <c r="F1024" t="str">
        <f>HYPERLINK("https://www.google.com/maps/search/?api=1&amp;query=24.70732799,46.77285643", "View Map")</f>
        <v>View Map</v>
      </c>
    </row>
    <row r="1025" spans="1:6" x14ac:dyDescent="0.35">
      <c r="A1025" t="s">
        <v>3507</v>
      </c>
      <c r="B1025" t="s">
        <v>3508</v>
      </c>
      <c r="C1025" t="s">
        <v>1776</v>
      </c>
      <c r="D1025" t="s">
        <v>13</v>
      </c>
      <c r="E1025">
        <v>1440</v>
      </c>
      <c r="F1025" t="str">
        <f>HYPERLINK("https://www.google.com/maps/search/?api=1&amp;query=24.57716248,46.52478901", "View Map")</f>
        <v>View Map</v>
      </c>
    </row>
    <row r="1026" spans="1:6" x14ac:dyDescent="0.35">
      <c r="A1026" t="s">
        <v>3509</v>
      </c>
      <c r="B1026" t="s">
        <v>3510</v>
      </c>
      <c r="C1026" t="s">
        <v>1776</v>
      </c>
      <c r="D1026" t="s">
        <v>13</v>
      </c>
      <c r="E1026">
        <v>1438</v>
      </c>
      <c r="F1026" t="str">
        <f>HYPERLINK("https://www.google.com/maps/search/?api=1&amp;query=24.78883732,46.68569906", "View Map")</f>
        <v>View Map</v>
      </c>
    </row>
    <row r="1027" spans="1:6" x14ac:dyDescent="0.35">
      <c r="A1027" t="s">
        <v>3511</v>
      </c>
      <c r="B1027" t="s">
        <v>3512</v>
      </c>
      <c r="C1027" t="s">
        <v>1776</v>
      </c>
      <c r="D1027" t="s">
        <v>9</v>
      </c>
      <c r="E1027">
        <v>1437</v>
      </c>
      <c r="F1027" t="str">
        <f>HYPERLINK("https://www.google.com/maps/search/?api=1&amp;query=24.61781262,46.73282348", "View Map")</f>
        <v>View Map</v>
      </c>
    </row>
    <row r="1028" spans="1:6" x14ac:dyDescent="0.35">
      <c r="A1028" t="s">
        <v>2396</v>
      </c>
      <c r="B1028" t="s">
        <v>3513</v>
      </c>
      <c r="C1028" t="s">
        <v>1776</v>
      </c>
      <c r="D1028" t="s">
        <v>13</v>
      </c>
      <c r="E1028">
        <v>1437</v>
      </c>
      <c r="F1028" t="str">
        <f>HYPERLINK("https://www.google.com/maps/search/?api=1&amp;query=24.61213759,46.74080914", "View Map")</f>
        <v>View Map</v>
      </c>
    </row>
    <row r="1029" spans="1:6" x14ac:dyDescent="0.35">
      <c r="A1029" t="s">
        <v>3514</v>
      </c>
      <c r="B1029" t="s">
        <v>3515</v>
      </c>
      <c r="C1029" t="s">
        <v>1776</v>
      </c>
      <c r="D1029" t="s">
        <v>13</v>
      </c>
      <c r="E1029">
        <v>1435</v>
      </c>
      <c r="F1029" t="str">
        <f>HYPERLINK("https://www.google.com/maps/search/?api=1&amp;query=24.63109463,46.69367426", "View Map")</f>
        <v>View Map</v>
      </c>
    </row>
    <row r="1030" spans="1:6" x14ac:dyDescent="0.35">
      <c r="A1030" t="s">
        <v>1806</v>
      </c>
      <c r="B1030" t="s">
        <v>3516</v>
      </c>
      <c r="C1030" t="s">
        <v>1776</v>
      </c>
      <c r="D1030" t="s">
        <v>13</v>
      </c>
      <c r="E1030">
        <v>1435</v>
      </c>
      <c r="F1030" t="str">
        <f>HYPERLINK("https://www.google.com/maps/search/?api=1&amp;query=24.82020088,46.81169296", "View Map")</f>
        <v>View Map</v>
      </c>
    </row>
    <row r="1031" spans="1:6" x14ac:dyDescent="0.35">
      <c r="A1031" t="s">
        <v>1806</v>
      </c>
      <c r="B1031" t="s">
        <v>3517</v>
      </c>
      <c r="C1031" t="s">
        <v>1776</v>
      </c>
      <c r="D1031" t="s">
        <v>13</v>
      </c>
      <c r="E1031">
        <v>1431</v>
      </c>
      <c r="F1031" t="str">
        <f>HYPERLINK("https://www.google.com/maps/search/?api=1&amp;query=24.81753844,46.8770442", "View Map")</f>
        <v>View Map</v>
      </c>
    </row>
    <row r="1032" spans="1:6" x14ac:dyDescent="0.35">
      <c r="A1032" t="s">
        <v>3518</v>
      </c>
      <c r="B1032" t="s">
        <v>3519</v>
      </c>
      <c r="C1032" t="s">
        <v>1776</v>
      </c>
      <c r="D1032" t="s">
        <v>13</v>
      </c>
      <c r="E1032">
        <v>1431</v>
      </c>
      <c r="F1032" t="str">
        <f>HYPERLINK("https://www.google.com/maps/search/?api=1&amp;query=24.79632194,46.70051198", "View Map")</f>
        <v>View Map</v>
      </c>
    </row>
    <row r="1033" spans="1:6" x14ac:dyDescent="0.35">
      <c r="A1033" t="s">
        <v>3520</v>
      </c>
      <c r="B1033" t="s">
        <v>3521</v>
      </c>
      <c r="C1033" t="s">
        <v>1776</v>
      </c>
      <c r="D1033" t="s">
        <v>13</v>
      </c>
      <c r="E1033">
        <v>1431</v>
      </c>
      <c r="F1033" t="str">
        <f>HYPERLINK("https://www.google.com/maps/search/?api=1&amp;query=24.65423286,46.72382132", "View Map")</f>
        <v>View Map</v>
      </c>
    </row>
    <row r="1034" spans="1:6" x14ac:dyDescent="0.35">
      <c r="A1034" t="s">
        <v>3522</v>
      </c>
      <c r="B1034" t="s">
        <v>3523</v>
      </c>
      <c r="C1034" t="s">
        <v>1776</v>
      </c>
      <c r="D1034" t="s">
        <v>13</v>
      </c>
      <c r="E1034">
        <v>1430</v>
      </c>
      <c r="F1034" t="str">
        <f>HYPERLINK("https://www.google.com/maps/search/?api=1&amp;query=24.57704057,46.84532887", "View Map")</f>
        <v>View Map</v>
      </c>
    </row>
    <row r="1035" spans="1:6" x14ac:dyDescent="0.35">
      <c r="A1035" t="s">
        <v>3524</v>
      </c>
      <c r="B1035" t="s">
        <v>3525</v>
      </c>
      <c r="C1035" t="s">
        <v>1776</v>
      </c>
      <c r="D1035" t="s">
        <v>13</v>
      </c>
      <c r="E1035">
        <v>1430</v>
      </c>
      <c r="F1035" t="str">
        <f>HYPERLINK("https://www.google.com/maps/search/?api=1&amp;query=24.7639598,46.68871681", "View Map")</f>
        <v>View Map</v>
      </c>
    </row>
    <row r="1036" spans="1:6" x14ac:dyDescent="0.35">
      <c r="A1036" t="s">
        <v>3526</v>
      </c>
      <c r="B1036" t="s">
        <v>3527</v>
      </c>
      <c r="C1036" t="s">
        <v>1776</v>
      </c>
      <c r="D1036" t="s">
        <v>13</v>
      </c>
      <c r="E1036">
        <v>1429</v>
      </c>
      <c r="F1036" t="str">
        <f>HYPERLINK("https://www.google.com/maps/search/?api=1&amp;query=24.67108266,46.81242773", "View Map")</f>
        <v>View Map</v>
      </c>
    </row>
    <row r="1037" spans="1:6" x14ac:dyDescent="0.35">
      <c r="A1037" t="s">
        <v>3528</v>
      </c>
      <c r="B1037" t="s">
        <v>3529</v>
      </c>
      <c r="C1037" t="s">
        <v>1776</v>
      </c>
      <c r="D1037" t="s">
        <v>13</v>
      </c>
      <c r="E1037">
        <v>1429</v>
      </c>
      <c r="F1037" t="str">
        <f>HYPERLINK("https://www.google.com/maps/search/?api=1&amp;query=24.55258167,46.6535492", "View Map")</f>
        <v>View Map</v>
      </c>
    </row>
    <row r="1038" spans="1:6" x14ac:dyDescent="0.35">
      <c r="A1038" t="s">
        <v>3530</v>
      </c>
      <c r="B1038" t="s">
        <v>3531</v>
      </c>
      <c r="C1038" t="s">
        <v>1776</v>
      </c>
      <c r="D1038" t="s">
        <v>13</v>
      </c>
      <c r="E1038">
        <v>1427</v>
      </c>
      <c r="F1038" t="str">
        <f>HYPERLINK("https://www.google.com/maps/search/?api=1&amp;query=24.72949646,46.77480097", "View Map")</f>
        <v>View Map</v>
      </c>
    </row>
    <row r="1039" spans="1:6" x14ac:dyDescent="0.35">
      <c r="A1039" t="s">
        <v>3532</v>
      </c>
      <c r="B1039" t="s">
        <v>3533</v>
      </c>
      <c r="C1039" t="s">
        <v>1776</v>
      </c>
      <c r="D1039" t="s">
        <v>13</v>
      </c>
      <c r="E1039">
        <v>1427</v>
      </c>
      <c r="F1039" t="str">
        <f>HYPERLINK("https://www.google.com/maps/search/?api=1&amp;query=24.77313,46.68023", "View Map")</f>
        <v>View Map</v>
      </c>
    </row>
    <row r="1040" spans="1:6" x14ac:dyDescent="0.35">
      <c r="A1040" t="s">
        <v>1798</v>
      </c>
      <c r="B1040" t="s">
        <v>3534</v>
      </c>
      <c r="C1040" t="s">
        <v>1776</v>
      </c>
      <c r="D1040" t="s">
        <v>13</v>
      </c>
      <c r="E1040">
        <v>1426</v>
      </c>
      <c r="F1040" t="str">
        <f>HYPERLINK("https://www.google.com/maps/search/?api=1&amp;query=24.64740864,46.79714669", "View Map")</f>
        <v>View Map</v>
      </c>
    </row>
    <row r="1041" spans="1:6" x14ac:dyDescent="0.35">
      <c r="A1041" t="s">
        <v>3535</v>
      </c>
      <c r="B1041" t="s">
        <v>3536</v>
      </c>
      <c r="C1041" t="s">
        <v>1776</v>
      </c>
      <c r="D1041" t="s">
        <v>13</v>
      </c>
      <c r="E1041">
        <v>1425</v>
      </c>
      <c r="F1041" t="str">
        <f>HYPERLINK("https://www.google.com/maps/search/?api=1&amp;query=24.59104233,46.5864018", "View Map")</f>
        <v>View Map</v>
      </c>
    </row>
    <row r="1042" spans="1:6" x14ac:dyDescent="0.35">
      <c r="A1042" t="s">
        <v>3537</v>
      </c>
      <c r="B1042" t="s">
        <v>3538</v>
      </c>
      <c r="C1042" t="s">
        <v>1776</v>
      </c>
      <c r="D1042" t="s">
        <v>13</v>
      </c>
      <c r="E1042">
        <v>1424</v>
      </c>
      <c r="F1042" t="str">
        <f>HYPERLINK("https://www.google.com/maps/search/?api=1&amp;query=24.66795984,46.70400926", "View Map")</f>
        <v>View Map</v>
      </c>
    </row>
    <row r="1043" spans="1:6" x14ac:dyDescent="0.35">
      <c r="A1043" t="s">
        <v>3539</v>
      </c>
      <c r="B1043" t="s">
        <v>3540</v>
      </c>
      <c r="C1043" t="s">
        <v>1776</v>
      </c>
      <c r="D1043" t="s">
        <v>13</v>
      </c>
      <c r="E1043">
        <v>1420</v>
      </c>
      <c r="F1043" t="str">
        <f>HYPERLINK("https://www.google.com/maps/search/?api=1&amp;query=24.64167992,46.68568093", "View Map")</f>
        <v>View Map</v>
      </c>
    </row>
    <row r="1044" spans="1:6" x14ac:dyDescent="0.35">
      <c r="A1044" t="s">
        <v>3541</v>
      </c>
      <c r="B1044" t="s">
        <v>3542</v>
      </c>
      <c r="C1044" t="s">
        <v>1776</v>
      </c>
      <c r="D1044" t="s">
        <v>13</v>
      </c>
      <c r="E1044">
        <v>1420</v>
      </c>
      <c r="F1044" t="str">
        <f>HYPERLINK("https://www.google.com/maps/search/?api=1&amp;query=24.60851882,46.7603353", "View Map")</f>
        <v>View Map</v>
      </c>
    </row>
    <row r="1045" spans="1:6" x14ac:dyDescent="0.35">
      <c r="A1045" t="s">
        <v>3543</v>
      </c>
      <c r="B1045" t="s">
        <v>3544</v>
      </c>
      <c r="C1045" t="s">
        <v>1776</v>
      </c>
      <c r="D1045" t="s">
        <v>13</v>
      </c>
      <c r="E1045">
        <v>1418</v>
      </c>
      <c r="F1045" t="str">
        <f>HYPERLINK("https://www.google.com/maps/search/?api=1&amp;query=24.79833816,46.70643161", "View Map")</f>
        <v>View Map</v>
      </c>
    </row>
    <row r="1046" spans="1:6" x14ac:dyDescent="0.35">
      <c r="A1046" t="s">
        <v>3545</v>
      </c>
      <c r="B1046" t="s">
        <v>3546</v>
      </c>
      <c r="C1046" t="s">
        <v>1776</v>
      </c>
      <c r="D1046" t="s">
        <v>9</v>
      </c>
      <c r="E1046">
        <v>1418</v>
      </c>
      <c r="F1046" t="str">
        <f>HYPERLINK("https://www.google.com/maps/search/?api=1&amp;query=24.5683,46.6019", "View Map")</f>
        <v>View Map</v>
      </c>
    </row>
    <row r="1047" spans="1:6" x14ac:dyDescent="0.35">
      <c r="A1047" t="s">
        <v>1798</v>
      </c>
      <c r="B1047" t="s">
        <v>3547</v>
      </c>
      <c r="C1047" t="s">
        <v>1776</v>
      </c>
      <c r="D1047" t="s">
        <v>13</v>
      </c>
      <c r="E1047">
        <v>1416</v>
      </c>
      <c r="F1047" t="str">
        <f>HYPERLINK("https://www.google.com/maps/search/?api=1&amp;query=24.78781431,46.60127892", "View Map")</f>
        <v>View Map</v>
      </c>
    </row>
    <row r="1048" spans="1:6" x14ac:dyDescent="0.35">
      <c r="A1048" t="s">
        <v>3548</v>
      </c>
      <c r="B1048" t="s">
        <v>3549</v>
      </c>
      <c r="C1048" t="s">
        <v>1776</v>
      </c>
      <c r="D1048" t="s">
        <v>13</v>
      </c>
      <c r="E1048">
        <v>1415</v>
      </c>
      <c r="F1048" t="str">
        <f>HYPERLINK("https://www.google.com/maps/search/?api=1&amp;query=24.78322693,46.76769617", "View Map")</f>
        <v>View Map</v>
      </c>
    </row>
    <row r="1049" spans="1:6" x14ac:dyDescent="0.35">
      <c r="A1049" t="s">
        <v>3550</v>
      </c>
      <c r="B1049" t="s">
        <v>3551</v>
      </c>
      <c r="C1049" t="s">
        <v>1776</v>
      </c>
      <c r="D1049" t="s">
        <v>13</v>
      </c>
      <c r="E1049">
        <v>1411</v>
      </c>
      <c r="F1049" t="str">
        <f>HYPERLINK("https://www.google.com/maps/search/?api=1&amp;query=24.56370406,46.77201019", "View Map")</f>
        <v>View Map</v>
      </c>
    </row>
    <row r="1050" spans="1:6" x14ac:dyDescent="0.35">
      <c r="A1050" t="s">
        <v>3552</v>
      </c>
      <c r="B1050" t="s">
        <v>3553</v>
      </c>
      <c r="C1050" t="s">
        <v>1776</v>
      </c>
      <c r="D1050" t="s">
        <v>13</v>
      </c>
      <c r="E1050">
        <v>1409</v>
      </c>
      <c r="F1050" t="str">
        <f>HYPERLINK("https://www.google.com/maps/search/?api=1&amp;query=24.78139443,46.75686147", "View Map")</f>
        <v>View Map</v>
      </c>
    </row>
    <row r="1051" spans="1:6" x14ac:dyDescent="0.35">
      <c r="A1051" t="s">
        <v>3554</v>
      </c>
      <c r="B1051" t="s">
        <v>3555</v>
      </c>
      <c r="C1051" t="s">
        <v>1776</v>
      </c>
      <c r="D1051" t="s">
        <v>13</v>
      </c>
      <c r="E1051">
        <v>1407</v>
      </c>
      <c r="F1051" t="str">
        <f>HYPERLINK("https://www.google.com/maps/search/?api=1&amp;query=24.62082927,46.68125453", "View Map")</f>
        <v>View Map</v>
      </c>
    </row>
    <row r="1052" spans="1:6" x14ac:dyDescent="0.35">
      <c r="A1052" t="s">
        <v>3556</v>
      </c>
      <c r="B1052" t="s">
        <v>3557</v>
      </c>
      <c r="C1052" t="s">
        <v>1776</v>
      </c>
      <c r="D1052" t="s">
        <v>13</v>
      </c>
      <c r="E1052">
        <v>1405</v>
      </c>
      <c r="F1052" t="str">
        <f>HYPERLINK("https://www.google.com/maps/search/?api=1&amp;query=24.74466858,46.64722074", "View Map")</f>
        <v>View Map</v>
      </c>
    </row>
    <row r="1053" spans="1:6" x14ac:dyDescent="0.35">
      <c r="A1053" t="s">
        <v>3558</v>
      </c>
      <c r="B1053" t="s">
        <v>3559</v>
      </c>
      <c r="C1053" t="s">
        <v>1776</v>
      </c>
      <c r="D1053" t="s">
        <v>13</v>
      </c>
      <c r="E1053">
        <v>1405</v>
      </c>
      <c r="F1053" t="str">
        <f>HYPERLINK("https://www.google.com/maps/search/?api=1&amp;query=24.80815684,46.64779408", "View Map")</f>
        <v>View Map</v>
      </c>
    </row>
    <row r="1054" spans="1:6" x14ac:dyDescent="0.35">
      <c r="A1054" t="s">
        <v>3560</v>
      </c>
      <c r="B1054" t="s">
        <v>3561</v>
      </c>
      <c r="C1054" t="s">
        <v>1776</v>
      </c>
      <c r="D1054" t="s">
        <v>13</v>
      </c>
      <c r="E1054">
        <v>1404</v>
      </c>
      <c r="F1054" t="str">
        <f>HYPERLINK("https://www.google.com/maps/search/?api=1&amp;query=24.79165838,46.79803889", "View Map")</f>
        <v>View Map</v>
      </c>
    </row>
    <row r="1055" spans="1:6" x14ac:dyDescent="0.35">
      <c r="A1055" t="s">
        <v>3562</v>
      </c>
      <c r="B1055" t="s">
        <v>3563</v>
      </c>
      <c r="C1055" t="s">
        <v>1776</v>
      </c>
      <c r="D1055" t="s">
        <v>13</v>
      </c>
      <c r="E1055">
        <v>1402</v>
      </c>
      <c r="F1055" t="str">
        <f>HYPERLINK("https://www.google.com/maps/search/?api=1&amp;query=24.55822512,46.78889101", "View Map")</f>
        <v>View Map</v>
      </c>
    </row>
    <row r="1056" spans="1:6" x14ac:dyDescent="0.35">
      <c r="A1056" t="s">
        <v>3564</v>
      </c>
      <c r="B1056" t="s">
        <v>3565</v>
      </c>
      <c r="C1056" t="s">
        <v>1776</v>
      </c>
      <c r="D1056" t="s">
        <v>13</v>
      </c>
      <c r="E1056">
        <v>1401</v>
      </c>
      <c r="F1056" t="str">
        <f>HYPERLINK("https://www.google.com/maps/search/?api=1&amp;query=24.73137056,46.85275576", "View Map")</f>
        <v>View Map</v>
      </c>
    </row>
    <row r="1057" spans="1:6" x14ac:dyDescent="0.35">
      <c r="A1057" t="s">
        <v>3566</v>
      </c>
      <c r="B1057" t="s">
        <v>3567</v>
      </c>
      <c r="C1057" t="s">
        <v>1776</v>
      </c>
      <c r="D1057" t="s">
        <v>13</v>
      </c>
      <c r="E1057">
        <v>1400</v>
      </c>
      <c r="F1057" t="str">
        <f>HYPERLINK("https://www.google.com/maps/search/?api=1&amp;query=24.77764025,46.70036209", "View Map")</f>
        <v>View Map</v>
      </c>
    </row>
    <row r="1058" spans="1:6" x14ac:dyDescent="0.35">
      <c r="A1058" t="s">
        <v>3568</v>
      </c>
      <c r="B1058" t="s">
        <v>3569</v>
      </c>
      <c r="C1058" t="s">
        <v>1776</v>
      </c>
      <c r="D1058" t="s">
        <v>13</v>
      </c>
      <c r="E1058">
        <v>1399</v>
      </c>
      <c r="F1058" t="str">
        <f>HYPERLINK("https://www.google.com/maps/search/?api=1&amp;query=24.71145632,46.77691234", "View Map")</f>
        <v>View Map</v>
      </c>
    </row>
    <row r="1059" spans="1:6" x14ac:dyDescent="0.35">
      <c r="A1059" t="s">
        <v>3322</v>
      </c>
      <c r="B1059" t="s">
        <v>3570</v>
      </c>
      <c r="C1059" t="s">
        <v>1776</v>
      </c>
      <c r="D1059" t="s">
        <v>13</v>
      </c>
      <c r="E1059">
        <v>1398</v>
      </c>
      <c r="F1059" t="str">
        <f>HYPERLINK("https://www.google.com/maps/search/?api=1&amp;query=24.56821711,46.64846579", "View Map")</f>
        <v>View Map</v>
      </c>
    </row>
    <row r="1060" spans="1:6" x14ac:dyDescent="0.35">
      <c r="A1060" t="s">
        <v>3571</v>
      </c>
      <c r="B1060" t="s">
        <v>3572</v>
      </c>
      <c r="C1060" t="s">
        <v>1843</v>
      </c>
      <c r="D1060" t="s">
        <v>13</v>
      </c>
      <c r="E1060">
        <v>1398</v>
      </c>
      <c r="F1060" t="str">
        <f>HYPERLINK("https://www.google.com/maps/search/?api=1&amp;query=24.7462698,46.58998719", "View Map")</f>
        <v>View Map</v>
      </c>
    </row>
    <row r="1061" spans="1:6" x14ac:dyDescent="0.35">
      <c r="A1061" t="s">
        <v>3573</v>
      </c>
      <c r="B1061" t="s">
        <v>3574</v>
      </c>
      <c r="C1061" t="s">
        <v>1776</v>
      </c>
      <c r="D1061" t="s">
        <v>13</v>
      </c>
      <c r="E1061">
        <v>1395</v>
      </c>
      <c r="F1061" t="str">
        <f>HYPERLINK("https://www.google.com/maps/search/?api=1&amp;query=24.6929258,46.66634433", "View Map")</f>
        <v>View Map</v>
      </c>
    </row>
    <row r="1062" spans="1:6" x14ac:dyDescent="0.35">
      <c r="A1062" t="s">
        <v>3575</v>
      </c>
      <c r="B1062" t="s">
        <v>3576</v>
      </c>
      <c r="C1062" t="s">
        <v>1776</v>
      </c>
      <c r="D1062" t="s">
        <v>13</v>
      </c>
      <c r="E1062">
        <v>1393</v>
      </c>
      <c r="F1062" t="str">
        <f>HYPERLINK("https://www.google.com/maps/search/?api=1&amp;query=24.7340109,46.6118178", "View Map")</f>
        <v>View Map</v>
      </c>
    </row>
    <row r="1063" spans="1:6" x14ac:dyDescent="0.35">
      <c r="A1063" t="s">
        <v>1798</v>
      </c>
      <c r="B1063" t="s">
        <v>3577</v>
      </c>
      <c r="C1063" t="s">
        <v>1776</v>
      </c>
      <c r="D1063" t="s">
        <v>13</v>
      </c>
      <c r="E1063">
        <v>1392</v>
      </c>
      <c r="F1063" t="str">
        <f>HYPERLINK("https://www.google.com/maps/search/?api=1&amp;query=24.63814347,46.73476715", "View Map")</f>
        <v>View Map</v>
      </c>
    </row>
    <row r="1064" spans="1:6" x14ac:dyDescent="0.35">
      <c r="A1064" t="s">
        <v>3578</v>
      </c>
      <c r="B1064" t="s">
        <v>3579</v>
      </c>
      <c r="C1064" t="s">
        <v>1776</v>
      </c>
      <c r="D1064" t="s">
        <v>13</v>
      </c>
      <c r="E1064">
        <v>1390</v>
      </c>
      <c r="F1064" t="str">
        <f>HYPERLINK("https://www.google.com/maps/search/?api=1&amp;query=24.7488239,46.78776709", "View Map")</f>
        <v>View Map</v>
      </c>
    </row>
    <row r="1065" spans="1:6" x14ac:dyDescent="0.35">
      <c r="A1065" t="s">
        <v>3580</v>
      </c>
      <c r="B1065" t="s">
        <v>3581</v>
      </c>
      <c r="C1065" t="s">
        <v>1776</v>
      </c>
      <c r="D1065" t="s">
        <v>13</v>
      </c>
      <c r="E1065">
        <v>1390</v>
      </c>
      <c r="F1065" t="str">
        <f>HYPERLINK("https://www.google.com/maps/search/?api=1&amp;query=24.63730564,46.73632813", "View Map")</f>
        <v>View Map</v>
      </c>
    </row>
    <row r="1066" spans="1:6" x14ac:dyDescent="0.35">
      <c r="A1066" t="s">
        <v>3582</v>
      </c>
      <c r="B1066" t="s">
        <v>3583</v>
      </c>
      <c r="C1066" t="s">
        <v>1776</v>
      </c>
      <c r="D1066" t="s">
        <v>13</v>
      </c>
      <c r="E1066">
        <v>1390</v>
      </c>
      <c r="F1066" t="str">
        <f>HYPERLINK("https://www.google.com/maps/search/?api=1&amp;query=24.63639813,46.73641514", "View Map")</f>
        <v>View Map</v>
      </c>
    </row>
    <row r="1067" spans="1:6" x14ac:dyDescent="0.35">
      <c r="A1067" t="s">
        <v>1798</v>
      </c>
      <c r="B1067" t="s">
        <v>3584</v>
      </c>
      <c r="C1067" t="s">
        <v>1776</v>
      </c>
      <c r="D1067" t="s">
        <v>13</v>
      </c>
      <c r="E1067">
        <v>1389</v>
      </c>
      <c r="F1067" t="str">
        <f>HYPERLINK("https://www.google.com/maps/search/?api=1&amp;query=24.7949643,46.6001964", "View Map")</f>
        <v>View Map</v>
      </c>
    </row>
    <row r="1068" spans="1:6" x14ac:dyDescent="0.35">
      <c r="A1068" t="s">
        <v>2109</v>
      </c>
      <c r="B1068" t="s">
        <v>3585</v>
      </c>
      <c r="C1068" t="s">
        <v>1776</v>
      </c>
      <c r="D1068" t="s">
        <v>13</v>
      </c>
      <c r="E1068">
        <v>1388</v>
      </c>
      <c r="F1068" t="str">
        <f>HYPERLINK("https://www.google.com/maps/search/?api=1&amp;query=24.75411,46.71576", "View Map")</f>
        <v>View Map</v>
      </c>
    </row>
    <row r="1069" spans="1:6" x14ac:dyDescent="0.35">
      <c r="A1069" t="s">
        <v>3586</v>
      </c>
      <c r="B1069" t="s">
        <v>3587</v>
      </c>
      <c r="C1069" t="s">
        <v>1776</v>
      </c>
      <c r="D1069" t="s">
        <v>13</v>
      </c>
      <c r="E1069">
        <v>1388</v>
      </c>
      <c r="F1069" t="str">
        <f>HYPERLINK("https://www.google.com/maps/search/?api=1&amp;query=24.79960344,46.67065048", "View Map")</f>
        <v>View Map</v>
      </c>
    </row>
    <row r="1070" spans="1:6" x14ac:dyDescent="0.35">
      <c r="A1070" t="s">
        <v>3588</v>
      </c>
      <c r="B1070" t="s">
        <v>3589</v>
      </c>
      <c r="C1070" t="s">
        <v>1776</v>
      </c>
      <c r="D1070" t="s">
        <v>13</v>
      </c>
      <c r="E1070">
        <v>1388</v>
      </c>
      <c r="F1070" t="str">
        <f>HYPERLINK("https://www.google.com/maps/search/?api=1&amp;query=24.70066703,46.752692", "View Map")</f>
        <v>View Map</v>
      </c>
    </row>
    <row r="1071" spans="1:6" x14ac:dyDescent="0.35">
      <c r="A1071" t="s">
        <v>1798</v>
      </c>
      <c r="B1071" t="s">
        <v>3590</v>
      </c>
      <c r="C1071" t="s">
        <v>1776</v>
      </c>
      <c r="D1071" t="s">
        <v>13</v>
      </c>
      <c r="E1071">
        <v>1387</v>
      </c>
      <c r="F1071" t="str">
        <f>HYPERLINK("https://www.google.com/maps/search/?api=1&amp;query=24.83744612,46.88558924", "View Map")</f>
        <v>View Map</v>
      </c>
    </row>
    <row r="1072" spans="1:6" x14ac:dyDescent="0.35">
      <c r="A1072" t="s">
        <v>2738</v>
      </c>
      <c r="B1072" t="s">
        <v>3591</v>
      </c>
      <c r="C1072" t="s">
        <v>1776</v>
      </c>
      <c r="D1072" t="s">
        <v>13</v>
      </c>
      <c r="E1072">
        <v>1385</v>
      </c>
      <c r="F1072" t="str">
        <f>HYPERLINK("https://www.google.com/maps/search/?api=1&amp;query=24.76727367,46.78654093", "View Map")</f>
        <v>View Map</v>
      </c>
    </row>
    <row r="1073" spans="1:6" x14ac:dyDescent="0.35">
      <c r="A1073" t="s">
        <v>1798</v>
      </c>
      <c r="B1073" t="s">
        <v>3592</v>
      </c>
      <c r="C1073" t="s">
        <v>1776</v>
      </c>
      <c r="D1073" t="s">
        <v>13</v>
      </c>
      <c r="E1073">
        <v>1384</v>
      </c>
      <c r="F1073" t="str">
        <f>HYPERLINK("https://www.google.com/maps/search/?api=1&amp;query=24.86428164,46.64696819", "View Map")</f>
        <v>View Map</v>
      </c>
    </row>
    <row r="1074" spans="1:6" x14ac:dyDescent="0.35">
      <c r="A1074" t="s">
        <v>2684</v>
      </c>
      <c r="B1074" t="s">
        <v>3593</v>
      </c>
      <c r="C1074" t="s">
        <v>1776</v>
      </c>
      <c r="D1074" t="s">
        <v>9</v>
      </c>
      <c r="E1074">
        <v>1384</v>
      </c>
      <c r="F1074" t="str">
        <f>HYPERLINK("https://www.google.com/maps/search/?api=1&amp;query=24.57611727,46.57332223", "View Map")</f>
        <v>View Map</v>
      </c>
    </row>
    <row r="1075" spans="1:6" x14ac:dyDescent="0.35">
      <c r="A1075" t="s">
        <v>1798</v>
      </c>
      <c r="B1075" t="s">
        <v>3594</v>
      </c>
      <c r="C1075" t="s">
        <v>1776</v>
      </c>
      <c r="D1075" t="s">
        <v>13</v>
      </c>
      <c r="E1075">
        <v>1383</v>
      </c>
      <c r="F1075" t="str">
        <f>HYPERLINK("https://www.google.com/maps/search/?api=1&amp;query=24.88673753,46.63400258", "View Map")</f>
        <v>View Map</v>
      </c>
    </row>
    <row r="1076" spans="1:6" x14ac:dyDescent="0.35">
      <c r="A1076" t="s">
        <v>3595</v>
      </c>
      <c r="B1076" t="s">
        <v>3596</v>
      </c>
      <c r="C1076" t="s">
        <v>1776</v>
      </c>
      <c r="D1076" t="s">
        <v>13</v>
      </c>
      <c r="E1076">
        <v>1382</v>
      </c>
      <c r="F1076" t="str">
        <f>HYPERLINK("https://www.google.com/maps/search/?api=1&amp;query=24.60298522,46.61640474", "View Map")</f>
        <v>View Map</v>
      </c>
    </row>
    <row r="1077" spans="1:6" x14ac:dyDescent="0.35">
      <c r="A1077" t="s">
        <v>3597</v>
      </c>
      <c r="B1077" t="s">
        <v>3598</v>
      </c>
      <c r="C1077" t="s">
        <v>1776</v>
      </c>
      <c r="D1077" t="s">
        <v>13</v>
      </c>
      <c r="E1077">
        <v>1382</v>
      </c>
      <c r="F1077" t="str">
        <f>HYPERLINK("https://www.google.com/maps/search/?api=1&amp;query=24.59689984,46.72986151", "View Map")</f>
        <v>View Map</v>
      </c>
    </row>
    <row r="1078" spans="1:6" x14ac:dyDescent="0.35">
      <c r="A1078" t="s">
        <v>3599</v>
      </c>
      <c r="B1078" t="s">
        <v>3600</v>
      </c>
      <c r="C1078" t="s">
        <v>1776</v>
      </c>
      <c r="D1078" t="s">
        <v>13</v>
      </c>
      <c r="E1078">
        <v>1381</v>
      </c>
      <c r="F1078" t="str">
        <f>HYPERLINK("https://www.google.com/maps/search/?api=1&amp;query=24.7959913,46.79859628", "View Map")</f>
        <v>View Map</v>
      </c>
    </row>
    <row r="1079" spans="1:6" x14ac:dyDescent="0.35">
      <c r="A1079" t="s">
        <v>3601</v>
      </c>
      <c r="B1079" t="s">
        <v>3602</v>
      </c>
      <c r="C1079" t="s">
        <v>1776</v>
      </c>
      <c r="D1079" t="s">
        <v>13</v>
      </c>
      <c r="E1079">
        <v>1378</v>
      </c>
      <c r="F1079" t="str">
        <f>HYPERLINK("https://www.google.com/maps/search/?api=1&amp;query=24.7475353,46.80367648", "View Map")</f>
        <v>View Map</v>
      </c>
    </row>
    <row r="1080" spans="1:6" x14ac:dyDescent="0.35">
      <c r="A1080" t="s">
        <v>3603</v>
      </c>
      <c r="B1080" t="s">
        <v>3604</v>
      </c>
      <c r="C1080" t="s">
        <v>1776</v>
      </c>
      <c r="D1080" t="s">
        <v>9</v>
      </c>
      <c r="E1080">
        <v>1377</v>
      </c>
      <c r="F1080" t="str">
        <f>HYPERLINK("https://www.google.com/maps/search/?api=1&amp;query=24.56874677,46.8361548", "View Map")</f>
        <v>View Map</v>
      </c>
    </row>
    <row r="1081" spans="1:6" x14ac:dyDescent="0.35">
      <c r="A1081" t="s">
        <v>3605</v>
      </c>
      <c r="B1081" t="s">
        <v>3606</v>
      </c>
      <c r="C1081" t="s">
        <v>1776</v>
      </c>
      <c r="D1081" t="s">
        <v>13</v>
      </c>
      <c r="E1081">
        <v>1377</v>
      </c>
      <c r="F1081" t="str">
        <f>HYPERLINK("https://www.google.com/maps/search/?api=1&amp;query=24.5630388,46.69254617", "View Map")</f>
        <v>View Map</v>
      </c>
    </row>
    <row r="1082" spans="1:6" x14ac:dyDescent="0.35">
      <c r="A1082" t="s">
        <v>3607</v>
      </c>
      <c r="B1082" t="s">
        <v>3608</v>
      </c>
      <c r="C1082" t="s">
        <v>1776</v>
      </c>
      <c r="D1082" t="s">
        <v>13</v>
      </c>
      <c r="E1082">
        <v>1375</v>
      </c>
      <c r="F1082" t="str">
        <f>HYPERLINK("https://www.google.com/maps/search/?api=1&amp;query=24.59597271,46.76104792", "View Map")</f>
        <v>View Map</v>
      </c>
    </row>
    <row r="1083" spans="1:6" x14ac:dyDescent="0.35">
      <c r="A1083" t="s">
        <v>1806</v>
      </c>
      <c r="B1083" t="s">
        <v>3609</v>
      </c>
      <c r="C1083" t="s">
        <v>1776</v>
      </c>
      <c r="D1083" t="s">
        <v>13</v>
      </c>
      <c r="E1083">
        <v>1374</v>
      </c>
      <c r="F1083" t="str">
        <f>HYPERLINK("https://www.google.com/maps/search/?api=1&amp;query=24.8235384,46.83610754", "View Map")</f>
        <v>View Map</v>
      </c>
    </row>
    <row r="1084" spans="1:6" x14ac:dyDescent="0.35">
      <c r="A1084" t="s">
        <v>1976</v>
      </c>
      <c r="B1084" t="s">
        <v>3610</v>
      </c>
      <c r="C1084" t="s">
        <v>1776</v>
      </c>
      <c r="D1084" t="s">
        <v>13</v>
      </c>
      <c r="E1084">
        <v>1373</v>
      </c>
      <c r="F1084" t="str">
        <f>HYPERLINK("https://www.google.com/maps/search/?api=1&amp;query=24.75252973,46.78885689", "View Map")</f>
        <v>View Map</v>
      </c>
    </row>
    <row r="1085" spans="1:6" x14ac:dyDescent="0.35">
      <c r="A1085" t="s">
        <v>3611</v>
      </c>
      <c r="B1085" t="s">
        <v>3612</v>
      </c>
      <c r="C1085" t="s">
        <v>1776</v>
      </c>
      <c r="D1085" t="s">
        <v>13</v>
      </c>
      <c r="E1085">
        <v>1373</v>
      </c>
      <c r="F1085" t="str">
        <f>HYPERLINK("https://www.google.com/maps/search/?api=1&amp;query=24.69095082,46.65804247", "View Map")</f>
        <v>View Map</v>
      </c>
    </row>
    <row r="1086" spans="1:6" x14ac:dyDescent="0.35">
      <c r="A1086" t="s">
        <v>3613</v>
      </c>
      <c r="B1086" t="s">
        <v>3614</v>
      </c>
      <c r="C1086" t="s">
        <v>1776</v>
      </c>
      <c r="D1086" t="s">
        <v>13</v>
      </c>
      <c r="E1086">
        <v>1372</v>
      </c>
      <c r="F1086" t="str">
        <f>HYPERLINK("https://www.google.com/maps/search/?api=1&amp;query=24.74849,46.63606", "View Map")</f>
        <v>View Map</v>
      </c>
    </row>
    <row r="1087" spans="1:6" x14ac:dyDescent="0.35">
      <c r="A1087" t="s">
        <v>1794</v>
      </c>
      <c r="B1087" t="s">
        <v>3615</v>
      </c>
      <c r="C1087" t="s">
        <v>1776</v>
      </c>
      <c r="D1087" t="s">
        <v>13</v>
      </c>
      <c r="E1087">
        <v>1368</v>
      </c>
      <c r="F1087" t="str">
        <f>HYPERLINK("https://www.google.com/maps/search/?api=1&amp;query=24.82997886,46.65481204", "View Map")</f>
        <v>View Map</v>
      </c>
    </row>
    <row r="1088" spans="1:6" x14ac:dyDescent="0.35">
      <c r="A1088" t="s">
        <v>3616</v>
      </c>
      <c r="B1088" t="s">
        <v>3617</v>
      </c>
      <c r="C1088" t="s">
        <v>1776</v>
      </c>
      <c r="D1088" t="s">
        <v>318</v>
      </c>
      <c r="E1088">
        <v>1368</v>
      </c>
      <c r="F1088" t="str">
        <f>HYPERLINK("https://www.google.com/maps/search/?api=1&amp;query=24.81350778,46.81228237", "View Map")</f>
        <v>View Map</v>
      </c>
    </row>
    <row r="1089" spans="1:6" x14ac:dyDescent="0.35">
      <c r="A1089" t="s">
        <v>1798</v>
      </c>
      <c r="B1089" t="s">
        <v>3618</v>
      </c>
      <c r="C1089" t="s">
        <v>1776</v>
      </c>
      <c r="D1089" t="s">
        <v>13</v>
      </c>
      <c r="E1089">
        <v>1367</v>
      </c>
      <c r="F1089" t="str">
        <f>HYPERLINK("https://www.google.com/maps/search/?api=1&amp;query=24.87035104,46.65307017", "View Map")</f>
        <v>View Map</v>
      </c>
    </row>
    <row r="1090" spans="1:6" x14ac:dyDescent="0.35">
      <c r="A1090" t="s">
        <v>1790</v>
      </c>
      <c r="B1090" t="s">
        <v>3619</v>
      </c>
      <c r="C1090" t="s">
        <v>1776</v>
      </c>
      <c r="D1090" t="s">
        <v>13</v>
      </c>
      <c r="E1090">
        <v>1367</v>
      </c>
      <c r="F1090" t="str">
        <f>HYPERLINK("https://www.google.com/maps/search/?api=1&amp;query=24.72351589,46.64698108", "View Map")</f>
        <v>View Map</v>
      </c>
    </row>
    <row r="1091" spans="1:6" x14ac:dyDescent="0.35">
      <c r="A1091" t="s">
        <v>2738</v>
      </c>
      <c r="B1091" t="s">
        <v>3620</v>
      </c>
      <c r="C1091" t="s">
        <v>1776</v>
      </c>
      <c r="D1091" t="s">
        <v>13</v>
      </c>
      <c r="E1091">
        <v>1367</v>
      </c>
      <c r="F1091" t="str">
        <f>HYPERLINK("https://www.google.com/maps/search/?api=1&amp;query=24.78583374,46.8171458", "View Map")</f>
        <v>View Map</v>
      </c>
    </row>
    <row r="1092" spans="1:6" x14ac:dyDescent="0.35">
      <c r="A1092" t="s">
        <v>3621</v>
      </c>
      <c r="B1092" t="s">
        <v>3622</v>
      </c>
      <c r="C1092" t="s">
        <v>1776</v>
      </c>
      <c r="D1092" t="s">
        <v>13</v>
      </c>
      <c r="E1092">
        <v>1366</v>
      </c>
      <c r="F1092" t="str">
        <f>HYPERLINK("https://www.google.com/maps/search/?api=1&amp;query=24.56372838,46.78322256", "View Map")</f>
        <v>View Map</v>
      </c>
    </row>
    <row r="1093" spans="1:6" x14ac:dyDescent="0.35">
      <c r="A1093" t="s">
        <v>3623</v>
      </c>
      <c r="B1093" t="s">
        <v>3624</v>
      </c>
      <c r="C1093" t="s">
        <v>1776</v>
      </c>
      <c r="D1093" t="s">
        <v>9</v>
      </c>
      <c r="E1093">
        <v>1366</v>
      </c>
      <c r="F1093" t="str">
        <f>HYPERLINK("https://www.google.com/maps/search/?api=1&amp;query=24.67778147,46.79428715", "View Map")</f>
        <v>View Map</v>
      </c>
    </row>
    <row r="1094" spans="1:6" x14ac:dyDescent="0.35">
      <c r="A1094" t="s">
        <v>2023</v>
      </c>
      <c r="B1094" t="s">
        <v>3625</v>
      </c>
      <c r="C1094" t="s">
        <v>1776</v>
      </c>
      <c r="D1094" t="s">
        <v>13</v>
      </c>
      <c r="E1094">
        <v>1366</v>
      </c>
      <c r="F1094" t="str">
        <f>HYPERLINK("https://www.google.com/maps/search/?api=1&amp;query=24.80523134,46.79547907", "View Map")</f>
        <v>View Map</v>
      </c>
    </row>
    <row r="1095" spans="1:6" x14ac:dyDescent="0.35">
      <c r="A1095" t="s">
        <v>1806</v>
      </c>
      <c r="B1095" t="s">
        <v>3626</v>
      </c>
      <c r="C1095" t="s">
        <v>1776</v>
      </c>
      <c r="D1095" t="s">
        <v>13</v>
      </c>
      <c r="E1095">
        <v>1366</v>
      </c>
      <c r="F1095" t="str">
        <f>HYPERLINK("https://www.google.com/maps/search/?api=1&amp;query=24.77494973,46.785964", "View Map")</f>
        <v>View Map</v>
      </c>
    </row>
    <row r="1096" spans="1:6" x14ac:dyDescent="0.35">
      <c r="A1096" t="s">
        <v>1798</v>
      </c>
      <c r="B1096" t="s">
        <v>3627</v>
      </c>
      <c r="C1096" t="s">
        <v>1776</v>
      </c>
      <c r="D1096" t="s">
        <v>13</v>
      </c>
      <c r="E1096">
        <v>1364</v>
      </c>
      <c r="F1096" t="str">
        <f>HYPERLINK("https://www.google.com/maps/search/?api=1&amp;query=24.82316485,46.66212999", "View Map")</f>
        <v>View Map</v>
      </c>
    </row>
    <row r="1097" spans="1:6" x14ac:dyDescent="0.35">
      <c r="A1097" t="s">
        <v>3628</v>
      </c>
      <c r="B1097" t="s">
        <v>3629</v>
      </c>
      <c r="C1097" t="s">
        <v>1776</v>
      </c>
      <c r="D1097" t="s">
        <v>13</v>
      </c>
      <c r="E1097">
        <v>1362</v>
      </c>
      <c r="F1097" t="str">
        <f>HYPERLINK("https://www.google.com/maps/search/?api=1&amp;query=24.58412341,46.55240009", "View Map")</f>
        <v>View Map</v>
      </c>
    </row>
    <row r="1098" spans="1:6" x14ac:dyDescent="0.35">
      <c r="A1098" t="s">
        <v>2689</v>
      </c>
      <c r="B1098" t="s">
        <v>3630</v>
      </c>
      <c r="C1098" t="s">
        <v>1776</v>
      </c>
      <c r="D1098" t="s">
        <v>13</v>
      </c>
      <c r="E1098">
        <v>1355</v>
      </c>
      <c r="F1098" t="str">
        <f>HYPERLINK("https://www.google.com/maps/search/?api=1&amp;query=24.83112837,46.6431487", "View Map")</f>
        <v>View Map</v>
      </c>
    </row>
    <row r="1099" spans="1:6" x14ac:dyDescent="0.35">
      <c r="A1099" t="s">
        <v>3631</v>
      </c>
      <c r="B1099" t="s">
        <v>3632</v>
      </c>
      <c r="C1099" t="s">
        <v>1776</v>
      </c>
      <c r="D1099" t="s">
        <v>13</v>
      </c>
      <c r="E1099">
        <v>1354</v>
      </c>
      <c r="F1099" t="str">
        <f>HYPERLINK("https://www.google.com/maps/search/?api=1&amp;query=24.61602621,46.73136835", "View Map")</f>
        <v>View Map</v>
      </c>
    </row>
    <row r="1100" spans="1:6" x14ac:dyDescent="0.35">
      <c r="A1100" t="s">
        <v>3633</v>
      </c>
      <c r="B1100" t="s">
        <v>3634</v>
      </c>
      <c r="C1100" t="s">
        <v>1776</v>
      </c>
      <c r="D1100" t="s">
        <v>13</v>
      </c>
      <c r="E1100">
        <v>1353</v>
      </c>
      <c r="F1100" t="str">
        <f>HYPERLINK("https://www.google.com/maps/search/?api=1&amp;query=24.79599211,46.78337301", "View Map")</f>
        <v>View Map</v>
      </c>
    </row>
    <row r="1101" spans="1:6" x14ac:dyDescent="0.35">
      <c r="A1101" t="s">
        <v>3635</v>
      </c>
      <c r="B1101" t="s">
        <v>3636</v>
      </c>
      <c r="C1101" t="s">
        <v>1776</v>
      </c>
      <c r="D1101" t="s">
        <v>13</v>
      </c>
      <c r="E1101">
        <v>1353</v>
      </c>
      <c r="F1101" t="str">
        <f>HYPERLINK("https://www.google.com/maps/search/?api=1&amp;query=24.7977096,46.88642291", "View Map")</f>
        <v>View Map</v>
      </c>
    </row>
    <row r="1102" spans="1:6" x14ac:dyDescent="0.35">
      <c r="A1102" t="s">
        <v>19</v>
      </c>
      <c r="B1102" t="s">
        <v>3637</v>
      </c>
      <c r="C1102" t="s">
        <v>1776</v>
      </c>
      <c r="D1102" t="s">
        <v>13</v>
      </c>
      <c r="E1102">
        <v>1351</v>
      </c>
      <c r="F1102" t="str">
        <f>HYPERLINK("https://www.google.com/maps/search/?api=1&amp;query=24.68834519,46.68858984", "View Map")</f>
        <v>View Map</v>
      </c>
    </row>
    <row r="1103" spans="1:6" x14ac:dyDescent="0.35">
      <c r="A1103" t="s">
        <v>1806</v>
      </c>
      <c r="B1103" t="s">
        <v>3638</v>
      </c>
      <c r="C1103" t="s">
        <v>1776</v>
      </c>
      <c r="D1103" t="s">
        <v>13</v>
      </c>
      <c r="E1103">
        <v>1351</v>
      </c>
      <c r="F1103" t="str">
        <f>HYPERLINK("https://www.google.com/maps/search/?api=1&amp;query=24.78080606,46.90159083", "View Map")</f>
        <v>View Map</v>
      </c>
    </row>
    <row r="1104" spans="1:6" x14ac:dyDescent="0.35">
      <c r="A1104" t="s">
        <v>3639</v>
      </c>
      <c r="B1104" t="s">
        <v>3640</v>
      </c>
      <c r="C1104" t="s">
        <v>1776</v>
      </c>
      <c r="D1104" t="s">
        <v>13</v>
      </c>
      <c r="E1104">
        <v>1351</v>
      </c>
      <c r="F1104" t="str">
        <f>HYPERLINK("https://www.google.com/maps/search/?api=1&amp;query=24.67754261,46.5914872", "View Map")</f>
        <v>View Map</v>
      </c>
    </row>
    <row r="1105" spans="1:6" x14ac:dyDescent="0.35">
      <c r="A1105" t="s">
        <v>2051</v>
      </c>
      <c r="B1105" t="s">
        <v>3641</v>
      </c>
      <c r="C1105" t="s">
        <v>1776</v>
      </c>
      <c r="D1105" t="s">
        <v>13</v>
      </c>
      <c r="E1105">
        <v>1350</v>
      </c>
      <c r="F1105" t="str">
        <f>HYPERLINK("https://www.google.com/maps/search/?api=1&amp;query=24.7703171,46.73542049", "View Map")</f>
        <v>View Map</v>
      </c>
    </row>
    <row r="1106" spans="1:6" x14ac:dyDescent="0.35">
      <c r="A1106" t="s">
        <v>1995</v>
      </c>
      <c r="B1106" t="s">
        <v>3642</v>
      </c>
      <c r="C1106" t="s">
        <v>1776</v>
      </c>
      <c r="D1106" t="s">
        <v>13</v>
      </c>
      <c r="E1106">
        <v>1350</v>
      </c>
      <c r="F1106" t="str">
        <f>HYPERLINK("https://www.google.com/maps/search/?api=1&amp;query=24.75253842,46.77390533", "View Map")</f>
        <v>View Map</v>
      </c>
    </row>
    <row r="1107" spans="1:6" x14ac:dyDescent="0.35">
      <c r="A1107" t="s">
        <v>3643</v>
      </c>
      <c r="B1107" t="s">
        <v>3644</v>
      </c>
      <c r="C1107" t="s">
        <v>1776</v>
      </c>
      <c r="D1107" t="s">
        <v>13</v>
      </c>
      <c r="E1107">
        <v>1349</v>
      </c>
      <c r="F1107" t="str">
        <f>HYPERLINK("https://www.google.com/maps/search/?api=1&amp;query=24.77233472,46.76407745", "View Map")</f>
        <v>View Map</v>
      </c>
    </row>
    <row r="1108" spans="1:6" x14ac:dyDescent="0.35">
      <c r="A1108" t="s">
        <v>3645</v>
      </c>
      <c r="B1108" t="s">
        <v>3646</v>
      </c>
      <c r="C1108" t="s">
        <v>1776</v>
      </c>
      <c r="D1108" t="s">
        <v>13</v>
      </c>
      <c r="E1108">
        <v>1348</v>
      </c>
      <c r="F1108" t="str">
        <f>HYPERLINK("https://www.google.com/maps/search/?api=1&amp;query=24.7559137,46.69511064", "View Map")</f>
        <v>View Map</v>
      </c>
    </row>
    <row r="1109" spans="1:6" x14ac:dyDescent="0.35">
      <c r="A1109" t="s">
        <v>1947</v>
      </c>
      <c r="B1109" t="s">
        <v>3647</v>
      </c>
      <c r="C1109" t="s">
        <v>1776</v>
      </c>
      <c r="D1109" t="s">
        <v>13</v>
      </c>
      <c r="E1109">
        <v>1348</v>
      </c>
      <c r="F1109" t="str">
        <f>HYPERLINK("https://www.google.com/maps/search/?api=1&amp;query=24.54953302,46.51187358", "View Map")</f>
        <v>View Map</v>
      </c>
    </row>
    <row r="1110" spans="1:6" x14ac:dyDescent="0.35">
      <c r="A1110" t="s">
        <v>3648</v>
      </c>
      <c r="B1110" t="s">
        <v>3649</v>
      </c>
      <c r="C1110" t="s">
        <v>1776</v>
      </c>
      <c r="D1110" t="s">
        <v>13</v>
      </c>
      <c r="E1110">
        <v>1347</v>
      </c>
      <c r="F1110" t="str">
        <f>HYPERLINK("https://www.google.com/maps/search/?api=1&amp;query=24.63808177,46.68976008", "View Map")</f>
        <v>View Map</v>
      </c>
    </row>
    <row r="1111" spans="1:6" x14ac:dyDescent="0.35">
      <c r="A1111" t="s">
        <v>3650</v>
      </c>
      <c r="B1111" t="s">
        <v>3651</v>
      </c>
      <c r="C1111" t="s">
        <v>1776</v>
      </c>
      <c r="D1111" t="s">
        <v>13</v>
      </c>
      <c r="E1111">
        <v>1346</v>
      </c>
      <c r="F1111" t="str">
        <f>HYPERLINK("https://www.google.com/maps/search/?api=1&amp;query=24.5967444,46.77607166", "View Map")</f>
        <v>View Map</v>
      </c>
    </row>
    <row r="1112" spans="1:6" x14ac:dyDescent="0.35">
      <c r="A1112" t="s">
        <v>3652</v>
      </c>
      <c r="B1112" t="s">
        <v>3653</v>
      </c>
      <c r="C1112" t="s">
        <v>1843</v>
      </c>
      <c r="D1112" t="s">
        <v>13</v>
      </c>
      <c r="E1112">
        <v>1344</v>
      </c>
      <c r="F1112" t="str">
        <f>HYPERLINK("https://www.google.com/maps/search/?api=1&amp;query=24.89695548,46.29572851", "View Map")</f>
        <v>View Map</v>
      </c>
    </row>
    <row r="1113" spans="1:6" x14ac:dyDescent="0.35">
      <c r="A1113" t="s">
        <v>1798</v>
      </c>
      <c r="B1113" t="s">
        <v>3654</v>
      </c>
      <c r="C1113" t="s">
        <v>1776</v>
      </c>
      <c r="D1113" t="s">
        <v>13</v>
      </c>
      <c r="E1113">
        <v>1342</v>
      </c>
      <c r="F1113" t="str">
        <f>HYPERLINK("https://www.google.com/maps/search/?api=1&amp;query=24.75990983,46.80886356", "View Map")</f>
        <v>View Map</v>
      </c>
    </row>
    <row r="1114" spans="1:6" x14ac:dyDescent="0.35">
      <c r="A1114" t="s">
        <v>3655</v>
      </c>
      <c r="B1114" t="s">
        <v>3656</v>
      </c>
      <c r="C1114" t="s">
        <v>1776</v>
      </c>
      <c r="D1114" t="s">
        <v>13</v>
      </c>
      <c r="E1114">
        <v>1342</v>
      </c>
      <c r="F1114" t="str">
        <f>HYPERLINK("https://www.google.com/maps/search/?api=1&amp;query=24.80533717,46.88850322", "View Map")</f>
        <v>View Map</v>
      </c>
    </row>
    <row r="1115" spans="1:6" x14ac:dyDescent="0.35">
      <c r="A1115" t="s">
        <v>1798</v>
      </c>
      <c r="B1115" t="s">
        <v>3657</v>
      </c>
      <c r="C1115" t="s">
        <v>1776</v>
      </c>
      <c r="D1115" t="s">
        <v>13</v>
      </c>
      <c r="E1115">
        <v>1341</v>
      </c>
      <c r="F1115" t="str">
        <f>HYPERLINK("https://www.google.com/maps/search/?api=1&amp;query=24.83516737,46.67086883", "View Map")</f>
        <v>View Map</v>
      </c>
    </row>
    <row r="1116" spans="1:6" x14ac:dyDescent="0.35">
      <c r="A1116" t="s">
        <v>3658</v>
      </c>
      <c r="B1116" t="s">
        <v>3659</v>
      </c>
      <c r="C1116" t="s">
        <v>1776</v>
      </c>
      <c r="D1116" t="s">
        <v>13</v>
      </c>
      <c r="E1116">
        <v>1340</v>
      </c>
      <c r="F1116" t="str">
        <f>HYPERLINK("https://www.google.com/maps/search/?api=1&amp;query=24.57815744,46.69922591", "View Map")</f>
        <v>View Map</v>
      </c>
    </row>
    <row r="1117" spans="1:6" x14ac:dyDescent="0.35">
      <c r="A1117" t="s">
        <v>2279</v>
      </c>
      <c r="B1117" t="s">
        <v>3660</v>
      </c>
      <c r="C1117" t="s">
        <v>1776</v>
      </c>
      <c r="D1117" t="s">
        <v>13</v>
      </c>
      <c r="E1117">
        <v>1340</v>
      </c>
      <c r="F1117" t="str">
        <f>HYPERLINK("https://www.google.com/maps/search/?api=1&amp;query=24.75101427,46.80759035", "View Map")</f>
        <v>View Map</v>
      </c>
    </row>
    <row r="1118" spans="1:6" x14ac:dyDescent="0.35">
      <c r="A1118" t="s">
        <v>3661</v>
      </c>
      <c r="B1118" t="s">
        <v>3662</v>
      </c>
      <c r="C1118" t="s">
        <v>1776</v>
      </c>
      <c r="D1118" t="s">
        <v>13</v>
      </c>
      <c r="E1118">
        <v>1340</v>
      </c>
      <c r="F1118" t="str">
        <f>HYPERLINK("https://www.google.com/maps/search/?api=1&amp;query=24.53392485,46.6891485", "View Map")</f>
        <v>View Map</v>
      </c>
    </row>
    <row r="1119" spans="1:6" x14ac:dyDescent="0.35">
      <c r="A1119" t="s">
        <v>3663</v>
      </c>
      <c r="B1119" t="s">
        <v>3664</v>
      </c>
      <c r="C1119" t="s">
        <v>1776</v>
      </c>
      <c r="D1119" t="s">
        <v>9</v>
      </c>
      <c r="E1119">
        <v>1339</v>
      </c>
      <c r="F1119" t="str">
        <f>HYPERLINK("https://www.google.com/maps/search/?api=1&amp;query=24.78050639,46.63293172", "View Map")</f>
        <v>View Map</v>
      </c>
    </row>
    <row r="1120" spans="1:6" x14ac:dyDescent="0.35">
      <c r="A1120" t="s">
        <v>3665</v>
      </c>
      <c r="B1120" t="s">
        <v>3666</v>
      </c>
      <c r="C1120" t="s">
        <v>1776</v>
      </c>
      <c r="D1120" t="s">
        <v>13</v>
      </c>
      <c r="E1120">
        <v>1338</v>
      </c>
      <c r="F1120" t="str">
        <f>HYPERLINK("https://www.google.com/maps/search/?api=1&amp;query=24.78614356,46.69842723", "View Map")</f>
        <v>View Map</v>
      </c>
    </row>
    <row r="1121" spans="1:6" x14ac:dyDescent="0.35">
      <c r="A1121" t="s">
        <v>1798</v>
      </c>
      <c r="B1121" t="s">
        <v>3667</v>
      </c>
      <c r="C1121" t="s">
        <v>1776</v>
      </c>
      <c r="D1121" t="s">
        <v>13</v>
      </c>
      <c r="E1121">
        <v>1338</v>
      </c>
      <c r="F1121" t="str">
        <f>HYPERLINK("https://www.google.com/maps/search/?api=1&amp;query=24.83921676,46.67400011", "View Map")</f>
        <v>View Map</v>
      </c>
    </row>
    <row r="1122" spans="1:6" x14ac:dyDescent="0.35">
      <c r="A1122" t="s">
        <v>3668</v>
      </c>
      <c r="B1122" t="s">
        <v>3669</v>
      </c>
      <c r="C1122" t="s">
        <v>1776</v>
      </c>
      <c r="D1122" t="s">
        <v>13</v>
      </c>
      <c r="E1122">
        <v>1337</v>
      </c>
      <c r="F1122" t="str">
        <f>HYPERLINK("https://www.google.com/maps/search/?api=1&amp;query=24.70598691,46.8031689", "View Map")</f>
        <v>View Map</v>
      </c>
    </row>
    <row r="1123" spans="1:6" x14ac:dyDescent="0.35">
      <c r="A1123" t="s">
        <v>1798</v>
      </c>
      <c r="B1123" t="s">
        <v>3670</v>
      </c>
      <c r="C1123" t="s">
        <v>1776</v>
      </c>
      <c r="D1123" t="s">
        <v>13</v>
      </c>
      <c r="E1123">
        <v>1335</v>
      </c>
      <c r="F1123" t="str">
        <f>HYPERLINK("https://www.google.com/maps/search/?api=1&amp;query=24.83112837,46.6431487", "View Map")</f>
        <v>View Map</v>
      </c>
    </row>
    <row r="1124" spans="1:6" x14ac:dyDescent="0.35">
      <c r="A1124" t="s">
        <v>1798</v>
      </c>
      <c r="B1124" t="s">
        <v>3671</v>
      </c>
      <c r="C1124" t="s">
        <v>1776</v>
      </c>
      <c r="D1124" t="s">
        <v>13</v>
      </c>
      <c r="E1124">
        <v>1333</v>
      </c>
      <c r="F1124" t="str">
        <f>HYPERLINK("https://www.google.com/maps/search/?api=1&amp;query=24.69686076,46.59503573", "View Map")</f>
        <v>View Map</v>
      </c>
    </row>
    <row r="1125" spans="1:6" x14ac:dyDescent="0.35">
      <c r="A1125" t="s">
        <v>3672</v>
      </c>
      <c r="B1125" t="s">
        <v>3673</v>
      </c>
      <c r="C1125" t="s">
        <v>1776</v>
      </c>
      <c r="D1125" t="s">
        <v>13</v>
      </c>
      <c r="E1125">
        <v>1333</v>
      </c>
      <c r="F1125" t="str">
        <f>HYPERLINK("https://www.google.com/maps/search/?api=1&amp;query=24.56969289,46.77974741", "View Map")</f>
        <v>View Map</v>
      </c>
    </row>
    <row r="1126" spans="1:6" x14ac:dyDescent="0.35">
      <c r="A1126" t="s">
        <v>3674</v>
      </c>
      <c r="B1126" t="s">
        <v>3675</v>
      </c>
      <c r="C1126" t="s">
        <v>1776</v>
      </c>
      <c r="D1126" t="s">
        <v>9</v>
      </c>
      <c r="E1126">
        <v>1332</v>
      </c>
      <c r="F1126" t="str">
        <f>HYPERLINK("https://www.google.com/maps/search/?api=1&amp;query=24.6351631,46.70024726", "View Map")</f>
        <v>View Map</v>
      </c>
    </row>
    <row r="1127" spans="1:6" x14ac:dyDescent="0.35">
      <c r="A1127" t="s">
        <v>1798</v>
      </c>
      <c r="B1127" t="s">
        <v>3676</v>
      </c>
      <c r="C1127" t="s">
        <v>1776</v>
      </c>
      <c r="D1127" t="s">
        <v>13</v>
      </c>
      <c r="E1127">
        <v>1328</v>
      </c>
      <c r="F1127" t="str">
        <f>HYPERLINK("https://www.google.com/maps/search/?api=1&amp;query=24.83819136,46.64715421", "View Map")</f>
        <v>View Map</v>
      </c>
    </row>
    <row r="1128" spans="1:6" x14ac:dyDescent="0.35">
      <c r="A1128" t="s">
        <v>3677</v>
      </c>
      <c r="B1128" t="s">
        <v>3678</v>
      </c>
      <c r="C1128" t="s">
        <v>1776</v>
      </c>
      <c r="D1128" t="s">
        <v>9</v>
      </c>
      <c r="E1128">
        <v>1327</v>
      </c>
      <c r="F1128" t="str">
        <f>HYPERLINK("https://www.google.com/maps/search/?api=1&amp;query=24.69657684,46.79283871", "View Map")</f>
        <v>View Map</v>
      </c>
    </row>
    <row r="1129" spans="1:6" x14ac:dyDescent="0.35">
      <c r="A1129" t="s">
        <v>2820</v>
      </c>
      <c r="B1129" t="s">
        <v>3679</v>
      </c>
      <c r="C1129" t="s">
        <v>1776</v>
      </c>
      <c r="D1129" t="s">
        <v>13</v>
      </c>
      <c r="E1129">
        <v>1324</v>
      </c>
      <c r="F1129" t="str">
        <f>HYPERLINK("https://www.google.com/maps/search/?api=1&amp;query=24.72069939,46.78038202", "View Map")</f>
        <v>View Map</v>
      </c>
    </row>
    <row r="1130" spans="1:6" x14ac:dyDescent="0.35">
      <c r="A1130" t="s">
        <v>3680</v>
      </c>
      <c r="B1130" t="s">
        <v>3681</v>
      </c>
      <c r="C1130" t="s">
        <v>1776</v>
      </c>
      <c r="D1130" t="s">
        <v>13</v>
      </c>
      <c r="E1130">
        <v>1322</v>
      </c>
      <c r="F1130" t="str">
        <f>HYPERLINK("https://www.google.com/maps/search/?api=1&amp;query=24.71793968,46.65749159", "View Map")</f>
        <v>View Map</v>
      </c>
    </row>
    <row r="1131" spans="1:6" x14ac:dyDescent="0.35">
      <c r="A1131" t="s">
        <v>3682</v>
      </c>
      <c r="B1131" t="s">
        <v>3683</v>
      </c>
      <c r="C1131" t="s">
        <v>1776</v>
      </c>
      <c r="D1131" t="s">
        <v>13</v>
      </c>
      <c r="E1131">
        <v>1319</v>
      </c>
      <c r="F1131" t="str">
        <f>HYPERLINK("https://www.google.com/maps/search/?api=1&amp;query=24.72529694,46.66042227", "View Map")</f>
        <v>View Map</v>
      </c>
    </row>
    <row r="1132" spans="1:6" x14ac:dyDescent="0.35">
      <c r="A1132" t="s">
        <v>3684</v>
      </c>
      <c r="B1132" t="s">
        <v>3685</v>
      </c>
      <c r="C1132" t="s">
        <v>1776</v>
      </c>
      <c r="D1132" t="s">
        <v>13</v>
      </c>
      <c r="E1132">
        <v>1316</v>
      </c>
      <c r="F1132" t="str">
        <f>HYPERLINK("https://www.google.com/maps/search/?api=1&amp;query=24.81758851,46.62703273", "View Map")</f>
        <v>View Map</v>
      </c>
    </row>
    <row r="1133" spans="1:6" x14ac:dyDescent="0.35">
      <c r="A1133" t="s">
        <v>3686</v>
      </c>
      <c r="B1133" t="s">
        <v>3687</v>
      </c>
      <c r="C1133" t="s">
        <v>1776</v>
      </c>
      <c r="D1133" t="s">
        <v>13</v>
      </c>
      <c r="E1133">
        <v>1316</v>
      </c>
      <c r="F1133" t="str">
        <f>HYPERLINK("https://www.google.com/maps/search/?api=1&amp;query=24.5689183,46.70834998", "View Map")</f>
        <v>View Map</v>
      </c>
    </row>
    <row r="1134" spans="1:6" x14ac:dyDescent="0.35">
      <c r="A1134" t="s">
        <v>3688</v>
      </c>
      <c r="B1134" t="s">
        <v>3689</v>
      </c>
      <c r="C1134" t="s">
        <v>1776</v>
      </c>
      <c r="D1134" t="s">
        <v>13</v>
      </c>
      <c r="E1134">
        <v>1314</v>
      </c>
      <c r="F1134" t="str">
        <f>HYPERLINK("https://www.google.com/maps/search/?api=1&amp;query=24.78442,46.6849", "View Map")</f>
        <v>View Map</v>
      </c>
    </row>
    <row r="1135" spans="1:6" x14ac:dyDescent="0.35">
      <c r="A1135" t="s">
        <v>1798</v>
      </c>
      <c r="B1135" t="s">
        <v>3690</v>
      </c>
      <c r="C1135" t="s">
        <v>1776</v>
      </c>
      <c r="D1135" t="s">
        <v>9</v>
      </c>
      <c r="E1135">
        <v>1314</v>
      </c>
      <c r="F1135" t="str">
        <f>HYPERLINK("https://www.google.com/maps/search/?api=1&amp;query=24.74720507,46.62626778", "View Map")</f>
        <v>View Map</v>
      </c>
    </row>
    <row r="1136" spans="1:6" x14ac:dyDescent="0.35">
      <c r="A1136" t="s">
        <v>3691</v>
      </c>
      <c r="B1136" t="s">
        <v>3692</v>
      </c>
      <c r="C1136" t="s">
        <v>1776</v>
      </c>
      <c r="D1136" t="s">
        <v>9</v>
      </c>
      <c r="E1136">
        <v>1313</v>
      </c>
      <c r="F1136" t="str">
        <f>HYPERLINK("https://www.google.com/maps/search/?api=1&amp;query=24.62594388,46.69826527", "View Map")</f>
        <v>View Map</v>
      </c>
    </row>
    <row r="1137" spans="1:6" x14ac:dyDescent="0.35">
      <c r="A1137" t="s">
        <v>2628</v>
      </c>
      <c r="B1137" t="s">
        <v>3693</v>
      </c>
      <c r="C1137" t="s">
        <v>1776</v>
      </c>
      <c r="D1137" t="s">
        <v>13</v>
      </c>
      <c r="E1137">
        <v>1312</v>
      </c>
      <c r="F1137" t="str">
        <f>HYPERLINK("https://www.google.com/maps/search/?api=1&amp;query=24.66250716,46.72494639", "View Map")</f>
        <v>View Map</v>
      </c>
    </row>
    <row r="1138" spans="1:6" x14ac:dyDescent="0.35">
      <c r="A1138" t="s">
        <v>3694</v>
      </c>
      <c r="B1138" t="s">
        <v>3695</v>
      </c>
      <c r="C1138" t="s">
        <v>1776</v>
      </c>
      <c r="D1138" t="s">
        <v>13</v>
      </c>
      <c r="E1138">
        <v>1311</v>
      </c>
      <c r="F1138" t="str">
        <f>HYPERLINK("https://www.google.com/maps/search/?api=1&amp;query=24.78109607,46.68228071", "View Map")</f>
        <v>View Map</v>
      </c>
    </row>
    <row r="1139" spans="1:6" x14ac:dyDescent="0.35">
      <c r="A1139" t="s">
        <v>3696</v>
      </c>
      <c r="B1139" t="s">
        <v>3697</v>
      </c>
      <c r="C1139" t="s">
        <v>1776</v>
      </c>
      <c r="D1139" t="s">
        <v>13</v>
      </c>
      <c r="E1139">
        <v>1311</v>
      </c>
      <c r="F1139" t="str">
        <f>HYPERLINK("https://www.google.com/maps/search/?api=1&amp;query=24.71854783,46.81383625", "View Map")</f>
        <v>View Map</v>
      </c>
    </row>
    <row r="1140" spans="1:6" x14ac:dyDescent="0.35">
      <c r="A1140" t="s">
        <v>1947</v>
      </c>
      <c r="B1140" t="s">
        <v>3698</v>
      </c>
      <c r="C1140" t="s">
        <v>1776</v>
      </c>
      <c r="D1140" t="s">
        <v>9</v>
      </c>
      <c r="E1140">
        <v>1310</v>
      </c>
      <c r="F1140" t="str">
        <f>HYPERLINK("https://www.google.com/maps/search/?api=1&amp;query=24.557567,46.55944384", "View Map")</f>
        <v>View Map</v>
      </c>
    </row>
    <row r="1141" spans="1:6" x14ac:dyDescent="0.35">
      <c r="A1141" t="s">
        <v>3699</v>
      </c>
      <c r="B1141" t="s">
        <v>3700</v>
      </c>
      <c r="C1141" t="s">
        <v>1776</v>
      </c>
      <c r="D1141" t="s">
        <v>13</v>
      </c>
      <c r="E1141">
        <v>1309</v>
      </c>
      <c r="F1141" t="str">
        <f>HYPERLINK("https://www.google.com/maps/search/?api=1&amp;query=24.71556644,46.6618734", "View Map")</f>
        <v>View Map</v>
      </c>
    </row>
    <row r="1142" spans="1:6" x14ac:dyDescent="0.35">
      <c r="A1142" t="s">
        <v>3701</v>
      </c>
      <c r="B1142" t="s">
        <v>3702</v>
      </c>
      <c r="C1142" t="s">
        <v>1776</v>
      </c>
      <c r="D1142" t="s">
        <v>13</v>
      </c>
      <c r="E1142">
        <v>1308</v>
      </c>
      <c r="F1142" t="str">
        <f>HYPERLINK("https://www.google.com/maps/search/?api=1&amp;query=24.58192621,46.74366794", "View Map")</f>
        <v>View Map</v>
      </c>
    </row>
    <row r="1143" spans="1:6" x14ac:dyDescent="0.35">
      <c r="A1143" t="s">
        <v>3518</v>
      </c>
      <c r="B1143" t="s">
        <v>3703</v>
      </c>
      <c r="C1143" t="s">
        <v>1776</v>
      </c>
      <c r="D1143" t="s">
        <v>13</v>
      </c>
      <c r="E1143">
        <v>1308</v>
      </c>
      <c r="F1143" t="str">
        <f>HYPERLINK("https://www.google.com/maps/search/?api=1&amp;query=24.79597795,46.70048079", "View Map")</f>
        <v>View Map</v>
      </c>
    </row>
    <row r="1144" spans="1:6" x14ac:dyDescent="0.35">
      <c r="A1144" t="s">
        <v>3704</v>
      </c>
      <c r="B1144" t="s">
        <v>3705</v>
      </c>
      <c r="C1144" t="s">
        <v>1776</v>
      </c>
      <c r="D1144" t="s">
        <v>13</v>
      </c>
      <c r="E1144">
        <v>1306</v>
      </c>
      <c r="F1144" t="str">
        <f>HYPERLINK("https://www.google.com/maps/search/?api=1&amp;query=24.78099291,46.7864211", "View Map")</f>
        <v>View Map</v>
      </c>
    </row>
    <row r="1145" spans="1:6" x14ac:dyDescent="0.35">
      <c r="A1145" t="s">
        <v>3706</v>
      </c>
      <c r="B1145" t="s">
        <v>3707</v>
      </c>
      <c r="C1145" t="s">
        <v>1776</v>
      </c>
      <c r="D1145" t="s">
        <v>13</v>
      </c>
      <c r="E1145">
        <v>1305</v>
      </c>
      <c r="F1145" t="str">
        <f>HYPERLINK("https://www.google.com/maps/search/?api=1&amp;query=24.8139523,46.79696303", "View Map")</f>
        <v>View Map</v>
      </c>
    </row>
    <row r="1146" spans="1:6" x14ac:dyDescent="0.35">
      <c r="A1146" t="s">
        <v>3708</v>
      </c>
      <c r="B1146" t="s">
        <v>3709</v>
      </c>
      <c r="C1146" t="s">
        <v>1776</v>
      </c>
      <c r="D1146" t="s">
        <v>13</v>
      </c>
      <c r="E1146">
        <v>1305</v>
      </c>
      <c r="F1146" t="str">
        <f>HYPERLINK("https://www.google.com/maps/search/?api=1&amp;query=24.69888548,46.81699186", "View Map")</f>
        <v>View Map</v>
      </c>
    </row>
    <row r="1147" spans="1:6" x14ac:dyDescent="0.35">
      <c r="A1147" t="s">
        <v>3710</v>
      </c>
      <c r="B1147" t="s">
        <v>3711</v>
      </c>
      <c r="C1147" t="s">
        <v>1776</v>
      </c>
      <c r="D1147" t="s">
        <v>13</v>
      </c>
      <c r="E1147">
        <v>1305</v>
      </c>
      <c r="F1147" t="str">
        <f>HYPERLINK("https://www.google.com/maps/search/?api=1&amp;query=24.76598521,46.74771817", "View Map")</f>
        <v>View Map</v>
      </c>
    </row>
    <row r="1148" spans="1:6" x14ac:dyDescent="0.35">
      <c r="A1148" t="s">
        <v>3712</v>
      </c>
      <c r="B1148" t="s">
        <v>3713</v>
      </c>
      <c r="C1148" t="s">
        <v>1776</v>
      </c>
      <c r="D1148" t="s">
        <v>9</v>
      </c>
      <c r="E1148">
        <v>1305</v>
      </c>
      <c r="F1148" t="str">
        <f>HYPERLINK("https://www.google.com/maps/search/?api=1&amp;query=24.79445521,46.69715011", "View Map")</f>
        <v>View Map</v>
      </c>
    </row>
    <row r="1149" spans="1:6" x14ac:dyDescent="0.35">
      <c r="A1149" t="s">
        <v>3714</v>
      </c>
      <c r="B1149" t="s">
        <v>3715</v>
      </c>
      <c r="C1149" t="s">
        <v>1776</v>
      </c>
      <c r="D1149" t="s">
        <v>13</v>
      </c>
      <c r="E1149">
        <v>1304</v>
      </c>
      <c r="F1149" t="str">
        <f>HYPERLINK("https://www.google.com/maps/search/?api=1&amp;query=24.82287554,46.8130742", "View Map")</f>
        <v>View Map</v>
      </c>
    </row>
    <row r="1150" spans="1:6" x14ac:dyDescent="0.35">
      <c r="A1150" t="s">
        <v>3716</v>
      </c>
      <c r="B1150" t="s">
        <v>3717</v>
      </c>
      <c r="C1150" t="s">
        <v>1776</v>
      </c>
      <c r="D1150" t="s">
        <v>13</v>
      </c>
      <c r="E1150">
        <v>1304</v>
      </c>
      <c r="F1150" t="str">
        <f>HYPERLINK("https://www.google.com/maps/search/?api=1&amp;query=24.78738884,46.62578337", "View Map")</f>
        <v>View Map</v>
      </c>
    </row>
    <row r="1151" spans="1:6" x14ac:dyDescent="0.35">
      <c r="A1151" t="s">
        <v>3718</v>
      </c>
      <c r="B1151" t="s">
        <v>3719</v>
      </c>
      <c r="C1151" t="s">
        <v>1776</v>
      </c>
      <c r="D1151" t="s">
        <v>13</v>
      </c>
      <c r="E1151">
        <v>1304</v>
      </c>
      <c r="F1151" t="str">
        <f>HYPERLINK("https://www.google.com/maps/search/?api=1&amp;query=24.81095782,46.66806303", "View Map")</f>
        <v>View Map</v>
      </c>
    </row>
    <row r="1152" spans="1:6" x14ac:dyDescent="0.35">
      <c r="A1152" t="s">
        <v>1947</v>
      </c>
      <c r="B1152" t="s">
        <v>3720</v>
      </c>
      <c r="C1152" t="s">
        <v>1776</v>
      </c>
      <c r="D1152" t="s">
        <v>13</v>
      </c>
      <c r="E1152">
        <v>1302</v>
      </c>
      <c r="F1152" t="str">
        <f>HYPERLINK("https://www.google.com/maps/search/?api=1&amp;query=24.67050962,46.57164983", "View Map")</f>
        <v>View Map</v>
      </c>
    </row>
    <row r="1153" spans="1:6" x14ac:dyDescent="0.35">
      <c r="A1153" t="s">
        <v>1947</v>
      </c>
      <c r="B1153" t="s">
        <v>3721</v>
      </c>
      <c r="C1153" t="s">
        <v>1776</v>
      </c>
      <c r="D1153" t="s">
        <v>13</v>
      </c>
      <c r="E1153">
        <v>1302</v>
      </c>
      <c r="F1153" t="str">
        <f>HYPERLINK("https://www.google.com/maps/search/?api=1&amp;query=24.57820144,46.51800233", "View Map")</f>
        <v>View Map</v>
      </c>
    </row>
    <row r="1154" spans="1:6" x14ac:dyDescent="0.35">
      <c r="A1154" t="s">
        <v>3722</v>
      </c>
      <c r="B1154" t="s">
        <v>3723</v>
      </c>
      <c r="C1154" t="s">
        <v>1776</v>
      </c>
      <c r="D1154" t="s">
        <v>13</v>
      </c>
      <c r="E1154">
        <v>1301</v>
      </c>
      <c r="F1154" t="str">
        <f>HYPERLINK("https://www.google.com/maps/search/?api=1&amp;query=24.79302535,46.88215924", "View Map")</f>
        <v>View Map</v>
      </c>
    </row>
    <row r="1155" spans="1:6" x14ac:dyDescent="0.35">
      <c r="A1155" t="s">
        <v>3724</v>
      </c>
      <c r="B1155" t="s">
        <v>3725</v>
      </c>
      <c r="C1155" t="s">
        <v>1776</v>
      </c>
      <c r="D1155" t="s">
        <v>9</v>
      </c>
      <c r="E1155">
        <v>1300</v>
      </c>
      <c r="F1155" t="str">
        <f>HYPERLINK("https://www.google.com/maps/search/?api=1&amp;query=24.73708335,46.78969606", "View Map")</f>
        <v>View Map</v>
      </c>
    </row>
    <row r="1156" spans="1:6" x14ac:dyDescent="0.35">
      <c r="A1156" t="s">
        <v>1790</v>
      </c>
      <c r="B1156" t="s">
        <v>3726</v>
      </c>
      <c r="C1156" t="s">
        <v>1776</v>
      </c>
      <c r="D1156" t="s">
        <v>9</v>
      </c>
      <c r="E1156">
        <v>1299</v>
      </c>
      <c r="F1156" t="str">
        <f>HYPERLINK("https://www.google.com/maps/search/?api=1&amp;query=24.62634079,46.55282724", "View Map")</f>
        <v>View Map</v>
      </c>
    </row>
    <row r="1157" spans="1:6" x14ac:dyDescent="0.35">
      <c r="A1157" t="s">
        <v>3727</v>
      </c>
      <c r="B1157" t="s">
        <v>3728</v>
      </c>
      <c r="C1157" t="s">
        <v>1776</v>
      </c>
      <c r="D1157" t="s">
        <v>13</v>
      </c>
      <c r="E1157">
        <v>1298</v>
      </c>
      <c r="F1157" t="str">
        <f>HYPERLINK("https://www.google.com/maps/search/?api=1&amp;query=24.67307386,46.81517151", "View Map")</f>
        <v>View Map</v>
      </c>
    </row>
    <row r="1158" spans="1:6" x14ac:dyDescent="0.35">
      <c r="A1158" t="s">
        <v>3729</v>
      </c>
      <c r="B1158" t="s">
        <v>3730</v>
      </c>
      <c r="C1158" t="s">
        <v>1776</v>
      </c>
      <c r="D1158" t="s">
        <v>13</v>
      </c>
      <c r="E1158">
        <v>1297</v>
      </c>
      <c r="F1158" t="str">
        <f>HYPERLINK("https://www.google.com/maps/search/?api=1&amp;query=24.69238149,46.78632073", "View Map")</f>
        <v>View Map</v>
      </c>
    </row>
    <row r="1159" spans="1:6" x14ac:dyDescent="0.35">
      <c r="A1159" t="s">
        <v>3731</v>
      </c>
      <c r="B1159" t="s">
        <v>3732</v>
      </c>
      <c r="C1159" t="s">
        <v>1776</v>
      </c>
      <c r="D1159" t="s">
        <v>13</v>
      </c>
      <c r="E1159">
        <v>1297</v>
      </c>
      <c r="F1159" t="str">
        <f>HYPERLINK("https://www.google.com/maps/search/?api=1&amp;query=24.79970292,46.80872302", "View Map")</f>
        <v>View Map</v>
      </c>
    </row>
    <row r="1160" spans="1:6" x14ac:dyDescent="0.35">
      <c r="A1160" t="s">
        <v>1798</v>
      </c>
      <c r="B1160" t="s">
        <v>3733</v>
      </c>
      <c r="C1160" t="s">
        <v>1776</v>
      </c>
      <c r="D1160" t="s">
        <v>13</v>
      </c>
      <c r="E1160">
        <v>1297</v>
      </c>
      <c r="F1160" t="str">
        <f>HYPERLINK("https://www.google.com/maps/search/?api=1&amp;query=24.63015591,46.74005455", "View Map")</f>
        <v>View Map</v>
      </c>
    </row>
    <row r="1161" spans="1:6" x14ac:dyDescent="0.35">
      <c r="A1161" t="s">
        <v>3734</v>
      </c>
      <c r="B1161" t="s">
        <v>3735</v>
      </c>
      <c r="C1161" t="s">
        <v>1776</v>
      </c>
      <c r="D1161" t="s">
        <v>13</v>
      </c>
      <c r="E1161">
        <v>1296</v>
      </c>
      <c r="F1161" t="str">
        <f>HYPERLINK("https://www.google.com/maps/search/?api=1&amp;query=24.70905937,46.69910084", "View Map")</f>
        <v>View Map</v>
      </c>
    </row>
    <row r="1162" spans="1:6" x14ac:dyDescent="0.35">
      <c r="A1162" t="s">
        <v>3736</v>
      </c>
      <c r="B1162" t="s">
        <v>3737</v>
      </c>
      <c r="C1162" t="s">
        <v>1776</v>
      </c>
      <c r="D1162" t="s">
        <v>13</v>
      </c>
      <c r="E1162">
        <v>1295</v>
      </c>
      <c r="F1162" t="str">
        <f>HYPERLINK("https://www.google.com/maps/search/?api=1&amp;query=24.74180542,46.67161672", "View Map")</f>
        <v>View Map</v>
      </c>
    </row>
    <row r="1163" spans="1:6" x14ac:dyDescent="0.35">
      <c r="A1163" t="s">
        <v>3738</v>
      </c>
      <c r="B1163" t="s">
        <v>3739</v>
      </c>
      <c r="C1163" t="s">
        <v>1776</v>
      </c>
      <c r="D1163" t="s">
        <v>13</v>
      </c>
      <c r="E1163">
        <v>1295</v>
      </c>
      <c r="F1163" t="str">
        <f>HYPERLINK("https://www.google.com/maps/search/?api=1&amp;query=24.77088626,46.78336067", "View Map")</f>
        <v>View Map</v>
      </c>
    </row>
    <row r="1164" spans="1:6" x14ac:dyDescent="0.35">
      <c r="A1164" t="s">
        <v>1947</v>
      </c>
      <c r="B1164" t="s">
        <v>3740</v>
      </c>
      <c r="C1164" t="s">
        <v>1776</v>
      </c>
      <c r="D1164" t="s">
        <v>13</v>
      </c>
      <c r="E1164">
        <v>1295</v>
      </c>
      <c r="F1164" t="str">
        <f>HYPERLINK("https://www.google.com/maps/search/?api=1&amp;query=24.50511626,46.63291877", "View Map")</f>
        <v>View Map</v>
      </c>
    </row>
    <row r="1165" spans="1:6" x14ac:dyDescent="0.35">
      <c r="A1165" t="s">
        <v>1798</v>
      </c>
      <c r="B1165" t="s">
        <v>3741</v>
      </c>
      <c r="C1165" t="s">
        <v>1776</v>
      </c>
      <c r="D1165" t="s">
        <v>13</v>
      </c>
      <c r="E1165">
        <v>1295</v>
      </c>
      <c r="F1165" t="str">
        <f>HYPERLINK("https://www.google.com/maps/search/?api=1&amp;query=24.92241907,46.81864276", "View Map")</f>
        <v>View Map</v>
      </c>
    </row>
    <row r="1166" spans="1:6" x14ac:dyDescent="0.35">
      <c r="A1166" t="s">
        <v>3742</v>
      </c>
      <c r="B1166" t="s">
        <v>3743</v>
      </c>
      <c r="C1166" t="s">
        <v>1776</v>
      </c>
      <c r="D1166" t="s">
        <v>13</v>
      </c>
      <c r="E1166">
        <v>1294</v>
      </c>
      <c r="F1166" t="str">
        <f>HYPERLINK("https://www.google.com/maps/search/?api=1&amp;query=24.76056813,46.60082157", "View Map")</f>
        <v>View Map</v>
      </c>
    </row>
    <row r="1167" spans="1:6" x14ac:dyDescent="0.35">
      <c r="A1167" t="s">
        <v>1794</v>
      </c>
      <c r="B1167" t="s">
        <v>3744</v>
      </c>
      <c r="C1167" t="s">
        <v>1776</v>
      </c>
      <c r="D1167" t="s">
        <v>9</v>
      </c>
      <c r="E1167">
        <v>1292</v>
      </c>
      <c r="F1167" t="str">
        <f>HYPERLINK("https://www.google.com/maps/search/?api=1&amp;query=24.86015672,46.62968782", "View Map")</f>
        <v>View Map</v>
      </c>
    </row>
    <row r="1168" spans="1:6" x14ac:dyDescent="0.35">
      <c r="A1168" t="s">
        <v>3745</v>
      </c>
      <c r="B1168" t="s">
        <v>3746</v>
      </c>
      <c r="C1168" t="s">
        <v>1776</v>
      </c>
      <c r="D1168" t="s">
        <v>13</v>
      </c>
      <c r="E1168">
        <v>1292</v>
      </c>
      <c r="F1168" t="str">
        <f>HYPERLINK("https://www.google.com/maps/search/?api=1&amp;query=24.56843608,46.62294978", "View Map")</f>
        <v>View Map</v>
      </c>
    </row>
    <row r="1169" spans="1:6" x14ac:dyDescent="0.35">
      <c r="A1169" t="s">
        <v>3747</v>
      </c>
      <c r="B1169" t="s">
        <v>3748</v>
      </c>
      <c r="C1169" t="s">
        <v>1776</v>
      </c>
      <c r="D1169" t="s">
        <v>9</v>
      </c>
      <c r="E1169">
        <v>1290</v>
      </c>
      <c r="F1169" t="str">
        <f>HYPERLINK("https://www.google.com/maps/search/?api=1&amp;query=24.74268216,46.84643578", "View Map")</f>
        <v>View Map</v>
      </c>
    </row>
    <row r="1170" spans="1:6" x14ac:dyDescent="0.35">
      <c r="A1170" t="s">
        <v>1798</v>
      </c>
      <c r="B1170" t="s">
        <v>3749</v>
      </c>
      <c r="C1170" t="s">
        <v>1776</v>
      </c>
      <c r="D1170" t="s">
        <v>13</v>
      </c>
      <c r="E1170">
        <v>1288</v>
      </c>
      <c r="F1170" t="str">
        <f>HYPERLINK("https://www.google.com/maps/search/?api=1&amp;query=24.6058,46.5139", "View Map")</f>
        <v>View Map</v>
      </c>
    </row>
    <row r="1171" spans="1:6" x14ac:dyDescent="0.35">
      <c r="A1171" t="s">
        <v>3750</v>
      </c>
      <c r="B1171" t="s">
        <v>3751</v>
      </c>
      <c r="C1171" t="s">
        <v>1776</v>
      </c>
      <c r="D1171" t="s">
        <v>13</v>
      </c>
      <c r="E1171">
        <v>1287</v>
      </c>
      <c r="F1171" t="str">
        <f>HYPERLINK("https://www.google.com/maps/search/?api=1&amp;query=24.73437013,46.82422422", "View Map")</f>
        <v>View Map</v>
      </c>
    </row>
    <row r="1172" spans="1:6" x14ac:dyDescent="0.35">
      <c r="A1172" t="s">
        <v>3752</v>
      </c>
      <c r="B1172" t="s">
        <v>3753</v>
      </c>
      <c r="C1172" t="s">
        <v>1776</v>
      </c>
      <c r="D1172" t="s">
        <v>13</v>
      </c>
      <c r="E1172">
        <v>1286</v>
      </c>
      <c r="F1172" t="str">
        <f>HYPERLINK("https://www.google.com/maps/search/?api=1&amp;query=24.71517356,46.68629492", "View Map")</f>
        <v>View Map</v>
      </c>
    </row>
    <row r="1173" spans="1:6" x14ac:dyDescent="0.35">
      <c r="A1173" t="s">
        <v>1798</v>
      </c>
      <c r="B1173" t="s">
        <v>3754</v>
      </c>
      <c r="C1173" t="s">
        <v>1776</v>
      </c>
      <c r="D1173" t="s">
        <v>9</v>
      </c>
      <c r="E1173">
        <v>1286</v>
      </c>
      <c r="F1173" t="str">
        <f>HYPERLINK("https://www.google.com/maps/search/?api=1&amp;query=24.92525789,46.82341566", "View Map")</f>
        <v>View Map</v>
      </c>
    </row>
    <row r="1174" spans="1:6" x14ac:dyDescent="0.35">
      <c r="A1174" t="s">
        <v>3755</v>
      </c>
      <c r="B1174" t="s">
        <v>3756</v>
      </c>
      <c r="C1174" t="s">
        <v>1776</v>
      </c>
      <c r="D1174" t="s">
        <v>13</v>
      </c>
      <c r="E1174">
        <v>1285</v>
      </c>
      <c r="F1174" t="str">
        <f>HYPERLINK("https://www.google.com/maps/search/?api=1&amp;query=24.63845505,46.71939834", "View Map")</f>
        <v>View Map</v>
      </c>
    </row>
    <row r="1175" spans="1:6" x14ac:dyDescent="0.35">
      <c r="A1175" t="s">
        <v>3757</v>
      </c>
      <c r="B1175" t="s">
        <v>3758</v>
      </c>
      <c r="C1175" t="s">
        <v>1776</v>
      </c>
      <c r="D1175" t="s">
        <v>13</v>
      </c>
      <c r="E1175">
        <v>1284</v>
      </c>
      <c r="F1175" t="str">
        <f>HYPERLINK("https://www.google.com/maps/search/?api=1&amp;query=24.55279457,46.67561901", "View Map")</f>
        <v>View Map</v>
      </c>
    </row>
    <row r="1176" spans="1:6" x14ac:dyDescent="0.35">
      <c r="A1176" t="s">
        <v>1798</v>
      </c>
      <c r="B1176" t="s">
        <v>3759</v>
      </c>
      <c r="C1176" t="s">
        <v>1776</v>
      </c>
      <c r="D1176" t="s">
        <v>13</v>
      </c>
      <c r="E1176">
        <v>1284</v>
      </c>
      <c r="F1176" t="str">
        <f>HYPERLINK("https://www.google.com/maps/search/?api=1&amp;query=24.64848249,46.7927488", "View Map")</f>
        <v>View Map</v>
      </c>
    </row>
    <row r="1177" spans="1:6" x14ac:dyDescent="0.35">
      <c r="A1177" t="s">
        <v>1806</v>
      </c>
      <c r="B1177" t="s">
        <v>3760</v>
      </c>
      <c r="C1177" t="s">
        <v>1776</v>
      </c>
      <c r="D1177" t="s">
        <v>13</v>
      </c>
      <c r="E1177">
        <v>1283</v>
      </c>
      <c r="F1177" t="str">
        <f>HYPERLINK("https://www.google.com/maps/search/?api=1&amp;query=24.81463592,46.9093383", "View Map")</f>
        <v>View Map</v>
      </c>
    </row>
    <row r="1178" spans="1:6" x14ac:dyDescent="0.35">
      <c r="A1178" t="s">
        <v>3761</v>
      </c>
      <c r="B1178" t="s">
        <v>3762</v>
      </c>
      <c r="C1178" t="s">
        <v>1776</v>
      </c>
      <c r="D1178" t="s">
        <v>13</v>
      </c>
      <c r="E1178">
        <v>1283</v>
      </c>
      <c r="F1178" t="str">
        <f>HYPERLINK("https://www.google.com/maps/search/?api=1&amp;query=24.75824694,46.60633316", "View Map")</f>
        <v>View Map</v>
      </c>
    </row>
    <row r="1179" spans="1:6" x14ac:dyDescent="0.35">
      <c r="A1179" t="s">
        <v>3763</v>
      </c>
      <c r="B1179" t="s">
        <v>3764</v>
      </c>
      <c r="C1179" t="s">
        <v>1776</v>
      </c>
      <c r="D1179" t="s">
        <v>13</v>
      </c>
      <c r="E1179">
        <v>1282</v>
      </c>
      <c r="F1179" t="str">
        <f>HYPERLINK("https://www.google.com/maps/search/?api=1&amp;query=24.64057863,46.5964005", "View Map")</f>
        <v>View Map</v>
      </c>
    </row>
    <row r="1180" spans="1:6" x14ac:dyDescent="0.35">
      <c r="A1180" t="s">
        <v>3765</v>
      </c>
      <c r="B1180" t="s">
        <v>3766</v>
      </c>
      <c r="C1180" t="s">
        <v>1776</v>
      </c>
      <c r="D1180" t="s">
        <v>13</v>
      </c>
      <c r="E1180">
        <v>1281</v>
      </c>
      <c r="F1180" t="str">
        <f>HYPERLINK("https://www.google.com/maps/search/?api=1&amp;query=24.59767698,46.58657051", "View Map")</f>
        <v>View Map</v>
      </c>
    </row>
    <row r="1181" spans="1:6" x14ac:dyDescent="0.35">
      <c r="A1181" t="s">
        <v>1806</v>
      </c>
      <c r="B1181" t="s">
        <v>3767</v>
      </c>
      <c r="C1181" t="s">
        <v>1776</v>
      </c>
      <c r="D1181" t="s">
        <v>13</v>
      </c>
      <c r="E1181">
        <v>1281</v>
      </c>
      <c r="F1181" t="str">
        <f>HYPERLINK("https://www.google.com/maps/search/?api=1&amp;query=24.82038687,46.60498046", "View Map")</f>
        <v>View Map</v>
      </c>
    </row>
    <row r="1182" spans="1:6" x14ac:dyDescent="0.35">
      <c r="A1182" t="s">
        <v>1798</v>
      </c>
      <c r="B1182" t="s">
        <v>3768</v>
      </c>
      <c r="C1182" t="s">
        <v>1843</v>
      </c>
      <c r="D1182" t="s">
        <v>13</v>
      </c>
      <c r="E1182">
        <v>1280</v>
      </c>
      <c r="F1182" t="str">
        <f>HYPERLINK("https://www.google.com/maps/search/?api=1&amp;query=24.755,46.5667", "View Map")</f>
        <v>View Map</v>
      </c>
    </row>
    <row r="1183" spans="1:6" x14ac:dyDescent="0.35">
      <c r="A1183" t="s">
        <v>3769</v>
      </c>
      <c r="B1183" t="s">
        <v>3770</v>
      </c>
      <c r="C1183" t="s">
        <v>1776</v>
      </c>
      <c r="D1183" t="s">
        <v>13</v>
      </c>
      <c r="E1183">
        <v>1278</v>
      </c>
      <c r="F1183" t="str">
        <f>HYPERLINK("https://www.google.com/maps/search/?api=1&amp;query=24.80429228,46.77294503", "View Map")</f>
        <v>View Map</v>
      </c>
    </row>
    <row r="1184" spans="1:6" x14ac:dyDescent="0.35">
      <c r="A1184" t="s">
        <v>1798</v>
      </c>
      <c r="B1184" t="s">
        <v>3771</v>
      </c>
      <c r="C1184" t="s">
        <v>1776</v>
      </c>
      <c r="D1184" t="s">
        <v>13</v>
      </c>
      <c r="E1184">
        <v>1276</v>
      </c>
      <c r="F1184" t="str">
        <f>HYPERLINK("https://www.google.com/maps/search/?api=1&amp;query=24.8855096,46.61893581", "View Map")</f>
        <v>View Map</v>
      </c>
    </row>
    <row r="1185" spans="1:6" x14ac:dyDescent="0.35">
      <c r="A1185" t="s">
        <v>3772</v>
      </c>
      <c r="B1185" t="s">
        <v>3773</v>
      </c>
      <c r="C1185" t="s">
        <v>1776</v>
      </c>
      <c r="D1185" t="s">
        <v>13</v>
      </c>
      <c r="E1185">
        <v>1275</v>
      </c>
      <c r="F1185" t="str">
        <f>HYPERLINK("https://www.google.com/maps/search/?api=1&amp;query=24.75299174,46.83199376", "View Map")</f>
        <v>View Map</v>
      </c>
    </row>
    <row r="1186" spans="1:6" x14ac:dyDescent="0.35">
      <c r="A1186" t="s">
        <v>3774</v>
      </c>
      <c r="B1186" t="s">
        <v>3775</v>
      </c>
      <c r="C1186" t="s">
        <v>1776</v>
      </c>
      <c r="D1186" t="s">
        <v>13</v>
      </c>
      <c r="E1186">
        <v>1275</v>
      </c>
      <c r="F1186" t="str">
        <f>HYPERLINK("https://www.google.com/maps/search/?api=1&amp;query=24.66255947,46.62024682", "View Map")</f>
        <v>View Map</v>
      </c>
    </row>
    <row r="1187" spans="1:6" x14ac:dyDescent="0.35">
      <c r="A1187" t="s">
        <v>1806</v>
      </c>
      <c r="B1187" t="s">
        <v>3776</v>
      </c>
      <c r="C1187" t="s">
        <v>1776</v>
      </c>
      <c r="D1187" t="s">
        <v>13</v>
      </c>
      <c r="E1187">
        <v>1274</v>
      </c>
      <c r="F1187" t="str">
        <f>HYPERLINK("https://www.google.com/maps/search/?api=1&amp;query=24.66535291,46.72518773", "View Map")</f>
        <v>View Map</v>
      </c>
    </row>
    <row r="1188" spans="1:6" x14ac:dyDescent="0.35">
      <c r="A1188" t="s">
        <v>3777</v>
      </c>
      <c r="B1188" t="s">
        <v>3778</v>
      </c>
      <c r="C1188" t="s">
        <v>1776</v>
      </c>
      <c r="D1188" t="s">
        <v>13</v>
      </c>
      <c r="E1188">
        <v>1274</v>
      </c>
      <c r="F1188" t="str">
        <f>HYPERLINK("https://www.google.com/maps/search/?api=1&amp;query=24.65299869,46.67011321", "View Map")</f>
        <v>View Map</v>
      </c>
    </row>
    <row r="1189" spans="1:6" x14ac:dyDescent="0.35">
      <c r="A1189" t="s">
        <v>3779</v>
      </c>
      <c r="B1189" t="s">
        <v>3780</v>
      </c>
      <c r="C1189" t="s">
        <v>1776</v>
      </c>
      <c r="D1189" t="s">
        <v>13</v>
      </c>
      <c r="E1189">
        <v>1273</v>
      </c>
      <c r="F1189" t="str">
        <f>HYPERLINK("https://www.google.com/maps/search/?api=1&amp;query=24.78376069,46.64279419", "View Map")</f>
        <v>View Map</v>
      </c>
    </row>
    <row r="1190" spans="1:6" x14ac:dyDescent="0.35">
      <c r="A1190" t="s">
        <v>1976</v>
      </c>
      <c r="B1190" t="s">
        <v>3781</v>
      </c>
      <c r="C1190" t="s">
        <v>1776</v>
      </c>
      <c r="D1190" t="s">
        <v>13</v>
      </c>
      <c r="E1190">
        <v>1273</v>
      </c>
      <c r="F1190" t="str">
        <f>HYPERLINK("https://www.google.com/maps/search/?api=1&amp;query=24.75987601,46.77954643", "View Map")</f>
        <v>View Map</v>
      </c>
    </row>
    <row r="1191" spans="1:6" x14ac:dyDescent="0.35">
      <c r="A1191" t="s">
        <v>114</v>
      </c>
      <c r="B1191" t="s">
        <v>3782</v>
      </c>
      <c r="C1191" t="s">
        <v>1776</v>
      </c>
      <c r="D1191" t="s">
        <v>13</v>
      </c>
      <c r="E1191">
        <v>1273</v>
      </c>
      <c r="F1191" t="str">
        <f>HYPERLINK("https://www.google.com/maps/search/?api=1&amp;query=24.76315013,46.62212029", "View Map")</f>
        <v>View Map</v>
      </c>
    </row>
    <row r="1192" spans="1:6" x14ac:dyDescent="0.35">
      <c r="A1192" t="s">
        <v>3783</v>
      </c>
      <c r="B1192" t="s">
        <v>3784</v>
      </c>
      <c r="C1192" t="s">
        <v>1776</v>
      </c>
      <c r="D1192" t="s">
        <v>13</v>
      </c>
      <c r="E1192">
        <v>1272</v>
      </c>
      <c r="F1192" t="str">
        <f>HYPERLINK("https://www.google.com/maps/search/?api=1&amp;query=24.78637907,46.77580592", "View Map")</f>
        <v>View Map</v>
      </c>
    </row>
    <row r="1193" spans="1:6" x14ac:dyDescent="0.35">
      <c r="A1193" t="s">
        <v>1947</v>
      </c>
      <c r="B1193" t="s">
        <v>3785</v>
      </c>
      <c r="C1193" t="s">
        <v>1776</v>
      </c>
      <c r="D1193" t="s">
        <v>13</v>
      </c>
      <c r="E1193">
        <v>1270</v>
      </c>
      <c r="F1193" t="str">
        <f>HYPERLINK("https://www.google.com/maps/search/?api=1&amp;query=24.57827001,46.67196013", "View Map")</f>
        <v>View Map</v>
      </c>
    </row>
    <row r="1194" spans="1:6" x14ac:dyDescent="0.35">
      <c r="A1194" t="s">
        <v>3786</v>
      </c>
      <c r="B1194" t="s">
        <v>3787</v>
      </c>
      <c r="C1194" t="s">
        <v>1776</v>
      </c>
      <c r="D1194" t="s">
        <v>13</v>
      </c>
      <c r="E1194">
        <v>1269</v>
      </c>
      <c r="F1194" t="str">
        <f>HYPERLINK("https://www.google.com/maps/search/?api=1&amp;query=24.68006763,46.66975152", "View Map")</f>
        <v>View Map</v>
      </c>
    </row>
    <row r="1195" spans="1:6" x14ac:dyDescent="0.35">
      <c r="A1195" t="s">
        <v>3788</v>
      </c>
      <c r="B1195" t="s">
        <v>3789</v>
      </c>
      <c r="C1195" t="s">
        <v>1776</v>
      </c>
      <c r="D1195" t="s">
        <v>9</v>
      </c>
      <c r="E1195">
        <v>1268</v>
      </c>
      <c r="F1195" t="str">
        <f>HYPERLINK("https://www.google.com/maps/search/?api=1&amp;query=24.79991039,46.74318327", "View Map")</f>
        <v>View Map</v>
      </c>
    </row>
    <row r="1196" spans="1:6" x14ac:dyDescent="0.35">
      <c r="A1196" t="s">
        <v>1947</v>
      </c>
      <c r="B1196" t="s">
        <v>3790</v>
      </c>
      <c r="C1196" t="s">
        <v>1776</v>
      </c>
      <c r="D1196" t="s">
        <v>13</v>
      </c>
      <c r="E1196">
        <v>1267</v>
      </c>
      <c r="F1196" t="str">
        <f>HYPERLINK("https://www.google.com/maps/search/?api=1&amp;query=24.64706997,46.69197153", "View Map")</f>
        <v>View Map</v>
      </c>
    </row>
    <row r="1197" spans="1:6" x14ac:dyDescent="0.35">
      <c r="A1197" t="s">
        <v>3791</v>
      </c>
      <c r="B1197" t="s">
        <v>3792</v>
      </c>
      <c r="C1197" t="s">
        <v>1776</v>
      </c>
      <c r="D1197" t="s">
        <v>9</v>
      </c>
      <c r="E1197">
        <v>1266</v>
      </c>
      <c r="F1197" t="str">
        <f>HYPERLINK("https://www.google.com/maps/search/?api=1&amp;query=24.53758782,46.70258996", "View Map")</f>
        <v>View Map</v>
      </c>
    </row>
    <row r="1198" spans="1:6" x14ac:dyDescent="0.35">
      <c r="A1198" t="s">
        <v>3793</v>
      </c>
      <c r="B1198" t="s">
        <v>3794</v>
      </c>
      <c r="C1198" t="s">
        <v>1776</v>
      </c>
      <c r="D1198" t="s">
        <v>13</v>
      </c>
      <c r="E1198">
        <v>1266</v>
      </c>
      <c r="F1198" t="str">
        <f>HYPERLINK("https://www.google.com/maps/search/?api=1&amp;query=24.6036,46.7025", "View Map")</f>
        <v>View Map</v>
      </c>
    </row>
    <row r="1199" spans="1:6" x14ac:dyDescent="0.35">
      <c r="A1199" t="s">
        <v>1947</v>
      </c>
      <c r="B1199" t="s">
        <v>3795</v>
      </c>
      <c r="C1199" t="s">
        <v>1776</v>
      </c>
      <c r="D1199" t="s">
        <v>13</v>
      </c>
      <c r="E1199">
        <v>1265</v>
      </c>
      <c r="F1199" t="str">
        <f>HYPERLINK("https://www.google.com/maps/search/?api=1&amp;query=24.55322867,46.62017845", "View Map")</f>
        <v>View Map</v>
      </c>
    </row>
    <row r="1200" spans="1:6" x14ac:dyDescent="0.35">
      <c r="A1200" t="s">
        <v>3796</v>
      </c>
      <c r="B1200" t="s">
        <v>3797</v>
      </c>
      <c r="C1200" t="s">
        <v>1776</v>
      </c>
      <c r="D1200" t="s">
        <v>13</v>
      </c>
      <c r="E1200">
        <v>1264</v>
      </c>
      <c r="F1200" t="str">
        <f>HYPERLINK("https://www.google.com/maps/search/?api=1&amp;query=24.78899029,46.82223183", "View Map")</f>
        <v>View Map</v>
      </c>
    </row>
    <row r="1201" spans="1:6" x14ac:dyDescent="0.35">
      <c r="A1201" t="s">
        <v>2178</v>
      </c>
      <c r="B1201" t="s">
        <v>3798</v>
      </c>
      <c r="C1201" t="s">
        <v>1776</v>
      </c>
      <c r="D1201" t="s">
        <v>9</v>
      </c>
      <c r="E1201">
        <v>1264</v>
      </c>
      <c r="F1201" t="str">
        <f>HYPERLINK("https://www.google.com/maps/search/?api=1&amp;query=24.81006836,46.61501193", "View Map")</f>
        <v>View Map</v>
      </c>
    </row>
    <row r="1202" spans="1:6" x14ac:dyDescent="0.35">
      <c r="A1202" t="s">
        <v>3799</v>
      </c>
      <c r="B1202" t="s">
        <v>3800</v>
      </c>
      <c r="C1202" t="s">
        <v>1776</v>
      </c>
      <c r="D1202" t="s">
        <v>9</v>
      </c>
      <c r="E1202">
        <v>1263</v>
      </c>
      <c r="F1202" t="str">
        <f>HYPERLINK("https://www.google.com/maps/search/?api=1&amp;query=24.65238291,46.5725955", "View Map")</f>
        <v>View Map</v>
      </c>
    </row>
    <row r="1203" spans="1:6" x14ac:dyDescent="0.35">
      <c r="A1203" t="s">
        <v>1806</v>
      </c>
      <c r="B1203" t="s">
        <v>3801</v>
      </c>
      <c r="C1203" t="s">
        <v>1776</v>
      </c>
      <c r="D1203" t="s">
        <v>9</v>
      </c>
      <c r="E1203">
        <v>1262</v>
      </c>
      <c r="F1203" t="str">
        <f>HYPERLINK("https://www.google.com/maps/search/?api=1&amp;query=24.73644933,46.79378428", "View Map")</f>
        <v>View Map</v>
      </c>
    </row>
    <row r="1204" spans="1:6" x14ac:dyDescent="0.35">
      <c r="A1204" t="s">
        <v>3802</v>
      </c>
      <c r="B1204" t="s">
        <v>3803</v>
      </c>
      <c r="C1204" t="s">
        <v>1776</v>
      </c>
      <c r="D1204" t="s">
        <v>13</v>
      </c>
      <c r="E1204">
        <v>1261</v>
      </c>
      <c r="F1204" t="str">
        <f>HYPERLINK("https://www.google.com/maps/search/?api=1&amp;query=24.6030049,46.74012515", "View Map")</f>
        <v>View Map</v>
      </c>
    </row>
    <row r="1205" spans="1:6" x14ac:dyDescent="0.35">
      <c r="A1205" t="s">
        <v>3804</v>
      </c>
      <c r="B1205" t="s">
        <v>3805</v>
      </c>
      <c r="C1205" t="s">
        <v>1776</v>
      </c>
      <c r="D1205" t="s">
        <v>13</v>
      </c>
      <c r="E1205">
        <v>1259</v>
      </c>
      <c r="F1205" t="str">
        <f>HYPERLINK("https://www.google.com/maps/search/?api=1&amp;query=24.69252727,46.69934526", "View Map")</f>
        <v>View Map</v>
      </c>
    </row>
    <row r="1206" spans="1:6" x14ac:dyDescent="0.35">
      <c r="A1206" t="s">
        <v>3806</v>
      </c>
      <c r="B1206" t="s">
        <v>3807</v>
      </c>
      <c r="C1206" t="s">
        <v>1776</v>
      </c>
      <c r="D1206" t="s">
        <v>13</v>
      </c>
      <c r="E1206">
        <v>1259</v>
      </c>
      <c r="F1206" t="str">
        <f>HYPERLINK("https://www.google.com/maps/search/?api=1&amp;query=24.78967807,46.77506996", "View Map")</f>
        <v>View Map</v>
      </c>
    </row>
    <row r="1207" spans="1:6" x14ac:dyDescent="0.35">
      <c r="A1207" t="s">
        <v>1947</v>
      </c>
      <c r="B1207" t="s">
        <v>3808</v>
      </c>
      <c r="C1207" t="s">
        <v>1776</v>
      </c>
      <c r="D1207" t="s">
        <v>9</v>
      </c>
      <c r="E1207">
        <v>1257</v>
      </c>
      <c r="F1207" t="str">
        <f>HYPERLINK("https://www.google.com/maps/search/?api=1&amp;query=24.55363955,46.6674507", "View Map")</f>
        <v>View Map</v>
      </c>
    </row>
    <row r="1208" spans="1:6" x14ac:dyDescent="0.35">
      <c r="A1208" t="s">
        <v>3809</v>
      </c>
      <c r="B1208" t="s">
        <v>3810</v>
      </c>
      <c r="C1208" t="s">
        <v>1776</v>
      </c>
      <c r="D1208" t="s">
        <v>13</v>
      </c>
      <c r="E1208">
        <v>1257</v>
      </c>
      <c r="F1208" t="str">
        <f>HYPERLINK("https://www.google.com/maps/search/?api=1&amp;query=24.78601768,46.66993738", "View Map")</f>
        <v>View Map</v>
      </c>
    </row>
    <row r="1209" spans="1:6" x14ac:dyDescent="0.35">
      <c r="A1209" t="s">
        <v>3811</v>
      </c>
      <c r="B1209" t="s">
        <v>3812</v>
      </c>
      <c r="C1209" t="s">
        <v>1776</v>
      </c>
      <c r="D1209" t="s">
        <v>13</v>
      </c>
      <c r="E1209">
        <v>1256</v>
      </c>
      <c r="F1209" t="str">
        <f>HYPERLINK("https://www.google.com/maps/search/?api=1&amp;query=24.78801414,46.62810331", "View Map")</f>
        <v>View Map</v>
      </c>
    </row>
    <row r="1210" spans="1:6" x14ac:dyDescent="0.35">
      <c r="A1210" t="s">
        <v>2178</v>
      </c>
      <c r="B1210" t="s">
        <v>3813</v>
      </c>
      <c r="C1210" t="s">
        <v>1776</v>
      </c>
      <c r="D1210" t="s">
        <v>13</v>
      </c>
      <c r="E1210">
        <v>1256</v>
      </c>
      <c r="F1210" t="str">
        <f>HYPERLINK("https://www.google.com/maps/search/?api=1&amp;query=24.62043141,46.53928568", "View Map")</f>
        <v>View Map</v>
      </c>
    </row>
    <row r="1211" spans="1:6" x14ac:dyDescent="0.35">
      <c r="A1211" t="s">
        <v>1947</v>
      </c>
      <c r="B1211" t="s">
        <v>3814</v>
      </c>
      <c r="C1211" t="s">
        <v>1776</v>
      </c>
      <c r="D1211" t="s">
        <v>9</v>
      </c>
      <c r="E1211">
        <v>1255</v>
      </c>
      <c r="F1211" t="str">
        <f>HYPERLINK("https://www.google.com/maps/search/?api=1&amp;query=24.57209052,46.55457131", "View Map")</f>
        <v>View Map</v>
      </c>
    </row>
    <row r="1212" spans="1:6" x14ac:dyDescent="0.35">
      <c r="A1212" t="s">
        <v>3815</v>
      </c>
      <c r="B1212" t="s">
        <v>3816</v>
      </c>
      <c r="C1212" t="s">
        <v>1776</v>
      </c>
      <c r="D1212" t="s">
        <v>13</v>
      </c>
      <c r="E1212">
        <v>1255</v>
      </c>
      <c r="F1212" t="str">
        <f>HYPERLINK("https://www.google.com/maps/search/?api=1&amp;query=24.80458154,46.69120757", "View Map")</f>
        <v>View Map</v>
      </c>
    </row>
    <row r="1213" spans="1:6" x14ac:dyDescent="0.35">
      <c r="A1213" t="s">
        <v>2178</v>
      </c>
      <c r="B1213" t="s">
        <v>3817</v>
      </c>
      <c r="C1213" t="s">
        <v>1776</v>
      </c>
      <c r="D1213" t="s">
        <v>13</v>
      </c>
      <c r="E1213">
        <v>1255</v>
      </c>
      <c r="F1213" t="str">
        <f>HYPERLINK("https://www.google.com/maps/search/?api=1&amp;query=24.64007616,46.54326218", "View Map")</f>
        <v>View Map</v>
      </c>
    </row>
    <row r="1214" spans="1:6" x14ac:dyDescent="0.35">
      <c r="A1214" t="s">
        <v>3818</v>
      </c>
      <c r="B1214" t="s">
        <v>3819</v>
      </c>
      <c r="C1214" t="s">
        <v>1776</v>
      </c>
      <c r="D1214" t="s">
        <v>13</v>
      </c>
      <c r="E1214">
        <v>1254</v>
      </c>
      <c r="F1214" t="str">
        <f>HYPERLINK("https://www.google.com/maps/search/?api=1&amp;query=24.73015142,46.79506593", "View Map")</f>
        <v>View Map</v>
      </c>
    </row>
    <row r="1215" spans="1:6" x14ac:dyDescent="0.35">
      <c r="A1215" t="s">
        <v>3820</v>
      </c>
      <c r="B1215" t="s">
        <v>3821</v>
      </c>
      <c r="C1215" t="s">
        <v>1776</v>
      </c>
      <c r="D1215" t="s">
        <v>9</v>
      </c>
      <c r="E1215">
        <v>1254</v>
      </c>
      <c r="F1215" t="str">
        <f>HYPERLINK("https://www.google.com/maps/search/?api=1&amp;query=24.58993157,46.65970334", "View Map")</f>
        <v>View Map</v>
      </c>
    </row>
    <row r="1216" spans="1:6" x14ac:dyDescent="0.35">
      <c r="A1216" t="s">
        <v>3822</v>
      </c>
      <c r="B1216" t="s">
        <v>3823</v>
      </c>
      <c r="C1216" t="s">
        <v>1776</v>
      </c>
      <c r="D1216" t="s">
        <v>13</v>
      </c>
      <c r="E1216">
        <v>1253</v>
      </c>
      <c r="F1216" t="str">
        <f>HYPERLINK("https://www.google.com/maps/search/?api=1&amp;query=24.83693473,46.75207377", "View Map")</f>
        <v>View Map</v>
      </c>
    </row>
    <row r="1217" spans="1:6" x14ac:dyDescent="0.35">
      <c r="A1217" t="s">
        <v>3824</v>
      </c>
      <c r="B1217" t="s">
        <v>3825</v>
      </c>
      <c r="C1217" t="s">
        <v>1776</v>
      </c>
      <c r="D1217" t="s">
        <v>13</v>
      </c>
      <c r="E1217">
        <v>1253</v>
      </c>
      <c r="F1217" t="str">
        <f>HYPERLINK("https://www.google.com/maps/search/?api=1&amp;query=24.56232098,46.69868457", "View Map")</f>
        <v>View Map</v>
      </c>
    </row>
    <row r="1218" spans="1:6" x14ac:dyDescent="0.35">
      <c r="A1218" t="s">
        <v>3826</v>
      </c>
      <c r="B1218" t="s">
        <v>3827</v>
      </c>
      <c r="C1218" t="s">
        <v>1776</v>
      </c>
      <c r="D1218" t="s">
        <v>13</v>
      </c>
      <c r="E1218">
        <v>1253</v>
      </c>
      <c r="F1218" t="str">
        <f>HYPERLINK("https://www.google.com/maps/search/?api=1&amp;query=24.67200042,46.85038169", "View Map")</f>
        <v>View Map</v>
      </c>
    </row>
    <row r="1219" spans="1:6" x14ac:dyDescent="0.35">
      <c r="A1219" t="s">
        <v>1798</v>
      </c>
      <c r="B1219" t="s">
        <v>3828</v>
      </c>
      <c r="C1219" t="s">
        <v>1776</v>
      </c>
      <c r="D1219" t="s">
        <v>9</v>
      </c>
      <c r="E1219">
        <v>1252</v>
      </c>
      <c r="F1219" t="str">
        <f>HYPERLINK("https://www.google.com/maps/search/?api=1&amp;query=24.8476377,46.79006813", "View Map")</f>
        <v>View Map</v>
      </c>
    </row>
    <row r="1220" spans="1:6" x14ac:dyDescent="0.35">
      <c r="A1220" t="s">
        <v>3092</v>
      </c>
      <c r="B1220" t="s">
        <v>3829</v>
      </c>
      <c r="C1220" t="s">
        <v>1776</v>
      </c>
      <c r="D1220" t="s">
        <v>13</v>
      </c>
      <c r="E1220">
        <v>1252</v>
      </c>
      <c r="F1220" t="str">
        <f>HYPERLINK("https://www.google.com/maps/search/?api=1&amp;query=24.77802,46.81731", "View Map")</f>
        <v>View Map</v>
      </c>
    </row>
    <row r="1221" spans="1:6" x14ac:dyDescent="0.35">
      <c r="A1221" t="s">
        <v>3830</v>
      </c>
      <c r="B1221" t="s">
        <v>3831</v>
      </c>
      <c r="C1221" t="s">
        <v>1776</v>
      </c>
      <c r="D1221" t="s">
        <v>13</v>
      </c>
      <c r="E1221">
        <v>1252</v>
      </c>
      <c r="F1221" t="str">
        <f>HYPERLINK("https://www.google.com/maps/search/?api=1&amp;query=24.56704379,46.76661186", "View Map")</f>
        <v>View Map</v>
      </c>
    </row>
    <row r="1222" spans="1:6" x14ac:dyDescent="0.35">
      <c r="A1222" t="s">
        <v>1806</v>
      </c>
      <c r="B1222" t="s">
        <v>3832</v>
      </c>
      <c r="C1222" t="s">
        <v>1776</v>
      </c>
      <c r="D1222" t="s">
        <v>13</v>
      </c>
      <c r="E1222">
        <v>1251</v>
      </c>
      <c r="F1222" t="str">
        <f>HYPERLINK("https://www.google.com/maps/search/?api=1&amp;query=24.82137947,46.75631389", "View Map")</f>
        <v>View Map</v>
      </c>
    </row>
    <row r="1223" spans="1:6" x14ac:dyDescent="0.35">
      <c r="A1223" t="s">
        <v>3833</v>
      </c>
      <c r="B1223" t="s">
        <v>3834</v>
      </c>
      <c r="C1223" t="s">
        <v>1776</v>
      </c>
      <c r="D1223" t="s">
        <v>13</v>
      </c>
      <c r="E1223">
        <v>1251</v>
      </c>
      <c r="F1223" t="str">
        <f>HYPERLINK("https://www.google.com/maps/search/?api=1&amp;query=24.70282583,46.82400919", "View Map")</f>
        <v>View Map</v>
      </c>
    </row>
    <row r="1224" spans="1:6" x14ac:dyDescent="0.35">
      <c r="A1224" t="s">
        <v>3835</v>
      </c>
      <c r="B1224" t="s">
        <v>3836</v>
      </c>
      <c r="C1224" t="s">
        <v>1776</v>
      </c>
      <c r="D1224" t="s">
        <v>13</v>
      </c>
      <c r="E1224">
        <v>1250</v>
      </c>
      <c r="F1224" t="str">
        <f>HYPERLINK("https://www.google.com/maps/search/?api=1&amp;query=24.60070906,46.64569344", "View Map")</f>
        <v>View Map</v>
      </c>
    </row>
    <row r="1225" spans="1:6" x14ac:dyDescent="0.35">
      <c r="A1225" t="s">
        <v>3837</v>
      </c>
      <c r="B1225" t="s">
        <v>3838</v>
      </c>
      <c r="C1225" t="s">
        <v>1776</v>
      </c>
      <c r="D1225" t="s">
        <v>13</v>
      </c>
      <c r="E1225">
        <v>1249</v>
      </c>
      <c r="F1225" t="str">
        <f>HYPERLINK("https://www.google.com/maps/search/?api=1&amp;query=24.61747763,46.68053083", "View Map")</f>
        <v>View Map</v>
      </c>
    </row>
    <row r="1226" spans="1:6" x14ac:dyDescent="0.35">
      <c r="A1226" t="s">
        <v>2396</v>
      </c>
      <c r="B1226" t="s">
        <v>3839</v>
      </c>
      <c r="C1226" t="s">
        <v>1776</v>
      </c>
      <c r="D1226" t="s">
        <v>13</v>
      </c>
      <c r="E1226">
        <v>1249</v>
      </c>
      <c r="F1226" t="str">
        <f>HYPERLINK("https://www.google.com/maps/search/?api=1&amp;query=24.61205914,46.73509434", "View Map")</f>
        <v>View Map</v>
      </c>
    </row>
    <row r="1227" spans="1:6" x14ac:dyDescent="0.35">
      <c r="A1227" t="s">
        <v>2955</v>
      </c>
      <c r="B1227" t="s">
        <v>3840</v>
      </c>
      <c r="C1227" t="s">
        <v>1776</v>
      </c>
      <c r="D1227" t="s">
        <v>9</v>
      </c>
      <c r="E1227">
        <v>1248</v>
      </c>
      <c r="F1227" t="str">
        <f>HYPERLINK("https://www.google.com/maps/search/?api=1&amp;query=24.74587652,46.74722447", "View Map")</f>
        <v>View Map</v>
      </c>
    </row>
    <row r="1228" spans="1:6" x14ac:dyDescent="0.35">
      <c r="A1228" t="s">
        <v>2178</v>
      </c>
      <c r="B1228" t="s">
        <v>3841</v>
      </c>
      <c r="C1228" t="s">
        <v>1776</v>
      </c>
      <c r="D1228" t="s">
        <v>9</v>
      </c>
      <c r="E1228">
        <v>1248</v>
      </c>
      <c r="F1228" t="str">
        <f>HYPERLINK("https://www.google.com/maps/search/?api=1&amp;query=24.644476,46.57954125", "View Map")</f>
        <v>View Map</v>
      </c>
    </row>
    <row r="1229" spans="1:6" x14ac:dyDescent="0.35">
      <c r="A1229" t="s">
        <v>1798</v>
      </c>
      <c r="B1229" t="s">
        <v>3842</v>
      </c>
      <c r="C1229" t="s">
        <v>1776</v>
      </c>
      <c r="D1229" t="s">
        <v>13</v>
      </c>
      <c r="E1229">
        <v>1247</v>
      </c>
      <c r="F1229" t="str">
        <f>HYPERLINK("https://www.google.com/maps/search/?api=1&amp;query=24.57921565,46.76080623", "View Map")</f>
        <v>View Map</v>
      </c>
    </row>
    <row r="1230" spans="1:6" x14ac:dyDescent="0.35">
      <c r="A1230" t="s">
        <v>1798</v>
      </c>
      <c r="B1230" t="s">
        <v>3843</v>
      </c>
      <c r="C1230" t="s">
        <v>1776</v>
      </c>
      <c r="D1230" t="s">
        <v>13</v>
      </c>
      <c r="E1230">
        <v>1244</v>
      </c>
      <c r="F1230" t="str">
        <f>HYPERLINK("https://www.google.com/maps/search/?api=1&amp;query=24.82437239,46.59852622", "View Map")</f>
        <v>View Map</v>
      </c>
    </row>
    <row r="1231" spans="1:6" x14ac:dyDescent="0.35">
      <c r="A1231" t="s">
        <v>2684</v>
      </c>
      <c r="B1231" t="s">
        <v>3844</v>
      </c>
      <c r="C1231" t="s">
        <v>1776</v>
      </c>
      <c r="D1231" t="s">
        <v>9</v>
      </c>
      <c r="E1231">
        <v>1243</v>
      </c>
      <c r="F1231" t="str">
        <f>HYPERLINK("https://www.google.com/maps/search/?api=1&amp;query=24.59557975,46.60421244", "View Map")</f>
        <v>View Map</v>
      </c>
    </row>
    <row r="1232" spans="1:6" x14ac:dyDescent="0.35">
      <c r="A1232" t="s">
        <v>3845</v>
      </c>
      <c r="B1232" t="s">
        <v>3846</v>
      </c>
      <c r="C1232" t="s">
        <v>1776</v>
      </c>
      <c r="D1232" t="s">
        <v>13</v>
      </c>
      <c r="E1232">
        <v>1243</v>
      </c>
      <c r="F1232" t="str">
        <f>HYPERLINK("https://www.google.com/maps/search/?api=1&amp;query=24.59470148,46.67763248", "View Map")</f>
        <v>View Map</v>
      </c>
    </row>
    <row r="1233" spans="1:6" x14ac:dyDescent="0.35">
      <c r="A1233" t="s">
        <v>3847</v>
      </c>
      <c r="B1233" t="s">
        <v>3848</v>
      </c>
      <c r="C1233" t="s">
        <v>1776</v>
      </c>
      <c r="D1233" t="s">
        <v>9</v>
      </c>
      <c r="E1233">
        <v>1243</v>
      </c>
      <c r="F1233" t="str">
        <f>HYPERLINK("https://www.google.com/maps/search/?api=1&amp;query=24.6397,46.7139", "View Map")</f>
        <v>View Map</v>
      </c>
    </row>
    <row r="1234" spans="1:6" x14ac:dyDescent="0.35">
      <c r="A1234" t="s">
        <v>1976</v>
      </c>
      <c r="B1234" t="s">
        <v>3849</v>
      </c>
      <c r="C1234" t="s">
        <v>1776</v>
      </c>
      <c r="D1234" t="s">
        <v>13</v>
      </c>
      <c r="E1234">
        <v>1241</v>
      </c>
      <c r="F1234" t="str">
        <f>HYPERLINK("https://www.google.com/maps/search/?api=1&amp;query=24.76956795,46.77294623", "View Map")</f>
        <v>View Map</v>
      </c>
    </row>
    <row r="1235" spans="1:6" x14ac:dyDescent="0.35">
      <c r="A1235" t="s">
        <v>3850</v>
      </c>
      <c r="B1235" t="s">
        <v>3851</v>
      </c>
      <c r="C1235" t="s">
        <v>1776</v>
      </c>
      <c r="D1235" t="s">
        <v>9</v>
      </c>
      <c r="E1235">
        <v>1241</v>
      </c>
      <c r="F1235" t="str">
        <f>HYPERLINK("https://www.google.com/maps/search/?api=1&amp;query=24.71256,46.74539", "View Map")</f>
        <v>View Map</v>
      </c>
    </row>
    <row r="1236" spans="1:6" x14ac:dyDescent="0.35">
      <c r="A1236" t="s">
        <v>3852</v>
      </c>
      <c r="B1236" t="s">
        <v>3853</v>
      </c>
      <c r="C1236" t="s">
        <v>1776</v>
      </c>
      <c r="D1236" t="s">
        <v>9</v>
      </c>
      <c r="E1236">
        <v>1240</v>
      </c>
      <c r="F1236" t="str">
        <f>HYPERLINK("https://www.google.com/maps/search/?api=1&amp;query=24.63539422,46.72565958", "View Map")</f>
        <v>View Map</v>
      </c>
    </row>
    <row r="1237" spans="1:6" x14ac:dyDescent="0.35">
      <c r="A1237" t="s">
        <v>1947</v>
      </c>
      <c r="B1237" t="s">
        <v>3854</v>
      </c>
      <c r="C1237" t="s">
        <v>1776</v>
      </c>
      <c r="D1237" t="s">
        <v>13</v>
      </c>
      <c r="E1237">
        <v>1238</v>
      </c>
      <c r="F1237" t="str">
        <f>HYPERLINK("https://www.google.com/maps/search/?api=1&amp;query=24.57471172,46.71625806", "View Map")</f>
        <v>View Map</v>
      </c>
    </row>
    <row r="1238" spans="1:6" x14ac:dyDescent="0.35">
      <c r="A1238" t="s">
        <v>3855</v>
      </c>
      <c r="B1238" t="s">
        <v>3856</v>
      </c>
      <c r="C1238" t="s">
        <v>1776</v>
      </c>
      <c r="D1238" t="s">
        <v>13</v>
      </c>
      <c r="E1238">
        <v>1237</v>
      </c>
      <c r="F1238" t="str">
        <f>HYPERLINK("https://www.google.com/maps/search/?api=1&amp;query=24.6267,46.7072", "View Map")</f>
        <v>View Map</v>
      </c>
    </row>
    <row r="1239" spans="1:6" x14ac:dyDescent="0.35">
      <c r="A1239" t="s">
        <v>1798</v>
      </c>
      <c r="B1239" t="s">
        <v>3857</v>
      </c>
      <c r="C1239" t="s">
        <v>1776</v>
      </c>
      <c r="D1239" t="s">
        <v>9</v>
      </c>
      <c r="E1239">
        <v>1236</v>
      </c>
      <c r="F1239" t="str">
        <f>HYPERLINK("https://www.google.com/maps/search/?api=1&amp;query=24.82635582,46.60725652", "View Map")</f>
        <v>View Map</v>
      </c>
    </row>
    <row r="1240" spans="1:6" x14ac:dyDescent="0.35">
      <c r="A1240" t="s">
        <v>3858</v>
      </c>
      <c r="B1240" t="s">
        <v>3859</v>
      </c>
      <c r="C1240" t="s">
        <v>1776</v>
      </c>
      <c r="D1240" t="s">
        <v>13</v>
      </c>
      <c r="E1240">
        <v>1236</v>
      </c>
      <c r="F1240" t="str">
        <f>HYPERLINK("https://www.google.com/maps/search/?api=1&amp;query=24.67514376,46.80769179", "View Map")</f>
        <v>View Map</v>
      </c>
    </row>
    <row r="1241" spans="1:6" x14ac:dyDescent="0.35">
      <c r="A1241" t="s">
        <v>1806</v>
      </c>
      <c r="B1241" t="s">
        <v>3860</v>
      </c>
      <c r="C1241" t="s">
        <v>1776</v>
      </c>
      <c r="D1241" t="s">
        <v>9</v>
      </c>
      <c r="E1241">
        <v>1235</v>
      </c>
      <c r="F1241" t="str">
        <f>HYPERLINK("https://www.google.com/maps/search/?api=1&amp;query=24.81411014,46.61353973", "View Map")</f>
        <v>View Map</v>
      </c>
    </row>
    <row r="1242" spans="1:6" x14ac:dyDescent="0.35">
      <c r="A1242" t="s">
        <v>3861</v>
      </c>
      <c r="B1242" t="s">
        <v>3862</v>
      </c>
      <c r="C1242" t="s">
        <v>1776</v>
      </c>
      <c r="D1242" t="s">
        <v>9</v>
      </c>
      <c r="E1242">
        <v>1235</v>
      </c>
      <c r="F1242" t="str">
        <f>HYPERLINK("https://www.google.com/maps/search/?api=1&amp;query=24.75983333,46.82809271", "View Map")</f>
        <v>View Map</v>
      </c>
    </row>
    <row r="1243" spans="1:6" x14ac:dyDescent="0.35">
      <c r="A1243" t="s">
        <v>3863</v>
      </c>
      <c r="B1243" t="s">
        <v>3864</v>
      </c>
      <c r="C1243" t="s">
        <v>1776</v>
      </c>
      <c r="D1243" t="s">
        <v>9</v>
      </c>
      <c r="E1243">
        <v>1234</v>
      </c>
      <c r="F1243" t="str">
        <f>HYPERLINK("https://www.google.com/maps/search/?api=1&amp;query=24.57519491,46.5990841", "View Map")</f>
        <v>View Map</v>
      </c>
    </row>
    <row r="1244" spans="1:6" x14ac:dyDescent="0.35">
      <c r="A1244" t="s">
        <v>3865</v>
      </c>
      <c r="B1244" t="s">
        <v>3866</v>
      </c>
      <c r="C1244" t="s">
        <v>1843</v>
      </c>
      <c r="D1244" t="s">
        <v>13</v>
      </c>
      <c r="E1244">
        <v>1233</v>
      </c>
      <c r="F1244" t="str">
        <f>HYPERLINK("https://www.google.com/maps/search/?api=1&amp;query=24.73165303,46.60699195", "View Map")</f>
        <v>View Map</v>
      </c>
    </row>
    <row r="1245" spans="1:6" x14ac:dyDescent="0.35">
      <c r="A1245" t="s">
        <v>3867</v>
      </c>
      <c r="B1245" t="s">
        <v>3868</v>
      </c>
      <c r="C1245" t="s">
        <v>1776</v>
      </c>
      <c r="D1245" t="s">
        <v>9</v>
      </c>
      <c r="E1245">
        <v>1233</v>
      </c>
      <c r="F1245" t="str">
        <f>HYPERLINK("https://www.google.com/maps/search/?api=1&amp;query=24.55238324,46.51014576", "View Map")</f>
        <v>View Map</v>
      </c>
    </row>
    <row r="1246" spans="1:6" x14ac:dyDescent="0.35">
      <c r="A1246" t="s">
        <v>2861</v>
      </c>
      <c r="B1246" t="s">
        <v>3869</v>
      </c>
      <c r="C1246" t="s">
        <v>1776</v>
      </c>
      <c r="D1246" t="s">
        <v>13</v>
      </c>
      <c r="E1246">
        <v>1231</v>
      </c>
      <c r="F1246" t="str">
        <f>HYPERLINK("https://www.google.com/maps/search/?api=1&amp;query=24.70369435,46.80415082", "View Map")</f>
        <v>View Map</v>
      </c>
    </row>
    <row r="1247" spans="1:6" x14ac:dyDescent="0.35">
      <c r="A1247" t="s">
        <v>3870</v>
      </c>
      <c r="B1247" t="s">
        <v>3871</v>
      </c>
      <c r="C1247" t="s">
        <v>1776</v>
      </c>
      <c r="D1247" t="s">
        <v>13</v>
      </c>
      <c r="E1247">
        <v>1231</v>
      </c>
      <c r="F1247" t="str">
        <f>HYPERLINK("https://www.google.com/maps/search/?api=1&amp;query=24.61923434,46.73555924", "View Map")</f>
        <v>View Map</v>
      </c>
    </row>
    <row r="1248" spans="1:6" x14ac:dyDescent="0.35">
      <c r="A1248" t="s">
        <v>3872</v>
      </c>
      <c r="B1248" t="s">
        <v>3873</v>
      </c>
      <c r="C1248" t="s">
        <v>1776</v>
      </c>
      <c r="D1248" t="s">
        <v>13</v>
      </c>
      <c r="E1248">
        <v>1230</v>
      </c>
      <c r="F1248" t="str">
        <f>HYPERLINK("https://www.google.com/maps/search/?api=1&amp;query=24.55261447,46.49174604", "View Map")</f>
        <v>View Map</v>
      </c>
    </row>
    <row r="1249" spans="1:6" x14ac:dyDescent="0.35">
      <c r="A1249" t="s">
        <v>3874</v>
      </c>
      <c r="B1249" t="s">
        <v>3875</v>
      </c>
      <c r="C1249" t="s">
        <v>1776</v>
      </c>
      <c r="D1249" t="s">
        <v>13</v>
      </c>
      <c r="E1249">
        <v>1229</v>
      </c>
      <c r="F1249" t="str">
        <f>HYPERLINK("https://www.google.com/maps/search/?api=1&amp;query=24.60861776,46.75208462", "View Map")</f>
        <v>View Map</v>
      </c>
    </row>
    <row r="1250" spans="1:6" x14ac:dyDescent="0.35">
      <c r="A1250" t="s">
        <v>3876</v>
      </c>
      <c r="B1250" t="s">
        <v>3877</v>
      </c>
      <c r="C1250" t="s">
        <v>1776</v>
      </c>
      <c r="D1250" t="s">
        <v>13</v>
      </c>
      <c r="E1250">
        <v>1228</v>
      </c>
      <c r="F1250" t="str">
        <f>HYPERLINK("https://www.google.com/maps/search/?api=1&amp;query=24.6122,46.7019", "View Map")</f>
        <v>View Map</v>
      </c>
    </row>
    <row r="1251" spans="1:6" x14ac:dyDescent="0.35">
      <c r="A1251" t="s">
        <v>1798</v>
      </c>
      <c r="B1251" t="s">
        <v>3878</v>
      </c>
      <c r="C1251" t="s">
        <v>1776</v>
      </c>
      <c r="D1251" t="s">
        <v>13</v>
      </c>
      <c r="E1251">
        <v>1228</v>
      </c>
      <c r="F1251" t="str">
        <f>HYPERLINK("https://www.google.com/maps/search/?api=1&amp;query=24.8482008,46.81758944", "View Map")</f>
        <v>View Map</v>
      </c>
    </row>
    <row r="1252" spans="1:6" x14ac:dyDescent="0.35">
      <c r="A1252" t="s">
        <v>3879</v>
      </c>
      <c r="B1252" t="s">
        <v>3880</v>
      </c>
      <c r="C1252" t="s">
        <v>1776</v>
      </c>
      <c r="D1252" t="s">
        <v>13</v>
      </c>
      <c r="E1252">
        <v>1228</v>
      </c>
      <c r="F1252" t="str">
        <f>HYPERLINK("https://www.google.com/maps/search/?api=1&amp;query=24.55163773,46.65317337", "View Map")</f>
        <v>View Map</v>
      </c>
    </row>
    <row r="1253" spans="1:6" x14ac:dyDescent="0.35">
      <c r="A1253" t="s">
        <v>1947</v>
      </c>
      <c r="B1253" t="s">
        <v>3881</v>
      </c>
      <c r="C1253" t="s">
        <v>1776</v>
      </c>
      <c r="D1253" t="s">
        <v>13</v>
      </c>
      <c r="E1253">
        <v>1227</v>
      </c>
      <c r="F1253" t="str">
        <f>HYPERLINK("https://www.google.com/maps/search/?api=1&amp;query=24.67075781,46.74287983", "View Map")</f>
        <v>View Map</v>
      </c>
    </row>
    <row r="1254" spans="1:6" x14ac:dyDescent="0.35">
      <c r="A1254" t="s">
        <v>1806</v>
      </c>
      <c r="B1254" t="s">
        <v>3882</v>
      </c>
      <c r="C1254" t="s">
        <v>1776</v>
      </c>
      <c r="D1254" t="s">
        <v>13</v>
      </c>
      <c r="E1254">
        <v>1226</v>
      </c>
      <c r="F1254" t="str">
        <f>HYPERLINK("https://www.google.com/maps/search/?api=1&amp;query=24.80272639,46.87163955", "View Map")</f>
        <v>View Map</v>
      </c>
    </row>
    <row r="1255" spans="1:6" x14ac:dyDescent="0.35">
      <c r="A1255" t="s">
        <v>3883</v>
      </c>
      <c r="B1255" t="s">
        <v>3884</v>
      </c>
      <c r="C1255" t="s">
        <v>1776</v>
      </c>
      <c r="D1255" t="s">
        <v>13</v>
      </c>
      <c r="E1255">
        <v>1226</v>
      </c>
      <c r="F1255" t="str">
        <f>HYPERLINK("https://www.google.com/maps/search/?api=1&amp;query=24.61484005,46.71801665", "View Map")</f>
        <v>View Map</v>
      </c>
    </row>
    <row r="1256" spans="1:6" x14ac:dyDescent="0.35">
      <c r="A1256" t="s">
        <v>1806</v>
      </c>
      <c r="B1256" t="s">
        <v>3885</v>
      </c>
      <c r="C1256" t="s">
        <v>1776</v>
      </c>
      <c r="D1256" t="s">
        <v>13</v>
      </c>
      <c r="E1256">
        <v>1225</v>
      </c>
      <c r="F1256" t="str">
        <f>HYPERLINK("https://www.google.com/maps/search/?api=1&amp;query=24.83158964,46.76052856", "View Map")</f>
        <v>View Map</v>
      </c>
    </row>
    <row r="1257" spans="1:6" x14ac:dyDescent="0.35">
      <c r="A1257" t="s">
        <v>1798</v>
      </c>
      <c r="B1257" t="s">
        <v>3886</v>
      </c>
      <c r="C1257" t="s">
        <v>1776</v>
      </c>
      <c r="D1257" t="s">
        <v>13</v>
      </c>
      <c r="E1257">
        <v>1225</v>
      </c>
      <c r="F1257" t="str">
        <f>HYPERLINK("https://www.google.com/maps/search/?api=1&amp;query=24.84402774,46.82158765", "View Map")</f>
        <v>View Map</v>
      </c>
    </row>
    <row r="1258" spans="1:6" x14ac:dyDescent="0.35">
      <c r="A1258" t="s">
        <v>3887</v>
      </c>
      <c r="B1258" t="s">
        <v>3888</v>
      </c>
      <c r="C1258" t="s">
        <v>1776</v>
      </c>
      <c r="D1258" t="s">
        <v>9</v>
      </c>
      <c r="E1258">
        <v>1222</v>
      </c>
      <c r="F1258" t="str">
        <f>HYPERLINK("https://www.google.com/maps/search/?api=1&amp;query=24.71866892,46.78548782", "View Map")</f>
        <v>View Map</v>
      </c>
    </row>
    <row r="1259" spans="1:6" x14ac:dyDescent="0.35">
      <c r="A1259" t="s">
        <v>3889</v>
      </c>
      <c r="B1259" t="s">
        <v>3890</v>
      </c>
      <c r="C1259" t="s">
        <v>1776</v>
      </c>
      <c r="D1259" t="s">
        <v>13</v>
      </c>
      <c r="E1259">
        <v>1222</v>
      </c>
      <c r="F1259" t="str">
        <f>HYPERLINK("https://www.google.com/maps/search/?api=1&amp;query=24.76462182,46.76403247", "View Map")</f>
        <v>View Map</v>
      </c>
    </row>
    <row r="1260" spans="1:6" x14ac:dyDescent="0.35">
      <c r="A1260" t="s">
        <v>3891</v>
      </c>
      <c r="B1260" t="s">
        <v>3892</v>
      </c>
      <c r="C1260" t="s">
        <v>1776</v>
      </c>
      <c r="D1260" t="s">
        <v>13</v>
      </c>
      <c r="E1260">
        <v>1219</v>
      </c>
      <c r="F1260" t="str">
        <f>HYPERLINK("https://www.google.com/maps/search/?api=1&amp;query=24.5807133,46.63335888", "View Map")</f>
        <v>View Map</v>
      </c>
    </row>
    <row r="1261" spans="1:6" x14ac:dyDescent="0.35">
      <c r="A1261" t="s">
        <v>3893</v>
      </c>
      <c r="B1261" t="s">
        <v>3894</v>
      </c>
      <c r="C1261" t="s">
        <v>1776</v>
      </c>
      <c r="D1261" t="s">
        <v>13</v>
      </c>
      <c r="E1261">
        <v>1217</v>
      </c>
      <c r="F1261" t="str">
        <f>HYPERLINK("https://www.google.com/maps/search/?api=1&amp;query=24.79925151,46.75696958", "View Map")</f>
        <v>View Map</v>
      </c>
    </row>
    <row r="1262" spans="1:6" x14ac:dyDescent="0.35">
      <c r="A1262" t="s">
        <v>1798</v>
      </c>
      <c r="B1262" t="s">
        <v>3895</v>
      </c>
      <c r="C1262" t="s">
        <v>1776</v>
      </c>
      <c r="D1262" t="s">
        <v>13</v>
      </c>
      <c r="E1262">
        <v>1216</v>
      </c>
      <c r="F1262" t="str">
        <f>HYPERLINK("https://www.google.com/maps/search/?api=1&amp;query=24.78988799,46.69180053", "View Map")</f>
        <v>View Map</v>
      </c>
    </row>
    <row r="1263" spans="1:6" x14ac:dyDescent="0.35">
      <c r="A1263" t="s">
        <v>3896</v>
      </c>
      <c r="B1263" t="s">
        <v>3897</v>
      </c>
      <c r="C1263" t="s">
        <v>1776</v>
      </c>
      <c r="D1263" t="s">
        <v>13</v>
      </c>
      <c r="E1263">
        <v>1216</v>
      </c>
      <c r="F1263" t="str">
        <f>HYPERLINK("https://www.google.com/maps/search/?api=1&amp;query=24.60857789,46.73029463", "View Map")</f>
        <v>View Map</v>
      </c>
    </row>
    <row r="1264" spans="1:6" x14ac:dyDescent="0.35">
      <c r="A1264" t="s">
        <v>1798</v>
      </c>
      <c r="B1264" t="s">
        <v>3898</v>
      </c>
      <c r="C1264" t="s">
        <v>1776</v>
      </c>
      <c r="D1264" t="s">
        <v>9</v>
      </c>
      <c r="E1264">
        <v>1215</v>
      </c>
      <c r="F1264" t="str">
        <f>HYPERLINK("https://www.google.com/maps/search/?api=1&amp;query=24.92525789,46.82341566", "View Map")</f>
        <v>View Map</v>
      </c>
    </row>
    <row r="1265" spans="1:6" x14ac:dyDescent="0.35">
      <c r="A1265" t="s">
        <v>3899</v>
      </c>
      <c r="B1265" t="s">
        <v>3900</v>
      </c>
      <c r="C1265" t="s">
        <v>1776</v>
      </c>
      <c r="D1265" t="s">
        <v>13</v>
      </c>
      <c r="E1265">
        <v>1215</v>
      </c>
      <c r="F1265" t="str">
        <f>HYPERLINK("https://www.google.com/maps/search/?api=1&amp;query=24.78410917,46.82237605", "View Map")</f>
        <v>View Map</v>
      </c>
    </row>
    <row r="1266" spans="1:6" x14ac:dyDescent="0.35">
      <c r="A1266" t="s">
        <v>3901</v>
      </c>
      <c r="B1266" t="s">
        <v>3902</v>
      </c>
      <c r="C1266" t="s">
        <v>1776</v>
      </c>
      <c r="D1266" t="s">
        <v>13</v>
      </c>
      <c r="E1266">
        <v>1215</v>
      </c>
      <c r="F1266" t="str">
        <f>HYPERLINK("https://www.google.com/maps/search/?api=1&amp;query=24.62866987,46.72821145", "View Map")</f>
        <v>View Map</v>
      </c>
    </row>
    <row r="1267" spans="1:6" x14ac:dyDescent="0.35">
      <c r="A1267" t="s">
        <v>3903</v>
      </c>
      <c r="B1267" t="s">
        <v>3904</v>
      </c>
      <c r="C1267" t="s">
        <v>1776</v>
      </c>
      <c r="D1267" t="s">
        <v>13</v>
      </c>
      <c r="E1267">
        <v>1214</v>
      </c>
      <c r="F1267" t="str">
        <f>HYPERLINK("https://www.google.com/maps/search/?api=1&amp;query=24.59860619,46.60744027", "View Map")</f>
        <v>View Map</v>
      </c>
    </row>
    <row r="1268" spans="1:6" x14ac:dyDescent="0.35">
      <c r="A1268" t="s">
        <v>3905</v>
      </c>
      <c r="B1268" t="s">
        <v>3906</v>
      </c>
      <c r="C1268" t="s">
        <v>1776</v>
      </c>
      <c r="D1268" t="s">
        <v>13</v>
      </c>
      <c r="E1268">
        <v>1213</v>
      </c>
      <c r="F1268" t="str">
        <f>HYPERLINK("https://www.google.com/maps/search/?api=1&amp;query=24.7297,46.8114", "View Map")</f>
        <v>View Map</v>
      </c>
    </row>
    <row r="1269" spans="1:6" x14ac:dyDescent="0.35">
      <c r="A1269" t="s">
        <v>3907</v>
      </c>
      <c r="B1269" t="s">
        <v>3908</v>
      </c>
      <c r="C1269" t="s">
        <v>1776</v>
      </c>
      <c r="D1269" t="s">
        <v>13</v>
      </c>
      <c r="E1269">
        <v>1212</v>
      </c>
      <c r="F1269" t="str">
        <f>HYPERLINK("https://www.google.com/maps/search/?api=1&amp;query=24.69999857,46.80127742", "View Map")</f>
        <v>View Map</v>
      </c>
    </row>
    <row r="1270" spans="1:6" x14ac:dyDescent="0.35">
      <c r="A1270" t="s">
        <v>3909</v>
      </c>
      <c r="B1270" t="s">
        <v>3910</v>
      </c>
      <c r="C1270" t="s">
        <v>1776</v>
      </c>
      <c r="D1270" t="s">
        <v>13</v>
      </c>
      <c r="E1270">
        <v>1211</v>
      </c>
      <c r="F1270" t="str">
        <f>HYPERLINK("https://www.google.com/maps/search/?api=1&amp;query=24.57561083,46.70002752", "View Map")</f>
        <v>View Map</v>
      </c>
    </row>
    <row r="1271" spans="1:6" x14ac:dyDescent="0.35">
      <c r="A1271" t="s">
        <v>3911</v>
      </c>
      <c r="B1271" t="s">
        <v>3912</v>
      </c>
      <c r="C1271" t="s">
        <v>1776</v>
      </c>
      <c r="D1271" t="s">
        <v>13</v>
      </c>
      <c r="E1271">
        <v>1210</v>
      </c>
      <c r="F1271" t="str">
        <f>HYPERLINK("https://www.google.com/maps/search/?api=1&amp;query=24.56765304,46.75370021", "View Map")</f>
        <v>View Map</v>
      </c>
    </row>
    <row r="1272" spans="1:6" x14ac:dyDescent="0.35">
      <c r="A1272" t="s">
        <v>1806</v>
      </c>
      <c r="B1272" t="s">
        <v>3913</v>
      </c>
      <c r="C1272" t="s">
        <v>1776</v>
      </c>
      <c r="D1272" t="s">
        <v>9</v>
      </c>
      <c r="E1272">
        <v>1210</v>
      </c>
      <c r="F1272" t="str">
        <f>HYPERLINK("https://www.google.com/maps/search/?api=1&amp;query=24.84352026,46.76454994", "View Map")</f>
        <v>View Map</v>
      </c>
    </row>
    <row r="1273" spans="1:6" x14ac:dyDescent="0.35">
      <c r="A1273" t="s">
        <v>3914</v>
      </c>
      <c r="B1273" t="s">
        <v>3915</v>
      </c>
      <c r="C1273" t="s">
        <v>1776</v>
      </c>
      <c r="D1273" t="s">
        <v>13</v>
      </c>
      <c r="E1273">
        <v>1209</v>
      </c>
      <c r="F1273" t="str">
        <f>HYPERLINK("https://www.google.com/maps/search/?api=1&amp;query=24.62314321,46.55773407", "View Map")</f>
        <v>View Map</v>
      </c>
    </row>
    <row r="1274" spans="1:6" x14ac:dyDescent="0.35">
      <c r="A1274" t="s">
        <v>2178</v>
      </c>
      <c r="B1274" t="s">
        <v>3916</v>
      </c>
      <c r="C1274" t="s">
        <v>1776</v>
      </c>
      <c r="D1274" t="s">
        <v>9</v>
      </c>
      <c r="E1274">
        <v>1208</v>
      </c>
      <c r="F1274" t="str">
        <f>HYPERLINK("https://www.google.com/maps/search/?api=1&amp;query=24.79928671,46.67671869", "View Map")</f>
        <v>View Map</v>
      </c>
    </row>
    <row r="1275" spans="1:6" x14ac:dyDescent="0.35">
      <c r="A1275" t="s">
        <v>1265</v>
      </c>
      <c r="B1275" t="s">
        <v>3917</v>
      </c>
      <c r="C1275" t="s">
        <v>1776</v>
      </c>
      <c r="D1275" t="s">
        <v>13</v>
      </c>
      <c r="E1275">
        <v>1207</v>
      </c>
      <c r="F1275" t="str">
        <f>HYPERLINK("https://www.google.com/maps/search/?api=1&amp;query=24.7043586,46.81605043", "View Map")</f>
        <v>View Map</v>
      </c>
    </row>
    <row r="1276" spans="1:6" x14ac:dyDescent="0.35">
      <c r="A1276" t="s">
        <v>1947</v>
      </c>
      <c r="B1276" t="s">
        <v>3918</v>
      </c>
      <c r="C1276" t="s">
        <v>1776</v>
      </c>
      <c r="D1276" t="s">
        <v>9</v>
      </c>
      <c r="E1276">
        <v>1207</v>
      </c>
      <c r="F1276" t="str">
        <f>HYPERLINK("https://www.google.com/maps/search/?api=1&amp;query=24.55866422,46.51565287", "View Map")</f>
        <v>View Map</v>
      </c>
    </row>
    <row r="1277" spans="1:6" x14ac:dyDescent="0.35">
      <c r="A1277" t="s">
        <v>3919</v>
      </c>
      <c r="B1277" t="s">
        <v>3920</v>
      </c>
      <c r="C1277" t="s">
        <v>1776</v>
      </c>
      <c r="D1277" t="s">
        <v>13</v>
      </c>
      <c r="E1277">
        <v>1207</v>
      </c>
      <c r="F1277" t="str">
        <f>HYPERLINK("https://www.google.com/maps/search/?api=1&amp;query=24.57631085,46.66646059", "View Map")</f>
        <v>View Map</v>
      </c>
    </row>
    <row r="1278" spans="1:6" x14ac:dyDescent="0.35">
      <c r="A1278" t="s">
        <v>1947</v>
      </c>
      <c r="B1278" t="s">
        <v>3921</v>
      </c>
      <c r="C1278" t="s">
        <v>1776</v>
      </c>
      <c r="D1278" t="s">
        <v>13</v>
      </c>
      <c r="E1278">
        <v>1206</v>
      </c>
      <c r="F1278" t="str">
        <f>HYPERLINK("https://www.google.com/maps/search/?api=1&amp;query=24.69169,46.57999", "View Map")</f>
        <v>View Map</v>
      </c>
    </row>
    <row r="1279" spans="1:6" x14ac:dyDescent="0.35">
      <c r="A1279" t="s">
        <v>3922</v>
      </c>
      <c r="B1279" t="s">
        <v>3923</v>
      </c>
      <c r="C1279" t="s">
        <v>1776</v>
      </c>
      <c r="D1279" t="s">
        <v>13</v>
      </c>
      <c r="E1279">
        <v>1205</v>
      </c>
      <c r="F1279" t="str">
        <f>HYPERLINK("https://www.google.com/maps/search/?api=1&amp;query=24.74972807,46.81182744", "View Map")</f>
        <v>View Map</v>
      </c>
    </row>
    <row r="1280" spans="1:6" x14ac:dyDescent="0.35">
      <c r="A1280" t="s">
        <v>2777</v>
      </c>
      <c r="B1280" t="s">
        <v>3924</v>
      </c>
      <c r="C1280" t="s">
        <v>1776</v>
      </c>
      <c r="D1280" t="s">
        <v>9</v>
      </c>
      <c r="E1280">
        <v>1205</v>
      </c>
      <c r="F1280" t="str">
        <f>HYPERLINK("https://www.google.com/maps/search/?api=1&amp;query=24.69604829,46.76894689", "View Map")</f>
        <v>View Map</v>
      </c>
    </row>
    <row r="1281" spans="1:6" x14ac:dyDescent="0.35">
      <c r="A1281" t="s">
        <v>3925</v>
      </c>
      <c r="B1281" t="s">
        <v>3926</v>
      </c>
      <c r="C1281" t="s">
        <v>1776</v>
      </c>
      <c r="D1281" t="s">
        <v>13</v>
      </c>
      <c r="E1281">
        <v>1205</v>
      </c>
      <c r="F1281" t="str">
        <f>HYPERLINK("https://www.google.com/maps/search/?api=1&amp;query=24.65445903,46.73400105", "View Map")</f>
        <v>View Map</v>
      </c>
    </row>
    <row r="1282" spans="1:6" x14ac:dyDescent="0.35">
      <c r="A1282" t="s">
        <v>3927</v>
      </c>
      <c r="B1282" t="s">
        <v>3928</v>
      </c>
      <c r="C1282" t="s">
        <v>1776</v>
      </c>
      <c r="D1282" t="s">
        <v>13</v>
      </c>
      <c r="E1282">
        <v>1203</v>
      </c>
      <c r="F1282" t="str">
        <f>HYPERLINK("https://www.google.com/maps/search/?api=1&amp;query=24.76137489,46.81414004", "View Map")</f>
        <v>View Map</v>
      </c>
    </row>
    <row r="1283" spans="1:6" x14ac:dyDescent="0.35">
      <c r="A1283" t="s">
        <v>3929</v>
      </c>
      <c r="B1283" t="s">
        <v>3930</v>
      </c>
      <c r="C1283" t="s">
        <v>1776</v>
      </c>
      <c r="D1283" t="s">
        <v>13</v>
      </c>
      <c r="E1283">
        <v>1203</v>
      </c>
      <c r="F1283" t="str">
        <f>HYPERLINK("https://www.google.com/maps/search/?api=1&amp;query=24.66092715,46.79239513", "View Map")</f>
        <v>View Map</v>
      </c>
    </row>
    <row r="1284" spans="1:6" x14ac:dyDescent="0.35">
      <c r="A1284" t="s">
        <v>3931</v>
      </c>
      <c r="B1284" t="s">
        <v>3932</v>
      </c>
      <c r="C1284" t="s">
        <v>1776</v>
      </c>
      <c r="D1284" t="s">
        <v>13</v>
      </c>
      <c r="E1284">
        <v>1202</v>
      </c>
      <c r="F1284" t="str">
        <f>HYPERLINK("https://www.google.com/maps/search/?api=1&amp;query=24.59807471,46.66745211", "View Map")</f>
        <v>View Map</v>
      </c>
    </row>
    <row r="1285" spans="1:6" x14ac:dyDescent="0.35">
      <c r="A1285" t="s">
        <v>3933</v>
      </c>
      <c r="B1285" t="s">
        <v>3934</v>
      </c>
      <c r="C1285" t="s">
        <v>1776</v>
      </c>
      <c r="D1285" t="s">
        <v>13</v>
      </c>
      <c r="E1285">
        <v>1202</v>
      </c>
      <c r="F1285" t="str">
        <f>HYPERLINK("https://www.google.com/maps/search/?api=1&amp;query=24.77325101,46.62159992", "View Map")</f>
        <v>View Map</v>
      </c>
    </row>
    <row r="1286" spans="1:6" x14ac:dyDescent="0.35">
      <c r="A1286" t="s">
        <v>3935</v>
      </c>
      <c r="B1286" t="s">
        <v>3936</v>
      </c>
      <c r="C1286" t="s">
        <v>1776</v>
      </c>
      <c r="D1286" t="s">
        <v>13</v>
      </c>
      <c r="E1286">
        <v>1201</v>
      </c>
      <c r="F1286" t="str">
        <f>HYPERLINK("https://www.google.com/maps/search/?api=1&amp;query=24.67828205,46.74011348", "View Map")</f>
        <v>View Map</v>
      </c>
    </row>
    <row r="1287" spans="1:6" x14ac:dyDescent="0.35">
      <c r="A1287" t="s">
        <v>3937</v>
      </c>
      <c r="B1287" t="s">
        <v>3938</v>
      </c>
      <c r="C1287" t="s">
        <v>1776</v>
      </c>
      <c r="D1287" t="s">
        <v>9</v>
      </c>
      <c r="E1287">
        <v>1197</v>
      </c>
      <c r="F1287" t="str">
        <f>HYPERLINK("https://www.google.com/maps/search/?api=1&amp;query=24.60648419,46.65019651", "View Map")</f>
        <v>View Map</v>
      </c>
    </row>
    <row r="1288" spans="1:6" x14ac:dyDescent="0.35">
      <c r="A1288" t="s">
        <v>3939</v>
      </c>
      <c r="B1288" t="s">
        <v>3940</v>
      </c>
      <c r="C1288" t="s">
        <v>1776</v>
      </c>
      <c r="D1288" t="s">
        <v>13</v>
      </c>
      <c r="E1288">
        <v>1197</v>
      </c>
      <c r="F1288" t="str">
        <f>HYPERLINK("https://www.google.com/maps/search/?api=1&amp;query=24.63417627,46.71832189", "View Map")</f>
        <v>View Map</v>
      </c>
    </row>
    <row r="1289" spans="1:6" x14ac:dyDescent="0.35">
      <c r="A1289" t="s">
        <v>1798</v>
      </c>
      <c r="B1289" t="s">
        <v>3941</v>
      </c>
      <c r="C1289" t="s">
        <v>1776</v>
      </c>
      <c r="D1289" t="s">
        <v>13</v>
      </c>
      <c r="E1289">
        <v>1196</v>
      </c>
      <c r="F1289" t="str">
        <f>HYPERLINK("https://www.google.com/maps/search/?api=1&amp;query=24.89074023,46.60977969", "View Map")</f>
        <v>View Map</v>
      </c>
    </row>
    <row r="1290" spans="1:6" x14ac:dyDescent="0.35">
      <c r="A1290" t="s">
        <v>3942</v>
      </c>
      <c r="B1290" t="s">
        <v>3943</v>
      </c>
      <c r="C1290" t="s">
        <v>1776</v>
      </c>
      <c r="D1290" t="s">
        <v>13</v>
      </c>
      <c r="E1290">
        <v>1195</v>
      </c>
      <c r="F1290" t="str">
        <f>HYPERLINK("https://www.google.com/maps/search/?api=1&amp;query=24.55218905,46.78653029", "View Map")</f>
        <v>View Map</v>
      </c>
    </row>
    <row r="1291" spans="1:6" x14ac:dyDescent="0.35">
      <c r="A1291" t="s">
        <v>3944</v>
      </c>
      <c r="B1291" t="s">
        <v>3945</v>
      </c>
      <c r="C1291" t="s">
        <v>1776</v>
      </c>
      <c r="D1291" t="s">
        <v>13</v>
      </c>
      <c r="E1291">
        <v>1193</v>
      </c>
      <c r="F1291" t="str">
        <f>HYPERLINK("https://www.google.com/maps/search/?api=1&amp;query=24.59685742,46.65816017", "View Map")</f>
        <v>View Map</v>
      </c>
    </row>
    <row r="1292" spans="1:6" x14ac:dyDescent="0.35">
      <c r="A1292" t="s">
        <v>3946</v>
      </c>
      <c r="B1292" t="s">
        <v>3947</v>
      </c>
      <c r="C1292" t="s">
        <v>1776</v>
      </c>
      <c r="D1292" t="s">
        <v>13</v>
      </c>
      <c r="E1292">
        <v>1192</v>
      </c>
      <c r="F1292" t="str">
        <f>HYPERLINK("https://www.google.com/maps/search/?api=1&amp;query=24.78433462,46.79192822", "View Map")</f>
        <v>View Map</v>
      </c>
    </row>
    <row r="1293" spans="1:6" x14ac:dyDescent="0.35">
      <c r="A1293" t="s">
        <v>3948</v>
      </c>
      <c r="B1293" t="s">
        <v>3949</v>
      </c>
      <c r="C1293" t="s">
        <v>1776</v>
      </c>
      <c r="D1293" t="s">
        <v>9</v>
      </c>
      <c r="E1293">
        <v>1191</v>
      </c>
      <c r="F1293" t="str">
        <f>HYPERLINK("https://www.google.com/maps/search/?api=1&amp;query=24.73544912,46.83330853", "View Map")</f>
        <v>View Map</v>
      </c>
    </row>
    <row r="1294" spans="1:6" x14ac:dyDescent="0.35">
      <c r="A1294" t="s">
        <v>3950</v>
      </c>
      <c r="B1294" t="s">
        <v>3951</v>
      </c>
      <c r="C1294" t="s">
        <v>1776</v>
      </c>
      <c r="D1294" t="s">
        <v>13</v>
      </c>
      <c r="E1294">
        <v>1191</v>
      </c>
      <c r="F1294" t="str">
        <f>HYPERLINK("https://www.google.com/maps/search/?api=1&amp;query=24.68684513,46.78518232", "View Map")</f>
        <v>View Map</v>
      </c>
    </row>
    <row r="1295" spans="1:6" x14ac:dyDescent="0.35">
      <c r="A1295" t="s">
        <v>3952</v>
      </c>
      <c r="B1295" t="s">
        <v>3953</v>
      </c>
      <c r="C1295" t="s">
        <v>1776</v>
      </c>
      <c r="D1295" t="s">
        <v>13</v>
      </c>
      <c r="E1295">
        <v>1190</v>
      </c>
      <c r="F1295" t="str">
        <f>HYPERLINK("https://www.google.com/maps/search/?api=1&amp;query=24.60780761,46.59942933", "View Map")</f>
        <v>View Map</v>
      </c>
    </row>
    <row r="1296" spans="1:6" x14ac:dyDescent="0.35">
      <c r="A1296" t="s">
        <v>3954</v>
      </c>
      <c r="B1296" t="s">
        <v>3955</v>
      </c>
      <c r="C1296" t="s">
        <v>1776</v>
      </c>
      <c r="D1296" t="s">
        <v>13</v>
      </c>
      <c r="E1296">
        <v>1190</v>
      </c>
      <c r="F1296" t="str">
        <f>HYPERLINK("https://www.google.com/maps/search/?api=1&amp;query=24.8150759,46.79136976", "View Map")</f>
        <v>View Map</v>
      </c>
    </row>
    <row r="1297" spans="1:6" x14ac:dyDescent="0.35">
      <c r="A1297" t="s">
        <v>3956</v>
      </c>
      <c r="B1297" t="s">
        <v>3957</v>
      </c>
      <c r="C1297" t="s">
        <v>1776</v>
      </c>
      <c r="D1297" t="s">
        <v>13</v>
      </c>
      <c r="E1297">
        <v>1189</v>
      </c>
      <c r="F1297" t="str">
        <f>HYPERLINK("https://www.google.com/maps/search/?api=1&amp;query=24.78314284,46.8099122", "View Map")</f>
        <v>View Map</v>
      </c>
    </row>
    <row r="1298" spans="1:6" x14ac:dyDescent="0.35">
      <c r="A1298" t="s">
        <v>1798</v>
      </c>
      <c r="B1298" t="s">
        <v>3958</v>
      </c>
      <c r="C1298" t="s">
        <v>1843</v>
      </c>
      <c r="D1298" t="s">
        <v>13</v>
      </c>
      <c r="E1298">
        <v>1188</v>
      </c>
      <c r="F1298" t="str">
        <f>HYPERLINK("https://www.google.com/maps/search/?api=1&amp;query=24.77772577,46.56393009", "View Map")</f>
        <v>View Map</v>
      </c>
    </row>
    <row r="1299" spans="1:6" x14ac:dyDescent="0.35">
      <c r="A1299" t="s">
        <v>3242</v>
      </c>
      <c r="B1299" t="s">
        <v>3959</v>
      </c>
      <c r="C1299" t="s">
        <v>1776</v>
      </c>
      <c r="D1299" t="s">
        <v>13</v>
      </c>
      <c r="E1299">
        <v>1188</v>
      </c>
      <c r="F1299" t="str">
        <f>HYPERLINK("https://www.google.com/maps/search/?api=1&amp;query=24.52613511,46.70057587", "View Map")</f>
        <v>View Map</v>
      </c>
    </row>
    <row r="1300" spans="1:6" x14ac:dyDescent="0.35">
      <c r="A1300" t="s">
        <v>3960</v>
      </c>
      <c r="B1300" t="s">
        <v>3961</v>
      </c>
      <c r="C1300" t="s">
        <v>1776</v>
      </c>
      <c r="D1300" t="s">
        <v>9</v>
      </c>
      <c r="E1300">
        <v>1187</v>
      </c>
      <c r="F1300" t="str">
        <f>HYPERLINK("https://www.google.com/maps/search/?api=1&amp;query=24.69286185,46.76104565", "View Map")</f>
        <v>View Map</v>
      </c>
    </row>
    <row r="1301" spans="1:6" x14ac:dyDescent="0.35">
      <c r="A1301" t="s">
        <v>1798</v>
      </c>
      <c r="B1301" t="s">
        <v>3962</v>
      </c>
      <c r="C1301" t="s">
        <v>1776</v>
      </c>
      <c r="D1301" t="s">
        <v>9</v>
      </c>
      <c r="E1301">
        <v>1187</v>
      </c>
      <c r="F1301" t="str">
        <f>HYPERLINK("https://www.google.com/maps/search/?api=1&amp;query=24.84628117,46.7715538", "View Map")</f>
        <v>View Map</v>
      </c>
    </row>
    <row r="1302" spans="1:6" x14ac:dyDescent="0.35">
      <c r="A1302" t="s">
        <v>1798</v>
      </c>
      <c r="B1302" t="s">
        <v>3963</v>
      </c>
      <c r="C1302" t="s">
        <v>1776</v>
      </c>
      <c r="D1302" t="s">
        <v>9</v>
      </c>
      <c r="E1302">
        <v>1187</v>
      </c>
      <c r="F1302" t="str">
        <f>HYPERLINK("https://www.google.com/maps/search/?api=1&amp;query=24.8099882,46.59869175", "View Map")</f>
        <v>View Map</v>
      </c>
    </row>
    <row r="1303" spans="1:6" x14ac:dyDescent="0.35">
      <c r="A1303" t="s">
        <v>1798</v>
      </c>
      <c r="B1303" t="s">
        <v>3964</v>
      </c>
      <c r="C1303" t="s">
        <v>1776</v>
      </c>
      <c r="D1303" t="s">
        <v>13</v>
      </c>
      <c r="E1303">
        <v>1187</v>
      </c>
      <c r="F1303" t="str">
        <f>HYPERLINK("https://www.google.com/maps/search/?api=1&amp;query=24.8822,46.6197", "View Map")</f>
        <v>View Map</v>
      </c>
    </row>
    <row r="1304" spans="1:6" x14ac:dyDescent="0.35">
      <c r="A1304" t="s">
        <v>3965</v>
      </c>
      <c r="B1304" t="s">
        <v>3966</v>
      </c>
      <c r="C1304" t="s">
        <v>1776</v>
      </c>
      <c r="D1304" t="s">
        <v>13</v>
      </c>
      <c r="E1304">
        <v>1185</v>
      </c>
      <c r="F1304" t="str">
        <f>HYPERLINK("https://www.google.com/maps/search/?api=1&amp;query=24.68702498,46.78192438", "View Map")</f>
        <v>View Map</v>
      </c>
    </row>
    <row r="1305" spans="1:6" x14ac:dyDescent="0.35">
      <c r="A1305" t="s">
        <v>3967</v>
      </c>
      <c r="B1305" t="s">
        <v>3968</v>
      </c>
      <c r="C1305" t="s">
        <v>1776</v>
      </c>
      <c r="D1305" t="s">
        <v>13</v>
      </c>
      <c r="E1305">
        <v>1185</v>
      </c>
      <c r="F1305" t="str">
        <f>HYPERLINK("https://www.google.com/maps/search/?api=1&amp;query=24.56641178,46.84331573", "View Map")</f>
        <v>View Map</v>
      </c>
    </row>
    <row r="1306" spans="1:6" x14ac:dyDescent="0.35">
      <c r="A1306" t="s">
        <v>3969</v>
      </c>
      <c r="B1306" t="s">
        <v>3970</v>
      </c>
      <c r="C1306" t="s">
        <v>1776</v>
      </c>
      <c r="D1306" t="s">
        <v>9</v>
      </c>
      <c r="E1306">
        <v>1184</v>
      </c>
      <c r="F1306" t="str">
        <f>HYPERLINK("https://www.google.com/maps/search/?api=1&amp;query=24.56065423,46.68798093", "View Map")</f>
        <v>View Map</v>
      </c>
    </row>
    <row r="1307" spans="1:6" x14ac:dyDescent="0.35">
      <c r="A1307" t="s">
        <v>3971</v>
      </c>
      <c r="B1307" t="s">
        <v>3972</v>
      </c>
      <c r="C1307" t="s">
        <v>1776</v>
      </c>
      <c r="D1307" t="s">
        <v>13</v>
      </c>
      <c r="E1307">
        <v>1184</v>
      </c>
      <c r="F1307" t="str">
        <f>HYPERLINK("https://www.google.com/maps/search/?api=1&amp;query=24.77143772,46.74776391", "View Map")</f>
        <v>View Map</v>
      </c>
    </row>
    <row r="1308" spans="1:6" x14ac:dyDescent="0.35">
      <c r="A1308" t="s">
        <v>3973</v>
      </c>
      <c r="B1308" t="s">
        <v>3974</v>
      </c>
      <c r="C1308" t="s">
        <v>1776</v>
      </c>
      <c r="D1308" t="s">
        <v>13</v>
      </c>
      <c r="E1308">
        <v>1183</v>
      </c>
      <c r="F1308" t="str">
        <f>HYPERLINK("https://www.google.com/maps/search/?api=1&amp;query=24.77201105,46.71580526", "View Map")</f>
        <v>View Map</v>
      </c>
    </row>
    <row r="1309" spans="1:6" x14ac:dyDescent="0.35">
      <c r="A1309" t="s">
        <v>1798</v>
      </c>
      <c r="B1309" t="s">
        <v>3975</v>
      </c>
      <c r="C1309" t="s">
        <v>1776</v>
      </c>
      <c r="D1309" t="s">
        <v>13</v>
      </c>
      <c r="E1309">
        <v>1183</v>
      </c>
      <c r="F1309" t="str">
        <f>HYPERLINK("https://www.google.com/maps/search/?api=1&amp;query=24.6067,46.5183", "View Map")</f>
        <v>View Map</v>
      </c>
    </row>
    <row r="1310" spans="1:6" x14ac:dyDescent="0.35">
      <c r="A1310" t="s">
        <v>2576</v>
      </c>
      <c r="B1310" t="s">
        <v>3976</v>
      </c>
      <c r="C1310" t="s">
        <v>1776</v>
      </c>
      <c r="D1310" t="s">
        <v>13</v>
      </c>
      <c r="E1310">
        <v>1183</v>
      </c>
      <c r="F1310" t="str">
        <f>HYPERLINK("https://www.google.com/maps/search/?api=1&amp;query=24.79855301,46.61681285", "View Map")</f>
        <v>View Map</v>
      </c>
    </row>
    <row r="1311" spans="1:6" x14ac:dyDescent="0.35">
      <c r="A1311" t="s">
        <v>3071</v>
      </c>
      <c r="B1311" t="s">
        <v>3977</v>
      </c>
      <c r="C1311" t="s">
        <v>1776</v>
      </c>
      <c r="D1311" t="s">
        <v>13</v>
      </c>
      <c r="E1311">
        <v>1183</v>
      </c>
      <c r="F1311" t="str">
        <f>HYPERLINK("https://www.google.com/maps/search/?api=1&amp;query=24.72752671,46.84777358", "View Map")</f>
        <v>View Map</v>
      </c>
    </row>
    <row r="1312" spans="1:6" x14ac:dyDescent="0.35">
      <c r="A1312" t="s">
        <v>3978</v>
      </c>
      <c r="B1312" t="s">
        <v>3979</v>
      </c>
      <c r="C1312" t="s">
        <v>1776</v>
      </c>
      <c r="D1312" t="s">
        <v>9</v>
      </c>
      <c r="E1312">
        <v>1183</v>
      </c>
      <c r="F1312" t="str">
        <f>HYPERLINK("https://www.google.com/maps/search/?api=1&amp;query=24.63013063,46.69867179", "View Map")</f>
        <v>View Map</v>
      </c>
    </row>
    <row r="1313" spans="1:6" x14ac:dyDescent="0.35">
      <c r="A1313" t="s">
        <v>1798</v>
      </c>
      <c r="B1313" t="s">
        <v>3980</v>
      </c>
      <c r="C1313" t="s">
        <v>1776</v>
      </c>
      <c r="D1313" t="s">
        <v>13</v>
      </c>
      <c r="E1313">
        <v>1179</v>
      </c>
      <c r="F1313" t="str">
        <f>HYPERLINK("https://www.google.com/maps/search/?api=1&amp;query=24.8756,46.6261", "View Map")</f>
        <v>View Map</v>
      </c>
    </row>
    <row r="1314" spans="1:6" x14ac:dyDescent="0.35">
      <c r="A1314" t="s">
        <v>3981</v>
      </c>
      <c r="B1314" t="s">
        <v>3982</v>
      </c>
      <c r="C1314" t="s">
        <v>1776</v>
      </c>
      <c r="D1314" t="s">
        <v>13</v>
      </c>
      <c r="E1314">
        <v>1178</v>
      </c>
      <c r="F1314" t="str">
        <f>HYPERLINK("https://www.google.com/maps/search/?api=1&amp;query=24.64266918,46.72813691", "View Map")</f>
        <v>View Map</v>
      </c>
    </row>
    <row r="1315" spans="1:6" x14ac:dyDescent="0.35">
      <c r="A1315" t="s">
        <v>3983</v>
      </c>
      <c r="B1315" t="s">
        <v>3984</v>
      </c>
      <c r="C1315" t="s">
        <v>1776</v>
      </c>
      <c r="D1315" t="s">
        <v>13</v>
      </c>
      <c r="E1315">
        <v>1178</v>
      </c>
      <c r="F1315" t="str">
        <f>HYPERLINK("https://www.google.com/maps/search/?api=1&amp;query=24.68448551,46.74623529", "View Map")</f>
        <v>View Map</v>
      </c>
    </row>
    <row r="1316" spans="1:6" x14ac:dyDescent="0.35">
      <c r="A1316" t="s">
        <v>3985</v>
      </c>
      <c r="B1316" t="s">
        <v>3986</v>
      </c>
      <c r="C1316" t="s">
        <v>1776</v>
      </c>
      <c r="D1316" t="s">
        <v>13</v>
      </c>
      <c r="E1316">
        <v>1178</v>
      </c>
      <c r="F1316" t="str">
        <f>HYPERLINK("https://www.google.com/maps/search/?api=1&amp;query=24.77573178,46.75846052", "View Map")</f>
        <v>View Map</v>
      </c>
    </row>
    <row r="1317" spans="1:6" x14ac:dyDescent="0.35">
      <c r="A1317" t="s">
        <v>1806</v>
      </c>
      <c r="B1317" t="s">
        <v>3987</v>
      </c>
      <c r="C1317" t="s">
        <v>1776</v>
      </c>
      <c r="D1317" t="s">
        <v>13</v>
      </c>
      <c r="E1317">
        <v>1176</v>
      </c>
      <c r="F1317" t="str">
        <f>HYPERLINK("https://www.google.com/maps/search/?api=1&amp;query=24.8436,46.8181", "View Map")</f>
        <v>View Map</v>
      </c>
    </row>
    <row r="1318" spans="1:6" x14ac:dyDescent="0.35">
      <c r="A1318" t="s">
        <v>1798</v>
      </c>
      <c r="B1318" t="s">
        <v>3988</v>
      </c>
      <c r="C1318" t="s">
        <v>1776</v>
      </c>
      <c r="D1318" t="s">
        <v>13</v>
      </c>
      <c r="E1318">
        <v>1175</v>
      </c>
      <c r="F1318" t="str">
        <f>HYPERLINK("https://www.google.com/maps/search/?api=1&amp;query=24.62084447,46.77477463", "View Map")</f>
        <v>View Map</v>
      </c>
    </row>
    <row r="1319" spans="1:6" x14ac:dyDescent="0.35">
      <c r="A1319" t="s">
        <v>3989</v>
      </c>
      <c r="B1319" t="s">
        <v>3990</v>
      </c>
      <c r="C1319" t="s">
        <v>1776</v>
      </c>
      <c r="D1319" t="s">
        <v>13</v>
      </c>
      <c r="E1319">
        <v>1175</v>
      </c>
      <c r="F1319" t="str">
        <f>HYPERLINK("https://www.google.com/maps/search/?api=1&amp;query=24.66839484,46.72540828", "View Map")</f>
        <v>View Map</v>
      </c>
    </row>
    <row r="1320" spans="1:6" x14ac:dyDescent="0.35">
      <c r="A1320" t="s">
        <v>1798</v>
      </c>
      <c r="B1320" t="s">
        <v>3991</v>
      </c>
      <c r="C1320" t="s">
        <v>1776</v>
      </c>
      <c r="D1320" t="s">
        <v>9</v>
      </c>
      <c r="E1320">
        <v>1174</v>
      </c>
      <c r="F1320" t="str">
        <f>HYPERLINK("https://www.google.com/maps/search/?api=1&amp;query=24.81066695,46.8276515", "View Map")</f>
        <v>View Map</v>
      </c>
    </row>
    <row r="1321" spans="1:6" x14ac:dyDescent="0.35">
      <c r="A1321" t="s">
        <v>3992</v>
      </c>
      <c r="B1321" t="s">
        <v>3993</v>
      </c>
      <c r="C1321" t="s">
        <v>1776</v>
      </c>
      <c r="D1321" t="s">
        <v>13</v>
      </c>
      <c r="E1321">
        <v>1174</v>
      </c>
      <c r="F1321" t="str">
        <f>HYPERLINK("https://www.google.com/maps/search/?api=1&amp;query=24.59800797,46.59650878", "View Map")</f>
        <v>View Map</v>
      </c>
    </row>
    <row r="1322" spans="1:6" x14ac:dyDescent="0.35">
      <c r="A1322" t="s">
        <v>3994</v>
      </c>
      <c r="B1322" t="s">
        <v>3995</v>
      </c>
      <c r="C1322" t="s">
        <v>1776</v>
      </c>
      <c r="D1322" t="s">
        <v>13</v>
      </c>
      <c r="E1322">
        <v>1174</v>
      </c>
      <c r="F1322" t="str">
        <f>HYPERLINK("https://www.google.com/maps/search/?api=1&amp;query=24.60505422,46.72086313", "View Map")</f>
        <v>View Map</v>
      </c>
    </row>
    <row r="1323" spans="1:6" x14ac:dyDescent="0.35">
      <c r="A1323" t="s">
        <v>3996</v>
      </c>
      <c r="B1323" t="s">
        <v>3997</v>
      </c>
      <c r="C1323" t="s">
        <v>1776</v>
      </c>
      <c r="D1323" t="s">
        <v>9</v>
      </c>
      <c r="E1323">
        <v>1173</v>
      </c>
      <c r="F1323" t="str">
        <f>HYPERLINK("https://www.google.com/maps/search/?api=1&amp;query=24.5419,46.7028", "View Map")</f>
        <v>View Map</v>
      </c>
    </row>
    <row r="1324" spans="1:6" x14ac:dyDescent="0.35">
      <c r="A1324" t="s">
        <v>3998</v>
      </c>
      <c r="B1324" t="s">
        <v>3999</v>
      </c>
      <c r="C1324" t="s">
        <v>1776</v>
      </c>
      <c r="D1324" t="s">
        <v>13</v>
      </c>
      <c r="E1324">
        <v>1173</v>
      </c>
      <c r="F1324" t="str">
        <f>HYPERLINK("https://www.google.com/maps/search/?api=1&amp;query=24.52648685,46.70435573", "View Map")</f>
        <v>View Map</v>
      </c>
    </row>
    <row r="1325" spans="1:6" x14ac:dyDescent="0.35">
      <c r="A1325" t="s">
        <v>4000</v>
      </c>
      <c r="B1325" t="s">
        <v>4001</v>
      </c>
      <c r="C1325" t="s">
        <v>1776</v>
      </c>
      <c r="D1325" t="s">
        <v>9</v>
      </c>
      <c r="E1325">
        <v>1172</v>
      </c>
      <c r="F1325" t="str">
        <f>HYPERLINK("https://www.google.com/maps/search/?api=1&amp;query=24.62797559,46.70421321", "View Map")</f>
        <v>View Map</v>
      </c>
    </row>
    <row r="1326" spans="1:6" x14ac:dyDescent="0.35">
      <c r="A1326" t="s">
        <v>1798</v>
      </c>
      <c r="B1326" t="s">
        <v>4002</v>
      </c>
      <c r="C1326" t="s">
        <v>1776</v>
      </c>
      <c r="D1326" t="s">
        <v>9</v>
      </c>
      <c r="E1326">
        <v>1171</v>
      </c>
      <c r="F1326" t="str">
        <f>HYPERLINK("https://www.google.com/maps/search/?api=1&amp;query=24.83805597,46.73961521", "View Map")</f>
        <v>View Map</v>
      </c>
    </row>
    <row r="1327" spans="1:6" x14ac:dyDescent="0.35">
      <c r="A1327" t="s">
        <v>4003</v>
      </c>
      <c r="B1327" t="s">
        <v>4004</v>
      </c>
      <c r="C1327" t="s">
        <v>1776</v>
      </c>
      <c r="D1327" t="s">
        <v>13</v>
      </c>
      <c r="E1327">
        <v>1171</v>
      </c>
      <c r="F1327" t="str">
        <f>HYPERLINK("https://www.google.com/maps/search/?api=1&amp;query=24.56298908,46.5635717", "View Map")</f>
        <v>View Map</v>
      </c>
    </row>
    <row r="1328" spans="1:6" x14ac:dyDescent="0.35">
      <c r="A1328" t="s">
        <v>1798</v>
      </c>
      <c r="B1328" t="s">
        <v>4005</v>
      </c>
      <c r="C1328" t="s">
        <v>1776</v>
      </c>
      <c r="D1328" t="s">
        <v>9</v>
      </c>
      <c r="E1328">
        <v>1170</v>
      </c>
      <c r="F1328" t="str">
        <f>HYPERLINK("https://www.google.com/maps/search/?api=1&amp;query=24.82015369,46.83870204", "View Map")</f>
        <v>View Map</v>
      </c>
    </row>
    <row r="1329" spans="1:6" x14ac:dyDescent="0.35">
      <c r="A1329" t="s">
        <v>1798</v>
      </c>
      <c r="B1329" t="s">
        <v>4006</v>
      </c>
      <c r="C1329" t="s">
        <v>1776</v>
      </c>
      <c r="D1329" t="s">
        <v>9</v>
      </c>
      <c r="E1329">
        <v>1170</v>
      </c>
      <c r="F1329" t="str">
        <f>HYPERLINK("https://www.google.com/maps/search/?api=1&amp;query=24.58815505,46.78042521", "View Map")</f>
        <v>View Map</v>
      </c>
    </row>
    <row r="1330" spans="1:6" x14ac:dyDescent="0.35">
      <c r="A1330" t="s">
        <v>4007</v>
      </c>
      <c r="B1330" t="s">
        <v>4008</v>
      </c>
      <c r="C1330" t="s">
        <v>1776</v>
      </c>
      <c r="D1330" t="s">
        <v>9</v>
      </c>
      <c r="E1330">
        <v>1168</v>
      </c>
      <c r="F1330" t="str">
        <f>HYPERLINK("https://www.google.com/maps/search/?api=1&amp;query=24.61305081,46.65314077", "View Map")</f>
        <v>View Map</v>
      </c>
    </row>
    <row r="1331" spans="1:6" x14ac:dyDescent="0.35">
      <c r="A1331" t="s">
        <v>1798</v>
      </c>
      <c r="B1331" t="s">
        <v>4009</v>
      </c>
      <c r="C1331" t="s">
        <v>1776</v>
      </c>
      <c r="D1331" t="s">
        <v>13</v>
      </c>
      <c r="E1331">
        <v>1167</v>
      </c>
      <c r="F1331" t="str">
        <f>HYPERLINK("https://www.google.com/maps/search/?api=1&amp;query=24.90174301,46.64012698", "View Map")</f>
        <v>View Map</v>
      </c>
    </row>
    <row r="1332" spans="1:6" x14ac:dyDescent="0.35">
      <c r="A1332" t="s">
        <v>4010</v>
      </c>
      <c r="B1332" t="s">
        <v>4011</v>
      </c>
      <c r="C1332" t="s">
        <v>1776</v>
      </c>
      <c r="D1332" t="s">
        <v>13</v>
      </c>
      <c r="E1332">
        <v>1166</v>
      </c>
      <c r="F1332" t="str">
        <f>HYPERLINK("https://www.google.com/maps/search/?api=1&amp;query=24.63750331,46.7302158", "View Map")</f>
        <v>View Map</v>
      </c>
    </row>
    <row r="1333" spans="1:6" x14ac:dyDescent="0.35">
      <c r="A1333" t="s">
        <v>4012</v>
      </c>
      <c r="B1333" t="s">
        <v>4013</v>
      </c>
      <c r="C1333" t="s">
        <v>1776</v>
      </c>
      <c r="D1333" t="s">
        <v>13</v>
      </c>
      <c r="E1333">
        <v>1166</v>
      </c>
      <c r="F1333" t="str">
        <f>HYPERLINK("https://www.google.com/maps/search/?api=1&amp;query=24.56964938,46.79819056", "View Map")</f>
        <v>View Map</v>
      </c>
    </row>
    <row r="1334" spans="1:6" x14ac:dyDescent="0.35">
      <c r="A1334" t="s">
        <v>4014</v>
      </c>
      <c r="B1334" t="s">
        <v>4015</v>
      </c>
      <c r="C1334" t="s">
        <v>1776</v>
      </c>
      <c r="D1334" t="s">
        <v>13</v>
      </c>
      <c r="E1334">
        <v>1166</v>
      </c>
      <c r="F1334" t="str">
        <f>HYPERLINK("https://www.google.com/maps/search/?api=1&amp;query=24.6094,46.7206", "View Map")</f>
        <v>View Map</v>
      </c>
    </row>
    <row r="1335" spans="1:6" x14ac:dyDescent="0.35">
      <c r="A1335" t="s">
        <v>1798</v>
      </c>
      <c r="B1335" t="s">
        <v>4016</v>
      </c>
      <c r="C1335" t="s">
        <v>1776</v>
      </c>
      <c r="D1335" t="s">
        <v>9</v>
      </c>
      <c r="E1335">
        <v>1166</v>
      </c>
      <c r="F1335" t="str">
        <f>HYPERLINK("https://www.google.com/maps/search/?api=1&amp;query=24.79167228,46.6115861", "View Map")</f>
        <v>View Map</v>
      </c>
    </row>
    <row r="1336" spans="1:6" x14ac:dyDescent="0.35">
      <c r="A1336" t="s">
        <v>4017</v>
      </c>
      <c r="B1336" t="s">
        <v>4018</v>
      </c>
      <c r="C1336" t="s">
        <v>1776</v>
      </c>
      <c r="D1336" t="s">
        <v>9</v>
      </c>
      <c r="E1336">
        <v>1166</v>
      </c>
      <c r="F1336" t="str">
        <f>HYPERLINK("https://www.google.com/maps/search/?api=1&amp;query=24.63661924,46.74131099", "View Map")</f>
        <v>View Map</v>
      </c>
    </row>
    <row r="1337" spans="1:6" x14ac:dyDescent="0.35">
      <c r="A1337" t="s">
        <v>1947</v>
      </c>
      <c r="B1337" t="s">
        <v>4019</v>
      </c>
      <c r="C1337" t="s">
        <v>1776</v>
      </c>
      <c r="D1337" t="s">
        <v>9</v>
      </c>
      <c r="E1337">
        <v>1164</v>
      </c>
      <c r="F1337" t="str">
        <f>HYPERLINK("https://www.google.com/maps/search/?api=1&amp;query=24.56355666,46.57525674", "View Map")</f>
        <v>View Map</v>
      </c>
    </row>
    <row r="1338" spans="1:6" x14ac:dyDescent="0.35">
      <c r="A1338" t="s">
        <v>3718</v>
      </c>
      <c r="B1338" t="s">
        <v>4020</v>
      </c>
      <c r="C1338" t="s">
        <v>1776</v>
      </c>
      <c r="D1338" t="s">
        <v>13</v>
      </c>
      <c r="E1338">
        <v>1164</v>
      </c>
      <c r="F1338" t="str">
        <f>HYPERLINK("https://www.google.com/maps/search/?api=1&amp;query=24.80888281,46.65732768", "View Map")</f>
        <v>View Map</v>
      </c>
    </row>
    <row r="1339" spans="1:6" x14ac:dyDescent="0.35">
      <c r="A1339" t="s">
        <v>1806</v>
      </c>
      <c r="B1339" t="s">
        <v>4021</v>
      </c>
      <c r="C1339" t="s">
        <v>1776</v>
      </c>
      <c r="D1339" t="s">
        <v>13</v>
      </c>
      <c r="E1339">
        <v>1161</v>
      </c>
      <c r="F1339" t="str">
        <f>HYPERLINK("https://www.google.com/maps/search/?api=1&amp;query=24.92253463,46.82486407", "View Map")</f>
        <v>View Map</v>
      </c>
    </row>
    <row r="1340" spans="1:6" x14ac:dyDescent="0.35">
      <c r="A1340" t="s">
        <v>4022</v>
      </c>
      <c r="B1340" t="s">
        <v>4023</v>
      </c>
      <c r="C1340" t="s">
        <v>1776</v>
      </c>
      <c r="D1340" t="s">
        <v>13</v>
      </c>
      <c r="E1340">
        <v>1161</v>
      </c>
      <c r="F1340" t="str">
        <f>HYPERLINK("https://www.google.com/maps/search/?api=1&amp;query=24.80381167,46.79835328", "View Map")</f>
        <v>View Map</v>
      </c>
    </row>
    <row r="1341" spans="1:6" x14ac:dyDescent="0.35">
      <c r="A1341" t="s">
        <v>1794</v>
      </c>
      <c r="B1341" t="s">
        <v>4024</v>
      </c>
      <c r="C1341" t="s">
        <v>1776</v>
      </c>
      <c r="D1341" t="s">
        <v>13</v>
      </c>
      <c r="E1341">
        <v>1160</v>
      </c>
      <c r="F1341" t="str">
        <f>HYPERLINK("https://www.google.com/maps/search/?api=1&amp;query=24.84151273,46.6844907", "View Map")</f>
        <v>View Map</v>
      </c>
    </row>
    <row r="1342" spans="1:6" x14ac:dyDescent="0.35">
      <c r="A1342" t="s">
        <v>4025</v>
      </c>
      <c r="B1342" t="s">
        <v>4026</v>
      </c>
      <c r="C1342" t="s">
        <v>1776</v>
      </c>
      <c r="D1342" t="s">
        <v>13</v>
      </c>
      <c r="E1342">
        <v>1159</v>
      </c>
      <c r="F1342" t="str">
        <f>HYPERLINK("https://www.google.com/maps/search/?api=1&amp;query=24.78472701,46.71993151", "View Map")</f>
        <v>View Map</v>
      </c>
    </row>
    <row r="1343" spans="1:6" x14ac:dyDescent="0.35">
      <c r="A1343" t="s">
        <v>1798</v>
      </c>
      <c r="B1343" t="s">
        <v>4027</v>
      </c>
      <c r="C1343" t="s">
        <v>1776</v>
      </c>
      <c r="D1343" t="s">
        <v>13</v>
      </c>
      <c r="E1343">
        <v>1159</v>
      </c>
      <c r="F1343" t="str">
        <f>HYPERLINK("https://www.google.com/maps/search/?api=1&amp;query=24.85791676,46.64793352", "View Map")</f>
        <v>View Map</v>
      </c>
    </row>
    <row r="1344" spans="1:6" x14ac:dyDescent="0.35">
      <c r="A1344" t="s">
        <v>1798</v>
      </c>
      <c r="B1344" t="s">
        <v>4028</v>
      </c>
      <c r="C1344" t="s">
        <v>1776</v>
      </c>
      <c r="D1344" t="s">
        <v>9</v>
      </c>
      <c r="E1344">
        <v>1159</v>
      </c>
      <c r="F1344" t="str">
        <f>HYPERLINK("https://www.google.com/maps/search/?api=1&amp;query=24.62517551,46.53833924", "View Map")</f>
        <v>View Map</v>
      </c>
    </row>
    <row r="1345" spans="1:6" x14ac:dyDescent="0.35">
      <c r="A1345" t="s">
        <v>1798</v>
      </c>
      <c r="B1345" t="s">
        <v>4029</v>
      </c>
      <c r="C1345" t="s">
        <v>1776</v>
      </c>
      <c r="D1345" t="s">
        <v>13</v>
      </c>
      <c r="E1345">
        <v>1158</v>
      </c>
      <c r="F1345" t="str">
        <f>HYPERLINK("https://www.google.com/maps/search/?api=1&amp;query=24.82853691,46.64812559", "View Map")</f>
        <v>View Map</v>
      </c>
    </row>
    <row r="1346" spans="1:6" x14ac:dyDescent="0.35">
      <c r="A1346" t="s">
        <v>4030</v>
      </c>
      <c r="B1346" t="s">
        <v>4031</v>
      </c>
      <c r="C1346" t="s">
        <v>1776</v>
      </c>
      <c r="D1346" t="s">
        <v>13</v>
      </c>
      <c r="E1346">
        <v>1158</v>
      </c>
      <c r="F1346" t="str">
        <f>HYPERLINK("https://www.google.com/maps/search/?api=1&amp;query=24.41027743,46.84188136", "View Map")</f>
        <v>View Map</v>
      </c>
    </row>
    <row r="1347" spans="1:6" x14ac:dyDescent="0.35">
      <c r="A1347" t="s">
        <v>3062</v>
      </c>
      <c r="B1347" t="s">
        <v>4032</v>
      </c>
      <c r="C1347" t="s">
        <v>1776</v>
      </c>
      <c r="D1347" t="s">
        <v>13</v>
      </c>
      <c r="E1347">
        <v>1157</v>
      </c>
      <c r="F1347" t="str">
        <f>HYPERLINK("https://www.google.com/maps/search/?api=1&amp;query=24.55837181,46.68229848", "View Map")</f>
        <v>View Map</v>
      </c>
    </row>
    <row r="1348" spans="1:6" x14ac:dyDescent="0.35">
      <c r="A1348" t="s">
        <v>4033</v>
      </c>
      <c r="B1348" t="s">
        <v>4034</v>
      </c>
      <c r="C1348" t="s">
        <v>1776</v>
      </c>
      <c r="D1348" t="s">
        <v>9</v>
      </c>
      <c r="E1348">
        <v>1156</v>
      </c>
      <c r="F1348" t="str">
        <f>HYPERLINK("https://www.google.com/maps/search/?api=1&amp;query=24.65812398,46.73017836", "View Map")</f>
        <v>View Map</v>
      </c>
    </row>
    <row r="1349" spans="1:6" x14ac:dyDescent="0.35">
      <c r="A1349" t="s">
        <v>4035</v>
      </c>
      <c r="B1349" t="s">
        <v>4036</v>
      </c>
      <c r="C1349" t="s">
        <v>1776</v>
      </c>
      <c r="D1349" t="s">
        <v>13</v>
      </c>
      <c r="E1349">
        <v>1154</v>
      </c>
      <c r="F1349" t="str">
        <f>HYPERLINK("https://www.google.com/maps/search/?api=1&amp;query=24.58771465,46.64476095", "View Map")</f>
        <v>View Map</v>
      </c>
    </row>
    <row r="1350" spans="1:6" x14ac:dyDescent="0.35">
      <c r="A1350" t="s">
        <v>3062</v>
      </c>
      <c r="B1350" t="s">
        <v>4037</v>
      </c>
      <c r="C1350" t="s">
        <v>1776</v>
      </c>
      <c r="D1350" t="s">
        <v>13</v>
      </c>
      <c r="E1350">
        <v>1154</v>
      </c>
      <c r="F1350" t="str">
        <f>HYPERLINK("https://www.google.com/maps/search/?api=1&amp;query=24.5652924,46.70181754", "View Map")</f>
        <v>View Map</v>
      </c>
    </row>
    <row r="1351" spans="1:6" x14ac:dyDescent="0.35">
      <c r="A1351" t="s">
        <v>4038</v>
      </c>
      <c r="B1351" t="s">
        <v>4039</v>
      </c>
      <c r="C1351" t="s">
        <v>1776</v>
      </c>
      <c r="D1351" t="s">
        <v>13</v>
      </c>
      <c r="E1351">
        <v>1154</v>
      </c>
      <c r="F1351" t="str">
        <f>HYPERLINK("https://www.google.com/maps/search/?api=1&amp;query=24.60949749,46.71273225", "View Map")</f>
        <v>View Map</v>
      </c>
    </row>
    <row r="1352" spans="1:6" x14ac:dyDescent="0.35">
      <c r="A1352" t="s">
        <v>4040</v>
      </c>
      <c r="B1352" t="s">
        <v>4041</v>
      </c>
      <c r="C1352" t="s">
        <v>1776</v>
      </c>
      <c r="D1352" t="s">
        <v>13</v>
      </c>
      <c r="E1352">
        <v>1153</v>
      </c>
      <c r="F1352" t="str">
        <f>HYPERLINK("https://www.google.com/maps/search/?api=1&amp;query=24.70761085,46.81183148", "View Map")</f>
        <v>View Map</v>
      </c>
    </row>
    <row r="1353" spans="1:6" x14ac:dyDescent="0.35">
      <c r="A1353" t="s">
        <v>4042</v>
      </c>
      <c r="B1353" t="s">
        <v>4043</v>
      </c>
      <c r="C1353" t="s">
        <v>1776</v>
      </c>
      <c r="D1353" t="s">
        <v>13</v>
      </c>
      <c r="E1353">
        <v>1153</v>
      </c>
      <c r="F1353" t="str">
        <f>HYPERLINK("https://www.google.com/maps/search/?api=1&amp;query=24.78851025,46.78542207", "View Map")</f>
        <v>View Map</v>
      </c>
    </row>
    <row r="1354" spans="1:6" x14ac:dyDescent="0.35">
      <c r="A1354" t="s">
        <v>1798</v>
      </c>
      <c r="B1354" t="s">
        <v>4044</v>
      </c>
      <c r="C1354" t="s">
        <v>1776</v>
      </c>
      <c r="D1354" t="s">
        <v>13</v>
      </c>
      <c r="E1354">
        <v>1152</v>
      </c>
      <c r="F1354" t="str">
        <f>HYPERLINK("https://www.google.com/maps/search/?api=1&amp;query=24.74464487,46.67888783", "View Map")</f>
        <v>View Map</v>
      </c>
    </row>
    <row r="1355" spans="1:6" x14ac:dyDescent="0.35">
      <c r="A1355" t="s">
        <v>4045</v>
      </c>
      <c r="B1355" t="s">
        <v>4046</v>
      </c>
      <c r="C1355" t="s">
        <v>1776</v>
      </c>
      <c r="D1355" t="s">
        <v>13</v>
      </c>
      <c r="E1355">
        <v>1152</v>
      </c>
      <c r="F1355" t="str">
        <f>HYPERLINK("https://www.google.com/maps/search/?api=1&amp;query=24.62848236,46.68284861", "View Map")</f>
        <v>View Map</v>
      </c>
    </row>
    <row r="1356" spans="1:6" x14ac:dyDescent="0.35">
      <c r="A1356" t="s">
        <v>1806</v>
      </c>
      <c r="B1356" t="s">
        <v>4047</v>
      </c>
      <c r="C1356" t="s">
        <v>1776</v>
      </c>
      <c r="D1356" t="s">
        <v>13</v>
      </c>
      <c r="E1356">
        <v>1151</v>
      </c>
      <c r="F1356" t="str">
        <f>HYPERLINK("https://www.google.com/maps/search/?api=1&amp;query=24.81350778,46.81228237", "View Map")</f>
        <v>View Map</v>
      </c>
    </row>
    <row r="1357" spans="1:6" x14ac:dyDescent="0.35">
      <c r="A1357" t="s">
        <v>4048</v>
      </c>
      <c r="B1357" t="s">
        <v>4049</v>
      </c>
      <c r="C1357" t="s">
        <v>1776</v>
      </c>
      <c r="D1357" t="s">
        <v>13</v>
      </c>
      <c r="E1357">
        <v>1151</v>
      </c>
      <c r="F1357" t="str">
        <f>HYPERLINK("https://www.google.com/maps/search/?api=1&amp;query=24.73224884,46.82499009", "View Map")</f>
        <v>View Map</v>
      </c>
    </row>
    <row r="1358" spans="1:6" x14ac:dyDescent="0.35">
      <c r="A1358" t="s">
        <v>3277</v>
      </c>
      <c r="B1358" t="s">
        <v>4050</v>
      </c>
      <c r="C1358" t="s">
        <v>1843</v>
      </c>
      <c r="D1358" t="s">
        <v>9</v>
      </c>
      <c r="E1358">
        <v>1150</v>
      </c>
      <c r="F1358" t="str">
        <f>HYPERLINK("https://www.google.com/maps/search/?api=1&amp;query=24.75535609,46.54448737", "View Map")</f>
        <v>View Map</v>
      </c>
    </row>
    <row r="1359" spans="1:6" x14ac:dyDescent="0.35">
      <c r="A1359" t="s">
        <v>1798</v>
      </c>
      <c r="B1359" t="s">
        <v>4051</v>
      </c>
      <c r="C1359" t="s">
        <v>1776</v>
      </c>
      <c r="D1359" t="s">
        <v>9</v>
      </c>
      <c r="E1359">
        <v>1150</v>
      </c>
      <c r="F1359" t="str">
        <f>HYPERLINK("https://www.google.com/maps/search/?api=1&amp;query=24.85478018,46.62643913", "View Map")</f>
        <v>View Map</v>
      </c>
    </row>
    <row r="1360" spans="1:6" x14ac:dyDescent="0.35">
      <c r="A1360" t="s">
        <v>4052</v>
      </c>
      <c r="B1360" t="s">
        <v>4053</v>
      </c>
      <c r="C1360" t="s">
        <v>1776</v>
      </c>
      <c r="D1360" t="s">
        <v>13</v>
      </c>
      <c r="E1360">
        <v>1149</v>
      </c>
      <c r="F1360" t="str">
        <f>HYPERLINK("https://www.google.com/maps/search/?api=1&amp;query=24.78285317,46.63830256", "View Map")</f>
        <v>View Map</v>
      </c>
    </row>
    <row r="1361" spans="1:6" x14ac:dyDescent="0.35">
      <c r="A1361" t="s">
        <v>4054</v>
      </c>
      <c r="B1361" t="s">
        <v>4055</v>
      </c>
      <c r="C1361" t="s">
        <v>1776</v>
      </c>
      <c r="D1361" t="s">
        <v>13</v>
      </c>
      <c r="E1361">
        <v>1149</v>
      </c>
      <c r="F1361" t="str">
        <f>HYPERLINK("https://www.google.com/maps/search/?api=1&amp;query=24.79453383,46.65273936", "View Map")</f>
        <v>View Map</v>
      </c>
    </row>
    <row r="1362" spans="1:6" x14ac:dyDescent="0.35">
      <c r="A1362" t="s">
        <v>1798</v>
      </c>
      <c r="B1362" t="s">
        <v>4056</v>
      </c>
      <c r="C1362" t="s">
        <v>1776</v>
      </c>
      <c r="D1362" t="s">
        <v>13</v>
      </c>
      <c r="E1362">
        <v>1146</v>
      </c>
      <c r="F1362" t="str">
        <f>HYPERLINK("https://www.google.com/maps/search/?api=1&amp;query=24.79224368,46.59500959", "View Map")</f>
        <v>View Map</v>
      </c>
    </row>
    <row r="1363" spans="1:6" x14ac:dyDescent="0.35">
      <c r="A1363" t="s">
        <v>1798</v>
      </c>
      <c r="B1363" t="s">
        <v>4057</v>
      </c>
      <c r="C1363" t="s">
        <v>1776</v>
      </c>
      <c r="D1363" t="s">
        <v>9</v>
      </c>
      <c r="E1363">
        <v>1146</v>
      </c>
      <c r="F1363" t="str">
        <f>HYPERLINK("https://www.google.com/maps/search/?api=1&amp;query=24.92334319,46.82037301", "View Map")</f>
        <v>View Map</v>
      </c>
    </row>
    <row r="1364" spans="1:6" x14ac:dyDescent="0.35">
      <c r="A1364" t="s">
        <v>4058</v>
      </c>
      <c r="B1364" t="s">
        <v>4059</v>
      </c>
      <c r="C1364" t="s">
        <v>1776</v>
      </c>
      <c r="D1364" t="s">
        <v>13</v>
      </c>
      <c r="E1364">
        <v>1143</v>
      </c>
      <c r="F1364" t="str">
        <f>HYPERLINK("https://www.google.com/maps/search/?api=1&amp;query=24.61904927,46.71494535", "View Map")</f>
        <v>View Map</v>
      </c>
    </row>
    <row r="1365" spans="1:6" x14ac:dyDescent="0.35">
      <c r="A1365" t="s">
        <v>4060</v>
      </c>
      <c r="B1365" t="s">
        <v>4061</v>
      </c>
      <c r="C1365" t="s">
        <v>1776</v>
      </c>
      <c r="D1365" t="s">
        <v>13</v>
      </c>
      <c r="E1365">
        <v>1142</v>
      </c>
      <c r="F1365" t="str">
        <f>HYPERLINK("https://www.google.com/maps/search/?api=1&amp;query=24.58751513,46.66182911", "View Map")</f>
        <v>View Map</v>
      </c>
    </row>
    <row r="1366" spans="1:6" x14ac:dyDescent="0.35">
      <c r="A1366" t="s">
        <v>1947</v>
      </c>
      <c r="B1366" t="s">
        <v>4062</v>
      </c>
      <c r="C1366" t="s">
        <v>1776</v>
      </c>
      <c r="D1366" t="s">
        <v>13</v>
      </c>
      <c r="E1366">
        <v>1142</v>
      </c>
      <c r="F1366" t="str">
        <f>HYPERLINK("https://www.google.com/maps/search/?api=1&amp;query=24.5667,46.5228", "View Map")</f>
        <v>View Map</v>
      </c>
    </row>
    <row r="1367" spans="1:6" x14ac:dyDescent="0.35">
      <c r="A1367" t="s">
        <v>3887</v>
      </c>
      <c r="B1367" t="s">
        <v>4063</v>
      </c>
      <c r="C1367" t="s">
        <v>1776</v>
      </c>
      <c r="D1367" t="s">
        <v>13</v>
      </c>
      <c r="E1367">
        <v>1141</v>
      </c>
      <c r="F1367" t="str">
        <f>HYPERLINK("https://www.google.com/maps/search/?api=1&amp;query=24.66986897,46.74473075", "View Map")</f>
        <v>View Map</v>
      </c>
    </row>
    <row r="1368" spans="1:6" x14ac:dyDescent="0.35">
      <c r="A1368" t="s">
        <v>1798</v>
      </c>
      <c r="B1368" t="s">
        <v>4064</v>
      </c>
      <c r="C1368" t="s">
        <v>1776</v>
      </c>
      <c r="D1368" t="s">
        <v>9</v>
      </c>
      <c r="E1368">
        <v>1141</v>
      </c>
      <c r="F1368" t="str">
        <f>HYPERLINK("https://www.google.com/maps/search/?api=1&amp;query=24.8766636,46.63321108", "View Map")</f>
        <v>View Map</v>
      </c>
    </row>
    <row r="1369" spans="1:6" x14ac:dyDescent="0.35">
      <c r="A1369" t="s">
        <v>1947</v>
      </c>
      <c r="B1369" t="s">
        <v>4065</v>
      </c>
      <c r="C1369" t="s">
        <v>1776</v>
      </c>
      <c r="D1369" t="s">
        <v>13</v>
      </c>
      <c r="E1369">
        <v>1141</v>
      </c>
      <c r="F1369" t="str">
        <f>HYPERLINK("https://www.google.com/maps/search/?api=1&amp;query=24.55827063,46.55290224", "View Map")</f>
        <v>View Map</v>
      </c>
    </row>
    <row r="1370" spans="1:6" x14ac:dyDescent="0.35">
      <c r="A1370" t="s">
        <v>4066</v>
      </c>
      <c r="B1370" t="s">
        <v>4067</v>
      </c>
      <c r="C1370" t="s">
        <v>1776</v>
      </c>
      <c r="D1370" t="s">
        <v>13</v>
      </c>
      <c r="E1370">
        <v>1139</v>
      </c>
      <c r="F1370" t="str">
        <f>HYPERLINK("https://www.google.com/maps/search/?api=1&amp;query=24.6342636,46.61424206", "View Map")</f>
        <v>View Map</v>
      </c>
    </row>
    <row r="1371" spans="1:6" x14ac:dyDescent="0.35">
      <c r="A1371" t="s">
        <v>4068</v>
      </c>
      <c r="B1371" t="s">
        <v>4069</v>
      </c>
      <c r="C1371" t="s">
        <v>1776</v>
      </c>
      <c r="D1371" t="s">
        <v>9</v>
      </c>
      <c r="E1371">
        <v>1139</v>
      </c>
      <c r="F1371" t="str">
        <f>HYPERLINK("https://www.google.com/maps/search/?api=1&amp;query=24.7306116,46.69007696", "View Map")</f>
        <v>View Map</v>
      </c>
    </row>
    <row r="1372" spans="1:6" x14ac:dyDescent="0.35">
      <c r="A1372" t="s">
        <v>4070</v>
      </c>
      <c r="B1372" t="s">
        <v>4071</v>
      </c>
      <c r="C1372" t="s">
        <v>1776</v>
      </c>
      <c r="D1372" t="s">
        <v>13</v>
      </c>
      <c r="E1372">
        <v>1138</v>
      </c>
      <c r="F1372" t="str">
        <f>HYPERLINK("https://www.google.com/maps/search/?api=1&amp;query=24.80981262,46.74898654", "View Map")</f>
        <v>View Map</v>
      </c>
    </row>
    <row r="1373" spans="1:6" x14ac:dyDescent="0.35">
      <c r="A1373" t="s">
        <v>4072</v>
      </c>
      <c r="B1373" t="s">
        <v>4073</v>
      </c>
      <c r="C1373" t="s">
        <v>1776</v>
      </c>
      <c r="D1373" t="s">
        <v>13</v>
      </c>
      <c r="E1373">
        <v>1136</v>
      </c>
      <c r="F1373" t="str">
        <f>HYPERLINK("https://www.google.com/maps/search/?api=1&amp;query=24.73947482,46.67952217", "View Map")</f>
        <v>View Map</v>
      </c>
    </row>
    <row r="1374" spans="1:6" x14ac:dyDescent="0.35">
      <c r="A1374" t="s">
        <v>4074</v>
      </c>
      <c r="B1374" t="s">
        <v>4075</v>
      </c>
      <c r="C1374" t="s">
        <v>1776</v>
      </c>
      <c r="D1374" t="s">
        <v>9</v>
      </c>
      <c r="E1374">
        <v>1136</v>
      </c>
      <c r="F1374" t="str">
        <f>HYPERLINK("https://www.google.com/maps/search/?api=1&amp;query=24.58228554,46.78926149", "View Map")</f>
        <v>View Map</v>
      </c>
    </row>
    <row r="1375" spans="1:6" x14ac:dyDescent="0.35">
      <c r="A1375" t="s">
        <v>1794</v>
      </c>
      <c r="B1375" t="s">
        <v>4076</v>
      </c>
      <c r="C1375" t="s">
        <v>1776</v>
      </c>
      <c r="D1375" t="s">
        <v>9</v>
      </c>
      <c r="E1375">
        <v>1135</v>
      </c>
      <c r="F1375" t="str">
        <f>HYPERLINK("https://www.google.com/maps/search/?api=1&amp;query=24.81767629,46.65090162", "View Map")</f>
        <v>View Map</v>
      </c>
    </row>
    <row r="1376" spans="1:6" x14ac:dyDescent="0.35">
      <c r="A1376" t="s">
        <v>4077</v>
      </c>
      <c r="B1376" t="s">
        <v>4078</v>
      </c>
      <c r="C1376" t="s">
        <v>1776</v>
      </c>
      <c r="D1376" t="s">
        <v>13</v>
      </c>
      <c r="E1376">
        <v>1135</v>
      </c>
      <c r="F1376" t="str">
        <f>HYPERLINK("https://www.google.com/maps/search/?api=1&amp;query=24.40276508,46.84022507", "View Map")</f>
        <v>View Map</v>
      </c>
    </row>
    <row r="1377" spans="1:6" x14ac:dyDescent="0.35">
      <c r="A1377" t="s">
        <v>4079</v>
      </c>
      <c r="B1377" t="s">
        <v>4080</v>
      </c>
      <c r="C1377" t="s">
        <v>1776</v>
      </c>
      <c r="D1377" t="s">
        <v>13</v>
      </c>
      <c r="E1377">
        <v>1135</v>
      </c>
      <c r="F1377" t="str">
        <f>HYPERLINK("https://www.google.com/maps/search/?api=1&amp;query=24.81720172,46.75195524", "View Map")</f>
        <v>View Map</v>
      </c>
    </row>
    <row r="1378" spans="1:6" x14ac:dyDescent="0.35">
      <c r="A1378" t="s">
        <v>1798</v>
      </c>
      <c r="B1378" t="s">
        <v>4081</v>
      </c>
      <c r="C1378" t="s">
        <v>1776</v>
      </c>
      <c r="D1378" t="s">
        <v>9</v>
      </c>
      <c r="E1378">
        <v>1135</v>
      </c>
      <c r="F1378" t="str">
        <f>HYPERLINK("https://www.google.com/maps/search/?api=1&amp;query=24.74511633,46.75445286", "View Map")</f>
        <v>View Map</v>
      </c>
    </row>
    <row r="1379" spans="1:6" x14ac:dyDescent="0.35">
      <c r="A1379" t="s">
        <v>4082</v>
      </c>
      <c r="B1379" t="s">
        <v>4083</v>
      </c>
      <c r="C1379" t="s">
        <v>1776</v>
      </c>
      <c r="D1379" t="s">
        <v>9</v>
      </c>
      <c r="E1379">
        <v>1134</v>
      </c>
      <c r="F1379" t="str">
        <f>HYPERLINK("https://www.google.com/maps/search/?api=1&amp;query=24.69067085,46.81740514", "View Map")</f>
        <v>View Map</v>
      </c>
    </row>
    <row r="1380" spans="1:6" x14ac:dyDescent="0.35">
      <c r="A1380" t="s">
        <v>1798</v>
      </c>
      <c r="B1380" t="s">
        <v>4084</v>
      </c>
      <c r="C1380" t="s">
        <v>1776</v>
      </c>
      <c r="D1380" t="s">
        <v>13</v>
      </c>
      <c r="E1380">
        <v>1133</v>
      </c>
      <c r="F1380" t="str">
        <f>HYPERLINK("https://www.google.com/maps/search/?api=1&amp;query=24.90322617,46.64243701", "View Map")</f>
        <v>View Map</v>
      </c>
    </row>
    <row r="1381" spans="1:6" x14ac:dyDescent="0.35">
      <c r="A1381" t="s">
        <v>1976</v>
      </c>
      <c r="B1381" t="s">
        <v>4085</v>
      </c>
      <c r="C1381" t="s">
        <v>1776</v>
      </c>
      <c r="D1381" t="s">
        <v>13</v>
      </c>
      <c r="E1381">
        <v>1133</v>
      </c>
      <c r="F1381" t="str">
        <f>HYPERLINK("https://www.google.com/maps/search/?api=1&amp;query=24.7437355,46.77996039", "View Map")</f>
        <v>View Map</v>
      </c>
    </row>
    <row r="1382" spans="1:6" x14ac:dyDescent="0.35">
      <c r="A1382" t="s">
        <v>4086</v>
      </c>
      <c r="B1382" t="s">
        <v>4087</v>
      </c>
      <c r="C1382" t="s">
        <v>1776</v>
      </c>
      <c r="D1382" t="s">
        <v>9</v>
      </c>
      <c r="E1382">
        <v>1133</v>
      </c>
      <c r="F1382" t="str">
        <f>HYPERLINK("https://www.google.com/maps/search/?api=1&amp;query=24.71824532,46.81024832", "View Map")</f>
        <v>View Map</v>
      </c>
    </row>
    <row r="1383" spans="1:6" x14ac:dyDescent="0.35">
      <c r="A1383" t="s">
        <v>1798</v>
      </c>
      <c r="B1383" t="s">
        <v>4088</v>
      </c>
      <c r="C1383" t="s">
        <v>1776</v>
      </c>
      <c r="D1383" t="s">
        <v>13</v>
      </c>
      <c r="E1383">
        <v>1132</v>
      </c>
      <c r="F1383" t="str">
        <f>HYPERLINK("https://www.google.com/maps/search/?api=1&amp;query=24.88587464,46.62777758", "View Map")</f>
        <v>View Map</v>
      </c>
    </row>
    <row r="1384" spans="1:6" x14ac:dyDescent="0.35">
      <c r="A1384" t="s">
        <v>4089</v>
      </c>
      <c r="B1384" t="s">
        <v>4090</v>
      </c>
      <c r="C1384" t="s">
        <v>1776</v>
      </c>
      <c r="D1384" t="s">
        <v>13</v>
      </c>
      <c r="E1384">
        <v>1132</v>
      </c>
      <c r="F1384" t="str">
        <f>HYPERLINK("https://www.google.com/maps/search/?api=1&amp;query=24.78473086,46.80780761", "View Map")</f>
        <v>View Map</v>
      </c>
    </row>
    <row r="1385" spans="1:6" x14ac:dyDescent="0.35">
      <c r="A1385" t="s">
        <v>4091</v>
      </c>
      <c r="B1385" t="s">
        <v>4092</v>
      </c>
      <c r="C1385" t="s">
        <v>1776</v>
      </c>
      <c r="D1385" t="s">
        <v>13</v>
      </c>
      <c r="E1385">
        <v>1131</v>
      </c>
      <c r="F1385" t="str">
        <f>HYPERLINK("https://www.google.com/maps/search/?api=1&amp;query=24.76304,46.72238", "View Map")</f>
        <v>View Map</v>
      </c>
    </row>
    <row r="1386" spans="1:6" x14ac:dyDescent="0.35">
      <c r="A1386" t="s">
        <v>4093</v>
      </c>
      <c r="B1386" t="s">
        <v>4094</v>
      </c>
      <c r="C1386" t="s">
        <v>1776</v>
      </c>
      <c r="D1386" t="s">
        <v>9</v>
      </c>
      <c r="E1386">
        <v>1129</v>
      </c>
      <c r="F1386" t="str">
        <f>HYPERLINK("https://www.google.com/maps/search/?api=1&amp;query=24.57428046,46.66244564", "View Map")</f>
        <v>View Map</v>
      </c>
    </row>
    <row r="1387" spans="1:6" x14ac:dyDescent="0.35">
      <c r="A1387" t="s">
        <v>4095</v>
      </c>
      <c r="B1387" t="s">
        <v>4096</v>
      </c>
      <c r="C1387" t="s">
        <v>1776</v>
      </c>
      <c r="D1387" t="s">
        <v>13</v>
      </c>
      <c r="E1387">
        <v>1129</v>
      </c>
      <c r="F1387" t="str">
        <f>HYPERLINK("https://www.google.com/maps/search/?api=1&amp;query=24.62678108,46.69682321", "View Map")</f>
        <v>View Map</v>
      </c>
    </row>
    <row r="1388" spans="1:6" x14ac:dyDescent="0.35">
      <c r="A1388" t="s">
        <v>4097</v>
      </c>
      <c r="B1388" t="s">
        <v>4098</v>
      </c>
      <c r="C1388" t="s">
        <v>1776</v>
      </c>
      <c r="D1388" t="s">
        <v>13</v>
      </c>
      <c r="E1388">
        <v>1128</v>
      </c>
      <c r="F1388" t="str">
        <f>HYPERLINK("https://www.google.com/maps/search/?api=1&amp;query=24.73636058,46.78950131", "View Map")</f>
        <v>View Map</v>
      </c>
    </row>
    <row r="1389" spans="1:6" x14ac:dyDescent="0.35">
      <c r="A1389" t="s">
        <v>1794</v>
      </c>
      <c r="B1389" t="s">
        <v>4099</v>
      </c>
      <c r="C1389" t="s">
        <v>1776</v>
      </c>
      <c r="D1389" t="s">
        <v>13</v>
      </c>
      <c r="E1389">
        <v>1128</v>
      </c>
      <c r="F1389" t="str">
        <f>HYPERLINK("https://www.google.com/maps/search/?api=1&amp;query=24.79599343,46.60470606", "View Map")</f>
        <v>View Map</v>
      </c>
    </row>
    <row r="1390" spans="1:6" x14ac:dyDescent="0.35">
      <c r="A1390" t="s">
        <v>1798</v>
      </c>
      <c r="B1390" t="s">
        <v>4100</v>
      </c>
      <c r="C1390" t="s">
        <v>1776</v>
      </c>
      <c r="D1390" t="s">
        <v>13</v>
      </c>
      <c r="E1390">
        <v>1127</v>
      </c>
      <c r="F1390" t="str">
        <f>HYPERLINK("https://www.google.com/maps/search/?api=1&amp;query=24.86492007,46.62385124", "View Map")</f>
        <v>View Map</v>
      </c>
    </row>
    <row r="1391" spans="1:6" x14ac:dyDescent="0.35">
      <c r="A1391" t="s">
        <v>4101</v>
      </c>
      <c r="B1391" t="s">
        <v>4102</v>
      </c>
      <c r="C1391" t="s">
        <v>1776</v>
      </c>
      <c r="D1391" t="s">
        <v>13</v>
      </c>
      <c r="E1391">
        <v>1127</v>
      </c>
      <c r="F1391" t="str">
        <f>HYPERLINK("https://www.google.com/maps/search/?api=1&amp;query=24.74237798,46.77347398", "View Map")</f>
        <v>View Map</v>
      </c>
    </row>
    <row r="1392" spans="1:6" x14ac:dyDescent="0.35">
      <c r="A1392" t="s">
        <v>4103</v>
      </c>
      <c r="B1392" t="s">
        <v>4104</v>
      </c>
      <c r="C1392" t="s">
        <v>1776</v>
      </c>
      <c r="D1392" t="s">
        <v>13</v>
      </c>
      <c r="E1392">
        <v>1126</v>
      </c>
      <c r="F1392" t="str">
        <f>HYPERLINK("https://www.google.com/maps/search/?api=1&amp;query=24.56774478,46.65163705", "View Map")</f>
        <v>View Map</v>
      </c>
    </row>
    <row r="1393" spans="1:6" x14ac:dyDescent="0.35">
      <c r="A1393" t="s">
        <v>2704</v>
      </c>
      <c r="B1393" t="s">
        <v>4105</v>
      </c>
      <c r="C1393" t="s">
        <v>1776</v>
      </c>
      <c r="D1393" t="s">
        <v>9</v>
      </c>
      <c r="E1393">
        <v>1125</v>
      </c>
      <c r="F1393" t="str">
        <f>HYPERLINK("https://www.google.com/maps/search/?api=1&amp;query=24.67815997,46.78595487", "View Map")</f>
        <v>View Map</v>
      </c>
    </row>
    <row r="1394" spans="1:6" x14ac:dyDescent="0.35">
      <c r="A1394" t="s">
        <v>4106</v>
      </c>
      <c r="B1394" t="s">
        <v>4107</v>
      </c>
      <c r="C1394" t="s">
        <v>1776</v>
      </c>
      <c r="D1394" t="s">
        <v>9</v>
      </c>
      <c r="E1394">
        <v>1125</v>
      </c>
      <c r="F1394" t="str">
        <f>HYPERLINK("https://www.google.com/maps/search/?api=1&amp;query=24.70001617,46.7772752", "View Map")</f>
        <v>View Map</v>
      </c>
    </row>
    <row r="1395" spans="1:6" x14ac:dyDescent="0.35">
      <c r="A1395" t="s">
        <v>1798</v>
      </c>
      <c r="B1395" t="s">
        <v>4108</v>
      </c>
      <c r="C1395" t="s">
        <v>1776</v>
      </c>
      <c r="D1395" t="s">
        <v>9</v>
      </c>
      <c r="E1395">
        <v>1124</v>
      </c>
      <c r="F1395" t="str">
        <f>HYPERLINK("https://www.google.com/maps/search/?api=1&amp;query=0.0,0.0", "View Map")</f>
        <v>View Map</v>
      </c>
    </row>
    <row r="1396" spans="1:6" x14ac:dyDescent="0.35">
      <c r="A1396" t="s">
        <v>295</v>
      </c>
      <c r="B1396" t="s">
        <v>4109</v>
      </c>
      <c r="C1396" t="s">
        <v>1776</v>
      </c>
      <c r="D1396" t="s">
        <v>9</v>
      </c>
      <c r="E1396">
        <v>1124</v>
      </c>
      <c r="F1396" t="str">
        <f>HYPERLINK("https://www.google.com/maps/search/?api=1&amp;query=24.79404111,46.74193226", "View Map")</f>
        <v>View Map</v>
      </c>
    </row>
    <row r="1397" spans="1:6" x14ac:dyDescent="0.35">
      <c r="A1397" t="s">
        <v>4110</v>
      </c>
      <c r="B1397" t="s">
        <v>4111</v>
      </c>
      <c r="C1397" t="s">
        <v>1776</v>
      </c>
      <c r="D1397" t="s">
        <v>13</v>
      </c>
      <c r="E1397">
        <v>1123</v>
      </c>
      <c r="F1397" t="str">
        <f>HYPERLINK("https://www.google.com/maps/search/?api=1&amp;query=24.65552959,46.58225583", "View Map")</f>
        <v>View Map</v>
      </c>
    </row>
    <row r="1398" spans="1:6" x14ac:dyDescent="0.35">
      <c r="A1398" t="s">
        <v>4112</v>
      </c>
      <c r="B1398" t="s">
        <v>4113</v>
      </c>
      <c r="C1398" t="s">
        <v>1776</v>
      </c>
      <c r="D1398" t="s">
        <v>9</v>
      </c>
      <c r="E1398">
        <v>1123</v>
      </c>
      <c r="F1398" t="str">
        <f>HYPERLINK("https://www.google.com/maps/search/?api=1&amp;query=24.54654235,46.70081307", "View Map")</f>
        <v>View Map</v>
      </c>
    </row>
    <row r="1399" spans="1:6" x14ac:dyDescent="0.35">
      <c r="A1399" t="s">
        <v>1947</v>
      </c>
      <c r="B1399" t="s">
        <v>4114</v>
      </c>
      <c r="C1399" t="s">
        <v>1776</v>
      </c>
      <c r="D1399" t="s">
        <v>9</v>
      </c>
      <c r="E1399">
        <v>1121</v>
      </c>
      <c r="F1399" t="str">
        <f>HYPERLINK("https://www.google.com/maps/search/?api=1&amp;query=24.55621171,46.51615519", "View Map")</f>
        <v>View Map</v>
      </c>
    </row>
    <row r="1400" spans="1:6" x14ac:dyDescent="0.35">
      <c r="A1400" t="s">
        <v>2275</v>
      </c>
      <c r="B1400" t="s">
        <v>4115</v>
      </c>
      <c r="C1400" t="s">
        <v>1776</v>
      </c>
      <c r="D1400" t="s">
        <v>13</v>
      </c>
      <c r="E1400">
        <v>1120</v>
      </c>
      <c r="F1400" t="str">
        <f>HYPERLINK("https://www.google.com/maps/search/?api=1&amp;query=24.69129537,46.6507574", "View Map")</f>
        <v>View Map</v>
      </c>
    </row>
    <row r="1401" spans="1:6" x14ac:dyDescent="0.35">
      <c r="A1401" t="s">
        <v>4116</v>
      </c>
      <c r="B1401" t="s">
        <v>4117</v>
      </c>
      <c r="C1401" t="s">
        <v>1843</v>
      </c>
      <c r="D1401" t="s">
        <v>13</v>
      </c>
      <c r="E1401">
        <v>1120</v>
      </c>
      <c r="F1401" t="str">
        <f>HYPERLINK("https://www.google.com/maps/search/?api=1&amp;query=24.7532337,46.57687528", "View Map")</f>
        <v>View Map</v>
      </c>
    </row>
    <row r="1402" spans="1:6" x14ac:dyDescent="0.35">
      <c r="A1402" t="s">
        <v>1798</v>
      </c>
      <c r="B1402" t="s">
        <v>4118</v>
      </c>
      <c r="C1402" t="s">
        <v>1843</v>
      </c>
      <c r="D1402" t="s">
        <v>13</v>
      </c>
      <c r="E1402">
        <v>1120</v>
      </c>
      <c r="F1402" t="str">
        <f>HYPERLINK("https://www.google.com/maps/search/?api=1&amp;query=24.7453,46.5272", "View Map")</f>
        <v>View Map</v>
      </c>
    </row>
    <row r="1403" spans="1:6" x14ac:dyDescent="0.35">
      <c r="A1403" t="s">
        <v>1798</v>
      </c>
      <c r="B1403" t="s">
        <v>4119</v>
      </c>
      <c r="C1403" t="s">
        <v>1776</v>
      </c>
      <c r="D1403" t="s">
        <v>13</v>
      </c>
      <c r="E1403">
        <v>1120</v>
      </c>
      <c r="F1403" t="str">
        <f>HYPERLINK("https://www.google.com/maps/search/?api=1&amp;query=24.8446098,46.76920555", "View Map")</f>
        <v>View Map</v>
      </c>
    </row>
    <row r="1404" spans="1:6" x14ac:dyDescent="0.35">
      <c r="A1404" t="s">
        <v>4120</v>
      </c>
      <c r="B1404" t="s">
        <v>4121</v>
      </c>
      <c r="C1404" t="s">
        <v>1776</v>
      </c>
      <c r="D1404" t="s">
        <v>13</v>
      </c>
      <c r="E1404">
        <v>1119</v>
      </c>
      <c r="F1404" t="str">
        <f>HYPERLINK("https://www.google.com/maps/search/?api=1&amp;query=24.7740432,46.6345697", "View Map")</f>
        <v>View Map</v>
      </c>
    </row>
    <row r="1405" spans="1:6" x14ac:dyDescent="0.35">
      <c r="A1405" t="s">
        <v>1798</v>
      </c>
      <c r="B1405" t="s">
        <v>4122</v>
      </c>
      <c r="C1405" t="s">
        <v>1776</v>
      </c>
      <c r="D1405" t="s">
        <v>13</v>
      </c>
      <c r="E1405">
        <v>1119</v>
      </c>
      <c r="F1405" t="str">
        <f>HYPERLINK("https://www.google.com/maps/search/?api=1&amp;query=24.69772,46.67663", "View Map")</f>
        <v>View Map</v>
      </c>
    </row>
    <row r="1406" spans="1:6" x14ac:dyDescent="0.35">
      <c r="A1406" t="s">
        <v>4123</v>
      </c>
      <c r="B1406" t="s">
        <v>4124</v>
      </c>
      <c r="C1406" t="s">
        <v>1776</v>
      </c>
      <c r="D1406" t="s">
        <v>13</v>
      </c>
      <c r="E1406">
        <v>1118</v>
      </c>
      <c r="F1406" t="str">
        <f>HYPERLINK("https://www.google.com/maps/search/?api=1&amp;query=24.80796988,46.85509319", "View Map")</f>
        <v>View Map</v>
      </c>
    </row>
    <row r="1407" spans="1:6" x14ac:dyDescent="0.35">
      <c r="A1407" t="s">
        <v>1947</v>
      </c>
      <c r="B1407" t="s">
        <v>4125</v>
      </c>
      <c r="C1407" t="s">
        <v>1776</v>
      </c>
      <c r="D1407" t="s">
        <v>13</v>
      </c>
      <c r="E1407">
        <v>1118</v>
      </c>
      <c r="F1407" t="str">
        <f>HYPERLINK("https://www.google.com/maps/search/?api=1&amp;query=24.57499557,46.57905643", "View Map")</f>
        <v>View Map</v>
      </c>
    </row>
    <row r="1408" spans="1:6" x14ac:dyDescent="0.35">
      <c r="A1408" t="s">
        <v>1947</v>
      </c>
      <c r="B1408" t="s">
        <v>4126</v>
      </c>
      <c r="C1408" t="s">
        <v>1776</v>
      </c>
      <c r="D1408" t="s">
        <v>13</v>
      </c>
      <c r="E1408">
        <v>1117</v>
      </c>
      <c r="F1408" t="str">
        <f>HYPERLINK("https://www.google.com/maps/search/?api=1&amp;query=24.625613,46.697227", "View Map")</f>
        <v>View Map</v>
      </c>
    </row>
    <row r="1409" spans="1:6" x14ac:dyDescent="0.35">
      <c r="A1409" t="s">
        <v>1798</v>
      </c>
      <c r="B1409" t="s">
        <v>4127</v>
      </c>
      <c r="C1409" t="s">
        <v>1776</v>
      </c>
      <c r="D1409" t="s">
        <v>13</v>
      </c>
      <c r="E1409">
        <v>1116</v>
      </c>
      <c r="F1409" t="str">
        <f>HYPERLINK("https://www.google.com/maps/search/?api=1&amp;query=24.74721727,46.62628386", "View Map")</f>
        <v>View Map</v>
      </c>
    </row>
    <row r="1410" spans="1:6" x14ac:dyDescent="0.35">
      <c r="A1410" t="s">
        <v>4128</v>
      </c>
      <c r="B1410" t="s">
        <v>4129</v>
      </c>
      <c r="C1410" t="s">
        <v>1776</v>
      </c>
      <c r="D1410" t="s">
        <v>13</v>
      </c>
      <c r="E1410">
        <v>1115</v>
      </c>
      <c r="F1410" t="str">
        <f>HYPERLINK("https://www.google.com/maps/search/?api=1&amp;query=24.57897636,46.75765783", "View Map")</f>
        <v>View Map</v>
      </c>
    </row>
    <row r="1411" spans="1:6" x14ac:dyDescent="0.35">
      <c r="A1411" t="s">
        <v>4130</v>
      </c>
      <c r="B1411" t="s">
        <v>4131</v>
      </c>
      <c r="C1411" t="s">
        <v>1776</v>
      </c>
      <c r="D1411" t="s">
        <v>13</v>
      </c>
      <c r="E1411">
        <v>1115</v>
      </c>
      <c r="F1411" t="str">
        <f>HYPERLINK("https://www.google.com/maps/search/?api=1&amp;query=24.76411792,46.7708659", "View Map")</f>
        <v>View Map</v>
      </c>
    </row>
    <row r="1412" spans="1:6" x14ac:dyDescent="0.35">
      <c r="A1412" t="s">
        <v>1798</v>
      </c>
      <c r="B1412" t="s">
        <v>4132</v>
      </c>
      <c r="C1412" t="s">
        <v>1776</v>
      </c>
      <c r="D1412" t="s">
        <v>9</v>
      </c>
      <c r="E1412">
        <v>1115</v>
      </c>
      <c r="F1412" t="str">
        <f>HYPERLINK("https://www.google.com/maps/search/?api=1&amp;query=24.80897062,46.82532211", "View Map")</f>
        <v>View Map</v>
      </c>
    </row>
    <row r="1413" spans="1:6" x14ac:dyDescent="0.35">
      <c r="A1413" t="s">
        <v>4133</v>
      </c>
      <c r="B1413" t="s">
        <v>4134</v>
      </c>
      <c r="C1413" t="s">
        <v>1776</v>
      </c>
      <c r="D1413" t="s">
        <v>9</v>
      </c>
      <c r="E1413">
        <v>1113</v>
      </c>
      <c r="F1413" t="str">
        <f>HYPERLINK("https://www.google.com/maps/search/?api=1&amp;query=24.77589205,46.80915846", "View Map")</f>
        <v>View Map</v>
      </c>
    </row>
    <row r="1414" spans="1:6" x14ac:dyDescent="0.35">
      <c r="A1414" t="s">
        <v>1798</v>
      </c>
      <c r="B1414" t="s">
        <v>4135</v>
      </c>
      <c r="C1414" t="s">
        <v>1776</v>
      </c>
      <c r="D1414" t="s">
        <v>13</v>
      </c>
      <c r="E1414">
        <v>1113</v>
      </c>
      <c r="F1414" t="str">
        <f>HYPERLINK("https://www.google.com/maps/search/?api=1&amp;query=24.79748,46.59821", "View Map")</f>
        <v>View Map</v>
      </c>
    </row>
    <row r="1415" spans="1:6" x14ac:dyDescent="0.35">
      <c r="A1415" t="s">
        <v>4136</v>
      </c>
      <c r="B1415" t="s">
        <v>4137</v>
      </c>
      <c r="C1415" t="s">
        <v>1776</v>
      </c>
      <c r="D1415" t="s">
        <v>9</v>
      </c>
      <c r="E1415">
        <v>1113</v>
      </c>
      <c r="F1415" t="str">
        <f>HYPERLINK("https://www.google.com/maps/search/?api=1&amp;query=24.8054749,46.86762852", "View Map")</f>
        <v>View Map</v>
      </c>
    </row>
    <row r="1416" spans="1:6" x14ac:dyDescent="0.35">
      <c r="A1416" t="s">
        <v>1794</v>
      </c>
      <c r="B1416" t="s">
        <v>4138</v>
      </c>
      <c r="C1416" t="s">
        <v>1776</v>
      </c>
      <c r="D1416" t="s">
        <v>13</v>
      </c>
      <c r="E1416">
        <v>1112</v>
      </c>
      <c r="F1416" t="str">
        <f>HYPERLINK("https://www.google.com/maps/search/?api=1&amp;query=24.62372231,46.51273174", "View Map")</f>
        <v>View Map</v>
      </c>
    </row>
    <row r="1417" spans="1:6" x14ac:dyDescent="0.35">
      <c r="A1417" t="s">
        <v>4139</v>
      </c>
      <c r="B1417" t="s">
        <v>4140</v>
      </c>
      <c r="C1417" t="s">
        <v>1776</v>
      </c>
      <c r="D1417" t="s">
        <v>13</v>
      </c>
      <c r="E1417">
        <v>1112</v>
      </c>
      <c r="F1417" t="str">
        <f>HYPERLINK("https://www.google.com/maps/search/?api=1&amp;query=24.63186336,46.56191313", "View Map")</f>
        <v>View Map</v>
      </c>
    </row>
    <row r="1418" spans="1:6" x14ac:dyDescent="0.35">
      <c r="A1418" t="s">
        <v>4141</v>
      </c>
      <c r="B1418" t="s">
        <v>4142</v>
      </c>
      <c r="C1418" t="s">
        <v>1776</v>
      </c>
      <c r="D1418" t="s">
        <v>13</v>
      </c>
      <c r="E1418">
        <v>1111</v>
      </c>
      <c r="F1418" t="str">
        <f>HYPERLINK("https://www.google.com/maps/search/?api=1&amp;query=24.67620514,46.82159739", "View Map")</f>
        <v>View Map</v>
      </c>
    </row>
    <row r="1419" spans="1:6" x14ac:dyDescent="0.35">
      <c r="A1419" t="s">
        <v>4143</v>
      </c>
      <c r="B1419" t="s">
        <v>4144</v>
      </c>
      <c r="C1419" t="s">
        <v>1776</v>
      </c>
      <c r="D1419" t="s">
        <v>13</v>
      </c>
      <c r="E1419">
        <v>1110</v>
      </c>
      <c r="F1419" t="str">
        <f>HYPERLINK("https://www.google.com/maps/search/?api=1&amp;query=24.65797704,46.73843886", "View Map")</f>
        <v>View Map</v>
      </c>
    </row>
    <row r="1420" spans="1:6" x14ac:dyDescent="0.35">
      <c r="A1420" t="s">
        <v>4145</v>
      </c>
      <c r="B1420" t="s">
        <v>4146</v>
      </c>
      <c r="C1420" t="s">
        <v>1776</v>
      </c>
      <c r="D1420" t="s">
        <v>13</v>
      </c>
      <c r="E1420">
        <v>1109</v>
      </c>
      <c r="F1420" t="str">
        <f>HYPERLINK("https://www.google.com/maps/search/?api=1&amp;query=24.68243401,46.58809885", "View Map")</f>
        <v>View Map</v>
      </c>
    </row>
    <row r="1421" spans="1:6" x14ac:dyDescent="0.35">
      <c r="A1421" t="s">
        <v>4147</v>
      </c>
      <c r="B1421" t="s">
        <v>4148</v>
      </c>
      <c r="C1421" t="s">
        <v>1776</v>
      </c>
      <c r="D1421" t="s">
        <v>13</v>
      </c>
      <c r="E1421">
        <v>1109</v>
      </c>
      <c r="F1421" t="str">
        <f>HYPERLINK("https://www.google.com/maps/search/?api=1&amp;query=24.79055915,46.79616398", "View Map")</f>
        <v>View Map</v>
      </c>
    </row>
    <row r="1422" spans="1:6" x14ac:dyDescent="0.35">
      <c r="A1422" t="s">
        <v>4149</v>
      </c>
      <c r="B1422" t="s">
        <v>4150</v>
      </c>
      <c r="C1422" t="s">
        <v>1776</v>
      </c>
      <c r="D1422" t="s">
        <v>13</v>
      </c>
      <c r="E1422">
        <v>1107</v>
      </c>
      <c r="F1422" t="str">
        <f>HYPERLINK("https://www.google.com/maps/search/?api=1&amp;query=24.68195724,46.80076332", "View Map")</f>
        <v>View Map</v>
      </c>
    </row>
    <row r="1423" spans="1:6" x14ac:dyDescent="0.35">
      <c r="A1423" t="s">
        <v>4151</v>
      </c>
      <c r="B1423" t="s">
        <v>4152</v>
      </c>
      <c r="C1423" t="s">
        <v>1776</v>
      </c>
      <c r="D1423" t="s">
        <v>13</v>
      </c>
      <c r="E1423">
        <v>1106</v>
      </c>
      <c r="F1423" t="str">
        <f>HYPERLINK("https://www.google.com/maps/search/?api=1&amp;query=24.60927207,46.70991522", "View Map")</f>
        <v>View Map</v>
      </c>
    </row>
    <row r="1424" spans="1:6" x14ac:dyDescent="0.35">
      <c r="A1424" t="s">
        <v>1798</v>
      </c>
      <c r="B1424" t="s">
        <v>4153</v>
      </c>
      <c r="C1424" t="s">
        <v>1843</v>
      </c>
      <c r="D1424" t="s">
        <v>9</v>
      </c>
      <c r="E1424">
        <v>1106</v>
      </c>
      <c r="F1424" t="str">
        <f>HYPERLINK("https://www.google.com/maps/search/?api=1&amp;query=24.89832022,46.4406564", "View Map")</f>
        <v>View Map</v>
      </c>
    </row>
    <row r="1425" spans="1:6" x14ac:dyDescent="0.35">
      <c r="A1425" t="s">
        <v>1798</v>
      </c>
      <c r="B1425" t="s">
        <v>4154</v>
      </c>
      <c r="C1425" t="s">
        <v>1776</v>
      </c>
      <c r="D1425" t="s">
        <v>9</v>
      </c>
      <c r="E1425">
        <v>1105</v>
      </c>
      <c r="F1425" t="str">
        <f>HYPERLINK("https://www.google.com/maps/search/?api=1&amp;query=24.65252,46.52495", "View Map")</f>
        <v>View Map</v>
      </c>
    </row>
    <row r="1426" spans="1:6" x14ac:dyDescent="0.35">
      <c r="A1426" t="s">
        <v>4155</v>
      </c>
      <c r="B1426" t="s">
        <v>4156</v>
      </c>
      <c r="C1426" t="s">
        <v>1776</v>
      </c>
      <c r="D1426" t="s">
        <v>13</v>
      </c>
      <c r="E1426">
        <v>1103</v>
      </c>
      <c r="F1426" t="str">
        <f>HYPERLINK("https://www.google.com/maps/search/?api=1&amp;query=24.66200276,46.8076914", "View Map")</f>
        <v>View Map</v>
      </c>
    </row>
    <row r="1427" spans="1:6" x14ac:dyDescent="0.35">
      <c r="A1427" t="s">
        <v>4157</v>
      </c>
      <c r="B1427" t="s">
        <v>4158</v>
      </c>
      <c r="C1427" t="s">
        <v>1776</v>
      </c>
      <c r="D1427" t="s">
        <v>9</v>
      </c>
      <c r="E1427">
        <v>1103</v>
      </c>
      <c r="F1427" t="str">
        <f>HYPERLINK("https://www.google.com/maps/search/?api=1&amp;query=24.54813471,46.73042738", "View Map")</f>
        <v>View Map</v>
      </c>
    </row>
    <row r="1428" spans="1:6" x14ac:dyDescent="0.35">
      <c r="A1428" t="s">
        <v>4159</v>
      </c>
      <c r="B1428" t="s">
        <v>4160</v>
      </c>
      <c r="C1428" t="s">
        <v>1776</v>
      </c>
      <c r="D1428" t="s">
        <v>9</v>
      </c>
      <c r="E1428">
        <v>1102</v>
      </c>
      <c r="F1428" t="str">
        <f>HYPERLINK("https://www.google.com/maps/search/?api=1&amp;query=24.70567047,46.797484", "View Map")</f>
        <v>View Map</v>
      </c>
    </row>
    <row r="1429" spans="1:6" x14ac:dyDescent="0.35">
      <c r="A1429" t="s">
        <v>4161</v>
      </c>
      <c r="B1429" t="s">
        <v>4162</v>
      </c>
      <c r="C1429" t="s">
        <v>1776</v>
      </c>
      <c r="D1429" t="s">
        <v>13</v>
      </c>
      <c r="E1429">
        <v>1102</v>
      </c>
      <c r="F1429" t="str">
        <f>HYPERLINK("https://www.google.com/maps/search/?api=1&amp;query=24.60253779,46.68690294", "View Map")</f>
        <v>View Map</v>
      </c>
    </row>
    <row r="1430" spans="1:6" x14ac:dyDescent="0.35">
      <c r="A1430" t="s">
        <v>2178</v>
      </c>
      <c r="B1430" t="s">
        <v>4163</v>
      </c>
      <c r="C1430" t="s">
        <v>1776</v>
      </c>
      <c r="D1430" t="s">
        <v>13</v>
      </c>
      <c r="E1430">
        <v>1099</v>
      </c>
      <c r="F1430" t="str">
        <f>HYPERLINK("https://www.google.com/maps/search/?api=1&amp;query=24.79641343,46.65581817", "View Map")</f>
        <v>View Map</v>
      </c>
    </row>
    <row r="1431" spans="1:6" x14ac:dyDescent="0.35">
      <c r="A1431" t="s">
        <v>4164</v>
      </c>
      <c r="B1431" t="s">
        <v>4165</v>
      </c>
      <c r="C1431" t="s">
        <v>1776</v>
      </c>
      <c r="D1431" t="s">
        <v>13</v>
      </c>
      <c r="E1431">
        <v>1099</v>
      </c>
      <c r="F1431" t="str">
        <f>HYPERLINK("https://www.google.com/maps/search/?api=1&amp;query=24.80235704,46.68640744", "View Map")</f>
        <v>View Map</v>
      </c>
    </row>
    <row r="1432" spans="1:6" x14ac:dyDescent="0.35">
      <c r="A1432" t="s">
        <v>4166</v>
      </c>
      <c r="B1432" t="s">
        <v>4167</v>
      </c>
      <c r="C1432" t="s">
        <v>1776</v>
      </c>
      <c r="D1432" t="s">
        <v>9</v>
      </c>
      <c r="E1432">
        <v>1098</v>
      </c>
      <c r="F1432" t="str">
        <f>HYPERLINK("https://www.google.com/maps/search/?api=1&amp;query=24.73106364,46.8076619", "View Map")</f>
        <v>View Map</v>
      </c>
    </row>
    <row r="1433" spans="1:6" x14ac:dyDescent="0.35">
      <c r="A1433" t="s">
        <v>4168</v>
      </c>
      <c r="B1433" t="s">
        <v>4169</v>
      </c>
      <c r="C1433" t="s">
        <v>1776</v>
      </c>
      <c r="D1433" t="s">
        <v>13</v>
      </c>
      <c r="E1433">
        <v>1098</v>
      </c>
      <c r="F1433" t="str">
        <f>HYPERLINK("https://www.google.com/maps/search/?api=1&amp;query=24.72040999,46.76083426", "View Map")</f>
        <v>View Map</v>
      </c>
    </row>
    <row r="1434" spans="1:6" x14ac:dyDescent="0.35">
      <c r="A1434" t="s">
        <v>4170</v>
      </c>
      <c r="B1434" t="s">
        <v>4171</v>
      </c>
      <c r="C1434" t="s">
        <v>1776</v>
      </c>
      <c r="D1434" t="s">
        <v>13</v>
      </c>
      <c r="E1434">
        <v>1098</v>
      </c>
      <c r="F1434" t="str">
        <f>HYPERLINK("https://www.google.com/maps/search/?api=1&amp;query=24.57053949,46.76688472", "View Map")</f>
        <v>View Map</v>
      </c>
    </row>
    <row r="1435" spans="1:6" x14ac:dyDescent="0.35">
      <c r="A1435" t="s">
        <v>1798</v>
      </c>
      <c r="B1435" t="s">
        <v>4172</v>
      </c>
      <c r="C1435" t="s">
        <v>1776</v>
      </c>
      <c r="D1435" t="s">
        <v>13</v>
      </c>
      <c r="E1435">
        <v>1097</v>
      </c>
      <c r="F1435" t="str">
        <f>HYPERLINK("https://www.google.com/maps/search/?api=1&amp;query=24.77526334,46.8374993", "View Map")</f>
        <v>View Map</v>
      </c>
    </row>
    <row r="1436" spans="1:6" x14ac:dyDescent="0.35">
      <c r="A1436" t="s">
        <v>4173</v>
      </c>
      <c r="B1436" t="s">
        <v>4174</v>
      </c>
      <c r="C1436" t="s">
        <v>1776</v>
      </c>
      <c r="D1436" t="s">
        <v>13</v>
      </c>
      <c r="E1436">
        <v>1095</v>
      </c>
      <c r="F1436" t="str">
        <f>HYPERLINK("https://www.google.com/maps/search/?api=1&amp;query=24.70246352,46.83920778", "View Map")</f>
        <v>View Map</v>
      </c>
    </row>
    <row r="1437" spans="1:6" x14ac:dyDescent="0.35">
      <c r="A1437" t="s">
        <v>2857</v>
      </c>
      <c r="B1437" t="s">
        <v>4175</v>
      </c>
      <c r="C1437" t="s">
        <v>1776</v>
      </c>
      <c r="D1437" t="s">
        <v>13</v>
      </c>
      <c r="E1437">
        <v>1093</v>
      </c>
      <c r="F1437" t="str">
        <f>HYPERLINK("https://www.google.com/maps/search/?api=1&amp;query=24.79240461,46.7713202", "View Map")</f>
        <v>View Map</v>
      </c>
    </row>
    <row r="1438" spans="1:6" x14ac:dyDescent="0.35">
      <c r="A1438" t="s">
        <v>1798</v>
      </c>
      <c r="B1438" t="s">
        <v>4176</v>
      </c>
      <c r="C1438" t="s">
        <v>1776</v>
      </c>
      <c r="D1438" t="s">
        <v>9</v>
      </c>
      <c r="E1438">
        <v>1093</v>
      </c>
      <c r="F1438" t="str">
        <f>HYPERLINK("https://www.google.com/maps/search/?api=1&amp;query=24.84074605,46.75160164", "View Map")</f>
        <v>View Map</v>
      </c>
    </row>
    <row r="1439" spans="1:6" x14ac:dyDescent="0.35">
      <c r="A1439" t="s">
        <v>1798</v>
      </c>
      <c r="B1439" t="s">
        <v>4177</v>
      </c>
      <c r="C1439" t="s">
        <v>1776</v>
      </c>
      <c r="D1439" t="s">
        <v>13</v>
      </c>
      <c r="E1439">
        <v>1091</v>
      </c>
      <c r="F1439" t="str">
        <f>HYPERLINK("https://www.google.com/maps/search/?api=1&amp;query=24.80303666,46.83873329", "View Map")</f>
        <v>View Map</v>
      </c>
    </row>
    <row r="1440" spans="1:6" x14ac:dyDescent="0.35">
      <c r="A1440" t="s">
        <v>47</v>
      </c>
      <c r="B1440" t="s">
        <v>4178</v>
      </c>
      <c r="C1440" t="s">
        <v>1776</v>
      </c>
      <c r="D1440" t="s">
        <v>13</v>
      </c>
      <c r="E1440">
        <v>1090</v>
      </c>
      <c r="F1440" t="str">
        <f>HYPERLINK("https://www.google.com/maps/search/?api=1&amp;query=0.0,0.0", "View Map")</f>
        <v>View Map</v>
      </c>
    </row>
    <row r="1441" spans="1:6" x14ac:dyDescent="0.35">
      <c r="A1441" t="s">
        <v>1798</v>
      </c>
      <c r="B1441" t="s">
        <v>4179</v>
      </c>
      <c r="C1441" t="s">
        <v>1776</v>
      </c>
      <c r="D1441" t="s">
        <v>13</v>
      </c>
      <c r="E1441">
        <v>1090</v>
      </c>
      <c r="F1441" t="str">
        <f>HYPERLINK("https://www.google.com/maps/search/?api=1&amp;query=24.622656,46.52221324", "View Map")</f>
        <v>View Map</v>
      </c>
    </row>
    <row r="1442" spans="1:6" x14ac:dyDescent="0.35">
      <c r="A1442" t="s">
        <v>4180</v>
      </c>
      <c r="B1442" t="s">
        <v>4181</v>
      </c>
      <c r="C1442" t="s">
        <v>1776</v>
      </c>
      <c r="D1442" t="s">
        <v>9</v>
      </c>
      <c r="E1442">
        <v>1089</v>
      </c>
      <c r="F1442" t="str">
        <f>HYPERLINK("https://www.google.com/maps/search/?api=1&amp;query=24.6261388,46.65293838", "View Map")</f>
        <v>View Map</v>
      </c>
    </row>
    <row r="1443" spans="1:6" x14ac:dyDescent="0.35">
      <c r="A1443" t="s">
        <v>1798</v>
      </c>
      <c r="B1443" t="s">
        <v>4182</v>
      </c>
      <c r="C1443" t="s">
        <v>1776</v>
      </c>
      <c r="D1443" t="s">
        <v>13</v>
      </c>
      <c r="E1443">
        <v>1087</v>
      </c>
      <c r="F1443" t="str">
        <f>HYPERLINK("https://www.google.com/maps/search/?api=1&amp;query=24.7794697,46.8378725", "View Map")</f>
        <v>View Map</v>
      </c>
    </row>
    <row r="1444" spans="1:6" x14ac:dyDescent="0.35">
      <c r="A1444" t="s">
        <v>4183</v>
      </c>
      <c r="B1444" t="s">
        <v>4184</v>
      </c>
      <c r="C1444" t="s">
        <v>1776</v>
      </c>
      <c r="D1444" t="s">
        <v>13</v>
      </c>
      <c r="E1444">
        <v>1087</v>
      </c>
      <c r="F1444" t="str">
        <f>HYPERLINK("https://www.google.com/maps/search/?api=1&amp;query=24.70086,46.66201", "View Map")</f>
        <v>View Map</v>
      </c>
    </row>
    <row r="1445" spans="1:6" x14ac:dyDescent="0.35">
      <c r="A1445" t="s">
        <v>4185</v>
      </c>
      <c r="B1445" t="s">
        <v>4186</v>
      </c>
      <c r="C1445" t="s">
        <v>1776</v>
      </c>
      <c r="D1445" t="s">
        <v>13</v>
      </c>
      <c r="E1445">
        <v>1087</v>
      </c>
      <c r="F1445" t="str">
        <f>HYPERLINK("https://www.google.com/maps/search/?api=1&amp;query=24.66033855,46.73400261", "View Map")</f>
        <v>View Map</v>
      </c>
    </row>
    <row r="1446" spans="1:6" x14ac:dyDescent="0.35">
      <c r="A1446" t="s">
        <v>4187</v>
      </c>
      <c r="B1446" t="s">
        <v>4188</v>
      </c>
      <c r="C1446" t="s">
        <v>1776</v>
      </c>
      <c r="D1446" t="s">
        <v>13</v>
      </c>
      <c r="E1446">
        <v>1086</v>
      </c>
      <c r="F1446" t="str">
        <f>HYPERLINK("https://www.google.com/maps/search/?api=1&amp;query=24.77552941,46.72267279", "View Map")</f>
        <v>View Map</v>
      </c>
    </row>
    <row r="1447" spans="1:6" x14ac:dyDescent="0.35">
      <c r="A1447" t="s">
        <v>4189</v>
      </c>
      <c r="B1447" t="s">
        <v>4190</v>
      </c>
      <c r="C1447" t="s">
        <v>1776</v>
      </c>
      <c r="D1447" t="s">
        <v>9</v>
      </c>
      <c r="E1447">
        <v>1086</v>
      </c>
      <c r="F1447" t="str">
        <f>HYPERLINK("https://www.google.com/maps/search/?api=1&amp;query=24.7181423,46.80661594", "View Map")</f>
        <v>View Map</v>
      </c>
    </row>
    <row r="1448" spans="1:6" x14ac:dyDescent="0.35">
      <c r="A1448" t="s">
        <v>4191</v>
      </c>
      <c r="B1448" t="s">
        <v>4192</v>
      </c>
      <c r="C1448" t="s">
        <v>1776</v>
      </c>
      <c r="D1448" t="s">
        <v>13</v>
      </c>
      <c r="E1448">
        <v>1085</v>
      </c>
      <c r="F1448" t="str">
        <f>HYPERLINK("https://www.google.com/maps/search/?api=1&amp;query=24.57460467,46.66938705", "View Map")</f>
        <v>View Map</v>
      </c>
    </row>
    <row r="1449" spans="1:6" x14ac:dyDescent="0.35">
      <c r="A1449" t="s">
        <v>1798</v>
      </c>
      <c r="B1449" t="s">
        <v>4193</v>
      </c>
      <c r="C1449" t="s">
        <v>1776</v>
      </c>
      <c r="D1449" t="s">
        <v>9</v>
      </c>
      <c r="E1449">
        <v>1085</v>
      </c>
      <c r="F1449" t="str">
        <f>HYPERLINK("https://www.google.com/maps/search/?api=1&amp;query=24.92651732,46.81035049", "View Map")</f>
        <v>View Map</v>
      </c>
    </row>
    <row r="1450" spans="1:6" x14ac:dyDescent="0.35">
      <c r="A1450" t="s">
        <v>4194</v>
      </c>
      <c r="B1450" t="s">
        <v>4195</v>
      </c>
      <c r="C1450" t="s">
        <v>1776</v>
      </c>
      <c r="D1450" t="s">
        <v>13</v>
      </c>
      <c r="E1450">
        <v>1084</v>
      </c>
      <c r="F1450" t="str">
        <f>HYPERLINK("https://www.google.com/maps/search/?api=1&amp;query=24.56253719,46.80417442", "View Map")</f>
        <v>View Map</v>
      </c>
    </row>
    <row r="1451" spans="1:6" x14ac:dyDescent="0.35">
      <c r="A1451" t="s">
        <v>4196</v>
      </c>
      <c r="B1451" t="s">
        <v>4197</v>
      </c>
      <c r="C1451" t="s">
        <v>1776</v>
      </c>
      <c r="D1451" t="s">
        <v>13</v>
      </c>
      <c r="E1451">
        <v>1084</v>
      </c>
      <c r="F1451" t="str">
        <f>HYPERLINK("https://www.google.com/maps/search/?api=1&amp;query=24.75665385,46.75256631", "View Map")</f>
        <v>View Map</v>
      </c>
    </row>
    <row r="1452" spans="1:6" x14ac:dyDescent="0.35">
      <c r="A1452" t="s">
        <v>1798</v>
      </c>
      <c r="B1452" t="s">
        <v>4198</v>
      </c>
      <c r="C1452" t="s">
        <v>1776</v>
      </c>
      <c r="D1452" t="s">
        <v>13</v>
      </c>
      <c r="E1452">
        <v>1084</v>
      </c>
      <c r="F1452" t="str">
        <f>HYPERLINK("https://www.google.com/maps/search/?api=1&amp;query=24.85543332,46.80627792", "View Map")</f>
        <v>View Map</v>
      </c>
    </row>
    <row r="1453" spans="1:6" x14ac:dyDescent="0.35">
      <c r="A1453" t="s">
        <v>4199</v>
      </c>
      <c r="B1453" t="s">
        <v>4200</v>
      </c>
      <c r="C1453" t="s">
        <v>1776</v>
      </c>
      <c r="D1453" t="s">
        <v>13</v>
      </c>
      <c r="E1453">
        <v>1082</v>
      </c>
      <c r="F1453" t="str">
        <f>HYPERLINK("https://www.google.com/maps/search/?api=1&amp;query=24.75281494,46.8119573", "View Map")</f>
        <v>View Map</v>
      </c>
    </row>
    <row r="1454" spans="1:6" x14ac:dyDescent="0.35">
      <c r="A1454" t="s">
        <v>1798</v>
      </c>
      <c r="B1454" t="s">
        <v>4201</v>
      </c>
      <c r="C1454" t="s">
        <v>1776</v>
      </c>
      <c r="D1454" t="s">
        <v>9</v>
      </c>
      <c r="E1454">
        <v>1082</v>
      </c>
      <c r="F1454" t="str">
        <f>HYPERLINK("https://www.google.com/maps/search/?api=1&amp;query=24.79557939,46.61727517", "View Map")</f>
        <v>View Map</v>
      </c>
    </row>
    <row r="1455" spans="1:6" x14ac:dyDescent="0.35">
      <c r="A1455" t="s">
        <v>1947</v>
      </c>
      <c r="B1455" t="s">
        <v>4202</v>
      </c>
      <c r="C1455" t="s">
        <v>1776</v>
      </c>
      <c r="D1455" t="s">
        <v>9</v>
      </c>
      <c r="E1455">
        <v>1081</v>
      </c>
      <c r="F1455" t="str">
        <f>HYPERLINK("https://www.google.com/maps/search/?api=1&amp;query=24.55363955,46.6674507", "View Map")</f>
        <v>View Map</v>
      </c>
    </row>
    <row r="1456" spans="1:6" x14ac:dyDescent="0.35">
      <c r="A1456" t="s">
        <v>4203</v>
      </c>
      <c r="B1456" t="s">
        <v>4204</v>
      </c>
      <c r="C1456" t="s">
        <v>1776</v>
      </c>
      <c r="D1456" t="s">
        <v>9</v>
      </c>
      <c r="E1456">
        <v>1081</v>
      </c>
      <c r="F1456" t="str">
        <f>HYPERLINK("https://www.google.com/maps/search/?api=1&amp;query=24.74558011,46.76686643", "View Map")</f>
        <v>View Map</v>
      </c>
    </row>
    <row r="1457" spans="1:6" x14ac:dyDescent="0.35">
      <c r="A1457" t="s">
        <v>4205</v>
      </c>
      <c r="B1457" t="s">
        <v>4206</v>
      </c>
      <c r="C1457" t="s">
        <v>1776</v>
      </c>
      <c r="D1457" t="s">
        <v>13</v>
      </c>
      <c r="E1457">
        <v>1079</v>
      </c>
      <c r="F1457" t="str">
        <f>HYPERLINK("https://www.google.com/maps/search/?api=1&amp;query=24.59628553,46.68027523", "View Map")</f>
        <v>View Map</v>
      </c>
    </row>
    <row r="1458" spans="1:6" x14ac:dyDescent="0.35">
      <c r="A1458" t="s">
        <v>4207</v>
      </c>
      <c r="B1458" t="s">
        <v>4208</v>
      </c>
      <c r="C1458" t="s">
        <v>1776</v>
      </c>
      <c r="D1458" t="s">
        <v>9</v>
      </c>
      <c r="E1458">
        <v>1079</v>
      </c>
      <c r="F1458" t="str">
        <f>HYPERLINK("https://www.google.com/maps/search/?api=1&amp;query=24.57122094,46.69226542", "View Map")</f>
        <v>View Map</v>
      </c>
    </row>
    <row r="1459" spans="1:6" x14ac:dyDescent="0.35">
      <c r="A1459" t="s">
        <v>4209</v>
      </c>
      <c r="B1459" t="s">
        <v>4210</v>
      </c>
      <c r="C1459" t="s">
        <v>1776</v>
      </c>
      <c r="D1459" t="s">
        <v>13</v>
      </c>
      <c r="E1459">
        <v>1078</v>
      </c>
      <c r="F1459" t="str">
        <f>HYPERLINK("https://www.google.com/maps/search/?api=1&amp;query=24.54254289,46.70998253", "View Map")</f>
        <v>View Map</v>
      </c>
    </row>
    <row r="1460" spans="1:6" x14ac:dyDescent="0.35">
      <c r="A1460" t="s">
        <v>1798</v>
      </c>
      <c r="B1460" t="s">
        <v>4211</v>
      </c>
      <c r="C1460" t="s">
        <v>1776</v>
      </c>
      <c r="D1460" t="s">
        <v>13</v>
      </c>
      <c r="E1460">
        <v>1078</v>
      </c>
      <c r="F1460" t="str">
        <f>HYPERLINK("https://www.google.com/maps/search/?api=1&amp;query=24.81972881,46.75291477", "View Map")</f>
        <v>View Map</v>
      </c>
    </row>
    <row r="1461" spans="1:6" x14ac:dyDescent="0.35">
      <c r="A1461" t="s">
        <v>4212</v>
      </c>
      <c r="B1461" t="s">
        <v>4213</v>
      </c>
      <c r="C1461" t="s">
        <v>1776</v>
      </c>
      <c r="D1461" t="s">
        <v>318</v>
      </c>
      <c r="E1461">
        <v>1078</v>
      </c>
      <c r="F1461" t="str">
        <f>HYPERLINK("https://www.google.com/maps/search/?api=1&amp;query=24.78220565,46.75037573", "View Map")</f>
        <v>View Map</v>
      </c>
    </row>
    <row r="1462" spans="1:6" x14ac:dyDescent="0.35">
      <c r="A1462" t="s">
        <v>4214</v>
      </c>
      <c r="B1462" t="s">
        <v>4215</v>
      </c>
      <c r="C1462" t="s">
        <v>1776</v>
      </c>
      <c r="D1462" t="s">
        <v>13</v>
      </c>
      <c r="E1462">
        <v>1078</v>
      </c>
      <c r="F1462" t="str">
        <f>HYPERLINK("https://www.google.com/maps/search/?api=1&amp;query=24.60901286,46.60862451", "View Map")</f>
        <v>View Map</v>
      </c>
    </row>
    <row r="1463" spans="1:6" x14ac:dyDescent="0.35">
      <c r="A1463" t="s">
        <v>4216</v>
      </c>
      <c r="B1463" t="s">
        <v>4217</v>
      </c>
      <c r="C1463" t="s">
        <v>1776</v>
      </c>
      <c r="D1463" t="s">
        <v>9</v>
      </c>
      <c r="E1463">
        <v>1078</v>
      </c>
      <c r="F1463" t="str">
        <f>HYPERLINK("https://www.google.com/maps/search/?api=1&amp;query=24.73437324,46.75474847", "View Map")</f>
        <v>View Map</v>
      </c>
    </row>
    <row r="1464" spans="1:6" x14ac:dyDescent="0.35">
      <c r="A1464" t="s">
        <v>4218</v>
      </c>
      <c r="B1464" t="s">
        <v>4219</v>
      </c>
      <c r="C1464" t="s">
        <v>1776</v>
      </c>
      <c r="D1464" t="s">
        <v>9</v>
      </c>
      <c r="E1464">
        <v>1077</v>
      </c>
      <c r="F1464" t="str">
        <f>HYPERLINK("https://www.google.com/maps/search/?api=1&amp;query=24.65797652,46.73842717", "View Map")</f>
        <v>View Map</v>
      </c>
    </row>
    <row r="1465" spans="1:6" x14ac:dyDescent="0.35">
      <c r="A1465" t="s">
        <v>4220</v>
      </c>
      <c r="B1465" t="s">
        <v>4221</v>
      </c>
      <c r="C1465" t="s">
        <v>1776</v>
      </c>
      <c r="D1465" t="s">
        <v>9</v>
      </c>
      <c r="E1465">
        <v>1077</v>
      </c>
      <c r="F1465" t="str">
        <f>HYPERLINK("https://www.google.com/maps/search/?api=1&amp;query=24.57997846,46.83406915", "View Map")</f>
        <v>View Map</v>
      </c>
    </row>
    <row r="1466" spans="1:6" x14ac:dyDescent="0.35">
      <c r="A1466" t="s">
        <v>3393</v>
      </c>
      <c r="B1466" t="s">
        <v>4222</v>
      </c>
      <c r="C1466" t="s">
        <v>1776</v>
      </c>
      <c r="D1466" t="s">
        <v>13</v>
      </c>
      <c r="E1466">
        <v>1076</v>
      </c>
      <c r="F1466" t="str">
        <f>HYPERLINK("https://www.google.com/maps/search/?api=1&amp;query=24.68816397,46.79045601", "View Map")</f>
        <v>View Map</v>
      </c>
    </row>
    <row r="1467" spans="1:6" x14ac:dyDescent="0.35">
      <c r="A1467" t="s">
        <v>4223</v>
      </c>
      <c r="B1467" t="s">
        <v>4224</v>
      </c>
      <c r="C1467" t="s">
        <v>1776</v>
      </c>
      <c r="D1467" t="s">
        <v>13</v>
      </c>
      <c r="E1467">
        <v>1075</v>
      </c>
      <c r="F1467" t="str">
        <f>HYPERLINK("https://www.google.com/maps/search/?api=1&amp;query=24.70497222,46.69325261", "View Map")</f>
        <v>View Map</v>
      </c>
    </row>
    <row r="1468" spans="1:6" x14ac:dyDescent="0.35">
      <c r="A1468" t="s">
        <v>3826</v>
      </c>
      <c r="B1468" t="s">
        <v>4225</v>
      </c>
      <c r="C1468" t="s">
        <v>1776</v>
      </c>
      <c r="D1468" t="s">
        <v>9</v>
      </c>
      <c r="E1468">
        <v>1073</v>
      </c>
      <c r="F1468" t="str">
        <f>HYPERLINK("https://www.google.com/maps/search/?api=1&amp;query=24.67533,46.85330097", "View Map")</f>
        <v>View Map</v>
      </c>
    </row>
    <row r="1469" spans="1:6" x14ac:dyDescent="0.35">
      <c r="A1469" t="s">
        <v>1798</v>
      </c>
      <c r="B1469" t="s">
        <v>4226</v>
      </c>
      <c r="C1469" t="s">
        <v>1776</v>
      </c>
      <c r="D1469" t="s">
        <v>9</v>
      </c>
      <c r="E1469">
        <v>1073</v>
      </c>
      <c r="F1469" t="str">
        <f>HYPERLINK("https://www.google.com/maps/search/?api=1&amp;query=24.61097928,46.50976842", "View Map")</f>
        <v>View Map</v>
      </c>
    </row>
    <row r="1470" spans="1:6" x14ac:dyDescent="0.35">
      <c r="A1470" t="s">
        <v>4227</v>
      </c>
      <c r="B1470" t="s">
        <v>4228</v>
      </c>
      <c r="C1470" t="s">
        <v>1776</v>
      </c>
      <c r="D1470" t="s">
        <v>13</v>
      </c>
      <c r="E1470">
        <v>1073</v>
      </c>
      <c r="F1470" t="str">
        <f>HYPERLINK("https://www.google.com/maps/search/?api=1&amp;query=24.66503208,46.72114448", "View Map")</f>
        <v>View Map</v>
      </c>
    </row>
    <row r="1471" spans="1:6" x14ac:dyDescent="0.35">
      <c r="A1471" t="s">
        <v>4229</v>
      </c>
      <c r="B1471" t="s">
        <v>4230</v>
      </c>
      <c r="C1471" t="s">
        <v>1776</v>
      </c>
      <c r="D1471" t="s">
        <v>13</v>
      </c>
      <c r="E1471">
        <v>1073</v>
      </c>
      <c r="F1471" t="str">
        <f>HYPERLINK("https://www.google.com/maps/search/?api=1&amp;query=24.53823545,46.63657867", "View Map")</f>
        <v>View Map</v>
      </c>
    </row>
    <row r="1472" spans="1:6" x14ac:dyDescent="0.35">
      <c r="A1472" t="s">
        <v>3393</v>
      </c>
      <c r="B1472" t="s">
        <v>4231</v>
      </c>
      <c r="C1472" t="s">
        <v>1776</v>
      </c>
      <c r="D1472" t="s">
        <v>13</v>
      </c>
      <c r="E1472">
        <v>1072</v>
      </c>
      <c r="F1472" t="str">
        <f>HYPERLINK("https://www.google.com/maps/search/?api=1&amp;query=24.69013529,46.78902388", "View Map")</f>
        <v>View Map</v>
      </c>
    </row>
    <row r="1473" spans="1:6" x14ac:dyDescent="0.35">
      <c r="A1473" t="s">
        <v>1798</v>
      </c>
      <c r="B1473" t="s">
        <v>4232</v>
      </c>
      <c r="C1473" t="s">
        <v>1776</v>
      </c>
      <c r="D1473" t="s">
        <v>13</v>
      </c>
      <c r="E1473">
        <v>1072</v>
      </c>
      <c r="F1473" t="str">
        <f>HYPERLINK("https://www.google.com/maps/search/?api=1&amp;query=24.60634539,46.76231214", "View Map")</f>
        <v>View Map</v>
      </c>
    </row>
    <row r="1474" spans="1:6" x14ac:dyDescent="0.35">
      <c r="A1474" t="s">
        <v>4233</v>
      </c>
      <c r="B1474" t="s">
        <v>4234</v>
      </c>
      <c r="C1474" t="s">
        <v>1776</v>
      </c>
      <c r="D1474" t="s">
        <v>9</v>
      </c>
      <c r="E1474">
        <v>1071</v>
      </c>
      <c r="F1474" t="str">
        <f>HYPERLINK("https://www.google.com/maps/search/?api=1&amp;query=24.69487303,46.80547083", "View Map")</f>
        <v>View Map</v>
      </c>
    </row>
    <row r="1475" spans="1:6" x14ac:dyDescent="0.35">
      <c r="A1475" t="s">
        <v>4235</v>
      </c>
      <c r="B1475" t="s">
        <v>4236</v>
      </c>
      <c r="C1475" t="s">
        <v>1776</v>
      </c>
      <c r="D1475" t="s">
        <v>13</v>
      </c>
      <c r="E1475">
        <v>1071</v>
      </c>
      <c r="F1475" t="str">
        <f>HYPERLINK("https://www.google.com/maps/search/?api=1&amp;query=24.71511969,46.84495574", "View Map")</f>
        <v>View Map</v>
      </c>
    </row>
    <row r="1476" spans="1:6" x14ac:dyDescent="0.35">
      <c r="A1476" t="s">
        <v>4237</v>
      </c>
      <c r="B1476" t="s">
        <v>4238</v>
      </c>
      <c r="C1476" t="s">
        <v>1776</v>
      </c>
      <c r="D1476" t="s">
        <v>9</v>
      </c>
      <c r="E1476">
        <v>1071</v>
      </c>
      <c r="F1476" t="str">
        <f>HYPERLINK("https://www.google.com/maps/search/?api=1&amp;query=24.76765253,46.74998904", "View Map")</f>
        <v>View Map</v>
      </c>
    </row>
    <row r="1477" spans="1:6" x14ac:dyDescent="0.35">
      <c r="A1477" t="s">
        <v>1798</v>
      </c>
      <c r="B1477" t="s">
        <v>4239</v>
      </c>
      <c r="C1477" t="s">
        <v>1776</v>
      </c>
      <c r="D1477" t="s">
        <v>13</v>
      </c>
      <c r="E1477">
        <v>1071</v>
      </c>
      <c r="F1477" t="str">
        <f>HYPERLINK("https://www.google.com/maps/search/?api=1&amp;query=24.87410778,46.61739178", "View Map")</f>
        <v>View Map</v>
      </c>
    </row>
    <row r="1478" spans="1:6" x14ac:dyDescent="0.35">
      <c r="A1478" t="s">
        <v>4240</v>
      </c>
      <c r="B1478" t="s">
        <v>4241</v>
      </c>
      <c r="C1478" t="s">
        <v>1776</v>
      </c>
      <c r="D1478" t="s">
        <v>13</v>
      </c>
      <c r="E1478">
        <v>1069</v>
      </c>
      <c r="F1478" t="str">
        <f>HYPERLINK("https://www.google.com/maps/search/?api=1&amp;query=24.56304492,46.75907001", "View Map")</f>
        <v>View Map</v>
      </c>
    </row>
    <row r="1479" spans="1:6" x14ac:dyDescent="0.35">
      <c r="A1479" t="s">
        <v>4242</v>
      </c>
      <c r="B1479" t="s">
        <v>4243</v>
      </c>
      <c r="C1479" t="s">
        <v>1776</v>
      </c>
      <c r="D1479" t="s">
        <v>9</v>
      </c>
      <c r="E1479">
        <v>1068</v>
      </c>
      <c r="F1479" t="str">
        <f>HYPERLINK("https://www.google.com/maps/search/?api=1&amp;query=24.79361874,46.71214831", "View Map")</f>
        <v>View Map</v>
      </c>
    </row>
    <row r="1480" spans="1:6" x14ac:dyDescent="0.35">
      <c r="A1480" t="s">
        <v>4244</v>
      </c>
      <c r="B1480" t="s">
        <v>4245</v>
      </c>
      <c r="C1480" t="s">
        <v>1776</v>
      </c>
      <c r="D1480" t="s">
        <v>13</v>
      </c>
      <c r="E1480">
        <v>1067</v>
      </c>
      <c r="F1480" t="str">
        <f>HYPERLINK("https://www.google.com/maps/search/?api=1&amp;query=24.68479353,46.68288632", "View Map")</f>
        <v>View Map</v>
      </c>
    </row>
    <row r="1481" spans="1:6" x14ac:dyDescent="0.35">
      <c r="A1481" t="s">
        <v>1798</v>
      </c>
      <c r="B1481" t="s">
        <v>4246</v>
      </c>
      <c r="C1481" t="s">
        <v>1776</v>
      </c>
      <c r="D1481" t="s">
        <v>13</v>
      </c>
      <c r="E1481">
        <v>1067</v>
      </c>
      <c r="F1481" t="str">
        <f>HYPERLINK("https://www.google.com/maps/search/?api=1&amp;query=24.89492274,46.60397661", "View Map")</f>
        <v>View Map</v>
      </c>
    </row>
    <row r="1482" spans="1:6" x14ac:dyDescent="0.35">
      <c r="A1482" t="s">
        <v>1806</v>
      </c>
      <c r="B1482" t="s">
        <v>4247</v>
      </c>
      <c r="C1482" t="s">
        <v>1776</v>
      </c>
      <c r="D1482" t="s">
        <v>9</v>
      </c>
      <c r="E1482">
        <v>1066</v>
      </c>
      <c r="F1482" t="str">
        <f>HYPERLINK("https://www.google.com/maps/search/?api=1&amp;query=24.7578456,46.84093192", "View Map")</f>
        <v>View Map</v>
      </c>
    </row>
    <row r="1483" spans="1:6" x14ac:dyDescent="0.35">
      <c r="A1483" t="s">
        <v>1798</v>
      </c>
      <c r="B1483" t="s">
        <v>4248</v>
      </c>
      <c r="C1483" t="s">
        <v>1776</v>
      </c>
      <c r="D1483" t="s">
        <v>13</v>
      </c>
      <c r="E1483">
        <v>1066</v>
      </c>
      <c r="F1483" t="str">
        <f>HYPERLINK("https://www.google.com/maps/search/?api=1&amp;query=24.84240754,46.79025005", "View Map")</f>
        <v>View Map</v>
      </c>
    </row>
    <row r="1484" spans="1:6" x14ac:dyDescent="0.35">
      <c r="A1484" t="s">
        <v>1798</v>
      </c>
      <c r="B1484" t="s">
        <v>4249</v>
      </c>
      <c r="C1484" t="s">
        <v>1776</v>
      </c>
      <c r="D1484" t="s">
        <v>9</v>
      </c>
      <c r="E1484">
        <v>1064</v>
      </c>
      <c r="F1484" t="str">
        <f>HYPERLINK("https://www.google.com/maps/search/?api=1&amp;query=24.81858521,46.89459462", "View Map")</f>
        <v>View Map</v>
      </c>
    </row>
    <row r="1485" spans="1:6" x14ac:dyDescent="0.35">
      <c r="A1485" t="s">
        <v>4250</v>
      </c>
      <c r="B1485" t="s">
        <v>4251</v>
      </c>
      <c r="C1485" t="s">
        <v>1776</v>
      </c>
      <c r="D1485" t="s">
        <v>9</v>
      </c>
      <c r="E1485">
        <v>1064</v>
      </c>
      <c r="F1485" t="str">
        <f>HYPERLINK("https://www.google.com/maps/search/?api=1&amp;query=24.6075,46.6644", "View Map")</f>
        <v>View Map</v>
      </c>
    </row>
    <row r="1486" spans="1:6" x14ac:dyDescent="0.35">
      <c r="A1486" t="s">
        <v>1798</v>
      </c>
      <c r="B1486" t="s">
        <v>4252</v>
      </c>
      <c r="C1486" t="s">
        <v>1776</v>
      </c>
      <c r="D1486" t="s">
        <v>9</v>
      </c>
      <c r="E1486">
        <v>1063</v>
      </c>
      <c r="F1486" t="str">
        <f>HYPERLINK("https://www.google.com/maps/search/?api=1&amp;query=24.80633147,46.8144621", "View Map")</f>
        <v>View Map</v>
      </c>
    </row>
    <row r="1487" spans="1:6" x14ac:dyDescent="0.35">
      <c r="A1487" t="s">
        <v>4253</v>
      </c>
      <c r="B1487" t="s">
        <v>4254</v>
      </c>
      <c r="C1487" t="s">
        <v>1776</v>
      </c>
      <c r="D1487" t="s">
        <v>9</v>
      </c>
      <c r="E1487">
        <v>1062</v>
      </c>
      <c r="F1487" t="str">
        <f>HYPERLINK("https://www.google.com/maps/search/?api=1&amp;query=24.76601997,46.75354432", "View Map")</f>
        <v>View Map</v>
      </c>
    </row>
    <row r="1488" spans="1:6" x14ac:dyDescent="0.35">
      <c r="A1488" t="s">
        <v>1947</v>
      </c>
      <c r="B1488" t="s">
        <v>4255</v>
      </c>
      <c r="C1488" t="s">
        <v>1843</v>
      </c>
      <c r="D1488" t="s">
        <v>9</v>
      </c>
      <c r="E1488">
        <v>1062</v>
      </c>
      <c r="F1488" t="str">
        <f>HYPERLINK("https://www.google.com/maps/search/?api=1&amp;query=24.907252,46.429526", "View Map")</f>
        <v>View Map</v>
      </c>
    </row>
    <row r="1489" spans="1:6" x14ac:dyDescent="0.35">
      <c r="A1489" t="s">
        <v>1798</v>
      </c>
      <c r="B1489" t="s">
        <v>4256</v>
      </c>
      <c r="C1489" t="s">
        <v>1776</v>
      </c>
      <c r="D1489" t="s">
        <v>13</v>
      </c>
      <c r="E1489">
        <v>1062</v>
      </c>
      <c r="F1489" t="str">
        <f>HYPERLINK("https://www.google.com/maps/search/?api=1&amp;query=24.6192,46.5272", "View Map")</f>
        <v>View Map</v>
      </c>
    </row>
    <row r="1490" spans="1:6" x14ac:dyDescent="0.35">
      <c r="A1490" t="s">
        <v>4257</v>
      </c>
      <c r="B1490" t="s">
        <v>4258</v>
      </c>
      <c r="C1490" t="s">
        <v>1776</v>
      </c>
      <c r="D1490" t="s">
        <v>13</v>
      </c>
      <c r="E1490">
        <v>1061</v>
      </c>
      <c r="F1490" t="str">
        <f>HYPERLINK("https://www.google.com/maps/search/?api=1&amp;query=24.81731042,46.61145176", "View Map")</f>
        <v>View Map</v>
      </c>
    </row>
    <row r="1491" spans="1:6" x14ac:dyDescent="0.35">
      <c r="A1491" t="s">
        <v>4259</v>
      </c>
      <c r="B1491" t="s">
        <v>4260</v>
      </c>
      <c r="C1491" t="s">
        <v>1776</v>
      </c>
      <c r="D1491" t="s">
        <v>13</v>
      </c>
      <c r="E1491">
        <v>1061</v>
      </c>
      <c r="F1491" t="str">
        <f>HYPERLINK("https://www.google.com/maps/search/?api=1&amp;query=24.71750582,46.66675272", "View Map")</f>
        <v>View Map</v>
      </c>
    </row>
    <row r="1492" spans="1:6" x14ac:dyDescent="0.35">
      <c r="A1492" t="s">
        <v>1798</v>
      </c>
      <c r="B1492" t="s">
        <v>4261</v>
      </c>
      <c r="C1492" t="s">
        <v>1776</v>
      </c>
      <c r="D1492" t="s">
        <v>13</v>
      </c>
      <c r="E1492">
        <v>1060</v>
      </c>
      <c r="F1492" t="str">
        <f>HYPERLINK("https://www.google.com/maps/search/?api=1&amp;query=24.83222163,46.88963968", "View Map")</f>
        <v>View Map</v>
      </c>
    </row>
    <row r="1493" spans="1:6" x14ac:dyDescent="0.35">
      <c r="A1493" t="s">
        <v>1798</v>
      </c>
      <c r="B1493" t="s">
        <v>4262</v>
      </c>
      <c r="C1493" t="s">
        <v>1776</v>
      </c>
      <c r="D1493" t="s">
        <v>9</v>
      </c>
      <c r="E1493">
        <v>1059</v>
      </c>
      <c r="F1493" t="str">
        <f>HYPERLINK("https://www.google.com/maps/search/?api=1&amp;query=24.69704578,46.6245803", "View Map")</f>
        <v>View Map</v>
      </c>
    </row>
    <row r="1494" spans="1:6" x14ac:dyDescent="0.35">
      <c r="A1494" t="s">
        <v>4263</v>
      </c>
      <c r="B1494" t="s">
        <v>4264</v>
      </c>
      <c r="C1494" t="s">
        <v>1776</v>
      </c>
      <c r="D1494" t="s">
        <v>9</v>
      </c>
      <c r="E1494">
        <v>1059</v>
      </c>
      <c r="F1494" t="str">
        <f>HYPERLINK("https://www.google.com/maps/search/?api=1&amp;query=24.6325,46.7125", "View Map")</f>
        <v>View Map</v>
      </c>
    </row>
    <row r="1495" spans="1:6" x14ac:dyDescent="0.35">
      <c r="A1495" t="s">
        <v>295</v>
      </c>
      <c r="B1495" t="s">
        <v>4265</v>
      </c>
      <c r="C1495" t="s">
        <v>1776</v>
      </c>
      <c r="D1495" t="s">
        <v>9</v>
      </c>
      <c r="E1495">
        <v>1058</v>
      </c>
      <c r="F1495" t="str">
        <f>HYPERLINK("https://www.google.com/maps/search/?api=1&amp;query=24.5773279,46.78669752", "View Map")</f>
        <v>View Map</v>
      </c>
    </row>
    <row r="1496" spans="1:6" x14ac:dyDescent="0.35">
      <c r="A1496" t="s">
        <v>1798</v>
      </c>
      <c r="B1496" t="s">
        <v>4266</v>
      </c>
      <c r="C1496" t="s">
        <v>1776</v>
      </c>
      <c r="D1496" t="s">
        <v>9</v>
      </c>
      <c r="E1496">
        <v>1058</v>
      </c>
      <c r="F1496" t="str">
        <f>HYPERLINK("https://www.google.com/maps/search/?api=1&amp;query=24.8856,46.6236", "View Map")</f>
        <v>View Map</v>
      </c>
    </row>
    <row r="1497" spans="1:6" x14ac:dyDescent="0.35">
      <c r="A1497" t="s">
        <v>4267</v>
      </c>
      <c r="B1497" t="s">
        <v>4268</v>
      </c>
      <c r="C1497" t="s">
        <v>1776</v>
      </c>
      <c r="D1497" t="s">
        <v>9</v>
      </c>
      <c r="E1497">
        <v>1058</v>
      </c>
      <c r="F1497" t="str">
        <f>HYPERLINK("https://www.google.com/maps/search/?api=1&amp;query=24.7720249,46.70346379", "View Map")</f>
        <v>View Map</v>
      </c>
    </row>
    <row r="1498" spans="1:6" x14ac:dyDescent="0.35">
      <c r="A1498" t="s">
        <v>2124</v>
      </c>
      <c r="B1498" t="s">
        <v>4269</v>
      </c>
      <c r="C1498" t="s">
        <v>1776</v>
      </c>
      <c r="D1498" t="s">
        <v>9</v>
      </c>
      <c r="E1498">
        <v>1058</v>
      </c>
      <c r="F1498" t="str">
        <f>HYPERLINK("https://www.google.com/maps/search/?api=1&amp;query=24.60020806,46.7691024", "View Map")</f>
        <v>View Map</v>
      </c>
    </row>
    <row r="1499" spans="1:6" x14ac:dyDescent="0.35">
      <c r="A1499" t="s">
        <v>1798</v>
      </c>
      <c r="B1499" t="s">
        <v>4270</v>
      </c>
      <c r="C1499" t="s">
        <v>1843</v>
      </c>
      <c r="D1499" t="s">
        <v>13</v>
      </c>
      <c r="E1499">
        <v>1057</v>
      </c>
      <c r="F1499" t="str">
        <f>HYPERLINK("https://www.google.com/maps/search/?api=1&amp;query=24.77969,46.56469", "View Map")</f>
        <v>View Map</v>
      </c>
    </row>
    <row r="1500" spans="1:6" x14ac:dyDescent="0.35">
      <c r="A1500" t="s">
        <v>4271</v>
      </c>
      <c r="B1500" t="s">
        <v>4272</v>
      </c>
      <c r="C1500" t="s">
        <v>1776</v>
      </c>
      <c r="D1500" t="s">
        <v>13</v>
      </c>
      <c r="E1500">
        <v>1057</v>
      </c>
      <c r="F1500" t="str">
        <f>HYPERLINK("https://www.google.com/maps/search/?api=1&amp;query=24.70416107,46.61735232", "View Map")</f>
        <v>View Map</v>
      </c>
    </row>
    <row r="1501" spans="1:6" x14ac:dyDescent="0.35">
      <c r="A1501" t="s">
        <v>1947</v>
      </c>
      <c r="B1501" t="s">
        <v>4273</v>
      </c>
      <c r="C1501" t="s">
        <v>1776</v>
      </c>
      <c r="D1501" t="s">
        <v>9</v>
      </c>
      <c r="E1501">
        <v>1057</v>
      </c>
      <c r="F1501" t="str">
        <f>HYPERLINK("https://www.google.com/maps/search/?api=1&amp;query=24.55673478,46.61292399", "View Map")</f>
        <v>View Map</v>
      </c>
    </row>
    <row r="1502" spans="1:6" x14ac:dyDescent="0.35">
      <c r="A1502" t="s">
        <v>1806</v>
      </c>
      <c r="B1502" t="s">
        <v>4274</v>
      </c>
      <c r="C1502" t="s">
        <v>1776</v>
      </c>
      <c r="D1502" t="s">
        <v>9</v>
      </c>
      <c r="E1502">
        <v>1057</v>
      </c>
      <c r="F1502" t="str">
        <f>HYPERLINK("https://www.google.com/maps/search/?api=1&amp;query=24.82796432,46.76651492", "View Map")</f>
        <v>View Map</v>
      </c>
    </row>
    <row r="1503" spans="1:6" x14ac:dyDescent="0.35">
      <c r="A1503" t="s">
        <v>1883</v>
      </c>
      <c r="B1503" t="s">
        <v>4275</v>
      </c>
      <c r="C1503" t="s">
        <v>1776</v>
      </c>
      <c r="D1503" t="s">
        <v>13</v>
      </c>
      <c r="E1503">
        <v>1057</v>
      </c>
      <c r="F1503" t="str">
        <f>HYPERLINK("https://www.google.com/maps/search/?api=1&amp;query=24.76075102,46.76860071", "View Map")</f>
        <v>View Map</v>
      </c>
    </row>
    <row r="1504" spans="1:6" x14ac:dyDescent="0.35">
      <c r="A1504" t="s">
        <v>4276</v>
      </c>
      <c r="B1504" t="s">
        <v>4277</v>
      </c>
      <c r="C1504" t="s">
        <v>1776</v>
      </c>
      <c r="D1504" t="s">
        <v>13</v>
      </c>
      <c r="E1504">
        <v>1056</v>
      </c>
      <c r="F1504" t="str">
        <f>HYPERLINK("https://www.google.com/maps/search/?api=1&amp;query=24.64139843,46.72323201", "View Map")</f>
        <v>View Map</v>
      </c>
    </row>
    <row r="1505" spans="1:6" x14ac:dyDescent="0.35">
      <c r="A1505" t="s">
        <v>4278</v>
      </c>
      <c r="B1505" t="s">
        <v>4279</v>
      </c>
      <c r="C1505" t="s">
        <v>1776</v>
      </c>
      <c r="D1505" t="s">
        <v>9</v>
      </c>
      <c r="E1505">
        <v>1055</v>
      </c>
      <c r="F1505" t="str">
        <f>HYPERLINK("https://www.google.com/maps/search/?api=1&amp;query=24.81540608,46.63750237", "View Map")</f>
        <v>View Map</v>
      </c>
    </row>
    <row r="1506" spans="1:6" x14ac:dyDescent="0.35">
      <c r="A1506" t="s">
        <v>4280</v>
      </c>
      <c r="B1506" t="s">
        <v>4281</v>
      </c>
      <c r="C1506" t="s">
        <v>1776</v>
      </c>
      <c r="D1506" t="s">
        <v>13</v>
      </c>
      <c r="E1506">
        <v>1055</v>
      </c>
      <c r="F1506" t="str">
        <f>HYPERLINK("https://www.google.com/maps/search/?api=1&amp;query=24.82374455,46.8053947", "View Map")</f>
        <v>View Map</v>
      </c>
    </row>
    <row r="1507" spans="1:6" x14ac:dyDescent="0.35">
      <c r="A1507" t="s">
        <v>4282</v>
      </c>
      <c r="B1507" t="s">
        <v>4283</v>
      </c>
      <c r="C1507" t="s">
        <v>1776</v>
      </c>
      <c r="D1507" t="s">
        <v>13</v>
      </c>
      <c r="E1507">
        <v>1054</v>
      </c>
      <c r="F1507" t="str">
        <f>HYPERLINK("https://www.google.com/maps/search/?api=1&amp;query=24.5803236,46.84041839", "View Map")</f>
        <v>View Map</v>
      </c>
    </row>
    <row r="1508" spans="1:6" x14ac:dyDescent="0.35">
      <c r="A1508" t="s">
        <v>4284</v>
      </c>
      <c r="B1508" t="s">
        <v>4285</v>
      </c>
      <c r="C1508" t="s">
        <v>1776</v>
      </c>
      <c r="D1508" t="s">
        <v>9</v>
      </c>
      <c r="E1508">
        <v>1053</v>
      </c>
      <c r="F1508" t="str">
        <f>HYPERLINK("https://www.google.com/maps/search/?api=1&amp;query=24.62607858,46.84918722", "View Map")</f>
        <v>View Map</v>
      </c>
    </row>
    <row r="1509" spans="1:6" x14ac:dyDescent="0.35">
      <c r="A1509" t="s">
        <v>1798</v>
      </c>
      <c r="B1509" t="s">
        <v>4286</v>
      </c>
      <c r="C1509" t="s">
        <v>1776</v>
      </c>
      <c r="D1509" t="s">
        <v>13</v>
      </c>
      <c r="E1509">
        <v>1052</v>
      </c>
      <c r="F1509" t="str">
        <f>HYPERLINK("https://www.google.com/maps/search/?api=1&amp;query=24.70948604,46.84672797", "View Map")</f>
        <v>View Map</v>
      </c>
    </row>
    <row r="1510" spans="1:6" x14ac:dyDescent="0.35">
      <c r="A1510" t="s">
        <v>4287</v>
      </c>
      <c r="B1510" t="s">
        <v>4288</v>
      </c>
      <c r="C1510" t="s">
        <v>1776</v>
      </c>
      <c r="D1510" t="s">
        <v>13</v>
      </c>
      <c r="E1510">
        <v>1051</v>
      </c>
      <c r="F1510" t="str">
        <f>HYPERLINK("https://www.google.com/maps/search/?api=1&amp;query=24.5558,46.5514", "View Map")</f>
        <v>View Map</v>
      </c>
    </row>
    <row r="1511" spans="1:6" x14ac:dyDescent="0.35">
      <c r="A1511" t="s">
        <v>4289</v>
      </c>
      <c r="B1511" t="s">
        <v>4290</v>
      </c>
      <c r="C1511" t="s">
        <v>1776</v>
      </c>
      <c r="D1511" t="s">
        <v>13</v>
      </c>
      <c r="E1511">
        <v>1051</v>
      </c>
      <c r="F1511" t="str">
        <f>HYPERLINK("https://www.google.com/maps/search/?api=1&amp;query=24.63484656,46.73278558", "View Map")</f>
        <v>View Map</v>
      </c>
    </row>
    <row r="1512" spans="1:6" x14ac:dyDescent="0.35">
      <c r="A1512" t="s">
        <v>4291</v>
      </c>
      <c r="B1512" t="s">
        <v>4292</v>
      </c>
      <c r="C1512" t="s">
        <v>1776</v>
      </c>
      <c r="D1512" t="s">
        <v>9</v>
      </c>
      <c r="E1512">
        <v>1049</v>
      </c>
      <c r="F1512" t="str">
        <f>HYPERLINK("https://www.google.com/maps/search/?api=1&amp;query=24.56685625,46.77121183", "View Map")</f>
        <v>View Map</v>
      </c>
    </row>
    <row r="1513" spans="1:6" x14ac:dyDescent="0.35">
      <c r="A1513" t="s">
        <v>1947</v>
      </c>
      <c r="B1513" t="s">
        <v>4293</v>
      </c>
      <c r="C1513" t="s">
        <v>1776</v>
      </c>
      <c r="D1513" t="s">
        <v>9</v>
      </c>
      <c r="E1513">
        <v>1049</v>
      </c>
      <c r="F1513" t="str">
        <f>HYPERLINK("https://www.google.com/maps/search/?api=1&amp;query=24.56172337,46.57817441", "View Map")</f>
        <v>View Map</v>
      </c>
    </row>
    <row r="1514" spans="1:6" x14ac:dyDescent="0.35">
      <c r="A1514" t="s">
        <v>4294</v>
      </c>
      <c r="B1514" t="s">
        <v>4295</v>
      </c>
      <c r="C1514" t="s">
        <v>1776</v>
      </c>
      <c r="D1514" t="s">
        <v>9</v>
      </c>
      <c r="E1514">
        <v>1048</v>
      </c>
      <c r="F1514" t="str">
        <f>HYPERLINK("https://www.google.com/maps/search/?api=1&amp;query=24.80278674,46.73232398", "View Map")</f>
        <v>View Map</v>
      </c>
    </row>
    <row r="1515" spans="1:6" x14ac:dyDescent="0.35">
      <c r="A1515" t="s">
        <v>4296</v>
      </c>
      <c r="B1515" t="s">
        <v>4297</v>
      </c>
      <c r="C1515" t="s">
        <v>1776</v>
      </c>
      <c r="D1515" t="s">
        <v>9</v>
      </c>
      <c r="E1515">
        <v>1048</v>
      </c>
      <c r="F1515" t="str">
        <f>HYPERLINK("https://www.google.com/maps/search/?api=1&amp;query=24.6637176,46.80484601", "View Map")</f>
        <v>View Map</v>
      </c>
    </row>
    <row r="1516" spans="1:6" x14ac:dyDescent="0.35">
      <c r="A1516" t="s">
        <v>4298</v>
      </c>
      <c r="B1516" t="s">
        <v>4299</v>
      </c>
      <c r="C1516" t="s">
        <v>1776</v>
      </c>
      <c r="D1516" t="s">
        <v>13</v>
      </c>
      <c r="E1516">
        <v>1047</v>
      </c>
      <c r="F1516" t="str">
        <f>HYPERLINK("https://www.google.com/maps/search/?api=1&amp;query=24.75299068,46.80209584", "View Map")</f>
        <v>View Map</v>
      </c>
    </row>
    <row r="1517" spans="1:6" x14ac:dyDescent="0.35">
      <c r="A1517" t="s">
        <v>1798</v>
      </c>
      <c r="B1517" t="s">
        <v>4300</v>
      </c>
      <c r="C1517" t="s">
        <v>1776</v>
      </c>
      <c r="D1517" t="s">
        <v>13</v>
      </c>
      <c r="E1517">
        <v>1047</v>
      </c>
      <c r="F1517" t="str">
        <f>HYPERLINK("https://www.google.com/maps/search/?api=1&amp;query=24.83315314,46.78689177", "View Map")</f>
        <v>View Map</v>
      </c>
    </row>
    <row r="1518" spans="1:6" x14ac:dyDescent="0.35">
      <c r="A1518" t="s">
        <v>4301</v>
      </c>
      <c r="B1518" t="s">
        <v>4302</v>
      </c>
      <c r="C1518" t="s">
        <v>1776</v>
      </c>
      <c r="D1518" t="s">
        <v>13</v>
      </c>
      <c r="E1518">
        <v>1047</v>
      </c>
      <c r="F1518" t="str">
        <f>HYPERLINK("https://www.google.com/maps/search/?api=1&amp;query=24.82214281,46.63325997", "View Map")</f>
        <v>View Map</v>
      </c>
    </row>
    <row r="1519" spans="1:6" x14ac:dyDescent="0.35">
      <c r="A1519" t="s">
        <v>4303</v>
      </c>
      <c r="B1519" t="s">
        <v>4304</v>
      </c>
      <c r="C1519" t="s">
        <v>1776</v>
      </c>
      <c r="D1519" t="s">
        <v>9</v>
      </c>
      <c r="E1519">
        <v>1047</v>
      </c>
      <c r="F1519" t="str">
        <f>HYPERLINK("https://www.google.com/maps/search/?api=1&amp;query=24.58993496,46.78168271", "View Map")</f>
        <v>View Map</v>
      </c>
    </row>
    <row r="1520" spans="1:6" x14ac:dyDescent="0.35">
      <c r="A1520" t="s">
        <v>4305</v>
      </c>
      <c r="B1520" t="s">
        <v>4306</v>
      </c>
      <c r="C1520" t="s">
        <v>1776</v>
      </c>
      <c r="D1520" t="s">
        <v>9</v>
      </c>
      <c r="E1520">
        <v>1046</v>
      </c>
      <c r="F1520" t="str">
        <f>HYPERLINK("https://www.google.com/maps/search/?api=1&amp;query=24.74905368,46.62230801", "View Map")</f>
        <v>View Map</v>
      </c>
    </row>
    <row r="1521" spans="1:6" x14ac:dyDescent="0.35">
      <c r="A1521" t="s">
        <v>4307</v>
      </c>
      <c r="B1521" t="s">
        <v>4308</v>
      </c>
      <c r="C1521" t="s">
        <v>1776</v>
      </c>
      <c r="D1521" t="s">
        <v>9</v>
      </c>
      <c r="E1521">
        <v>1046</v>
      </c>
      <c r="F1521" t="str">
        <f>HYPERLINK("https://www.google.com/maps/search/?api=1&amp;query=24.76015784,46.61615019", "View Map")</f>
        <v>View Map</v>
      </c>
    </row>
    <row r="1522" spans="1:6" x14ac:dyDescent="0.35">
      <c r="A1522" t="s">
        <v>4309</v>
      </c>
      <c r="B1522" t="s">
        <v>4310</v>
      </c>
      <c r="C1522" t="s">
        <v>1776</v>
      </c>
      <c r="D1522" t="s">
        <v>9</v>
      </c>
      <c r="E1522">
        <v>1043</v>
      </c>
      <c r="F1522" t="str">
        <f>HYPERLINK("https://www.google.com/maps/search/?api=1&amp;query=24.60208314,46.76333598", "View Map")</f>
        <v>View Map</v>
      </c>
    </row>
    <row r="1523" spans="1:6" x14ac:dyDescent="0.35">
      <c r="A1523" t="s">
        <v>4311</v>
      </c>
      <c r="B1523" t="s">
        <v>4312</v>
      </c>
      <c r="C1523" t="s">
        <v>1776</v>
      </c>
      <c r="D1523" t="s">
        <v>9</v>
      </c>
      <c r="E1523">
        <v>1038</v>
      </c>
      <c r="F1523" t="str">
        <f>HYPERLINK("https://www.google.com/maps/search/?api=1&amp;query=24.6637176,46.80484601", "View Map")</f>
        <v>View Map</v>
      </c>
    </row>
    <row r="1524" spans="1:6" x14ac:dyDescent="0.35">
      <c r="A1524" t="s">
        <v>1947</v>
      </c>
      <c r="B1524" t="s">
        <v>4313</v>
      </c>
      <c r="C1524" t="s">
        <v>1776</v>
      </c>
      <c r="D1524" t="s">
        <v>9</v>
      </c>
      <c r="E1524">
        <v>1038</v>
      </c>
      <c r="F1524" t="str">
        <f>HYPERLINK("https://www.google.com/maps/search/?api=1&amp;query=24.5603,46.5975", "View Map")</f>
        <v>View Map</v>
      </c>
    </row>
    <row r="1525" spans="1:6" x14ac:dyDescent="0.35">
      <c r="A1525" t="s">
        <v>4314</v>
      </c>
      <c r="B1525" t="s">
        <v>4315</v>
      </c>
      <c r="C1525" t="s">
        <v>1776</v>
      </c>
      <c r="D1525" t="s">
        <v>13</v>
      </c>
      <c r="E1525">
        <v>1037</v>
      </c>
      <c r="F1525" t="str">
        <f>HYPERLINK("https://www.google.com/maps/search/?api=1&amp;query=24.75131436,46.59576032", "View Map")</f>
        <v>View Map</v>
      </c>
    </row>
    <row r="1526" spans="1:6" x14ac:dyDescent="0.35">
      <c r="A1526" t="s">
        <v>1798</v>
      </c>
      <c r="B1526" t="s">
        <v>4316</v>
      </c>
      <c r="C1526" t="s">
        <v>1843</v>
      </c>
      <c r="D1526" t="s">
        <v>9</v>
      </c>
      <c r="E1526">
        <v>1036</v>
      </c>
      <c r="F1526" t="str">
        <f>HYPERLINK("https://www.google.com/maps/search/?api=1&amp;query=24.8227849,46.56191974", "View Map")</f>
        <v>View Map</v>
      </c>
    </row>
    <row r="1527" spans="1:6" x14ac:dyDescent="0.35">
      <c r="A1527" t="s">
        <v>1798</v>
      </c>
      <c r="B1527" t="s">
        <v>4317</v>
      </c>
      <c r="C1527" t="s">
        <v>1776</v>
      </c>
      <c r="D1527" t="s">
        <v>13</v>
      </c>
      <c r="E1527">
        <v>1035</v>
      </c>
      <c r="F1527" t="str">
        <f>HYPERLINK("https://www.google.com/maps/search/?api=1&amp;query=24.84495221,46.81090646", "View Map")</f>
        <v>View Map</v>
      </c>
    </row>
    <row r="1528" spans="1:6" x14ac:dyDescent="0.35">
      <c r="A1528" t="s">
        <v>4318</v>
      </c>
      <c r="B1528" t="s">
        <v>4319</v>
      </c>
      <c r="C1528" t="s">
        <v>1776</v>
      </c>
      <c r="D1528" t="s">
        <v>13</v>
      </c>
      <c r="E1528">
        <v>1035</v>
      </c>
      <c r="F1528" t="str">
        <f>HYPERLINK("https://www.google.com/maps/search/?api=1&amp;query=24.62418346,46.74383133", "View Map")</f>
        <v>View Map</v>
      </c>
    </row>
    <row r="1529" spans="1:6" x14ac:dyDescent="0.35">
      <c r="A1529" t="s">
        <v>4320</v>
      </c>
      <c r="B1529" t="s">
        <v>4321</v>
      </c>
      <c r="C1529" t="s">
        <v>1776</v>
      </c>
      <c r="D1529" t="s">
        <v>9</v>
      </c>
      <c r="E1529">
        <v>1034</v>
      </c>
      <c r="F1529" t="str">
        <f>HYPERLINK("https://www.google.com/maps/search/?api=1&amp;query=24.67619409,46.7902534", "View Map")</f>
        <v>View Map</v>
      </c>
    </row>
    <row r="1530" spans="1:6" x14ac:dyDescent="0.35">
      <c r="A1530" t="s">
        <v>4322</v>
      </c>
      <c r="B1530" t="s">
        <v>4323</v>
      </c>
      <c r="C1530" t="s">
        <v>1776</v>
      </c>
      <c r="D1530" t="s">
        <v>9</v>
      </c>
      <c r="E1530">
        <v>1034</v>
      </c>
      <c r="F1530" t="str">
        <f>HYPERLINK("https://www.google.com/maps/search/?api=1&amp;query=24.65014502,46.55361744", "View Map")</f>
        <v>View Map</v>
      </c>
    </row>
    <row r="1531" spans="1:6" x14ac:dyDescent="0.35">
      <c r="A1531" t="s">
        <v>4324</v>
      </c>
      <c r="B1531" t="s">
        <v>4325</v>
      </c>
      <c r="C1531" t="s">
        <v>1776</v>
      </c>
      <c r="D1531" t="s">
        <v>13</v>
      </c>
      <c r="E1531">
        <v>1034</v>
      </c>
      <c r="F1531" t="str">
        <f>HYPERLINK("https://www.google.com/maps/search/?api=1&amp;query=24.7204502,46.84371582", "View Map")</f>
        <v>View Map</v>
      </c>
    </row>
    <row r="1532" spans="1:6" x14ac:dyDescent="0.35">
      <c r="A1532" t="s">
        <v>4326</v>
      </c>
      <c r="B1532" t="s">
        <v>4327</v>
      </c>
      <c r="C1532" t="s">
        <v>1776</v>
      </c>
      <c r="D1532" t="s">
        <v>13</v>
      </c>
      <c r="E1532">
        <v>1033</v>
      </c>
      <c r="F1532" t="str">
        <f>HYPERLINK("https://www.google.com/maps/search/?api=1&amp;query=24.68418988,46.83977357", "View Map")</f>
        <v>View Map</v>
      </c>
    </row>
    <row r="1533" spans="1:6" x14ac:dyDescent="0.35">
      <c r="A1533" t="s">
        <v>4328</v>
      </c>
      <c r="B1533" t="s">
        <v>4329</v>
      </c>
      <c r="C1533" t="s">
        <v>1776</v>
      </c>
      <c r="D1533" t="s">
        <v>9</v>
      </c>
      <c r="E1533">
        <v>1032</v>
      </c>
      <c r="F1533" t="str">
        <f>HYPERLINK("https://www.google.com/maps/search/?api=1&amp;query=24.82671916,46.65332571", "View Map")</f>
        <v>View Map</v>
      </c>
    </row>
    <row r="1534" spans="1:6" x14ac:dyDescent="0.35">
      <c r="A1534" t="s">
        <v>4330</v>
      </c>
      <c r="B1534" t="s">
        <v>4331</v>
      </c>
      <c r="C1534" t="s">
        <v>1776</v>
      </c>
      <c r="D1534" t="s">
        <v>9</v>
      </c>
      <c r="E1534">
        <v>1032</v>
      </c>
      <c r="F1534" t="str">
        <f>HYPERLINK("https://www.google.com/maps/search/?api=1&amp;query=24.57908343,46.59316279", "View Map")</f>
        <v>View Map</v>
      </c>
    </row>
    <row r="1535" spans="1:6" x14ac:dyDescent="0.35">
      <c r="A1535" t="s">
        <v>1798</v>
      </c>
      <c r="B1535" t="s">
        <v>4332</v>
      </c>
      <c r="C1535" t="s">
        <v>1776</v>
      </c>
      <c r="D1535" t="s">
        <v>9</v>
      </c>
      <c r="E1535">
        <v>1031</v>
      </c>
      <c r="F1535" t="str">
        <f>HYPERLINK("https://www.google.com/maps/search/?api=1&amp;query=24.82068267,46.80123932", "View Map")</f>
        <v>View Map</v>
      </c>
    </row>
    <row r="1536" spans="1:6" x14ac:dyDescent="0.35">
      <c r="A1536" t="s">
        <v>4333</v>
      </c>
      <c r="B1536" t="s">
        <v>4334</v>
      </c>
      <c r="C1536" t="s">
        <v>1776</v>
      </c>
      <c r="D1536" t="s">
        <v>9</v>
      </c>
      <c r="E1536">
        <v>1031</v>
      </c>
      <c r="F1536" t="str">
        <f>HYPERLINK("https://www.google.com/maps/search/?api=1&amp;query=24.76929878,46.83061247", "View Map")</f>
        <v>View Map</v>
      </c>
    </row>
    <row r="1537" spans="1:6" x14ac:dyDescent="0.35">
      <c r="A1537" t="s">
        <v>4335</v>
      </c>
      <c r="B1537" t="s">
        <v>4336</v>
      </c>
      <c r="C1537" t="s">
        <v>1776</v>
      </c>
      <c r="D1537" t="s">
        <v>13</v>
      </c>
      <c r="E1537">
        <v>1030</v>
      </c>
      <c r="F1537" t="str">
        <f>HYPERLINK("https://www.google.com/maps/search/?api=1&amp;query=24.69021976,46.60102555", "View Map")</f>
        <v>View Map</v>
      </c>
    </row>
    <row r="1538" spans="1:6" x14ac:dyDescent="0.35">
      <c r="A1538" t="s">
        <v>4337</v>
      </c>
      <c r="B1538" t="s">
        <v>4338</v>
      </c>
      <c r="C1538" t="s">
        <v>1776</v>
      </c>
      <c r="D1538" t="s">
        <v>13</v>
      </c>
      <c r="E1538">
        <v>1030</v>
      </c>
      <c r="F1538" t="str">
        <f>HYPERLINK("https://www.google.com/maps/search/?api=1&amp;query=24.69591433,46.74797927", "View Map")</f>
        <v>View Map</v>
      </c>
    </row>
    <row r="1539" spans="1:6" x14ac:dyDescent="0.35">
      <c r="A1539" t="s">
        <v>1794</v>
      </c>
      <c r="B1539" t="s">
        <v>4339</v>
      </c>
      <c r="C1539" t="s">
        <v>1776</v>
      </c>
      <c r="D1539" t="s">
        <v>9</v>
      </c>
      <c r="E1539">
        <v>1029</v>
      </c>
      <c r="F1539" t="str">
        <f>HYPERLINK("https://www.google.com/maps/search/?api=1&amp;query=24.8443878,46.66892788", "View Map")</f>
        <v>View Map</v>
      </c>
    </row>
    <row r="1540" spans="1:6" x14ac:dyDescent="0.35">
      <c r="A1540" t="s">
        <v>2509</v>
      </c>
      <c r="B1540" t="s">
        <v>4340</v>
      </c>
      <c r="C1540" t="s">
        <v>1776</v>
      </c>
      <c r="D1540" t="s">
        <v>9</v>
      </c>
      <c r="E1540">
        <v>1028</v>
      </c>
      <c r="F1540" t="str">
        <f>HYPERLINK("https://www.google.com/maps/search/?api=1&amp;query=24.84124936,46.8070651", "View Map")</f>
        <v>View Map</v>
      </c>
    </row>
    <row r="1541" spans="1:6" x14ac:dyDescent="0.35">
      <c r="A1541" t="s">
        <v>1798</v>
      </c>
      <c r="B1541" t="s">
        <v>4341</v>
      </c>
      <c r="C1541" t="s">
        <v>1776</v>
      </c>
      <c r="D1541" t="s">
        <v>9</v>
      </c>
      <c r="E1541">
        <v>1028</v>
      </c>
      <c r="F1541" t="str">
        <f>HYPERLINK("https://www.google.com/maps/search/?api=1&amp;query=24.83664801,46.66750039", "View Map")</f>
        <v>View Map</v>
      </c>
    </row>
    <row r="1542" spans="1:6" x14ac:dyDescent="0.35">
      <c r="A1542" t="s">
        <v>4342</v>
      </c>
      <c r="B1542" t="s">
        <v>4343</v>
      </c>
      <c r="C1542" t="s">
        <v>1776</v>
      </c>
      <c r="D1542" t="s">
        <v>13</v>
      </c>
      <c r="E1542">
        <v>1028</v>
      </c>
      <c r="F1542" t="str">
        <f>HYPERLINK("https://www.google.com/maps/search/?api=1&amp;query=24.77883873,46.62993097", "View Map")</f>
        <v>View Map</v>
      </c>
    </row>
    <row r="1543" spans="1:6" x14ac:dyDescent="0.35">
      <c r="A1543" t="s">
        <v>1798</v>
      </c>
      <c r="B1543" t="s">
        <v>4344</v>
      </c>
      <c r="C1543" t="s">
        <v>1776</v>
      </c>
      <c r="D1543" t="s">
        <v>9</v>
      </c>
      <c r="E1543">
        <v>1024</v>
      </c>
      <c r="F1543" t="str">
        <f>HYPERLINK("https://www.google.com/maps/search/?api=1&amp;query=24.64422334,46.71817887", "View Map")</f>
        <v>View Map</v>
      </c>
    </row>
    <row r="1544" spans="1:6" x14ac:dyDescent="0.35">
      <c r="A1544" t="s">
        <v>1798</v>
      </c>
      <c r="B1544" t="s">
        <v>4345</v>
      </c>
      <c r="C1544" t="s">
        <v>1776</v>
      </c>
      <c r="D1544" t="s">
        <v>13</v>
      </c>
      <c r="E1544">
        <v>1021</v>
      </c>
      <c r="F1544" t="str">
        <f>HYPERLINK("https://www.google.com/maps/search/?api=1&amp;query=24.80967674,46.75223609", "View Map")</f>
        <v>View Map</v>
      </c>
    </row>
    <row r="1545" spans="1:6" x14ac:dyDescent="0.35">
      <c r="A1545" t="s">
        <v>4346</v>
      </c>
      <c r="B1545" t="s">
        <v>4347</v>
      </c>
      <c r="C1545" t="s">
        <v>1776</v>
      </c>
      <c r="D1545" t="s">
        <v>9</v>
      </c>
      <c r="E1545">
        <v>1021</v>
      </c>
      <c r="F1545" t="str">
        <f>HYPERLINK("https://www.google.com/maps/search/?api=1&amp;query=24.77679296,46.76421406", "View Map")</f>
        <v>View Map</v>
      </c>
    </row>
    <row r="1546" spans="1:6" x14ac:dyDescent="0.35">
      <c r="A1546" t="s">
        <v>1798</v>
      </c>
      <c r="B1546" t="s">
        <v>4348</v>
      </c>
      <c r="C1546" t="s">
        <v>1776</v>
      </c>
      <c r="D1546" t="s">
        <v>13</v>
      </c>
      <c r="E1546">
        <v>1021</v>
      </c>
      <c r="F1546" t="str">
        <f>HYPERLINK("https://www.google.com/maps/search/?api=1&amp;query=24.60699733,46.52597876", "View Map")</f>
        <v>View Map</v>
      </c>
    </row>
    <row r="1547" spans="1:6" x14ac:dyDescent="0.35">
      <c r="A1547" t="s">
        <v>3393</v>
      </c>
      <c r="B1547" t="s">
        <v>4349</v>
      </c>
      <c r="C1547" t="s">
        <v>1776</v>
      </c>
      <c r="D1547" t="s">
        <v>13</v>
      </c>
      <c r="E1547">
        <v>1021</v>
      </c>
      <c r="F1547" t="str">
        <f>HYPERLINK("https://www.google.com/maps/search/?api=1&amp;query=24.69406624,46.79645886", "View Map")</f>
        <v>View Map</v>
      </c>
    </row>
    <row r="1548" spans="1:6" x14ac:dyDescent="0.35">
      <c r="A1548" t="s">
        <v>2874</v>
      </c>
      <c r="B1548" t="s">
        <v>4350</v>
      </c>
      <c r="C1548" t="s">
        <v>1776</v>
      </c>
      <c r="D1548" t="s">
        <v>9</v>
      </c>
      <c r="E1548">
        <v>1020</v>
      </c>
      <c r="F1548" t="str">
        <f>HYPERLINK("https://www.google.com/maps/search/?api=1&amp;query=24.64885868,46.80072088", "View Map")</f>
        <v>View Map</v>
      </c>
    </row>
    <row r="1549" spans="1:6" x14ac:dyDescent="0.35">
      <c r="A1549" t="s">
        <v>1947</v>
      </c>
      <c r="B1549" t="s">
        <v>4351</v>
      </c>
      <c r="C1549" t="s">
        <v>1776</v>
      </c>
      <c r="D1549" t="s">
        <v>9</v>
      </c>
      <c r="E1549">
        <v>1018</v>
      </c>
      <c r="F1549" t="str">
        <f>HYPERLINK("https://www.google.com/maps/search/?api=1&amp;query=24.61499848,46.65565514", "View Map")</f>
        <v>View Map</v>
      </c>
    </row>
    <row r="1550" spans="1:6" x14ac:dyDescent="0.35">
      <c r="A1550" t="s">
        <v>4352</v>
      </c>
      <c r="B1550" t="s">
        <v>4353</v>
      </c>
      <c r="C1550" t="s">
        <v>1776</v>
      </c>
      <c r="D1550" t="s">
        <v>13</v>
      </c>
      <c r="E1550">
        <v>1017</v>
      </c>
      <c r="F1550" t="str">
        <f>HYPERLINK("https://www.google.com/maps/search/?api=1&amp;query=24.71571067,46.82345801", "View Map")</f>
        <v>View Map</v>
      </c>
    </row>
    <row r="1551" spans="1:6" x14ac:dyDescent="0.35">
      <c r="A1551" t="s">
        <v>4354</v>
      </c>
      <c r="B1551" t="s">
        <v>4355</v>
      </c>
      <c r="C1551" t="s">
        <v>1776</v>
      </c>
      <c r="D1551" t="s">
        <v>9</v>
      </c>
      <c r="E1551">
        <v>1017</v>
      </c>
      <c r="F1551" t="str">
        <f>HYPERLINK("https://www.google.com/maps/search/?api=1&amp;query=24.58369751,46.53002834", "View Map")</f>
        <v>View Map</v>
      </c>
    </row>
    <row r="1552" spans="1:6" x14ac:dyDescent="0.35">
      <c r="A1552" t="s">
        <v>4356</v>
      </c>
      <c r="B1552" t="s">
        <v>4357</v>
      </c>
      <c r="C1552" t="s">
        <v>1776</v>
      </c>
      <c r="D1552" t="s">
        <v>13</v>
      </c>
      <c r="E1552">
        <v>1017</v>
      </c>
      <c r="F1552" t="str">
        <f>HYPERLINK("https://www.google.com/maps/search/?api=1&amp;query=24.75081973,46.84537714", "View Map")</f>
        <v>View Map</v>
      </c>
    </row>
    <row r="1553" spans="1:6" x14ac:dyDescent="0.35">
      <c r="A1553" t="s">
        <v>4358</v>
      </c>
      <c r="B1553" t="s">
        <v>4359</v>
      </c>
      <c r="C1553" t="s">
        <v>1776</v>
      </c>
      <c r="D1553" t="s">
        <v>9</v>
      </c>
      <c r="E1553">
        <v>1017</v>
      </c>
      <c r="F1553" t="str">
        <f>HYPERLINK("https://www.google.com/maps/search/?api=1&amp;query=24.84015919,46.80501704", "View Map")</f>
        <v>View Map</v>
      </c>
    </row>
    <row r="1554" spans="1:6" x14ac:dyDescent="0.35">
      <c r="A1554" t="s">
        <v>4360</v>
      </c>
      <c r="B1554" t="s">
        <v>4361</v>
      </c>
      <c r="C1554" t="s">
        <v>1776</v>
      </c>
      <c r="D1554" t="s">
        <v>9</v>
      </c>
      <c r="E1554">
        <v>1016</v>
      </c>
      <c r="F1554" t="str">
        <f>HYPERLINK("https://www.google.com/maps/search/?api=1&amp;query=24.6318401,46.54951442", "View Map")</f>
        <v>View Map</v>
      </c>
    </row>
    <row r="1555" spans="1:6" x14ac:dyDescent="0.35">
      <c r="A1555" t="s">
        <v>1794</v>
      </c>
      <c r="B1555" t="s">
        <v>4362</v>
      </c>
      <c r="C1555" t="s">
        <v>1776</v>
      </c>
      <c r="D1555" t="s">
        <v>13</v>
      </c>
      <c r="E1555">
        <v>1014</v>
      </c>
      <c r="F1555" t="str">
        <f>HYPERLINK("https://www.google.com/maps/search/?api=1&amp;query=24.59180147,46.76817156", "View Map")</f>
        <v>View Map</v>
      </c>
    </row>
    <row r="1556" spans="1:6" x14ac:dyDescent="0.35">
      <c r="A1556" t="s">
        <v>4363</v>
      </c>
      <c r="B1556" t="s">
        <v>4364</v>
      </c>
      <c r="C1556" t="s">
        <v>1776</v>
      </c>
      <c r="D1556" t="s">
        <v>13</v>
      </c>
      <c r="E1556">
        <v>1013</v>
      </c>
      <c r="F1556" t="str">
        <f>HYPERLINK("https://www.google.com/maps/search/?api=1&amp;query=24.79935376,46.79059894", "View Map")</f>
        <v>View Map</v>
      </c>
    </row>
    <row r="1557" spans="1:6" x14ac:dyDescent="0.35">
      <c r="A1557" t="s">
        <v>3815</v>
      </c>
      <c r="B1557" t="s">
        <v>4365</v>
      </c>
      <c r="C1557" t="s">
        <v>1776</v>
      </c>
      <c r="D1557" t="s">
        <v>13</v>
      </c>
      <c r="E1557">
        <v>1012</v>
      </c>
      <c r="F1557" t="str">
        <f>HYPERLINK("https://www.google.com/maps/search/?api=1&amp;query=24.8117612,46.68612283", "View Map")</f>
        <v>View Map</v>
      </c>
    </row>
    <row r="1558" spans="1:6" x14ac:dyDescent="0.35">
      <c r="A1558" t="s">
        <v>4366</v>
      </c>
      <c r="B1558" t="s">
        <v>4367</v>
      </c>
      <c r="C1558" t="s">
        <v>1776</v>
      </c>
      <c r="D1558" t="s">
        <v>9</v>
      </c>
      <c r="E1558">
        <v>1011</v>
      </c>
      <c r="F1558" t="str">
        <f>HYPERLINK("https://www.google.com/maps/search/?api=1&amp;query=24.77048453,46.76972831", "View Map")</f>
        <v>View Map</v>
      </c>
    </row>
    <row r="1559" spans="1:6" x14ac:dyDescent="0.35">
      <c r="A1559" t="s">
        <v>4368</v>
      </c>
      <c r="B1559" t="s">
        <v>4369</v>
      </c>
      <c r="C1559" t="s">
        <v>1776</v>
      </c>
      <c r="D1559" t="s">
        <v>318</v>
      </c>
      <c r="E1559">
        <v>1010</v>
      </c>
      <c r="F1559" t="str">
        <f>HYPERLINK("https://www.google.com/maps/search/?api=1&amp;query=24.70036,46.65296", "View Map")</f>
        <v>View Map</v>
      </c>
    </row>
    <row r="1560" spans="1:6" x14ac:dyDescent="0.35">
      <c r="A1560" t="s">
        <v>4370</v>
      </c>
      <c r="B1560" t="s">
        <v>4371</v>
      </c>
      <c r="C1560" t="s">
        <v>1776</v>
      </c>
      <c r="D1560" t="s">
        <v>9</v>
      </c>
      <c r="E1560">
        <v>1010</v>
      </c>
      <c r="F1560" t="str">
        <f>HYPERLINK("https://www.google.com/maps/search/?api=1&amp;query=24.54825086,46.66671335", "View Map")</f>
        <v>View Map</v>
      </c>
    </row>
    <row r="1561" spans="1:6" x14ac:dyDescent="0.35">
      <c r="A1561" t="s">
        <v>1798</v>
      </c>
      <c r="B1561" t="s">
        <v>4372</v>
      </c>
      <c r="C1561" t="s">
        <v>1776</v>
      </c>
      <c r="D1561" t="s">
        <v>9</v>
      </c>
      <c r="E1561">
        <v>1008</v>
      </c>
      <c r="F1561" t="str">
        <f>HYPERLINK("https://www.google.com/maps/search/?api=1&amp;query=24.864137,46.625524", "View Map")</f>
        <v>View Map</v>
      </c>
    </row>
    <row r="1562" spans="1:6" x14ac:dyDescent="0.35">
      <c r="A1562" t="s">
        <v>4373</v>
      </c>
      <c r="B1562" t="s">
        <v>4374</v>
      </c>
      <c r="C1562" t="s">
        <v>1776</v>
      </c>
      <c r="D1562" t="s">
        <v>13</v>
      </c>
      <c r="E1562">
        <v>1008</v>
      </c>
      <c r="F1562" t="str">
        <f>HYPERLINK("https://www.google.com/maps/search/?api=1&amp;query=24.79528635,46.69282761", "View Map")</f>
        <v>View Map</v>
      </c>
    </row>
    <row r="1563" spans="1:6" x14ac:dyDescent="0.35">
      <c r="A1563" t="s">
        <v>1798</v>
      </c>
      <c r="B1563" t="s">
        <v>4375</v>
      </c>
      <c r="C1563" t="s">
        <v>1776</v>
      </c>
      <c r="D1563" t="s">
        <v>9</v>
      </c>
      <c r="E1563">
        <v>1007</v>
      </c>
      <c r="F1563" t="str">
        <f>HYPERLINK("https://www.google.com/maps/search/?api=1&amp;query=24.82558304,46.65672149", "View Map")</f>
        <v>View Map</v>
      </c>
    </row>
    <row r="1564" spans="1:6" x14ac:dyDescent="0.35">
      <c r="A1564" t="s">
        <v>4376</v>
      </c>
      <c r="B1564" t="s">
        <v>4377</v>
      </c>
      <c r="C1564" t="s">
        <v>1776</v>
      </c>
      <c r="D1564" t="s">
        <v>9</v>
      </c>
      <c r="E1564">
        <v>1006</v>
      </c>
      <c r="F1564" t="str">
        <f>HYPERLINK("https://www.google.com/maps/search/?api=1&amp;query=24.57560634,46.68328169", "View Map")</f>
        <v>View Map</v>
      </c>
    </row>
    <row r="1565" spans="1:6" x14ac:dyDescent="0.35">
      <c r="A1565" t="s">
        <v>4378</v>
      </c>
      <c r="B1565" t="s">
        <v>4379</v>
      </c>
      <c r="C1565" t="s">
        <v>1776</v>
      </c>
      <c r="D1565" t="s">
        <v>9</v>
      </c>
      <c r="E1565">
        <v>1004</v>
      </c>
      <c r="F1565" t="str">
        <f>HYPERLINK("https://www.google.com/maps/search/?api=1&amp;query=24.64226278,46.54672361", "View Map")</f>
        <v>View Map</v>
      </c>
    </row>
    <row r="1566" spans="1:6" x14ac:dyDescent="0.35">
      <c r="A1566" t="s">
        <v>4380</v>
      </c>
      <c r="B1566" t="s">
        <v>4381</v>
      </c>
      <c r="C1566" t="s">
        <v>1776</v>
      </c>
      <c r="D1566" t="s">
        <v>9</v>
      </c>
      <c r="E1566">
        <v>1003</v>
      </c>
      <c r="F1566" t="str">
        <f>HYPERLINK("https://www.google.com/maps/search/?api=1&amp;query=24.821878,46.88706206", "View Map")</f>
        <v>View Map</v>
      </c>
    </row>
    <row r="1567" spans="1:6" x14ac:dyDescent="0.35">
      <c r="A1567" t="s">
        <v>2717</v>
      </c>
      <c r="B1567" t="s">
        <v>4382</v>
      </c>
      <c r="C1567" t="s">
        <v>1776</v>
      </c>
      <c r="D1567" t="s">
        <v>9</v>
      </c>
      <c r="E1567">
        <v>1002</v>
      </c>
      <c r="F1567" t="str">
        <f>HYPERLINK("https://www.google.com/maps/search/?api=1&amp;query=24.67908754,46.59760152", "View Map")</f>
        <v>View Map</v>
      </c>
    </row>
    <row r="1568" spans="1:6" x14ac:dyDescent="0.35">
      <c r="A1568" t="s">
        <v>4048</v>
      </c>
      <c r="B1568" t="s">
        <v>4383</v>
      </c>
      <c r="C1568" t="s">
        <v>1776</v>
      </c>
      <c r="D1568" t="s">
        <v>9</v>
      </c>
      <c r="E1568">
        <v>1001</v>
      </c>
      <c r="F1568" t="str">
        <f>HYPERLINK("https://www.google.com/maps/search/?api=1&amp;query=24.7093965,46.83008694", "View Map")</f>
        <v>View Map</v>
      </c>
    </row>
    <row r="1569" spans="1:6" x14ac:dyDescent="0.35">
      <c r="A1569" t="s">
        <v>4384</v>
      </c>
      <c r="B1569" t="s">
        <v>4385</v>
      </c>
      <c r="C1569" t="s">
        <v>1776</v>
      </c>
      <c r="D1569" t="s">
        <v>9</v>
      </c>
      <c r="E1569">
        <v>1000</v>
      </c>
      <c r="F1569" t="str">
        <f>HYPERLINK("https://www.google.com/maps/search/?api=1&amp;query=24.79320934,46.8664439", "View Map")</f>
        <v>View Map</v>
      </c>
    </row>
    <row r="1570" spans="1:6" x14ac:dyDescent="0.35">
      <c r="A1570" t="s">
        <v>1108</v>
      </c>
      <c r="B1570" t="s">
        <v>4386</v>
      </c>
      <c r="C1570" t="s">
        <v>1843</v>
      </c>
      <c r="D1570" t="s">
        <v>13</v>
      </c>
      <c r="E1570">
        <v>999</v>
      </c>
      <c r="F1570" t="str">
        <f>HYPERLINK("https://www.google.com/maps/search/?api=1&amp;query=24.74338814,46.51367712", "View Map")</f>
        <v>View Map</v>
      </c>
    </row>
    <row r="1571" spans="1:6" x14ac:dyDescent="0.35">
      <c r="A1571" t="s">
        <v>1806</v>
      </c>
      <c r="B1571" t="s">
        <v>4387</v>
      </c>
      <c r="C1571" t="s">
        <v>1776</v>
      </c>
      <c r="D1571" t="s">
        <v>9</v>
      </c>
      <c r="E1571">
        <v>998</v>
      </c>
      <c r="F1571" t="str">
        <f>HYPERLINK("https://www.google.com/maps/search/?api=1&amp;query=24.83418982,46.74371809", "View Map")</f>
        <v>View Map</v>
      </c>
    </row>
    <row r="1572" spans="1:6" x14ac:dyDescent="0.35">
      <c r="A1572" t="s">
        <v>4388</v>
      </c>
      <c r="B1572" t="s">
        <v>4389</v>
      </c>
      <c r="C1572" t="s">
        <v>1776</v>
      </c>
      <c r="D1572" t="s">
        <v>13</v>
      </c>
      <c r="E1572">
        <v>997</v>
      </c>
      <c r="F1572" t="str">
        <f>HYPERLINK("https://www.google.com/maps/search/?api=1&amp;query=24.60513594,46.74396006", "View Map")</f>
        <v>View Map</v>
      </c>
    </row>
    <row r="1573" spans="1:6" x14ac:dyDescent="0.35">
      <c r="A1573" t="s">
        <v>4390</v>
      </c>
      <c r="B1573" t="s">
        <v>4391</v>
      </c>
      <c r="C1573" t="s">
        <v>1776</v>
      </c>
      <c r="D1573" t="s">
        <v>9</v>
      </c>
      <c r="E1573">
        <v>997</v>
      </c>
      <c r="F1573" t="str">
        <f>HYPERLINK("https://www.google.com/maps/search/?api=1&amp;query=24.71890152,46.79571922", "View Map")</f>
        <v>View Map</v>
      </c>
    </row>
    <row r="1574" spans="1:6" x14ac:dyDescent="0.35">
      <c r="A1574" t="s">
        <v>1947</v>
      </c>
      <c r="B1574" t="s">
        <v>4392</v>
      </c>
      <c r="C1574" t="s">
        <v>1776</v>
      </c>
      <c r="D1574" t="s">
        <v>9</v>
      </c>
      <c r="E1574">
        <v>997</v>
      </c>
      <c r="F1574" t="str">
        <f>HYPERLINK("https://www.google.com/maps/search/?api=1&amp;query=24.59,46.7", "View Map")</f>
        <v>View Map</v>
      </c>
    </row>
    <row r="1575" spans="1:6" x14ac:dyDescent="0.35">
      <c r="A1575" t="s">
        <v>4393</v>
      </c>
      <c r="B1575" t="s">
        <v>4394</v>
      </c>
      <c r="C1575" t="s">
        <v>1776</v>
      </c>
      <c r="D1575" t="s">
        <v>13</v>
      </c>
      <c r="E1575">
        <v>997</v>
      </c>
      <c r="F1575" t="str">
        <f>HYPERLINK("https://www.google.com/maps/search/?api=1&amp;query=24.74173517,46.65476912", "View Map")</f>
        <v>View Map</v>
      </c>
    </row>
    <row r="1576" spans="1:6" x14ac:dyDescent="0.35">
      <c r="A1576" t="s">
        <v>4395</v>
      </c>
      <c r="B1576" t="s">
        <v>4396</v>
      </c>
      <c r="C1576" t="s">
        <v>1776</v>
      </c>
      <c r="D1576" t="s">
        <v>9</v>
      </c>
      <c r="E1576">
        <v>996</v>
      </c>
      <c r="F1576" t="str">
        <f>HYPERLINK("https://www.google.com/maps/search/?api=1&amp;query=24.63267259,46.59960982", "View Map")</f>
        <v>View Map</v>
      </c>
    </row>
    <row r="1577" spans="1:6" x14ac:dyDescent="0.35">
      <c r="A1577" t="s">
        <v>1798</v>
      </c>
      <c r="B1577" t="s">
        <v>4397</v>
      </c>
      <c r="C1577" t="s">
        <v>1776</v>
      </c>
      <c r="D1577" t="s">
        <v>9</v>
      </c>
      <c r="E1577">
        <v>996</v>
      </c>
      <c r="F1577" t="str">
        <f>HYPERLINK("https://www.google.com/maps/search/?api=1&amp;query=24.57526456,46.75556312", "View Map")</f>
        <v>View Map</v>
      </c>
    </row>
    <row r="1578" spans="1:6" x14ac:dyDescent="0.35">
      <c r="A1578" t="s">
        <v>4398</v>
      </c>
      <c r="B1578" t="s">
        <v>4399</v>
      </c>
      <c r="C1578" t="s">
        <v>1843</v>
      </c>
      <c r="D1578" t="s">
        <v>13</v>
      </c>
      <c r="E1578">
        <v>996</v>
      </c>
      <c r="F1578" t="str">
        <f>HYPERLINK("https://www.google.com/maps/search/?api=1&amp;query=24.71563031,46.60558442", "View Map")</f>
        <v>View Map</v>
      </c>
    </row>
    <row r="1579" spans="1:6" x14ac:dyDescent="0.35">
      <c r="A1579" t="s">
        <v>4400</v>
      </c>
      <c r="B1579" t="s">
        <v>4401</v>
      </c>
      <c r="C1579" t="s">
        <v>1776</v>
      </c>
      <c r="D1579" t="s">
        <v>13</v>
      </c>
      <c r="E1579">
        <v>996</v>
      </c>
      <c r="F1579" t="str">
        <f>HYPERLINK("https://www.google.com/maps/search/?api=1&amp;query=24.54079401,46.64107926", "View Map")</f>
        <v>View Map</v>
      </c>
    </row>
    <row r="1580" spans="1:6" x14ac:dyDescent="0.35">
      <c r="A1580" t="s">
        <v>1798</v>
      </c>
      <c r="B1580" t="s">
        <v>4402</v>
      </c>
      <c r="C1580" t="s">
        <v>1843</v>
      </c>
      <c r="D1580" t="s">
        <v>9</v>
      </c>
      <c r="E1580">
        <v>995</v>
      </c>
      <c r="F1580" t="str">
        <f>HYPERLINK("https://www.google.com/maps/search/?api=1&amp;query=24.90629364,46.42993658", "View Map")</f>
        <v>View Map</v>
      </c>
    </row>
    <row r="1581" spans="1:6" x14ac:dyDescent="0.35">
      <c r="A1581" t="s">
        <v>4403</v>
      </c>
      <c r="B1581" t="s">
        <v>4404</v>
      </c>
      <c r="C1581" t="s">
        <v>1776</v>
      </c>
      <c r="D1581" t="s">
        <v>13</v>
      </c>
      <c r="E1581">
        <v>995</v>
      </c>
      <c r="F1581" t="str">
        <f>HYPERLINK("https://www.google.com/maps/search/?api=1&amp;query=24.67312695,46.72081699", "View Map")</f>
        <v>View Map</v>
      </c>
    </row>
    <row r="1582" spans="1:6" x14ac:dyDescent="0.35">
      <c r="A1582" t="s">
        <v>4405</v>
      </c>
      <c r="B1582" t="s">
        <v>4406</v>
      </c>
      <c r="C1582" t="s">
        <v>1776</v>
      </c>
      <c r="D1582" t="s">
        <v>9</v>
      </c>
      <c r="E1582">
        <v>994</v>
      </c>
      <c r="F1582" t="str">
        <f>HYPERLINK("https://www.google.com/maps/search/?api=1&amp;query=24.77542057,46.74452977", "View Map")</f>
        <v>View Map</v>
      </c>
    </row>
    <row r="1583" spans="1:6" x14ac:dyDescent="0.35">
      <c r="A1583" t="s">
        <v>4407</v>
      </c>
      <c r="B1583" t="s">
        <v>4408</v>
      </c>
      <c r="C1583" t="s">
        <v>1776</v>
      </c>
      <c r="D1583" t="s">
        <v>9</v>
      </c>
      <c r="E1583">
        <v>993</v>
      </c>
      <c r="F1583" t="str">
        <f>HYPERLINK("https://www.google.com/maps/search/?api=1&amp;query=24.53020796,46.7136984", "View Map")</f>
        <v>View Map</v>
      </c>
    </row>
    <row r="1584" spans="1:6" x14ac:dyDescent="0.35">
      <c r="A1584" t="s">
        <v>1790</v>
      </c>
      <c r="B1584" t="s">
        <v>4409</v>
      </c>
      <c r="C1584" t="s">
        <v>1776</v>
      </c>
      <c r="D1584" t="s">
        <v>13</v>
      </c>
      <c r="E1584">
        <v>993</v>
      </c>
      <c r="F1584" t="str">
        <f>HYPERLINK("https://www.google.com/maps/search/?api=1&amp;query=24.7639438,46.8178028", "View Map")</f>
        <v>View Map</v>
      </c>
    </row>
    <row r="1585" spans="1:6" x14ac:dyDescent="0.35">
      <c r="A1585" t="s">
        <v>4410</v>
      </c>
      <c r="B1585" t="s">
        <v>4411</v>
      </c>
      <c r="C1585" t="s">
        <v>1776</v>
      </c>
      <c r="D1585" t="s">
        <v>9</v>
      </c>
      <c r="E1585">
        <v>993</v>
      </c>
      <c r="F1585" t="str">
        <f>HYPERLINK("https://www.google.com/maps/search/?api=1&amp;query=24.63814052,46.55946536", "View Map")</f>
        <v>View Map</v>
      </c>
    </row>
    <row r="1586" spans="1:6" x14ac:dyDescent="0.35">
      <c r="A1586" t="s">
        <v>4412</v>
      </c>
      <c r="B1586" t="s">
        <v>4413</v>
      </c>
      <c r="C1586" t="s">
        <v>1776</v>
      </c>
      <c r="D1586" t="s">
        <v>9</v>
      </c>
      <c r="E1586">
        <v>993</v>
      </c>
      <c r="F1586" t="str">
        <f>HYPERLINK("https://www.google.com/maps/search/?api=1&amp;query=24.5996097,46.68403518", "View Map")</f>
        <v>View Map</v>
      </c>
    </row>
    <row r="1587" spans="1:6" x14ac:dyDescent="0.35">
      <c r="A1587" t="s">
        <v>1947</v>
      </c>
      <c r="B1587" t="s">
        <v>4414</v>
      </c>
      <c r="C1587" t="s">
        <v>1776</v>
      </c>
      <c r="D1587" t="s">
        <v>9</v>
      </c>
      <c r="E1587">
        <v>993</v>
      </c>
      <c r="F1587" t="str">
        <f>HYPERLINK("https://www.google.com/maps/search/?api=1&amp;query=24.52131839,46.65888569", "View Map")</f>
        <v>View Map</v>
      </c>
    </row>
    <row r="1588" spans="1:6" x14ac:dyDescent="0.35">
      <c r="A1588" t="s">
        <v>2375</v>
      </c>
      <c r="B1588" t="s">
        <v>4415</v>
      </c>
      <c r="C1588" t="s">
        <v>1776</v>
      </c>
      <c r="D1588" t="s">
        <v>13</v>
      </c>
      <c r="E1588">
        <v>992</v>
      </c>
      <c r="F1588" t="str">
        <f>HYPERLINK("https://www.google.com/maps/search/?api=1&amp;query=24.76147681,46.82496094", "View Map")</f>
        <v>View Map</v>
      </c>
    </row>
    <row r="1589" spans="1:6" x14ac:dyDescent="0.35">
      <c r="A1589" t="s">
        <v>1798</v>
      </c>
      <c r="B1589" t="s">
        <v>4416</v>
      </c>
      <c r="C1589" t="s">
        <v>1776</v>
      </c>
      <c r="D1589" t="s">
        <v>9</v>
      </c>
      <c r="E1589">
        <v>991</v>
      </c>
      <c r="F1589" t="str">
        <f>HYPERLINK("https://www.google.com/maps/search/?api=1&amp;query=24.80490542,46.61386904", "View Map")</f>
        <v>View Map</v>
      </c>
    </row>
    <row r="1590" spans="1:6" x14ac:dyDescent="0.35">
      <c r="A1590" t="s">
        <v>4417</v>
      </c>
      <c r="B1590" t="s">
        <v>4418</v>
      </c>
      <c r="C1590" t="s">
        <v>1776</v>
      </c>
      <c r="D1590" t="s">
        <v>9</v>
      </c>
      <c r="E1590">
        <v>990</v>
      </c>
      <c r="F1590" t="str">
        <f>HYPERLINK("https://www.google.com/maps/search/?api=1&amp;query=24.56236108,46.74887174", "View Map")</f>
        <v>View Map</v>
      </c>
    </row>
    <row r="1591" spans="1:6" x14ac:dyDescent="0.35">
      <c r="A1591" t="s">
        <v>1794</v>
      </c>
      <c r="B1591" t="s">
        <v>4419</v>
      </c>
      <c r="C1591" t="s">
        <v>1776</v>
      </c>
      <c r="D1591" t="s">
        <v>9</v>
      </c>
      <c r="E1591">
        <v>990</v>
      </c>
      <c r="F1591" t="str">
        <f>HYPERLINK("https://www.google.com/maps/search/?api=1&amp;query=24.61656146,46.50009838", "View Map")</f>
        <v>View Map</v>
      </c>
    </row>
    <row r="1592" spans="1:6" x14ac:dyDescent="0.35">
      <c r="A1592" t="s">
        <v>1794</v>
      </c>
      <c r="B1592" t="s">
        <v>4420</v>
      </c>
      <c r="C1592" t="s">
        <v>1776</v>
      </c>
      <c r="D1592" t="s">
        <v>9</v>
      </c>
      <c r="E1592">
        <v>988</v>
      </c>
      <c r="F1592" t="str">
        <f>HYPERLINK("https://www.google.com/maps/search/?api=1&amp;query=24.82972943,46.67907707", "View Map")</f>
        <v>View Map</v>
      </c>
    </row>
    <row r="1593" spans="1:6" x14ac:dyDescent="0.35">
      <c r="A1593" t="s">
        <v>4421</v>
      </c>
      <c r="B1593" t="s">
        <v>4422</v>
      </c>
      <c r="C1593" t="s">
        <v>1776</v>
      </c>
      <c r="D1593" t="s">
        <v>9</v>
      </c>
      <c r="E1593">
        <v>988</v>
      </c>
      <c r="F1593" t="str">
        <f>HYPERLINK("https://www.google.com/maps/search/?api=1&amp;query=24.80766089,46.7991815", "View Map")</f>
        <v>View Map</v>
      </c>
    </row>
    <row r="1594" spans="1:6" x14ac:dyDescent="0.35">
      <c r="A1594" t="s">
        <v>4423</v>
      </c>
      <c r="B1594" t="s">
        <v>4424</v>
      </c>
      <c r="C1594" t="s">
        <v>1776</v>
      </c>
      <c r="D1594" t="s">
        <v>13</v>
      </c>
      <c r="E1594">
        <v>988</v>
      </c>
      <c r="F1594" t="str">
        <f>HYPERLINK("https://www.google.com/maps/search/?api=1&amp;query=24.57241211,46.64518043", "View Map")</f>
        <v>View Map</v>
      </c>
    </row>
    <row r="1595" spans="1:6" x14ac:dyDescent="0.35">
      <c r="A1595" t="s">
        <v>1798</v>
      </c>
      <c r="B1595" t="s">
        <v>4425</v>
      </c>
      <c r="C1595" t="s">
        <v>1776</v>
      </c>
      <c r="D1595" t="s">
        <v>9</v>
      </c>
      <c r="E1595">
        <v>986</v>
      </c>
      <c r="F1595" t="str">
        <f>HYPERLINK("https://www.google.com/maps/search/?api=1&amp;query=24.59666058,46.62223485", "View Map")</f>
        <v>View Map</v>
      </c>
    </row>
    <row r="1596" spans="1:6" x14ac:dyDescent="0.35">
      <c r="A1596" t="s">
        <v>1798</v>
      </c>
      <c r="B1596" t="s">
        <v>4426</v>
      </c>
      <c r="C1596" t="s">
        <v>1776</v>
      </c>
      <c r="D1596" t="s">
        <v>13</v>
      </c>
      <c r="E1596">
        <v>986</v>
      </c>
      <c r="F1596" t="str">
        <f>HYPERLINK("https://www.google.com/maps/search/?api=1&amp;query=24.89404675,46.63021478", "View Map")</f>
        <v>View Map</v>
      </c>
    </row>
    <row r="1597" spans="1:6" x14ac:dyDescent="0.35">
      <c r="A1597" t="s">
        <v>4427</v>
      </c>
      <c r="B1597" t="s">
        <v>4428</v>
      </c>
      <c r="C1597" t="s">
        <v>1776</v>
      </c>
      <c r="D1597" t="s">
        <v>9</v>
      </c>
      <c r="E1597">
        <v>986</v>
      </c>
      <c r="F1597" t="str">
        <f>HYPERLINK("https://www.google.com/maps/search/?api=1&amp;query=24.53802594,46.64991827", "View Map")</f>
        <v>View Map</v>
      </c>
    </row>
    <row r="1598" spans="1:6" x14ac:dyDescent="0.35">
      <c r="A1598" t="s">
        <v>4429</v>
      </c>
      <c r="B1598" t="s">
        <v>4430</v>
      </c>
      <c r="C1598" t="s">
        <v>1776</v>
      </c>
      <c r="D1598" t="s">
        <v>13</v>
      </c>
      <c r="E1598">
        <v>985</v>
      </c>
      <c r="F1598" t="str">
        <f>HYPERLINK("https://www.google.com/maps/search/?api=1&amp;query=24.79262448,46.74572087", "View Map")</f>
        <v>View Map</v>
      </c>
    </row>
    <row r="1599" spans="1:6" x14ac:dyDescent="0.35">
      <c r="A1599" t="s">
        <v>3242</v>
      </c>
      <c r="B1599" t="s">
        <v>4431</v>
      </c>
      <c r="C1599" t="s">
        <v>1776</v>
      </c>
      <c r="D1599" t="s">
        <v>9</v>
      </c>
      <c r="E1599">
        <v>984</v>
      </c>
      <c r="F1599" t="str">
        <f>HYPERLINK("https://www.google.com/maps/search/?api=1&amp;query=24.52801392,46.69378168", "View Map")</f>
        <v>View Map</v>
      </c>
    </row>
    <row r="1600" spans="1:6" x14ac:dyDescent="0.35">
      <c r="A1600" t="s">
        <v>4432</v>
      </c>
      <c r="B1600" t="s">
        <v>4433</v>
      </c>
      <c r="C1600" t="s">
        <v>1776</v>
      </c>
      <c r="D1600" t="s">
        <v>13</v>
      </c>
      <c r="E1600">
        <v>984</v>
      </c>
      <c r="F1600" t="str">
        <f>HYPERLINK("https://www.google.com/maps/search/?api=1&amp;query=24.79765983,46.80032423", "View Map")</f>
        <v>View Map</v>
      </c>
    </row>
    <row r="1601" spans="1:6" x14ac:dyDescent="0.35">
      <c r="A1601" t="s">
        <v>1947</v>
      </c>
      <c r="B1601" t="s">
        <v>4434</v>
      </c>
      <c r="C1601" t="s">
        <v>1776</v>
      </c>
      <c r="D1601" t="s">
        <v>9</v>
      </c>
      <c r="E1601">
        <v>984</v>
      </c>
      <c r="F1601" t="str">
        <f>HYPERLINK("https://www.google.com/maps/search/?api=1&amp;query=24.5733,46.6092", "View Map")</f>
        <v>View Map</v>
      </c>
    </row>
    <row r="1602" spans="1:6" x14ac:dyDescent="0.35">
      <c r="A1602" t="s">
        <v>4435</v>
      </c>
      <c r="B1602" t="s">
        <v>4436</v>
      </c>
      <c r="C1602" t="s">
        <v>1776</v>
      </c>
      <c r="D1602" t="s">
        <v>13</v>
      </c>
      <c r="E1602">
        <v>984</v>
      </c>
      <c r="F1602" t="str">
        <f>HYPERLINK("https://www.google.com/maps/search/?api=1&amp;query=24.57398727,46.70811659", "View Map")</f>
        <v>View Map</v>
      </c>
    </row>
    <row r="1603" spans="1:6" x14ac:dyDescent="0.35">
      <c r="A1603" t="s">
        <v>4437</v>
      </c>
      <c r="B1603" t="s">
        <v>4438</v>
      </c>
      <c r="C1603" t="s">
        <v>1776</v>
      </c>
      <c r="D1603" t="s">
        <v>9</v>
      </c>
      <c r="E1603">
        <v>984</v>
      </c>
      <c r="F1603" t="str">
        <f>HYPERLINK("https://www.google.com/maps/search/?api=1&amp;query=24.60056404,46.75534812", "View Map")</f>
        <v>View Map</v>
      </c>
    </row>
    <row r="1604" spans="1:6" x14ac:dyDescent="0.35">
      <c r="A1604" t="s">
        <v>4439</v>
      </c>
      <c r="B1604" t="s">
        <v>4440</v>
      </c>
      <c r="C1604" t="s">
        <v>1776</v>
      </c>
      <c r="D1604" t="s">
        <v>9</v>
      </c>
      <c r="E1604">
        <v>984</v>
      </c>
      <c r="F1604" t="str">
        <f>HYPERLINK("https://www.google.com/maps/search/?api=1&amp;query=24.57823074,46.6923062", "View Map")</f>
        <v>View Map</v>
      </c>
    </row>
    <row r="1605" spans="1:6" x14ac:dyDescent="0.35">
      <c r="A1605" t="s">
        <v>1798</v>
      </c>
      <c r="B1605" t="s">
        <v>4441</v>
      </c>
      <c r="C1605" t="s">
        <v>1776</v>
      </c>
      <c r="D1605" t="s">
        <v>9</v>
      </c>
      <c r="E1605">
        <v>984</v>
      </c>
      <c r="F1605" t="str">
        <f>HYPERLINK("https://www.google.com/maps/search/?api=1&amp;query=24.82792087,46.57841053", "View Map")</f>
        <v>View Map</v>
      </c>
    </row>
    <row r="1606" spans="1:6" x14ac:dyDescent="0.35">
      <c r="A1606" t="s">
        <v>4442</v>
      </c>
      <c r="B1606" t="s">
        <v>4443</v>
      </c>
      <c r="C1606" t="s">
        <v>1776</v>
      </c>
      <c r="D1606" t="s">
        <v>318</v>
      </c>
      <c r="E1606">
        <v>982</v>
      </c>
      <c r="F1606" t="str">
        <f>HYPERLINK("https://www.google.com/maps/search/?api=1&amp;query=24.7259181,46.77115791", "View Map")</f>
        <v>View Map</v>
      </c>
    </row>
    <row r="1607" spans="1:6" x14ac:dyDescent="0.35">
      <c r="A1607" t="s">
        <v>4444</v>
      </c>
      <c r="B1607" t="s">
        <v>4445</v>
      </c>
      <c r="C1607" t="s">
        <v>1776</v>
      </c>
      <c r="D1607" t="s">
        <v>9</v>
      </c>
      <c r="E1607">
        <v>982</v>
      </c>
      <c r="F1607" t="str">
        <f>HYPERLINK("https://www.google.com/maps/search/?api=1&amp;query=24.575306,46.582452", "View Map")</f>
        <v>View Map</v>
      </c>
    </row>
    <row r="1608" spans="1:6" x14ac:dyDescent="0.35">
      <c r="A1608" t="s">
        <v>3071</v>
      </c>
      <c r="B1608" t="s">
        <v>4446</v>
      </c>
      <c r="C1608" t="s">
        <v>1776</v>
      </c>
      <c r="D1608" t="s">
        <v>9</v>
      </c>
      <c r="E1608">
        <v>982</v>
      </c>
      <c r="F1608" t="str">
        <f>HYPERLINK("https://www.google.com/maps/search/?api=1&amp;query=24.7297,46.8486", "View Map")</f>
        <v>View Map</v>
      </c>
    </row>
    <row r="1609" spans="1:6" x14ac:dyDescent="0.35">
      <c r="A1609" t="s">
        <v>4447</v>
      </c>
      <c r="B1609" t="s">
        <v>4448</v>
      </c>
      <c r="C1609" t="s">
        <v>1776</v>
      </c>
      <c r="D1609" t="s">
        <v>9</v>
      </c>
      <c r="E1609">
        <v>980</v>
      </c>
      <c r="F1609" t="str">
        <f>HYPERLINK("https://www.google.com/maps/search/?api=1&amp;query=24.54926874,46.70853761", "View Map")</f>
        <v>View Map</v>
      </c>
    </row>
    <row r="1610" spans="1:6" x14ac:dyDescent="0.35">
      <c r="A1610" t="s">
        <v>4449</v>
      </c>
      <c r="B1610" t="s">
        <v>4450</v>
      </c>
      <c r="C1610" t="s">
        <v>1776</v>
      </c>
      <c r="D1610" t="s">
        <v>13</v>
      </c>
      <c r="E1610">
        <v>980</v>
      </c>
      <c r="F1610" t="str">
        <f>HYPERLINK("https://www.google.com/maps/search/?api=1&amp;query=24.57816014,46.64125817", "View Map")</f>
        <v>View Map</v>
      </c>
    </row>
    <row r="1611" spans="1:6" x14ac:dyDescent="0.35">
      <c r="A1611" t="s">
        <v>1267</v>
      </c>
      <c r="B1611" t="s">
        <v>4451</v>
      </c>
      <c r="C1611" t="s">
        <v>1776</v>
      </c>
      <c r="D1611" t="s">
        <v>9</v>
      </c>
      <c r="E1611">
        <v>978</v>
      </c>
      <c r="F1611" t="str">
        <f>HYPERLINK("https://www.google.com/maps/search/?api=1&amp;query=24.70747689,46.77644849", "View Map")</f>
        <v>View Map</v>
      </c>
    </row>
    <row r="1612" spans="1:6" x14ac:dyDescent="0.35">
      <c r="A1612" t="s">
        <v>1798</v>
      </c>
      <c r="B1612" t="s">
        <v>4452</v>
      </c>
      <c r="C1612" t="s">
        <v>1776</v>
      </c>
      <c r="D1612" t="s">
        <v>9</v>
      </c>
      <c r="E1612">
        <v>977</v>
      </c>
      <c r="F1612" t="str">
        <f>HYPERLINK("https://www.google.com/maps/search/?api=1&amp;query=24.7919,46.6094", "View Map")</f>
        <v>View Map</v>
      </c>
    </row>
    <row r="1613" spans="1:6" x14ac:dyDescent="0.35">
      <c r="A1613" t="s">
        <v>4453</v>
      </c>
      <c r="B1613" t="s">
        <v>4454</v>
      </c>
      <c r="C1613" t="s">
        <v>1776</v>
      </c>
      <c r="D1613" t="s">
        <v>9</v>
      </c>
      <c r="E1613">
        <v>976</v>
      </c>
      <c r="F1613" t="str">
        <f>HYPERLINK("https://www.google.com/maps/search/?api=1&amp;query=24.55442151,46.7069751", "View Map")</f>
        <v>View Map</v>
      </c>
    </row>
    <row r="1614" spans="1:6" x14ac:dyDescent="0.35">
      <c r="A1614" t="s">
        <v>4455</v>
      </c>
      <c r="B1614" t="s">
        <v>4456</v>
      </c>
      <c r="C1614" t="s">
        <v>1776</v>
      </c>
      <c r="D1614" t="s">
        <v>13</v>
      </c>
      <c r="E1614">
        <v>976</v>
      </c>
      <c r="F1614" t="str">
        <f>HYPERLINK("https://www.google.com/maps/search/?api=1&amp;query=24.77998574,46.70175442", "View Map")</f>
        <v>View Map</v>
      </c>
    </row>
    <row r="1615" spans="1:6" x14ac:dyDescent="0.35">
      <c r="A1615" t="s">
        <v>1165</v>
      </c>
      <c r="B1615" t="s">
        <v>4457</v>
      </c>
      <c r="C1615" t="s">
        <v>1776</v>
      </c>
      <c r="D1615" t="s">
        <v>9</v>
      </c>
      <c r="E1615">
        <v>976</v>
      </c>
      <c r="F1615" t="str">
        <f>HYPERLINK("https://www.google.com/maps/search/?api=1&amp;query=0.0,0.0", "View Map")</f>
        <v>View Map</v>
      </c>
    </row>
    <row r="1616" spans="1:6" x14ac:dyDescent="0.35">
      <c r="A1616" t="s">
        <v>1798</v>
      </c>
      <c r="B1616" t="s">
        <v>4458</v>
      </c>
      <c r="C1616" t="s">
        <v>1776</v>
      </c>
      <c r="D1616" t="s">
        <v>9</v>
      </c>
      <c r="E1616">
        <v>975</v>
      </c>
      <c r="F1616" t="str">
        <f>HYPERLINK("https://www.google.com/maps/search/?api=1&amp;query=24.6628,46.5247", "View Map")</f>
        <v>View Map</v>
      </c>
    </row>
    <row r="1617" spans="1:6" x14ac:dyDescent="0.35">
      <c r="A1617" t="s">
        <v>1790</v>
      </c>
      <c r="B1617" t="s">
        <v>4459</v>
      </c>
      <c r="C1617" t="s">
        <v>1776</v>
      </c>
      <c r="D1617" t="s">
        <v>9</v>
      </c>
      <c r="E1617">
        <v>973</v>
      </c>
      <c r="F1617" t="str">
        <f>HYPERLINK("https://www.google.com/maps/search/?api=1&amp;query=24.80795647,46.86424322", "View Map")</f>
        <v>View Map</v>
      </c>
    </row>
    <row r="1618" spans="1:6" x14ac:dyDescent="0.35">
      <c r="A1618" t="s">
        <v>4460</v>
      </c>
      <c r="B1618" t="s">
        <v>4461</v>
      </c>
      <c r="C1618" t="s">
        <v>1776</v>
      </c>
      <c r="D1618" t="s">
        <v>9</v>
      </c>
      <c r="E1618">
        <v>973</v>
      </c>
      <c r="F1618" t="str">
        <f>HYPERLINK("https://www.google.com/maps/search/?api=1&amp;query=24.62948346,46.55079822", "View Map")</f>
        <v>View Map</v>
      </c>
    </row>
    <row r="1619" spans="1:6" x14ac:dyDescent="0.35">
      <c r="A1619" t="s">
        <v>4462</v>
      </c>
      <c r="B1619" t="s">
        <v>4463</v>
      </c>
      <c r="C1619" t="s">
        <v>1776</v>
      </c>
      <c r="D1619" t="s">
        <v>13</v>
      </c>
      <c r="E1619">
        <v>973</v>
      </c>
      <c r="F1619" t="str">
        <f>HYPERLINK("https://www.google.com/maps/search/?api=1&amp;query=24.78286639,46.6186074", "View Map")</f>
        <v>View Map</v>
      </c>
    </row>
    <row r="1620" spans="1:6" x14ac:dyDescent="0.35">
      <c r="A1620" t="s">
        <v>2285</v>
      </c>
      <c r="B1620" t="s">
        <v>4464</v>
      </c>
      <c r="C1620" t="s">
        <v>1776</v>
      </c>
      <c r="D1620" t="s">
        <v>9</v>
      </c>
      <c r="E1620">
        <v>972</v>
      </c>
      <c r="F1620" t="str">
        <f>HYPERLINK("https://www.google.com/maps/search/?api=1&amp;query=24.77325432,46.63898777", "View Map")</f>
        <v>View Map</v>
      </c>
    </row>
    <row r="1621" spans="1:6" x14ac:dyDescent="0.35">
      <c r="A1621" t="s">
        <v>4465</v>
      </c>
      <c r="B1621" t="s">
        <v>4466</v>
      </c>
      <c r="C1621" t="s">
        <v>1776</v>
      </c>
      <c r="D1621" t="s">
        <v>9</v>
      </c>
      <c r="E1621">
        <v>972</v>
      </c>
      <c r="F1621" t="str">
        <f>HYPERLINK("https://www.google.com/maps/search/?api=1&amp;query=24.75648514,46.66023933", "View Map")</f>
        <v>View Map</v>
      </c>
    </row>
    <row r="1622" spans="1:6" x14ac:dyDescent="0.35">
      <c r="A1622" t="s">
        <v>4467</v>
      </c>
      <c r="B1622" t="s">
        <v>4468</v>
      </c>
      <c r="C1622" t="s">
        <v>1776</v>
      </c>
      <c r="D1622" t="s">
        <v>13</v>
      </c>
      <c r="E1622">
        <v>971</v>
      </c>
      <c r="F1622" t="str">
        <f>HYPERLINK("https://www.google.com/maps/search/?api=1&amp;query=24.58295174,46.69785351", "View Map")</f>
        <v>View Map</v>
      </c>
    </row>
    <row r="1623" spans="1:6" x14ac:dyDescent="0.35">
      <c r="A1623" t="s">
        <v>4469</v>
      </c>
      <c r="B1623" t="s">
        <v>4470</v>
      </c>
      <c r="C1623" t="s">
        <v>1776</v>
      </c>
      <c r="D1623" t="s">
        <v>9</v>
      </c>
      <c r="E1623">
        <v>969</v>
      </c>
      <c r="F1623" t="str">
        <f>HYPERLINK("https://www.google.com/maps/search/?api=1&amp;query=24.5755028,46.83939399", "View Map")</f>
        <v>View Map</v>
      </c>
    </row>
    <row r="1624" spans="1:6" x14ac:dyDescent="0.35">
      <c r="A1624" t="s">
        <v>4471</v>
      </c>
      <c r="B1624" t="s">
        <v>4472</v>
      </c>
      <c r="C1624" t="s">
        <v>1776</v>
      </c>
      <c r="D1624" t="s">
        <v>9</v>
      </c>
      <c r="E1624">
        <v>968</v>
      </c>
      <c r="F1624" t="str">
        <f>HYPERLINK("https://www.google.com/maps/search/?api=1&amp;query=24.79519104,46.85067337", "View Map")</f>
        <v>View Map</v>
      </c>
    </row>
    <row r="1625" spans="1:6" x14ac:dyDescent="0.35">
      <c r="A1625" t="s">
        <v>4473</v>
      </c>
      <c r="B1625" t="s">
        <v>4474</v>
      </c>
      <c r="C1625" t="s">
        <v>1776</v>
      </c>
      <c r="D1625" t="s">
        <v>9</v>
      </c>
      <c r="E1625">
        <v>967</v>
      </c>
      <c r="F1625" t="str">
        <f>HYPERLINK("https://www.google.com/maps/search/?api=1&amp;query=24.81905692,46.61572325", "View Map")</f>
        <v>View Map</v>
      </c>
    </row>
    <row r="1626" spans="1:6" x14ac:dyDescent="0.35">
      <c r="A1626" t="s">
        <v>4475</v>
      </c>
      <c r="B1626" t="s">
        <v>4476</v>
      </c>
      <c r="C1626" t="s">
        <v>1776</v>
      </c>
      <c r="D1626" t="s">
        <v>9</v>
      </c>
      <c r="E1626">
        <v>966</v>
      </c>
      <c r="F1626" t="str">
        <f>HYPERLINK("https://www.google.com/maps/search/?api=1&amp;query=24.77707811,46.78082179", "View Map")</f>
        <v>View Map</v>
      </c>
    </row>
    <row r="1627" spans="1:6" x14ac:dyDescent="0.35">
      <c r="A1627" t="s">
        <v>2363</v>
      </c>
      <c r="B1627" t="s">
        <v>4477</v>
      </c>
      <c r="C1627" t="s">
        <v>1776</v>
      </c>
      <c r="D1627" t="s">
        <v>13</v>
      </c>
      <c r="E1627">
        <v>966</v>
      </c>
      <c r="F1627" t="str">
        <f>HYPERLINK("https://www.google.com/maps/search/?api=1&amp;query=24.606186,46.63687266", "View Map")</f>
        <v>View Map</v>
      </c>
    </row>
    <row r="1628" spans="1:6" x14ac:dyDescent="0.35">
      <c r="A1628" t="s">
        <v>1798</v>
      </c>
      <c r="B1628" t="s">
        <v>4478</v>
      </c>
      <c r="C1628" t="s">
        <v>1776</v>
      </c>
      <c r="D1628" t="s">
        <v>9</v>
      </c>
      <c r="E1628">
        <v>965</v>
      </c>
      <c r="F1628" t="str">
        <f>HYPERLINK("https://www.google.com/maps/search/?api=1&amp;query=24.92570141,46.81880472", "View Map")</f>
        <v>View Map</v>
      </c>
    </row>
    <row r="1629" spans="1:6" x14ac:dyDescent="0.35">
      <c r="A1629" t="s">
        <v>1790</v>
      </c>
      <c r="B1629" t="s">
        <v>4479</v>
      </c>
      <c r="C1629" t="s">
        <v>1776</v>
      </c>
      <c r="D1629" t="s">
        <v>13</v>
      </c>
      <c r="E1629">
        <v>965</v>
      </c>
      <c r="F1629" t="str">
        <f>HYPERLINK("https://www.google.com/maps/search/?api=1&amp;query=24.76691639,46.76630882", "View Map")</f>
        <v>View Map</v>
      </c>
    </row>
    <row r="1630" spans="1:6" x14ac:dyDescent="0.35">
      <c r="A1630" t="s">
        <v>4480</v>
      </c>
      <c r="B1630" t="s">
        <v>4481</v>
      </c>
      <c r="C1630" t="s">
        <v>1776</v>
      </c>
      <c r="D1630" t="s">
        <v>13</v>
      </c>
      <c r="E1630">
        <v>964</v>
      </c>
      <c r="F1630" t="str">
        <f>HYPERLINK("https://www.google.com/maps/search/?api=1&amp;query=24.665809,46.71244387", "View Map")</f>
        <v>View Map</v>
      </c>
    </row>
    <row r="1631" spans="1:6" x14ac:dyDescent="0.35">
      <c r="A1631" t="s">
        <v>1798</v>
      </c>
      <c r="B1631" t="s">
        <v>4482</v>
      </c>
      <c r="C1631" t="s">
        <v>1776</v>
      </c>
      <c r="D1631" t="s">
        <v>9</v>
      </c>
      <c r="E1631">
        <v>962</v>
      </c>
      <c r="F1631" t="str">
        <f>HYPERLINK("https://www.google.com/maps/search/?api=1&amp;query=24.68199808,46.56583415", "View Map")</f>
        <v>View Map</v>
      </c>
    </row>
    <row r="1632" spans="1:6" x14ac:dyDescent="0.35">
      <c r="A1632" t="s">
        <v>4483</v>
      </c>
      <c r="B1632" t="s">
        <v>4484</v>
      </c>
      <c r="C1632" t="s">
        <v>1776</v>
      </c>
      <c r="D1632" t="s">
        <v>9</v>
      </c>
      <c r="E1632">
        <v>961</v>
      </c>
      <c r="F1632" t="str">
        <f>HYPERLINK("https://www.google.com/maps/search/?api=1&amp;query=24.58747526,46.76039766", "View Map")</f>
        <v>View Map</v>
      </c>
    </row>
    <row r="1633" spans="1:6" x14ac:dyDescent="0.35">
      <c r="A1633" t="s">
        <v>4485</v>
      </c>
      <c r="B1633" t="s">
        <v>4486</v>
      </c>
      <c r="C1633" t="s">
        <v>1776</v>
      </c>
      <c r="D1633" t="s">
        <v>9</v>
      </c>
      <c r="E1633">
        <v>960</v>
      </c>
      <c r="F1633" t="str">
        <f>HYPERLINK("https://www.google.com/maps/search/?api=1&amp;query=24.65496873,46.57665986", "View Map")</f>
        <v>View Map</v>
      </c>
    </row>
    <row r="1634" spans="1:6" x14ac:dyDescent="0.35">
      <c r="A1634" t="s">
        <v>4487</v>
      </c>
      <c r="B1634" t="s">
        <v>4488</v>
      </c>
      <c r="C1634" t="s">
        <v>1776</v>
      </c>
      <c r="D1634" t="s">
        <v>13</v>
      </c>
      <c r="E1634">
        <v>960</v>
      </c>
      <c r="F1634" t="str">
        <f>HYPERLINK("https://www.google.com/maps/search/?api=1&amp;query=24.62987998,46.72607133", "View Map")</f>
        <v>View Map</v>
      </c>
    </row>
    <row r="1635" spans="1:6" x14ac:dyDescent="0.35">
      <c r="A1635" t="s">
        <v>4489</v>
      </c>
      <c r="B1635" t="s">
        <v>4490</v>
      </c>
      <c r="C1635" t="s">
        <v>1776</v>
      </c>
      <c r="D1635" t="s">
        <v>318</v>
      </c>
      <c r="E1635">
        <v>960</v>
      </c>
      <c r="F1635" t="str">
        <f>HYPERLINK("https://www.google.com/maps/search/?api=1&amp;query=24.80897569,46.88102771", "View Map")</f>
        <v>View Map</v>
      </c>
    </row>
    <row r="1636" spans="1:6" x14ac:dyDescent="0.35">
      <c r="A1636" t="s">
        <v>4491</v>
      </c>
      <c r="B1636" t="s">
        <v>4492</v>
      </c>
      <c r="C1636" t="s">
        <v>1776</v>
      </c>
      <c r="D1636" t="s">
        <v>13</v>
      </c>
      <c r="E1636">
        <v>959</v>
      </c>
      <c r="F1636" t="str">
        <f>HYPERLINK("https://www.google.com/maps/search/?api=1&amp;query=24.62071313,46.76037453", "View Map")</f>
        <v>View Map</v>
      </c>
    </row>
    <row r="1637" spans="1:6" x14ac:dyDescent="0.35">
      <c r="A1637" t="s">
        <v>4493</v>
      </c>
      <c r="B1637" t="s">
        <v>4494</v>
      </c>
      <c r="C1637" t="s">
        <v>1776</v>
      </c>
      <c r="D1637" t="s">
        <v>13</v>
      </c>
      <c r="E1637">
        <v>959</v>
      </c>
      <c r="F1637" t="str">
        <f>HYPERLINK("https://www.google.com/maps/search/?api=1&amp;query=24.74005821,46.84410149", "View Map")</f>
        <v>View Map</v>
      </c>
    </row>
    <row r="1638" spans="1:6" x14ac:dyDescent="0.35">
      <c r="A1638" t="s">
        <v>4495</v>
      </c>
      <c r="B1638" t="s">
        <v>4496</v>
      </c>
      <c r="C1638" t="s">
        <v>1776</v>
      </c>
      <c r="D1638" t="s">
        <v>9</v>
      </c>
      <c r="E1638">
        <v>957</v>
      </c>
      <c r="F1638" t="str">
        <f>HYPERLINK("https://www.google.com/maps/search/?api=1&amp;query=24.57384886,46.71337917", "View Map")</f>
        <v>View Map</v>
      </c>
    </row>
    <row r="1639" spans="1:6" x14ac:dyDescent="0.35">
      <c r="A1639" t="s">
        <v>1947</v>
      </c>
      <c r="B1639" t="s">
        <v>4497</v>
      </c>
      <c r="C1639" t="s">
        <v>1776</v>
      </c>
      <c r="D1639" t="s">
        <v>9</v>
      </c>
      <c r="E1639">
        <v>957</v>
      </c>
      <c r="F1639" t="str">
        <f>HYPERLINK("https://www.google.com/maps/search/?api=1&amp;query=24.52301129,46.64291644", "View Map")</f>
        <v>View Map</v>
      </c>
    </row>
    <row r="1640" spans="1:6" x14ac:dyDescent="0.35">
      <c r="A1640" t="s">
        <v>4498</v>
      </c>
      <c r="B1640" t="s">
        <v>4499</v>
      </c>
      <c r="C1640" t="s">
        <v>1776</v>
      </c>
      <c r="D1640" t="s">
        <v>13</v>
      </c>
      <c r="E1640">
        <v>956</v>
      </c>
      <c r="F1640" t="str">
        <f>HYPERLINK("https://www.google.com/maps/search/?api=1&amp;query=24.81871042,46.74988871", "View Map")</f>
        <v>View Map</v>
      </c>
    </row>
    <row r="1641" spans="1:6" x14ac:dyDescent="0.35">
      <c r="A1641" t="s">
        <v>3509</v>
      </c>
      <c r="B1641" t="s">
        <v>4500</v>
      </c>
      <c r="C1641" t="s">
        <v>1776</v>
      </c>
      <c r="D1641" t="s">
        <v>13</v>
      </c>
      <c r="E1641">
        <v>956</v>
      </c>
      <c r="F1641" t="str">
        <f>HYPERLINK("https://www.google.com/maps/search/?api=1&amp;query=24.78884288,46.68571218", "View Map")</f>
        <v>View Map</v>
      </c>
    </row>
    <row r="1642" spans="1:6" x14ac:dyDescent="0.35">
      <c r="A1642" t="s">
        <v>1947</v>
      </c>
      <c r="B1642" t="s">
        <v>4501</v>
      </c>
      <c r="C1642" t="s">
        <v>1776</v>
      </c>
      <c r="D1642" t="s">
        <v>9</v>
      </c>
      <c r="E1642">
        <v>955</v>
      </c>
      <c r="F1642" t="str">
        <f>HYPERLINK("https://www.google.com/maps/search/?api=1&amp;query=24.55938506,46.59043477", "View Map")</f>
        <v>View Map</v>
      </c>
    </row>
    <row r="1643" spans="1:6" x14ac:dyDescent="0.35">
      <c r="A1643" t="s">
        <v>4502</v>
      </c>
      <c r="B1643" t="s">
        <v>4503</v>
      </c>
      <c r="C1643" t="s">
        <v>1776</v>
      </c>
      <c r="D1643" t="s">
        <v>9</v>
      </c>
      <c r="E1643">
        <v>955</v>
      </c>
      <c r="F1643" t="str">
        <f>HYPERLINK("https://www.google.com/maps/search/?api=1&amp;query=24.59149671,46.72615141", "View Map")</f>
        <v>View Map</v>
      </c>
    </row>
    <row r="1644" spans="1:6" x14ac:dyDescent="0.35">
      <c r="A1644" t="s">
        <v>4504</v>
      </c>
      <c r="B1644" t="s">
        <v>4505</v>
      </c>
      <c r="C1644" t="s">
        <v>1776</v>
      </c>
      <c r="D1644" t="s">
        <v>9</v>
      </c>
      <c r="E1644">
        <v>953</v>
      </c>
      <c r="F1644" t="str">
        <f>HYPERLINK("https://www.google.com/maps/search/?api=1&amp;query=24.64131627,46.72210545", "View Map")</f>
        <v>View Map</v>
      </c>
    </row>
    <row r="1645" spans="1:6" x14ac:dyDescent="0.35">
      <c r="A1645" t="s">
        <v>1798</v>
      </c>
      <c r="B1645" t="s">
        <v>4506</v>
      </c>
      <c r="C1645" t="s">
        <v>1776</v>
      </c>
      <c r="D1645" t="s">
        <v>9</v>
      </c>
      <c r="E1645">
        <v>953</v>
      </c>
      <c r="F1645" t="str">
        <f>HYPERLINK("https://www.google.com/maps/search/?api=1&amp;query=24.89909243,46.86152296", "View Map")</f>
        <v>View Map</v>
      </c>
    </row>
    <row r="1646" spans="1:6" x14ac:dyDescent="0.35">
      <c r="A1646" t="s">
        <v>4507</v>
      </c>
      <c r="B1646" t="s">
        <v>4508</v>
      </c>
      <c r="C1646" t="s">
        <v>1776</v>
      </c>
      <c r="D1646" t="s">
        <v>13</v>
      </c>
      <c r="E1646">
        <v>952</v>
      </c>
      <c r="F1646" t="str">
        <f>HYPERLINK("https://www.google.com/maps/search/?api=1&amp;query=24.68752239,46.81156908", "View Map")</f>
        <v>View Map</v>
      </c>
    </row>
    <row r="1647" spans="1:6" x14ac:dyDescent="0.35">
      <c r="A1647" t="s">
        <v>4509</v>
      </c>
      <c r="B1647" t="s">
        <v>4510</v>
      </c>
      <c r="C1647" t="s">
        <v>1776</v>
      </c>
      <c r="D1647" t="s">
        <v>13</v>
      </c>
      <c r="E1647">
        <v>952</v>
      </c>
      <c r="F1647" t="str">
        <f>HYPERLINK("https://www.google.com/maps/search/?api=1&amp;query=24.79984265,46.80466108", "View Map")</f>
        <v>View Map</v>
      </c>
    </row>
    <row r="1648" spans="1:6" x14ac:dyDescent="0.35">
      <c r="A1648" t="s">
        <v>4511</v>
      </c>
      <c r="B1648" t="s">
        <v>4512</v>
      </c>
      <c r="C1648" t="s">
        <v>1776</v>
      </c>
      <c r="D1648" t="s">
        <v>9</v>
      </c>
      <c r="E1648">
        <v>952</v>
      </c>
      <c r="F1648" t="str">
        <f>HYPERLINK("https://www.google.com/maps/search/?api=1&amp;query=24.78744643,46.89643378", "View Map")</f>
        <v>View Map</v>
      </c>
    </row>
    <row r="1649" spans="1:6" x14ac:dyDescent="0.35">
      <c r="A1649" t="s">
        <v>4513</v>
      </c>
      <c r="B1649" t="s">
        <v>4514</v>
      </c>
      <c r="C1649" t="s">
        <v>1776</v>
      </c>
      <c r="D1649" t="s">
        <v>9</v>
      </c>
      <c r="E1649">
        <v>950</v>
      </c>
      <c r="F1649" t="str">
        <f>HYPERLINK("https://www.google.com/maps/search/?api=1&amp;query=24.63805306,46.75003848", "View Map")</f>
        <v>View Map</v>
      </c>
    </row>
    <row r="1650" spans="1:6" x14ac:dyDescent="0.35">
      <c r="A1650" t="s">
        <v>4515</v>
      </c>
      <c r="B1650" t="s">
        <v>4516</v>
      </c>
      <c r="C1650" t="s">
        <v>1776</v>
      </c>
      <c r="D1650" t="s">
        <v>13</v>
      </c>
      <c r="E1650">
        <v>950</v>
      </c>
      <c r="F1650" t="str">
        <f>HYPERLINK("https://www.google.com/maps/search/?api=1&amp;query=24.58118257,46.64172567", "View Map")</f>
        <v>View Map</v>
      </c>
    </row>
    <row r="1651" spans="1:6" x14ac:dyDescent="0.35">
      <c r="A1651" t="s">
        <v>4517</v>
      </c>
      <c r="B1651" t="s">
        <v>4518</v>
      </c>
      <c r="C1651" t="s">
        <v>1776</v>
      </c>
      <c r="D1651" t="s">
        <v>13</v>
      </c>
      <c r="E1651">
        <v>945</v>
      </c>
      <c r="F1651" t="str">
        <f>HYPERLINK("https://www.google.com/maps/search/?api=1&amp;query=24.58181362,46.60334269", "View Map")</f>
        <v>View Map</v>
      </c>
    </row>
    <row r="1652" spans="1:6" x14ac:dyDescent="0.35">
      <c r="A1652" t="s">
        <v>1806</v>
      </c>
      <c r="B1652" t="s">
        <v>4519</v>
      </c>
      <c r="C1652" t="s">
        <v>1776</v>
      </c>
      <c r="D1652" t="s">
        <v>13</v>
      </c>
      <c r="E1652">
        <v>945</v>
      </c>
      <c r="F1652" t="str">
        <f>HYPERLINK("https://www.google.com/maps/search/?api=1&amp;query=24.76382962,46.82501521", "View Map")</f>
        <v>View Map</v>
      </c>
    </row>
    <row r="1653" spans="1:6" x14ac:dyDescent="0.35">
      <c r="A1653" t="s">
        <v>4520</v>
      </c>
      <c r="B1653" t="s">
        <v>4521</v>
      </c>
      <c r="C1653" t="s">
        <v>1776</v>
      </c>
      <c r="D1653" t="s">
        <v>9</v>
      </c>
      <c r="E1653">
        <v>943</v>
      </c>
      <c r="F1653" t="str">
        <f>HYPERLINK("https://www.google.com/maps/search/?api=1&amp;query=24.62625505,46.79530678", "View Map")</f>
        <v>View Map</v>
      </c>
    </row>
    <row r="1654" spans="1:6" x14ac:dyDescent="0.35">
      <c r="A1654" t="s">
        <v>4522</v>
      </c>
      <c r="B1654" t="s">
        <v>4523</v>
      </c>
      <c r="C1654" t="s">
        <v>1776</v>
      </c>
      <c r="D1654" t="s">
        <v>9</v>
      </c>
      <c r="E1654">
        <v>943</v>
      </c>
      <c r="F1654" t="str">
        <f>HYPERLINK("https://www.google.com/maps/search/?api=1&amp;query=24.63588831,46.71842114", "View Map")</f>
        <v>View Map</v>
      </c>
    </row>
    <row r="1655" spans="1:6" x14ac:dyDescent="0.35">
      <c r="A1655" t="s">
        <v>1794</v>
      </c>
      <c r="B1655" t="s">
        <v>4524</v>
      </c>
      <c r="C1655" t="s">
        <v>1843</v>
      </c>
      <c r="D1655" t="s">
        <v>9</v>
      </c>
      <c r="E1655">
        <v>942</v>
      </c>
      <c r="F1655" t="str">
        <f>HYPERLINK("https://www.google.com/maps/search/?api=1&amp;query=24.74604704,46.53269361", "View Map")</f>
        <v>View Map</v>
      </c>
    </row>
    <row r="1656" spans="1:6" x14ac:dyDescent="0.35">
      <c r="A1656" t="s">
        <v>3757</v>
      </c>
      <c r="B1656" t="s">
        <v>4525</v>
      </c>
      <c r="C1656" t="s">
        <v>1776</v>
      </c>
      <c r="D1656" t="s">
        <v>9</v>
      </c>
      <c r="E1656">
        <v>938</v>
      </c>
      <c r="F1656" t="str">
        <f>HYPERLINK("https://www.google.com/maps/search/?api=1&amp;query=24.52815283,46.66129411", "View Map")</f>
        <v>View Map</v>
      </c>
    </row>
    <row r="1657" spans="1:6" x14ac:dyDescent="0.35">
      <c r="A1657" t="s">
        <v>4526</v>
      </c>
      <c r="B1657" t="s">
        <v>4527</v>
      </c>
      <c r="C1657" t="s">
        <v>1776</v>
      </c>
      <c r="D1657" t="s">
        <v>9</v>
      </c>
      <c r="E1657">
        <v>937</v>
      </c>
      <c r="F1657" t="str">
        <f>HYPERLINK("https://www.google.com/maps/search/?api=1&amp;query=24.58634703,46.67322838", "View Map")</f>
        <v>View Map</v>
      </c>
    </row>
    <row r="1658" spans="1:6" x14ac:dyDescent="0.35">
      <c r="A1658" t="s">
        <v>4528</v>
      </c>
      <c r="B1658" t="s">
        <v>4529</v>
      </c>
      <c r="C1658" t="s">
        <v>1776</v>
      </c>
      <c r="D1658" t="s">
        <v>9</v>
      </c>
      <c r="E1658">
        <v>937</v>
      </c>
      <c r="F1658" t="str">
        <f>HYPERLINK("https://www.google.com/maps/search/?api=1&amp;query=24.57996283,46.61966684", "View Map")</f>
        <v>View Map</v>
      </c>
    </row>
    <row r="1659" spans="1:6" x14ac:dyDescent="0.35">
      <c r="A1659" t="s">
        <v>2734</v>
      </c>
      <c r="B1659" t="s">
        <v>4530</v>
      </c>
      <c r="C1659" t="s">
        <v>1776</v>
      </c>
      <c r="D1659" t="s">
        <v>13</v>
      </c>
      <c r="E1659">
        <v>936</v>
      </c>
      <c r="F1659" t="str">
        <f>HYPERLINK("https://www.google.com/maps/search/?api=1&amp;query=24.56237813,46.68986147", "View Map")</f>
        <v>View Map</v>
      </c>
    </row>
    <row r="1660" spans="1:6" x14ac:dyDescent="0.35">
      <c r="A1660" t="s">
        <v>3595</v>
      </c>
      <c r="B1660" t="s">
        <v>4531</v>
      </c>
      <c r="C1660" t="s">
        <v>1776</v>
      </c>
      <c r="D1660" t="s">
        <v>9</v>
      </c>
      <c r="E1660">
        <v>936</v>
      </c>
      <c r="F1660" t="str">
        <f>HYPERLINK("https://www.google.com/maps/search/?api=1&amp;query=24.57459988,46.58496426", "View Map")</f>
        <v>View Map</v>
      </c>
    </row>
    <row r="1661" spans="1:6" x14ac:dyDescent="0.35">
      <c r="A1661" t="s">
        <v>1947</v>
      </c>
      <c r="B1661" t="s">
        <v>4532</v>
      </c>
      <c r="C1661" t="s">
        <v>1776</v>
      </c>
      <c r="D1661" t="s">
        <v>9</v>
      </c>
      <c r="E1661">
        <v>936</v>
      </c>
      <c r="F1661" t="str">
        <f>HYPERLINK("https://www.google.com/maps/search/?api=1&amp;query=24.51271581,46.62850998", "View Map")</f>
        <v>View Map</v>
      </c>
    </row>
    <row r="1662" spans="1:6" x14ac:dyDescent="0.35">
      <c r="A1662" t="s">
        <v>1798</v>
      </c>
      <c r="B1662" t="s">
        <v>4533</v>
      </c>
      <c r="C1662" t="s">
        <v>1776</v>
      </c>
      <c r="D1662" t="s">
        <v>13</v>
      </c>
      <c r="E1662">
        <v>934</v>
      </c>
      <c r="F1662" t="str">
        <f>HYPERLINK("https://www.google.com/maps/search/?api=1&amp;query=0.0,0.0", "View Map")</f>
        <v>View Map</v>
      </c>
    </row>
    <row r="1663" spans="1:6" x14ac:dyDescent="0.35">
      <c r="A1663" t="s">
        <v>1794</v>
      </c>
      <c r="B1663" t="s">
        <v>4534</v>
      </c>
      <c r="C1663" t="s">
        <v>1776</v>
      </c>
      <c r="D1663" t="s">
        <v>13</v>
      </c>
      <c r="E1663">
        <v>934</v>
      </c>
      <c r="F1663" t="str">
        <f>HYPERLINK("https://www.google.com/maps/search/?api=1&amp;query=24.68259062,46.66727132", "View Map")</f>
        <v>View Map</v>
      </c>
    </row>
    <row r="1664" spans="1:6" x14ac:dyDescent="0.35">
      <c r="A1664" t="s">
        <v>4535</v>
      </c>
      <c r="B1664" t="s">
        <v>4536</v>
      </c>
      <c r="C1664" t="s">
        <v>1776</v>
      </c>
      <c r="D1664" t="s">
        <v>9</v>
      </c>
      <c r="E1664">
        <v>933</v>
      </c>
      <c r="F1664" t="str">
        <f>HYPERLINK("https://www.google.com/maps/search/?api=1&amp;query=24.69966945,46.76617788", "View Map")</f>
        <v>View Map</v>
      </c>
    </row>
    <row r="1665" spans="1:6" x14ac:dyDescent="0.35">
      <c r="A1665" t="s">
        <v>1798</v>
      </c>
      <c r="B1665" t="s">
        <v>4537</v>
      </c>
      <c r="C1665" t="s">
        <v>1776</v>
      </c>
      <c r="D1665" t="s">
        <v>9</v>
      </c>
      <c r="E1665">
        <v>933</v>
      </c>
      <c r="F1665" t="str">
        <f>HYPERLINK("https://www.google.com/maps/search/?api=1&amp;query=24.70610104,46.82965481", "View Map")</f>
        <v>View Map</v>
      </c>
    </row>
    <row r="1666" spans="1:6" x14ac:dyDescent="0.35">
      <c r="A1666" t="s">
        <v>4538</v>
      </c>
      <c r="B1666" t="s">
        <v>4539</v>
      </c>
      <c r="C1666" t="s">
        <v>1776</v>
      </c>
      <c r="D1666" t="s">
        <v>9</v>
      </c>
      <c r="E1666">
        <v>933</v>
      </c>
      <c r="F1666" t="str">
        <f>HYPERLINK("https://www.google.com/maps/search/?api=1&amp;query=24.72555095,46.83721331", "View Map")</f>
        <v>View Map</v>
      </c>
    </row>
    <row r="1667" spans="1:6" x14ac:dyDescent="0.35">
      <c r="A1667" t="s">
        <v>2863</v>
      </c>
      <c r="B1667" t="s">
        <v>4540</v>
      </c>
      <c r="C1667" t="s">
        <v>1776</v>
      </c>
      <c r="D1667" t="s">
        <v>9</v>
      </c>
      <c r="E1667">
        <v>932</v>
      </c>
      <c r="F1667" t="str">
        <f>HYPERLINK("https://www.google.com/maps/search/?api=1&amp;query=24.51929804,46.66862652", "View Map")</f>
        <v>View Map</v>
      </c>
    </row>
    <row r="1668" spans="1:6" x14ac:dyDescent="0.35">
      <c r="A1668" t="s">
        <v>4541</v>
      </c>
      <c r="B1668" t="s">
        <v>4542</v>
      </c>
      <c r="C1668" t="s">
        <v>1776</v>
      </c>
      <c r="D1668" t="s">
        <v>9</v>
      </c>
      <c r="E1668">
        <v>930</v>
      </c>
      <c r="F1668" t="str">
        <f>HYPERLINK("https://www.google.com/maps/search/?api=1&amp;query=24.57107711,46.85112133", "View Map")</f>
        <v>View Map</v>
      </c>
    </row>
    <row r="1669" spans="1:6" x14ac:dyDescent="0.35">
      <c r="A1669" t="s">
        <v>4543</v>
      </c>
      <c r="B1669" t="s">
        <v>4544</v>
      </c>
      <c r="C1669" t="s">
        <v>1776</v>
      </c>
      <c r="D1669" t="s">
        <v>9</v>
      </c>
      <c r="E1669">
        <v>929</v>
      </c>
      <c r="F1669" t="str">
        <f>HYPERLINK("https://www.google.com/maps/search/?api=1&amp;query=24.52476539,46.70703789", "View Map")</f>
        <v>View Map</v>
      </c>
    </row>
    <row r="1670" spans="1:6" x14ac:dyDescent="0.35">
      <c r="A1670" t="s">
        <v>4545</v>
      </c>
      <c r="B1670" t="s">
        <v>4546</v>
      </c>
      <c r="C1670" t="s">
        <v>1776</v>
      </c>
      <c r="D1670" t="s">
        <v>9</v>
      </c>
      <c r="E1670">
        <v>928</v>
      </c>
      <c r="F1670" t="str">
        <f>HYPERLINK("https://www.google.com/maps/search/?api=1&amp;query=24.71110268,46.60522311", "View Map")</f>
        <v>View Map</v>
      </c>
    </row>
    <row r="1671" spans="1:6" x14ac:dyDescent="0.35">
      <c r="A1671" t="s">
        <v>1798</v>
      </c>
      <c r="B1671" t="s">
        <v>4547</v>
      </c>
      <c r="C1671" t="s">
        <v>1776</v>
      </c>
      <c r="D1671" t="s">
        <v>9</v>
      </c>
      <c r="E1671">
        <v>927</v>
      </c>
      <c r="F1671" t="str">
        <f>HYPERLINK("https://www.google.com/maps/search/?api=1&amp;query=24.8501347,46.8425871", "View Map")</f>
        <v>View Map</v>
      </c>
    </row>
    <row r="1672" spans="1:6" x14ac:dyDescent="0.35">
      <c r="A1672" t="s">
        <v>4548</v>
      </c>
      <c r="B1672" t="s">
        <v>4549</v>
      </c>
      <c r="C1672" t="s">
        <v>1776</v>
      </c>
      <c r="D1672" t="s">
        <v>9</v>
      </c>
      <c r="E1672">
        <v>926</v>
      </c>
      <c r="F1672" t="str">
        <f>HYPERLINK("https://www.google.com/maps/search/?api=1&amp;query=24.82222788,46.79064717", "View Map")</f>
        <v>View Map</v>
      </c>
    </row>
    <row r="1673" spans="1:6" x14ac:dyDescent="0.35">
      <c r="A1673" t="s">
        <v>1798</v>
      </c>
      <c r="B1673" t="s">
        <v>4550</v>
      </c>
      <c r="C1673" t="s">
        <v>1776</v>
      </c>
      <c r="D1673" t="s">
        <v>9</v>
      </c>
      <c r="E1673">
        <v>926</v>
      </c>
      <c r="F1673" t="str">
        <f>HYPERLINK("https://www.google.com/maps/search/?api=1&amp;query=24.74720507,46.62626778", "View Map")</f>
        <v>View Map</v>
      </c>
    </row>
    <row r="1674" spans="1:6" x14ac:dyDescent="0.35">
      <c r="A1674" t="s">
        <v>1947</v>
      </c>
      <c r="B1674" t="s">
        <v>4551</v>
      </c>
      <c r="C1674" t="s">
        <v>1776</v>
      </c>
      <c r="D1674" t="s">
        <v>9</v>
      </c>
      <c r="E1674">
        <v>925</v>
      </c>
      <c r="F1674" t="str">
        <f>HYPERLINK("https://www.google.com/maps/search/?api=1&amp;query=24.5508,46.5658", "View Map")</f>
        <v>View Map</v>
      </c>
    </row>
    <row r="1675" spans="1:6" x14ac:dyDescent="0.35">
      <c r="A1675" t="s">
        <v>4552</v>
      </c>
      <c r="B1675" t="s">
        <v>4553</v>
      </c>
      <c r="C1675" t="s">
        <v>1776</v>
      </c>
      <c r="D1675" t="s">
        <v>9</v>
      </c>
      <c r="E1675">
        <v>925</v>
      </c>
      <c r="F1675" t="str">
        <f>HYPERLINK("https://www.google.com/maps/search/?api=1&amp;query=24.62424211,46.75374976", "View Map")</f>
        <v>View Map</v>
      </c>
    </row>
    <row r="1676" spans="1:6" x14ac:dyDescent="0.35">
      <c r="A1676" t="s">
        <v>4554</v>
      </c>
      <c r="B1676" t="s">
        <v>4555</v>
      </c>
      <c r="C1676" t="s">
        <v>1776</v>
      </c>
      <c r="D1676" t="s">
        <v>9</v>
      </c>
      <c r="E1676">
        <v>925</v>
      </c>
      <c r="F1676" t="str">
        <f>HYPERLINK("https://www.google.com/maps/search/?api=1&amp;query=24.6036851,46.62268977", "View Map")</f>
        <v>View Map</v>
      </c>
    </row>
    <row r="1677" spans="1:6" x14ac:dyDescent="0.35">
      <c r="A1677" t="s">
        <v>3127</v>
      </c>
      <c r="B1677" t="s">
        <v>4556</v>
      </c>
      <c r="C1677" t="s">
        <v>1776</v>
      </c>
      <c r="D1677" t="s">
        <v>9</v>
      </c>
      <c r="E1677">
        <v>924</v>
      </c>
      <c r="F1677" t="str">
        <f>HYPERLINK("https://www.google.com/maps/search/?api=1&amp;query=24.70655661,46.77345662", "View Map")</f>
        <v>View Map</v>
      </c>
    </row>
    <row r="1678" spans="1:6" x14ac:dyDescent="0.35">
      <c r="A1678" t="s">
        <v>4557</v>
      </c>
      <c r="B1678" t="s">
        <v>4558</v>
      </c>
      <c r="C1678" t="s">
        <v>1776</v>
      </c>
      <c r="D1678" t="s">
        <v>9</v>
      </c>
      <c r="E1678">
        <v>923</v>
      </c>
      <c r="F1678" t="str">
        <f>HYPERLINK("https://www.google.com/maps/search/?api=1&amp;query=24.78537893,46.65196584", "View Map")</f>
        <v>View Map</v>
      </c>
    </row>
    <row r="1679" spans="1:6" x14ac:dyDescent="0.35">
      <c r="A1679" t="s">
        <v>1798</v>
      </c>
      <c r="B1679" t="s">
        <v>4559</v>
      </c>
      <c r="C1679" t="s">
        <v>1776</v>
      </c>
      <c r="D1679" t="s">
        <v>9</v>
      </c>
      <c r="E1679">
        <v>922</v>
      </c>
      <c r="F1679" t="str">
        <f>HYPERLINK("https://www.google.com/maps/search/?api=1&amp;query=24.85912035,46.65934211", "View Map")</f>
        <v>View Map</v>
      </c>
    </row>
    <row r="1680" spans="1:6" x14ac:dyDescent="0.35">
      <c r="A1680" t="s">
        <v>4560</v>
      </c>
      <c r="B1680" t="s">
        <v>4561</v>
      </c>
      <c r="C1680" t="s">
        <v>1776</v>
      </c>
      <c r="D1680" t="s">
        <v>9</v>
      </c>
      <c r="E1680">
        <v>922</v>
      </c>
      <c r="F1680" t="str">
        <f>HYPERLINK("https://www.google.com/maps/search/?api=1&amp;query=24.7322082,46.71941962", "View Map")</f>
        <v>View Map</v>
      </c>
    </row>
    <row r="1681" spans="1:6" x14ac:dyDescent="0.35">
      <c r="A1681" t="s">
        <v>4562</v>
      </c>
      <c r="B1681" t="s">
        <v>4563</v>
      </c>
      <c r="C1681" t="s">
        <v>1776</v>
      </c>
      <c r="D1681" t="s">
        <v>9</v>
      </c>
      <c r="E1681">
        <v>922</v>
      </c>
      <c r="F1681" t="str">
        <f>HYPERLINK("https://www.google.com/maps/search/?api=1&amp;query=24.54293969,46.72050705", "View Map")</f>
        <v>View Map</v>
      </c>
    </row>
    <row r="1682" spans="1:6" x14ac:dyDescent="0.35">
      <c r="A1682" t="s">
        <v>2178</v>
      </c>
      <c r="B1682" t="s">
        <v>4564</v>
      </c>
      <c r="C1682" t="s">
        <v>1776</v>
      </c>
      <c r="D1682" t="s">
        <v>9</v>
      </c>
      <c r="E1682">
        <v>920</v>
      </c>
      <c r="F1682" t="str">
        <f>HYPERLINK("https://www.google.com/maps/search/?api=1&amp;query=24.64007348,46.54325791", "View Map")</f>
        <v>View Map</v>
      </c>
    </row>
    <row r="1683" spans="1:6" x14ac:dyDescent="0.35">
      <c r="A1683" t="s">
        <v>1798</v>
      </c>
      <c r="B1683" t="s">
        <v>4565</v>
      </c>
      <c r="C1683" t="s">
        <v>1776</v>
      </c>
      <c r="D1683" t="s">
        <v>9</v>
      </c>
      <c r="E1683">
        <v>919</v>
      </c>
      <c r="F1683" t="str">
        <f>HYPERLINK("https://www.google.com/maps/search/?api=1&amp;query=24.68382281,46.58055853", "View Map")</f>
        <v>View Map</v>
      </c>
    </row>
    <row r="1684" spans="1:6" x14ac:dyDescent="0.35">
      <c r="A1684" t="s">
        <v>4566</v>
      </c>
      <c r="B1684" t="s">
        <v>4567</v>
      </c>
      <c r="C1684" t="s">
        <v>1776</v>
      </c>
      <c r="D1684" t="s">
        <v>9</v>
      </c>
      <c r="E1684">
        <v>919</v>
      </c>
      <c r="F1684" t="str">
        <f>HYPERLINK("https://www.google.com/maps/search/?api=1&amp;query=24.5931513,46.61558166", "View Map")</f>
        <v>View Map</v>
      </c>
    </row>
    <row r="1685" spans="1:6" x14ac:dyDescent="0.35">
      <c r="A1685" t="s">
        <v>4568</v>
      </c>
      <c r="B1685" t="s">
        <v>4569</v>
      </c>
      <c r="C1685" t="s">
        <v>1776</v>
      </c>
      <c r="D1685" t="s">
        <v>9</v>
      </c>
      <c r="E1685">
        <v>919</v>
      </c>
      <c r="F1685" t="str">
        <f>HYPERLINK("https://www.google.com/maps/search/?api=1&amp;query=24.75511331,46.72560344", "View Map")</f>
        <v>View Map</v>
      </c>
    </row>
    <row r="1686" spans="1:6" x14ac:dyDescent="0.35">
      <c r="A1686" t="s">
        <v>4570</v>
      </c>
      <c r="B1686" t="s">
        <v>4571</v>
      </c>
      <c r="C1686" t="s">
        <v>1776</v>
      </c>
      <c r="D1686" t="s">
        <v>9</v>
      </c>
      <c r="E1686">
        <v>919</v>
      </c>
      <c r="F1686" t="str">
        <f>HYPERLINK("https://www.google.com/maps/search/?api=1&amp;query=24.53241447,46.65107593", "View Map")</f>
        <v>View Map</v>
      </c>
    </row>
    <row r="1687" spans="1:6" x14ac:dyDescent="0.35">
      <c r="A1687" t="s">
        <v>1947</v>
      </c>
      <c r="B1687" t="s">
        <v>4572</v>
      </c>
      <c r="C1687" t="s">
        <v>1776</v>
      </c>
      <c r="D1687" t="s">
        <v>9</v>
      </c>
      <c r="E1687">
        <v>918</v>
      </c>
      <c r="F1687" t="str">
        <f>HYPERLINK("https://www.google.com/maps/search/?api=1&amp;query=24.6219,46.6989", "View Map")</f>
        <v>View Map</v>
      </c>
    </row>
    <row r="1688" spans="1:6" x14ac:dyDescent="0.35">
      <c r="A1688" t="s">
        <v>1947</v>
      </c>
      <c r="B1688" t="s">
        <v>4573</v>
      </c>
      <c r="C1688" t="s">
        <v>1776</v>
      </c>
      <c r="D1688" t="s">
        <v>9</v>
      </c>
      <c r="E1688">
        <v>916</v>
      </c>
      <c r="F1688" t="str">
        <f>HYPERLINK("https://www.google.com/maps/search/?api=1&amp;query=24.6125,46.7017", "View Map")</f>
        <v>View Map</v>
      </c>
    </row>
    <row r="1689" spans="1:6" x14ac:dyDescent="0.35">
      <c r="A1689" t="s">
        <v>2863</v>
      </c>
      <c r="B1689" t="s">
        <v>4574</v>
      </c>
      <c r="C1689" t="s">
        <v>1776</v>
      </c>
      <c r="D1689" t="s">
        <v>9</v>
      </c>
      <c r="E1689">
        <v>915</v>
      </c>
      <c r="F1689" t="str">
        <f>HYPERLINK("https://www.google.com/maps/search/?api=1&amp;query=24.51572816,46.66250828", "View Map")</f>
        <v>View Map</v>
      </c>
    </row>
    <row r="1690" spans="1:6" x14ac:dyDescent="0.35">
      <c r="A1690" t="s">
        <v>2514</v>
      </c>
      <c r="B1690" t="s">
        <v>4575</v>
      </c>
      <c r="C1690" t="s">
        <v>1776</v>
      </c>
      <c r="D1690" t="s">
        <v>9</v>
      </c>
      <c r="E1690">
        <v>914</v>
      </c>
      <c r="F1690" t="str">
        <f>HYPERLINK("https://www.google.com/maps/search/?api=1&amp;query=24.70929126,46.81763592", "View Map")</f>
        <v>View Map</v>
      </c>
    </row>
    <row r="1691" spans="1:6" x14ac:dyDescent="0.35">
      <c r="A1691" t="s">
        <v>4576</v>
      </c>
      <c r="B1691" t="s">
        <v>4577</v>
      </c>
      <c r="C1691" t="s">
        <v>1776</v>
      </c>
      <c r="D1691" t="s">
        <v>9</v>
      </c>
      <c r="E1691">
        <v>914</v>
      </c>
      <c r="F1691" t="str">
        <f>HYPERLINK("https://www.google.com/maps/search/?api=1&amp;query=24.55658705,46.78032038", "View Map")</f>
        <v>View Map</v>
      </c>
    </row>
    <row r="1692" spans="1:6" x14ac:dyDescent="0.35">
      <c r="A1692" t="s">
        <v>4578</v>
      </c>
      <c r="B1692" t="s">
        <v>4579</v>
      </c>
      <c r="C1692" t="s">
        <v>1776</v>
      </c>
      <c r="D1692" t="s">
        <v>9</v>
      </c>
      <c r="E1692">
        <v>913</v>
      </c>
      <c r="F1692" t="str">
        <f>HYPERLINK("https://www.google.com/maps/search/?api=1&amp;query=24.62234533,46.71892535", "View Map")</f>
        <v>View Map</v>
      </c>
    </row>
    <row r="1693" spans="1:6" x14ac:dyDescent="0.35">
      <c r="A1693" t="s">
        <v>4580</v>
      </c>
      <c r="B1693" t="s">
        <v>4581</v>
      </c>
      <c r="C1693" t="s">
        <v>1776</v>
      </c>
      <c r="D1693" t="s">
        <v>9</v>
      </c>
      <c r="E1693">
        <v>913</v>
      </c>
      <c r="F1693" t="str">
        <f>HYPERLINK("https://www.google.com/maps/search/?api=1&amp;query=24.60662201,46.6698177", "View Map")</f>
        <v>View Map</v>
      </c>
    </row>
    <row r="1694" spans="1:6" x14ac:dyDescent="0.35">
      <c r="A1694" t="s">
        <v>4582</v>
      </c>
      <c r="B1694" t="s">
        <v>4583</v>
      </c>
      <c r="C1694" t="s">
        <v>1776</v>
      </c>
      <c r="D1694" t="s">
        <v>9</v>
      </c>
      <c r="E1694">
        <v>910</v>
      </c>
      <c r="F1694" t="str">
        <f>HYPERLINK("https://www.google.com/maps/search/?api=1&amp;query=24.57250535,46.65660856", "View Map")</f>
        <v>View Map</v>
      </c>
    </row>
    <row r="1695" spans="1:6" x14ac:dyDescent="0.35">
      <c r="A1695" t="s">
        <v>4584</v>
      </c>
      <c r="B1695" t="s">
        <v>4585</v>
      </c>
      <c r="C1695" t="s">
        <v>1776</v>
      </c>
      <c r="D1695" t="s">
        <v>9</v>
      </c>
      <c r="E1695">
        <v>910</v>
      </c>
      <c r="F1695" t="str">
        <f>HYPERLINK("https://www.google.com/maps/search/?api=1&amp;query=24.74024189,46.81734478", "View Map")</f>
        <v>View Map</v>
      </c>
    </row>
    <row r="1696" spans="1:6" x14ac:dyDescent="0.35">
      <c r="A1696" t="s">
        <v>4586</v>
      </c>
      <c r="B1696" t="s">
        <v>4587</v>
      </c>
      <c r="C1696" t="s">
        <v>1776</v>
      </c>
      <c r="D1696" t="s">
        <v>9</v>
      </c>
      <c r="E1696">
        <v>910</v>
      </c>
      <c r="F1696" t="str">
        <f>HYPERLINK("https://www.google.com/maps/search/?api=1&amp;query=24.57958915,46.61910479", "View Map")</f>
        <v>View Map</v>
      </c>
    </row>
    <row r="1697" spans="1:6" x14ac:dyDescent="0.35">
      <c r="A1697" t="s">
        <v>1798</v>
      </c>
      <c r="B1697" t="s">
        <v>4588</v>
      </c>
      <c r="C1697" t="s">
        <v>1776</v>
      </c>
      <c r="D1697" t="s">
        <v>9</v>
      </c>
      <c r="E1697">
        <v>910</v>
      </c>
      <c r="F1697" t="str">
        <f>HYPERLINK("https://www.google.com/maps/search/?api=1&amp;query=24.85394456,46.83470267", "View Map")</f>
        <v>View Map</v>
      </c>
    </row>
    <row r="1698" spans="1:6" x14ac:dyDescent="0.35">
      <c r="A1698" t="s">
        <v>4589</v>
      </c>
      <c r="B1698" t="s">
        <v>4590</v>
      </c>
      <c r="C1698" t="s">
        <v>1776</v>
      </c>
      <c r="D1698" t="s">
        <v>9</v>
      </c>
      <c r="E1698">
        <v>908</v>
      </c>
      <c r="F1698" t="str">
        <f>HYPERLINK("https://www.google.com/maps/search/?api=1&amp;query=24.58842846,46.62775371", "View Map")</f>
        <v>View Map</v>
      </c>
    </row>
    <row r="1699" spans="1:6" x14ac:dyDescent="0.35">
      <c r="A1699" t="s">
        <v>1806</v>
      </c>
      <c r="B1699" t="s">
        <v>4591</v>
      </c>
      <c r="C1699" t="s">
        <v>1776</v>
      </c>
      <c r="D1699" t="s">
        <v>9</v>
      </c>
      <c r="E1699">
        <v>905</v>
      </c>
      <c r="F1699" t="str">
        <f>HYPERLINK("https://www.google.com/maps/search/?api=1&amp;query=24.79704184,46.88365533", "View Map")</f>
        <v>View Map</v>
      </c>
    </row>
    <row r="1700" spans="1:6" x14ac:dyDescent="0.35">
      <c r="A1700" t="s">
        <v>1947</v>
      </c>
      <c r="B1700" t="s">
        <v>4592</v>
      </c>
      <c r="C1700" t="s">
        <v>1776</v>
      </c>
      <c r="D1700" t="s">
        <v>9</v>
      </c>
      <c r="E1700">
        <v>905</v>
      </c>
      <c r="F1700" t="str">
        <f>HYPERLINK("https://www.google.com/maps/search/?api=1&amp;query=24.56043057,46.72315106", "View Map")</f>
        <v>View Map</v>
      </c>
    </row>
    <row r="1701" spans="1:6" x14ac:dyDescent="0.35">
      <c r="A1701" t="s">
        <v>4593</v>
      </c>
      <c r="B1701" t="s">
        <v>4594</v>
      </c>
      <c r="C1701" t="s">
        <v>1776</v>
      </c>
      <c r="D1701" t="s">
        <v>9</v>
      </c>
      <c r="E1701">
        <v>904</v>
      </c>
      <c r="F1701" t="str">
        <f>HYPERLINK("https://www.google.com/maps/search/?api=1&amp;query=24.70187815,46.85983424", "View Map")</f>
        <v>View Map</v>
      </c>
    </row>
    <row r="1702" spans="1:6" x14ac:dyDescent="0.35">
      <c r="A1702" t="s">
        <v>1947</v>
      </c>
      <c r="B1702" t="s">
        <v>4595</v>
      </c>
      <c r="C1702" t="s">
        <v>1776</v>
      </c>
      <c r="D1702" t="s">
        <v>9</v>
      </c>
      <c r="E1702">
        <v>903</v>
      </c>
      <c r="F1702" t="str">
        <f>HYPERLINK("https://www.google.com/maps/search/?api=1&amp;query=24.5475,46.5019", "View Map")</f>
        <v>View Map</v>
      </c>
    </row>
    <row r="1703" spans="1:6" x14ac:dyDescent="0.35">
      <c r="A1703" t="s">
        <v>4596</v>
      </c>
      <c r="B1703" t="s">
        <v>4597</v>
      </c>
      <c r="C1703" t="s">
        <v>1776</v>
      </c>
      <c r="D1703" t="s">
        <v>9</v>
      </c>
      <c r="E1703">
        <v>903</v>
      </c>
      <c r="F1703" t="str">
        <f>HYPERLINK("https://www.google.com/maps/search/?api=1&amp;query=24.57269015,46.54711981", "View Map")</f>
        <v>View Map</v>
      </c>
    </row>
    <row r="1704" spans="1:6" x14ac:dyDescent="0.35">
      <c r="A1704" t="s">
        <v>1798</v>
      </c>
      <c r="B1704" t="s">
        <v>4598</v>
      </c>
      <c r="C1704" t="s">
        <v>1776</v>
      </c>
      <c r="D1704" t="s">
        <v>9</v>
      </c>
      <c r="E1704">
        <v>903</v>
      </c>
      <c r="F1704" t="str">
        <f>HYPERLINK("https://www.google.com/maps/search/?api=1&amp;query=24.8714,46.6583", "View Map")</f>
        <v>View Map</v>
      </c>
    </row>
    <row r="1705" spans="1:6" x14ac:dyDescent="0.35">
      <c r="A1705" t="s">
        <v>1806</v>
      </c>
      <c r="B1705" t="s">
        <v>4599</v>
      </c>
      <c r="C1705" t="s">
        <v>1776</v>
      </c>
      <c r="D1705" t="s">
        <v>9</v>
      </c>
      <c r="E1705">
        <v>903</v>
      </c>
      <c r="F1705" t="str">
        <f>HYPERLINK("https://www.google.com/maps/search/?api=1&amp;query=24.65120375,46.58584585", "View Map")</f>
        <v>View Map</v>
      </c>
    </row>
    <row r="1706" spans="1:6" x14ac:dyDescent="0.35">
      <c r="A1706" t="s">
        <v>4600</v>
      </c>
      <c r="B1706" t="s">
        <v>4601</v>
      </c>
      <c r="C1706" t="s">
        <v>1776</v>
      </c>
      <c r="D1706" t="s">
        <v>318</v>
      </c>
      <c r="E1706">
        <v>902</v>
      </c>
      <c r="F1706" t="str">
        <f>HYPERLINK("https://www.google.com/maps/search/?api=1&amp;query=24.67720409,46.72228396", "View Map")</f>
        <v>View Map</v>
      </c>
    </row>
    <row r="1707" spans="1:6" x14ac:dyDescent="0.35">
      <c r="A1707" t="s">
        <v>4602</v>
      </c>
      <c r="B1707" t="s">
        <v>4603</v>
      </c>
      <c r="C1707" t="s">
        <v>1776</v>
      </c>
      <c r="D1707" t="s">
        <v>9</v>
      </c>
      <c r="E1707">
        <v>901</v>
      </c>
      <c r="F1707" t="str">
        <f>HYPERLINK("https://www.google.com/maps/search/?api=1&amp;query=24.74364401,46.77466416", "View Map")</f>
        <v>View Map</v>
      </c>
    </row>
    <row r="1708" spans="1:6" x14ac:dyDescent="0.35">
      <c r="A1708" t="s">
        <v>1798</v>
      </c>
      <c r="B1708" t="s">
        <v>4604</v>
      </c>
      <c r="C1708" t="s">
        <v>1843</v>
      </c>
      <c r="D1708" t="s">
        <v>9</v>
      </c>
      <c r="E1708">
        <v>900</v>
      </c>
      <c r="F1708" t="str">
        <f>HYPERLINK("https://www.google.com/maps/search/?api=1&amp;query=24.7814,46.5739", "View Map")</f>
        <v>View Map</v>
      </c>
    </row>
    <row r="1709" spans="1:6" x14ac:dyDescent="0.35">
      <c r="A1709" t="s">
        <v>4605</v>
      </c>
      <c r="B1709" t="s">
        <v>4606</v>
      </c>
      <c r="C1709" t="s">
        <v>1776</v>
      </c>
      <c r="D1709" t="s">
        <v>9</v>
      </c>
      <c r="E1709">
        <v>900</v>
      </c>
      <c r="F1709" t="str">
        <f>HYPERLINK("https://www.google.com/maps/search/?api=1&amp;query=24.56011764,46.78177022", "View Map")</f>
        <v>View Map</v>
      </c>
    </row>
    <row r="1710" spans="1:6" x14ac:dyDescent="0.35">
      <c r="A1710" t="s">
        <v>1798</v>
      </c>
      <c r="B1710" t="s">
        <v>4607</v>
      </c>
      <c r="C1710" t="s">
        <v>1776</v>
      </c>
      <c r="D1710" t="s">
        <v>9</v>
      </c>
      <c r="E1710">
        <v>900</v>
      </c>
      <c r="F1710" t="str">
        <f>HYPERLINK("https://www.google.com/maps/search/?api=1&amp;query=24.63065981,46.52829146", "View Map")</f>
        <v>View Map</v>
      </c>
    </row>
    <row r="1711" spans="1:6" x14ac:dyDescent="0.35">
      <c r="A1711" t="s">
        <v>4608</v>
      </c>
      <c r="B1711" t="s">
        <v>4609</v>
      </c>
      <c r="C1711" t="s">
        <v>1776</v>
      </c>
      <c r="D1711" t="s">
        <v>9</v>
      </c>
      <c r="E1711">
        <v>899</v>
      </c>
      <c r="F1711" t="str">
        <f>HYPERLINK("https://www.google.com/maps/search/?api=1&amp;query=24.75820738,46.6703758", "View Map")</f>
        <v>View Map</v>
      </c>
    </row>
    <row r="1712" spans="1:6" x14ac:dyDescent="0.35">
      <c r="A1712" t="s">
        <v>1947</v>
      </c>
      <c r="B1712" t="s">
        <v>4610</v>
      </c>
      <c r="C1712" t="s">
        <v>1776</v>
      </c>
      <c r="D1712" t="s">
        <v>13</v>
      </c>
      <c r="E1712">
        <v>898</v>
      </c>
      <c r="F1712" t="str">
        <f>HYPERLINK("https://www.google.com/maps/search/?api=1&amp;query=24.58705242,46.71247986", "View Map")</f>
        <v>View Map</v>
      </c>
    </row>
    <row r="1713" spans="1:6" x14ac:dyDescent="0.35">
      <c r="A1713" t="s">
        <v>4611</v>
      </c>
      <c r="B1713" t="s">
        <v>4612</v>
      </c>
      <c r="C1713" t="s">
        <v>1776</v>
      </c>
      <c r="D1713" t="s">
        <v>9</v>
      </c>
      <c r="E1713">
        <v>896</v>
      </c>
      <c r="F1713" t="str">
        <f>HYPERLINK("https://www.google.com/maps/search/?api=1&amp;query=24.60680673,46.76526728", "View Map")</f>
        <v>View Map</v>
      </c>
    </row>
    <row r="1714" spans="1:6" x14ac:dyDescent="0.35">
      <c r="A1714" t="s">
        <v>4613</v>
      </c>
      <c r="B1714" t="s">
        <v>4614</v>
      </c>
      <c r="C1714" t="s">
        <v>1776</v>
      </c>
      <c r="D1714" t="s">
        <v>9</v>
      </c>
      <c r="E1714">
        <v>896</v>
      </c>
      <c r="F1714" t="str">
        <f>HYPERLINK("https://www.google.com/maps/search/?api=1&amp;query=24.61613761,46.69913729", "View Map")</f>
        <v>View Map</v>
      </c>
    </row>
    <row r="1715" spans="1:6" x14ac:dyDescent="0.35">
      <c r="A1715" t="s">
        <v>4615</v>
      </c>
      <c r="B1715" t="s">
        <v>4616</v>
      </c>
      <c r="C1715" t="s">
        <v>1776</v>
      </c>
      <c r="D1715" t="s">
        <v>9</v>
      </c>
      <c r="E1715">
        <v>895</v>
      </c>
      <c r="F1715" t="str">
        <f>HYPERLINK("https://www.google.com/maps/search/?api=1&amp;query=24.7878944,46.80593822", "View Map")</f>
        <v>View Map</v>
      </c>
    </row>
    <row r="1716" spans="1:6" x14ac:dyDescent="0.35">
      <c r="A1716" t="s">
        <v>4617</v>
      </c>
      <c r="B1716" t="s">
        <v>4618</v>
      </c>
      <c r="C1716" t="s">
        <v>1843</v>
      </c>
      <c r="D1716" t="s">
        <v>9</v>
      </c>
      <c r="E1716">
        <v>894</v>
      </c>
      <c r="F1716" t="str">
        <f>HYPERLINK("https://www.google.com/maps/search/?api=1&amp;query=24.76719441,46.58582488", "View Map")</f>
        <v>View Map</v>
      </c>
    </row>
    <row r="1717" spans="1:6" x14ac:dyDescent="0.35">
      <c r="A1717" t="s">
        <v>1798</v>
      </c>
      <c r="B1717" t="s">
        <v>4619</v>
      </c>
      <c r="C1717" t="s">
        <v>1776</v>
      </c>
      <c r="D1717" t="s">
        <v>9</v>
      </c>
      <c r="E1717">
        <v>894</v>
      </c>
      <c r="F1717" t="str">
        <f>HYPERLINK("https://www.google.com/maps/search/?api=1&amp;query=24.8132609,46.76532847", "View Map")</f>
        <v>View Map</v>
      </c>
    </row>
    <row r="1718" spans="1:6" x14ac:dyDescent="0.35">
      <c r="A1718" t="s">
        <v>4620</v>
      </c>
      <c r="B1718" t="s">
        <v>4621</v>
      </c>
      <c r="C1718" t="s">
        <v>1776</v>
      </c>
      <c r="D1718" t="s">
        <v>9</v>
      </c>
      <c r="E1718">
        <v>894</v>
      </c>
      <c r="F1718" t="str">
        <f>HYPERLINK("https://www.google.com/maps/search/?api=1&amp;query=24.67257506,46.78733377", "View Map")</f>
        <v>View Map</v>
      </c>
    </row>
    <row r="1719" spans="1:6" x14ac:dyDescent="0.35">
      <c r="A1719" t="s">
        <v>4622</v>
      </c>
      <c r="B1719" t="s">
        <v>4623</v>
      </c>
      <c r="C1719" t="s">
        <v>1776</v>
      </c>
      <c r="D1719" t="s">
        <v>9</v>
      </c>
      <c r="E1719">
        <v>894</v>
      </c>
      <c r="F1719" t="str">
        <f>HYPERLINK("https://www.google.com/maps/search/?api=1&amp;query=24.63898121,46.67516509", "View Map")</f>
        <v>View Map</v>
      </c>
    </row>
    <row r="1720" spans="1:6" x14ac:dyDescent="0.35">
      <c r="A1720" t="s">
        <v>1798</v>
      </c>
      <c r="B1720" t="s">
        <v>4624</v>
      </c>
      <c r="C1720" t="s">
        <v>1776</v>
      </c>
      <c r="D1720" t="s">
        <v>9</v>
      </c>
      <c r="E1720">
        <v>894</v>
      </c>
      <c r="F1720" t="str">
        <f>HYPERLINK("https://www.google.com/maps/search/?api=1&amp;query=24.93034518,46.78340554", "View Map")</f>
        <v>View Map</v>
      </c>
    </row>
    <row r="1721" spans="1:6" x14ac:dyDescent="0.35">
      <c r="A1721" t="s">
        <v>4625</v>
      </c>
      <c r="B1721" t="s">
        <v>4626</v>
      </c>
      <c r="C1721" t="s">
        <v>1776</v>
      </c>
      <c r="D1721" t="s">
        <v>9</v>
      </c>
      <c r="E1721">
        <v>890</v>
      </c>
      <c r="F1721" t="str">
        <f>HYPERLINK("https://www.google.com/maps/search/?api=1&amp;query=24.61126672,46.71976765", "View Map")</f>
        <v>View Map</v>
      </c>
    </row>
    <row r="1722" spans="1:6" x14ac:dyDescent="0.35">
      <c r="A1722" t="s">
        <v>1798</v>
      </c>
      <c r="B1722" t="s">
        <v>4627</v>
      </c>
      <c r="C1722" t="s">
        <v>1843</v>
      </c>
      <c r="D1722" t="s">
        <v>9</v>
      </c>
      <c r="E1722">
        <v>888</v>
      </c>
      <c r="F1722" t="str">
        <f>HYPERLINK("https://www.google.com/maps/search/?api=1&amp;query=24.7850055,46.56633954", "View Map")</f>
        <v>View Map</v>
      </c>
    </row>
    <row r="1723" spans="1:6" x14ac:dyDescent="0.35">
      <c r="A1723" t="s">
        <v>1798</v>
      </c>
      <c r="B1723" t="s">
        <v>4628</v>
      </c>
      <c r="C1723" t="s">
        <v>1776</v>
      </c>
      <c r="D1723" t="s">
        <v>9</v>
      </c>
      <c r="E1723">
        <v>888</v>
      </c>
      <c r="F1723" t="str">
        <f>HYPERLINK("https://www.google.com/maps/search/?api=1&amp;query=24.60646472,46.50887128", "View Map")</f>
        <v>View Map</v>
      </c>
    </row>
    <row r="1724" spans="1:6" x14ac:dyDescent="0.35">
      <c r="A1724" t="s">
        <v>2545</v>
      </c>
      <c r="B1724" t="s">
        <v>4629</v>
      </c>
      <c r="C1724" t="s">
        <v>1776</v>
      </c>
      <c r="D1724" t="s">
        <v>9</v>
      </c>
      <c r="E1724">
        <v>887</v>
      </c>
      <c r="F1724" t="str">
        <f>HYPERLINK("https://www.google.com/maps/search/?api=1&amp;query=24.59573145,46.75077188", "View Map")</f>
        <v>View Map</v>
      </c>
    </row>
    <row r="1725" spans="1:6" x14ac:dyDescent="0.35">
      <c r="A1725" t="s">
        <v>1806</v>
      </c>
      <c r="B1725" t="s">
        <v>4630</v>
      </c>
      <c r="C1725" t="s">
        <v>1776</v>
      </c>
      <c r="D1725" t="s">
        <v>9</v>
      </c>
      <c r="E1725">
        <v>886</v>
      </c>
      <c r="F1725" t="str">
        <f>HYPERLINK("https://www.google.com/maps/search/?api=1&amp;query=24.80864369,46.84182029", "View Map")</f>
        <v>View Map</v>
      </c>
    </row>
    <row r="1726" spans="1:6" x14ac:dyDescent="0.35">
      <c r="A1726" t="s">
        <v>1798</v>
      </c>
      <c r="B1726" t="s">
        <v>4631</v>
      </c>
      <c r="C1726" t="s">
        <v>1776</v>
      </c>
      <c r="D1726" t="s">
        <v>9</v>
      </c>
      <c r="E1726">
        <v>884</v>
      </c>
      <c r="F1726" t="str">
        <f>HYPERLINK("https://www.google.com/maps/search/?api=1&amp;query=24.80732227,46.73790035", "View Map")</f>
        <v>View Map</v>
      </c>
    </row>
    <row r="1727" spans="1:6" x14ac:dyDescent="0.35">
      <c r="A1727" t="s">
        <v>1947</v>
      </c>
      <c r="B1727" t="s">
        <v>4632</v>
      </c>
      <c r="C1727" t="s">
        <v>1776</v>
      </c>
      <c r="D1727" t="s">
        <v>9</v>
      </c>
      <c r="E1727">
        <v>884</v>
      </c>
      <c r="F1727" t="str">
        <f>HYPERLINK("https://www.google.com/maps/search/?api=1&amp;query=24.6239875,46.8026029", "View Map")</f>
        <v>View Map</v>
      </c>
    </row>
    <row r="1728" spans="1:6" x14ac:dyDescent="0.35">
      <c r="A1728" t="s">
        <v>1806</v>
      </c>
      <c r="B1728" t="s">
        <v>4633</v>
      </c>
      <c r="C1728" t="s">
        <v>1776</v>
      </c>
      <c r="D1728" t="s">
        <v>9</v>
      </c>
      <c r="E1728">
        <v>883</v>
      </c>
      <c r="F1728" t="str">
        <f>HYPERLINK("https://www.google.com/maps/search/?api=1&amp;query=24.82267215,46.78085607", "View Map")</f>
        <v>View Map</v>
      </c>
    </row>
    <row r="1729" spans="1:6" x14ac:dyDescent="0.35">
      <c r="A1729" t="s">
        <v>4634</v>
      </c>
      <c r="B1729" t="s">
        <v>4635</v>
      </c>
      <c r="C1729" t="s">
        <v>1776</v>
      </c>
      <c r="D1729" t="s">
        <v>9</v>
      </c>
      <c r="E1729">
        <v>883</v>
      </c>
      <c r="F1729" t="str">
        <f>HYPERLINK("https://www.google.com/maps/search/?api=1&amp;query=24.58642562,46.61800224", "View Map")</f>
        <v>View Map</v>
      </c>
    </row>
    <row r="1730" spans="1:6" x14ac:dyDescent="0.35">
      <c r="A1730" t="s">
        <v>4205</v>
      </c>
      <c r="B1730" t="s">
        <v>4636</v>
      </c>
      <c r="C1730" t="s">
        <v>1776</v>
      </c>
      <c r="D1730" t="s">
        <v>9</v>
      </c>
      <c r="E1730">
        <v>882</v>
      </c>
      <c r="F1730" t="str">
        <f>HYPERLINK("https://www.google.com/maps/search/?api=1&amp;query=24.60303417,46.6919254", "View Map")</f>
        <v>View Map</v>
      </c>
    </row>
    <row r="1731" spans="1:6" x14ac:dyDescent="0.35">
      <c r="A1731" t="s">
        <v>4637</v>
      </c>
      <c r="B1731" t="s">
        <v>4638</v>
      </c>
      <c r="C1731" t="s">
        <v>1776</v>
      </c>
      <c r="D1731" t="s">
        <v>9</v>
      </c>
      <c r="E1731">
        <v>882</v>
      </c>
      <c r="F1731" t="str">
        <f>HYPERLINK("https://www.google.com/maps/search/?api=1&amp;query=24.66087039,46.82038991", "View Map")</f>
        <v>View Map</v>
      </c>
    </row>
    <row r="1732" spans="1:6" x14ac:dyDescent="0.35">
      <c r="A1732" t="s">
        <v>4639</v>
      </c>
      <c r="B1732" t="s">
        <v>4640</v>
      </c>
      <c r="C1732" t="s">
        <v>1776</v>
      </c>
      <c r="D1732" t="s">
        <v>9</v>
      </c>
      <c r="E1732">
        <v>881</v>
      </c>
      <c r="F1732" t="str">
        <f>HYPERLINK("https://www.google.com/maps/search/?api=1&amp;query=24.58275977,46.64237807", "View Map")</f>
        <v>View Map</v>
      </c>
    </row>
    <row r="1733" spans="1:6" x14ac:dyDescent="0.35">
      <c r="A1733" t="s">
        <v>4641</v>
      </c>
      <c r="B1733" t="s">
        <v>4642</v>
      </c>
      <c r="C1733" t="s">
        <v>1776</v>
      </c>
      <c r="D1733" t="s">
        <v>9</v>
      </c>
      <c r="E1733">
        <v>881</v>
      </c>
      <c r="F1733" t="str">
        <f>HYPERLINK("https://www.google.com/maps/search/?api=1&amp;query=24.6486736,46.76319581", "View Map")</f>
        <v>View Map</v>
      </c>
    </row>
    <row r="1734" spans="1:6" x14ac:dyDescent="0.35">
      <c r="A1734" t="s">
        <v>4643</v>
      </c>
      <c r="B1734" t="s">
        <v>4644</v>
      </c>
      <c r="C1734" t="s">
        <v>1776</v>
      </c>
      <c r="D1734" t="s">
        <v>9</v>
      </c>
      <c r="E1734">
        <v>881</v>
      </c>
      <c r="F1734" t="str">
        <f>HYPERLINK("https://www.google.com/maps/search/?api=1&amp;query=24.5496813,46.72383562", "View Map")</f>
        <v>View Map</v>
      </c>
    </row>
    <row r="1735" spans="1:6" x14ac:dyDescent="0.35">
      <c r="A1735" t="s">
        <v>4645</v>
      </c>
      <c r="B1735" t="s">
        <v>4646</v>
      </c>
      <c r="C1735" t="s">
        <v>1776</v>
      </c>
      <c r="D1735" t="s">
        <v>9</v>
      </c>
      <c r="E1735">
        <v>881</v>
      </c>
      <c r="F1735" t="str">
        <f>HYPERLINK("https://www.google.com/maps/search/?api=1&amp;query=24.69898014,46.78955452", "View Map")</f>
        <v>View Map</v>
      </c>
    </row>
    <row r="1736" spans="1:6" x14ac:dyDescent="0.35">
      <c r="A1736" t="s">
        <v>1798</v>
      </c>
      <c r="B1736" t="s">
        <v>4647</v>
      </c>
      <c r="C1736" t="s">
        <v>1776</v>
      </c>
      <c r="D1736" t="s">
        <v>9</v>
      </c>
      <c r="E1736">
        <v>881</v>
      </c>
      <c r="F1736" t="str">
        <f>HYPERLINK("https://www.google.com/maps/search/?api=1&amp;query=24.82674918,46.76319077", "View Map")</f>
        <v>View Map</v>
      </c>
    </row>
    <row r="1737" spans="1:6" x14ac:dyDescent="0.35">
      <c r="A1737" t="s">
        <v>4648</v>
      </c>
      <c r="B1737" t="s">
        <v>4649</v>
      </c>
      <c r="C1737" t="s">
        <v>1776</v>
      </c>
      <c r="D1737" t="s">
        <v>9</v>
      </c>
      <c r="E1737">
        <v>881</v>
      </c>
      <c r="F1737" t="str">
        <f>HYPERLINK("https://www.google.com/maps/search/?api=1&amp;query=24.65905346,46.80447859", "View Map")</f>
        <v>View Map</v>
      </c>
    </row>
    <row r="1738" spans="1:6" x14ac:dyDescent="0.35">
      <c r="A1738" t="s">
        <v>1798</v>
      </c>
      <c r="B1738" t="s">
        <v>4650</v>
      </c>
      <c r="C1738" t="s">
        <v>1776</v>
      </c>
      <c r="D1738" t="s">
        <v>9</v>
      </c>
      <c r="E1738">
        <v>881</v>
      </c>
      <c r="F1738" t="str">
        <f>HYPERLINK("https://www.google.com/maps/search/?api=1&amp;query=24.84676895,46.87743294", "View Map")</f>
        <v>View Map</v>
      </c>
    </row>
    <row r="1739" spans="1:6" x14ac:dyDescent="0.35">
      <c r="A1739" t="s">
        <v>1798</v>
      </c>
      <c r="B1739" t="s">
        <v>4651</v>
      </c>
      <c r="C1739" t="s">
        <v>1776</v>
      </c>
      <c r="D1739" t="s">
        <v>9</v>
      </c>
      <c r="E1739">
        <v>880</v>
      </c>
      <c r="F1739" t="str">
        <f>HYPERLINK("https://www.google.com/maps/search/?api=1&amp;query=24.64745102,46.79711355", "View Map")</f>
        <v>View Map</v>
      </c>
    </row>
    <row r="1740" spans="1:6" x14ac:dyDescent="0.35">
      <c r="A1740" t="s">
        <v>4652</v>
      </c>
      <c r="B1740" t="s">
        <v>4653</v>
      </c>
      <c r="C1740" t="s">
        <v>1776</v>
      </c>
      <c r="D1740" t="s">
        <v>9</v>
      </c>
      <c r="E1740">
        <v>879</v>
      </c>
      <c r="F1740" t="str">
        <f>HYPERLINK("https://www.google.com/maps/search/?api=1&amp;query=24.74049902,46.68972122", "View Map")</f>
        <v>View Map</v>
      </c>
    </row>
    <row r="1741" spans="1:6" x14ac:dyDescent="0.35">
      <c r="A1741" t="s">
        <v>1947</v>
      </c>
      <c r="B1741" t="s">
        <v>4654</v>
      </c>
      <c r="C1741" t="s">
        <v>1776</v>
      </c>
      <c r="D1741" t="s">
        <v>9</v>
      </c>
      <c r="E1741">
        <v>877</v>
      </c>
      <c r="F1741" t="str">
        <f>HYPERLINK("https://www.google.com/maps/search/?api=1&amp;query=24.56030096,46.54348166", "View Map")</f>
        <v>View Map</v>
      </c>
    </row>
    <row r="1742" spans="1:6" x14ac:dyDescent="0.35">
      <c r="A1742" t="s">
        <v>4655</v>
      </c>
      <c r="B1742" t="s">
        <v>4656</v>
      </c>
      <c r="C1742" t="s">
        <v>1776</v>
      </c>
      <c r="D1742" t="s">
        <v>9</v>
      </c>
      <c r="E1742">
        <v>876</v>
      </c>
      <c r="F1742" t="str">
        <f>HYPERLINK("https://www.google.com/maps/search/?api=1&amp;query=24.55905408,46.72092626", "View Map")</f>
        <v>View Map</v>
      </c>
    </row>
    <row r="1743" spans="1:6" x14ac:dyDescent="0.35">
      <c r="A1743" t="s">
        <v>1794</v>
      </c>
      <c r="B1743" t="s">
        <v>4657</v>
      </c>
      <c r="C1743" t="s">
        <v>1776</v>
      </c>
      <c r="D1743" t="s">
        <v>9</v>
      </c>
      <c r="E1743">
        <v>874</v>
      </c>
      <c r="F1743" t="str">
        <f>HYPERLINK("https://www.google.com/maps/search/?api=1&amp;query=24.68268129,46.56311181", "View Map")</f>
        <v>View Map</v>
      </c>
    </row>
    <row r="1744" spans="1:6" x14ac:dyDescent="0.35">
      <c r="A1744" t="s">
        <v>4658</v>
      </c>
      <c r="B1744" t="s">
        <v>4659</v>
      </c>
      <c r="C1744" t="s">
        <v>1776</v>
      </c>
      <c r="D1744" t="s">
        <v>9</v>
      </c>
      <c r="E1744">
        <v>874</v>
      </c>
      <c r="F1744" t="str">
        <f>HYPERLINK("https://www.google.com/maps/search/?api=1&amp;query=24.75253842,46.77390533", "View Map")</f>
        <v>View Map</v>
      </c>
    </row>
    <row r="1745" spans="1:6" x14ac:dyDescent="0.35">
      <c r="A1745" t="s">
        <v>1947</v>
      </c>
      <c r="B1745" t="s">
        <v>4660</v>
      </c>
      <c r="C1745" t="s">
        <v>1776</v>
      </c>
      <c r="D1745" t="s">
        <v>9</v>
      </c>
      <c r="E1745">
        <v>873</v>
      </c>
      <c r="F1745" t="str">
        <f>HYPERLINK("https://www.google.com/maps/search/?api=1&amp;query=24.5567,46.5722", "View Map")</f>
        <v>View Map</v>
      </c>
    </row>
    <row r="1746" spans="1:6" x14ac:dyDescent="0.35">
      <c r="A1746" t="s">
        <v>4661</v>
      </c>
      <c r="B1746" t="s">
        <v>4662</v>
      </c>
      <c r="C1746" t="s">
        <v>1776</v>
      </c>
      <c r="D1746" t="s">
        <v>9</v>
      </c>
      <c r="E1746">
        <v>873</v>
      </c>
      <c r="F1746" t="str">
        <f>HYPERLINK("https://www.google.com/maps/search/?api=1&amp;query=24.73820711,46.8144656", "View Map")</f>
        <v>View Map</v>
      </c>
    </row>
    <row r="1747" spans="1:6" x14ac:dyDescent="0.35">
      <c r="A1747" t="s">
        <v>4663</v>
      </c>
      <c r="B1747" t="s">
        <v>4664</v>
      </c>
      <c r="C1747" t="s">
        <v>1776</v>
      </c>
      <c r="D1747" t="s">
        <v>9</v>
      </c>
      <c r="E1747">
        <v>871</v>
      </c>
      <c r="F1747" t="str">
        <f>HYPERLINK("https://www.google.com/maps/search/?api=1&amp;query=24.61379686,46.64277521", "View Map")</f>
        <v>View Map</v>
      </c>
    </row>
    <row r="1748" spans="1:6" x14ac:dyDescent="0.35">
      <c r="A1748" t="s">
        <v>4665</v>
      </c>
      <c r="B1748" t="s">
        <v>4666</v>
      </c>
      <c r="C1748" t="s">
        <v>1776</v>
      </c>
      <c r="D1748" t="s">
        <v>9</v>
      </c>
      <c r="E1748">
        <v>871</v>
      </c>
      <c r="F1748" t="str">
        <f>HYPERLINK("https://www.google.com/maps/search/?api=1&amp;query=24.48644743,46.61966642", "View Map")</f>
        <v>View Map</v>
      </c>
    </row>
    <row r="1749" spans="1:6" x14ac:dyDescent="0.35">
      <c r="A1749" t="s">
        <v>3121</v>
      </c>
      <c r="B1749" t="s">
        <v>4667</v>
      </c>
      <c r="C1749" t="s">
        <v>1776</v>
      </c>
      <c r="D1749" t="s">
        <v>9</v>
      </c>
      <c r="E1749">
        <v>871</v>
      </c>
      <c r="F1749" t="str">
        <f>HYPERLINK("https://www.google.com/maps/search/?api=1&amp;query=24.80307341,46.66421015", "View Map")</f>
        <v>View Map</v>
      </c>
    </row>
    <row r="1750" spans="1:6" x14ac:dyDescent="0.35">
      <c r="A1750" t="s">
        <v>1798</v>
      </c>
      <c r="B1750" t="s">
        <v>4668</v>
      </c>
      <c r="C1750" t="s">
        <v>1776</v>
      </c>
      <c r="D1750" t="s">
        <v>9</v>
      </c>
      <c r="E1750">
        <v>869</v>
      </c>
      <c r="F1750" t="str">
        <f>HYPERLINK("https://www.google.com/maps/search/?api=1&amp;query=24.66616094,46.5153889", "View Map")</f>
        <v>View Map</v>
      </c>
    </row>
    <row r="1751" spans="1:6" x14ac:dyDescent="0.35">
      <c r="A1751" t="s">
        <v>4669</v>
      </c>
      <c r="B1751" t="s">
        <v>4670</v>
      </c>
      <c r="C1751" t="s">
        <v>1776</v>
      </c>
      <c r="D1751" t="s">
        <v>9</v>
      </c>
      <c r="E1751">
        <v>868</v>
      </c>
      <c r="F1751" t="str">
        <f>HYPERLINK("https://www.google.com/maps/search/?api=1&amp;query=24.56690937,46.54187861", "View Map")</f>
        <v>View Map</v>
      </c>
    </row>
    <row r="1752" spans="1:6" x14ac:dyDescent="0.35">
      <c r="A1752" t="s">
        <v>4671</v>
      </c>
      <c r="B1752" t="s">
        <v>4672</v>
      </c>
      <c r="C1752" t="s">
        <v>1776</v>
      </c>
      <c r="D1752" t="s">
        <v>318</v>
      </c>
      <c r="E1752">
        <v>868</v>
      </c>
      <c r="F1752" t="str">
        <f>HYPERLINK("https://www.google.com/maps/search/?api=1&amp;query=24.76836736,46.68432541", "View Map")</f>
        <v>View Map</v>
      </c>
    </row>
    <row r="1753" spans="1:6" x14ac:dyDescent="0.35">
      <c r="A1753" t="s">
        <v>4673</v>
      </c>
      <c r="B1753" t="s">
        <v>4674</v>
      </c>
      <c r="C1753" t="s">
        <v>1776</v>
      </c>
      <c r="D1753" t="s">
        <v>9</v>
      </c>
      <c r="E1753">
        <v>867</v>
      </c>
      <c r="F1753" t="str">
        <f>HYPERLINK("https://www.google.com/maps/search/?api=1&amp;query=24.57131116,46.66407969", "View Map")</f>
        <v>View Map</v>
      </c>
    </row>
    <row r="1754" spans="1:6" x14ac:dyDescent="0.35">
      <c r="A1754" t="s">
        <v>4566</v>
      </c>
      <c r="B1754" t="s">
        <v>4675</v>
      </c>
      <c r="C1754" t="s">
        <v>1776</v>
      </c>
      <c r="D1754" t="s">
        <v>9</v>
      </c>
      <c r="E1754">
        <v>866</v>
      </c>
      <c r="F1754" t="str">
        <f>HYPERLINK("https://www.google.com/maps/search/?api=1&amp;query=24.58740203,46.56905075", "View Map")</f>
        <v>View Map</v>
      </c>
    </row>
    <row r="1755" spans="1:6" x14ac:dyDescent="0.35">
      <c r="A1755" t="s">
        <v>1798</v>
      </c>
      <c r="B1755" t="s">
        <v>4676</v>
      </c>
      <c r="C1755" t="s">
        <v>1776</v>
      </c>
      <c r="D1755" t="s">
        <v>9</v>
      </c>
      <c r="E1755">
        <v>866</v>
      </c>
      <c r="F1755" t="str">
        <f>HYPERLINK("https://www.google.com/maps/search/?api=1&amp;query=24.78529326,46.71730123", "View Map")</f>
        <v>View Map</v>
      </c>
    </row>
    <row r="1756" spans="1:6" x14ac:dyDescent="0.35">
      <c r="A1756" t="s">
        <v>1093</v>
      </c>
      <c r="B1756" t="s">
        <v>4677</v>
      </c>
      <c r="C1756" t="s">
        <v>1776</v>
      </c>
      <c r="D1756" t="s">
        <v>9</v>
      </c>
      <c r="E1756">
        <v>864</v>
      </c>
      <c r="F1756" t="str">
        <f>HYPERLINK("https://www.google.com/maps/search/?api=1&amp;query=24.3947425,46.66050342", "View Map")</f>
        <v>View Map</v>
      </c>
    </row>
    <row r="1757" spans="1:6" x14ac:dyDescent="0.35">
      <c r="A1757" t="s">
        <v>3393</v>
      </c>
      <c r="B1757" t="s">
        <v>4678</v>
      </c>
      <c r="C1757" t="s">
        <v>1776</v>
      </c>
      <c r="D1757" t="s">
        <v>9</v>
      </c>
      <c r="E1757">
        <v>863</v>
      </c>
      <c r="F1757" t="str">
        <f>HYPERLINK("https://www.google.com/maps/search/?api=1&amp;query=24.69278165,46.78913772", "View Map")</f>
        <v>View Map</v>
      </c>
    </row>
    <row r="1758" spans="1:6" x14ac:dyDescent="0.35">
      <c r="A1758" t="s">
        <v>4679</v>
      </c>
      <c r="B1758" t="s">
        <v>4680</v>
      </c>
      <c r="C1758" t="s">
        <v>1776</v>
      </c>
      <c r="D1758" t="s">
        <v>9</v>
      </c>
      <c r="E1758">
        <v>862</v>
      </c>
      <c r="F1758" t="str">
        <f>HYPERLINK("https://www.google.com/maps/search/?api=1&amp;query=24.74673111,46.6790529", "View Map")</f>
        <v>View Map</v>
      </c>
    </row>
    <row r="1759" spans="1:6" x14ac:dyDescent="0.35">
      <c r="A1759" t="s">
        <v>4681</v>
      </c>
      <c r="B1759" t="s">
        <v>4682</v>
      </c>
      <c r="C1759" t="s">
        <v>1776</v>
      </c>
      <c r="D1759" t="s">
        <v>9</v>
      </c>
      <c r="E1759">
        <v>862</v>
      </c>
      <c r="F1759" t="str">
        <f>HYPERLINK("https://www.google.com/maps/search/?api=1&amp;query=24.55224661,46.66793087", "View Map")</f>
        <v>View Map</v>
      </c>
    </row>
    <row r="1760" spans="1:6" x14ac:dyDescent="0.35">
      <c r="A1760" t="s">
        <v>4683</v>
      </c>
      <c r="B1760" t="s">
        <v>4684</v>
      </c>
      <c r="C1760" t="s">
        <v>1776</v>
      </c>
      <c r="D1760" t="s">
        <v>9</v>
      </c>
      <c r="E1760">
        <v>861</v>
      </c>
      <c r="F1760" t="str">
        <f>HYPERLINK("https://www.google.com/maps/search/?api=1&amp;query=24.5502942,46.67884709", "View Map")</f>
        <v>View Map</v>
      </c>
    </row>
    <row r="1761" spans="1:6" x14ac:dyDescent="0.35">
      <c r="A1761" t="s">
        <v>2863</v>
      </c>
      <c r="B1761" t="s">
        <v>4685</v>
      </c>
      <c r="C1761" t="s">
        <v>1776</v>
      </c>
      <c r="D1761" t="s">
        <v>9</v>
      </c>
      <c r="E1761">
        <v>861</v>
      </c>
      <c r="F1761" t="str">
        <f>HYPERLINK("https://www.google.com/maps/search/?api=1&amp;query=24.55604611,46.69934432", "View Map")</f>
        <v>View Map</v>
      </c>
    </row>
    <row r="1762" spans="1:6" x14ac:dyDescent="0.35">
      <c r="A1762" t="s">
        <v>1798</v>
      </c>
      <c r="B1762" t="s">
        <v>4686</v>
      </c>
      <c r="C1762" t="s">
        <v>1776</v>
      </c>
      <c r="D1762" t="s">
        <v>9</v>
      </c>
      <c r="E1762">
        <v>860</v>
      </c>
      <c r="F1762" t="str">
        <f>HYPERLINK("https://www.google.com/maps/search/?api=1&amp;query=24.80154106,46.67644332", "View Map")</f>
        <v>View Map</v>
      </c>
    </row>
    <row r="1763" spans="1:6" x14ac:dyDescent="0.35">
      <c r="A1763" t="s">
        <v>4687</v>
      </c>
      <c r="B1763" t="s">
        <v>4688</v>
      </c>
      <c r="C1763" t="s">
        <v>1776</v>
      </c>
      <c r="D1763" t="s">
        <v>9</v>
      </c>
      <c r="E1763">
        <v>860</v>
      </c>
      <c r="F1763" t="str">
        <f>HYPERLINK("https://www.google.com/maps/search/?api=1&amp;query=24.83245289,46.66595161", "View Map")</f>
        <v>View Map</v>
      </c>
    </row>
    <row r="1764" spans="1:6" x14ac:dyDescent="0.35">
      <c r="A1764" t="s">
        <v>1806</v>
      </c>
      <c r="B1764" t="s">
        <v>4689</v>
      </c>
      <c r="C1764" t="s">
        <v>1776</v>
      </c>
      <c r="D1764" t="s">
        <v>9</v>
      </c>
      <c r="E1764">
        <v>860</v>
      </c>
      <c r="F1764" t="str">
        <f>HYPERLINK("https://www.google.com/maps/search/?api=1&amp;query=24.63361025,46.53735388", "View Map")</f>
        <v>View Map</v>
      </c>
    </row>
    <row r="1765" spans="1:6" x14ac:dyDescent="0.35">
      <c r="A1765" t="s">
        <v>2005</v>
      </c>
      <c r="B1765" t="s">
        <v>4690</v>
      </c>
      <c r="C1765" t="s">
        <v>1776</v>
      </c>
      <c r="D1765" t="s">
        <v>9</v>
      </c>
      <c r="E1765">
        <v>859</v>
      </c>
      <c r="F1765" t="str">
        <f>HYPERLINK("https://www.google.com/maps/search/?api=1&amp;query=24.80712,46.74323", "View Map")</f>
        <v>View Map</v>
      </c>
    </row>
    <row r="1766" spans="1:6" x14ac:dyDescent="0.35">
      <c r="A1766" t="s">
        <v>1806</v>
      </c>
      <c r="B1766" t="s">
        <v>4691</v>
      </c>
      <c r="C1766" t="s">
        <v>1776</v>
      </c>
      <c r="D1766" t="s">
        <v>9</v>
      </c>
      <c r="E1766">
        <v>859</v>
      </c>
      <c r="F1766" t="str">
        <f>HYPERLINK("https://www.google.com/maps/search/?api=1&amp;query=24.77805939,46.7745381", "View Map")</f>
        <v>View Map</v>
      </c>
    </row>
    <row r="1767" spans="1:6" x14ac:dyDescent="0.35">
      <c r="A1767" t="s">
        <v>4692</v>
      </c>
      <c r="B1767" t="s">
        <v>4693</v>
      </c>
      <c r="C1767" t="s">
        <v>1776</v>
      </c>
      <c r="D1767" t="s">
        <v>9</v>
      </c>
      <c r="E1767">
        <v>857</v>
      </c>
      <c r="F1767" t="str">
        <f>HYPERLINK("https://www.google.com/maps/search/?api=1&amp;query=24.53569995,46.66798414", "View Map")</f>
        <v>View Map</v>
      </c>
    </row>
    <row r="1768" spans="1:6" x14ac:dyDescent="0.35">
      <c r="A1768" t="s">
        <v>4694</v>
      </c>
      <c r="B1768" t="s">
        <v>4695</v>
      </c>
      <c r="C1768" t="s">
        <v>1776</v>
      </c>
      <c r="D1768" t="s">
        <v>9</v>
      </c>
      <c r="E1768">
        <v>856</v>
      </c>
      <c r="F1768" t="str">
        <f>HYPERLINK("https://www.google.com/maps/search/?api=1&amp;query=24.63110158,46.56686122", "View Map")</f>
        <v>View Map</v>
      </c>
    </row>
    <row r="1769" spans="1:6" x14ac:dyDescent="0.35">
      <c r="A1769" t="s">
        <v>4696</v>
      </c>
      <c r="B1769" t="s">
        <v>4697</v>
      </c>
      <c r="C1769" t="s">
        <v>1776</v>
      </c>
      <c r="D1769" t="s">
        <v>9</v>
      </c>
      <c r="E1769">
        <v>855</v>
      </c>
      <c r="F1769" t="str">
        <f>HYPERLINK("https://www.google.com/maps/search/?api=1&amp;query=24.57743291,46.61506174", "View Map")</f>
        <v>View Map</v>
      </c>
    </row>
    <row r="1770" spans="1:6" x14ac:dyDescent="0.35">
      <c r="A1770" t="s">
        <v>4698</v>
      </c>
      <c r="B1770" t="s">
        <v>4699</v>
      </c>
      <c r="C1770" t="s">
        <v>1776</v>
      </c>
      <c r="D1770" t="s">
        <v>9</v>
      </c>
      <c r="E1770">
        <v>855</v>
      </c>
      <c r="F1770" t="str">
        <f>HYPERLINK("https://www.google.com/maps/search/?api=1&amp;query=24.636778,46.701024", "View Map")</f>
        <v>View Map</v>
      </c>
    </row>
    <row r="1771" spans="1:6" x14ac:dyDescent="0.35">
      <c r="A1771" t="s">
        <v>4700</v>
      </c>
      <c r="B1771" t="s">
        <v>4701</v>
      </c>
      <c r="C1771" t="s">
        <v>1776</v>
      </c>
      <c r="D1771" t="s">
        <v>9</v>
      </c>
      <c r="E1771">
        <v>854</v>
      </c>
      <c r="F1771" t="str">
        <f>HYPERLINK("https://www.google.com/maps/search/?api=1&amp;query=24.59750659,46.64263773", "View Map")</f>
        <v>View Map</v>
      </c>
    </row>
    <row r="1772" spans="1:6" x14ac:dyDescent="0.35">
      <c r="A1772" t="s">
        <v>1798</v>
      </c>
      <c r="B1772" t="s">
        <v>4702</v>
      </c>
      <c r="C1772" t="s">
        <v>1776</v>
      </c>
      <c r="D1772" t="s">
        <v>9</v>
      </c>
      <c r="E1772">
        <v>853</v>
      </c>
      <c r="F1772" t="str">
        <f>HYPERLINK("https://www.google.com/maps/search/?api=1&amp;query=24.85225717,46.77450288", "View Map")</f>
        <v>View Map</v>
      </c>
    </row>
    <row r="1773" spans="1:6" x14ac:dyDescent="0.35">
      <c r="A1773" t="s">
        <v>4703</v>
      </c>
      <c r="B1773" t="s">
        <v>4704</v>
      </c>
      <c r="C1773" t="s">
        <v>1776</v>
      </c>
      <c r="D1773" t="s">
        <v>9</v>
      </c>
      <c r="E1773">
        <v>853</v>
      </c>
      <c r="F1773" t="str">
        <f>HYPERLINK("https://www.google.com/maps/search/?api=1&amp;query=24.60888921,46.60308595", "View Map")</f>
        <v>View Map</v>
      </c>
    </row>
    <row r="1774" spans="1:6" x14ac:dyDescent="0.35">
      <c r="A1774" t="s">
        <v>4705</v>
      </c>
      <c r="B1774" t="s">
        <v>4706</v>
      </c>
      <c r="C1774" t="s">
        <v>1776</v>
      </c>
      <c r="D1774" t="s">
        <v>9</v>
      </c>
      <c r="E1774">
        <v>853</v>
      </c>
      <c r="F1774" t="str">
        <f>HYPERLINK("https://www.google.com/maps/search/?api=1&amp;query=24.59485371,46.65533906", "View Map")</f>
        <v>View Map</v>
      </c>
    </row>
    <row r="1775" spans="1:6" x14ac:dyDescent="0.35">
      <c r="A1775" t="s">
        <v>3256</v>
      </c>
      <c r="B1775" t="s">
        <v>4707</v>
      </c>
      <c r="C1775" t="s">
        <v>1776</v>
      </c>
      <c r="D1775" t="s">
        <v>9</v>
      </c>
      <c r="E1775">
        <v>852</v>
      </c>
      <c r="F1775" t="str">
        <f>HYPERLINK("https://www.google.com/maps/search/?api=1&amp;query=24.78118915,46.81058625", "View Map")</f>
        <v>View Map</v>
      </c>
    </row>
    <row r="1776" spans="1:6" x14ac:dyDescent="0.35">
      <c r="A1776" t="s">
        <v>4708</v>
      </c>
      <c r="B1776" t="s">
        <v>4709</v>
      </c>
      <c r="C1776" t="s">
        <v>1776</v>
      </c>
      <c r="D1776" t="s">
        <v>9</v>
      </c>
      <c r="E1776">
        <v>852</v>
      </c>
      <c r="F1776" t="str">
        <f>HYPERLINK("https://www.google.com/maps/search/?api=1&amp;query=24.57911872,46.60023553", "View Map")</f>
        <v>View Map</v>
      </c>
    </row>
    <row r="1777" spans="1:6" x14ac:dyDescent="0.35">
      <c r="A1777" t="s">
        <v>4710</v>
      </c>
      <c r="B1777" t="s">
        <v>4711</v>
      </c>
      <c r="C1777" t="s">
        <v>1776</v>
      </c>
      <c r="D1777" t="s">
        <v>9</v>
      </c>
      <c r="E1777">
        <v>849</v>
      </c>
      <c r="F1777" t="str">
        <f>HYPERLINK("https://www.google.com/maps/search/?api=1&amp;query=24.79706673,46.77418713", "View Map")</f>
        <v>View Map</v>
      </c>
    </row>
    <row r="1778" spans="1:6" x14ac:dyDescent="0.35">
      <c r="A1778" t="s">
        <v>4712</v>
      </c>
      <c r="B1778" t="s">
        <v>4713</v>
      </c>
      <c r="C1778" t="s">
        <v>1843</v>
      </c>
      <c r="D1778" t="s">
        <v>9</v>
      </c>
      <c r="E1778">
        <v>848</v>
      </c>
      <c r="F1778" t="str">
        <f>HYPERLINK("https://www.google.com/maps/search/?api=1&amp;query=24.74571002,46.35579148", "View Map")</f>
        <v>View Map</v>
      </c>
    </row>
    <row r="1779" spans="1:6" x14ac:dyDescent="0.35">
      <c r="A1779" t="s">
        <v>4714</v>
      </c>
      <c r="B1779" t="s">
        <v>4715</v>
      </c>
      <c r="C1779" t="s">
        <v>1776</v>
      </c>
      <c r="D1779" t="s">
        <v>9</v>
      </c>
      <c r="E1779">
        <v>848</v>
      </c>
      <c r="F1779" t="str">
        <f>HYPERLINK("https://www.google.com/maps/search/?api=1&amp;query=24.53692088,46.66324574", "View Map")</f>
        <v>View Map</v>
      </c>
    </row>
    <row r="1780" spans="1:6" x14ac:dyDescent="0.35">
      <c r="A1780" t="s">
        <v>4716</v>
      </c>
      <c r="B1780" t="s">
        <v>4717</v>
      </c>
      <c r="C1780" t="s">
        <v>1776</v>
      </c>
      <c r="D1780" t="s">
        <v>9</v>
      </c>
      <c r="E1780">
        <v>848</v>
      </c>
      <c r="F1780" t="str">
        <f>HYPERLINK("https://www.google.com/maps/search/?api=1&amp;query=24.57657698,46.55136564", "View Map")</f>
        <v>View Map</v>
      </c>
    </row>
    <row r="1781" spans="1:6" x14ac:dyDescent="0.35">
      <c r="A1781" t="s">
        <v>4718</v>
      </c>
      <c r="B1781" t="s">
        <v>4719</v>
      </c>
      <c r="C1781" t="s">
        <v>1776</v>
      </c>
      <c r="D1781" t="s">
        <v>9</v>
      </c>
      <c r="E1781">
        <v>848</v>
      </c>
      <c r="F1781" t="str">
        <f>HYPERLINK("https://www.google.com/maps/search/?api=1&amp;query=24.57606782,46.64729956", "View Map")</f>
        <v>View Map</v>
      </c>
    </row>
    <row r="1782" spans="1:6" x14ac:dyDescent="0.35">
      <c r="A1782" t="s">
        <v>4720</v>
      </c>
      <c r="B1782" t="s">
        <v>4721</v>
      </c>
      <c r="C1782" t="s">
        <v>1776</v>
      </c>
      <c r="D1782" t="s">
        <v>9</v>
      </c>
      <c r="E1782">
        <v>847</v>
      </c>
      <c r="F1782" t="str">
        <f>HYPERLINK("https://www.google.com/maps/search/?api=1&amp;query=24.58957426,46.56968774", "View Map")</f>
        <v>View Map</v>
      </c>
    </row>
    <row r="1783" spans="1:6" x14ac:dyDescent="0.35">
      <c r="A1783" t="s">
        <v>4722</v>
      </c>
      <c r="B1783" t="s">
        <v>4723</v>
      </c>
      <c r="C1783" t="s">
        <v>1776</v>
      </c>
      <c r="D1783" t="s">
        <v>9</v>
      </c>
      <c r="E1783">
        <v>847</v>
      </c>
      <c r="F1783" t="str">
        <f>HYPERLINK("https://www.google.com/maps/search/?api=1&amp;query=24.75934701,46.71452459", "View Map")</f>
        <v>View Map</v>
      </c>
    </row>
    <row r="1784" spans="1:6" x14ac:dyDescent="0.35">
      <c r="A1784" t="s">
        <v>1798</v>
      </c>
      <c r="B1784" t="s">
        <v>4724</v>
      </c>
      <c r="C1784" t="s">
        <v>1776</v>
      </c>
      <c r="D1784" t="s">
        <v>9</v>
      </c>
      <c r="E1784">
        <v>846</v>
      </c>
      <c r="F1784" t="str">
        <f>HYPERLINK("https://www.google.com/maps/search/?api=1&amp;query=24.79006225,46.60469117", "View Map")</f>
        <v>View Map</v>
      </c>
    </row>
    <row r="1785" spans="1:6" x14ac:dyDescent="0.35">
      <c r="A1785" t="s">
        <v>2354</v>
      </c>
      <c r="B1785" t="s">
        <v>4725</v>
      </c>
      <c r="C1785" t="s">
        <v>1776</v>
      </c>
      <c r="D1785" t="s">
        <v>9</v>
      </c>
      <c r="E1785">
        <v>846</v>
      </c>
      <c r="F1785" t="str">
        <f>HYPERLINK("https://www.google.com/maps/search/?api=1&amp;query=24.72942312,46.6485086", "View Map")</f>
        <v>View Map</v>
      </c>
    </row>
    <row r="1786" spans="1:6" x14ac:dyDescent="0.35">
      <c r="A1786" t="s">
        <v>2067</v>
      </c>
      <c r="B1786" t="s">
        <v>4726</v>
      </c>
      <c r="C1786" t="s">
        <v>1776</v>
      </c>
      <c r="D1786" t="s">
        <v>9</v>
      </c>
      <c r="E1786">
        <v>846</v>
      </c>
      <c r="F1786" t="str">
        <f>HYPERLINK("https://www.google.com/maps/search/?api=1&amp;query=24.5919537,46.7471375", "View Map")</f>
        <v>View Map</v>
      </c>
    </row>
    <row r="1787" spans="1:6" x14ac:dyDescent="0.35">
      <c r="A1787" t="s">
        <v>1798</v>
      </c>
      <c r="B1787" t="s">
        <v>4727</v>
      </c>
      <c r="C1787" t="s">
        <v>1843</v>
      </c>
      <c r="D1787" t="s">
        <v>9</v>
      </c>
      <c r="E1787">
        <v>844</v>
      </c>
      <c r="F1787" t="str">
        <f>HYPERLINK("https://www.google.com/maps/search/?api=1&amp;query=24.74007,46.51733", "View Map")</f>
        <v>View Map</v>
      </c>
    </row>
    <row r="1788" spans="1:6" x14ac:dyDescent="0.35">
      <c r="A1788" t="s">
        <v>4728</v>
      </c>
      <c r="B1788" t="s">
        <v>4729</v>
      </c>
      <c r="C1788" t="s">
        <v>1776</v>
      </c>
      <c r="D1788" t="s">
        <v>9</v>
      </c>
      <c r="E1788">
        <v>844</v>
      </c>
      <c r="F1788" t="str">
        <f>HYPERLINK("https://www.google.com/maps/search/?api=1&amp;query=24.70203218,46.70816552", "View Map")</f>
        <v>View Map</v>
      </c>
    </row>
    <row r="1789" spans="1:6" x14ac:dyDescent="0.35">
      <c r="A1789" t="s">
        <v>4730</v>
      </c>
      <c r="B1789" t="s">
        <v>4731</v>
      </c>
      <c r="C1789" t="s">
        <v>1776</v>
      </c>
      <c r="D1789" t="s">
        <v>9</v>
      </c>
      <c r="E1789">
        <v>844</v>
      </c>
      <c r="F1789" t="str">
        <f>HYPERLINK("https://www.google.com/maps/search/?api=1&amp;query=24.68988938,46.8142836", "View Map")</f>
        <v>View Map</v>
      </c>
    </row>
    <row r="1790" spans="1:6" x14ac:dyDescent="0.35">
      <c r="A1790" t="s">
        <v>1798</v>
      </c>
      <c r="B1790" t="s">
        <v>4732</v>
      </c>
      <c r="C1790" t="s">
        <v>1776</v>
      </c>
      <c r="D1790" t="s">
        <v>9</v>
      </c>
      <c r="E1790">
        <v>843</v>
      </c>
      <c r="F1790" t="str">
        <f>HYPERLINK("https://www.google.com/maps/search/?api=1&amp;query=24.80907716,46.60710124", "View Map")</f>
        <v>View Map</v>
      </c>
    </row>
    <row r="1791" spans="1:6" x14ac:dyDescent="0.35">
      <c r="A1791" t="s">
        <v>4733</v>
      </c>
      <c r="B1791" t="s">
        <v>4734</v>
      </c>
      <c r="C1791" t="s">
        <v>1776</v>
      </c>
      <c r="D1791" t="s">
        <v>9</v>
      </c>
      <c r="E1791">
        <v>843</v>
      </c>
      <c r="F1791" t="str">
        <f>HYPERLINK("https://www.google.com/maps/search/?api=1&amp;query=24.55673478,46.61292399", "View Map")</f>
        <v>View Map</v>
      </c>
    </row>
    <row r="1792" spans="1:6" x14ac:dyDescent="0.35">
      <c r="A1792" t="s">
        <v>4735</v>
      </c>
      <c r="B1792" t="s">
        <v>4736</v>
      </c>
      <c r="C1792" t="s">
        <v>1776</v>
      </c>
      <c r="D1792" t="s">
        <v>9</v>
      </c>
      <c r="E1792">
        <v>843</v>
      </c>
      <c r="F1792" t="str">
        <f>HYPERLINK("https://www.google.com/maps/search/?api=1&amp;query=24.59929334,46.60025905", "View Map")</f>
        <v>View Map</v>
      </c>
    </row>
    <row r="1793" spans="1:6" x14ac:dyDescent="0.35">
      <c r="A1793" t="s">
        <v>1947</v>
      </c>
      <c r="B1793" t="s">
        <v>4737</v>
      </c>
      <c r="C1793" t="s">
        <v>1776</v>
      </c>
      <c r="D1793" t="s">
        <v>9</v>
      </c>
      <c r="E1793">
        <v>841</v>
      </c>
      <c r="F1793" t="str">
        <f>HYPERLINK("https://www.google.com/maps/search/?api=1&amp;query=24.55393782,46.60335925", "View Map")</f>
        <v>View Map</v>
      </c>
    </row>
    <row r="1794" spans="1:6" x14ac:dyDescent="0.35">
      <c r="A1794" t="s">
        <v>4738</v>
      </c>
      <c r="B1794" t="s">
        <v>4739</v>
      </c>
      <c r="C1794" t="s">
        <v>1776</v>
      </c>
      <c r="D1794" t="s">
        <v>9</v>
      </c>
      <c r="E1794">
        <v>841</v>
      </c>
      <c r="F1794" t="str">
        <f>HYPERLINK("https://www.google.com/maps/search/?api=1&amp;query=24.53087995,46.69445532", "View Map")</f>
        <v>View Map</v>
      </c>
    </row>
    <row r="1795" spans="1:6" x14ac:dyDescent="0.35">
      <c r="A1795" t="s">
        <v>4740</v>
      </c>
      <c r="B1795" t="s">
        <v>4741</v>
      </c>
      <c r="C1795" t="s">
        <v>1776</v>
      </c>
      <c r="D1795" t="s">
        <v>9</v>
      </c>
      <c r="E1795">
        <v>840</v>
      </c>
      <c r="F1795" t="str">
        <f>HYPERLINK("https://www.google.com/maps/search/?api=1&amp;query=24.76834081,46.69345578", "View Map")</f>
        <v>View Map</v>
      </c>
    </row>
    <row r="1796" spans="1:6" x14ac:dyDescent="0.35">
      <c r="A1796" t="s">
        <v>4742</v>
      </c>
      <c r="B1796" t="s">
        <v>4743</v>
      </c>
      <c r="C1796" t="s">
        <v>1776</v>
      </c>
      <c r="D1796" t="s">
        <v>9</v>
      </c>
      <c r="E1796">
        <v>839</v>
      </c>
      <c r="F1796" t="str">
        <f>HYPERLINK("https://www.google.com/maps/search/?api=1&amp;query=24.62772558,46.78719619", "View Map")</f>
        <v>View Map</v>
      </c>
    </row>
    <row r="1797" spans="1:6" x14ac:dyDescent="0.35">
      <c r="A1797" t="s">
        <v>4744</v>
      </c>
      <c r="B1797" t="s">
        <v>4745</v>
      </c>
      <c r="C1797" t="s">
        <v>1776</v>
      </c>
      <c r="D1797" t="s">
        <v>9</v>
      </c>
      <c r="E1797">
        <v>839</v>
      </c>
      <c r="F1797" t="str">
        <f>HYPERLINK("https://www.google.com/maps/search/?api=1&amp;query=24.59708604,46.67724313", "View Map")</f>
        <v>View Map</v>
      </c>
    </row>
    <row r="1798" spans="1:6" x14ac:dyDescent="0.35">
      <c r="A1798" t="s">
        <v>4746</v>
      </c>
      <c r="B1798" t="s">
        <v>4747</v>
      </c>
      <c r="C1798" t="s">
        <v>1776</v>
      </c>
      <c r="D1798" t="s">
        <v>9</v>
      </c>
      <c r="E1798">
        <v>838</v>
      </c>
      <c r="F1798" t="str">
        <f>HYPERLINK("https://www.google.com/maps/search/?api=1&amp;query=24.58383602,46.69042245", "View Map")</f>
        <v>View Map</v>
      </c>
    </row>
    <row r="1799" spans="1:6" x14ac:dyDescent="0.35">
      <c r="A1799" t="s">
        <v>1798</v>
      </c>
      <c r="B1799" t="s">
        <v>4748</v>
      </c>
      <c r="C1799" t="s">
        <v>1776</v>
      </c>
      <c r="D1799" t="s">
        <v>9</v>
      </c>
      <c r="E1799">
        <v>838</v>
      </c>
      <c r="F1799" t="str">
        <f>HYPERLINK("https://www.google.com/maps/search/?api=1&amp;query=24.92334319,46.82037301", "View Map")</f>
        <v>View Map</v>
      </c>
    </row>
    <row r="1800" spans="1:6" x14ac:dyDescent="0.35">
      <c r="A1800" t="s">
        <v>2178</v>
      </c>
      <c r="B1800" t="s">
        <v>4749</v>
      </c>
      <c r="C1800" t="s">
        <v>1776</v>
      </c>
      <c r="D1800" t="s">
        <v>9</v>
      </c>
      <c r="E1800">
        <v>837</v>
      </c>
      <c r="F1800" t="str">
        <f>HYPERLINK("https://www.google.com/maps/search/?api=1&amp;query=24.82690155,46.64332979", "View Map")</f>
        <v>View Map</v>
      </c>
    </row>
    <row r="1801" spans="1:6" x14ac:dyDescent="0.35">
      <c r="A1801" t="s">
        <v>4750</v>
      </c>
      <c r="B1801" t="s">
        <v>4751</v>
      </c>
      <c r="C1801" t="s">
        <v>1776</v>
      </c>
      <c r="D1801" t="s">
        <v>9</v>
      </c>
      <c r="E1801">
        <v>837</v>
      </c>
      <c r="F1801" t="str">
        <f>HYPERLINK("https://www.google.com/maps/search/?api=1&amp;query=24.7006255,46.82128013", "View Map")</f>
        <v>View Map</v>
      </c>
    </row>
    <row r="1802" spans="1:6" x14ac:dyDescent="0.35">
      <c r="A1802" t="s">
        <v>4752</v>
      </c>
      <c r="B1802" t="s">
        <v>4753</v>
      </c>
      <c r="C1802" t="s">
        <v>1776</v>
      </c>
      <c r="D1802" t="s">
        <v>9</v>
      </c>
      <c r="E1802">
        <v>836</v>
      </c>
      <c r="F1802" t="str">
        <f>HYPERLINK("https://www.google.com/maps/search/?api=1&amp;query=24.78508555,46.7574838", "View Map")</f>
        <v>View Map</v>
      </c>
    </row>
    <row r="1803" spans="1:6" x14ac:dyDescent="0.35">
      <c r="A1803" t="s">
        <v>1794</v>
      </c>
      <c r="B1803" t="s">
        <v>4754</v>
      </c>
      <c r="C1803" t="s">
        <v>1776</v>
      </c>
      <c r="D1803" t="s">
        <v>9</v>
      </c>
      <c r="E1803">
        <v>835</v>
      </c>
      <c r="F1803" t="str">
        <f>HYPERLINK("https://www.google.com/maps/search/?api=1&amp;query=24.80023158,46.6833755", "View Map")</f>
        <v>View Map</v>
      </c>
    </row>
    <row r="1804" spans="1:6" x14ac:dyDescent="0.35">
      <c r="A1804" t="s">
        <v>4755</v>
      </c>
      <c r="B1804" t="s">
        <v>4756</v>
      </c>
      <c r="C1804" t="s">
        <v>1776</v>
      </c>
      <c r="D1804" t="s">
        <v>13</v>
      </c>
      <c r="E1804">
        <v>835</v>
      </c>
      <c r="F1804" t="str">
        <f>HYPERLINK("https://www.google.com/maps/search/?api=1&amp;query=24.57955107,46.76374026", "View Map")</f>
        <v>View Map</v>
      </c>
    </row>
    <row r="1805" spans="1:6" x14ac:dyDescent="0.35">
      <c r="A1805" t="s">
        <v>1806</v>
      </c>
      <c r="B1805" t="s">
        <v>4757</v>
      </c>
      <c r="C1805" t="s">
        <v>1843</v>
      </c>
      <c r="D1805" t="s">
        <v>9</v>
      </c>
      <c r="E1805">
        <v>833</v>
      </c>
      <c r="F1805" t="str">
        <f>HYPERLINK("https://www.google.com/maps/search/?api=1&amp;query=24.77341542,46.57789839", "View Map")</f>
        <v>View Map</v>
      </c>
    </row>
    <row r="1806" spans="1:6" x14ac:dyDescent="0.35">
      <c r="A1806" t="s">
        <v>4758</v>
      </c>
      <c r="B1806" t="s">
        <v>4759</v>
      </c>
      <c r="C1806" t="s">
        <v>1776</v>
      </c>
      <c r="D1806" t="s">
        <v>9</v>
      </c>
      <c r="E1806">
        <v>833</v>
      </c>
      <c r="F1806" t="str">
        <f>HYPERLINK("https://www.google.com/maps/search/?api=1&amp;query=24.58796828,46.6979127", "View Map")</f>
        <v>View Map</v>
      </c>
    </row>
    <row r="1807" spans="1:6" x14ac:dyDescent="0.35">
      <c r="A1807" t="s">
        <v>4760</v>
      </c>
      <c r="B1807" t="s">
        <v>4761</v>
      </c>
      <c r="C1807" t="s">
        <v>1776</v>
      </c>
      <c r="D1807" t="s">
        <v>9</v>
      </c>
      <c r="E1807">
        <v>831</v>
      </c>
      <c r="F1807" t="str">
        <f>HYPERLINK("https://www.google.com/maps/search/?api=1&amp;query=24.71129111,46.60995882", "View Map")</f>
        <v>View Map</v>
      </c>
    </row>
    <row r="1808" spans="1:6" x14ac:dyDescent="0.35">
      <c r="A1808" t="s">
        <v>2453</v>
      </c>
      <c r="B1808" t="s">
        <v>4762</v>
      </c>
      <c r="C1808" t="s">
        <v>1776</v>
      </c>
      <c r="D1808" t="s">
        <v>9</v>
      </c>
      <c r="E1808">
        <v>831</v>
      </c>
      <c r="F1808" t="str">
        <f>HYPERLINK("https://www.google.com/maps/search/?api=1&amp;query=24.61390532,46.86947896", "View Map")</f>
        <v>View Map</v>
      </c>
    </row>
    <row r="1809" spans="1:6" x14ac:dyDescent="0.35">
      <c r="A1809" t="s">
        <v>4763</v>
      </c>
      <c r="B1809" t="s">
        <v>4764</v>
      </c>
      <c r="C1809" t="s">
        <v>1776</v>
      </c>
      <c r="D1809" t="s">
        <v>9</v>
      </c>
      <c r="E1809">
        <v>830</v>
      </c>
      <c r="F1809" t="str">
        <f>HYPERLINK("https://www.google.com/maps/search/?api=1&amp;query=24.78753967,46.67607239", "View Map")</f>
        <v>View Map</v>
      </c>
    </row>
    <row r="1810" spans="1:6" x14ac:dyDescent="0.35">
      <c r="A1810" t="s">
        <v>4765</v>
      </c>
      <c r="B1810" t="s">
        <v>4766</v>
      </c>
      <c r="C1810" t="s">
        <v>1776</v>
      </c>
      <c r="D1810" t="s">
        <v>9</v>
      </c>
      <c r="E1810">
        <v>830</v>
      </c>
      <c r="F1810" t="str">
        <f>HYPERLINK("https://www.google.com/maps/search/?api=1&amp;query=24.71158805,46.81123478", "View Map")</f>
        <v>View Map</v>
      </c>
    </row>
    <row r="1811" spans="1:6" x14ac:dyDescent="0.35">
      <c r="A1811" t="s">
        <v>3791</v>
      </c>
      <c r="B1811" t="s">
        <v>4767</v>
      </c>
      <c r="C1811" t="s">
        <v>1776</v>
      </c>
      <c r="D1811" t="s">
        <v>9</v>
      </c>
      <c r="E1811">
        <v>829</v>
      </c>
      <c r="F1811" t="str">
        <f>HYPERLINK("https://www.google.com/maps/search/?api=1&amp;query=24.5344,46.6981", "View Map")</f>
        <v>View Map</v>
      </c>
    </row>
    <row r="1812" spans="1:6" x14ac:dyDescent="0.35">
      <c r="A1812" t="s">
        <v>4768</v>
      </c>
      <c r="B1812" t="s">
        <v>4769</v>
      </c>
      <c r="C1812" t="s">
        <v>1776</v>
      </c>
      <c r="D1812" t="s">
        <v>9</v>
      </c>
      <c r="E1812">
        <v>829</v>
      </c>
      <c r="F1812" t="str">
        <f>HYPERLINK("https://www.google.com/maps/search/?api=1&amp;query=24.82283934,46.74173806", "View Map")</f>
        <v>View Map</v>
      </c>
    </row>
    <row r="1813" spans="1:6" x14ac:dyDescent="0.35">
      <c r="A1813" t="s">
        <v>1947</v>
      </c>
      <c r="B1813" t="s">
        <v>4770</v>
      </c>
      <c r="C1813" t="s">
        <v>1776</v>
      </c>
      <c r="D1813" t="s">
        <v>9</v>
      </c>
      <c r="E1813">
        <v>829</v>
      </c>
      <c r="F1813" t="str">
        <f>HYPERLINK("https://www.google.com/maps/search/?api=1&amp;query=24.50563991,46.62900741", "View Map")</f>
        <v>View Map</v>
      </c>
    </row>
    <row r="1814" spans="1:6" x14ac:dyDescent="0.35">
      <c r="A1814" t="s">
        <v>1947</v>
      </c>
      <c r="B1814" t="s">
        <v>4771</v>
      </c>
      <c r="C1814" t="s">
        <v>1776</v>
      </c>
      <c r="D1814" t="s">
        <v>9</v>
      </c>
      <c r="E1814">
        <v>829</v>
      </c>
      <c r="F1814" t="str">
        <f>HYPERLINK("https://www.google.com/maps/search/?api=1&amp;query=24.56162455,46.70484907", "View Map")</f>
        <v>View Map</v>
      </c>
    </row>
    <row r="1815" spans="1:6" x14ac:dyDescent="0.35">
      <c r="A1815" t="s">
        <v>4772</v>
      </c>
      <c r="B1815" t="s">
        <v>4773</v>
      </c>
      <c r="C1815" t="s">
        <v>1776</v>
      </c>
      <c r="D1815" t="s">
        <v>9</v>
      </c>
      <c r="E1815">
        <v>829</v>
      </c>
      <c r="F1815" t="str">
        <f>HYPERLINK("https://www.google.com/maps/search/?api=1&amp;query=24.54613916,46.72204318", "View Map")</f>
        <v>View Map</v>
      </c>
    </row>
    <row r="1816" spans="1:6" x14ac:dyDescent="0.35">
      <c r="A1816" t="s">
        <v>4774</v>
      </c>
      <c r="B1816" t="s">
        <v>4775</v>
      </c>
      <c r="C1816" t="s">
        <v>1776</v>
      </c>
      <c r="D1816" t="s">
        <v>9</v>
      </c>
      <c r="E1816">
        <v>828</v>
      </c>
      <c r="F1816" t="str">
        <f>HYPERLINK("https://www.google.com/maps/search/?api=1&amp;query=24.61086386,46.7418818", "View Map")</f>
        <v>View Map</v>
      </c>
    </row>
    <row r="1817" spans="1:6" x14ac:dyDescent="0.35">
      <c r="A1817" t="s">
        <v>1798</v>
      </c>
      <c r="B1817" t="s">
        <v>4776</v>
      </c>
      <c r="C1817" t="s">
        <v>1776</v>
      </c>
      <c r="D1817" t="s">
        <v>9</v>
      </c>
      <c r="E1817">
        <v>828</v>
      </c>
      <c r="F1817" t="str">
        <f>HYPERLINK("https://www.google.com/maps/search/?api=1&amp;query=24.86500371,46.62250016", "View Map")</f>
        <v>View Map</v>
      </c>
    </row>
    <row r="1818" spans="1:6" x14ac:dyDescent="0.35">
      <c r="A1818" t="s">
        <v>4777</v>
      </c>
      <c r="B1818" t="s">
        <v>4778</v>
      </c>
      <c r="C1818" t="s">
        <v>1776</v>
      </c>
      <c r="D1818" t="s">
        <v>9</v>
      </c>
      <c r="E1818">
        <v>826</v>
      </c>
      <c r="F1818" t="str">
        <f>HYPERLINK("https://www.google.com/maps/search/?api=1&amp;query=24.54986692,46.69962082", "View Map")</f>
        <v>View Map</v>
      </c>
    </row>
    <row r="1819" spans="1:6" x14ac:dyDescent="0.35">
      <c r="A1819" t="s">
        <v>4779</v>
      </c>
      <c r="B1819" t="s">
        <v>4780</v>
      </c>
      <c r="C1819" t="s">
        <v>1776</v>
      </c>
      <c r="D1819" t="s">
        <v>9</v>
      </c>
      <c r="E1819">
        <v>825</v>
      </c>
      <c r="F1819" t="str">
        <f>HYPERLINK("https://www.google.com/maps/search/?api=1&amp;query=24.68791906,46.76304245", "View Map")</f>
        <v>View Map</v>
      </c>
    </row>
    <row r="1820" spans="1:6" x14ac:dyDescent="0.35">
      <c r="A1820" t="s">
        <v>4781</v>
      </c>
      <c r="B1820" t="s">
        <v>4782</v>
      </c>
      <c r="C1820" t="s">
        <v>1776</v>
      </c>
      <c r="D1820" t="s">
        <v>9</v>
      </c>
      <c r="E1820">
        <v>824</v>
      </c>
      <c r="F1820" t="str">
        <f>HYPERLINK("https://www.google.com/maps/search/?api=1&amp;query=24.77990345,46.77837668", "View Map")</f>
        <v>View Map</v>
      </c>
    </row>
    <row r="1821" spans="1:6" x14ac:dyDescent="0.35">
      <c r="A1821" t="s">
        <v>4783</v>
      </c>
      <c r="B1821" t="s">
        <v>4784</v>
      </c>
      <c r="C1821" t="s">
        <v>1776</v>
      </c>
      <c r="D1821" t="s">
        <v>9</v>
      </c>
      <c r="E1821">
        <v>824</v>
      </c>
      <c r="F1821" t="str">
        <f>HYPERLINK("https://www.google.com/maps/search/?api=1&amp;query=24.73880636,46.82314675", "View Map")</f>
        <v>View Map</v>
      </c>
    </row>
    <row r="1822" spans="1:6" x14ac:dyDescent="0.35">
      <c r="A1822" t="s">
        <v>4785</v>
      </c>
      <c r="B1822" t="s">
        <v>4786</v>
      </c>
      <c r="C1822" t="s">
        <v>1776</v>
      </c>
      <c r="D1822" t="s">
        <v>9</v>
      </c>
      <c r="E1822">
        <v>823</v>
      </c>
      <c r="F1822" t="str">
        <f>HYPERLINK("https://www.google.com/maps/search/?api=1&amp;query=24.75759672,46.78977717", "View Map")</f>
        <v>View Map</v>
      </c>
    </row>
    <row r="1823" spans="1:6" x14ac:dyDescent="0.35">
      <c r="A1823" t="s">
        <v>1806</v>
      </c>
      <c r="B1823" t="s">
        <v>4787</v>
      </c>
      <c r="C1823" t="s">
        <v>1776</v>
      </c>
      <c r="D1823" t="s">
        <v>9</v>
      </c>
      <c r="E1823">
        <v>823</v>
      </c>
      <c r="F1823" t="str">
        <f>HYPERLINK("https://www.google.com/maps/search/?api=1&amp;query=24.61707847,46.53316512", "View Map")</f>
        <v>View Map</v>
      </c>
    </row>
    <row r="1824" spans="1:6" x14ac:dyDescent="0.35">
      <c r="A1824" t="s">
        <v>1798</v>
      </c>
      <c r="B1824" t="s">
        <v>4788</v>
      </c>
      <c r="C1824" t="s">
        <v>1776</v>
      </c>
      <c r="D1824" t="s">
        <v>9</v>
      </c>
      <c r="E1824">
        <v>823</v>
      </c>
      <c r="F1824" t="str">
        <f>HYPERLINK("https://www.google.com/maps/search/?api=1&amp;query=24.83766159,46.80180738", "View Map")</f>
        <v>View Map</v>
      </c>
    </row>
    <row r="1825" spans="1:6" x14ac:dyDescent="0.35">
      <c r="A1825" t="s">
        <v>1947</v>
      </c>
      <c r="B1825" t="s">
        <v>4789</v>
      </c>
      <c r="C1825" t="s">
        <v>1776</v>
      </c>
      <c r="D1825" t="s">
        <v>9</v>
      </c>
      <c r="E1825">
        <v>821</v>
      </c>
      <c r="F1825" t="str">
        <f>HYPERLINK("https://www.google.com/maps/search/?api=1&amp;query=24.55363955,46.6674507", "View Map")</f>
        <v>View Map</v>
      </c>
    </row>
    <row r="1826" spans="1:6" x14ac:dyDescent="0.35">
      <c r="A1826" t="s">
        <v>1947</v>
      </c>
      <c r="B1826" t="s">
        <v>4790</v>
      </c>
      <c r="C1826" t="s">
        <v>1776</v>
      </c>
      <c r="D1826" t="s">
        <v>9</v>
      </c>
      <c r="E1826">
        <v>821</v>
      </c>
      <c r="F1826" t="str">
        <f>HYPERLINK("https://www.google.com/maps/search/?api=1&amp;query=24.52501901,46.64200133", "View Map")</f>
        <v>View Map</v>
      </c>
    </row>
    <row r="1827" spans="1:6" x14ac:dyDescent="0.35">
      <c r="A1827" t="s">
        <v>4791</v>
      </c>
      <c r="B1827" t="s">
        <v>4792</v>
      </c>
      <c r="C1827" t="s">
        <v>1776</v>
      </c>
      <c r="D1827" t="s">
        <v>9</v>
      </c>
      <c r="E1827">
        <v>821</v>
      </c>
      <c r="F1827" t="str">
        <f>HYPERLINK("https://www.google.com/maps/search/?api=1&amp;query=24.58322854,46.62525201", "View Map")</f>
        <v>View Map</v>
      </c>
    </row>
    <row r="1828" spans="1:6" x14ac:dyDescent="0.35">
      <c r="A1828" t="s">
        <v>1798</v>
      </c>
      <c r="B1828" t="s">
        <v>4793</v>
      </c>
      <c r="C1828" t="s">
        <v>1776</v>
      </c>
      <c r="D1828" t="s">
        <v>9</v>
      </c>
      <c r="E1828">
        <v>820</v>
      </c>
      <c r="F1828" t="str">
        <f>HYPERLINK("https://www.google.com/maps/search/?api=1&amp;query=24.63385237,46.5697945", "View Map")</f>
        <v>View Map</v>
      </c>
    </row>
    <row r="1829" spans="1:6" x14ac:dyDescent="0.35">
      <c r="A1829" t="s">
        <v>1798</v>
      </c>
      <c r="B1829" t="s">
        <v>4794</v>
      </c>
      <c r="C1829" t="s">
        <v>1776</v>
      </c>
      <c r="D1829" t="s">
        <v>9</v>
      </c>
      <c r="E1829">
        <v>818</v>
      </c>
      <c r="F1829" t="str">
        <f>HYPERLINK("https://www.google.com/maps/search/?api=1&amp;query=24.67529007,46.79620197", "View Map")</f>
        <v>View Map</v>
      </c>
    </row>
    <row r="1830" spans="1:6" x14ac:dyDescent="0.35">
      <c r="A1830" t="s">
        <v>4795</v>
      </c>
      <c r="B1830" t="s">
        <v>4796</v>
      </c>
      <c r="C1830" t="s">
        <v>1776</v>
      </c>
      <c r="D1830" t="s">
        <v>9</v>
      </c>
      <c r="E1830">
        <v>818</v>
      </c>
      <c r="F1830" t="str">
        <f>HYPERLINK("https://www.google.com/maps/search/?api=1&amp;query=24.57820219,46.58912509", "View Map")</f>
        <v>View Map</v>
      </c>
    </row>
    <row r="1831" spans="1:6" x14ac:dyDescent="0.35">
      <c r="A1831" t="s">
        <v>4797</v>
      </c>
      <c r="B1831" t="s">
        <v>4798</v>
      </c>
      <c r="C1831" t="s">
        <v>1776</v>
      </c>
      <c r="D1831" t="s">
        <v>9</v>
      </c>
      <c r="E1831">
        <v>817</v>
      </c>
      <c r="F1831" t="str">
        <f>HYPERLINK("https://www.google.com/maps/search/?api=1&amp;query=24.67468812,46.81850128", "View Map")</f>
        <v>View Map</v>
      </c>
    </row>
    <row r="1832" spans="1:6" x14ac:dyDescent="0.35">
      <c r="A1832" t="s">
        <v>4799</v>
      </c>
      <c r="B1832" t="s">
        <v>4800</v>
      </c>
      <c r="C1832" t="s">
        <v>1776</v>
      </c>
      <c r="D1832" t="s">
        <v>9</v>
      </c>
      <c r="E1832">
        <v>817</v>
      </c>
      <c r="F1832" t="str">
        <f>HYPERLINK("https://www.google.com/maps/search/?api=1&amp;query=24.55872124,46.70698581", "View Map")</f>
        <v>View Map</v>
      </c>
    </row>
    <row r="1833" spans="1:6" x14ac:dyDescent="0.35">
      <c r="A1833" t="s">
        <v>3358</v>
      </c>
      <c r="B1833" t="s">
        <v>4801</v>
      </c>
      <c r="C1833" t="s">
        <v>1776</v>
      </c>
      <c r="D1833" t="s">
        <v>9</v>
      </c>
      <c r="E1833">
        <v>816</v>
      </c>
      <c r="F1833" t="str">
        <f>HYPERLINK("https://www.google.com/maps/search/?api=1&amp;query=24.58300865,46.68434332", "View Map")</f>
        <v>View Map</v>
      </c>
    </row>
    <row r="1834" spans="1:6" x14ac:dyDescent="0.35">
      <c r="A1834" t="s">
        <v>4802</v>
      </c>
      <c r="B1834" t="s">
        <v>4803</v>
      </c>
      <c r="C1834" t="s">
        <v>1776</v>
      </c>
      <c r="D1834" t="s">
        <v>9</v>
      </c>
      <c r="E1834">
        <v>815</v>
      </c>
      <c r="F1834" t="str">
        <f>HYPERLINK("https://www.google.com/maps/search/?api=1&amp;query=24.73495996,46.82072804", "View Map")</f>
        <v>View Map</v>
      </c>
    </row>
    <row r="1835" spans="1:6" x14ac:dyDescent="0.35">
      <c r="A1835" t="s">
        <v>4804</v>
      </c>
      <c r="B1835" t="s">
        <v>4805</v>
      </c>
      <c r="C1835" t="s">
        <v>1776</v>
      </c>
      <c r="D1835" t="s">
        <v>9</v>
      </c>
      <c r="E1835">
        <v>814</v>
      </c>
      <c r="F1835" t="str">
        <f>HYPERLINK("https://www.google.com/maps/search/?api=1&amp;query=24.58173059,46.66104574", "View Map")</f>
        <v>View Map</v>
      </c>
    </row>
    <row r="1836" spans="1:6" x14ac:dyDescent="0.35">
      <c r="A1836" t="s">
        <v>4806</v>
      </c>
      <c r="B1836" t="s">
        <v>4807</v>
      </c>
      <c r="C1836" t="s">
        <v>1776</v>
      </c>
      <c r="D1836" t="s">
        <v>9</v>
      </c>
      <c r="E1836">
        <v>814</v>
      </c>
      <c r="F1836" t="str">
        <f>HYPERLINK("https://www.google.com/maps/search/?api=1&amp;query=24.78872338,46.81821817", "View Map")</f>
        <v>View Map</v>
      </c>
    </row>
    <row r="1837" spans="1:6" x14ac:dyDescent="0.35">
      <c r="A1837" t="s">
        <v>1798</v>
      </c>
      <c r="B1837" t="s">
        <v>4808</v>
      </c>
      <c r="C1837" t="s">
        <v>1776</v>
      </c>
      <c r="D1837" t="s">
        <v>9</v>
      </c>
      <c r="E1837">
        <v>814</v>
      </c>
      <c r="F1837" t="str">
        <f>HYPERLINK("https://www.google.com/maps/search/?api=1&amp;query=24.67053403,46.54612797", "View Map")</f>
        <v>View Map</v>
      </c>
    </row>
    <row r="1838" spans="1:6" x14ac:dyDescent="0.35">
      <c r="A1838" t="s">
        <v>4809</v>
      </c>
      <c r="B1838" t="s">
        <v>4810</v>
      </c>
      <c r="C1838" t="s">
        <v>1776</v>
      </c>
      <c r="D1838" t="s">
        <v>9</v>
      </c>
      <c r="E1838">
        <v>813</v>
      </c>
      <c r="F1838" t="str">
        <f>HYPERLINK("https://www.google.com/maps/search/?api=1&amp;query=24.8204805,46.65611957", "View Map")</f>
        <v>View Map</v>
      </c>
    </row>
    <row r="1839" spans="1:6" x14ac:dyDescent="0.35">
      <c r="A1839" t="s">
        <v>4811</v>
      </c>
      <c r="B1839" t="s">
        <v>4812</v>
      </c>
      <c r="C1839" t="s">
        <v>1843</v>
      </c>
      <c r="D1839" t="s">
        <v>9</v>
      </c>
      <c r="E1839">
        <v>813</v>
      </c>
      <c r="F1839" t="str">
        <f>HYPERLINK("https://www.google.com/maps/search/?api=1&amp;query=24.74346695,46.58836502", "View Map")</f>
        <v>View Map</v>
      </c>
    </row>
    <row r="1840" spans="1:6" x14ac:dyDescent="0.35">
      <c r="A1840" t="s">
        <v>1947</v>
      </c>
      <c r="B1840" t="s">
        <v>4813</v>
      </c>
      <c r="C1840" t="s">
        <v>1776</v>
      </c>
      <c r="D1840" t="s">
        <v>9</v>
      </c>
      <c r="E1840">
        <v>812</v>
      </c>
      <c r="F1840" t="str">
        <f>HYPERLINK("https://www.google.com/maps/search/?api=1&amp;query=24.55068893,46.63014862", "View Map")</f>
        <v>View Map</v>
      </c>
    </row>
    <row r="1841" spans="1:6" x14ac:dyDescent="0.35">
      <c r="A1841" t="s">
        <v>4814</v>
      </c>
      <c r="B1841" t="s">
        <v>4815</v>
      </c>
      <c r="C1841" t="s">
        <v>1776</v>
      </c>
      <c r="D1841" t="s">
        <v>318</v>
      </c>
      <c r="E1841">
        <v>812</v>
      </c>
      <c r="F1841" t="str">
        <f>HYPERLINK("https://www.google.com/maps/search/?api=1&amp;query=24.77888061,46.67934118", "View Map")</f>
        <v>View Map</v>
      </c>
    </row>
    <row r="1842" spans="1:6" x14ac:dyDescent="0.35">
      <c r="A1842" t="s">
        <v>4816</v>
      </c>
      <c r="B1842" t="s">
        <v>4817</v>
      </c>
      <c r="C1842" t="s">
        <v>1776</v>
      </c>
      <c r="D1842" t="s">
        <v>9</v>
      </c>
      <c r="E1842">
        <v>812</v>
      </c>
      <c r="F1842" t="str">
        <f>HYPERLINK("https://www.google.com/maps/search/?api=1&amp;query=24.55956174,46.76150347", "View Map")</f>
        <v>View Map</v>
      </c>
    </row>
    <row r="1843" spans="1:6" x14ac:dyDescent="0.35">
      <c r="A1843" t="s">
        <v>1947</v>
      </c>
      <c r="B1843" t="s">
        <v>4818</v>
      </c>
      <c r="C1843" t="s">
        <v>1776</v>
      </c>
      <c r="D1843" t="s">
        <v>9</v>
      </c>
      <c r="E1843">
        <v>810</v>
      </c>
      <c r="F1843" t="str">
        <f>HYPERLINK("https://www.google.com/maps/search/?api=1&amp;query=24.55363955,46.6674507", "View Map")</f>
        <v>View Map</v>
      </c>
    </row>
    <row r="1844" spans="1:6" x14ac:dyDescent="0.35">
      <c r="A1844" t="s">
        <v>1947</v>
      </c>
      <c r="B1844" t="s">
        <v>4819</v>
      </c>
      <c r="C1844" t="s">
        <v>1776</v>
      </c>
      <c r="D1844" t="s">
        <v>9</v>
      </c>
      <c r="E1844">
        <v>810</v>
      </c>
      <c r="F1844" t="str">
        <f>HYPERLINK("https://www.google.com/maps/search/?api=1&amp;query=24.55454811,46.63405477", "View Map")</f>
        <v>View Map</v>
      </c>
    </row>
    <row r="1845" spans="1:6" x14ac:dyDescent="0.35">
      <c r="A1845" t="s">
        <v>4820</v>
      </c>
      <c r="B1845" t="s">
        <v>4821</v>
      </c>
      <c r="C1845" t="s">
        <v>1776</v>
      </c>
      <c r="D1845" t="s">
        <v>9</v>
      </c>
      <c r="E1845">
        <v>809</v>
      </c>
      <c r="F1845" t="str">
        <f>HYPERLINK("https://www.google.com/maps/search/?api=1&amp;query=24.74515969,46.75285959", "View Map")</f>
        <v>View Map</v>
      </c>
    </row>
    <row r="1846" spans="1:6" x14ac:dyDescent="0.35">
      <c r="A1846" t="s">
        <v>2545</v>
      </c>
      <c r="B1846" t="s">
        <v>4822</v>
      </c>
      <c r="C1846" t="s">
        <v>1776</v>
      </c>
      <c r="D1846" t="s">
        <v>9</v>
      </c>
      <c r="E1846">
        <v>809</v>
      </c>
      <c r="F1846" t="str">
        <f>HYPERLINK("https://www.google.com/maps/search/?api=1&amp;query=24.58107035,46.7845072", "View Map")</f>
        <v>View Map</v>
      </c>
    </row>
    <row r="1847" spans="1:6" x14ac:dyDescent="0.35">
      <c r="A1847" t="s">
        <v>1798</v>
      </c>
      <c r="B1847" t="s">
        <v>4823</v>
      </c>
      <c r="C1847" t="s">
        <v>1776</v>
      </c>
      <c r="D1847" t="s">
        <v>9</v>
      </c>
      <c r="E1847">
        <v>808</v>
      </c>
      <c r="F1847" t="str">
        <f>HYPERLINK("https://www.google.com/maps/search/?api=1&amp;query=24.806819,46.82055937", "View Map")</f>
        <v>View Map</v>
      </c>
    </row>
    <row r="1848" spans="1:6" x14ac:dyDescent="0.35">
      <c r="A1848" t="s">
        <v>1947</v>
      </c>
      <c r="B1848" t="s">
        <v>4824</v>
      </c>
      <c r="C1848" t="s">
        <v>1776</v>
      </c>
      <c r="D1848" t="s">
        <v>9</v>
      </c>
      <c r="E1848">
        <v>808</v>
      </c>
      <c r="F1848" t="str">
        <f>HYPERLINK("https://www.google.com/maps/search/?api=1&amp;query=24.56347807,46.5287017", "View Map")</f>
        <v>View Map</v>
      </c>
    </row>
    <row r="1849" spans="1:6" x14ac:dyDescent="0.35">
      <c r="A1849" t="s">
        <v>4825</v>
      </c>
      <c r="B1849" t="s">
        <v>4826</v>
      </c>
      <c r="C1849" t="s">
        <v>1776</v>
      </c>
      <c r="D1849" t="s">
        <v>9</v>
      </c>
      <c r="E1849">
        <v>808</v>
      </c>
      <c r="F1849" t="str">
        <f>HYPERLINK("https://www.google.com/maps/search/?api=1&amp;query=24.58271887,46.62109676", "View Map")</f>
        <v>View Map</v>
      </c>
    </row>
    <row r="1850" spans="1:6" x14ac:dyDescent="0.35">
      <c r="A1850" t="s">
        <v>4827</v>
      </c>
      <c r="B1850" t="s">
        <v>4828</v>
      </c>
      <c r="C1850" t="s">
        <v>1776</v>
      </c>
      <c r="D1850" t="s">
        <v>9</v>
      </c>
      <c r="E1850">
        <v>808</v>
      </c>
      <c r="F1850" t="str">
        <f>HYPERLINK("https://www.google.com/maps/search/?api=1&amp;query=24.74898477,46.62586132", "View Map")</f>
        <v>View Map</v>
      </c>
    </row>
    <row r="1851" spans="1:6" x14ac:dyDescent="0.35">
      <c r="A1851" t="s">
        <v>3791</v>
      </c>
      <c r="B1851" t="s">
        <v>4829</v>
      </c>
      <c r="C1851" t="s">
        <v>1776</v>
      </c>
      <c r="D1851" t="s">
        <v>9</v>
      </c>
      <c r="E1851">
        <v>808</v>
      </c>
      <c r="F1851" t="str">
        <f>HYPERLINK("https://www.google.com/maps/search/?api=1&amp;query=24.54393524,46.70151236", "View Map")</f>
        <v>View Map</v>
      </c>
    </row>
    <row r="1852" spans="1:6" x14ac:dyDescent="0.35">
      <c r="A1852" t="s">
        <v>4830</v>
      </c>
      <c r="B1852" t="s">
        <v>4831</v>
      </c>
      <c r="C1852" t="s">
        <v>1776</v>
      </c>
      <c r="D1852" t="s">
        <v>9</v>
      </c>
      <c r="E1852">
        <v>807</v>
      </c>
      <c r="F1852" t="str">
        <f>HYPERLINK("https://www.google.com/maps/search/?api=1&amp;query=24.58693637,46.76576371", "View Map")</f>
        <v>View Map</v>
      </c>
    </row>
    <row r="1853" spans="1:6" x14ac:dyDescent="0.35">
      <c r="A1853" t="s">
        <v>2396</v>
      </c>
      <c r="B1853" t="s">
        <v>4832</v>
      </c>
      <c r="C1853" t="s">
        <v>1776</v>
      </c>
      <c r="D1853" t="s">
        <v>9</v>
      </c>
      <c r="E1853">
        <v>806</v>
      </c>
      <c r="F1853" t="str">
        <f>HYPERLINK("https://www.google.com/maps/search/?api=1&amp;query=24.60547967,46.74862502", "View Map")</f>
        <v>View Map</v>
      </c>
    </row>
    <row r="1854" spans="1:6" x14ac:dyDescent="0.35">
      <c r="A1854" t="s">
        <v>4833</v>
      </c>
      <c r="B1854" t="s">
        <v>4834</v>
      </c>
      <c r="C1854" t="s">
        <v>1776</v>
      </c>
      <c r="D1854" t="s">
        <v>9</v>
      </c>
      <c r="E1854">
        <v>806</v>
      </c>
      <c r="F1854" t="str">
        <f>HYPERLINK("https://www.google.com/maps/search/?api=1&amp;query=24.59439349,46.74620172", "View Map")</f>
        <v>View Map</v>
      </c>
    </row>
    <row r="1855" spans="1:6" x14ac:dyDescent="0.35">
      <c r="A1855" t="s">
        <v>4835</v>
      </c>
      <c r="B1855" t="s">
        <v>4836</v>
      </c>
      <c r="C1855" t="s">
        <v>1776</v>
      </c>
      <c r="D1855" t="s">
        <v>9</v>
      </c>
      <c r="E1855">
        <v>806</v>
      </c>
      <c r="F1855" t="str">
        <f>HYPERLINK("https://www.google.com/maps/search/?api=1&amp;query=24.5912307,46.54045824", "View Map")</f>
        <v>View Map</v>
      </c>
    </row>
    <row r="1856" spans="1:6" x14ac:dyDescent="0.35">
      <c r="A1856" t="s">
        <v>3045</v>
      </c>
      <c r="B1856" t="s">
        <v>4837</v>
      </c>
      <c r="C1856" t="s">
        <v>1776</v>
      </c>
      <c r="D1856" t="s">
        <v>9</v>
      </c>
      <c r="E1856">
        <v>806</v>
      </c>
      <c r="F1856" t="str">
        <f>HYPERLINK("https://www.google.com/maps/search/?api=1&amp;query=24.51514961,46.72642852", "View Map")</f>
        <v>View Map</v>
      </c>
    </row>
    <row r="1857" spans="1:6" x14ac:dyDescent="0.35">
      <c r="A1857" t="s">
        <v>4838</v>
      </c>
      <c r="B1857" t="s">
        <v>4839</v>
      </c>
      <c r="C1857" t="s">
        <v>1776</v>
      </c>
      <c r="D1857" t="s">
        <v>9</v>
      </c>
      <c r="E1857">
        <v>805</v>
      </c>
      <c r="F1857" t="str">
        <f>HYPERLINK("https://www.google.com/maps/search/?api=1&amp;query=24.5756853,46.76371107", "View Map")</f>
        <v>View Map</v>
      </c>
    </row>
    <row r="1858" spans="1:6" x14ac:dyDescent="0.35">
      <c r="A1858" t="s">
        <v>4840</v>
      </c>
      <c r="B1858" t="s">
        <v>4841</v>
      </c>
      <c r="C1858" t="s">
        <v>1776</v>
      </c>
      <c r="D1858" t="s">
        <v>9</v>
      </c>
      <c r="E1858">
        <v>805</v>
      </c>
      <c r="F1858" t="str">
        <f>HYPERLINK("https://www.google.com/maps/search/?api=1&amp;query=24.56231932,46.68050073", "View Map")</f>
        <v>View Map</v>
      </c>
    </row>
    <row r="1859" spans="1:6" x14ac:dyDescent="0.35">
      <c r="A1859" t="s">
        <v>4842</v>
      </c>
      <c r="B1859" t="s">
        <v>4843</v>
      </c>
      <c r="C1859" t="s">
        <v>1776</v>
      </c>
      <c r="D1859" t="s">
        <v>9</v>
      </c>
      <c r="E1859">
        <v>805</v>
      </c>
      <c r="F1859" t="str">
        <f>HYPERLINK("https://www.google.com/maps/search/?api=1&amp;query=24.63925396,46.74277525", "View Map")</f>
        <v>View Map</v>
      </c>
    </row>
    <row r="1860" spans="1:6" x14ac:dyDescent="0.35">
      <c r="A1860" t="s">
        <v>4844</v>
      </c>
      <c r="B1860" t="s">
        <v>4845</v>
      </c>
      <c r="C1860" t="s">
        <v>1776</v>
      </c>
      <c r="D1860" t="s">
        <v>9</v>
      </c>
      <c r="E1860">
        <v>804</v>
      </c>
      <c r="F1860" t="str">
        <f>HYPERLINK("https://www.google.com/maps/search/?api=1&amp;query=24.70235429,46.77728484", "View Map")</f>
        <v>View Map</v>
      </c>
    </row>
    <row r="1861" spans="1:6" x14ac:dyDescent="0.35">
      <c r="A1861" t="s">
        <v>1947</v>
      </c>
      <c r="B1861" t="s">
        <v>4846</v>
      </c>
      <c r="C1861" t="s">
        <v>1776</v>
      </c>
      <c r="D1861" t="s">
        <v>9</v>
      </c>
      <c r="E1861">
        <v>804</v>
      </c>
      <c r="F1861" t="str">
        <f>HYPERLINK("https://www.google.com/maps/search/?api=1&amp;query=24.5667,46.5528", "View Map")</f>
        <v>View Map</v>
      </c>
    </row>
    <row r="1862" spans="1:6" x14ac:dyDescent="0.35">
      <c r="A1862" t="s">
        <v>4847</v>
      </c>
      <c r="B1862" t="s">
        <v>4848</v>
      </c>
      <c r="C1862" t="s">
        <v>1776</v>
      </c>
      <c r="D1862" t="s">
        <v>9</v>
      </c>
      <c r="E1862">
        <v>803</v>
      </c>
      <c r="F1862" t="str">
        <f>HYPERLINK("https://www.google.com/maps/search/?api=1&amp;query=24.74764861,46.83726737", "View Map")</f>
        <v>View Map</v>
      </c>
    </row>
    <row r="1863" spans="1:6" x14ac:dyDescent="0.35">
      <c r="A1863" t="s">
        <v>4849</v>
      </c>
      <c r="B1863" t="s">
        <v>4850</v>
      </c>
      <c r="C1863" t="s">
        <v>1776</v>
      </c>
      <c r="D1863" t="s">
        <v>9</v>
      </c>
      <c r="E1863">
        <v>803</v>
      </c>
      <c r="F1863" t="str">
        <f>HYPERLINK("https://www.google.com/maps/search/?api=1&amp;query=24.65746489,46.82236998", "View Map")</f>
        <v>View Map</v>
      </c>
    </row>
    <row r="1864" spans="1:6" x14ac:dyDescent="0.35">
      <c r="A1864" t="s">
        <v>617</v>
      </c>
      <c r="B1864" t="s">
        <v>4851</v>
      </c>
      <c r="C1864" t="s">
        <v>1776</v>
      </c>
      <c r="D1864" t="s">
        <v>9</v>
      </c>
      <c r="E1864">
        <v>802</v>
      </c>
      <c r="F1864" t="str">
        <f>HYPERLINK("https://www.google.com/maps/search/?api=1&amp;query=24.67718239,46.85305015", "View Map")</f>
        <v>View Map</v>
      </c>
    </row>
    <row r="1865" spans="1:6" x14ac:dyDescent="0.35">
      <c r="A1865" t="s">
        <v>4852</v>
      </c>
      <c r="B1865" t="s">
        <v>4853</v>
      </c>
      <c r="C1865" t="s">
        <v>1776</v>
      </c>
      <c r="D1865" t="s">
        <v>9</v>
      </c>
      <c r="E1865">
        <v>802</v>
      </c>
      <c r="F1865" t="str">
        <f>HYPERLINK("https://www.google.com/maps/search/?api=1&amp;query=24.76981515,46.78986917", "View Map")</f>
        <v>View Map</v>
      </c>
    </row>
    <row r="1866" spans="1:6" x14ac:dyDescent="0.35">
      <c r="A1866" t="s">
        <v>2514</v>
      </c>
      <c r="B1866" t="s">
        <v>4854</v>
      </c>
      <c r="C1866" t="s">
        <v>1776</v>
      </c>
      <c r="D1866" t="s">
        <v>9</v>
      </c>
      <c r="E1866">
        <v>802</v>
      </c>
      <c r="F1866" t="str">
        <f>HYPERLINK("https://www.google.com/maps/search/?api=1&amp;query=24.7160165,46.80830358", "View Map")</f>
        <v>View Map</v>
      </c>
    </row>
    <row r="1867" spans="1:6" x14ac:dyDescent="0.35">
      <c r="A1867" t="s">
        <v>4101</v>
      </c>
      <c r="B1867" t="s">
        <v>4855</v>
      </c>
      <c r="C1867" t="s">
        <v>1776</v>
      </c>
      <c r="D1867" t="s">
        <v>9</v>
      </c>
      <c r="E1867">
        <v>801</v>
      </c>
      <c r="F1867" t="str">
        <f>HYPERLINK("https://www.google.com/maps/search/?api=1&amp;query=24.75061858,46.78284778", "View Map")</f>
        <v>View Map</v>
      </c>
    </row>
    <row r="1868" spans="1:6" x14ac:dyDescent="0.35">
      <c r="A1868" t="s">
        <v>4856</v>
      </c>
      <c r="B1868" t="s">
        <v>4857</v>
      </c>
      <c r="C1868" t="s">
        <v>1776</v>
      </c>
      <c r="D1868" t="s">
        <v>9</v>
      </c>
      <c r="E1868">
        <v>800</v>
      </c>
      <c r="F1868" t="str">
        <f>HYPERLINK("https://www.google.com/maps/search/?api=1&amp;query=24.57175114,46.66794553", "View Map")</f>
        <v>View Map</v>
      </c>
    </row>
    <row r="1869" spans="1:6" x14ac:dyDescent="0.35">
      <c r="A1869" t="s">
        <v>1794</v>
      </c>
      <c r="B1869" t="s">
        <v>4858</v>
      </c>
      <c r="C1869" t="s">
        <v>1776</v>
      </c>
      <c r="D1869" t="s">
        <v>9</v>
      </c>
      <c r="E1869">
        <v>798</v>
      </c>
      <c r="F1869" t="str">
        <f>HYPERLINK("https://www.google.com/maps/search/?api=1&amp;query=24.64229549,46.55349158", "View Map")</f>
        <v>View Map</v>
      </c>
    </row>
    <row r="1870" spans="1:6" x14ac:dyDescent="0.35">
      <c r="A1870" t="s">
        <v>4859</v>
      </c>
      <c r="B1870" t="s">
        <v>4860</v>
      </c>
      <c r="C1870" t="s">
        <v>1776</v>
      </c>
      <c r="D1870" t="s">
        <v>9</v>
      </c>
      <c r="E1870">
        <v>797</v>
      </c>
      <c r="F1870" t="str">
        <f>HYPERLINK("https://www.google.com/maps/search/?api=1&amp;query=24.76235624,46.68537258", "View Map")</f>
        <v>View Map</v>
      </c>
    </row>
    <row r="1871" spans="1:6" x14ac:dyDescent="0.35">
      <c r="A1871" t="s">
        <v>4861</v>
      </c>
      <c r="B1871" t="s">
        <v>4862</v>
      </c>
      <c r="C1871" t="s">
        <v>1776</v>
      </c>
      <c r="D1871" t="s">
        <v>9</v>
      </c>
      <c r="E1871">
        <v>797</v>
      </c>
      <c r="F1871" t="str">
        <f>HYPERLINK("https://www.google.com/maps/search/?api=1&amp;query=24.80514492,46.77496815", "View Map")</f>
        <v>View Map</v>
      </c>
    </row>
    <row r="1872" spans="1:6" x14ac:dyDescent="0.35">
      <c r="A1872" t="s">
        <v>4863</v>
      </c>
      <c r="B1872" t="s">
        <v>4864</v>
      </c>
      <c r="C1872" t="s">
        <v>1776</v>
      </c>
      <c r="D1872" t="s">
        <v>9</v>
      </c>
      <c r="E1872">
        <v>797</v>
      </c>
      <c r="F1872" t="str">
        <f>HYPERLINK("https://www.google.com/maps/search/?api=1&amp;query=24.68369106,46.79342526", "View Map")</f>
        <v>View Map</v>
      </c>
    </row>
    <row r="1873" spans="1:6" x14ac:dyDescent="0.35">
      <c r="A1873" t="s">
        <v>3280</v>
      </c>
      <c r="B1873" t="s">
        <v>4865</v>
      </c>
      <c r="C1873" t="s">
        <v>1776</v>
      </c>
      <c r="D1873" t="s">
        <v>9</v>
      </c>
      <c r="E1873">
        <v>796</v>
      </c>
      <c r="F1873" t="str">
        <f>HYPERLINK("https://www.google.com/maps/search/?api=1&amp;query=24.65144175,46.57815229", "View Map")</f>
        <v>View Map</v>
      </c>
    </row>
    <row r="1874" spans="1:6" x14ac:dyDescent="0.35">
      <c r="A1874" t="s">
        <v>1798</v>
      </c>
      <c r="B1874" t="s">
        <v>4866</v>
      </c>
      <c r="C1874" t="s">
        <v>1776</v>
      </c>
      <c r="D1874" t="s">
        <v>9</v>
      </c>
      <c r="E1874">
        <v>796</v>
      </c>
      <c r="F1874" t="str">
        <f>HYPERLINK("https://www.google.com/maps/search/?api=1&amp;query=24.80220958,46.74242305", "View Map")</f>
        <v>View Map</v>
      </c>
    </row>
    <row r="1875" spans="1:6" x14ac:dyDescent="0.35">
      <c r="A1875" t="s">
        <v>2121</v>
      </c>
      <c r="B1875" t="s">
        <v>4867</v>
      </c>
      <c r="C1875" t="s">
        <v>1776</v>
      </c>
      <c r="D1875" t="s">
        <v>9</v>
      </c>
      <c r="E1875">
        <v>795</v>
      </c>
      <c r="F1875" t="str">
        <f>HYPERLINK("https://www.google.com/maps/search/?api=1&amp;query=24.78675534,46.69088504", "View Map")</f>
        <v>View Map</v>
      </c>
    </row>
    <row r="1876" spans="1:6" x14ac:dyDescent="0.35">
      <c r="A1876" t="s">
        <v>4868</v>
      </c>
      <c r="B1876" t="s">
        <v>4869</v>
      </c>
      <c r="C1876" t="s">
        <v>1776</v>
      </c>
      <c r="D1876" t="s">
        <v>9</v>
      </c>
      <c r="E1876">
        <v>795</v>
      </c>
      <c r="F1876" t="str">
        <f>HYPERLINK("https://www.google.com/maps/search/?api=1&amp;query=24.57467219,46.7800645", "View Map")</f>
        <v>View Map</v>
      </c>
    </row>
    <row r="1877" spans="1:6" x14ac:dyDescent="0.35">
      <c r="A1877" t="s">
        <v>4870</v>
      </c>
      <c r="B1877" t="s">
        <v>4871</v>
      </c>
      <c r="C1877" t="s">
        <v>1776</v>
      </c>
      <c r="D1877" t="s">
        <v>9</v>
      </c>
      <c r="E1877">
        <v>795</v>
      </c>
      <c r="F1877" t="str">
        <f>HYPERLINK("https://www.google.com/maps/search/?api=1&amp;query=24.70453736,46.74207678", "View Map")</f>
        <v>View Map</v>
      </c>
    </row>
    <row r="1878" spans="1:6" x14ac:dyDescent="0.35">
      <c r="A1878" t="s">
        <v>4872</v>
      </c>
      <c r="B1878" t="s">
        <v>4873</v>
      </c>
      <c r="C1878" t="s">
        <v>1843</v>
      </c>
      <c r="D1878" t="s">
        <v>9</v>
      </c>
      <c r="E1878">
        <v>795</v>
      </c>
      <c r="F1878" t="str">
        <f>HYPERLINK("https://www.google.com/maps/search/?api=1&amp;query=24.74012063,46.59488177", "View Map")</f>
        <v>View Map</v>
      </c>
    </row>
    <row r="1879" spans="1:6" x14ac:dyDescent="0.35">
      <c r="A1879" t="s">
        <v>4874</v>
      </c>
      <c r="B1879" t="s">
        <v>4875</v>
      </c>
      <c r="C1879" t="s">
        <v>1776</v>
      </c>
      <c r="D1879" t="s">
        <v>9</v>
      </c>
      <c r="E1879">
        <v>794</v>
      </c>
      <c r="F1879" t="str">
        <f>HYPERLINK("https://www.google.com/maps/search/?api=1&amp;query=24.74580397,46.66669321", "View Map")</f>
        <v>View Map</v>
      </c>
    </row>
    <row r="1880" spans="1:6" x14ac:dyDescent="0.35">
      <c r="A1880" t="s">
        <v>1806</v>
      </c>
      <c r="B1880" t="s">
        <v>4876</v>
      </c>
      <c r="C1880" t="s">
        <v>1776</v>
      </c>
      <c r="D1880" t="s">
        <v>9</v>
      </c>
      <c r="E1880">
        <v>794</v>
      </c>
      <c r="F1880" t="str">
        <f>HYPERLINK("https://www.google.com/maps/search/?api=1&amp;query=24.81624839,46.8341442", "View Map")</f>
        <v>View Map</v>
      </c>
    </row>
    <row r="1881" spans="1:6" x14ac:dyDescent="0.35">
      <c r="A1881" t="s">
        <v>4877</v>
      </c>
      <c r="B1881" t="s">
        <v>4878</v>
      </c>
      <c r="C1881" t="s">
        <v>1776</v>
      </c>
      <c r="D1881" t="s">
        <v>9</v>
      </c>
      <c r="E1881">
        <v>793</v>
      </c>
      <c r="F1881" t="str">
        <f>HYPERLINK("https://www.google.com/maps/search/?api=1&amp;query=24.74872362,46.76460672", "View Map")</f>
        <v>View Map</v>
      </c>
    </row>
    <row r="1882" spans="1:6" x14ac:dyDescent="0.35">
      <c r="A1882" t="s">
        <v>4879</v>
      </c>
      <c r="B1882" t="s">
        <v>4880</v>
      </c>
      <c r="C1882" t="s">
        <v>1776</v>
      </c>
      <c r="D1882" t="s">
        <v>9</v>
      </c>
      <c r="E1882">
        <v>793</v>
      </c>
      <c r="F1882" t="str">
        <f>HYPERLINK("https://www.google.com/maps/search/?api=1&amp;query=24.59538606,46.76029581", "View Map")</f>
        <v>View Map</v>
      </c>
    </row>
    <row r="1883" spans="1:6" x14ac:dyDescent="0.35">
      <c r="A1883" t="s">
        <v>4881</v>
      </c>
      <c r="B1883" t="s">
        <v>4882</v>
      </c>
      <c r="C1883" t="s">
        <v>1776</v>
      </c>
      <c r="D1883" t="s">
        <v>9</v>
      </c>
      <c r="E1883">
        <v>792</v>
      </c>
      <c r="F1883" t="str">
        <f>HYPERLINK("https://www.google.com/maps/search/?api=1&amp;query=24.59388837,46.59087851", "View Map")</f>
        <v>View Map</v>
      </c>
    </row>
    <row r="1884" spans="1:6" x14ac:dyDescent="0.35">
      <c r="A1884" t="s">
        <v>2746</v>
      </c>
      <c r="B1884" t="s">
        <v>4883</v>
      </c>
      <c r="C1884" t="s">
        <v>1776</v>
      </c>
      <c r="D1884" t="s">
        <v>9</v>
      </c>
      <c r="E1884">
        <v>792</v>
      </c>
      <c r="F1884" t="str">
        <f>HYPERLINK("https://www.google.com/maps/search/?api=1&amp;query=24.81721596,46.6321024", "View Map")</f>
        <v>View Map</v>
      </c>
    </row>
    <row r="1885" spans="1:6" x14ac:dyDescent="0.35">
      <c r="A1885" t="s">
        <v>4884</v>
      </c>
      <c r="B1885" t="s">
        <v>4885</v>
      </c>
      <c r="C1885" t="s">
        <v>1776</v>
      </c>
      <c r="D1885" t="s">
        <v>9</v>
      </c>
      <c r="E1885">
        <v>791</v>
      </c>
      <c r="F1885" t="str">
        <f>HYPERLINK("https://www.google.com/maps/search/?api=1&amp;query=24.61319567,46.52029142", "View Map")</f>
        <v>View Map</v>
      </c>
    </row>
    <row r="1886" spans="1:6" x14ac:dyDescent="0.35">
      <c r="A1886" t="s">
        <v>1798</v>
      </c>
      <c r="B1886" t="s">
        <v>4886</v>
      </c>
      <c r="C1886" t="s">
        <v>1776</v>
      </c>
      <c r="D1886" t="s">
        <v>9</v>
      </c>
      <c r="E1886">
        <v>787</v>
      </c>
      <c r="F1886" t="str">
        <f>HYPERLINK("https://www.google.com/maps/search/?api=1&amp;query=24.93037602,46.79306524", "View Map")</f>
        <v>View Map</v>
      </c>
    </row>
    <row r="1887" spans="1:6" x14ac:dyDescent="0.35">
      <c r="A1887" t="s">
        <v>4887</v>
      </c>
      <c r="B1887" t="s">
        <v>4888</v>
      </c>
      <c r="C1887" t="s">
        <v>1776</v>
      </c>
      <c r="D1887" t="s">
        <v>9</v>
      </c>
      <c r="E1887">
        <v>787</v>
      </c>
      <c r="F1887" t="str">
        <f>HYPERLINK("https://www.google.com/maps/search/?api=1&amp;query=24.5965079,46.74344273", "View Map")</f>
        <v>View Map</v>
      </c>
    </row>
    <row r="1888" spans="1:6" x14ac:dyDescent="0.35">
      <c r="A1888" t="s">
        <v>2244</v>
      </c>
      <c r="B1888" t="s">
        <v>4889</v>
      </c>
      <c r="C1888" t="s">
        <v>1776</v>
      </c>
      <c r="D1888" t="s">
        <v>9</v>
      </c>
      <c r="E1888">
        <v>786</v>
      </c>
      <c r="F1888" t="str">
        <f>HYPERLINK("https://www.google.com/maps/search/?api=1&amp;query=24.79579869,46.70471849", "View Map")</f>
        <v>View Map</v>
      </c>
    </row>
    <row r="1889" spans="1:6" x14ac:dyDescent="0.35">
      <c r="A1889" t="s">
        <v>4890</v>
      </c>
      <c r="B1889" t="s">
        <v>4891</v>
      </c>
      <c r="C1889" t="s">
        <v>1776</v>
      </c>
      <c r="D1889" t="s">
        <v>9</v>
      </c>
      <c r="E1889">
        <v>786</v>
      </c>
      <c r="F1889" t="str">
        <f>HYPERLINK("https://www.google.com/maps/search/?api=1&amp;query=24.64150331,46.75531957", "View Map")</f>
        <v>View Map</v>
      </c>
    </row>
    <row r="1890" spans="1:6" x14ac:dyDescent="0.35">
      <c r="A1890" t="s">
        <v>4892</v>
      </c>
      <c r="B1890" t="s">
        <v>4893</v>
      </c>
      <c r="C1890" t="s">
        <v>1776</v>
      </c>
      <c r="D1890" t="s">
        <v>9</v>
      </c>
      <c r="E1890">
        <v>786</v>
      </c>
      <c r="F1890" t="str">
        <f>HYPERLINK("https://www.google.com/maps/search/?api=1&amp;query=24.80334741,46.68383473", "View Map")</f>
        <v>View Map</v>
      </c>
    </row>
    <row r="1891" spans="1:6" x14ac:dyDescent="0.35">
      <c r="A1891" t="s">
        <v>1798</v>
      </c>
      <c r="B1891" t="s">
        <v>4894</v>
      </c>
      <c r="C1891" t="s">
        <v>1776</v>
      </c>
      <c r="D1891" t="s">
        <v>9</v>
      </c>
      <c r="E1891">
        <v>786</v>
      </c>
      <c r="F1891" t="str">
        <f>HYPERLINK("https://www.google.com/maps/search/?api=1&amp;query=24.84057362,46.88259005", "View Map")</f>
        <v>View Map</v>
      </c>
    </row>
    <row r="1892" spans="1:6" x14ac:dyDescent="0.35">
      <c r="A1892" t="s">
        <v>1798</v>
      </c>
      <c r="B1892" t="s">
        <v>4895</v>
      </c>
      <c r="C1892" t="s">
        <v>1843</v>
      </c>
      <c r="D1892" t="s">
        <v>9</v>
      </c>
      <c r="E1892">
        <v>785</v>
      </c>
      <c r="F1892" t="str">
        <f>HYPERLINK("https://www.google.com/maps/search/?api=1&amp;query=24.83085588,46.57274894", "View Map")</f>
        <v>View Map</v>
      </c>
    </row>
    <row r="1893" spans="1:6" x14ac:dyDescent="0.35">
      <c r="A1893" t="s">
        <v>4896</v>
      </c>
      <c r="B1893" t="s">
        <v>4897</v>
      </c>
      <c r="C1893" t="s">
        <v>1776</v>
      </c>
      <c r="D1893" t="s">
        <v>9</v>
      </c>
      <c r="E1893">
        <v>785</v>
      </c>
      <c r="F1893" t="str">
        <f>HYPERLINK("https://www.google.com/maps/search/?api=1&amp;query=24.57502104,46.83168619", "View Map")</f>
        <v>View Map</v>
      </c>
    </row>
    <row r="1894" spans="1:6" x14ac:dyDescent="0.35">
      <c r="A1894" t="s">
        <v>4898</v>
      </c>
      <c r="B1894" t="s">
        <v>4899</v>
      </c>
      <c r="C1894" t="s">
        <v>1776</v>
      </c>
      <c r="D1894" t="s">
        <v>9</v>
      </c>
      <c r="E1894">
        <v>785</v>
      </c>
      <c r="F1894" t="str">
        <f>HYPERLINK("https://www.google.com/maps/search/?api=1&amp;query=24.58809406,46.55910426", "View Map")</f>
        <v>View Map</v>
      </c>
    </row>
    <row r="1895" spans="1:6" x14ac:dyDescent="0.35">
      <c r="A1895" t="s">
        <v>1798</v>
      </c>
      <c r="B1895" t="s">
        <v>4900</v>
      </c>
      <c r="C1895" t="s">
        <v>1776</v>
      </c>
      <c r="D1895" t="s">
        <v>9</v>
      </c>
      <c r="E1895">
        <v>784</v>
      </c>
      <c r="F1895" t="str">
        <f>HYPERLINK("https://www.google.com/maps/search/?api=1&amp;query=24.8711394,46.66222365", "View Map")</f>
        <v>View Map</v>
      </c>
    </row>
    <row r="1896" spans="1:6" x14ac:dyDescent="0.35">
      <c r="A1896" t="s">
        <v>4901</v>
      </c>
      <c r="B1896" t="s">
        <v>4902</v>
      </c>
      <c r="C1896" t="s">
        <v>1776</v>
      </c>
      <c r="D1896" t="s">
        <v>9</v>
      </c>
      <c r="E1896">
        <v>784</v>
      </c>
      <c r="F1896" t="str">
        <f>HYPERLINK("https://www.google.com/maps/search/?api=1&amp;query=24.63527663,46.61824809", "View Map")</f>
        <v>View Map</v>
      </c>
    </row>
    <row r="1897" spans="1:6" x14ac:dyDescent="0.35">
      <c r="A1897" t="s">
        <v>4903</v>
      </c>
      <c r="B1897" t="s">
        <v>4904</v>
      </c>
      <c r="C1897" t="s">
        <v>1776</v>
      </c>
      <c r="D1897" t="s">
        <v>9</v>
      </c>
      <c r="E1897">
        <v>783</v>
      </c>
      <c r="F1897" t="str">
        <f>HYPERLINK("https://www.google.com/maps/search/?api=1&amp;query=24.61055679,46.67228234", "View Map")</f>
        <v>View Map</v>
      </c>
    </row>
    <row r="1898" spans="1:6" x14ac:dyDescent="0.35">
      <c r="A1898" t="s">
        <v>4905</v>
      </c>
      <c r="B1898" t="s">
        <v>4906</v>
      </c>
      <c r="C1898" t="s">
        <v>1776</v>
      </c>
      <c r="D1898" t="s">
        <v>9</v>
      </c>
      <c r="E1898">
        <v>782</v>
      </c>
      <c r="F1898" t="str">
        <f>HYPERLINK("https://www.google.com/maps/search/?api=1&amp;query=24.68233004,46.8225652", "View Map")</f>
        <v>View Map</v>
      </c>
    </row>
    <row r="1899" spans="1:6" x14ac:dyDescent="0.35">
      <c r="A1899" t="s">
        <v>4907</v>
      </c>
      <c r="B1899" t="s">
        <v>4908</v>
      </c>
      <c r="C1899" t="s">
        <v>1776</v>
      </c>
      <c r="D1899" t="s">
        <v>9</v>
      </c>
      <c r="E1899">
        <v>782</v>
      </c>
      <c r="F1899" t="str">
        <f>HYPERLINK("https://www.google.com/maps/search/?api=1&amp;query=24.65714737,46.70770269", "View Map")</f>
        <v>View Map</v>
      </c>
    </row>
    <row r="1900" spans="1:6" x14ac:dyDescent="0.35">
      <c r="A1900" t="s">
        <v>4909</v>
      </c>
      <c r="B1900" t="s">
        <v>4910</v>
      </c>
      <c r="C1900" t="s">
        <v>1776</v>
      </c>
      <c r="D1900" t="s">
        <v>9</v>
      </c>
      <c r="E1900">
        <v>782</v>
      </c>
      <c r="F1900" t="str">
        <f>HYPERLINK("https://www.google.com/maps/search/?api=1&amp;query=24.57494514,46.7129081", "View Map")</f>
        <v>View Map</v>
      </c>
    </row>
    <row r="1901" spans="1:6" x14ac:dyDescent="0.35">
      <c r="A1901" t="s">
        <v>4185</v>
      </c>
      <c r="B1901" t="s">
        <v>4911</v>
      </c>
      <c r="C1901" t="s">
        <v>1776</v>
      </c>
      <c r="D1901" t="s">
        <v>9</v>
      </c>
      <c r="E1901">
        <v>782</v>
      </c>
      <c r="F1901" t="str">
        <f>HYPERLINK("https://www.google.com/maps/search/?api=1&amp;query=24.68012154,46.74429679", "View Map")</f>
        <v>View Map</v>
      </c>
    </row>
    <row r="1902" spans="1:6" x14ac:dyDescent="0.35">
      <c r="A1902" t="s">
        <v>1798</v>
      </c>
      <c r="B1902" t="s">
        <v>4912</v>
      </c>
      <c r="C1902" t="s">
        <v>1843</v>
      </c>
      <c r="D1902" t="s">
        <v>9</v>
      </c>
      <c r="E1902">
        <v>781</v>
      </c>
      <c r="F1902" t="str">
        <f>HYPERLINK("https://www.google.com/maps/search/?api=1&amp;query=24.83083847,46.5580538", "View Map")</f>
        <v>View Map</v>
      </c>
    </row>
    <row r="1903" spans="1:6" x14ac:dyDescent="0.35">
      <c r="A1903" t="s">
        <v>4913</v>
      </c>
      <c r="B1903" t="s">
        <v>4914</v>
      </c>
      <c r="C1903" t="s">
        <v>1776</v>
      </c>
      <c r="D1903" t="s">
        <v>9</v>
      </c>
      <c r="E1903">
        <v>781</v>
      </c>
      <c r="F1903" t="str">
        <f>HYPERLINK("https://www.google.com/maps/search/?api=1&amp;query=24.62827066,46.70069355", "View Map")</f>
        <v>View Map</v>
      </c>
    </row>
    <row r="1904" spans="1:6" x14ac:dyDescent="0.35">
      <c r="A1904" t="s">
        <v>1798</v>
      </c>
      <c r="B1904" t="s">
        <v>4915</v>
      </c>
      <c r="C1904" t="s">
        <v>1776</v>
      </c>
      <c r="D1904" t="s">
        <v>9</v>
      </c>
      <c r="E1904">
        <v>781</v>
      </c>
      <c r="F1904" t="str">
        <f>HYPERLINK("https://www.google.com/maps/search/?api=1&amp;query=24.66966,46.55142", "View Map")</f>
        <v>View Map</v>
      </c>
    </row>
    <row r="1905" spans="1:6" x14ac:dyDescent="0.35">
      <c r="A1905" t="s">
        <v>2720</v>
      </c>
      <c r="B1905" t="s">
        <v>4916</v>
      </c>
      <c r="C1905" t="s">
        <v>1776</v>
      </c>
      <c r="D1905" t="s">
        <v>9</v>
      </c>
      <c r="E1905">
        <v>781</v>
      </c>
      <c r="F1905" t="str">
        <f>HYPERLINK("https://www.google.com/maps/search/?api=1&amp;query=24.57371662,46.83684181", "View Map")</f>
        <v>View Map</v>
      </c>
    </row>
    <row r="1906" spans="1:6" x14ac:dyDescent="0.35">
      <c r="A1906" t="s">
        <v>4917</v>
      </c>
      <c r="B1906" t="s">
        <v>4918</v>
      </c>
      <c r="C1906" t="s">
        <v>1776</v>
      </c>
      <c r="D1906" t="s">
        <v>9</v>
      </c>
      <c r="E1906">
        <v>781</v>
      </c>
      <c r="F1906" t="str">
        <f>HYPERLINK("https://www.google.com/maps/search/?api=1&amp;query=24.70920666,46.66952135", "View Map")</f>
        <v>View Map</v>
      </c>
    </row>
    <row r="1907" spans="1:6" x14ac:dyDescent="0.35">
      <c r="A1907" t="s">
        <v>4919</v>
      </c>
      <c r="B1907" t="s">
        <v>4920</v>
      </c>
      <c r="C1907" t="s">
        <v>1776</v>
      </c>
      <c r="D1907" t="s">
        <v>9</v>
      </c>
      <c r="E1907">
        <v>780</v>
      </c>
      <c r="F1907" t="str">
        <f>HYPERLINK("https://www.google.com/maps/search/?api=1&amp;query=24.63428583,46.74105194", "View Map")</f>
        <v>View Map</v>
      </c>
    </row>
    <row r="1908" spans="1:6" x14ac:dyDescent="0.35">
      <c r="A1908" t="s">
        <v>1798</v>
      </c>
      <c r="B1908" t="s">
        <v>4921</v>
      </c>
      <c r="C1908" t="s">
        <v>1776</v>
      </c>
      <c r="D1908" t="s">
        <v>9</v>
      </c>
      <c r="E1908">
        <v>780</v>
      </c>
      <c r="F1908" t="str">
        <f>HYPERLINK("https://www.google.com/maps/search/?api=1&amp;query=24.7822,46.5958", "View Map")</f>
        <v>View Map</v>
      </c>
    </row>
    <row r="1909" spans="1:6" x14ac:dyDescent="0.35">
      <c r="A1909" t="s">
        <v>4922</v>
      </c>
      <c r="B1909" t="s">
        <v>4923</v>
      </c>
      <c r="C1909" t="s">
        <v>1776</v>
      </c>
      <c r="D1909" t="s">
        <v>9</v>
      </c>
      <c r="E1909">
        <v>779</v>
      </c>
      <c r="F1909" t="str">
        <f>HYPERLINK("https://www.google.com/maps/search/?api=1&amp;query=24.67272393,46.79185437", "View Map")</f>
        <v>View Map</v>
      </c>
    </row>
    <row r="1910" spans="1:6" x14ac:dyDescent="0.35">
      <c r="A1910" t="s">
        <v>4924</v>
      </c>
      <c r="B1910" t="s">
        <v>4925</v>
      </c>
      <c r="C1910" t="s">
        <v>1776</v>
      </c>
      <c r="D1910" t="s">
        <v>9</v>
      </c>
      <c r="E1910">
        <v>779</v>
      </c>
      <c r="F1910" t="str">
        <f>HYPERLINK("https://www.google.com/maps/search/?api=1&amp;query=24.80910136,46.6500693", "View Map")</f>
        <v>View Map</v>
      </c>
    </row>
    <row r="1911" spans="1:6" x14ac:dyDescent="0.35">
      <c r="A1911" t="s">
        <v>1794</v>
      </c>
      <c r="B1911" t="s">
        <v>4926</v>
      </c>
      <c r="C1911" t="s">
        <v>1776</v>
      </c>
      <c r="D1911" t="s">
        <v>9</v>
      </c>
      <c r="E1911">
        <v>779</v>
      </c>
      <c r="F1911" t="str">
        <f>HYPERLINK("https://www.google.com/maps/search/?api=1&amp;query=24.86409161,46.63442743", "View Map")</f>
        <v>View Map</v>
      </c>
    </row>
    <row r="1912" spans="1:6" x14ac:dyDescent="0.35">
      <c r="A1912" t="s">
        <v>4927</v>
      </c>
      <c r="B1912" t="s">
        <v>4928</v>
      </c>
      <c r="C1912" t="s">
        <v>1776</v>
      </c>
      <c r="D1912" t="s">
        <v>9</v>
      </c>
      <c r="E1912">
        <v>779</v>
      </c>
      <c r="F1912" t="str">
        <f>HYPERLINK("https://www.google.com/maps/search/?api=1&amp;query=24.74872349,46.61258018", "View Map")</f>
        <v>View Map</v>
      </c>
    </row>
    <row r="1913" spans="1:6" x14ac:dyDescent="0.35">
      <c r="A1913" t="s">
        <v>2863</v>
      </c>
      <c r="B1913" t="s">
        <v>4929</v>
      </c>
      <c r="C1913" t="s">
        <v>1776</v>
      </c>
      <c r="D1913" t="s">
        <v>9</v>
      </c>
      <c r="E1913">
        <v>777</v>
      </c>
      <c r="F1913" t="str">
        <f>HYPERLINK("https://www.google.com/maps/search/?api=1&amp;query=24.52107792,46.66468675", "View Map")</f>
        <v>View Map</v>
      </c>
    </row>
    <row r="1914" spans="1:6" x14ac:dyDescent="0.35">
      <c r="A1914" t="s">
        <v>1798</v>
      </c>
      <c r="B1914" t="s">
        <v>4930</v>
      </c>
      <c r="C1914" t="s">
        <v>1776</v>
      </c>
      <c r="D1914" t="s">
        <v>9</v>
      </c>
      <c r="E1914">
        <v>777</v>
      </c>
      <c r="F1914" t="str">
        <f>HYPERLINK("https://www.google.com/maps/search/?api=1&amp;query=24.66901416,46.54254677", "View Map")</f>
        <v>View Map</v>
      </c>
    </row>
    <row r="1915" spans="1:6" x14ac:dyDescent="0.35">
      <c r="A1915" t="s">
        <v>1947</v>
      </c>
      <c r="B1915" t="s">
        <v>4931</v>
      </c>
      <c r="C1915" t="s">
        <v>1776</v>
      </c>
      <c r="D1915" t="s">
        <v>318</v>
      </c>
      <c r="E1915">
        <v>777</v>
      </c>
      <c r="F1915" t="str">
        <f>HYPERLINK("https://www.google.com/maps/search/?api=1&amp;query=24.5411,46.5192", "View Map")</f>
        <v>View Map</v>
      </c>
    </row>
    <row r="1916" spans="1:6" x14ac:dyDescent="0.35">
      <c r="A1916" t="s">
        <v>4932</v>
      </c>
      <c r="B1916" t="s">
        <v>4933</v>
      </c>
      <c r="C1916" t="s">
        <v>1776</v>
      </c>
      <c r="D1916" t="s">
        <v>9</v>
      </c>
      <c r="E1916">
        <v>777</v>
      </c>
      <c r="F1916" t="str">
        <f>HYPERLINK("https://www.google.com/maps/search/?api=1&amp;query=24.60519215,46.73549603", "View Map")</f>
        <v>View Map</v>
      </c>
    </row>
    <row r="1917" spans="1:6" x14ac:dyDescent="0.35">
      <c r="A1917" t="s">
        <v>2720</v>
      </c>
      <c r="B1917" t="s">
        <v>4934</v>
      </c>
      <c r="C1917" t="s">
        <v>1776</v>
      </c>
      <c r="D1917" t="s">
        <v>9</v>
      </c>
      <c r="E1917">
        <v>776</v>
      </c>
      <c r="F1917" t="str">
        <f>HYPERLINK("https://www.google.com/maps/search/?api=1&amp;query=24.65840714,46.79786341", "View Map")</f>
        <v>View Map</v>
      </c>
    </row>
    <row r="1918" spans="1:6" x14ac:dyDescent="0.35">
      <c r="A1918" t="s">
        <v>4048</v>
      </c>
      <c r="B1918" t="s">
        <v>4935</v>
      </c>
      <c r="C1918" t="s">
        <v>1776</v>
      </c>
      <c r="D1918" t="s">
        <v>9</v>
      </c>
      <c r="E1918">
        <v>776</v>
      </c>
      <c r="F1918" t="str">
        <f>HYPERLINK("https://www.google.com/maps/search/?api=1&amp;query=24.71985871,46.82554207", "View Map")</f>
        <v>View Map</v>
      </c>
    </row>
    <row r="1919" spans="1:6" x14ac:dyDescent="0.35">
      <c r="A1919" t="s">
        <v>4936</v>
      </c>
      <c r="B1919" t="s">
        <v>4937</v>
      </c>
      <c r="C1919" t="s">
        <v>1776</v>
      </c>
      <c r="D1919" t="s">
        <v>9</v>
      </c>
      <c r="E1919">
        <v>776</v>
      </c>
      <c r="F1919" t="str">
        <f>HYPERLINK("https://www.google.com/maps/search/?api=1&amp;query=24.6977115,46.76944296", "View Map")</f>
        <v>View Map</v>
      </c>
    </row>
    <row r="1920" spans="1:6" x14ac:dyDescent="0.35">
      <c r="A1920" t="s">
        <v>4938</v>
      </c>
      <c r="B1920" t="s">
        <v>4939</v>
      </c>
      <c r="C1920" t="s">
        <v>1776</v>
      </c>
      <c r="D1920" t="s">
        <v>9</v>
      </c>
      <c r="E1920">
        <v>775</v>
      </c>
      <c r="F1920" t="str">
        <f>HYPERLINK("https://www.google.com/maps/search/?api=1&amp;query=24.60327368,46.62571168", "View Map")</f>
        <v>View Map</v>
      </c>
    </row>
    <row r="1921" spans="1:6" x14ac:dyDescent="0.35">
      <c r="A1921" t="s">
        <v>3811</v>
      </c>
      <c r="B1921" t="s">
        <v>4940</v>
      </c>
      <c r="C1921" t="s">
        <v>1776</v>
      </c>
      <c r="D1921" t="s">
        <v>9</v>
      </c>
      <c r="E1921">
        <v>775</v>
      </c>
      <c r="F1921" t="str">
        <f>HYPERLINK("https://www.google.com/maps/search/?api=1&amp;query=24.69104557,46.84474473", "View Map")</f>
        <v>View Map</v>
      </c>
    </row>
    <row r="1922" spans="1:6" x14ac:dyDescent="0.35">
      <c r="A1922" t="s">
        <v>4941</v>
      </c>
      <c r="B1922" t="s">
        <v>4942</v>
      </c>
      <c r="C1922" t="s">
        <v>1776</v>
      </c>
      <c r="D1922" t="s">
        <v>9</v>
      </c>
      <c r="E1922">
        <v>774</v>
      </c>
      <c r="F1922" t="str">
        <f>HYPERLINK("https://www.google.com/maps/search/?api=1&amp;query=24.64723694,46.80699797", "View Map")</f>
        <v>View Map</v>
      </c>
    </row>
    <row r="1923" spans="1:6" x14ac:dyDescent="0.35">
      <c r="A1923" t="s">
        <v>1798</v>
      </c>
      <c r="B1923" t="s">
        <v>4943</v>
      </c>
      <c r="C1923" t="s">
        <v>1776</v>
      </c>
      <c r="D1923" t="s">
        <v>9</v>
      </c>
      <c r="E1923">
        <v>774</v>
      </c>
      <c r="F1923" t="str">
        <f>HYPERLINK("https://www.google.com/maps/search/?api=1&amp;query=24.64358021,46.49496995", "View Map")</f>
        <v>View Map</v>
      </c>
    </row>
    <row r="1924" spans="1:6" x14ac:dyDescent="0.35">
      <c r="A1924" t="s">
        <v>4944</v>
      </c>
      <c r="B1924" t="s">
        <v>4945</v>
      </c>
      <c r="C1924" t="s">
        <v>1776</v>
      </c>
      <c r="D1924" t="s">
        <v>9</v>
      </c>
      <c r="E1924">
        <v>773</v>
      </c>
      <c r="F1924" t="str">
        <f>HYPERLINK("https://www.google.com/maps/search/?api=1&amp;query=24.63487555,46.69858206", "View Map")</f>
        <v>View Map</v>
      </c>
    </row>
    <row r="1925" spans="1:6" x14ac:dyDescent="0.35">
      <c r="A1925" t="s">
        <v>1798</v>
      </c>
      <c r="B1925" t="s">
        <v>4946</v>
      </c>
      <c r="C1925" t="s">
        <v>1776</v>
      </c>
      <c r="D1925" t="s">
        <v>9</v>
      </c>
      <c r="E1925">
        <v>773</v>
      </c>
      <c r="F1925" t="str">
        <f>HYPERLINK("https://www.google.com/maps/search/?api=1&amp;query=24.81571172,46.7831409", "View Map")</f>
        <v>View Map</v>
      </c>
    </row>
    <row r="1926" spans="1:6" x14ac:dyDescent="0.35">
      <c r="A1926" t="s">
        <v>4947</v>
      </c>
      <c r="B1926" t="s">
        <v>4948</v>
      </c>
      <c r="C1926" t="s">
        <v>1776</v>
      </c>
      <c r="D1926" t="s">
        <v>9</v>
      </c>
      <c r="E1926">
        <v>773</v>
      </c>
      <c r="F1926" t="str">
        <f>HYPERLINK("https://www.google.com/maps/search/?api=1&amp;query=24.73456321,46.81040083", "View Map")</f>
        <v>View Map</v>
      </c>
    </row>
    <row r="1927" spans="1:6" x14ac:dyDescent="0.35">
      <c r="A1927" t="s">
        <v>2124</v>
      </c>
      <c r="B1927" t="s">
        <v>4949</v>
      </c>
      <c r="C1927" t="s">
        <v>1776</v>
      </c>
      <c r="D1927" t="s">
        <v>9</v>
      </c>
      <c r="E1927">
        <v>771</v>
      </c>
      <c r="F1927" t="str">
        <f>HYPERLINK("https://www.google.com/maps/search/?api=1&amp;query=24.65276525,46.79890963", "View Map")</f>
        <v>View Map</v>
      </c>
    </row>
    <row r="1928" spans="1:6" x14ac:dyDescent="0.35">
      <c r="A1928" t="s">
        <v>4950</v>
      </c>
      <c r="B1928" t="s">
        <v>4951</v>
      </c>
      <c r="C1928" t="s">
        <v>1776</v>
      </c>
      <c r="D1928" t="s">
        <v>9</v>
      </c>
      <c r="E1928">
        <v>771</v>
      </c>
      <c r="F1928" t="str">
        <f>HYPERLINK("https://www.google.com/maps/search/?api=1&amp;query=24.85381109,46.77516928", "View Map")</f>
        <v>View Map</v>
      </c>
    </row>
    <row r="1929" spans="1:6" x14ac:dyDescent="0.35">
      <c r="A1929" t="s">
        <v>1798</v>
      </c>
      <c r="B1929" t="s">
        <v>4952</v>
      </c>
      <c r="C1929" t="s">
        <v>1776</v>
      </c>
      <c r="D1929" t="s">
        <v>9</v>
      </c>
      <c r="E1929">
        <v>771</v>
      </c>
      <c r="F1929" t="str">
        <f>HYPERLINK("https://www.google.com/maps/search/?api=1&amp;query=24.68111062,46.85511076", "View Map")</f>
        <v>View Map</v>
      </c>
    </row>
    <row r="1930" spans="1:6" x14ac:dyDescent="0.35">
      <c r="A1930" t="s">
        <v>179</v>
      </c>
      <c r="B1930" t="s">
        <v>4953</v>
      </c>
      <c r="C1930" t="s">
        <v>1776</v>
      </c>
      <c r="D1930" t="s">
        <v>9</v>
      </c>
      <c r="E1930">
        <v>771</v>
      </c>
      <c r="F1930" t="str">
        <f>HYPERLINK("https://www.google.com/maps/search/?api=1&amp;query=24.60136043,46.65120151", "View Map")</f>
        <v>View Map</v>
      </c>
    </row>
    <row r="1931" spans="1:6" x14ac:dyDescent="0.35">
      <c r="A1931" t="s">
        <v>4954</v>
      </c>
      <c r="B1931" t="s">
        <v>4955</v>
      </c>
      <c r="C1931" t="s">
        <v>1776</v>
      </c>
      <c r="D1931" t="s">
        <v>9</v>
      </c>
      <c r="E1931">
        <v>770</v>
      </c>
      <c r="F1931" t="str">
        <f>HYPERLINK("https://www.google.com/maps/search/?api=1&amp;query=24.75089116,46.62925675", "View Map")</f>
        <v>View Map</v>
      </c>
    </row>
    <row r="1932" spans="1:6" x14ac:dyDescent="0.35">
      <c r="A1932" t="s">
        <v>4956</v>
      </c>
      <c r="B1932" t="s">
        <v>4957</v>
      </c>
      <c r="C1932" t="s">
        <v>1776</v>
      </c>
      <c r="D1932" t="s">
        <v>9</v>
      </c>
      <c r="E1932">
        <v>770</v>
      </c>
      <c r="F1932" t="str">
        <f>HYPERLINK("https://www.google.com/maps/search/?api=1&amp;query=24.62075159,46.71184437", "View Map")</f>
        <v>View Map</v>
      </c>
    </row>
    <row r="1933" spans="1:6" x14ac:dyDescent="0.35">
      <c r="A1933" t="s">
        <v>1794</v>
      </c>
      <c r="B1933" t="s">
        <v>4958</v>
      </c>
      <c r="C1933" t="s">
        <v>1776</v>
      </c>
      <c r="D1933" t="s">
        <v>9</v>
      </c>
      <c r="E1933">
        <v>770</v>
      </c>
      <c r="F1933" t="str">
        <f>HYPERLINK("https://www.google.com/maps/search/?api=1&amp;query=24.91138535,46.62032743", "View Map")</f>
        <v>View Map</v>
      </c>
    </row>
    <row r="1934" spans="1:6" x14ac:dyDescent="0.35">
      <c r="A1934" t="s">
        <v>985</v>
      </c>
      <c r="B1934" t="s">
        <v>4959</v>
      </c>
      <c r="C1934" t="s">
        <v>1776</v>
      </c>
      <c r="D1934" t="s">
        <v>9</v>
      </c>
      <c r="E1934">
        <v>770</v>
      </c>
      <c r="F1934" t="str">
        <f>HYPERLINK("https://www.google.com/maps/search/?api=1&amp;query=24.72273716,46.83319149", "View Map")</f>
        <v>View Map</v>
      </c>
    </row>
    <row r="1935" spans="1:6" x14ac:dyDescent="0.35">
      <c r="A1935" t="s">
        <v>4960</v>
      </c>
      <c r="B1935" t="s">
        <v>4961</v>
      </c>
      <c r="C1935" t="s">
        <v>1776</v>
      </c>
      <c r="D1935" t="s">
        <v>9</v>
      </c>
      <c r="E1935">
        <v>770</v>
      </c>
      <c r="F1935" t="str">
        <f>HYPERLINK("https://www.google.com/maps/search/?api=1&amp;query=24.61124568,46.64608173", "View Map")</f>
        <v>View Map</v>
      </c>
    </row>
    <row r="1936" spans="1:6" x14ac:dyDescent="0.35">
      <c r="A1936" t="s">
        <v>4962</v>
      </c>
      <c r="B1936" t="s">
        <v>4963</v>
      </c>
      <c r="C1936" t="s">
        <v>1776</v>
      </c>
      <c r="D1936" t="s">
        <v>9</v>
      </c>
      <c r="E1936">
        <v>770</v>
      </c>
      <c r="F1936" t="str">
        <f>HYPERLINK("https://www.google.com/maps/search/?api=1&amp;query=24.55588667,46.69380051", "View Map")</f>
        <v>View Map</v>
      </c>
    </row>
    <row r="1937" spans="1:6" x14ac:dyDescent="0.35">
      <c r="A1937" t="s">
        <v>2178</v>
      </c>
      <c r="B1937" t="s">
        <v>4964</v>
      </c>
      <c r="C1937" t="s">
        <v>1776</v>
      </c>
      <c r="D1937" t="s">
        <v>9</v>
      </c>
      <c r="E1937">
        <v>770</v>
      </c>
      <c r="F1937" t="str">
        <f>HYPERLINK("https://www.google.com/maps/search/?api=1&amp;query=24.81156308,46.65588961", "View Map")</f>
        <v>View Map</v>
      </c>
    </row>
    <row r="1938" spans="1:6" x14ac:dyDescent="0.35">
      <c r="A1938" t="s">
        <v>4965</v>
      </c>
      <c r="B1938" t="s">
        <v>4966</v>
      </c>
      <c r="C1938" t="s">
        <v>1776</v>
      </c>
      <c r="D1938" t="s">
        <v>9</v>
      </c>
      <c r="E1938">
        <v>769</v>
      </c>
      <c r="F1938" t="str">
        <f>HYPERLINK("https://www.google.com/maps/search/?api=1&amp;query=24.62398434,46.67861971", "View Map")</f>
        <v>View Map</v>
      </c>
    </row>
    <row r="1939" spans="1:6" x14ac:dyDescent="0.35">
      <c r="A1939" t="s">
        <v>1798</v>
      </c>
      <c r="B1939" t="s">
        <v>4967</v>
      </c>
      <c r="C1939" t="s">
        <v>1843</v>
      </c>
      <c r="D1939" t="s">
        <v>9</v>
      </c>
      <c r="E1939">
        <v>768</v>
      </c>
      <c r="F1939" t="str">
        <f>HYPERLINK("https://www.google.com/maps/search/?api=1&amp;query=24.78145877,46.57774639", "View Map")</f>
        <v>View Map</v>
      </c>
    </row>
    <row r="1940" spans="1:6" x14ac:dyDescent="0.35">
      <c r="A1940" t="s">
        <v>4968</v>
      </c>
      <c r="B1940" t="s">
        <v>4969</v>
      </c>
      <c r="C1940" t="s">
        <v>1776</v>
      </c>
      <c r="D1940" t="s">
        <v>9</v>
      </c>
      <c r="E1940">
        <v>768</v>
      </c>
      <c r="F1940" t="str">
        <f>HYPERLINK("https://www.google.com/maps/search/?api=1&amp;query=24.81391481,46.6502242", "View Map")</f>
        <v>View Map</v>
      </c>
    </row>
    <row r="1941" spans="1:6" x14ac:dyDescent="0.35">
      <c r="A1941" t="s">
        <v>1798</v>
      </c>
      <c r="B1941" t="s">
        <v>4970</v>
      </c>
      <c r="C1941" t="s">
        <v>1776</v>
      </c>
      <c r="D1941" t="s">
        <v>9</v>
      </c>
      <c r="E1941">
        <v>767</v>
      </c>
      <c r="F1941" t="str">
        <f>HYPERLINK("https://www.google.com/maps/search/?api=1&amp;query=24.82437239,46.59852622", "View Map")</f>
        <v>View Map</v>
      </c>
    </row>
    <row r="1942" spans="1:6" x14ac:dyDescent="0.35">
      <c r="A1942" t="s">
        <v>4971</v>
      </c>
      <c r="B1942" t="s">
        <v>4972</v>
      </c>
      <c r="C1942" t="s">
        <v>1776</v>
      </c>
      <c r="D1942" t="s">
        <v>9</v>
      </c>
      <c r="E1942">
        <v>767</v>
      </c>
      <c r="F1942" t="str">
        <f>HYPERLINK("https://www.google.com/maps/search/?api=1&amp;query=24.59706643,46.71622342", "View Map")</f>
        <v>View Map</v>
      </c>
    </row>
    <row r="1943" spans="1:6" x14ac:dyDescent="0.35">
      <c r="A1943" t="s">
        <v>4973</v>
      </c>
      <c r="B1943" t="s">
        <v>4974</v>
      </c>
      <c r="C1943" t="s">
        <v>1776</v>
      </c>
      <c r="D1943" t="s">
        <v>9</v>
      </c>
      <c r="E1943">
        <v>767</v>
      </c>
      <c r="F1943" t="str">
        <f>HYPERLINK("https://www.google.com/maps/search/?api=1&amp;query=24.63897978,46.72089582", "View Map")</f>
        <v>View Map</v>
      </c>
    </row>
    <row r="1944" spans="1:6" x14ac:dyDescent="0.35">
      <c r="A1944" t="s">
        <v>4975</v>
      </c>
      <c r="B1944" t="s">
        <v>4976</v>
      </c>
      <c r="C1944" t="s">
        <v>1776</v>
      </c>
      <c r="D1944" t="s">
        <v>9</v>
      </c>
      <c r="E1944">
        <v>767</v>
      </c>
      <c r="F1944" t="str">
        <f>HYPERLINK("https://www.google.com/maps/search/?api=1&amp;query=24.68942477,46.83043704", "View Map")</f>
        <v>View Map</v>
      </c>
    </row>
    <row r="1945" spans="1:6" x14ac:dyDescent="0.35">
      <c r="A1945" t="s">
        <v>4977</v>
      </c>
      <c r="B1945" t="s">
        <v>4978</v>
      </c>
      <c r="C1945" t="s">
        <v>1776</v>
      </c>
      <c r="D1945" t="s">
        <v>9</v>
      </c>
      <c r="E1945">
        <v>767</v>
      </c>
      <c r="F1945" t="str">
        <f>HYPERLINK("https://www.google.com/maps/search/?api=1&amp;query=24.66992772,46.78432899", "View Map")</f>
        <v>View Map</v>
      </c>
    </row>
    <row r="1946" spans="1:6" x14ac:dyDescent="0.35">
      <c r="A1946" t="s">
        <v>1947</v>
      </c>
      <c r="B1946" t="s">
        <v>4979</v>
      </c>
      <c r="C1946" t="s">
        <v>1776</v>
      </c>
      <c r="D1946" t="s">
        <v>9</v>
      </c>
      <c r="E1946">
        <v>767</v>
      </c>
      <c r="F1946" t="str">
        <f>HYPERLINK("https://www.google.com/maps/search/?api=1&amp;query=24.5883757,46.69042881", "View Map")</f>
        <v>View Map</v>
      </c>
    </row>
    <row r="1947" spans="1:6" x14ac:dyDescent="0.35">
      <c r="A1947" t="s">
        <v>4980</v>
      </c>
      <c r="B1947" t="s">
        <v>4981</v>
      </c>
      <c r="C1947" t="s">
        <v>1776</v>
      </c>
      <c r="D1947" t="s">
        <v>9</v>
      </c>
      <c r="E1947">
        <v>766</v>
      </c>
      <c r="F1947" t="str">
        <f>HYPERLINK("https://www.google.com/maps/search/?api=1&amp;query=24.56470211,46.78912401", "View Map")</f>
        <v>View Map</v>
      </c>
    </row>
    <row r="1948" spans="1:6" x14ac:dyDescent="0.35">
      <c r="A1948" t="s">
        <v>4982</v>
      </c>
      <c r="B1948" t="s">
        <v>4983</v>
      </c>
      <c r="C1948" t="s">
        <v>1776</v>
      </c>
      <c r="D1948" t="s">
        <v>9</v>
      </c>
      <c r="E1948">
        <v>766</v>
      </c>
      <c r="F1948" t="str">
        <f>HYPERLINK("https://www.google.com/maps/search/?api=1&amp;query=24.79191384,46.69051219", "View Map")</f>
        <v>View Map</v>
      </c>
    </row>
    <row r="1949" spans="1:6" x14ac:dyDescent="0.35">
      <c r="A1949" t="s">
        <v>4984</v>
      </c>
      <c r="B1949" t="s">
        <v>4985</v>
      </c>
      <c r="C1949" t="s">
        <v>1776</v>
      </c>
      <c r="D1949" t="s">
        <v>9</v>
      </c>
      <c r="E1949">
        <v>765</v>
      </c>
      <c r="F1949" t="str">
        <f>HYPERLINK("https://www.google.com/maps/search/?api=1&amp;query=24.58764209,46.54654715", "View Map")</f>
        <v>View Map</v>
      </c>
    </row>
    <row r="1950" spans="1:6" x14ac:dyDescent="0.35">
      <c r="A1950" t="s">
        <v>4986</v>
      </c>
      <c r="B1950" t="s">
        <v>4987</v>
      </c>
      <c r="C1950" t="s">
        <v>1776</v>
      </c>
      <c r="D1950" t="s">
        <v>9</v>
      </c>
      <c r="E1950">
        <v>764</v>
      </c>
      <c r="F1950" t="str">
        <f>HYPERLINK("https://www.google.com/maps/search/?api=1&amp;query=24.62816711,46.74875571", "View Map")</f>
        <v>View Map</v>
      </c>
    </row>
    <row r="1951" spans="1:6" x14ac:dyDescent="0.35">
      <c r="A1951" t="s">
        <v>4988</v>
      </c>
      <c r="B1951" t="s">
        <v>4989</v>
      </c>
      <c r="C1951" t="s">
        <v>1776</v>
      </c>
      <c r="D1951" t="s">
        <v>9</v>
      </c>
      <c r="E1951">
        <v>764</v>
      </c>
      <c r="F1951" t="str">
        <f>HYPERLINK("https://www.google.com/maps/search/?api=1&amp;query=24.57867615,46.59689655", "View Map")</f>
        <v>View Map</v>
      </c>
    </row>
    <row r="1952" spans="1:6" x14ac:dyDescent="0.35">
      <c r="A1952" t="s">
        <v>1798</v>
      </c>
      <c r="B1952" t="s">
        <v>4990</v>
      </c>
      <c r="C1952" t="s">
        <v>1776</v>
      </c>
      <c r="D1952" t="s">
        <v>9</v>
      </c>
      <c r="E1952">
        <v>764</v>
      </c>
      <c r="F1952" t="str">
        <f>HYPERLINK("https://www.google.com/maps/search/?api=1&amp;query=24.88832178,46.63600145", "View Map")</f>
        <v>View Map</v>
      </c>
    </row>
    <row r="1953" spans="1:6" x14ac:dyDescent="0.35">
      <c r="A1953" t="s">
        <v>4991</v>
      </c>
      <c r="B1953" t="s">
        <v>4992</v>
      </c>
      <c r="C1953" t="s">
        <v>1776</v>
      </c>
      <c r="D1953" t="s">
        <v>318</v>
      </c>
      <c r="E1953">
        <v>763</v>
      </c>
      <c r="F1953" t="str">
        <f>HYPERLINK("https://www.google.com/maps/search/?api=1&amp;query=24.59347232,46.76192855", "View Map")</f>
        <v>View Map</v>
      </c>
    </row>
    <row r="1954" spans="1:6" x14ac:dyDescent="0.35">
      <c r="A1954" t="s">
        <v>4993</v>
      </c>
      <c r="B1954" t="s">
        <v>4994</v>
      </c>
      <c r="C1954" t="s">
        <v>1776</v>
      </c>
      <c r="D1954" t="s">
        <v>9</v>
      </c>
      <c r="E1954">
        <v>763</v>
      </c>
      <c r="F1954" t="str">
        <f>HYPERLINK("https://www.google.com/maps/search/?api=1&amp;query=24.59797902,46.72360611", "View Map")</f>
        <v>View Map</v>
      </c>
    </row>
    <row r="1955" spans="1:6" x14ac:dyDescent="0.35">
      <c r="A1955" t="s">
        <v>1947</v>
      </c>
      <c r="B1955" t="s">
        <v>4995</v>
      </c>
      <c r="C1955" t="s">
        <v>1776</v>
      </c>
      <c r="D1955" t="s">
        <v>9</v>
      </c>
      <c r="E1955">
        <v>762</v>
      </c>
      <c r="F1955" t="str">
        <f>HYPERLINK("https://www.google.com/maps/search/?api=1&amp;query=24.63765118,46.7164898", "View Map")</f>
        <v>View Map</v>
      </c>
    </row>
    <row r="1956" spans="1:6" x14ac:dyDescent="0.35">
      <c r="A1956" t="s">
        <v>3071</v>
      </c>
      <c r="B1956" t="s">
        <v>4996</v>
      </c>
      <c r="C1956" t="s">
        <v>1776</v>
      </c>
      <c r="D1956" t="s">
        <v>9</v>
      </c>
      <c r="E1956">
        <v>761</v>
      </c>
      <c r="F1956" t="str">
        <f>HYPERLINK("https://www.google.com/maps/search/?api=1&amp;query=24.73914909,46.82461504", "View Map")</f>
        <v>View Map</v>
      </c>
    </row>
    <row r="1957" spans="1:6" x14ac:dyDescent="0.35">
      <c r="A1957" t="s">
        <v>591</v>
      </c>
      <c r="B1957" t="s">
        <v>4997</v>
      </c>
      <c r="C1957" t="s">
        <v>1776</v>
      </c>
      <c r="D1957" t="s">
        <v>9</v>
      </c>
      <c r="E1957">
        <v>761</v>
      </c>
      <c r="F1957" t="str">
        <f>HYPERLINK("https://www.google.com/maps/search/?api=1&amp;query=24.78364555,46.74349542", "View Map")</f>
        <v>View Map</v>
      </c>
    </row>
    <row r="1958" spans="1:6" x14ac:dyDescent="0.35">
      <c r="A1958" t="s">
        <v>4998</v>
      </c>
      <c r="B1958" t="s">
        <v>4999</v>
      </c>
      <c r="C1958" t="s">
        <v>1776</v>
      </c>
      <c r="D1958" t="s">
        <v>9</v>
      </c>
      <c r="E1958">
        <v>761</v>
      </c>
      <c r="F1958" t="str">
        <f>HYPERLINK("https://www.google.com/maps/search/?api=1&amp;query=24.61245219,46.67157611", "View Map")</f>
        <v>View Map</v>
      </c>
    </row>
    <row r="1959" spans="1:6" x14ac:dyDescent="0.35">
      <c r="A1959" t="s">
        <v>5000</v>
      </c>
      <c r="B1959" t="s">
        <v>5001</v>
      </c>
      <c r="C1959" t="s">
        <v>1776</v>
      </c>
      <c r="D1959" t="s">
        <v>9</v>
      </c>
      <c r="E1959">
        <v>761</v>
      </c>
      <c r="F1959" t="str">
        <f>HYPERLINK("https://www.google.com/maps/search/?api=1&amp;query=24.63771824,46.68647305", "View Map")</f>
        <v>View Map</v>
      </c>
    </row>
    <row r="1960" spans="1:6" x14ac:dyDescent="0.35">
      <c r="A1960" t="s">
        <v>3417</v>
      </c>
      <c r="B1960" t="s">
        <v>5002</v>
      </c>
      <c r="C1960" t="s">
        <v>1776</v>
      </c>
      <c r="D1960" t="s">
        <v>9</v>
      </c>
      <c r="E1960">
        <v>761</v>
      </c>
      <c r="F1960" t="str">
        <f>HYPERLINK("https://www.google.com/maps/search/?api=1&amp;query=24.76559333,46.68465678", "View Map")</f>
        <v>View Map</v>
      </c>
    </row>
    <row r="1961" spans="1:6" x14ac:dyDescent="0.35">
      <c r="A1961" t="s">
        <v>606</v>
      </c>
      <c r="B1961" t="s">
        <v>5003</v>
      </c>
      <c r="C1961" t="s">
        <v>1776</v>
      </c>
      <c r="D1961" t="s">
        <v>9</v>
      </c>
      <c r="E1961">
        <v>761</v>
      </c>
      <c r="F1961" t="str">
        <f>HYPERLINK("https://www.google.com/maps/search/?api=1&amp;query=24.66557035,46.79826651", "View Map")</f>
        <v>View Map</v>
      </c>
    </row>
    <row r="1962" spans="1:6" x14ac:dyDescent="0.35">
      <c r="A1962" t="s">
        <v>5004</v>
      </c>
      <c r="B1962" t="s">
        <v>5005</v>
      </c>
      <c r="C1962" t="s">
        <v>1776</v>
      </c>
      <c r="D1962" t="s">
        <v>9</v>
      </c>
      <c r="E1962">
        <v>761</v>
      </c>
      <c r="F1962" t="str">
        <f>HYPERLINK("https://www.google.com/maps/search/?api=1&amp;query=24.56940234,46.63376082", "View Map")</f>
        <v>View Map</v>
      </c>
    </row>
    <row r="1963" spans="1:6" x14ac:dyDescent="0.35">
      <c r="A1963" t="s">
        <v>5006</v>
      </c>
      <c r="B1963" t="s">
        <v>5007</v>
      </c>
      <c r="C1963" t="s">
        <v>1776</v>
      </c>
      <c r="D1963" t="s">
        <v>9</v>
      </c>
      <c r="E1963">
        <v>761</v>
      </c>
      <c r="F1963" t="str">
        <f>HYPERLINK("https://www.google.com/maps/search/?api=1&amp;query=24.82127642,46.80905241", "View Map")</f>
        <v>View Map</v>
      </c>
    </row>
    <row r="1964" spans="1:6" x14ac:dyDescent="0.35">
      <c r="A1964" t="s">
        <v>5008</v>
      </c>
      <c r="B1964" t="s">
        <v>5009</v>
      </c>
      <c r="C1964" t="s">
        <v>1776</v>
      </c>
      <c r="D1964" t="s">
        <v>9</v>
      </c>
      <c r="E1964">
        <v>760</v>
      </c>
      <c r="F1964" t="str">
        <f>HYPERLINK("https://www.google.com/maps/search/?api=1&amp;query=24.52720619,46.67962957", "View Map")</f>
        <v>View Map</v>
      </c>
    </row>
    <row r="1965" spans="1:6" x14ac:dyDescent="0.35">
      <c r="A1965" t="s">
        <v>5010</v>
      </c>
      <c r="B1965" t="s">
        <v>5011</v>
      </c>
      <c r="C1965" t="s">
        <v>1776</v>
      </c>
      <c r="D1965" t="s">
        <v>9</v>
      </c>
      <c r="E1965">
        <v>760</v>
      </c>
      <c r="F1965" t="str">
        <f>HYPERLINK("https://www.google.com/maps/search/?api=1&amp;query=24.55796898,46.72210527", "View Map")</f>
        <v>View Map</v>
      </c>
    </row>
    <row r="1966" spans="1:6" x14ac:dyDescent="0.35">
      <c r="A1966" t="s">
        <v>5012</v>
      </c>
      <c r="B1966" t="s">
        <v>5013</v>
      </c>
      <c r="C1966" t="s">
        <v>1776</v>
      </c>
      <c r="D1966" t="s">
        <v>9</v>
      </c>
      <c r="E1966">
        <v>759</v>
      </c>
      <c r="F1966" t="str">
        <f>HYPERLINK("https://www.google.com/maps/search/?api=1&amp;query=24.61794281,46.69453709", "View Map")</f>
        <v>View Map</v>
      </c>
    </row>
    <row r="1967" spans="1:6" x14ac:dyDescent="0.35">
      <c r="A1967" t="s">
        <v>1947</v>
      </c>
      <c r="B1967" t="s">
        <v>5014</v>
      </c>
      <c r="C1967" t="s">
        <v>1776</v>
      </c>
      <c r="D1967" t="s">
        <v>9</v>
      </c>
      <c r="E1967">
        <v>759</v>
      </c>
      <c r="F1967" t="str">
        <f>HYPERLINK("https://www.google.com/maps/search/?api=1&amp;query=24.55918816,46.53067916", "View Map")</f>
        <v>View Map</v>
      </c>
    </row>
    <row r="1968" spans="1:6" x14ac:dyDescent="0.35">
      <c r="A1968" t="s">
        <v>5015</v>
      </c>
      <c r="B1968" t="s">
        <v>5016</v>
      </c>
      <c r="C1968" t="s">
        <v>1776</v>
      </c>
      <c r="D1968" t="s">
        <v>9</v>
      </c>
      <c r="E1968">
        <v>759</v>
      </c>
      <c r="F1968" t="str">
        <f>HYPERLINK("https://www.google.com/maps/search/?api=1&amp;query=24.82515323,46.78374478", "View Map")</f>
        <v>View Map</v>
      </c>
    </row>
    <row r="1969" spans="1:6" x14ac:dyDescent="0.35">
      <c r="A1969" t="s">
        <v>1798</v>
      </c>
      <c r="B1969" t="s">
        <v>5017</v>
      </c>
      <c r="C1969" t="s">
        <v>1776</v>
      </c>
      <c r="D1969" t="s">
        <v>9</v>
      </c>
      <c r="E1969">
        <v>759</v>
      </c>
      <c r="F1969" t="str">
        <f>HYPERLINK("https://www.google.com/maps/search/?api=1&amp;query=24.6061,46.4833", "View Map")</f>
        <v>View Map</v>
      </c>
    </row>
    <row r="1970" spans="1:6" x14ac:dyDescent="0.35">
      <c r="A1970" t="s">
        <v>5018</v>
      </c>
      <c r="B1970" t="s">
        <v>5019</v>
      </c>
      <c r="C1970" t="s">
        <v>1776</v>
      </c>
      <c r="D1970" t="s">
        <v>9</v>
      </c>
      <c r="E1970">
        <v>759</v>
      </c>
      <c r="F1970" t="str">
        <f>HYPERLINK("https://www.google.com/maps/search/?api=1&amp;query=24.59917376,46.58680565", "View Map")</f>
        <v>View Map</v>
      </c>
    </row>
    <row r="1971" spans="1:6" x14ac:dyDescent="0.35">
      <c r="A1971" t="s">
        <v>5020</v>
      </c>
      <c r="B1971" t="s">
        <v>5021</v>
      </c>
      <c r="C1971" t="s">
        <v>1776</v>
      </c>
      <c r="D1971" t="s">
        <v>9</v>
      </c>
      <c r="E1971">
        <v>759</v>
      </c>
      <c r="F1971" t="str">
        <f>HYPERLINK("https://www.google.com/maps/search/?api=1&amp;query=24.81386025,46.68862474", "View Map")</f>
        <v>View Map</v>
      </c>
    </row>
    <row r="1972" spans="1:6" x14ac:dyDescent="0.35">
      <c r="A1972" t="s">
        <v>1947</v>
      </c>
      <c r="B1972" t="s">
        <v>5022</v>
      </c>
      <c r="C1972" t="s">
        <v>1776</v>
      </c>
      <c r="D1972" t="s">
        <v>9</v>
      </c>
      <c r="E1972">
        <v>757</v>
      </c>
      <c r="F1972" t="str">
        <f>HYPERLINK("https://www.google.com/maps/search/?api=1&amp;query=24.6156,46.6939", "View Map")</f>
        <v>View Map</v>
      </c>
    </row>
    <row r="1973" spans="1:6" x14ac:dyDescent="0.35">
      <c r="A1973" t="s">
        <v>5023</v>
      </c>
      <c r="B1973" t="s">
        <v>5024</v>
      </c>
      <c r="C1973" t="s">
        <v>1776</v>
      </c>
      <c r="D1973" t="s">
        <v>9</v>
      </c>
      <c r="E1973">
        <v>757</v>
      </c>
      <c r="F1973" t="str">
        <f>HYPERLINK("https://www.google.com/maps/search/?api=1&amp;query=24.55615944,46.70645238", "View Map")</f>
        <v>View Map</v>
      </c>
    </row>
    <row r="1974" spans="1:6" x14ac:dyDescent="0.35">
      <c r="A1974" t="s">
        <v>5025</v>
      </c>
      <c r="B1974" t="s">
        <v>5026</v>
      </c>
      <c r="C1974" t="s">
        <v>1776</v>
      </c>
      <c r="D1974" t="s">
        <v>9</v>
      </c>
      <c r="E1974">
        <v>756</v>
      </c>
      <c r="F1974" t="str">
        <f>HYPERLINK("https://www.google.com/maps/search/?api=1&amp;query=24.62070451,46.74350791", "View Map")</f>
        <v>View Map</v>
      </c>
    </row>
    <row r="1975" spans="1:6" x14ac:dyDescent="0.35">
      <c r="A1975" t="s">
        <v>5027</v>
      </c>
      <c r="B1975" t="s">
        <v>5028</v>
      </c>
      <c r="C1975" t="s">
        <v>1776</v>
      </c>
      <c r="D1975" t="s">
        <v>9</v>
      </c>
      <c r="E1975">
        <v>756</v>
      </c>
      <c r="F1975" t="str">
        <f>HYPERLINK("https://www.google.com/maps/search/?api=1&amp;query=24.61841604,46.72202659", "View Map")</f>
        <v>View Map</v>
      </c>
    </row>
    <row r="1976" spans="1:6" x14ac:dyDescent="0.35">
      <c r="A1976" t="s">
        <v>4566</v>
      </c>
      <c r="B1976" t="s">
        <v>5029</v>
      </c>
      <c r="C1976" t="s">
        <v>1776</v>
      </c>
      <c r="D1976" t="s">
        <v>9</v>
      </c>
      <c r="E1976">
        <v>755</v>
      </c>
      <c r="F1976" t="str">
        <f>HYPERLINK("https://www.google.com/maps/search/?api=1&amp;query=24.61098195,46.60350751", "View Map")</f>
        <v>View Map</v>
      </c>
    </row>
    <row r="1977" spans="1:6" x14ac:dyDescent="0.35">
      <c r="A1977" t="s">
        <v>5030</v>
      </c>
      <c r="B1977" t="s">
        <v>5031</v>
      </c>
      <c r="C1977" t="s">
        <v>1776</v>
      </c>
      <c r="D1977" t="s">
        <v>9</v>
      </c>
      <c r="E1977">
        <v>754</v>
      </c>
      <c r="F1977" t="str">
        <f>HYPERLINK("https://www.google.com/maps/search/?api=1&amp;query=24.82615339,46.60718877", "View Map")</f>
        <v>View Map</v>
      </c>
    </row>
    <row r="1978" spans="1:6" x14ac:dyDescent="0.35">
      <c r="A1978" t="s">
        <v>1798</v>
      </c>
      <c r="B1978" t="s">
        <v>5032</v>
      </c>
      <c r="C1978" t="s">
        <v>1776</v>
      </c>
      <c r="D1978" t="s">
        <v>9</v>
      </c>
      <c r="E1978">
        <v>753</v>
      </c>
      <c r="F1978" t="str">
        <f>HYPERLINK("https://www.google.com/maps/search/?api=1&amp;query=24.700257,46.8340865", "View Map")</f>
        <v>View Map</v>
      </c>
    </row>
    <row r="1979" spans="1:6" x14ac:dyDescent="0.35">
      <c r="A1979" t="s">
        <v>1947</v>
      </c>
      <c r="B1979" t="s">
        <v>5033</v>
      </c>
      <c r="C1979" t="s">
        <v>1776</v>
      </c>
      <c r="D1979" t="s">
        <v>9</v>
      </c>
      <c r="E1979">
        <v>753</v>
      </c>
      <c r="F1979" t="str">
        <f>HYPERLINK("https://www.google.com/maps/search/?api=1&amp;query=24.57034367,46.54960131", "View Map")</f>
        <v>View Map</v>
      </c>
    </row>
    <row r="1980" spans="1:6" x14ac:dyDescent="0.35">
      <c r="A1980" t="s">
        <v>5015</v>
      </c>
      <c r="B1980" t="s">
        <v>5034</v>
      </c>
      <c r="C1980" t="s">
        <v>1776</v>
      </c>
      <c r="D1980" t="s">
        <v>9</v>
      </c>
      <c r="E1980">
        <v>753</v>
      </c>
      <c r="F1980" t="str">
        <f>HYPERLINK("https://www.google.com/maps/search/?api=1&amp;query=24.82515323,46.78374478", "View Map")</f>
        <v>View Map</v>
      </c>
    </row>
    <row r="1981" spans="1:6" x14ac:dyDescent="0.35">
      <c r="A1981" t="s">
        <v>1798</v>
      </c>
      <c r="B1981" t="s">
        <v>5035</v>
      </c>
      <c r="C1981" t="s">
        <v>1776</v>
      </c>
      <c r="D1981" t="s">
        <v>9</v>
      </c>
      <c r="E1981">
        <v>751</v>
      </c>
      <c r="F1981" t="str">
        <f>HYPERLINK("https://www.google.com/maps/search/?api=1&amp;query=24.86718285,46.83893943", "View Map")</f>
        <v>View Map</v>
      </c>
    </row>
    <row r="1982" spans="1:6" x14ac:dyDescent="0.35">
      <c r="A1982" t="s">
        <v>5036</v>
      </c>
      <c r="B1982" t="s">
        <v>5037</v>
      </c>
      <c r="C1982" t="s">
        <v>1776</v>
      </c>
      <c r="D1982" t="s">
        <v>9</v>
      </c>
      <c r="E1982">
        <v>750</v>
      </c>
      <c r="F1982" t="str">
        <f>HYPERLINK("https://www.google.com/maps/search/?api=1&amp;query=24.82071432,46.65063474", "View Map")</f>
        <v>View Map</v>
      </c>
    </row>
    <row r="1983" spans="1:6" x14ac:dyDescent="0.35">
      <c r="A1983" t="s">
        <v>1947</v>
      </c>
      <c r="B1983" t="s">
        <v>5038</v>
      </c>
      <c r="C1983" t="s">
        <v>1776</v>
      </c>
      <c r="D1983" t="s">
        <v>9</v>
      </c>
      <c r="E1983">
        <v>750</v>
      </c>
      <c r="F1983" t="str">
        <f>HYPERLINK("https://www.google.com/maps/search/?api=1&amp;query=24.55389683,46.52898021", "View Map")</f>
        <v>View Map</v>
      </c>
    </row>
    <row r="1984" spans="1:6" x14ac:dyDescent="0.35">
      <c r="A1984" t="s">
        <v>5039</v>
      </c>
      <c r="B1984" t="s">
        <v>5040</v>
      </c>
      <c r="C1984" t="s">
        <v>1776</v>
      </c>
      <c r="D1984" t="s">
        <v>9</v>
      </c>
      <c r="E1984">
        <v>749</v>
      </c>
      <c r="F1984" t="str">
        <f>HYPERLINK("https://www.google.com/maps/search/?api=1&amp;query=24.62156169,46.71424394", "View Map")</f>
        <v>View Map</v>
      </c>
    </row>
    <row r="1985" spans="1:6" x14ac:dyDescent="0.35">
      <c r="A1985" t="s">
        <v>5041</v>
      </c>
      <c r="B1985" t="s">
        <v>5042</v>
      </c>
      <c r="C1985" t="s">
        <v>1776</v>
      </c>
      <c r="D1985" t="s">
        <v>9</v>
      </c>
      <c r="E1985">
        <v>749</v>
      </c>
      <c r="F1985" t="str">
        <f>HYPERLINK("https://www.google.com/maps/search/?api=1&amp;query=24.57836643,46.70986096", "View Map")</f>
        <v>View Map</v>
      </c>
    </row>
    <row r="1986" spans="1:6" x14ac:dyDescent="0.35">
      <c r="A1986" t="s">
        <v>5043</v>
      </c>
      <c r="B1986" t="s">
        <v>5044</v>
      </c>
      <c r="C1986" t="s">
        <v>1776</v>
      </c>
      <c r="D1986" t="s">
        <v>9</v>
      </c>
      <c r="E1986">
        <v>748</v>
      </c>
      <c r="F1986" t="str">
        <f>HYPERLINK("https://www.google.com/maps/search/?api=1&amp;query=24.57511972,46.6178974", "View Map")</f>
        <v>View Map</v>
      </c>
    </row>
    <row r="1987" spans="1:6" x14ac:dyDescent="0.35">
      <c r="A1987" t="s">
        <v>5045</v>
      </c>
      <c r="B1987" t="s">
        <v>5046</v>
      </c>
      <c r="C1987" t="s">
        <v>1776</v>
      </c>
      <c r="D1987" t="s">
        <v>9</v>
      </c>
      <c r="E1987">
        <v>747</v>
      </c>
      <c r="F1987" t="str">
        <f>HYPERLINK("https://www.google.com/maps/search/?api=1&amp;query=24.59739254,46.70651971", "View Map")</f>
        <v>View Map</v>
      </c>
    </row>
    <row r="1988" spans="1:6" x14ac:dyDescent="0.35">
      <c r="A1988" t="s">
        <v>2438</v>
      </c>
      <c r="B1988" t="s">
        <v>5047</v>
      </c>
      <c r="C1988" t="s">
        <v>1776</v>
      </c>
      <c r="D1988" t="s">
        <v>9</v>
      </c>
      <c r="E1988">
        <v>745</v>
      </c>
      <c r="F1988" t="str">
        <f>HYPERLINK("https://www.google.com/maps/search/?api=1&amp;query=24.80974365,46.88475393", "View Map")</f>
        <v>View Map</v>
      </c>
    </row>
    <row r="1989" spans="1:6" x14ac:dyDescent="0.35">
      <c r="A1989" t="s">
        <v>5048</v>
      </c>
      <c r="B1989" t="s">
        <v>5049</v>
      </c>
      <c r="C1989" t="s">
        <v>1776</v>
      </c>
      <c r="D1989" t="s">
        <v>9</v>
      </c>
      <c r="E1989">
        <v>744</v>
      </c>
      <c r="F1989" t="str">
        <f>HYPERLINK("https://www.google.com/maps/search/?api=1&amp;query=24.78014028,46.75304513", "View Map")</f>
        <v>View Map</v>
      </c>
    </row>
    <row r="1990" spans="1:6" x14ac:dyDescent="0.35">
      <c r="A1990" t="s">
        <v>5050</v>
      </c>
      <c r="B1990" t="s">
        <v>5051</v>
      </c>
      <c r="C1990" t="s">
        <v>1776</v>
      </c>
      <c r="D1990" t="s">
        <v>9</v>
      </c>
      <c r="E1990">
        <v>744</v>
      </c>
      <c r="F1990" t="str">
        <f>HYPERLINK("https://www.google.com/maps/search/?api=1&amp;query=24.68786992,46.81217155", "View Map")</f>
        <v>View Map</v>
      </c>
    </row>
    <row r="1991" spans="1:6" x14ac:dyDescent="0.35">
      <c r="A1991" t="s">
        <v>1947</v>
      </c>
      <c r="B1991" t="s">
        <v>5052</v>
      </c>
      <c r="C1991" t="s">
        <v>1776</v>
      </c>
      <c r="D1991" t="s">
        <v>9</v>
      </c>
      <c r="E1991">
        <v>744</v>
      </c>
      <c r="F1991" t="str">
        <f>HYPERLINK("https://www.google.com/maps/search/?api=1&amp;query=24.56178627,46.5237511", "View Map")</f>
        <v>View Map</v>
      </c>
    </row>
    <row r="1992" spans="1:6" x14ac:dyDescent="0.35">
      <c r="A1992" t="s">
        <v>1798</v>
      </c>
      <c r="B1992" t="s">
        <v>5053</v>
      </c>
      <c r="C1992" t="s">
        <v>1776</v>
      </c>
      <c r="D1992" t="s">
        <v>9</v>
      </c>
      <c r="E1992">
        <v>744</v>
      </c>
      <c r="F1992" t="str">
        <f>HYPERLINK("https://www.google.com/maps/search/?api=1&amp;query=24.80337768,46.59003903", "View Map")</f>
        <v>View Map</v>
      </c>
    </row>
    <row r="1993" spans="1:6" x14ac:dyDescent="0.35">
      <c r="A1993" t="s">
        <v>1798</v>
      </c>
      <c r="B1993" t="s">
        <v>5054</v>
      </c>
      <c r="C1993" t="s">
        <v>1776</v>
      </c>
      <c r="D1993" t="s">
        <v>9</v>
      </c>
      <c r="E1993">
        <v>744</v>
      </c>
      <c r="F1993" t="str">
        <f>HYPERLINK("https://www.google.com/maps/search/?api=1&amp;query=24.85297,46.65071", "View Map")</f>
        <v>View Map</v>
      </c>
    </row>
    <row r="1994" spans="1:6" x14ac:dyDescent="0.35">
      <c r="A1994" t="s">
        <v>1798</v>
      </c>
      <c r="B1994" t="s">
        <v>5055</v>
      </c>
      <c r="C1994" t="s">
        <v>1776</v>
      </c>
      <c r="D1994" t="s">
        <v>9</v>
      </c>
      <c r="E1994">
        <v>744</v>
      </c>
      <c r="F1994" t="str">
        <f>HYPERLINK("https://www.google.com/maps/search/?api=1&amp;query=24.61395679,46.50235749", "View Map")</f>
        <v>View Map</v>
      </c>
    </row>
    <row r="1995" spans="1:6" x14ac:dyDescent="0.35">
      <c r="A1995" t="s">
        <v>5056</v>
      </c>
      <c r="B1995" t="s">
        <v>5057</v>
      </c>
      <c r="C1995" t="s">
        <v>1776</v>
      </c>
      <c r="D1995" t="s">
        <v>9</v>
      </c>
      <c r="E1995">
        <v>743</v>
      </c>
      <c r="F1995" t="str">
        <f>HYPERLINK("https://www.google.com/maps/search/?api=1&amp;query=24.5706,46.6983", "View Map")</f>
        <v>View Map</v>
      </c>
    </row>
    <row r="1996" spans="1:6" x14ac:dyDescent="0.35">
      <c r="A1996" t="s">
        <v>5058</v>
      </c>
      <c r="B1996" t="s">
        <v>5059</v>
      </c>
      <c r="C1996" t="s">
        <v>1776</v>
      </c>
      <c r="D1996" t="s">
        <v>9</v>
      </c>
      <c r="E1996">
        <v>743</v>
      </c>
      <c r="F1996" t="str">
        <f>HYPERLINK("https://www.google.com/maps/search/?api=1&amp;query=24.60605942,46.61545041", "View Map")</f>
        <v>View Map</v>
      </c>
    </row>
    <row r="1997" spans="1:6" x14ac:dyDescent="0.35">
      <c r="A1997" t="s">
        <v>4390</v>
      </c>
      <c r="B1997" t="s">
        <v>5060</v>
      </c>
      <c r="C1997" t="s">
        <v>1776</v>
      </c>
      <c r="D1997" t="s">
        <v>9</v>
      </c>
      <c r="E1997">
        <v>743</v>
      </c>
      <c r="F1997" t="str">
        <f>HYPERLINK("https://www.google.com/maps/search/?api=1&amp;query=24.72754218,46.79429586", "View Map")</f>
        <v>View Map</v>
      </c>
    </row>
    <row r="1998" spans="1:6" x14ac:dyDescent="0.35">
      <c r="A1998" t="s">
        <v>5061</v>
      </c>
      <c r="B1998" t="s">
        <v>5062</v>
      </c>
      <c r="C1998" t="s">
        <v>1776</v>
      </c>
      <c r="D1998" t="s">
        <v>9</v>
      </c>
      <c r="E1998">
        <v>742</v>
      </c>
      <c r="F1998" t="str">
        <f>HYPERLINK("https://www.google.com/maps/search/?api=1&amp;query=24.65704623,46.79380421", "View Map")</f>
        <v>View Map</v>
      </c>
    </row>
    <row r="1999" spans="1:6" x14ac:dyDescent="0.35">
      <c r="A1999" t="s">
        <v>3946</v>
      </c>
      <c r="B1999" t="s">
        <v>5063</v>
      </c>
      <c r="C1999" t="s">
        <v>1776</v>
      </c>
      <c r="D1999" t="s">
        <v>9</v>
      </c>
      <c r="E1999">
        <v>741</v>
      </c>
      <c r="F1999" t="str">
        <f>HYPERLINK("https://www.google.com/maps/search/?api=1&amp;query=24.68529033,46.76381504", "View Map")</f>
        <v>View Map</v>
      </c>
    </row>
    <row r="2000" spans="1:6" x14ac:dyDescent="0.35">
      <c r="A2000" t="s">
        <v>2704</v>
      </c>
      <c r="B2000" t="s">
        <v>5064</v>
      </c>
      <c r="C2000" t="s">
        <v>1776</v>
      </c>
      <c r="D2000" t="s">
        <v>9</v>
      </c>
      <c r="E2000">
        <v>741</v>
      </c>
      <c r="F2000" t="str">
        <f>HYPERLINK("https://www.google.com/maps/search/?api=1&amp;query=24.55603292,46.769141", "View Map")</f>
        <v>View Map</v>
      </c>
    </row>
    <row r="2001" spans="1:6" x14ac:dyDescent="0.35">
      <c r="A2001" t="s">
        <v>5065</v>
      </c>
      <c r="B2001" t="s">
        <v>5066</v>
      </c>
      <c r="C2001" t="s">
        <v>1776</v>
      </c>
      <c r="D2001" t="s">
        <v>9</v>
      </c>
      <c r="E2001">
        <v>741</v>
      </c>
      <c r="F2001" t="str">
        <f>HYPERLINK("https://www.google.com/maps/search/?api=1&amp;query=24.63692912,46.62290432", "View Map")</f>
        <v>View Map</v>
      </c>
    </row>
    <row r="2002" spans="1:6" x14ac:dyDescent="0.35">
      <c r="A2002" t="s">
        <v>2514</v>
      </c>
      <c r="B2002" t="s">
        <v>5067</v>
      </c>
      <c r="C2002" t="s">
        <v>1776</v>
      </c>
      <c r="D2002" t="s">
        <v>9</v>
      </c>
      <c r="E2002">
        <v>740</v>
      </c>
      <c r="F2002" t="str">
        <f>HYPERLINK("https://www.google.com/maps/search/?api=1&amp;query=24.70701599,46.80209152", "View Map")</f>
        <v>View Map</v>
      </c>
    </row>
    <row r="2003" spans="1:6" x14ac:dyDescent="0.35">
      <c r="A2003" t="s">
        <v>5068</v>
      </c>
      <c r="B2003" t="s">
        <v>5069</v>
      </c>
      <c r="C2003" t="s">
        <v>1776</v>
      </c>
      <c r="D2003" t="s">
        <v>9</v>
      </c>
      <c r="E2003">
        <v>740</v>
      </c>
      <c r="F2003" t="str">
        <f>HYPERLINK("https://www.google.com/maps/search/?api=1&amp;query=24.72629227,46.81509409", "View Map")</f>
        <v>View Map</v>
      </c>
    </row>
    <row r="2004" spans="1:6" x14ac:dyDescent="0.35">
      <c r="A2004" t="s">
        <v>5070</v>
      </c>
      <c r="B2004" t="s">
        <v>5071</v>
      </c>
      <c r="C2004" t="s">
        <v>1776</v>
      </c>
      <c r="D2004" t="s">
        <v>9</v>
      </c>
      <c r="E2004">
        <v>739</v>
      </c>
      <c r="F2004" t="str">
        <f>HYPERLINK("https://www.google.com/maps/search/?api=1&amp;query=24.61407213,46.85477443", "View Map")</f>
        <v>View Map</v>
      </c>
    </row>
    <row r="2005" spans="1:6" x14ac:dyDescent="0.35">
      <c r="A2005" t="s">
        <v>5072</v>
      </c>
      <c r="B2005" t="s">
        <v>5073</v>
      </c>
      <c r="C2005" t="s">
        <v>1776</v>
      </c>
      <c r="D2005" t="s">
        <v>9</v>
      </c>
      <c r="E2005">
        <v>739</v>
      </c>
      <c r="F2005" t="str">
        <f>HYPERLINK("https://www.google.com/maps/search/?api=1&amp;query=24.78202877,46.76196356", "View Map")</f>
        <v>View Map</v>
      </c>
    </row>
    <row r="2006" spans="1:6" x14ac:dyDescent="0.35">
      <c r="A2006" t="s">
        <v>5074</v>
      </c>
      <c r="B2006" t="s">
        <v>5075</v>
      </c>
      <c r="C2006" t="s">
        <v>1776</v>
      </c>
      <c r="D2006" t="s">
        <v>9</v>
      </c>
      <c r="E2006">
        <v>737</v>
      </c>
      <c r="F2006" t="str">
        <f>HYPERLINK("https://www.google.com/maps/search/?api=1&amp;query=24.70717407,46.83091194", "View Map")</f>
        <v>View Map</v>
      </c>
    </row>
    <row r="2007" spans="1:6" x14ac:dyDescent="0.35">
      <c r="A2007" t="s">
        <v>5076</v>
      </c>
      <c r="B2007" t="s">
        <v>5077</v>
      </c>
      <c r="C2007" t="s">
        <v>1776</v>
      </c>
      <c r="D2007" t="s">
        <v>9</v>
      </c>
      <c r="E2007">
        <v>737</v>
      </c>
      <c r="F2007" t="str">
        <f>HYPERLINK("https://www.google.com/maps/search/?api=1&amp;query=24.63690242,46.5449221", "View Map")</f>
        <v>View Map</v>
      </c>
    </row>
    <row r="2008" spans="1:6" x14ac:dyDescent="0.35">
      <c r="A2008" t="s">
        <v>5078</v>
      </c>
      <c r="B2008" t="s">
        <v>5079</v>
      </c>
      <c r="C2008" t="s">
        <v>1776</v>
      </c>
      <c r="D2008" t="s">
        <v>9</v>
      </c>
      <c r="E2008">
        <v>737</v>
      </c>
      <c r="F2008" t="str">
        <f>HYPERLINK("https://www.google.com/maps/search/?api=1&amp;query=24.72330664,46.76500445", "View Map")</f>
        <v>View Map</v>
      </c>
    </row>
    <row r="2009" spans="1:6" x14ac:dyDescent="0.35">
      <c r="A2009" t="s">
        <v>5080</v>
      </c>
      <c r="B2009" t="s">
        <v>5081</v>
      </c>
      <c r="C2009" t="s">
        <v>1776</v>
      </c>
      <c r="D2009" t="s">
        <v>9</v>
      </c>
      <c r="E2009">
        <v>737</v>
      </c>
      <c r="F2009" t="str">
        <f>HYPERLINK("https://www.google.com/maps/search/?api=1&amp;query=24.7319,46.7589", "View Map")</f>
        <v>View Map</v>
      </c>
    </row>
    <row r="2010" spans="1:6" x14ac:dyDescent="0.35">
      <c r="A2010" t="s">
        <v>1798</v>
      </c>
      <c r="B2010" t="s">
        <v>5082</v>
      </c>
      <c r="C2010" t="s">
        <v>1776</v>
      </c>
      <c r="D2010" t="s">
        <v>9</v>
      </c>
      <c r="E2010">
        <v>737</v>
      </c>
      <c r="F2010" t="str">
        <f>HYPERLINK("https://www.google.com/maps/search/?api=1&amp;query=24.85989178,46.65345324", "View Map")</f>
        <v>View Map</v>
      </c>
    </row>
    <row r="2011" spans="1:6" x14ac:dyDescent="0.35">
      <c r="A2011" t="s">
        <v>1947</v>
      </c>
      <c r="B2011" t="s">
        <v>5083</v>
      </c>
      <c r="C2011" t="s">
        <v>1776</v>
      </c>
      <c r="D2011" t="s">
        <v>9</v>
      </c>
      <c r="E2011">
        <v>737</v>
      </c>
      <c r="F2011" t="str">
        <f>HYPERLINK("https://www.google.com/maps/search/?api=1&amp;query=24.5016583,46.66427185", "View Map")</f>
        <v>View Map</v>
      </c>
    </row>
    <row r="2012" spans="1:6" x14ac:dyDescent="0.35">
      <c r="A2012" t="s">
        <v>5084</v>
      </c>
      <c r="B2012" t="s">
        <v>5085</v>
      </c>
      <c r="C2012" t="s">
        <v>1843</v>
      </c>
      <c r="D2012" t="s">
        <v>9</v>
      </c>
      <c r="E2012">
        <v>737</v>
      </c>
      <c r="F2012" t="str">
        <f>HYPERLINK("https://www.google.com/maps/search/?api=1&amp;query=24.74820868,46.53897423", "View Map")</f>
        <v>View Map</v>
      </c>
    </row>
    <row r="2013" spans="1:6" x14ac:dyDescent="0.35">
      <c r="A2013" t="s">
        <v>1794</v>
      </c>
      <c r="B2013" t="s">
        <v>5086</v>
      </c>
      <c r="C2013" t="s">
        <v>1776</v>
      </c>
      <c r="D2013" t="s">
        <v>9</v>
      </c>
      <c r="E2013">
        <v>736</v>
      </c>
      <c r="F2013" t="str">
        <f>HYPERLINK("https://www.google.com/maps/search/?api=1&amp;query=24.61123496,46.49149338", "View Map")</f>
        <v>View Map</v>
      </c>
    </row>
    <row r="2014" spans="1:6" x14ac:dyDescent="0.35">
      <c r="A2014" t="s">
        <v>5087</v>
      </c>
      <c r="B2014" t="s">
        <v>5088</v>
      </c>
      <c r="C2014" t="s">
        <v>1776</v>
      </c>
      <c r="D2014" t="s">
        <v>9</v>
      </c>
      <c r="E2014">
        <v>736</v>
      </c>
      <c r="F2014" t="str">
        <f>HYPERLINK("https://www.google.com/maps/search/?api=1&amp;query=24.75466855,46.6851675", "View Map")</f>
        <v>View Map</v>
      </c>
    </row>
    <row r="2015" spans="1:6" x14ac:dyDescent="0.35">
      <c r="A2015" t="s">
        <v>5089</v>
      </c>
      <c r="B2015" t="s">
        <v>5090</v>
      </c>
      <c r="C2015" t="s">
        <v>1776</v>
      </c>
      <c r="D2015" t="s">
        <v>9</v>
      </c>
      <c r="E2015">
        <v>735</v>
      </c>
      <c r="F2015" t="str">
        <f>HYPERLINK("https://www.google.com/maps/search/?api=1&amp;query=24.688332,46.6885594", "View Map")</f>
        <v>View Map</v>
      </c>
    </row>
    <row r="2016" spans="1:6" x14ac:dyDescent="0.35">
      <c r="A2016" t="s">
        <v>1806</v>
      </c>
      <c r="B2016" t="s">
        <v>5091</v>
      </c>
      <c r="C2016" t="s">
        <v>1776</v>
      </c>
      <c r="D2016" t="s">
        <v>9</v>
      </c>
      <c r="E2016">
        <v>735</v>
      </c>
      <c r="F2016" t="str">
        <f>HYPERLINK("https://www.google.com/maps/search/?api=1&amp;query=24.81223815,46.75974487", "View Map")</f>
        <v>View Map</v>
      </c>
    </row>
    <row r="2017" spans="1:6" x14ac:dyDescent="0.35">
      <c r="A2017" t="s">
        <v>1798</v>
      </c>
      <c r="B2017" t="s">
        <v>5092</v>
      </c>
      <c r="C2017" t="s">
        <v>1776</v>
      </c>
      <c r="D2017" t="s">
        <v>9</v>
      </c>
      <c r="E2017">
        <v>734</v>
      </c>
      <c r="F2017" t="str">
        <f>HYPERLINK("https://www.google.com/maps/search/?api=1&amp;query=24.67102,46.713", "View Map")</f>
        <v>View Map</v>
      </c>
    </row>
    <row r="2018" spans="1:6" x14ac:dyDescent="0.35">
      <c r="A2018" t="s">
        <v>5093</v>
      </c>
      <c r="B2018" t="s">
        <v>5094</v>
      </c>
      <c r="C2018" t="s">
        <v>1776</v>
      </c>
      <c r="D2018" t="s">
        <v>9</v>
      </c>
      <c r="E2018">
        <v>734</v>
      </c>
      <c r="F2018" t="str">
        <f>HYPERLINK("https://www.google.com/maps/search/?api=1&amp;query=24.76646395,46.74085585", "View Map")</f>
        <v>View Map</v>
      </c>
    </row>
    <row r="2019" spans="1:6" x14ac:dyDescent="0.35">
      <c r="A2019" t="s">
        <v>5095</v>
      </c>
      <c r="B2019" t="s">
        <v>5096</v>
      </c>
      <c r="C2019" t="s">
        <v>1776</v>
      </c>
      <c r="D2019" t="s">
        <v>9</v>
      </c>
      <c r="E2019">
        <v>733</v>
      </c>
      <c r="F2019" t="str">
        <f>HYPERLINK("https://www.google.com/maps/search/?api=1&amp;query=24.6044,46.6058", "View Map")</f>
        <v>View Map</v>
      </c>
    </row>
    <row r="2020" spans="1:6" x14ac:dyDescent="0.35">
      <c r="A2020" t="s">
        <v>5097</v>
      </c>
      <c r="B2020" t="s">
        <v>5098</v>
      </c>
      <c r="C2020" t="s">
        <v>1776</v>
      </c>
      <c r="D2020" t="s">
        <v>318</v>
      </c>
      <c r="E2020">
        <v>733</v>
      </c>
      <c r="F2020" t="str">
        <f>HYPERLINK("https://www.google.com/maps/search/?api=1&amp;query=24.66241953,46.70152815", "View Map")</f>
        <v>View Map</v>
      </c>
    </row>
    <row r="2021" spans="1:6" x14ac:dyDescent="0.35">
      <c r="A2021" t="s">
        <v>4645</v>
      </c>
      <c r="B2021" t="s">
        <v>5099</v>
      </c>
      <c r="C2021" t="s">
        <v>1776</v>
      </c>
      <c r="D2021" t="s">
        <v>9</v>
      </c>
      <c r="E2021">
        <v>732</v>
      </c>
      <c r="F2021" t="str">
        <f>HYPERLINK("https://www.google.com/maps/search/?api=1&amp;query=24.6973241,46.79997058", "View Map")</f>
        <v>View Map</v>
      </c>
    </row>
    <row r="2022" spans="1:6" x14ac:dyDescent="0.35">
      <c r="A2022" t="s">
        <v>5100</v>
      </c>
      <c r="B2022" t="s">
        <v>5101</v>
      </c>
      <c r="C2022" t="s">
        <v>1776</v>
      </c>
      <c r="D2022" t="s">
        <v>9</v>
      </c>
      <c r="E2022">
        <v>732</v>
      </c>
      <c r="F2022" t="str">
        <f>HYPERLINK("https://www.google.com/maps/search/?api=1&amp;query=24.54637712,46.64397463", "View Map")</f>
        <v>View Map</v>
      </c>
    </row>
    <row r="2023" spans="1:6" x14ac:dyDescent="0.35">
      <c r="A2023" t="s">
        <v>5102</v>
      </c>
      <c r="B2023" t="s">
        <v>5103</v>
      </c>
      <c r="C2023" t="s">
        <v>1776</v>
      </c>
      <c r="D2023" t="s">
        <v>9</v>
      </c>
      <c r="E2023">
        <v>732</v>
      </c>
      <c r="F2023" t="str">
        <f>HYPERLINK("https://www.google.com/maps/search/?api=1&amp;query=24.60175366,46.77346194", "View Map")</f>
        <v>View Map</v>
      </c>
    </row>
    <row r="2024" spans="1:6" x14ac:dyDescent="0.35">
      <c r="A2024" t="s">
        <v>2023</v>
      </c>
      <c r="B2024" t="s">
        <v>5104</v>
      </c>
      <c r="C2024" t="s">
        <v>1776</v>
      </c>
      <c r="D2024" t="s">
        <v>318</v>
      </c>
      <c r="E2024">
        <v>732</v>
      </c>
      <c r="F2024" t="str">
        <f>HYPERLINK("https://www.google.com/maps/search/?api=1&amp;query=24.80523134,46.79547907", "View Map")</f>
        <v>View Map</v>
      </c>
    </row>
    <row r="2025" spans="1:6" x14ac:dyDescent="0.35">
      <c r="A2025" t="s">
        <v>1798</v>
      </c>
      <c r="B2025" t="s">
        <v>5105</v>
      </c>
      <c r="C2025" t="s">
        <v>1776</v>
      </c>
      <c r="D2025" t="s">
        <v>9</v>
      </c>
      <c r="E2025">
        <v>731</v>
      </c>
      <c r="F2025" t="str">
        <f>HYPERLINK("https://www.google.com/maps/search/?api=1&amp;query=24.83275164,46.74648465", "View Map")</f>
        <v>View Map</v>
      </c>
    </row>
    <row r="2026" spans="1:6" x14ac:dyDescent="0.35">
      <c r="A2026" t="s">
        <v>5106</v>
      </c>
      <c r="B2026" t="s">
        <v>5107</v>
      </c>
      <c r="C2026" t="s">
        <v>1843</v>
      </c>
      <c r="D2026" t="s">
        <v>9</v>
      </c>
      <c r="E2026">
        <v>731</v>
      </c>
      <c r="F2026" t="str">
        <f>HYPERLINK("https://www.google.com/maps/search/?api=1&amp;query=24.74352549,46.57230921", "View Map")</f>
        <v>View Map</v>
      </c>
    </row>
    <row r="2027" spans="1:6" x14ac:dyDescent="0.35">
      <c r="A2027" t="s">
        <v>1947</v>
      </c>
      <c r="B2027" t="s">
        <v>5108</v>
      </c>
      <c r="C2027" t="s">
        <v>1776</v>
      </c>
      <c r="D2027" t="s">
        <v>9</v>
      </c>
      <c r="E2027">
        <v>730</v>
      </c>
      <c r="F2027" t="str">
        <f>HYPERLINK("https://www.google.com/maps/search/?api=1&amp;query=24.58092763,46.70459587", "View Map")</f>
        <v>View Map</v>
      </c>
    </row>
    <row r="2028" spans="1:6" x14ac:dyDescent="0.35">
      <c r="A2028" t="s">
        <v>1798</v>
      </c>
      <c r="B2028" t="s">
        <v>5109</v>
      </c>
      <c r="C2028" t="s">
        <v>1776</v>
      </c>
      <c r="D2028" t="s">
        <v>9</v>
      </c>
      <c r="E2028">
        <v>730</v>
      </c>
      <c r="F2028" t="str">
        <f>HYPERLINK("https://www.google.com/maps/search/?api=1&amp;query=24.92937923,46.806863", "View Map")</f>
        <v>View Map</v>
      </c>
    </row>
    <row r="2029" spans="1:6" x14ac:dyDescent="0.35">
      <c r="A2029" t="s">
        <v>1947</v>
      </c>
      <c r="B2029" t="s">
        <v>5110</v>
      </c>
      <c r="C2029" t="s">
        <v>1776</v>
      </c>
      <c r="D2029" t="s">
        <v>9</v>
      </c>
      <c r="E2029">
        <v>730</v>
      </c>
      <c r="F2029" t="str">
        <f>HYPERLINK("https://www.google.com/maps/search/?api=1&amp;query=24.5795311,46.61115021", "View Map")</f>
        <v>View Map</v>
      </c>
    </row>
    <row r="2030" spans="1:6" x14ac:dyDescent="0.35">
      <c r="A2030" t="s">
        <v>5111</v>
      </c>
      <c r="B2030" t="s">
        <v>5112</v>
      </c>
      <c r="C2030" t="s">
        <v>1776</v>
      </c>
      <c r="D2030" t="s">
        <v>9</v>
      </c>
      <c r="E2030">
        <v>730</v>
      </c>
      <c r="F2030" t="str">
        <f>HYPERLINK("https://www.google.com/maps/search/?api=1&amp;query=24.63451704,46.59397562", "View Map")</f>
        <v>View Map</v>
      </c>
    </row>
    <row r="2031" spans="1:6" x14ac:dyDescent="0.35">
      <c r="A2031" t="s">
        <v>5113</v>
      </c>
      <c r="B2031" t="s">
        <v>5114</v>
      </c>
      <c r="C2031" t="s">
        <v>1776</v>
      </c>
      <c r="D2031" t="s">
        <v>9</v>
      </c>
      <c r="E2031">
        <v>730</v>
      </c>
      <c r="F2031" t="str">
        <f>HYPERLINK("https://www.google.com/maps/search/?api=1&amp;query=24.8023764,46.80238528", "View Map")</f>
        <v>View Map</v>
      </c>
    </row>
    <row r="2032" spans="1:6" x14ac:dyDescent="0.35">
      <c r="A2032" t="s">
        <v>5115</v>
      </c>
      <c r="B2032" t="s">
        <v>5116</v>
      </c>
      <c r="C2032" t="s">
        <v>1776</v>
      </c>
      <c r="D2032" t="s">
        <v>9</v>
      </c>
      <c r="E2032">
        <v>729</v>
      </c>
      <c r="F2032" t="str">
        <f>HYPERLINK("https://www.google.com/maps/search/?api=1&amp;query=24.74161406,46.77668002", "View Map")</f>
        <v>View Map</v>
      </c>
    </row>
    <row r="2033" spans="1:6" x14ac:dyDescent="0.35">
      <c r="A2033" t="s">
        <v>5117</v>
      </c>
      <c r="B2033" t="s">
        <v>5118</v>
      </c>
      <c r="C2033" t="s">
        <v>1776</v>
      </c>
      <c r="D2033" t="s">
        <v>9</v>
      </c>
      <c r="E2033">
        <v>729</v>
      </c>
      <c r="F2033" t="str">
        <f>HYPERLINK("https://www.google.com/maps/search/?api=1&amp;query=24.5623057,46.76237964", "View Map")</f>
        <v>View Map</v>
      </c>
    </row>
    <row r="2034" spans="1:6" x14ac:dyDescent="0.35">
      <c r="A2034" t="s">
        <v>5119</v>
      </c>
      <c r="B2034" t="s">
        <v>5120</v>
      </c>
      <c r="C2034" t="s">
        <v>1776</v>
      </c>
      <c r="D2034" t="s">
        <v>9</v>
      </c>
      <c r="E2034">
        <v>729</v>
      </c>
      <c r="F2034" t="str">
        <f>HYPERLINK("https://www.google.com/maps/search/?api=1&amp;query=24.71972893,46.66681519", "View Map")</f>
        <v>View Map</v>
      </c>
    </row>
    <row r="2035" spans="1:6" x14ac:dyDescent="0.35">
      <c r="A2035" t="s">
        <v>5121</v>
      </c>
      <c r="B2035" t="s">
        <v>5122</v>
      </c>
      <c r="C2035" t="s">
        <v>1776</v>
      </c>
      <c r="D2035" t="s">
        <v>9</v>
      </c>
      <c r="E2035">
        <v>729</v>
      </c>
      <c r="F2035" t="str">
        <f>HYPERLINK("https://www.google.com/maps/search/?api=1&amp;query=24.61218068,46.69679777", "View Map")</f>
        <v>View Map</v>
      </c>
    </row>
    <row r="2036" spans="1:6" x14ac:dyDescent="0.35">
      <c r="A2036" t="s">
        <v>1806</v>
      </c>
      <c r="B2036" t="s">
        <v>5123</v>
      </c>
      <c r="C2036" t="s">
        <v>1776</v>
      </c>
      <c r="D2036" t="s">
        <v>9</v>
      </c>
      <c r="E2036">
        <v>729</v>
      </c>
      <c r="F2036" t="str">
        <f>HYPERLINK("https://www.google.com/maps/search/?api=1&amp;query=24.80862069,46.87011952", "View Map")</f>
        <v>View Map</v>
      </c>
    </row>
    <row r="2037" spans="1:6" x14ac:dyDescent="0.35">
      <c r="A2037" t="s">
        <v>3057</v>
      </c>
      <c r="B2037" t="s">
        <v>5124</v>
      </c>
      <c r="C2037" t="s">
        <v>1776</v>
      </c>
      <c r="D2037" t="s">
        <v>9</v>
      </c>
      <c r="E2037">
        <v>729</v>
      </c>
      <c r="F2037" t="str">
        <f>HYPERLINK("https://www.google.com/maps/search/?api=1&amp;query=24.57975637,46.57967382", "View Map")</f>
        <v>View Map</v>
      </c>
    </row>
    <row r="2038" spans="1:6" x14ac:dyDescent="0.35">
      <c r="A2038" t="s">
        <v>1883</v>
      </c>
      <c r="B2038" t="s">
        <v>5125</v>
      </c>
      <c r="C2038" t="s">
        <v>1776</v>
      </c>
      <c r="D2038" t="s">
        <v>9</v>
      </c>
      <c r="E2038">
        <v>728</v>
      </c>
      <c r="F2038" t="str">
        <f>HYPERLINK("https://www.google.com/maps/search/?api=1&amp;query=24.67237059,46.79599262", "View Map")</f>
        <v>View Map</v>
      </c>
    </row>
    <row r="2039" spans="1:6" x14ac:dyDescent="0.35">
      <c r="A2039" t="s">
        <v>5126</v>
      </c>
      <c r="B2039" t="s">
        <v>5127</v>
      </c>
      <c r="C2039" t="s">
        <v>1776</v>
      </c>
      <c r="D2039" t="s">
        <v>9</v>
      </c>
      <c r="E2039">
        <v>728</v>
      </c>
      <c r="F2039" t="str">
        <f>HYPERLINK("https://www.google.com/maps/search/?api=1&amp;query=24.63917976,46.6589951", "View Map")</f>
        <v>View Map</v>
      </c>
    </row>
    <row r="2040" spans="1:6" x14ac:dyDescent="0.35">
      <c r="A2040" t="s">
        <v>5128</v>
      </c>
      <c r="B2040" t="s">
        <v>5129</v>
      </c>
      <c r="C2040" t="s">
        <v>1776</v>
      </c>
      <c r="D2040" t="s">
        <v>9</v>
      </c>
      <c r="E2040">
        <v>728</v>
      </c>
      <c r="F2040" t="str">
        <f>HYPERLINK("https://www.google.com/maps/search/?api=1&amp;query=24.81027553,46.86274451", "View Map")</f>
        <v>View Map</v>
      </c>
    </row>
    <row r="2041" spans="1:6" x14ac:dyDescent="0.35">
      <c r="A2041" t="s">
        <v>5130</v>
      </c>
      <c r="B2041" t="s">
        <v>5131</v>
      </c>
      <c r="C2041" t="s">
        <v>1776</v>
      </c>
      <c r="D2041" t="s">
        <v>9</v>
      </c>
      <c r="E2041">
        <v>727</v>
      </c>
      <c r="F2041" t="str">
        <f>HYPERLINK("https://www.google.com/maps/search/?api=1&amp;query=24.79987267,46.87013012", "View Map")</f>
        <v>View Map</v>
      </c>
    </row>
    <row r="2042" spans="1:6" x14ac:dyDescent="0.35">
      <c r="A2042" t="s">
        <v>5132</v>
      </c>
      <c r="B2042" t="s">
        <v>5133</v>
      </c>
      <c r="C2042" t="s">
        <v>1776</v>
      </c>
      <c r="D2042" t="s">
        <v>9</v>
      </c>
      <c r="E2042">
        <v>727</v>
      </c>
      <c r="F2042" t="str">
        <f>HYPERLINK("https://www.google.com/maps/search/?api=1&amp;query=24.55287095,46.71891376", "View Map")</f>
        <v>View Map</v>
      </c>
    </row>
    <row r="2043" spans="1:6" x14ac:dyDescent="0.35">
      <c r="A2043" t="s">
        <v>1798</v>
      </c>
      <c r="B2043" t="s">
        <v>5134</v>
      </c>
      <c r="C2043" t="s">
        <v>1776</v>
      </c>
      <c r="D2043" t="s">
        <v>9</v>
      </c>
      <c r="E2043">
        <v>727</v>
      </c>
      <c r="F2043" t="str">
        <f>HYPERLINK("https://www.google.com/maps/search/?api=1&amp;query=24.6894484,46.84775405", "View Map")</f>
        <v>View Map</v>
      </c>
    </row>
    <row r="2044" spans="1:6" x14ac:dyDescent="0.35">
      <c r="A2044" t="s">
        <v>5135</v>
      </c>
      <c r="B2044" t="s">
        <v>5136</v>
      </c>
      <c r="C2044" t="s">
        <v>1776</v>
      </c>
      <c r="D2044" t="s">
        <v>9</v>
      </c>
      <c r="E2044">
        <v>727</v>
      </c>
      <c r="F2044" t="str">
        <f>HYPERLINK("https://www.google.com/maps/search/?api=1&amp;query=24.61547752,46.7062525", "View Map")</f>
        <v>View Map</v>
      </c>
    </row>
    <row r="2045" spans="1:6" x14ac:dyDescent="0.35">
      <c r="A2045" t="s">
        <v>3811</v>
      </c>
      <c r="B2045" t="s">
        <v>5137</v>
      </c>
      <c r="C2045" t="s">
        <v>1776</v>
      </c>
      <c r="D2045" t="s">
        <v>9</v>
      </c>
      <c r="E2045">
        <v>726</v>
      </c>
      <c r="F2045" t="str">
        <f>HYPERLINK("https://www.google.com/maps/search/?api=1&amp;query=24.7150606,46.8485158", "View Map")</f>
        <v>View Map</v>
      </c>
    </row>
    <row r="2046" spans="1:6" x14ac:dyDescent="0.35">
      <c r="A2046" t="s">
        <v>1947</v>
      </c>
      <c r="B2046" t="s">
        <v>5138</v>
      </c>
      <c r="C2046" t="s">
        <v>1776</v>
      </c>
      <c r="D2046" t="s">
        <v>9</v>
      </c>
      <c r="E2046">
        <v>726</v>
      </c>
      <c r="F2046" t="str">
        <f>HYPERLINK("https://www.google.com/maps/search/?api=1&amp;query=24.56326244,46.57380798", "View Map")</f>
        <v>View Map</v>
      </c>
    </row>
    <row r="2047" spans="1:6" x14ac:dyDescent="0.35">
      <c r="A2047" t="s">
        <v>5139</v>
      </c>
      <c r="B2047" t="s">
        <v>5140</v>
      </c>
      <c r="C2047" t="s">
        <v>1776</v>
      </c>
      <c r="D2047" t="s">
        <v>9</v>
      </c>
      <c r="E2047">
        <v>726</v>
      </c>
      <c r="F2047" t="str">
        <f>HYPERLINK("https://www.google.com/maps/search/?api=1&amp;query=24.72690391,46.81161775", "View Map")</f>
        <v>View Map</v>
      </c>
    </row>
    <row r="2048" spans="1:6" x14ac:dyDescent="0.35">
      <c r="A2048" t="s">
        <v>5141</v>
      </c>
      <c r="B2048" t="s">
        <v>5142</v>
      </c>
      <c r="C2048" t="s">
        <v>1776</v>
      </c>
      <c r="D2048" t="s">
        <v>9</v>
      </c>
      <c r="E2048">
        <v>726</v>
      </c>
      <c r="F2048" t="str">
        <f>HYPERLINK("https://www.google.com/maps/search/?api=1&amp;query=24.66575854,46.74530661", "View Map")</f>
        <v>View Map</v>
      </c>
    </row>
    <row r="2049" spans="1:6" x14ac:dyDescent="0.35">
      <c r="A2049" t="s">
        <v>5143</v>
      </c>
      <c r="B2049" t="s">
        <v>5144</v>
      </c>
      <c r="C2049" t="s">
        <v>1843</v>
      </c>
      <c r="D2049" t="s">
        <v>9</v>
      </c>
      <c r="E2049">
        <v>725</v>
      </c>
      <c r="F2049" t="str">
        <f>HYPERLINK("https://www.google.com/maps/search/?api=1&amp;query=24.76274997,46.57498541", "View Map")</f>
        <v>View Map</v>
      </c>
    </row>
    <row r="2050" spans="1:6" x14ac:dyDescent="0.35">
      <c r="A2050" t="s">
        <v>5145</v>
      </c>
      <c r="B2050" t="s">
        <v>5146</v>
      </c>
      <c r="C2050" t="s">
        <v>1776</v>
      </c>
      <c r="D2050" t="s">
        <v>9</v>
      </c>
      <c r="E2050">
        <v>725</v>
      </c>
      <c r="F2050" t="str">
        <f>HYPERLINK("https://www.google.com/maps/search/?api=1&amp;query=24.54930022,46.65408903", "View Map")</f>
        <v>View Map</v>
      </c>
    </row>
    <row r="2051" spans="1:6" x14ac:dyDescent="0.35">
      <c r="A2051" t="s">
        <v>5147</v>
      </c>
      <c r="B2051" t="s">
        <v>5148</v>
      </c>
      <c r="C2051" t="s">
        <v>1776</v>
      </c>
      <c r="D2051" t="s">
        <v>9</v>
      </c>
      <c r="E2051">
        <v>725</v>
      </c>
      <c r="F2051" t="str">
        <f>HYPERLINK("https://www.google.com/maps/search/?api=1&amp;query=24.74187,46.61066", "View Map")</f>
        <v>View Map</v>
      </c>
    </row>
    <row r="2052" spans="1:6" x14ac:dyDescent="0.35">
      <c r="A2052" t="s">
        <v>1947</v>
      </c>
      <c r="B2052" t="s">
        <v>5149</v>
      </c>
      <c r="C2052" t="s">
        <v>1776</v>
      </c>
      <c r="D2052" t="s">
        <v>9</v>
      </c>
      <c r="E2052">
        <v>724</v>
      </c>
      <c r="F2052" t="str">
        <f>HYPERLINK("https://www.google.com/maps/search/?api=1&amp;query=24.55237201,46.49586316", "View Map")</f>
        <v>View Map</v>
      </c>
    </row>
    <row r="2053" spans="1:6" x14ac:dyDescent="0.35">
      <c r="A2053" t="s">
        <v>2178</v>
      </c>
      <c r="B2053" t="s">
        <v>5150</v>
      </c>
      <c r="C2053" t="s">
        <v>1776</v>
      </c>
      <c r="D2053" t="s">
        <v>9</v>
      </c>
      <c r="E2053">
        <v>724</v>
      </c>
      <c r="F2053" t="str">
        <f>HYPERLINK("https://www.google.com/maps/search/?api=1&amp;query=24.63869558,46.59641028", "View Map")</f>
        <v>View Map</v>
      </c>
    </row>
    <row r="2054" spans="1:6" x14ac:dyDescent="0.35">
      <c r="A2054" t="s">
        <v>1947</v>
      </c>
      <c r="B2054" t="s">
        <v>5151</v>
      </c>
      <c r="C2054" t="s">
        <v>1776</v>
      </c>
      <c r="D2054" t="s">
        <v>9</v>
      </c>
      <c r="E2054">
        <v>722</v>
      </c>
      <c r="F2054" t="str">
        <f>HYPERLINK("https://www.google.com/maps/search/?api=1&amp;query=24.56959007,46.53116667", "View Map")</f>
        <v>View Map</v>
      </c>
    </row>
    <row r="2055" spans="1:6" x14ac:dyDescent="0.35">
      <c r="A2055" t="s">
        <v>5152</v>
      </c>
      <c r="B2055" t="s">
        <v>5153</v>
      </c>
      <c r="C2055" t="s">
        <v>1776</v>
      </c>
      <c r="D2055" t="s">
        <v>9</v>
      </c>
      <c r="E2055">
        <v>722</v>
      </c>
      <c r="F2055" t="str">
        <f>HYPERLINK("https://www.google.com/maps/search/?api=1&amp;query=24.69019795,46.7209971", "View Map")</f>
        <v>View Map</v>
      </c>
    </row>
    <row r="2056" spans="1:6" x14ac:dyDescent="0.35">
      <c r="A2056" t="s">
        <v>5154</v>
      </c>
      <c r="B2056" t="s">
        <v>5155</v>
      </c>
      <c r="C2056" t="s">
        <v>1776</v>
      </c>
      <c r="D2056" t="s">
        <v>9</v>
      </c>
      <c r="E2056">
        <v>722</v>
      </c>
      <c r="F2056" t="str">
        <f>HYPERLINK("https://www.google.com/maps/search/?api=1&amp;query=24.54393524,46.70151236", "View Map")</f>
        <v>View Map</v>
      </c>
    </row>
    <row r="2057" spans="1:6" x14ac:dyDescent="0.35">
      <c r="A2057" t="s">
        <v>5156</v>
      </c>
      <c r="B2057" t="s">
        <v>5157</v>
      </c>
      <c r="C2057" t="s">
        <v>1776</v>
      </c>
      <c r="D2057" t="s">
        <v>9</v>
      </c>
      <c r="E2057">
        <v>722</v>
      </c>
      <c r="F2057" t="str">
        <f>HYPERLINK("https://www.google.com/maps/search/?api=1&amp;query=24.5900787,46.60434661", "View Map")</f>
        <v>View Map</v>
      </c>
    </row>
    <row r="2058" spans="1:6" x14ac:dyDescent="0.35">
      <c r="A2058" t="s">
        <v>5158</v>
      </c>
      <c r="B2058" t="s">
        <v>5159</v>
      </c>
      <c r="C2058" t="s">
        <v>1776</v>
      </c>
      <c r="D2058" t="s">
        <v>9</v>
      </c>
      <c r="E2058">
        <v>722</v>
      </c>
      <c r="F2058" t="str">
        <f>HYPERLINK("https://www.google.com/maps/search/?api=1&amp;query=24.55758165,46.78406404", "View Map")</f>
        <v>View Map</v>
      </c>
    </row>
    <row r="2059" spans="1:6" x14ac:dyDescent="0.35">
      <c r="A2059" t="s">
        <v>4136</v>
      </c>
      <c r="B2059" t="s">
        <v>5160</v>
      </c>
      <c r="C2059" t="s">
        <v>1776</v>
      </c>
      <c r="D2059" t="s">
        <v>9</v>
      </c>
      <c r="E2059">
        <v>722</v>
      </c>
      <c r="F2059" t="str">
        <f>HYPERLINK("https://www.google.com/maps/search/?api=1&amp;query=24.6895799,46.83862633", "View Map")</f>
        <v>View Map</v>
      </c>
    </row>
    <row r="2060" spans="1:6" x14ac:dyDescent="0.35">
      <c r="A2060" t="s">
        <v>1798</v>
      </c>
      <c r="B2060" t="s">
        <v>5161</v>
      </c>
      <c r="C2060" t="s">
        <v>1776</v>
      </c>
      <c r="D2060" t="s">
        <v>9</v>
      </c>
      <c r="E2060">
        <v>722</v>
      </c>
      <c r="F2060" t="str">
        <f>HYPERLINK("https://www.google.com/maps/search/?api=1&amp;query=24.6564,46.5778", "View Map")</f>
        <v>View Map</v>
      </c>
    </row>
    <row r="2061" spans="1:6" x14ac:dyDescent="0.35">
      <c r="A2061" t="s">
        <v>5162</v>
      </c>
      <c r="B2061" t="s">
        <v>5163</v>
      </c>
      <c r="C2061" t="s">
        <v>1776</v>
      </c>
      <c r="D2061" t="s">
        <v>9</v>
      </c>
      <c r="E2061">
        <v>721</v>
      </c>
      <c r="F2061" t="str">
        <f>HYPERLINK("https://www.google.com/maps/search/?api=1&amp;query=24.76985014,46.74216619", "View Map")</f>
        <v>View Map</v>
      </c>
    </row>
    <row r="2062" spans="1:6" x14ac:dyDescent="0.35">
      <c r="A2062" t="s">
        <v>1947</v>
      </c>
      <c r="B2062" t="s">
        <v>5164</v>
      </c>
      <c r="C2062" t="s">
        <v>1776</v>
      </c>
      <c r="D2062" t="s">
        <v>9</v>
      </c>
      <c r="E2062">
        <v>721</v>
      </c>
      <c r="F2062" t="str">
        <f>HYPERLINK("https://www.google.com/maps/search/?api=1&amp;query=24.6125,46.7017", "View Map")</f>
        <v>View Map</v>
      </c>
    </row>
    <row r="2063" spans="1:6" x14ac:dyDescent="0.35">
      <c r="A2063" t="s">
        <v>5165</v>
      </c>
      <c r="B2063" t="s">
        <v>5166</v>
      </c>
      <c r="C2063" t="s">
        <v>1776</v>
      </c>
      <c r="D2063" t="s">
        <v>9</v>
      </c>
      <c r="E2063">
        <v>721</v>
      </c>
      <c r="F2063" t="str">
        <f>HYPERLINK("https://www.google.com/maps/search/?api=1&amp;query=24.81102581,46.64342992", "View Map")</f>
        <v>View Map</v>
      </c>
    </row>
    <row r="2064" spans="1:6" x14ac:dyDescent="0.35">
      <c r="A2064" t="s">
        <v>5167</v>
      </c>
      <c r="B2064" t="s">
        <v>5168</v>
      </c>
      <c r="C2064" t="s">
        <v>1776</v>
      </c>
      <c r="D2064" t="s">
        <v>9</v>
      </c>
      <c r="E2064">
        <v>720</v>
      </c>
      <c r="F2064" t="str">
        <f>HYPERLINK("https://www.google.com/maps/search/?api=1&amp;query=24.55741485,46.69213812", "View Map")</f>
        <v>View Map</v>
      </c>
    </row>
    <row r="2065" spans="1:6" x14ac:dyDescent="0.35">
      <c r="A2065" t="s">
        <v>5169</v>
      </c>
      <c r="B2065" t="s">
        <v>5170</v>
      </c>
      <c r="C2065" t="s">
        <v>1776</v>
      </c>
      <c r="D2065" t="s">
        <v>9</v>
      </c>
      <c r="E2065">
        <v>720</v>
      </c>
      <c r="F2065" t="str">
        <f>HYPERLINK("https://www.google.com/maps/search/?api=1&amp;query=24.77815313,46.7244194", "View Map")</f>
        <v>View Map</v>
      </c>
    </row>
    <row r="2066" spans="1:6" x14ac:dyDescent="0.35">
      <c r="A2066" t="s">
        <v>5171</v>
      </c>
      <c r="B2066" t="s">
        <v>5172</v>
      </c>
      <c r="C2066" t="s">
        <v>1776</v>
      </c>
      <c r="D2066" t="s">
        <v>9</v>
      </c>
      <c r="E2066">
        <v>719</v>
      </c>
      <c r="F2066" t="str">
        <f>HYPERLINK("https://www.google.com/maps/search/?api=1&amp;query=24.56528104,46.63626444", "View Map")</f>
        <v>View Map</v>
      </c>
    </row>
    <row r="2067" spans="1:6" x14ac:dyDescent="0.35">
      <c r="A2067" t="s">
        <v>1806</v>
      </c>
      <c r="B2067" t="s">
        <v>5173</v>
      </c>
      <c r="C2067" t="s">
        <v>1776</v>
      </c>
      <c r="D2067" t="s">
        <v>9</v>
      </c>
      <c r="E2067">
        <v>719</v>
      </c>
      <c r="F2067" t="str">
        <f>HYPERLINK("https://www.google.com/maps/search/?api=1&amp;query=24.73413149,46.60833084", "View Map")</f>
        <v>View Map</v>
      </c>
    </row>
    <row r="2068" spans="1:6" x14ac:dyDescent="0.35">
      <c r="A2068" t="s">
        <v>5174</v>
      </c>
      <c r="B2068" t="s">
        <v>5175</v>
      </c>
      <c r="C2068" t="s">
        <v>1776</v>
      </c>
      <c r="D2068" t="s">
        <v>9</v>
      </c>
      <c r="E2068">
        <v>719</v>
      </c>
      <c r="F2068" t="str">
        <f>HYPERLINK("https://www.google.com/maps/search/?api=1&amp;query=24.58563855,46.65142248", "View Map")</f>
        <v>View Map</v>
      </c>
    </row>
    <row r="2069" spans="1:6" x14ac:dyDescent="0.35">
      <c r="A2069" t="s">
        <v>5176</v>
      </c>
      <c r="B2069" t="s">
        <v>5177</v>
      </c>
      <c r="C2069" t="s">
        <v>1776</v>
      </c>
      <c r="D2069" t="s">
        <v>9</v>
      </c>
      <c r="E2069">
        <v>719</v>
      </c>
      <c r="F2069" t="str">
        <f>HYPERLINK("https://www.google.com/maps/search/?api=1&amp;query=24.72720724,46.8391305", "View Map")</f>
        <v>View Map</v>
      </c>
    </row>
    <row r="2070" spans="1:6" x14ac:dyDescent="0.35">
      <c r="A2070" t="s">
        <v>295</v>
      </c>
      <c r="B2070" t="s">
        <v>5178</v>
      </c>
      <c r="C2070" t="s">
        <v>1776</v>
      </c>
      <c r="D2070" t="s">
        <v>9</v>
      </c>
      <c r="E2070">
        <v>716</v>
      </c>
      <c r="F2070" t="str">
        <f>HYPERLINK("https://www.google.com/maps/search/?api=1&amp;query=24.79867649,46.75141039", "View Map")</f>
        <v>View Map</v>
      </c>
    </row>
    <row r="2071" spans="1:6" x14ac:dyDescent="0.35">
      <c r="A2071" t="s">
        <v>5179</v>
      </c>
      <c r="B2071" t="s">
        <v>5180</v>
      </c>
      <c r="C2071" t="s">
        <v>1776</v>
      </c>
      <c r="D2071" t="s">
        <v>9</v>
      </c>
      <c r="E2071">
        <v>716</v>
      </c>
      <c r="F2071" t="str">
        <f>HYPERLINK("https://www.google.com/maps/search/?api=1&amp;query=24.68685741,46.85477145", "View Map")</f>
        <v>View Map</v>
      </c>
    </row>
    <row r="2072" spans="1:6" x14ac:dyDescent="0.35">
      <c r="A2072" t="s">
        <v>5181</v>
      </c>
      <c r="B2072" t="s">
        <v>5182</v>
      </c>
      <c r="C2072" t="s">
        <v>1776</v>
      </c>
      <c r="D2072" t="s">
        <v>9</v>
      </c>
      <c r="E2072">
        <v>716</v>
      </c>
      <c r="F2072" t="str">
        <f>HYPERLINK("https://www.google.com/maps/search/?api=1&amp;query=24.69318501,46.79096506", "View Map")</f>
        <v>View Map</v>
      </c>
    </row>
    <row r="2073" spans="1:6" x14ac:dyDescent="0.35">
      <c r="A2073" t="s">
        <v>5183</v>
      </c>
      <c r="B2073" t="s">
        <v>5184</v>
      </c>
      <c r="C2073" t="s">
        <v>1776</v>
      </c>
      <c r="D2073" t="s">
        <v>9</v>
      </c>
      <c r="E2073">
        <v>716</v>
      </c>
      <c r="F2073" t="str">
        <f>HYPERLINK("https://www.google.com/maps/search/?api=1&amp;query=24.7024078,46.84533026", "View Map")</f>
        <v>View Map</v>
      </c>
    </row>
    <row r="2074" spans="1:6" x14ac:dyDescent="0.35">
      <c r="A2074" t="s">
        <v>5185</v>
      </c>
      <c r="B2074" t="s">
        <v>5186</v>
      </c>
      <c r="C2074" t="s">
        <v>1776</v>
      </c>
      <c r="D2074" t="s">
        <v>9</v>
      </c>
      <c r="E2074">
        <v>715</v>
      </c>
      <c r="F2074" t="str">
        <f>HYPERLINK("https://www.google.com/maps/search/?api=1&amp;query=24.5727769,46.84791767", "View Map")</f>
        <v>View Map</v>
      </c>
    </row>
    <row r="2075" spans="1:6" x14ac:dyDescent="0.35">
      <c r="A2075" t="s">
        <v>5187</v>
      </c>
      <c r="B2075" t="s">
        <v>5188</v>
      </c>
      <c r="C2075" t="s">
        <v>1776</v>
      </c>
      <c r="D2075" t="s">
        <v>9</v>
      </c>
      <c r="E2075">
        <v>715</v>
      </c>
      <c r="F2075" t="str">
        <f>HYPERLINK("https://www.google.com/maps/search/?api=1&amp;query=24.63789255,46.72210323", "View Map")</f>
        <v>View Map</v>
      </c>
    </row>
    <row r="2076" spans="1:6" x14ac:dyDescent="0.35">
      <c r="A2076" t="s">
        <v>5189</v>
      </c>
      <c r="B2076" t="s">
        <v>5190</v>
      </c>
      <c r="C2076" t="s">
        <v>1776</v>
      </c>
      <c r="D2076" t="s">
        <v>9</v>
      </c>
      <c r="E2076">
        <v>715</v>
      </c>
      <c r="F2076" t="str">
        <f>HYPERLINK("https://www.google.com/maps/search/?api=1&amp;query=24.65718734,46.68619752", "View Map")</f>
        <v>View Map</v>
      </c>
    </row>
    <row r="2077" spans="1:6" x14ac:dyDescent="0.35">
      <c r="A2077" t="s">
        <v>5191</v>
      </c>
      <c r="B2077" t="s">
        <v>5192</v>
      </c>
      <c r="C2077" t="s">
        <v>1776</v>
      </c>
      <c r="D2077" t="s">
        <v>9</v>
      </c>
      <c r="E2077">
        <v>714</v>
      </c>
      <c r="F2077" t="str">
        <f>HYPERLINK("https://www.google.com/maps/search/?api=1&amp;query=24.55738036,46.76371096", "View Map")</f>
        <v>View Map</v>
      </c>
    </row>
    <row r="2078" spans="1:6" x14ac:dyDescent="0.35">
      <c r="A2078" t="s">
        <v>5193</v>
      </c>
      <c r="B2078" t="s">
        <v>5194</v>
      </c>
      <c r="C2078" t="s">
        <v>1776</v>
      </c>
      <c r="D2078" t="s">
        <v>9</v>
      </c>
      <c r="E2078">
        <v>714</v>
      </c>
      <c r="F2078" t="str">
        <f>HYPERLINK("https://www.google.com/maps/search/?api=1&amp;query=24.5947,46.685", "View Map")</f>
        <v>View Map</v>
      </c>
    </row>
    <row r="2079" spans="1:6" x14ac:dyDescent="0.35">
      <c r="A2079" t="s">
        <v>1798</v>
      </c>
      <c r="B2079" t="s">
        <v>5195</v>
      </c>
      <c r="C2079" t="s">
        <v>1776</v>
      </c>
      <c r="D2079" t="s">
        <v>9</v>
      </c>
      <c r="E2079">
        <v>714</v>
      </c>
      <c r="F2079" t="str">
        <f>HYPERLINK("https://www.google.com/maps/search/?api=1&amp;query=24.8276279,46.80258216", "View Map")</f>
        <v>View Map</v>
      </c>
    </row>
    <row r="2080" spans="1:6" x14ac:dyDescent="0.35">
      <c r="A2080" t="s">
        <v>2955</v>
      </c>
      <c r="B2080" t="s">
        <v>5196</v>
      </c>
      <c r="C2080" t="s">
        <v>1776</v>
      </c>
      <c r="D2080" t="s">
        <v>9</v>
      </c>
      <c r="E2080">
        <v>714</v>
      </c>
      <c r="F2080" t="str">
        <f>HYPERLINK("https://www.google.com/maps/search/?api=1&amp;query=24.7644685,46.76665468", "View Map")</f>
        <v>View Map</v>
      </c>
    </row>
    <row r="2081" spans="1:6" x14ac:dyDescent="0.35">
      <c r="A2081" t="s">
        <v>1798</v>
      </c>
      <c r="B2081" t="s">
        <v>5197</v>
      </c>
      <c r="C2081" t="s">
        <v>1776</v>
      </c>
      <c r="D2081" t="s">
        <v>9</v>
      </c>
      <c r="E2081">
        <v>714</v>
      </c>
      <c r="F2081" t="str">
        <f>HYPERLINK("https://www.google.com/maps/search/?api=1&amp;query=24.8292511,46.62597262", "View Map")</f>
        <v>View Map</v>
      </c>
    </row>
    <row r="2082" spans="1:6" x14ac:dyDescent="0.35">
      <c r="A2082" t="s">
        <v>5198</v>
      </c>
      <c r="B2082" t="s">
        <v>5199</v>
      </c>
      <c r="C2082" t="s">
        <v>1776</v>
      </c>
      <c r="D2082" t="s">
        <v>9</v>
      </c>
      <c r="E2082">
        <v>713</v>
      </c>
      <c r="F2082" t="str">
        <f>HYPERLINK("https://www.google.com/maps/search/?api=1&amp;query=24.70431421,46.81820488", "View Map")</f>
        <v>View Map</v>
      </c>
    </row>
    <row r="2083" spans="1:6" x14ac:dyDescent="0.35">
      <c r="A2083" t="s">
        <v>1798</v>
      </c>
      <c r="B2083" t="s">
        <v>5200</v>
      </c>
      <c r="C2083" t="s">
        <v>1843</v>
      </c>
      <c r="D2083" t="s">
        <v>9</v>
      </c>
      <c r="E2083">
        <v>713</v>
      </c>
      <c r="F2083" t="str">
        <f>HYPERLINK("https://www.google.com/maps/search/?api=1&amp;query=24.90794455,46.43028429", "View Map")</f>
        <v>View Map</v>
      </c>
    </row>
    <row r="2084" spans="1:6" x14ac:dyDescent="0.35">
      <c r="A2084" t="s">
        <v>5201</v>
      </c>
      <c r="B2084" t="s">
        <v>5202</v>
      </c>
      <c r="C2084" t="s">
        <v>1776</v>
      </c>
      <c r="D2084" t="s">
        <v>9</v>
      </c>
      <c r="E2084">
        <v>713</v>
      </c>
      <c r="F2084" t="str">
        <f>HYPERLINK("https://www.google.com/maps/search/?api=1&amp;query=24.80239001,46.85367524", "View Map")</f>
        <v>View Map</v>
      </c>
    </row>
    <row r="2085" spans="1:6" x14ac:dyDescent="0.35">
      <c r="A2085" t="s">
        <v>5203</v>
      </c>
      <c r="B2085" t="s">
        <v>5204</v>
      </c>
      <c r="C2085" t="s">
        <v>1776</v>
      </c>
      <c r="D2085" t="s">
        <v>9</v>
      </c>
      <c r="E2085">
        <v>713</v>
      </c>
      <c r="F2085" t="str">
        <f>HYPERLINK("https://www.google.com/maps/search/?api=1&amp;query=24.60341739,46.73835327", "View Map")</f>
        <v>View Map</v>
      </c>
    </row>
    <row r="2086" spans="1:6" x14ac:dyDescent="0.35">
      <c r="A2086" t="s">
        <v>1798</v>
      </c>
      <c r="B2086" t="s">
        <v>5205</v>
      </c>
      <c r="C2086" t="s">
        <v>1776</v>
      </c>
      <c r="D2086" t="s">
        <v>9</v>
      </c>
      <c r="E2086">
        <v>712</v>
      </c>
      <c r="F2086" t="str">
        <f>HYPERLINK("https://www.google.com/maps/search/?api=1&amp;query=24.86294256,46.62975305", "View Map")</f>
        <v>View Map</v>
      </c>
    </row>
    <row r="2087" spans="1:6" x14ac:dyDescent="0.35">
      <c r="A2087" t="s">
        <v>5206</v>
      </c>
      <c r="B2087" t="s">
        <v>5207</v>
      </c>
      <c r="C2087" t="s">
        <v>1776</v>
      </c>
      <c r="D2087" t="s">
        <v>9</v>
      </c>
      <c r="E2087">
        <v>712</v>
      </c>
      <c r="F2087" t="str">
        <f>HYPERLINK("https://www.google.com/maps/search/?api=1&amp;query=24.70458709,46.82045029", "View Map")</f>
        <v>View Map</v>
      </c>
    </row>
    <row r="2088" spans="1:6" x14ac:dyDescent="0.35">
      <c r="A2088" t="s">
        <v>5208</v>
      </c>
      <c r="B2088" t="s">
        <v>5209</v>
      </c>
      <c r="C2088" t="s">
        <v>1776</v>
      </c>
      <c r="D2088" t="s">
        <v>9</v>
      </c>
      <c r="E2088">
        <v>711</v>
      </c>
      <c r="F2088" t="str">
        <f>HYPERLINK("https://www.google.com/maps/search/?api=1&amp;query=24.77746257,46.68158165", "View Map")</f>
        <v>View Map</v>
      </c>
    </row>
    <row r="2089" spans="1:6" x14ac:dyDescent="0.35">
      <c r="A2089" t="s">
        <v>2178</v>
      </c>
      <c r="B2089" t="s">
        <v>5210</v>
      </c>
      <c r="C2089" t="s">
        <v>1776</v>
      </c>
      <c r="D2089" t="s">
        <v>9</v>
      </c>
      <c r="E2089">
        <v>711</v>
      </c>
      <c r="F2089" t="str">
        <f>HYPERLINK("https://www.google.com/maps/search/?api=1&amp;query=24.62550515,46.52090561", "View Map")</f>
        <v>View Map</v>
      </c>
    </row>
    <row r="2090" spans="1:6" x14ac:dyDescent="0.35">
      <c r="A2090" t="s">
        <v>1947</v>
      </c>
      <c r="B2090" t="s">
        <v>5211</v>
      </c>
      <c r="C2090" t="s">
        <v>1776</v>
      </c>
      <c r="D2090" t="s">
        <v>9</v>
      </c>
      <c r="E2090">
        <v>710</v>
      </c>
      <c r="F2090" t="str">
        <f>HYPERLINK("https://www.google.com/maps/search/?api=1&amp;query=24.5594,46.5906", "View Map")</f>
        <v>View Map</v>
      </c>
    </row>
    <row r="2091" spans="1:6" x14ac:dyDescent="0.35">
      <c r="A2091" t="s">
        <v>1798</v>
      </c>
      <c r="B2091" t="s">
        <v>5212</v>
      </c>
      <c r="C2091" t="s">
        <v>1776</v>
      </c>
      <c r="D2091" t="s">
        <v>9</v>
      </c>
      <c r="E2091">
        <v>710</v>
      </c>
      <c r="F2091" t="str">
        <f>HYPERLINK("https://www.google.com/maps/search/?api=1&amp;query=24.81262518,46.59295891", "View Map")</f>
        <v>View Map</v>
      </c>
    </row>
    <row r="2092" spans="1:6" x14ac:dyDescent="0.35">
      <c r="A2092" t="s">
        <v>5213</v>
      </c>
      <c r="B2092" t="s">
        <v>5214</v>
      </c>
      <c r="C2092" t="s">
        <v>1776</v>
      </c>
      <c r="D2092" t="s">
        <v>9</v>
      </c>
      <c r="E2092">
        <v>710</v>
      </c>
      <c r="F2092" t="str">
        <f>HYPERLINK("https://www.google.com/maps/search/?api=1&amp;query=24.705896,46.61826581", "View Map")</f>
        <v>View Map</v>
      </c>
    </row>
    <row r="2093" spans="1:6" x14ac:dyDescent="0.35">
      <c r="A2093" t="s">
        <v>3263</v>
      </c>
      <c r="B2093" t="s">
        <v>5215</v>
      </c>
      <c r="C2093" t="s">
        <v>1776</v>
      </c>
      <c r="D2093" t="s">
        <v>9</v>
      </c>
      <c r="E2093">
        <v>709</v>
      </c>
      <c r="F2093" t="str">
        <f>HYPERLINK("https://www.google.com/maps/search/?api=1&amp;query=24.62934081,46.56368136", "View Map")</f>
        <v>View Map</v>
      </c>
    </row>
    <row r="2094" spans="1:6" x14ac:dyDescent="0.35">
      <c r="A2094" t="s">
        <v>1947</v>
      </c>
      <c r="B2094" t="s">
        <v>5216</v>
      </c>
      <c r="C2094" t="s">
        <v>1776</v>
      </c>
      <c r="D2094" t="s">
        <v>9</v>
      </c>
      <c r="E2094">
        <v>708</v>
      </c>
      <c r="F2094" t="str">
        <f>HYPERLINK("https://www.google.com/maps/search/?api=1&amp;query=24.55363955,46.6674507", "View Map")</f>
        <v>View Map</v>
      </c>
    </row>
    <row r="2095" spans="1:6" x14ac:dyDescent="0.35">
      <c r="A2095" t="s">
        <v>5217</v>
      </c>
      <c r="B2095" t="s">
        <v>5218</v>
      </c>
      <c r="C2095" t="s">
        <v>1776</v>
      </c>
      <c r="D2095" t="s">
        <v>13</v>
      </c>
      <c r="E2095">
        <v>708</v>
      </c>
      <c r="F2095" t="str">
        <f>HYPERLINK("https://www.google.com/maps/search/?api=1&amp;query=24.57565732,46.5703181", "View Map")</f>
        <v>View Map</v>
      </c>
    </row>
    <row r="2096" spans="1:6" x14ac:dyDescent="0.35">
      <c r="A2096" t="s">
        <v>5219</v>
      </c>
      <c r="B2096" t="s">
        <v>5220</v>
      </c>
      <c r="C2096" t="s">
        <v>1776</v>
      </c>
      <c r="D2096" t="s">
        <v>9</v>
      </c>
      <c r="E2096">
        <v>708</v>
      </c>
      <c r="F2096" t="str">
        <f>HYPERLINK("https://www.google.com/maps/search/?api=1&amp;query=24.75574702,46.76296887", "View Map")</f>
        <v>View Map</v>
      </c>
    </row>
    <row r="2097" spans="1:6" x14ac:dyDescent="0.35">
      <c r="A2097" t="s">
        <v>1798</v>
      </c>
      <c r="B2097" t="s">
        <v>5221</v>
      </c>
      <c r="C2097" t="s">
        <v>1776</v>
      </c>
      <c r="D2097" t="s">
        <v>9</v>
      </c>
      <c r="E2097">
        <v>708</v>
      </c>
      <c r="F2097" t="str">
        <f>HYPERLINK("https://www.google.com/maps/search/?api=1&amp;query=24.691375,46.67529229", "View Map")</f>
        <v>View Map</v>
      </c>
    </row>
    <row r="2098" spans="1:6" x14ac:dyDescent="0.35">
      <c r="A2098" t="s">
        <v>2680</v>
      </c>
      <c r="B2098" t="s">
        <v>5222</v>
      </c>
      <c r="C2098" t="s">
        <v>1776</v>
      </c>
      <c r="D2098" t="s">
        <v>9</v>
      </c>
      <c r="E2098">
        <v>708</v>
      </c>
      <c r="F2098" t="str">
        <f>HYPERLINK("https://www.google.com/maps/search/?api=1&amp;query=24.72103852,46.85780052", "View Map")</f>
        <v>View Map</v>
      </c>
    </row>
    <row r="2099" spans="1:6" x14ac:dyDescent="0.35">
      <c r="A2099" t="s">
        <v>5223</v>
      </c>
      <c r="B2099" t="s">
        <v>5224</v>
      </c>
      <c r="C2099" t="s">
        <v>1776</v>
      </c>
      <c r="D2099" t="s">
        <v>9</v>
      </c>
      <c r="E2099">
        <v>708</v>
      </c>
      <c r="F2099" t="str">
        <f>HYPERLINK("https://www.google.com/maps/search/?api=1&amp;query=24.62460714,46.71861906", "View Map")</f>
        <v>View Map</v>
      </c>
    </row>
    <row r="2100" spans="1:6" x14ac:dyDescent="0.35">
      <c r="A2100" t="s">
        <v>5225</v>
      </c>
      <c r="B2100" t="s">
        <v>5226</v>
      </c>
      <c r="C2100" t="s">
        <v>1776</v>
      </c>
      <c r="D2100" t="s">
        <v>9</v>
      </c>
      <c r="E2100">
        <v>708</v>
      </c>
      <c r="F2100" t="str">
        <f>HYPERLINK("https://www.google.com/maps/search/?api=1&amp;query=24.54583695,46.73072358", "View Map")</f>
        <v>View Map</v>
      </c>
    </row>
    <row r="2101" spans="1:6" x14ac:dyDescent="0.35">
      <c r="A2101" t="s">
        <v>5227</v>
      </c>
      <c r="B2101" t="s">
        <v>5228</v>
      </c>
      <c r="C2101" t="s">
        <v>1776</v>
      </c>
      <c r="D2101" t="s">
        <v>9</v>
      </c>
      <c r="E2101">
        <v>708</v>
      </c>
      <c r="F2101" t="str">
        <f>HYPERLINK("https://www.google.com/maps/search/?api=1&amp;query=24.67086237,46.75838885", "View Map")</f>
        <v>View Map</v>
      </c>
    </row>
    <row r="2102" spans="1:6" x14ac:dyDescent="0.35">
      <c r="A2102" t="s">
        <v>3260</v>
      </c>
      <c r="B2102" t="s">
        <v>5229</v>
      </c>
      <c r="C2102" t="s">
        <v>1776</v>
      </c>
      <c r="D2102" t="s">
        <v>9</v>
      </c>
      <c r="E2102">
        <v>707</v>
      </c>
      <c r="F2102" t="str">
        <f>HYPERLINK("https://www.google.com/maps/search/?api=1&amp;query=24.56892928,46.80770772", "View Map")</f>
        <v>View Map</v>
      </c>
    </row>
    <row r="2103" spans="1:6" x14ac:dyDescent="0.35">
      <c r="A2103" t="s">
        <v>5230</v>
      </c>
      <c r="B2103" t="s">
        <v>5231</v>
      </c>
      <c r="C2103" t="s">
        <v>1776</v>
      </c>
      <c r="D2103" t="s">
        <v>9</v>
      </c>
      <c r="E2103">
        <v>707</v>
      </c>
      <c r="F2103" t="str">
        <f>HYPERLINK("https://www.google.com/maps/search/?api=1&amp;query=24.67260933,46.70782774", "View Map")</f>
        <v>View Map</v>
      </c>
    </row>
    <row r="2104" spans="1:6" x14ac:dyDescent="0.35">
      <c r="A2104" t="s">
        <v>3062</v>
      </c>
      <c r="B2104" t="s">
        <v>5232</v>
      </c>
      <c r="C2104" t="s">
        <v>1776</v>
      </c>
      <c r="D2104" t="s">
        <v>9</v>
      </c>
      <c r="E2104">
        <v>706</v>
      </c>
      <c r="F2104" t="str">
        <f>HYPERLINK("https://www.google.com/maps/search/?api=1&amp;query=24.57300444,46.71496257", "View Map")</f>
        <v>View Map</v>
      </c>
    </row>
    <row r="2105" spans="1:6" x14ac:dyDescent="0.35">
      <c r="A2105" t="s">
        <v>1798</v>
      </c>
      <c r="B2105" t="s">
        <v>5233</v>
      </c>
      <c r="C2105" t="s">
        <v>1776</v>
      </c>
      <c r="D2105" t="s">
        <v>9</v>
      </c>
      <c r="E2105">
        <v>705</v>
      </c>
      <c r="F2105" t="str">
        <f>HYPERLINK("https://www.google.com/maps/search/?api=1&amp;query=24.83734147,46.83282021", "View Map")</f>
        <v>View Map</v>
      </c>
    </row>
    <row r="2106" spans="1:6" x14ac:dyDescent="0.35">
      <c r="A2106" t="s">
        <v>1859</v>
      </c>
      <c r="B2106" t="s">
        <v>5234</v>
      </c>
      <c r="C2106" t="s">
        <v>1776</v>
      </c>
      <c r="D2106" t="s">
        <v>9</v>
      </c>
      <c r="E2106">
        <v>705</v>
      </c>
      <c r="F2106" t="str">
        <f>HYPERLINK("https://www.google.com/maps/search/?api=1&amp;query=24.71373788,46.83265533", "View Map")</f>
        <v>View Map</v>
      </c>
    </row>
    <row r="2107" spans="1:6" x14ac:dyDescent="0.35">
      <c r="A2107" t="s">
        <v>961</v>
      </c>
      <c r="B2107" t="s">
        <v>5235</v>
      </c>
      <c r="C2107" t="s">
        <v>1776</v>
      </c>
      <c r="D2107" t="s">
        <v>9</v>
      </c>
      <c r="E2107">
        <v>705</v>
      </c>
      <c r="F2107" t="str">
        <f>HYPERLINK("https://www.google.com/maps/search/?api=1&amp;query=24.74275208,46.74966629", "View Map")</f>
        <v>View Map</v>
      </c>
    </row>
    <row r="2108" spans="1:6" x14ac:dyDescent="0.35">
      <c r="A2108" t="s">
        <v>5236</v>
      </c>
      <c r="B2108" t="s">
        <v>5237</v>
      </c>
      <c r="C2108" t="s">
        <v>1843</v>
      </c>
      <c r="D2108" t="s">
        <v>9</v>
      </c>
      <c r="E2108">
        <v>704</v>
      </c>
      <c r="F2108" t="str">
        <f>HYPERLINK("https://www.google.com/maps/search/?api=1&amp;query=24.89538591,46.4466874", "View Map")</f>
        <v>View Map</v>
      </c>
    </row>
    <row r="2109" spans="1:6" x14ac:dyDescent="0.35">
      <c r="A2109" t="s">
        <v>1798</v>
      </c>
      <c r="B2109" t="s">
        <v>5238</v>
      </c>
      <c r="C2109" t="s">
        <v>1776</v>
      </c>
      <c r="D2109" t="s">
        <v>9</v>
      </c>
      <c r="E2109">
        <v>704</v>
      </c>
      <c r="F2109" t="str">
        <f>HYPERLINK("https://www.google.com/maps/search/?api=1&amp;query=24.6867,46.585", "View Map")</f>
        <v>View Map</v>
      </c>
    </row>
    <row r="2110" spans="1:6" x14ac:dyDescent="0.35">
      <c r="A2110" t="s">
        <v>5239</v>
      </c>
      <c r="B2110" t="s">
        <v>5240</v>
      </c>
      <c r="C2110" t="s">
        <v>1776</v>
      </c>
      <c r="D2110" t="s">
        <v>9</v>
      </c>
      <c r="E2110">
        <v>704</v>
      </c>
      <c r="F2110" t="str">
        <f>HYPERLINK("https://www.google.com/maps/search/?api=1&amp;query=24.57485421,46.62675184", "View Map")</f>
        <v>View Map</v>
      </c>
    </row>
    <row r="2111" spans="1:6" x14ac:dyDescent="0.35">
      <c r="A2111" t="s">
        <v>5241</v>
      </c>
      <c r="B2111" t="s">
        <v>5242</v>
      </c>
      <c r="C2111" t="s">
        <v>1776</v>
      </c>
      <c r="D2111" t="s">
        <v>9</v>
      </c>
      <c r="E2111">
        <v>703</v>
      </c>
      <c r="F2111" t="str">
        <f>HYPERLINK("https://www.google.com/maps/search/?api=1&amp;query=24.72870018,46.68695963", "View Map")</f>
        <v>View Map</v>
      </c>
    </row>
    <row r="2112" spans="1:6" x14ac:dyDescent="0.35">
      <c r="A2112" t="s">
        <v>1947</v>
      </c>
      <c r="B2112" t="s">
        <v>5243</v>
      </c>
      <c r="C2112" t="s">
        <v>1776</v>
      </c>
      <c r="D2112" t="s">
        <v>9</v>
      </c>
      <c r="E2112">
        <v>703</v>
      </c>
      <c r="F2112" t="str">
        <f>HYPERLINK("https://www.google.com/maps/search/?api=1&amp;query=24.5697,46.5264", "View Map")</f>
        <v>View Map</v>
      </c>
    </row>
    <row r="2113" spans="1:6" x14ac:dyDescent="0.35">
      <c r="A2113" t="s">
        <v>5244</v>
      </c>
      <c r="B2113" t="s">
        <v>5245</v>
      </c>
      <c r="C2113" t="s">
        <v>1776</v>
      </c>
      <c r="D2113" t="s">
        <v>9</v>
      </c>
      <c r="E2113">
        <v>702</v>
      </c>
      <c r="F2113" t="str">
        <f>HYPERLINK("https://www.google.com/maps/search/?api=1&amp;query=24.57216007,46.68666906", "View Map")</f>
        <v>View Map</v>
      </c>
    </row>
    <row r="2114" spans="1:6" x14ac:dyDescent="0.35">
      <c r="A2114" t="s">
        <v>4602</v>
      </c>
      <c r="B2114" t="s">
        <v>5246</v>
      </c>
      <c r="C2114" t="s">
        <v>1776</v>
      </c>
      <c r="D2114" t="s">
        <v>9</v>
      </c>
      <c r="E2114">
        <v>702</v>
      </c>
      <c r="F2114" t="str">
        <f>HYPERLINK("https://www.google.com/maps/search/?api=1&amp;query=24.6850867,46.83170879", "View Map")</f>
        <v>View Map</v>
      </c>
    </row>
    <row r="2115" spans="1:6" x14ac:dyDescent="0.35">
      <c r="A2115" t="s">
        <v>5247</v>
      </c>
      <c r="B2115" t="s">
        <v>5248</v>
      </c>
      <c r="C2115" t="s">
        <v>1776</v>
      </c>
      <c r="D2115" t="s">
        <v>9</v>
      </c>
      <c r="E2115">
        <v>702</v>
      </c>
      <c r="F2115" t="str">
        <f>HYPERLINK("https://www.google.com/maps/search/?api=1&amp;query=24.6796903,46.66705264", "View Map")</f>
        <v>View Map</v>
      </c>
    </row>
    <row r="2116" spans="1:6" x14ac:dyDescent="0.35">
      <c r="A2116" t="s">
        <v>1806</v>
      </c>
      <c r="B2116" t="s">
        <v>5249</v>
      </c>
      <c r="C2116" t="s">
        <v>1776</v>
      </c>
      <c r="D2116" t="s">
        <v>9</v>
      </c>
      <c r="E2116">
        <v>702</v>
      </c>
      <c r="F2116" t="str">
        <f>HYPERLINK("https://www.google.com/maps/search/?api=1&amp;query=24.78536095,46.9029883", "View Map")</f>
        <v>View Map</v>
      </c>
    </row>
    <row r="2117" spans="1:6" x14ac:dyDescent="0.35">
      <c r="A2117" t="s">
        <v>5250</v>
      </c>
      <c r="B2117" t="s">
        <v>5251</v>
      </c>
      <c r="C2117" t="s">
        <v>1776</v>
      </c>
      <c r="D2117" t="s">
        <v>9</v>
      </c>
      <c r="E2117">
        <v>702</v>
      </c>
      <c r="F2117" t="str">
        <f>HYPERLINK("https://www.google.com/maps/search/?api=1&amp;query=24.60012094,46.73295767", "View Map")</f>
        <v>View Map</v>
      </c>
    </row>
    <row r="2118" spans="1:6" x14ac:dyDescent="0.35">
      <c r="A2118" t="s">
        <v>5252</v>
      </c>
      <c r="B2118" t="s">
        <v>5253</v>
      </c>
      <c r="C2118" t="s">
        <v>1776</v>
      </c>
      <c r="D2118" t="s">
        <v>9</v>
      </c>
      <c r="E2118">
        <v>701</v>
      </c>
      <c r="F2118" t="str">
        <f>HYPERLINK("https://www.google.com/maps/search/?api=1&amp;query=24.73977422,46.68617058", "View Map")</f>
        <v>View Map</v>
      </c>
    </row>
    <row r="2119" spans="1:6" x14ac:dyDescent="0.35">
      <c r="A2119" t="s">
        <v>5254</v>
      </c>
      <c r="B2119" t="s">
        <v>5255</v>
      </c>
      <c r="C2119" t="s">
        <v>1776</v>
      </c>
      <c r="D2119" t="s">
        <v>9</v>
      </c>
      <c r="E2119">
        <v>701</v>
      </c>
      <c r="F2119" t="str">
        <f>HYPERLINK("https://www.google.com/maps/search/?api=1&amp;query=24.651714,46.66845802", "View Map")</f>
        <v>View Map</v>
      </c>
    </row>
    <row r="2120" spans="1:6" x14ac:dyDescent="0.35">
      <c r="A2120" t="s">
        <v>5256</v>
      </c>
      <c r="B2120" t="s">
        <v>5257</v>
      </c>
      <c r="C2120" t="s">
        <v>1776</v>
      </c>
      <c r="D2120" t="s">
        <v>9</v>
      </c>
      <c r="E2120">
        <v>701</v>
      </c>
      <c r="F2120" t="str">
        <f>HYPERLINK("https://www.google.com/maps/search/?api=1&amp;query=24.56043827,46.71587598", "View Map")</f>
        <v>View Map</v>
      </c>
    </row>
    <row r="2121" spans="1:6" x14ac:dyDescent="0.35">
      <c r="A2121" t="s">
        <v>2178</v>
      </c>
      <c r="B2121" t="s">
        <v>5258</v>
      </c>
      <c r="C2121" t="s">
        <v>1776</v>
      </c>
      <c r="D2121" t="s">
        <v>9</v>
      </c>
      <c r="E2121">
        <v>701</v>
      </c>
      <c r="F2121" t="str">
        <f>HYPERLINK("https://www.google.com/maps/search/?api=1&amp;query=24.77366523,46.59357873", "View Map")</f>
        <v>View Map</v>
      </c>
    </row>
    <row r="2122" spans="1:6" x14ac:dyDescent="0.35">
      <c r="A2122" t="s">
        <v>5259</v>
      </c>
      <c r="B2122" t="s">
        <v>5260</v>
      </c>
      <c r="C2122" t="s">
        <v>1776</v>
      </c>
      <c r="D2122" t="s">
        <v>9</v>
      </c>
      <c r="E2122">
        <v>700</v>
      </c>
      <c r="F2122" t="str">
        <f>HYPERLINK("https://www.google.com/maps/search/?api=1&amp;query=24.58943306,46.60147551", "View Map")</f>
        <v>View Map</v>
      </c>
    </row>
    <row r="2123" spans="1:6" x14ac:dyDescent="0.35">
      <c r="A2123" t="s">
        <v>1947</v>
      </c>
      <c r="B2123" t="s">
        <v>5261</v>
      </c>
      <c r="C2123" t="s">
        <v>1776</v>
      </c>
      <c r="D2123" t="s">
        <v>9</v>
      </c>
      <c r="E2123">
        <v>700</v>
      </c>
      <c r="F2123" t="str">
        <f>HYPERLINK("https://www.google.com/maps/search/?api=1&amp;query=24.55294949,46.60694872", "View Map")</f>
        <v>View Map</v>
      </c>
    </row>
    <row r="2124" spans="1:6" x14ac:dyDescent="0.35">
      <c r="A2124" t="s">
        <v>1806</v>
      </c>
      <c r="B2124" t="s">
        <v>5262</v>
      </c>
      <c r="C2124" t="s">
        <v>1776</v>
      </c>
      <c r="D2124" t="s">
        <v>9</v>
      </c>
      <c r="E2124">
        <v>700</v>
      </c>
      <c r="F2124" t="str">
        <f>HYPERLINK("https://www.google.com/maps/search/?api=1&amp;query=24.82300202,46.72642484", "View Map")</f>
        <v>View Map</v>
      </c>
    </row>
    <row r="2125" spans="1:6" x14ac:dyDescent="0.35">
      <c r="A2125" t="s">
        <v>5263</v>
      </c>
      <c r="B2125" t="s">
        <v>5264</v>
      </c>
      <c r="C2125" t="s">
        <v>1776</v>
      </c>
      <c r="D2125" t="s">
        <v>9</v>
      </c>
      <c r="E2125">
        <v>699</v>
      </c>
      <c r="F2125" t="str">
        <f>HYPERLINK("https://www.google.com/maps/search/?api=1&amp;query=24.54903582,46.68769823", "View Map")</f>
        <v>View Map</v>
      </c>
    </row>
    <row r="2126" spans="1:6" x14ac:dyDescent="0.35">
      <c r="A2126" t="s">
        <v>5265</v>
      </c>
      <c r="B2126" t="s">
        <v>5266</v>
      </c>
      <c r="C2126" t="s">
        <v>1776</v>
      </c>
      <c r="D2126" t="s">
        <v>9</v>
      </c>
      <c r="E2126">
        <v>699</v>
      </c>
      <c r="F2126" t="str">
        <f>HYPERLINK("https://www.google.com/maps/search/?api=1&amp;query=24.5520857,46.70207179", "View Map")</f>
        <v>View Map</v>
      </c>
    </row>
    <row r="2127" spans="1:6" x14ac:dyDescent="0.35">
      <c r="A2127" t="s">
        <v>1947</v>
      </c>
      <c r="B2127" t="s">
        <v>5267</v>
      </c>
      <c r="C2127" t="s">
        <v>1776</v>
      </c>
      <c r="D2127" t="s">
        <v>9</v>
      </c>
      <c r="E2127">
        <v>699</v>
      </c>
      <c r="F2127" t="str">
        <f>HYPERLINK("https://www.google.com/maps/search/?api=1&amp;query=24.55826716,46.56189007", "View Map")</f>
        <v>View Map</v>
      </c>
    </row>
    <row r="2128" spans="1:6" x14ac:dyDescent="0.35">
      <c r="A2128" t="s">
        <v>1790</v>
      </c>
      <c r="B2128" t="s">
        <v>5268</v>
      </c>
      <c r="C2128" t="s">
        <v>1776</v>
      </c>
      <c r="D2128" t="s">
        <v>9</v>
      </c>
      <c r="E2128">
        <v>698</v>
      </c>
      <c r="F2128" t="str">
        <f>HYPERLINK("https://www.google.com/maps/search/?api=1&amp;query=24.74829944,46.82654535", "View Map")</f>
        <v>View Map</v>
      </c>
    </row>
    <row r="2129" spans="1:6" x14ac:dyDescent="0.35">
      <c r="A2129" t="s">
        <v>5269</v>
      </c>
      <c r="B2129" t="s">
        <v>5270</v>
      </c>
      <c r="C2129" t="s">
        <v>1776</v>
      </c>
      <c r="D2129" t="s">
        <v>9</v>
      </c>
      <c r="E2129">
        <v>698</v>
      </c>
      <c r="F2129" t="str">
        <f>HYPERLINK("https://www.google.com/maps/search/?api=1&amp;query=24.7315401,46.76436904", "View Map")</f>
        <v>View Map</v>
      </c>
    </row>
    <row r="2130" spans="1:6" x14ac:dyDescent="0.35">
      <c r="A2130" t="s">
        <v>5271</v>
      </c>
      <c r="B2130" t="s">
        <v>5272</v>
      </c>
      <c r="C2130" t="s">
        <v>1776</v>
      </c>
      <c r="D2130" t="s">
        <v>9</v>
      </c>
      <c r="E2130">
        <v>697</v>
      </c>
      <c r="F2130" t="str">
        <f>HYPERLINK("https://www.google.com/maps/search/?api=1&amp;query=24.74743239,46.79256609", "View Map")</f>
        <v>View Map</v>
      </c>
    </row>
    <row r="2131" spans="1:6" x14ac:dyDescent="0.35">
      <c r="A2131" t="s">
        <v>3127</v>
      </c>
      <c r="B2131" t="s">
        <v>5273</v>
      </c>
      <c r="C2131" t="s">
        <v>1776</v>
      </c>
      <c r="D2131" t="s">
        <v>9</v>
      </c>
      <c r="E2131">
        <v>697</v>
      </c>
      <c r="F2131" t="str">
        <f>HYPERLINK("https://www.google.com/maps/search/?api=1&amp;query=24.69945577,46.78283113", "View Map")</f>
        <v>View Map</v>
      </c>
    </row>
    <row r="2132" spans="1:6" x14ac:dyDescent="0.35">
      <c r="A2132" t="s">
        <v>5274</v>
      </c>
      <c r="B2132" t="s">
        <v>5275</v>
      </c>
      <c r="C2132" t="s">
        <v>1776</v>
      </c>
      <c r="D2132" t="s">
        <v>9</v>
      </c>
      <c r="E2132">
        <v>697</v>
      </c>
      <c r="F2132" t="str">
        <f>HYPERLINK("https://www.google.com/maps/search/?api=1&amp;query=24.61851502,46.72959314", "View Map")</f>
        <v>View Map</v>
      </c>
    </row>
    <row r="2133" spans="1:6" x14ac:dyDescent="0.35">
      <c r="A2133" t="s">
        <v>5276</v>
      </c>
      <c r="B2133" t="s">
        <v>5277</v>
      </c>
      <c r="C2133" t="s">
        <v>1776</v>
      </c>
      <c r="D2133" t="s">
        <v>9</v>
      </c>
      <c r="E2133">
        <v>697</v>
      </c>
      <c r="F2133" t="str">
        <f>HYPERLINK("https://www.google.com/maps/search/?api=1&amp;query=24.8074545,46.65999872", "View Map")</f>
        <v>View Map</v>
      </c>
    </row>
    <row r="2134" spans="1:6" x14ac:dyDescent="0.35">
      <c r="A2134" t="s">
        <v>5278</v>
      </c>
      <c r="B2134" t="s">
        <v>5279</v>
      </c>
      <c r="C2134" t="s">
        <v>1776</v>
      </c>
      <c r="D2134" t="s">
        <v>9</v>
      </c>
      <c r="E2134">
        <v>696</v>
      </c>
      <c r="F2134" t="str">
        <f>HYPERLINK("https://www.google.com/maps/search/?api=1&amp;query=24.92223137,46.77732115", "View Map")</f>
        <v>View Map</v>
      </c>
    </row>
    <row r="2135" spans="1:6" x14ac:dyDescent="0.35">
      <c r="A2135" t="s">
        <v>5280</v>
      </c>
      <c r="B2135" t="s">
        <v>5281</v>
      </c>
      <c r="C2135" t="s">
        <v>1776</v>
      </c>
      <c r="D2135" t="s">
        <v>9</v>
      </c>
      <c r="E2135">
        <v>696</v>
      </c>
      <c r="F2135" t="str">
        <f>HYPERLINK("https://www.google.com/maps/search/?api=1&amp;query=24.48985023,46.61884721", "View Map")</f>
        <v>View Map</v>
      </c>
    </row>
    <row r="2136" spans="1:6" x14ac:dyDescent="0.35">
      <c r="A2136" t="s">
        <v>5282</v>
      </c>
      <c r="B2136" t="s">
        <v>5283</v>
      </c>
      <c r="C2136" t="s">
        <v>1776</v>
      </c>
      <c r="D2136" t="s">
        <v>9</v>
      </c>
      <c r="E2136">
        <v>695</v>
      </c>
      <c r="F2136" t="str">
        <f>HYPERLINK("https://www.google.com/maps/search/?api=1&amp;query=24.82874793,46.77754085", "View Map")</f>
        <v>View Map</v>
      </c>
    </row>
    <row r="2137" spans="1:6" x14ac:dyDescent="0.35">
      <c r="A2137" t="s">
        <v>1798</v>
      </c>
      <c r="B2137" t="s">
        <v>5284</v>
      </c>
      <c r="C2137" t="s">
        <v>1843</v>
      </c>
      <c r="D2137" t="s">
        <v>9</v>
      </c>
      <c r="E2137">
        <v>695</v>
      </c>
      <c r="F2137" t="str">
        <f>HYPERLINK("https://www.google.com/maps/search/?api=1&amp;query=24.775971,46.56946824", "View Map")</f>
        <v>View Map</v>
      </c>
    </row>
    <row r="2138" spans="1:6" x14ac:dyDescent="0.35">
      <c r="A2138" t="s">
        <v>1798</v>
      </c>
      <c r="B2138" t="s">
        <v>5285</v>
      </c>
      <c r="C2138" t="s">
        <v>1776</v>
      </c>
      <c r="D2138" t="s">
        <v>9</v>
      </c>
      <c r="E2138">
        <v>695</v>
      </c>
      <c r="F2138" t="str">
        <f>HYPERLINK("https://www.google.com/maps/search/?api=1&amp;query=24.66899204,46.71227694", "View Map")</f>
        <v>View Map</v>
      </c>
    </row>
    <row r="2139" spans="1:6" x14ac:dyDescent="0.35">
      <c r="A2139" t="s">
        <v>5286</v>
      </c>
      <c r="B2139" t="s">
        <v>5287</v>
      </c>
      <c r="C2139" t="s">
        <v>1776</v>
      </c>
      <c r="D2139" t="s">
        <v>9</v>
      </c>
      <c r="E2139">
        <v>695</v>
      </c>
      <c r="F2139" t="str">
        <f>HYPERLINK("https://www.google.com/maps/search/?api=1&amp;query=24.7016169,46.7738958", "View Map")</f>
        <v>View Map</v>
      </c>
    </row>
    <row r="2140" spans="1:6" x14ac:dyDescent="0.35">
      <c r="A2140" t="s">
        <v>5288</v>
      </c>
      <c r="B2140" t="s">
        <v>5289</v>
      </c>
      <c r="C2140" t="s">
        <v>1776</v>
      </c>
      <c r="D2140" t="s">
        <v>9</v>
      </c>
      <c r="E2140">
        <v>694</v>
      </c>
      <c r="F2140" t="str">
        <f>HYPERLINK("https://www.google.com/maps/search/?api=1&amp;query=24.68548369,46.79857043", "View Map")</f>
        <v>View Map</v>
      </c>
    </row>
    <row r="2141" spans="1:6" x14ac:dyDescent="0.35">
      <c r="A2141" t="s">
        <v>5290</v>
      </c>
      <c r="B2141" t="s">
        <v>5291</v>
      </c>
      <c r="C2141" t="s">
        <v>1776</v>
      </c>
      <c r="D2141" t="s">
        <v>9</v>
      </c>
      <c r="E2141">
        <v>694</v>
      </c>
      <c r="F2141" t="str">
        <f>HYPERLINK("https://www.google.com/maps/search/?api=1&amp;query=24.71348579,46.80245419", "View Map")</f>
        <v>View Map</v>
      </c>
    </row>
    <row r="2142" spans="1:6" x14ac:dyDescent="0.35">
      <c r="A2142" t="s">
        <v>5292</v>
      </c>
      <c r="B2142" t="s">
        <v>5293</v>
      </c>
      <c r="C2142" t="s">
        <v>1776</v>
      </c>
      <c r="D2142" t="s">
        <v>9</v>
      </c>
      <c r="E2142">
        <v>693</v>
      </c>
      <c r="F2142" t="str">
        <f>HYPERLINK("https://www.google.com/maps/search/?api=1&amp;query=24.50250775,46.63760269", "View Map")</f>
        <v>View Map</v>
      </c>
    </row>
    <row r="2143" spans="1:6" x14ac:dyDescent="0.35">
      <c r="A2143" t="s">
        <v>2285</v>
      </c>
      <c r="B2143" t="s">
        <v>5294</v>
      </c>
      <c r="C2143" t="s">
        <v>1776</v>
      </c>
      <c r="D2143" t="s">
        <v>9</v>
      </c>
      <c r="E2143">
        <v>692</v>
      </c>
      <c r="F2143" t="str">
        <f>HYPERLINK("https://www.google.com/maps/search/?api=1&amp;query=24.79069356,46.62581457", "View Map")</f>
        <v>View Map</v>
      </c>
    </row>
    <row r="2144" spans="1:6" x14ac:dyDescent="0.35">
      <c r="A2144" t="s">
        <v>5095</v>
      </c>
      <c r="B2144" t="s">
        <v>5295</v>
      </c>
      <c r="C2144" t="s">
        <v>1776</v>
      </c>
      <c r="D2144" t="s">
        <v>9</v>
      </c>
      <c r="E2144">
        <v>692</v>
      </c>
      <c r="F2144" t="str">
        <f>HYPERLINK("https://www.google.com/maps/search/?api=1&amp;query=24.5863228,46.58387494", "View Map")</f>
        <v>View Map</v>
      </c>
    </row>
    <row r="2145" spans="1:6" x14ac:dyDescent="0.35">
      <c r="A2145" t="s">
        <v>5296</v>
      </c>
      <c r="B2145" t="s">
        <v>5297</v>
      </c>
      <c r="C2145" t="s">
        <v>1776</v>
      </c>
      <c r="D2145" t="s">
        <v>9</v>
      </c>
      <c r="E2145">
        <v>692</v>
      </c>
      <c r="F2145" t="str">
        <f>HYPERLINK("https://www.google.com/maps/search/?api=1&amp;query=24.78535614,46.75093366", "View Map")</f>
        <v>View Map</v>
      </c>
    </row>
    <row r="2146" spans="1:6" x14ac:dyDescent="0.35">
      <c r="A2146" t="s">
        <v>5298</v>
      </c>
      <c r="B2146" t="s">
        <v>5299</v>
      </c>
      <c r="C2146" t="s">
        <v>1776</v>
      </c>
      <c r="D2146" t="s">
        <v>9</v>
      </c>
      <c r="E2146">
        <v>692</v>
      </c>
      <c r="F2146" t="str">
        <f>HYPERLINK("https://www.google.com/maps/search/?api=1&amp;query=24.5632643,46.72132231", "View Map")</f>
        <v>View Map</v>
      </c>
    </row>
    <row r="2147" spans="1:6" x14ac:dyDescent="0.35">
      <c r="A2147" t="s">
        <v>5300</v>
      </c>
      <c r="B2147" t="s">
        <v>5301</v>
      </c>
      <c r="C2147" t="s">
        <v>1776</v>
      </c>
      <c r="D2147" t="s">
        <v>9</v>
      </c>
      <c r="E2147">
        <v>692</v>
      </c>
      <c r="F2147" t="str">
        <f>HYPERLINK("https://www.google.com/maps/search/?api=1&amp;query=24.76110876,46.68694082", "View Map")</f>
        <v>View Map</v>
      </c>
    </row>
    <row r="2148" spans="1:6" x14ac:dyDescent="0.35">
      <c r="A2148" t="s">
        <v>5302</v>
      </c>
      <c r="B2148" t="s">
        <v>5303</v>
      </c>
      <c r="C2148" t="s">
        <v>1776</v>
      </c>
      <c r="D2148" t="s">
        <v>9</v>
      </c>
      <c r="E2148">
        <v>692</v>
      </c>
      <c r="F2148" t="str">
        <f>HYPERLINK("https://www.google.com/maps/search/?api=1&amp;query=24.58654999,46.68974177", "View Map")</f>
        <v>View Map</v>
      </c>
    </row>
    <row r="2149" spans="1:6" x14ac:dyDescent="0.35">
      <c r="A2149" t="s">
        <v>5304</v>
      </c>
      <c r="B2149" t="s">
        <v>5305</v>
      </c>
      <c r="C2149" t="s">
        <v>1776</v>
      </c>
      <c r="D2149" t="s">
        <v>9</v>
      </c>
      <c r="E2149">
        <v>691</v>
      </c>
      <c r="F2149" t="str">
        <f>HYPERLINK("https://www.google.com/maps/search/?api=1&amp;query=24.57172829,46.82842336", "View Map")</f>
        <v>View Map</v>
      </c>
    </row>
    <row r="2150" spans="1:6" x14ac:dyDescent="0.35">
      <c r="A2150" t="s">
        <v>5306</v>
      </c>
      <c r="B2150" t="s">
        <v>5307</v>
      </c>
      <c r="C2150" t="s">
        <v>1776</v>
      </c>
      <c r="D2150" t="s">
        <v>9</v>
      </c>
      <c r="E2150">
        <v>691</v>
      </c>
      <c r="F2150" t="str">
        <f>HYPERLINK("https://www.google.com/maps/search/?api=1&amp;query=24.65510558,46.68118063", "View Map")</f>
        <v>View Map</v>
      </c>
    </row>
    <row r="2151" spans="1:6" x14ac:dyDescent="0.35">
      <c r="A2151" t="s">
        <v>5308</v>
      </c>
      <c r="B2151" t="s">
        <v>5309</v>
      </c>
      <c r="C2151" t="s">
        <v>1776</v>
      </c>
      <c r="D2151" t="s">
        <v>9</v>
      </c>
      <c r="E2151">
        <v>690</v>
      </c>
      <c r="F2151" t="str">
        <f>HYPERLINK("https://www.google.com/maps/search/?api=1&amp;query=24.81262105,46.88175377", "View Map")</f>
        <v>View Map</v>
      </c>
    </row>
    <row r="2152" spans="1:6" x14ac:dyDescent="0.35">
      <c r="A2152" t="s">
        <v>1947</v>
      </c>
      <c r="B2152" t="s">
        <v>5310</v>
      </c>
      <c r="C2152" t="s">
        <v>1776</v>
      </c>
      <c r="D2152" t="s">
        <v>9</v>
      </c>
      <c r="E2152">
        <v>690</v>
      </c>
      <c r="F2152" t="str">
        <f>HYPERLINK("https://www.google.com/maps/search/?api=1&amp;query=24.54924496,46.49689065", "View Map")</f>
        <v>View Map</v>
      </c>
    </row>
    <row r="2153" spans="1:6" x14ac:dyDescent="0.35">
      <c r="A2153" t="s">
        <v>5311</v>
      </c>
      <c r="B2153" t="s">
        <v>5312</v>
      </c>
      <c r="C2153" t="s">
        <v>1776</v>
      </c>
      <c r="D2153" t="s">
        <v>9</v>
      </c>
      <c r="E2153">
        <v>689</v>
      </c>
      <c r="F2153" t="str">
        <f>HYPERLINK("https://www.google.com/maps/search/?api=1&amp;query=24.63682109,46.55753926", "View Map")</f>
        <v>View Map</v>
      </c>
    </row>
    <row r="2154" spans="1:6" x14ac:dyDescent="0.35">
      <c r="A2154" t="s">
        <v>1798</v>
      </c>
      <c r="B2154" t="s">
        <v>5313</v>
      </c>
      <c r="C2154" t="s">
        <v>1776</v>
      </c>
      <c r="D2154" t="s">
        <v>9</v>
      </c>
      <c r="E2154">
        <v>689</v>
      </c>
      <c r="F2154" t="str">
        <f>HYPERLINK("https://www.google.com/maps/search/?api=1&amp;query=24.83021863,46.80539429", "View Map")</f>
        <v>View Map</v>
      </c>
    </row>
    <row r="2155" spans="1:6" x14ac:dyDescent="0.35">
      <c r="A2155" t="s">
        <v>5314</v>
      </c>
      <c r="B2155" t="s">
        <v>5315</v>
      </c>
      <c r="C2155" t="s">
        <v>1776</v>
      </c>
      <c r="D2155" t="s">
        <v>9</v>
      </c>
      <c r="E2155">
        <v>689</v>
      </c>
      <c r="F2155" t="str">
        <f>HYPERLINK("https://www.google.com/maps/search/?api=1&amp;query=24.75826619,46.67389481", "View Map")</f>
        <v>View Map</v>
      </c>
    </row>
    <row r="2156" spans="1:6" x14ac:dyDescent="0.35">
      <c r="A2156" t="s">
        <v>391</v>
      </c>
      <c r="B2156" t="s">
        <v>5316</v>
      </c>
      <c r="C2156" t="s">
        <v>1776</v>
      </c>
      <c r="D2156" t="s">
        <v>9</v>
      </c>
      <c r="E2156">
        <v>688</v>
      </c>
      <c r="F2156" t="str">
        <f>HYPERLINK("https://www.google.com/maps/search/?api=1&amp;query=0.0,0.0", "View Map")</f>
        <v>View Map</v>
      </c>
    </row>
    <row r="2157" spans="1:6" x14ac:dyDescent="0.35">
      <c r="A2157" t="s">
        <v>5317</v>
      </c>
      <c r="B2157" t="s">
        <v>5318</v>
      </c>
      <c r="C2157" t="s">
        <v>1776</v>
      </c>
      <c r="D2157" t="s">
        <v>9</v>
      </c>
      <c r="E2157">
        <v>688</v>
      </c>
      <c r="F2157" t="str">
        <f>HYPERLINK("https://www.google.com/maps/search/?api=1&amp;query=24.79350743,46.68285217", "View Map")</f>
        <v>View Map</v>
      </c>
    </row>
    <row r="2158" spans="1:6" x14ac:dyDescent="0.35">
      <c r="A2158" t="s">
        <v>1947</v>
      </c>
      <c r="B2158" t="s">
        <v>5319</v>
      </c>
      <c r="C2158" t="s">
        <v>1776</v>
      </c>
      <c r="D2158" t="s">
        <v>9</v>
      </c>
      <c r="E2158">
        <v>688</v>
      </c>
      <c r="F2158" t="str">
        <f>HYPERLINK("https://www.google.com/maps/search/?api=1&amp;query=24.6159935,46.71311427", "View Map")</f>
        <v>View Map</v>
      </c>
    </row>
    <row r="2159" spans="1:6" x14ac:dyDescent="0.35">
      <c r="A2159" t="s">
        <v>1947</v>
      </c>
      <c r="B2159" t="s">
        <v>5320</v>
      </c>
      <c r="C2159" t="s">
        <v>1843</v>
      </c>
      <c r="D2159" t="s">
        <v>9</v>
      </c>
      <c r="E2159">
        <v>687</v>
      </c>
      <c r="F2159" t="str">
        <f>HYPERLINK("https://www.google.com/maps/search/?api=1&amp;query=24.907124,46.429818", "View Map")</f>
        <v>View Map</v>
      </c>
    </row>
    <row r="2160" spans="1:6" x14ac:dyDescent="0.35">
      <c r="A2160" t="s">
        <v>1798</v>
      </c>
      <c r="B2160" t="s">
        <v>5321</v>
      </c>
      <c r="C2160" t="s">
        <v>1776</v>
      </c>
      <c r="D2160" t="s">
        <v>9</v>
      </c>
      <c r="E2160">
        <v>687</v>
      </c>
      <c r="F2160" t="str">
        <f>HYPERLINK("https://www.google.com/maps/search/?api=1&amp;query=24.5739061,46.79219834", "View Map")</f>
        <v>View Map</v>
      </c>
    </row>
    <row r="2161" spans="1:6" x14ac:dyDescent="0.35">
      <c r="A2161" t="s">
        <v>5322</v>
      </c>
      <c r="B2161" t="s">
        <v>5323</v>
      </c>
      <c r="C2161" t="s">
        <v>1776</v>
      </c>
      <c r="D2161" t="s">
        <v>9</v>
      </c>
      <c r="E2161">
        <v>687</v>
      </c>
      <c r="F2161" t="str">
        <f>HYPERLINK("https://www.google.com/maps/search/?api=1&amp;query=24.566189,46.65449972", "View Map")</f>
        <v>View Map</v>
      </c>
    </row>
    <row r="2162" spans="1:6" x14ac:dyDescent="0.35">
      <c r="A2162" t="s">
        <v>5324</v>
      </c>
      <c r="B2162" t="s">
        <v>5325</v>
      </c>
      <c r="C2162" t="s">
        <v>1776</v>
      </c>
      <c r="D2162" t="s">
        <v>9</v>
      </c>
      <c r="E2162">
        <v>687</v>
      </c>
      <c r="F2162" t="str">
        <f>HYPERLINK("https://www.google.com/maps/search/?api=1&amp;query=24.75667299,46.81252454", "View Map")</f>
        <v>View Map</v>
      </c>
    </row>
    <row r="2163" spans="1:6" x14ac:dyDescent="0.35">
      <c r="A2163" t="s">
        <v>5326</v>
      </c>
      <c r="B2163" t="s">
        <v>5327</v>
      </c>
      <c r="C2163" t="s">
        <v>1776</v>
      </c>
      <c r="D2163" t="s">
        <v>9</v>
      </c>
      <c r="E2163">
        <v>686</v>
      </c>
      <c r="F2163" t="str">
        <f>HYPERLINK("https://www.google.com/maps/search/?api=1&amp;query=24.63378414,46.7244641", "View Map")</f>
        <v>View Map</v>
      </c>
    </row>
    <row r="2164" spans="1:6" x14ac:dyDescent="0.35">
      <c r="A2164" t="s">
        <v>1798</v>
      </c>
      <c r="B2164" t="s">
        <v>5328</v>
      </c>
      <c r="C2164" t="s">
        <v>1776</v>
      </c>
      <c r="D2164" t="s">
        <v>9</v>
      </c>
      <c r="E2164">
        <v>685</v>
      </c>
      <c r="F2164" t="str">
        <f>HYPERLINK("https://www.google.com/maps/search/?api=1&amp;query=24.74721727,46.62628386", "View Map")</f>
        <v>View Map</v>
      </c>
    </row>
    <row r="2165" spans="1:6" x14ac:dyDescent="0.35">
      <c r="A2165" t="s">
        <v>1947</v>
      </c>
      <c r="B2165" t="s">
        <v>5329</v>
      </c>
      <c r="C2165" t="s">
        <v>1776</v>
      </c>
      <c r="D2165" t="s">
        <v>9</v>
      </c>
      <c r="E2165">
        <v>685</v>
      </c>
      <c r="F2165" t="str">
        <f>HYPERLINK("https://www.google.com/maps/search/?api=1&amp;query=24.52749365,46.72755615", "View Map")</f>
        <v>View Map</v>
      </c>
    </row>
    <row r="2166" spans="1:6" x14ac:dyDescent="0.35">
      <c r="A2166" t="s">
        <v>5330</v>
      </c>
      <c r="B2166" t="s">
        <v>5331</v>
      </c>
      <c r="C2166" t="s">
        <v>1843</v>
      </c>
      <c r="D2166" t="s">
        <v>9</v>
      </c>
      <c r="E2166">
        <v>685</v>
      </c>
      <c r="F2166" t="str">
        <f>HYPERLINK("https://www.google.com/maps/search/?api=1&amp;query=24.74458989,46.58083903", "View Map")</f>
        <v>View Map</v>
      </c>
    </row>
    <row r="2167" spans="1:6" x14ac:dyDescent="0.35">
      <c r="A2167" t="s">
        <v>3322</v>
      </c>
      <c r="B2167" t="s">
        <v>5332</v>
      </c>
      <c r="C2167" t="s">
        <v>1776</v>
      </c>
      <c r="D2167" t="s">
        <v>9</v>
      </c>
      <c r="E2167">
        <v>685</v>
      </c>
      <c r="F2167" t="str">
        <f>HYPERLINK("https://www.google.com/maps/search/?api=1&amp;query=24.56907615,46.65770003", "View Map")</f>
        <v>View Map</v>
      </c>
    </row>
    <row r="2168" spans="1:6" x14ac:dyDescent="0.35">
      <c r="A2168" t="s">
        <v>5333</v>
      </c>
      <c r="B2168" t="s">
        <v>5334</v>
      </c>
      <c r="C2168" t="s">
        <v>1776</v>
      </c>
      <c r="D2168" t="s">
        <v>9</v>
      </c>
      <c r="E2168">
        <v>684</v>
      </c>
      <c r="F2168" t="str">
        <f>HYPERLINK("https://www.google.com/maps/search/?api=1&amp;query=24.74301698,46.70647905", "View Map")</f>
        <v>View Map</v>
      </c>
    </row>
    <row r="2169" spans="1:6" x14ac:dyDescent="0.35">
      <c r="A2169" t="s">
        <v>5335</v>
      </c>
      <c r="B2169" t="s">
        <v>5336</v>
      </c>
      <c r="C2169" t="s">
        <v>1776</v>
      </c>
      <c r="D2169" t="s">
        <v>9</v>
      </c>
      <c r="E2169">
        <v>683</v>
      </c>
      <c r="F2169" t="str">
        <f>HYPERLINK("https://www.google.com/maps/search/?api=1&amp;query=24.64895845,46.66863506", "View Map")</f>
        <v>View Map</v>
      </c>
    </row>
    <row r="2170" spans="1:6" x14ac:dyDescent="0.35">
      <c r="A2170" t="s">
        <v>5337</v>
      </c>
      <c r="B2170" t="s">
        <v>5338</v>
      </c>
      <c r="C2170" t="s">
        <v>1776</v>
      </c>
      <c r="D2170" t="s">
        <v>9</v>
      </c>
      <c r="E2170">
        <v>683</v>
      </c>
      <c r="F2170" t="str">
        <f>HYPERLINK("https://www.google.com/maps/search/?api=1&amp;query=24.56869511,46.69673166", "View Map")</f>
        <v>View Map</v>
      </c>
    </row>
    <row r="2171" spans="1:6" x14ac:dyDescent="0.35">
      <c r="A2171" t="s">
        <v>5339</v>
      </c>
      <c r="B2171" t="s">
        <v>5340</v>
      </c>
      <c r="C2171" t="s">
        <v>1776</v>
      </c>
      <c r="D2171" t="s">
        <v>9</v>
      </c>
      <c r="E2171">
        <v>682</v>
      </c>
      <c r="F2171" t="str">
        <f>HYPERLINK("https://www.google.com/maps/search/?api=1&amp;query=24.68756,46.64633", "View Map")</f>
        <v>View Map</v>
      </c>
    </row>
    <row r="2172" spans="1:6" x14ac:dyDescent="0.35">
      <c r="A2172" t="s">
        <v>1947</v>
      </c>
      <c r="B2172" t="s">
        <v>5341</v>
      </c>
      <c r="C2172" t="s">
        <v>1776</v>
      </c>
      <c r="D2172" t="s">
        <v>9</v>
      </c>
      <c r="E2172">
        <v>682</v>
      </c>
      <c r="F2172" t="str">
        <f>HYPERLINK("https://www.google.com/maps/search/?api=1&amp;query=24.56921016,46.52727413", "View Map")</f>
        <v>View Map</v>
      </c>
    </row>
    <row r="2173" spans="1:6" x14ac:dyDescent="0.35">
      <c r="A2173" t="s">
        <v>5342</v>
      </c>
      <c r="B2173" t="s">
        <v>5343</v>
      </c>
      <c r="C2173" t="s">
        <v>1776</v>
      </c>
      <c r="D2173" t="s">
        <v>9</v>
      </c>
      <c r="E2173">
        <v>681</v>
      </c>
      <c r="F2173" t="str">
        <f>HYPERLINK("https://www.google.com/maps/search/?api=1&amp;query=24.50858488,46.94779739", "View Map")</f>
        <v>View Map</v>
      </c>
    </row>
    <row r="2174" spans="1:6" x14ac:dyDescent="0.35">
      <c r="A2174" t="s">
        <v>5344</v>
      </c>
      <c r="B2174" t="s">
        <v>5345</v>
      </c>
      <c r="C2174" t="s">
        <v>1776</v>
      </c>
      <c r="D2174" t="s">
        <v>9</v>
      </c>
      <c r="E2174">
        <v>680</v>
      </c>
      <c r="F2174" t="str">
        <f>HYPERLINK("https://www.google.com/maps/search/?api=1&amp;query=24.57384886,46.71337917", "View Map")</f>
        <v>View Map</v>
      </c>
    </row>
    <row r="2175" spans="1:6" x14ac:dyDescent="0.35">
      <c r="A2175" t="s">
        <v>5346</v>
      </c>
      <c r="B2175" t="s">
        <v>5347</v>
      </c>
      <c r="C2175" t="s">
        <v>1776</v>
      </c>
      <c r="D2175" t="s">
        <v>9</v>
      </c>
      <c r="E2175">
        <v>680</v>
      </c>
      <c r="F2175" t="str">
        <f>HYPERLINK("https://www.google.com/maps/search/?api=1&amp;query=24.86473785,46.64968371", "View Map")</f>
        <v>View Map</v>
      </c>
    </row>
    <row r="2176" spans="1:6" x14ac:dyDescent="0.35">
      <c r="A2176" t="s">
        <v>5348</v>
      </c>
      <c r="B2176" t="s">
        <v>5349</v>
      </c>
      <c r="C2176" t="s">
        <v>1776</v>
      </c>
      <c r="D2176" t="s">
        <v>9</v>
      </c>
      <c r="E2176">
        <v>680</v>
      </c>
      <c r="F2176" t="str">
        <f>HYPERLINK("https://www.google.com/maps/search/?api=1&amp;query=24.78367714,46.71603454", "View Map")</f>
        <v>View Map</v>
      </c>
    </row>
    <row r="2177" spans="1:6" x14ac:dyDescent="0.35">
      <c r="A2177" t="s">
        <v>1794</v>
      </c>
      <c r="B2177" t="s">
        <v>5350</v>
      </c>
      <c r="C2177" t="s">
        <v>1776</v>
      </c>
      <c r="D2177" t="s">
        <v>9</v>
      </c>
      <c r="E2177">
        <v>678</v>
      </c>
      <c r="F2177" t="str">
        <f>HYPERLINK("https://www.google.com/maps/search/?api=1&amp;query=24.69038778,46.83608904", "View Map")</f>
        <v>View Map</v>
      </c>
    </row>
    <row r="2178" spans="1:6" x14ac:dyDescent="0.35">
      <c r="A2178" t="s">
        <v>5351</v>
      </c>
      <c r="B2178" t="s">
        <v>5352</v>
      </c>
      <c r="C2178" t="s">
        <v>1776</v>
      </c>
      <c r="D2178" t="s">
        <v>9</v>
      </c>
      <c r="E2178">
        <v>678</v>
      </c>
      <c r="F2178" t="str">
        <f>HYPERLINK("https://www.google.com/maps/search/?api=1&amp;query=24.59329185,46.73703888", "View Map")</f>
        <v>View Map</v>
      </c>
    </row>
    <row r="2179" spans="1:6" x14ac:dyDescent="0.35">
      <c r="A2179" t="s">
        <v>1947</v>
      </c>
      <c r="B2179" t="s">
        <v>5353</v>
      </c>
      <c r="C2179" t="s">
        <v>1776</v>
      </c>
      <c r="D2179" t="s">
        <v>9</v>
      </c>
      <c r="E2179">
        <v>678</v>
      </c>
      <c r="F2179" t="str">
        <f>HYPERLINK("https://www.google.com/maps/search/?api=1&amp;query=24.54339607,46.51293146", "View Map")</f>
        <v>View Map</v>
      </c>
    </row>
    <row r="2180" spans="1:6" x14ac:dyDescent="0.35">
      <c r="A2180" t="s">
        <v>5354</v>
      </c>
      <c r="B2180" t="s">
        <v>5355</v>
      </c>
      <c r="C2180" t="s">
        <v>1776</v>
      </c>
      <c r="D2180" t="s">
        <v>9</v>
      </c>
      <c r="E2180">
        <v>678</v>
      </c>
      <c r="F2180" t="str">
        <f>HYPERLINK("https://www.google.com/maps/search/?api=1&amp;query=24.7594251,46.77266034", "View Map")</f>
        <v>View Map</v>
      </c>
    </row>
    <row r="2181" spans="1:6" x14ac:dyDescent="0.35">
      <c r="A2181" t="s">
        <v>5356</v>
      </c>
      <c r="B2181" t="s">
        <v>5357</v>
      </c>
      <c r="C2181" t="s">
        <v>1776</v>
      </c>
      <c r="D2181" t="s">
        <v>9</v>
      </c>
      <c r="E2181">
        <v>678</v>
      </c>
      <c r="F2181" t="str">
        <f>HYPERLINK("https://www.google.com/maps/search/?api=1&amp;query=24.78182289,46.77324776", "View Map")</f>
        <v>View Map</v>
      </c>
    </row>
    <row r="2182" spans="1:6" x14ac:dyDescent="0.35">
      <c r="A2182" t="s">
        <v>5358</v>
      </c>
      <c r="B2182" t="s">
        <v>5359</v>
      </c>
      <c r="C2182" t="s">
        <v>1776</v>
      </c>
      <c r="D2182" t="s">
        <v>9</v>
      </c>
      <c r="E2182">
        <v>677</v>
      </c>
      <c r="F2182" t="str">
        <f>HYPERLINK("https://www.google.com/maps/search/?api=1&amp;query=24.75010793,46.75223719", "View Map")</f>
        <v>View Map</v>
      </c>
    </row>
    <row r="2183" spans="1:6" x14ac:dyDescent="0.35">
      <c r="A2183" t="s">
        <v>5198</v>
      </c>
      <c r="B2183" t="s">
        <v>5360</v>
      </c>
      <c r="C2183" t="s">
        <v>1776</v>
      </c>
      <c r="D2183" t="s">
        <v>9</v>
      </c>
      <c r="E2183">
        <v>677</v>
      </c>
      <c r="F2183" t="str">
        <f>HYPERLINK("https://www.google.com/maps/search/?api=1&amp;query=24.60835605,46.75752616", "View Map")</f>
        <v>View Map</v>
      </c>
    </row>
    <row r="2184" spans="1:6" x14ac:dyDescent="0.35">
      <c r="A2184" t="s">
        <v>5361</v>
      </c>
      <c r="B2184" t="s">
        <v>5362</v>
      </c>
      <c r="C2184" t="s">
        <v>1776</v>
      </c>
      <c r="D2184" t="s">
        <v>9</v>
      </c>
      <c r="E2184">
        <v>676</v>
      </c>
      <c r="F2184" t="str">
        <f>HYPERLINK("https://www.google.com/maps/search/?api=1&amp;query=24.57768278,46.56258624", "View Map")</f>
        <v>View Map</v>
      </c>
    </row>
    <row r="2185" spans="1:6" x14ac:dyDescent="0.35">
      <c r="A2185" t="s">
        <v>5363</v>
      </c>
      <c r="B2185" t="s">
        <v>5364</v>
      </c>
      <c r="C2185" t="s">
        <v>1776</v>
      </c>
      <c r="D2185" t="s">
        <v>318</v>
      </c>
      <c r="E2185">
        <v>676</v>
      </c>
      <c r="F2185" t="str">
        <f>HYPERLINK("https://www.google.com/maps/search/?api=1&amp;query=24.55521717,46.7860748", "View Map")</f>
        <v>View Map</v>
      </c>
    </row>
    <row r="2186" spans="1:6" x14ac:dyDescent="0.35">
      <c r="A2186" t="s">
        <v>1798</v>
      </c>
      <c r="B2186" t="s">
        <v>5365</v>
      </c>
      <c r="C2186" t="s">
        <v>1776</v>
      </c>
      <c r="D2186" t="s">
        <v>9</v>
      </c>
      <c r="E2186">
        <v>676</v>
      </c>
      <c r="F2186" t="str">
        <f>HYPERLINK("https://www.google.com/maps/search/?api=1&amp;query=24.80385421,46.68183238", "View Map")</f>
        <v>View Map</v>
      </c>
    </row>
    <row r="2187" spans="1:6" x14ac:dyDescent="0.35">
      <c r="A2187" t="s">
        <v>2283</v>
      </c>
      <c r="B2187" t="s">
        <v>5366</v>
      </c>
      <c r="C2187" t="s">
        <v>1776</v>
      </c>
      <c r="D2187" t="s">
        <v>9</v>
      </c>
      <c r="E2187">
        <v>676</v>
      </c>
      <c r="F2187" t="str">
        <f>HYPERLINK("https://www.google.com/maps/search/?api=1&amp;query=24.66201512,46.66768564", "View Map")</f>
        <v>View Map</v>
      </c>
    </row>
    <row r="2188" spans="1:6" x14ac:dyDescent="0.35">
      <c r="A2188" t="s">
        <v>5367</v>
      </c>
      <c r="B2188" t="s">
        <v>5368</v>
      </c>
      <c r="C2188" t="s">
        <v>1776</v>
      </c>
      <c r="D2188" t="s">
        <v>9</v>
      </c>
      <c r="E2188">
        <v>675</v>
      </c>
      <c r="F2188" t="str">
        <f>HYPERLINK("https://www.google.com/maps/search/?api=1&amp;query=24.64161127,46.71922078", "View Map")</f>
        <v>View Map</v>
      </c>
    </row>
    <row r="2189" spans="1:6" x14ac:dyDescent="0.35">
      <c r="A2189" t="s">
        <v>5369</v>
      </c>
      <c r="B2189" t="s">
        <v>5370</v>
      </c>
      <c r="C2189" t="s">
        <v>1776</v>
      </c>
      <c r="D2189" t="s">
        <v>9</v>
      </c>
      <c r="E2189">
        <v>675</v>
      </c>
      <c r="F2189" t="str">
        <f>HYPERLINK("https://www.google.com/maps/search/?api=1&amp;query=24.669603,46.78822501", "View Map")</f>
        <v>View Map</v>
      </c>
    </row>
    <row r="2190" spans="1:6" x14ac:dyDescent="0.35">
      <c r="A2190" t="s">
        <v>5371</v>
      </c>
      <c r="B2190" t="s">
        <v>5372</v>
      </c>
      <c r="C2190" t="s">
        <v>1776</v>
      </c>
      <c r="D2190" t="s">
        <v>9</v>
      </c>
      <c r="E2190">
        <v>675</v>
      </c>
      <c r="F2190" t="str">
        <f>HYPERLINK("https://www.google.com/maps/search/?api=1&amp;query=24.5399917,46.64682424", "View Map")</f>
        <v>View Map</v>
      </c>
    </row>
    <row r="2191" spans="1:6" x14ac:dyDescent="0.35">
      <c r="A2191" t="s">
        <v>5373</v>
      </c>
      <c r="B2191" t="s">
        <v>5374</v>
      </c>
      <c r="C2191" t="s">
        <v>1776</v>
      </c>
      <c r="D2191" t="s">
        <v>9</v>
      </c>
      <c r="E2191">
        <v>675</v>
      </c>
      <c r="F2191" t="str">
        <f>HYPERLINK("https://www.google.com/maps/search/?api=1&amp;query=24.7369576,46.81905957", "View Map")</f>
        <v>View Map</v>
      </c>
    </row>
    <row r="2192" spans="1:6" x14ac:dyDescent="0.35">
      <c r="A2192" t="s">
        <v>1798</v>
      </c>
      <c r="B2192" t="s">
        <v>5375</v>
      </c>
      <c r="C2192" t="s">
        <v>1776</v>
      </c>
      <c r="D2192" t="s">
        <v>9</v>
      </c>
      <c r="E2192">
        <v>675</v>
      </c>
      <c r="F2192" t="str">
        <f>HYPERLINK("https://www.google.com/maps/search/?api=1&amp;query=24.6110802,46.5055734", "View Map")</f>
        <v>View Map</v>
      </c>
    </row>
    <row r="2193" spans="1:6" x14ac:dyDescent="0.35">
      <c r="A2193" t="s">
        <v>3518</v>
      </c>
      <c r="B2193" t="s">
        <v>5376</v>
      </c>
      <c r="C2193" t="s">
        <v>1776</v>
      </c>
      <c r="D2193" t="s">
        <v>9</v>
      </c>
      <c r="E2193">
        <v>675</v>
      </c>
      <c r="F2193" t="str">
        <f>HYPERLINK("https://www.google.com/maps/search/?api=1&amp;query=24.79646133,46.70030065", "View Map")</f>
        <v>View Map</v>
      </c>
    </row>
    <row r="2194" spans="1:6" x14ac:dyDescent="0.35">
      <c r="A2194" t="s">
        <v>1798</v>
      </c>
      <c r="B2194" t="s">
        <v>5377</v>
      </c>
      <c r="C2194" t="s">
        <v>1776</v>
      </c>
      <c r="D2194" t="s">
        <v>9</v>
      </c>
      <c r="E2194">
        <v>675</v>
      </c>
      <c r="F2194" t="str">
        <f>HYPERLINK("https://www.google.com/maps/search/?api=1&amp;query=24.86703855,46.64687671", "View Map")</f>
        <v>View Map</v>
      </c>
    </row>
    <row r="2195" spans="1:6" x14ac:dyDescent="0.35">
      <c r="A2195" t="s">
        <v>5378</v>
      </c>
      <c r="B2195" t="s">
        <v>5379</v>
      </c>
      <c r="C2195" t="s">
        <v>1776</v>
      </c>
      <c r="D2195" t="s">
        <v>9</v>
      </c>
      <c r="E2195">
        <v>675</v>
      </c>
      <c r="F2195" t="str">
        <f>HYPERLINK("https://www.google.com/maps/search/?api=1&amp;query=24.63142561,46.55495993", "View Map")</f>
        <v>View Map</v>
      </c>
    </row>
    <row r="2196" spans="1:6" x14ac:dyDescent="0.35">
      <c r="A2196" t="s">
        <v>5380</v>
      </c>
      <c r="B2196" t="s">
        <v>5381</v>
      </c>
      <c r="C2196" t="s">
        <v>1776</v>
      </c>
      <c r="D2196" t="s">
        <v>9</v>
      </c>
      <c r="E2196">
        <v>674</v>
      </c>
      <c r="F2196" t="str">
        <f>HYPERLINK("https://www.google.com/maps/search/?api=1&amp;query=24.70409773,46.76719183", "View Map")</f>
        <v>View Map</v>
      </c>
    </row>
    <row r="2197" spans="1:6" x14ac:dyDescent="0.35">
      <c r="A2197" t="s">
        <v>5382</v>
      </c>
      <c r="B2197" t="s">
        <v>5383</v>
      </c>
      <c r="C2197" t="s">
        <v>1776</v>
      </c>
      <c r="D2197" t="s">
        <v>9</v>
      </c>
      <c r="E2197">
        <v>674</v>
      </c>
      <c r="F2197" t="str">
        <f>HYPERLINK("https://www.google.com/maps/search/?api=1&amp;query=24.80123547,46.79103692", "View Map")</f>
        <v>View Map</v>
      </c>
    </row>
    <row r="2198" spans="1:6" x14ac:dyDescent="0.35">
      <c r="A2198" t="s">
        <v>4363</v>
      </c>
      <c r="B2198" t="s">
        <v>5384</v>
      </c>
      <c r="C2198" t="s">
        <v>1776</v>
      </c>
      <c r="D2198" t="s">
        <v>9</v>
      </c>
      <c r="E2198">
        <v>674</v>
      </c>
      <c r="F2198" t="str">
        <f>HYPERLINK("https://www.google.com/maps/search/?api=1&amp;query=24.79834279,46.79397272", "View Map")</f>
        <v>View Map</v>
      </c>
    </row>
    <row r="2199" spans="1:6" x14ac:dyDescent="0.35">
      <c r="A2199" t="s">
        <v>4568</v>
      </c>
      <c r="B2199" t="s">
        <v>5385</v>
      </c>
      <c r="C2199" t="s">
        <v>1776</v>
      </c>
      <c r="D2199" t="s">
        <v>9</v>
      </c>
      <c r="E2199">
        <v>674</v>
      </c>
      <c r="F2199" t="str">
        <f>HYPERLINK("https://www.google.com/maps/search/?api=1&amp;query=24.76200531,46.73597415", "View Map")</f>
        <v>View Map</v>
      </c>
    </row>
    <row r="2200" spans="1:6" x14ac:dyDescent="0.35">
      <c r="A2200" t="s">
        <v>5386</v>
      </c>
      <c r="B2200" t="s">
        <v>5387</v>
      </c>
      <c r="C2200" t="s">
        <v>1776</v>
      </c>
      <c r="D2200" t="s">
        <v>9</v>
      </c>
      <c r="E2200">
        <v>674</v>
      </c>
      <c r="F2200" t="str">
        <f>HYPERLINK("https://www.google.com/maps/search/?api=1&amp;query=24.789881,46.81354787", "View Map")</f>
        <v>View Map</v>
      </c>
    </row>
    <row r="2201" spans="1:6" x14ac:dyDescent="0.35">
      <c r="A2201" t="s">
        <v>5388</v>
      </c>
      <c r="B2201" t="s">
        <v>5389</v>
      </c>
      <c r="C2201" t="s">
        <v>1776</v>
      </c>
      <c r="D2201" t="s">
        <v>9</v>
      </c>
      <c r="E2201">
        <v>672</v>
      </c>
      <c r="F2201" t="str">
        <f>HYPERLINK("https://www.google.com/maps/search/?api=1&amp;query=24.53675286,46.65911455", "View Map")</f>
        <v>View Map</v>
      </c>
    </row>
    <row r="2202" spans="1:6" x14ac:dyDescent="0.35">
      <c r="A2202" t="s">
        <v>5390</v>
      </c>
      <c r="B2202" t="s">
        <v>5391</v>
      </c>
      <c r="C2202" t="s">
        <v>1776</v>
      </c>
      <c r="D2202" t="s">
        <v>9</v>
      </c>
      <c r="E2202">
        <v>672</v>
      </c>
      <c r="F2202" t="str">
        <f>HYPERLINK("https://www.google.com/maps/search/?api=1&amp;query=24.70491,46.82291", "View Map")</f>
        <v>View Map</v>
      </c>
    </row>
    <row r="2203" spans="1:6" x14ac:dyDescent="0.35">
      <c r="A2203" t="s">
        <v>5392</v>
      </c>
      <c r="B2203" t="s">
        <v>5393</v>
      </c>
      <c r="C2203" t="s">
        <v>1776</v>
      </c>
      <c r="D2203" t="s">
        <v>9</v>
      </c>
      <c r="E2203">
        <v>672</v>
      </c>
      <c r="F2203" t="str">
        <f>HYPERLINK("https://www.google.com/maps/search/?api=1&amp;query=24.60283617,46.6027304", "View Map")</f>
        <v>View Map</v>
      </c>
    </row>
    <row r="2204" spans="1:6" x14ac:dyDescent="0.35">
      <c r="A2204" t="s">
        <v>5394</v>
      </c>
      <c r="B2204" t="s">
        <v>5395</v>
      </c>
      <c r="C2204" t="s">
        <v>1776</v>
      </c>
      <c r="D2204" t="s">
        <v>9</v>
      </c>
      <c r="E2204">
        <v>672</v>
      </c>
      <c r="F2204" t="str">
        <f>HYPERLINK("https://www.google.com/maps/search/?api=1&amp;query=24.6014242,46.66135325", "View Map")</f>
        <v>View Map</v>
      </c>
    </row>
    <row r="2205" spans="1:6" x14ac:dyDescent="0.35">
      <c r="A2205" t="s">
        <v>1947</v>
      </c>
      <c r="B2205" t="s">
        <v>5396</v>
      </c>
      <c r="C2205" t="s">
        <v>1776</v>
      </c>
      <c r="D2205" t="s">
        <v>9</v>
      </c>
      <c r="E2205">
        <v>671</v>
      </c>
      <c r="F2205" t="str">
        <f>HYPERLINK("https://www.google.com/maps/search/?api=1&amp;query=24.55363955,46.6674507", "View Map")</f>
        <v>View Map</v>
      </c>
    </row>
    <row r="2206" spans="1:6" x14ac:dyDescent="0.35">
      <c r="A2206" t="s">
        <v>1798</v>
      </c>
      <c r="B2206" t="s">
        <v>5397</v>
      </c>
      <c r="C2206" t="s">
        <v>1776</v>
      </c>
      <c r="D2206" t="s">
        <v>9</v>
      </c>
      <c r="E2206">
        <v>671</v>
      </c>
      <c r="F2206" t="str">
        <f>HYPERLINK("https://www.google.com/maps/search/?api=1&amp;query=24.92525789,46.82341566", "View Map")</f>
        <v>View Map</v>
      </c>
    </row>
    <row r="2207" spans="1:6" x14ac:dyDescent="0.35">
      <c r="A2207" t="s">
        <v>2375</v>
      </c>
      <c r="B2207" t="s">
        <v>5398</v>
      </c>
      <c r="C2207" t="s">
        <v>1776</v>
      </c>
      <c r="D2207" t="s">
        <v>9</v>
      </c>
      <c r="E2207">
        <v>670</v>
      </c>
      <c r="F2207" t="str">
        <f>HYPERLINK("https://www.google.com/maps/search/?api=1&amp;query=24.75813459,46.79719179", "View Map")</f>
        <v>View Map</v>
      </c>
    </row>
    <row r="2208" spans="1:6" x14ac:dyDescent="0.35">
      <c r="A2208" t="s">
        <v>5399</v>
      </c>
      <c r="B2208" t="s">
        <v>5400</v>
      </c>
      <c r="C2208" t="s">
        <v>1776</v>
      </c>
      <c r="D2208" t="s">
        <v>9</v>
      </c>
      <c r="E2208">
        <v>670</v>
      </c>
      <c r="F2208" t="str">
        <f>HYPERLINK("https://www.google.com/maps/search/?api=1&amp;query=24.77349657,46.78068338", "View Map")</f>
        <v>View Map</v>
      </c>
    </row>
    <row r="2209" spans="1:6" x14ac:dyDescent="0.35">
      <c r="A2209" t="s">
        <v>5401</v>
      </c>
      <c r="B2209" t="s">
        <v>5402</v>
      </c>
      <c r="C2209" t="s">
        <v>1776</v>
      </c>
      <c r="D2209" t="s">
        <v>9</v>
      </c>
      <c r="E2209">
        <v>670</v>
      </c>
      <c r="F2209" t="str">
        <f>HYPERLINK("https://www.google.com/maps/search/?api=1&amp;query=24.57971703,46.53004934", "View Map")</f>
        <v>View Map</v>
      </c>
    </row>
    <row r="2210" spans="1:6" x14ac:dyDescent="0.35">
      <c r="A2210" t="s">
        <v>5403</v>
      </c>
      <c r="B2210" t="s">
        <v>5404</v>
      </c>
      <c r="C2210" t="s">
        <v>1776</v>
      </c>
      <c r="D2210" t="s">
        <v>9</v>
      </c>
      <c r="E2210">
        <v>670</v>
      </c>
      <c r="F2210" t="str">
        <f>HYPERLINK("https://www.google.com/maps/search/?api=1&amp;query=24.61720633,46.76049055", "View Map")</f>
        <v>View Map</v>
      </c>
    </row>
    <row r="2211" spans="1:6" x14ac:dyDescent="0.35">
      <c r="A2211" t="s">
        <v>5405</v>
      </c>
      <c r="B2211" t="s">
        <v>5406</v>
      </c>
      <c r="C2211" t="s">
        <v>1776</v>
      </c>
      <c r="D2211" t="s">
        <v>9</v>
      </c>
      <c r="E2211">
        <v>670</v>
      </c>
      <c r="F2211" t="str">
        <f>HYPERLINK("https://www.google.com/maps/search/?api=1&amp;query=24.56246162,46.76567181", "View Map")</f>
        <v>View Map</v>
      </c>
    </row>
    <row r="2212" spans="1:6" x14ac:dyDescent="0.35">
      <c r="A2212" t="s">
        <v>5407</v>
      </c>
      <c r="B2212" t="s">
        <v>5408</v>
      </c>
      <c r="C2212" t="s">
        <v>1776</v>
      </c>
      <c r="D2212" t="s">
        <v>9</v>
      </c>
      <c r="E2212">
        <v>669</v>
      </c>
      <c r="F2212" t="str">
        <f>HYPERLINK("https://www.google.com/maps/search/?api=1&amp;query=24.70104458,46.78713846", "View Map")</f>
        <v>View Map</v>
      </c>
    </row>
    <row r="2213" spans="1:6" x14ac:dyDescent="0.35">
      <c r="A2213" t="s">
        <v>5409</v>
      </c>
      <c r="B2213" t="s">
        <v>5410</v>
      </c>
      <c r="C2213" t="s">
        <v>1776</v>
      </c>
      <c r="D2213" t="s">
        <v>9</v>
      </c>
      <c r="E2213">
        <v>669</v>
      </c>
      <c r="F2213" t="str">
        <f>HYPERLINK("https://www.google.com/maps/search/?api=1&amp;query=24.56301245,46.84785748", "View Map")</f>
        <v>View Map</v>
      </c>
    </row>
    <row r="2214" spans="1:6" x14ac:dyDescent="0.35">
      <c r="A2214" t="s">
        <v>5411</v>
      </c>
      <c r="B2214" t="s">
        <v>5412</v>
      </c>
      <c r="C2214" t="s">
        <v>1776</v>
      </c>
      <c r="D2214" t="s">
        <v>9</v>
      </c>
      <c r="E2214">
        <v>669</v>
      </c>
      <c r="F2214" t="str">
        <f>HYPERLINK("https://www.google.com/maps/search/?api=1&amp;query=24.74877729,46.6816209", "View Map")</f>
        <v>View Map</v>
      </c>
    </row>
    <row r="2215" spans="1:6" x14ac:dyDescent="0.35">
      <c r="A2215" t="s">
        <v>1806</v>
      </c>
      <c r="B2215" t="s">
        <v>5413</v>
      </c>
      <c r="C2215" t="s">
        <v>1776</v>
      </c>
      <c r="D2215" t="s">
        <v>9</v>
      </c>
      <c r="E2215">
        <v>669</v>
      </c>
      <c r="F2215" t="str">
        <f>HYPERLINK("https://www.google.com/maps/search/?api=1&amp;query=24.78380468,46.78335339", "View Map")</f>
        <v>View Map</v>
      </c>
    </row>
    <row r="2216" spans="1:6" x14ac:dyDescent="0.35">
      <c r="A2216" t="s">
        <v>5414</v>
      </c>
      <c r="B2216" t="s">
        <v>5415</v>
      </c>
      <c r="C2216" t="s">
        <v>1776</v>
      </c>
      <c r="D2216" t="s">
        <v>9</v>
      </c>
      <c r="E2216">
        <v>668</v>
      </c>
      <c r="F2216" t="str">
        <f>HYPERLINK("https://www.google.com/maps/search/?api=1&amp;query=24.80503329,46.71316172", "View Map")</f>
        <v>View Map</v>
      </c>
    </row>
    <row r="2217" spans="1:6" x14ac:dyDescent="0.35">
      <c r="A2217" t="s">
        <v>5416</v>
      </c>
      <c r="B2217" t="s">
        <v>5417</v>
      </c>
      <c r="C2217" t="s">
        <v>1776</v>
      </c>
      <c r="D2217" t="s">
        <v>9</v>
      </c>
      <c r="E2217">
        <v>668</v>
      </c>
      <c r="F2217" t="str">
        <f>HYPERLINK("https://www.google.com/maps/search/?api=1&amp;query=24.59116346,46.65047966", "View Map")</f>
        <v>View Map</v>
      </c>
    </row>
    <row r="2218" spans="1:6" x14ac:dyDescent="0.35">
      <c r="A2218" t="s">
        <v>5418</v>
      </c>
      <c r="B2218" t="s">
        <v>5419</v>
      </c>
      <c r="C2218" t="s">
        <v>1776</v>
      </c>
      <c r="D2218" t="s">
        <v>9</v>
      </c>
      <c r="E2218">
        <v>668</v>
      </c>
      <c r="F2218" t="str">
        <f>HYPERLINK("https://www.google.com/maps/search/?api=1&amp;query=24.64700197,46.72518615", "View Map")</f>
        <v>View Map</v>
      </c>
    </row>
    <row r="2219" spans="1:6" x14ac:dyDescent="0.35">
      <c r="A2219" t="s">
        <v>5420</v>
      </c>
      <c r="B2219" t="s">
        <v>5421</v>
      </c>
      <c r="C2219" t="s">
        <v>1776</v>
      </c>
      <c r="D2219" t="s">
        <v>9</v>
      </c>
      <c r="E2219">
        <v>668</v>
      </c>
      <c r="F2219" t="str">
        <f>HYPERLINK("https://www.google.com/maps/search/?api=1&amp;query=24.78675189,46.81888122", "View Map")</f>
        <v>View Map</v>
      </c>
    </row>
    <row r="2220" spans="1:6" x14ac:dyDescent="0.35">
      <c r="A2220" t="s">
        <v>1947</v>
      </c>
      <c r="B2220" t="s">
        <v>5422</v>
      </c>
      <c r="C2220" t="s">
        <v>1776</v>
      </c>
      <c r="D2220" t="s">
        <v>9</v>
      </c>
      <c r="E2220">
        <v>667</v>
      </c>
      <c r="F2220" t="str">
        <f>HYPERLINK("https://www.google.com/maps/search/?api=1&amp;query=24.55117844,46.50158735", "View Map")</f>
        <v>View Map</v>
      </c>
    </row>
    <row r="2221" spans="1:6" x14ac:dyDescent="0.35">
      <c r="A2221" t="s">
        <v>5423</v>
      </c>
      <c r="B2221" t="s">
        <v>5424</v>
      </c>
      <c r="C2221" t="s">
        <v>1776</v>
      </c>
      <c r="D2221" t="s">
        <v>9</v>
      </c>
      <c r="E2221">
        <v>667</v>
      </c>
      <c r="F2221" t="str">
        <f>HYPERLINK("https://www.google.com/maps/search/?api=1&amp;query=24.6148259,46.74424522", "View Map")</f>
        <v>View Map</v>
      </c>
    </row>
    <row r="2222" spans="1:6" x14ac:dyDescent="0.35">
      <c r="A2222" t="s">
        <v>5425</v>
      </c>
      <c r="B2222" t="s">
        <v>5426</v>
      </c>
      <c r="C2222" t="s">
        <v>1776</v>
      </c>
      <c r="D2222" t="s">
        <v>9</v>
      </c>
      <c r="E2222">
        <v>667</v>
      </c>
      <c r="F2222" t="str">
        <f>HYPERLINK("https://www.google.com/maps/search/?api=1&amp;query=24.58720564,46.78842017", "View Map")</f>
        <v>View Map</v>
      </c>
    </row>
    <row r="2223" spans="1:6" x14ac:dyDescent="0.35">
      <c r="A2223" t="s">
        <v>5427</v>
      </c>
      <c r="B2223" t="s">
        <v>5428</v>
      </c>
      <c r="C2223" t="s">
        <v>1776</v>
      </c>
      <c r="D2223" t="s">
        <v>318</v>
      </c>
      <c r="E2223">
        <v>666</v>
      </c>
      <c r="F2223" t="str">
        <f>HYPERLINK("https://www.google.com/maps/search/?api=1&amp;query=24.58233104,46.58818715", "View Map")</f>
        <v>View Map</v>
      </c>
    </row>
    <row r="2224" spans="1:6" x14ac:dyDescent="0.35">
      <c r="A2224" t="s">
        <v>5429</v>
      </c>
      <c r="B2224" t="s">
        <v>5430</v>
      </c>
      <c r="C2224" t="s">
        <v>1776</v>
      </c>
      <c r="D2224" t="s">
        <v>9</v>
      </c>
      <c r="E2224">
        <v>666</v>
      </c>
      <c r="F2224" t="str">
        <f>HYPERLINK("https://www.google.com/maps/search/?api=1&amp;query=24.53897522,46.70465756", "View Map")</f>
        <v>View Map</v>
      </c>
    </row>
    <row r="2225" spans="1:6" x14ac:dyDescent="0.35">
      <c r="A2225" t="s">
        <v>5431</v>
      </c>
      <c r="B2225" t="s">
        <v>5432</v>
      </c>
      <c r="C2225" t="s">
        <v>1776</v>
      </c>
      <c r="D2225" t="s">
        <v>9</v>
      </c>
      <c r="E2225">
        <v>666</v>
      </c>
      <c r="F2225" t="str">
        <f>HYPERLINK("https://www.google.com/maps/search/?api=1&amp;query=24.76169465,46.70262289", "View Map")</f>
        <v>View Map</v>
      </c>
    </row>
    <row r="2226" spans="1:6" x14ac:dyDescent="0.35">
      <c r="A2226" t="s">
        <v>5433</v>
      </c>
      <c r="B2226" t="s">
        <v>5434</v>
      </c>
      <c r="C2226" t="s">
        <v>1776</v>
      </c>
      <c r="D2226" t="s">
        <v>9</v>
      </c>
      <c r="E2226">
        <v>665</v>
      </c>
      <c r="F2226" t="str">
        <f>HYPERLINK("https://www.google.com/maps/search/?api=1&amp;query=24.59052494,46.68066397", "View Map")</f>
        <v>View Map</v>
      </c>
    </row>
    <row r="2227" spans="1:6" x14ac:dyDescent="0.35">
      <c r="A2227" t="s">
        <v>2955</v>
      </c>
      <c r="B2227" t="s">
        <v>5435</v>
      </c>
      <c r="C2227" t="s">
        <v>1776</v>
      </c>
      <c r="D2227" t="s">
        <v>9</v>
      </c>
      <c r="E2227">
        <v>665</v>
      </c>
      <c r="F2227" t="str">
        <f>HYPERLINK("https://www.google.com/maps/search/?api=1&amp;query=24.73861982,46.75275256", "View Map")</f>
        <v>View Map</v>
      </c>
    </row>
    <row r="2228" spans="1:6" x14ac:dyDescent="0.35">
      <c r="A2228" t="s">
        <v>2121</v>
      </c>
      <c r="B2228" t="s">
        <v>5436</v>
      </c>
      <c r="C2228" t="s">
        <v>1776</v>
      </c>
      <c r="D2228" t="s">
        <v>9</v>
      </c>
      <c r="E2228">
        <v>665</v>
      </c>
      <c r="F2228" t="str">
        <f>HYPERLINK("https://www.google.com/maps/search/?api=1&amp;query=24.7899744,46.6973213", "View Map")</f>
        <v>View Map</v>
      </c>
    </row>
    <row r="2229" spans="1:6" x14ac:dyDescent="0.35">
      <c r="A2229" t="s">
        <v>5437</v>
      </c>
      <c r="B2229" t="s">
        <v>5438</v>
      </c>
      <c r="C2229" t="s">
        <v>1776</v>
      </c>
      <c r="D2229" t="s">
        <v>9</v>
      </c>
      <c r="E2229">
        <v>665</v>
      </c>
      <c r="F2229" t="str">
        <f>HYPERLINK("https://www.google.com/maps/search/?api=1&amp;query=24.55422808,46.69945164", "View Map")</f>
        <v>View Map</v>
      </c>
    </row>
    <row r="2230" spans="1:6" x14ac:dyDescent="0.35">
      <c r="A2230" t="s">
        <v>1798</v>
      </c>
      <c r="B2230" t="s">
        <v>5439</v>
      </c>
      <c r="C2230" t="s">
        <v>1776</v>
      </c>
      <c r="D2230" t="s">
        <v>9</v>
      </c>
      <c r="E2230">
        <v>665</v>
      </c>
      <c r="F2230" t="str">
        <f>HYPERLINK("https://www.google.com/maps/search/?api=1&amp;query=24.80816634,46.81859988", "View Map")</f>
        <v>View Map</v>
      </c>
    </row>
    <row r="2231" spans="1:6" x14ac:dyDescent="0.35">
      <c r="A2231" t="s">
        <v>5440</v>
      </c>
      <c r="B2231" t="s">
        <v>5441</v>
      </c>
      <c r="C2231" t="s">
        <v>1776</v>
      </c>
      <c r="D2231" t="s">
        <v>9</v>
      </c>
      <c r="E2231">
        <v>664</v>
      </c>
      <c r="F2231" t="str">
        <f>HYPERLINK("https://www.google.com/maps/search/?api=1&amp;query=24.53706524,46.70849342", "View Map")</f>
        <v>View Map</v>
      </c>
    </row>
    <row r="2232" spans="1:6" x14ac:dyDescent="0.35">
      <c r="A2232" t="s">
        <v>1798</v>
      </c>
      <c r="B2232" t="s">
        <v>5442</v>
      </c>
      <c r="C2232" t="s">
        <v>1776</v>
      </c>
      <c r="D2232" t="s">
        <v>9</v>
      </c>
      <c r="E2232">
        <v>664</v>
      </c>
      <c r="F2232" t="str">
        <f>HYPERLINK("https://www.google.com/maps/search/?api=1&amp;query=24.76863869,46.6986284", "View Map")</f>
        <v>View Map</v>
      </c>
    </row>
    <row r="2233" spans="1:6" x14ac:dyDescent="0.35">
      <c r="A2233" t="s">
        <v>5443</v>
      </c>
      <c r="B2233" t="s">
        <v>5444</v>
      </c>
      <c r="C2233" t="s">
        <v>1776</v>
      </c>
      <c r="D2233" t="s">
        <v>9</v>
      </c>
      <c r="E2233">
        <v>664</v>
      </c>
      <c r="F2233" t="str">
        <f>HYPERLINK("https://www.google.com/maps/search/?api=1&amp;query=24.61280683,46.66140039", "View Map")</f>
        <v>View Map</v>
      </c>
    </row>
    <row r="2234" spans="1:6" x14ac:dyDescent="0.35">
      <c r="A2234" t="s">
        <v>5445</v>
      </c>
      <c r="B2234" t="s">
        <v>5446</v>
      </c>
      <c r="C2234" t="s">
        <v>1776</v>
      </c>
      <c r="D2234" t="s">
        <v>9</v>
      </c>
      <c r="E2234">
        <v>664</v>
      </c>
      <c r="F2234" t="str">
        <f>HYPERLINK("https://www.google.com/maps/search/?api=1&amp;query=24.80239133,46.7870053", "View Map")</f>
        <v>View Map</v>
      </c>
    </row>
    <row r="2235" spans="1:6" x14ac:dyDescent="0.35">
      <c r="A2235" t="s">
        <v>5447</v>
      </c>
      <c r="B2235" t="s">
        <v>5448</v>
      </c>
      <c r="C2235" t="s">
        <v>1776</v>
      </c>
      <c r="D2235" t="s">
        <v>9</v>
      </c>
      <c r="E2235">
        <v>664</v>
      </c>
      <c r="F2235" t="str">
        <f>HYPERLINK("https://www.google.com/maps/search/?api=1&amp;query=24.6008962,46.58917031", "View Map")</f>
        <v>View Map</v>
      </c>
    </row>
    <row r="2236" spans="1:6" x14ac:dyDescent="0.35">
      <c r="A2236" t="s">
        <v>5449</v>
      </c>
      <c r="B2236" t="s">
        <v>5450</v>
      </c>
      <c r="C2236" t="s">
        <v>1776</v>
      </c>
      <c r="D2236" t="s">
        <v>9</v>
      </c>
      <c r="E2236">
        <v>663</v>
      </c>
      <c r="F2236" t="str">
        <f>HYPERLINK("https://www.google.com/maps/search/?api=1&amp;query=24.60629086,46.74003516", "View Map")</f>
        <v>View Map</v>
      </c>
    </row>
    <row r="2237" spans="1:6" x14ac:dyDescent="0.35">
      <c r="A2237" t="s">
        <v>5451</v>
      </c>
      <c r="B2237" t="s">
        <v>5452</v>
      </c>
      <c r="C2237" t="s">
        <v>1776</v>
      </c>
      <c r="D2237" t="s">
        <v>9</v>
      </c>
      <c r="E2237">
        <v>663</v>
      </c>
      <c r="F2237" t="str">
        <f>HYPERLINK("https://www.google.com/maps/search/?api=1&amp;query=24.75861569,46.68282007", "View Map")</f>
        <v>View Map</v>
      </c>
    </row>
    <row r="2238" spans="1:6" x14ac:dyDescent="0.35">
      <c r="A2238" t="s">
        <v>5453</v>
      </c>
      <c r="B2238" t="s">
        <v>5454</v>
      </c>
      <c r="C2238" t="s">
        <v>1776</v>
      </c>
      <c r="D2238" t="s">
        <v>9</v>
      </c>
      <c r="E2238">
        <v>663</v>
      </c>
      <c r="F2238" t="str">
        <f>HYPERLINK("https://www.google.com/maps/search/?api=1&amp;query=24.7583,46.7833", "View Map")</f>
        <v>View Map</v>
      </c>
    </row>
    <row r="2239" spans="1:6" x14ac:dyDescent="0.35">
      <c r="A2239" t="s">
        <v>5455</v>
      </c>
      <c r="B2239" t="s">
        <v>5456</v>
      </c>
      <c r="C2239" t="s">
        <v>1776</v>
      </c>
      <c r="D2239" t="s">
        <v>9</v>
      </c>
      <c r="E2239">
        <v>662</v>
      </c>
      <c r="F2239" t="str">
        <f>HYPERLINK("https://www.google.com/maps/search/?api=1&amp;query=24.70231294,46.75759735", "View Map")</f>
        <v>View Map</v>
      </c>
    </row>
    <row r="2240" spans="1:6" x14ac:dyDescent="0.35">
      <c r="A2240" t="s">
        <v>5457</v>
      </c>
      <c r="B2240" t="s">
        <v>5458</v>
      </c>
      <c r="C2240" t="s">
        <v>1776</v>
      </c>
      <c r="D2240" t="s">
        <v>9</v>
      </c>
      <c r="E2240">
        <v>662</v>
      </c>
      <c r="F2240" t="str">
        <f>HYPERLINK("https://www.google.com/maps/search/?api=1&amp;query=24.61951786,46.7029792", "View Map")</f>
        <v>View Map</v>
      </c>
    </row>
    <row r="2241" spans="1:6" x14ac:dyDescent="0.35">
      <c r="A2241" t="s">
        <v>5459</v>
      </c>
      <c r="B2241" t="s">
        <v>5460</v>
      </c>
      <c r="C2241" t="s">
        <v>1776</v>
      </c>
      <c r="D2241" t="s">
        <v>9</v>
      </c>
      <c r="E2241">
        <v>662</v>
      </c>
      <c r="F2241" t="str">
        <f>HYPERLINK("https://www.google.com/maps/search/?api=1&amp;query=24.56762563,46.63359201", "View Map")</f>
        <v>View Map</v>
      </c>
    </row>
    <row r="2242" spans="1:6" x14ac:dyDescent="0.35">
      <c r="A2242" t="s">
        <v>5461</v>
      </c>
      <c r="B2242" t="s">
        <v>5462</v>
      </c>
      <c r="C2242" t="s">
        <v>1776</v>
      </c>
      <c r="D2242" t="s">
        <v>9</v>
      </c>
      <c r="E2242">
        <v>661</v>
      </c>
      <c r="F2242" t="str">
        <f>HYPERLINK("https://www.google.com/maps/search/?api=1&amp;query=24.59904216,46.69045667", "View Map")</f>
        <v>View Map</v>
      </c>
    </row>
    <row r="2243" spans="1:6" x14ac:dyDescent="0.35">
      <c r="A2243" t="s">
        <v>5463</v>
      </c>
      <c r="B2243" t="s">
        <v>5464</v>
      </c>
      <c r="C2243" t="s">
        <v>1776</v>
      </c>
      <c r="D2243" t="s">
        <v>9</v>
      </c>
      <c r="E2243">
        <v>661</v>
      </c>
      <c r="F2243" t="str">
        <f>HYPERLINK("https://www.google.com/maps/search/?api=1&amp;query=24.69901721,46.70317307", "View Map")</f>
        <v>View Map</v>
      </c>
    </row>
    <row r="2244" spans="1:6" x14ac:dyDescent="0.35">
      <c r="A2244" t="s">
        <v>5465</v>
      </c>
      <c r="B2244" t="s">
        <v>5466</v>
      </c>
      <c r="C2244" t="s">
        <v>1776</v>
      </c>
      <c r="D2244" t="s">
        <v>9</v>
      </c>
      <c r="E2244">
        <v>661</v>
      </c>
      <c r="F2244" t="str">
        <f>HYPERLINK("https://www.google.com/maps/search/?api=1&amp;query=24.58172479,46.57986006", "View Map")</f>
        <v>View Map</v>
      </c>
    </row>
    <row r="2245" spans="1:6" x14ac:dyDescent="0.35">
      <c r="A2245" t="s">
        <v>2178</v>
      </c>
      <c r="B2245" t="s">
        <v>5467</v>
      </c>
      <c r="C2245" t="s">
        <v>1776</v>
      </c>
      <c r="D2245" t="s">
        <v>9</v>
      </c>
      <c r="E2245">
        <v>661</v>
      </c>
      <c r="F2245" t="str">
        <f>HYPERLINK("https://www.google.com/maps/search/?api=1&amp;query=24.62373953,46.54477428", "View Map")</f>
        <v>View Map</v>
      </c>
    </row>
    <row r="2246" spans="1:6" x14ac:dyDescent="0.35">
      <c r="A2246" t="s">
        <v>2863</v>
      </c>
      <c r="B2246" t="s">
        <v>5468</v>
      </c>
      <c r="C2246" t="s">
        <v>1776</v>
      </c>
      <c r="D2246" t="s">
        <v>9</v>
      </c>
      <c r="E2246">
        <v>661</v>
      </c>
      <c r="F2246" t="str">
        <f>HYPERLINK("https://www.google.com/maps/search/?api=1&amp;query=24.5622063,46.54122953", "View Map")</f>
        <v>View Map</v>
      </c>
    </row>
    <row r="2247" spans="1:6" x14ac:dyDescent="0.35">
      <c r="A2247" t="s">
        <v>5469</v>
      </c>
      <c r="B2247" t="s">
        <v>5470</v>
      </c>
      <c r="C2247" t="s">
        <v>1843</v>
      </c>
      <c r="D2247" t="s">
        <v>9</v>
      </c>
      <c r="E2247">
        <v>660</v>
      </c>
      <c r="F2247" t="str">
        <f>HYPERLINK("https://www.google.com/maps/search/?api=1&amp;query=24.7698187,46.57941972", "View Map")</f>
        <v>View Map</v>
      </c>
    </row>
    <row r="2248" spans="1:6" x14ac:dyDescent="0.35">
      <c r="A2248" t="s">
        <v>5471</v>
      </c>
      <c r="B2248" t="s">
        <v>5472</v>
      </c>
      <c r="C2248" t="s">
        <v>1776</v>
      </c>
      <c r="D2248" t="s">
        <v>9</v>
      </c>
      <c r="E2248">
        <v>660</v>
      </c>
      <c r="F2248" t="str">
        <f>HYPERLINK("https://www.google.com/maps/search/?api=1&amp;query=24.60165855,46.61706019", "View Map")</f>
        <v>View Map</v>
      </c>
    </row>
    <row r="2249" spans="1:6" x14ac:dyDescent="0.35">
      <c r="A2249" t="s">
        <v>3045</v>
      </c>
      <c r="B2249" t="s">
        <v>5473</v>
      </c>
      <c r="C2249" t="s">
        <v>1776</v>
      </c>
      <c r="D2249" t="s">
        <v>9</v>
      </c>
      <c r="E2249">
        <v>660</v>
      </c>
      <c r="F2249" t="str">
        <f>HYPERLINK("https://www.google.com/maps/search/?api=1&amp;query=24.71266107,46.84090257", "View Map")</f>
        <v>View Map</v>
      </c>
    </row>
    <row r="2250" spans="1:6" x14ac:dyDescent="0.35">
      <c r="A2250" t="s">
        <v>5474</v>
      </c>
      <c r="B2250" t="s">
        <v>5475</v>
      </c>
      <c r="C2250" t="s">
        <v>1776</v>
      </c>
      <c r="D2250" t="s">
        <v>9</v>
      </c>
      <c r="E2250">
        <v>659</v>
      </c>
      <c r="F2250" t="str">
        <f>HYPERLINK("https://www.google.com/maps/search/?api=1&amp;query=24.65588646,46.75547512", "View Map")</f>
        <v>View Map</v>
      </c>
    </row>
    <row r="2251" spans="1:6" x14ac:dyDescent="0.35">
      <c r="A2251" t="s">
        <v>1806</v>
      </c>
      <c r="B2251" t="s">
        <v>5476</v>
      </c>
      <c r="C2251" t="s">
        <v>1776</v>
      </c>
      <c r="D2251" t="s">
        <v>9</v>
      </c>
      <c r="E2251">
        <v>658</v>
      </c>
      <c r="F2251" t="str">
        <f>HYPERLINK("https://www.google.com/maps/search/?api=1&amp;query=24.77403814,46.82981711", "View Map")</f>
        <v>View Map</v>
      </c>
    </row>
    <row r="2252" spans="1:6" x14ac:dyDescent="0.35">
      <c r="A2252" t="s">
        <v>5477</v>
      </c>
      <c r="B2252" t="s">
        <v>5478</v>
      </c>
      <c r="C2252" t="s">
        <v>1776</v>
      </c>
      <c r="D2252" t="s">
        <v>9</v>
      </c>
      <c r="E2252">
        <v>657</v>
      </c>
      <c r="F2252" t="str">
        <f>HYPERLINK("https://www.google.com/maps/search/?api=1&amp;query=24.75784392,46.81718414", "View Map")</f>
        <v>View Map</v>
      </c>
    </row>
    <row r="2253" spans="1:6" x14ac:dyDescent="0.35">
      <c r="A2253" t="s">
        <v>2514</v>
      </c>
      <c r="B2253" t="s">
        <v>5479</v>
      </c>
      <c r="C2253" t="s">
        <v>1776</v>
      </c>
      <c r="D2253" t="s">
        <v>9</v>
      </c>
      <c r="E2253">
        <v>657</v>
      </c>
      <c r="F2253" t="str">
        <f>HYPERLINK("https://www.google.com/maps/search/?api=1&amp;query=24.6949262,46.80986961", "View Map")</f>
        <v>View Map</v>
      </c>
    </row>
    <row r="2254" spans="1:6" x14ac:dyDescent="0.35">
      <c r="A2254" t="s">
        <v>5480</v>
      </c>
      <c r="B2254" t="s">
        <v>5481</v>
      </c>
      <c r="C2254" t="s">
        <v>1776</v>
      </c>
      <c r="D2254" t="s">
        <v>9</v>
      </c>
      <c r="E2254">
        <v>657</v>
      </c>
      <c r="F2254" t="str">
        <f>HYPERLINK("https://www.google.com/maps/search/?api=1&amp;query=24.56457099,46.69482586", "View Map")</f>
        <v>View Map</v>
      </c>
    </row>
    <row r="2255" spans="1:6" x14ac:dyDescent="0.35">
      <c r="A2255" t="s">
        <v>1831</v>
      </c>
      <c r="B2255" t="s">
        <v>5482</v>
      </c>
      <c r="C2255" t="s">
        <v>1776</v>
      </c>
      <c r="D2255" t="s">
        <v>9</v>
      </c>
      <c r="E2255">
        <v>657</v>
      </c>
      <c r="F2255" t="str">
        <f>HYPERLINK("https://www.google.com/maps/search/?api=1&amp;query=24.58057329,46.55179855", "View Map")</f>
        <v>View Map</v>
      </c>
    </row>
    <row r="2256" spans="1:6" x14ac:dyDescent="0.35">
      <c r="A2256" t="s">
        <v>1798</v>
      </c>
      <c r="B2256" t="s">
        <v>5483</v>
      </c>
      <c r="C2256" t="s">
        <v>1776</v>
      </c>
      <c r="D2256" t="s">
        <v>9</v>
      </c>
      <c r="E2256">
        <v>657</v>
      </c>
      <c r="F2256" t="str">
        <f>HYPERLINK("https://www.google.com/maps/search/?api=1&amp;query=24.7973959,46.70690553", "View Map")</f>
        <v>View Map</v>
      </c>
    </row>
    <row r="2257" spans="1:6" x14ac:dyDescent="0.35">
      <c r="A2257" t="s">
        <v>1806</v>
      </c>
      <c r="B2257" t="s">
        <v>5484</v>
      </c>
      <c r="C2257" t="s">
        <v>1776</v>
      </c>
      <c r="D2257" t="s">
        <v>9</v>
      </c>
      <c r="E2257">
        <v>657</v>
      </c>
      <c r="F2257" t="str">
        <f>HYPERLINK("https://www.google.com/maps/search/?api=1&amp;query=24.77248273,46.78830519", "View Map")</f>
        <v>View Map</v>
      </c>
    </row>
    <row r="2258" spans="1:6" x14ac:dyDescent="0.35">
      <c r="A2258" t="s">
        <v>1947</v>
      </c>
      <c r="B2258" t="s">
        <v>5485</v>
      </c>
      <c r="C2258" t="s">
        <v>1776</v>
      </c>
      <c r="D2258" t="s">
        <v>9</v>
      </c>
      <c r="E2258">
        <v>657</v>
      </c>
      <c r="F2258" t="str">
        <f>HYPERLINK("https://www.google.com/maps/search/?api=1&amp;query=24.55670088,46.50394416", "View Map")</f>
        <v>View Map</v>
      </c>
    </row>
    <row r="2259" spans="1:6" x14ac:dyDescent="0.35">
      <c r="A2259" t="s">
        <v>5486</v>
      </c>
      <c r="B2259" t="s">
        <v>5487</v>
      </c>
      <c r="C2259" t="s">
        <v>1776</v>
      </c>
      <c r="D2259" t="s">
        <v>9</v>
      </c>
      <c r="E2259">
        <v>657</v>
      </c>
      <c r="F2259" t="str">
        <f>HYPERLINK("https://www.google.com/maps/search/?api=1&amp;query=24.53604199,46.6909334", "View Map")</f>
        <v>View Map</v>
      </c>
    </row>
    <row r="2260" spans="1:6" x14ac:dyDescent="0.35">
      <c r="A2260" t="s">
        <v>5488</v>
      </c>
      <c r="B2260" t="s">
        <v>5489</v>
      </c>
      <c r="C2260" t="s">
        <v>1776</v>
      </c>
      <c r="D2260" t="s">
        <v>9</v>
      </c>
      <c r="E2260">
        <v>656</v>
      </c>
      <c r="F2260" t="str">
        <f>HYPERLINK("https://www.google.com/maps/search/?api=1&amp;query=24.83618198,46.64054127", "View Map")</f>
        <v>View Map</v>
      </c>
    </row>
    <row r="2261" spans="1:6" x14ac:dyDescent="0.35">
      <c r="A2261" t="s">
        <v>5490</v>
      </c>
      <c r="B2261" t="s">
        <v>5491</v>
      </c>
      <c r="C2261" t="s">
        <v>1776</v>
      </c>
      <c r="D2261" t="s">
        <v>9</v>
      </c>
      <c r="E2261">
        <v>656</v>
      </c>
      <c r="F2261" t="str">
        <f>HYPERLINK("https://www.google.com/maps/search/?api=1&amp;query=24.70343706,46.84071593", "View Map")</f>
        <v>View Map</v>
      </c>
    </row>
    <row r="2262" spans="1:6" x14ac:dyDescent="0.35">
      <c r="A2262" t="s">
        <v>5492</v>
      </c>
      <c r="B2262" t="s">
        <v>5493</v>
      </c>
      <c r="C2262" t="s">
        <v>1776</v>
      </c>
      <c r="D2262" t="s">
        <v>9</v>
      </c>
      <c r="E2262">
        <v>655</v>
      </c>
      <c r="F2262" t="str">
        <f>HYPERLINK("https://www.google.com/maps/search/?api=1&amp;query=24.53908772,46.70975259", "View Map")</f>
        <v>View Map</v>
      </c>
    </row>
    <row r="2263" spans="1:6" x14ac:dyDescent="0.35">
      <c r="A2263" t="s">
        <v>1798</v>
      </c>
      <c r="B2263" t="s">
        <v>5494</v>
      </c>
      <c r="C2263" t="s">
        <v>1776</v>
      </c>
      <c r="D2263" t="s">
        <v>9</v>
      </c>
      <c r="E2263">
        <v>655</v>
      </c>
      <c r="F2263" t="str">
        <f>HYPERLINK("https://www.google.com/maps/search/?api=1&amp;query=24.92525789,46.82341566", "View Map")</f>
        <v>View Map</v>
      </c>
    </row>
    <row r="2264" spans="1:6" x14ac:dyDescent="0.35">
      <c r="A2264" t="s">
        <v>5495</v>
      </c>
      <c r="B2264" t="s">
        <v>5496</v>
      </c>
      <c r="C2264" t="s">
        <v>1776</v>
      </c>
      <c r="D2264" t="s">
        <v>9</v>
      </c>
      <c r="E2264">
        <v>655</v>
      </c>
      <c r="F2264" t="str">
        <f>HYPERLINK("https://www.google.com/maps/search/?api=1&amp;query=24.56736661,46.70338406", "View Map")</f>
        <v>View Map</v>
      </c>
    </row>
    <row r="2265" spans="1:6" x14ac:dyDescent="0.35">
      <c r="A2265" t="s">
        <v>5497</v>
      </c>
      <c r="B2265" t="s">
        <v>5498</v>
      </c>
      <c r="C2265" t="s">
        <v>1776</v>
      </c>
      <c r="D2265" t="s">
        <v>9</v>
      </c>
      <c r="E2265">
        <v>654</v>
      </c>
      <c r="F2265" t="str">
        <f>HYPERLINK("https://www.google.com/maps/search/?api=1&amp;query=24.59827896,46.80672086", "View Map")</f>
        <v>View Map</v>
      </c>
    </row>
    <row r="2266" spans="1:6" x14ac:dyDescent="0.35">
      <c r="A2266" t="s">
        <v>1947</v>
      </c>
      <c r="B2266" t="s">
        <v>5499</v>
      </c>
      <c r="C2266" t="s">
        <v>1776</v>
      </c>
      <c r="D2266" t="s">
        <v>9</v>
      </c>
      <c r="E2266">
        <v>654</v>
      </c>
      <c r="F2266" t="str">
        <f>HYPERLINK("https://www.google.com/maps/search/?api=1&amp;query=24.55825237,46.53394679", "View Map")</f>
        <v>View Map</v>
      </c>
    </row>
    <row r="2267" spans="1:6" x14ac:dyDescent="0.35">
      <c r="A2267" t="s">
        <v>3811</v>
      </c>
      <c r="B2267" t="s">
        <v>5500</v>
      </c>
      <c r="C2267" t="s">
        <v>1776</v>
      </c>
      <c r="D2267" t="s">
        <v>9</v>
      </c>
      <c r="E2267">
        <v>654</v>
      </c>
      <c r="F2267" t="str">
        <f>HYPERLINK("https://www.google.com/maps/search/?api=1&amp;query=24.5670318,46.79597581", "View Map")</f>
        <v>View Map</v>
      </c>
    </row>
    <row r="2268" spans="1:6" x14ac:dyDescent="0.35">
      <c r="A2268" t="s">
        <v>5501</v>
      </c>
      <c r="B2268" t="s">
        <v>5502</v>
      </c>
      <c r="C2268" t="s">
        <v>1776</v>
      </c>
      <c r="D2268" t="s">
        <v>9</v>
      </c>
      <c r="E2268">
        <v>654</v>
      </c>
      <c r="F2268" t="str">
        <f>HYPERLINK("https://www.google.com/maps/search/?api=1&amp;query=24.59085342,46.69686152", "View Map")</f>
        <v>View Map</v>
      </c>
    </row>
    <row r="2269" spans="1:6" x14ac:dyDescent="0.35">
      <c r="A2269" t="s">
        <v>3071</v>
      </c>
      <c r="B2269" t="s">
        <v>5503</v>
      </c>
      <c r="C2269" t="s">
        <v>1776</v>
      </c>
      <c r="D2269" t="s">
        <v>9</v>
      </c>
      <c r="E2269">
        <v>654</v>
      </c>
      <c r="F2269" t="str">
        <f>HYPERLINK("https://www.google.com/maps/search/?api=1&amp;query=24.7343666,46.8383035", "View Map")</f>
        <v>View Map</v>
      </c>
    </row>
    <row r="2270" spans="1:6" x14ac:dyDescent="0.35">
      <c r="A2270" t="s">
        <v>5504</v>
      </c>
      <c r="B2270" t="s">
        <v>5505</v>
      </c>
      <c r="C2270" t="s">
        <v>1776</v>
      </c>
      <c r="D2270" t="s">
        <v>318</v>
      </c>
      <c r="E2270">
        <v>653</v>
      </c>
      <c r="F2270" t="str">
        <f>HYPERLINK("https://www.google.com/maps/search/?api=1&amp;query=24.83112837,46.6431487", "View Map")</f>
        <v>View Map</v>
      </c>
    </row>
    <row r="2271" spans="1:6" x14ac:dyDescent="0.35">
      <c r="A2271" t="s">
        <v>5506</v>
      </c>
      <c r="B2271" t="s">
        <v>5507</v>
      </c>
      <c r="C2271" t="s">
        <v>1776</v>
      </c>
      <c r="D2271" t="s">
        <v>9</v>
      </c>
      <c r="E2271">
        <v>653</v>
      </c>
      <c r="F2271" t="str">
        <f>HYPERLINK("https://www.google.com/maps/search/?api=1&amp;query=24.62839024,46.72038493", "View Map")</f>
        <v>View Map</v>
      </c>
    </row>
    <row r="2272" spans="1:6" x14ac:dyDescent="0.35">
      <c r="A2272" t="s">
        <v>5508</v>
      </c>
      <c r="B2272" t="s">
        <v>5509</v>
      </c>
      <c r="C2272" t="s">
        <v>1776</v>
      </c>
      <c r="D2272" t="s">
        <v>9</v>
      </c>
      <c r="E2272">
        <v>653</v>
      </c>
      <c r="F2272" t="str">
        <f>HYPERLINK("https://www.google.com/maps/search/?api=1&amp;query=24.52691935,46.70987795", "View Map")</f>
        <v>View Map</v>
      </c>
    </row>
    <row r="2273" spans="1:6" x14ac:dyDescent="0.35">
      <c r="A2273" t="s">
        <v>2178</v>
      </c>
      <c r="B2273" t="s">
        <v>5510</v>
      </c>
      <c r="C2273" t="s">
        <v>1776</v>
      </c>
      <c r="D2273" t="s">
        <v>9</v>
      </c>
      <c r="E2273">
        <v>653</v>
      </c>
      <c r="F2273" t="str">
        <f>HYPERLINK("https://www.google.com/maps/search/?api=1&amp;query=24.76186,46.71891", "View Map")</f>
        <v>View Map</v>
      </c>
    </row>
    <row r="2274" spans="1:6" x14ac:dyDescent="0.35">
      <c r="A2274" t="s">
        <v>5511</v>
      </c>
      <c r="B2274" t="s">
        <v>5512</v>
      </c>
      <c r="C2274" t="s">
        <v>1776</v>
      </c>
      <c r="D2274" t="s">
        <v>9</v>
      </c>
      <c r="E2274">
        <v>652</v>
      </c>
      <c r="F2274" t="str">
        <f>HYPERLINK("https://www.google.com/maps/search/?api=1&amp;query=24.52691321,46.68525378", "View Map")</f>
        <v>View Map</v>
      </c>
    </row>
    <row r="2275" spans="1:6" x14ac:dyDescent="0.35">
      <c r="A2275" t="s">
        <v>5513</v>
      </c>
      <c r="B2275" t="s">
        <v>5514</v>
      </c>
      <c r="C2275" t="s">
        <v>1776</v>
      </c>
      <c r="D2275" t="s">
        <v>9</v>
      </c>
      <c r="E2275">
        <v>652</v>
      </c>
      <c r="F2275" t="str">
        <f>HYPERLINK("https://www.google.com/maps/search/?api=1&amp;query=24.63877396,46.73021688", "View Map")</f>
        <v>View Map</v>
      </c>
    </row>
    <row r="2276" spans="1:6" x14ac:dyDescent="0.35">
      <c r="A2276" t="s">
        <v>1798</v>
      </c>
      <c r="B2276" t="s">
        <v>5515</v>
      </c>
      <c r="C2276" t="s">
        <v>1843</v>
      </c>
      <c r="D2276" t="s">
        <v>9</v>
      </c>
      <c r="E2276">
        <v>652</v>
      </c>
      <c r="F2276" t="str">
        <f>HYPERLINK("https://www.google.com/maps/search/?api=1&amp;query=24.78433,46.57876", "View Map")</f>
        <v>View Map</v>
      </c>
    </row>
    <row r="2277" spans="1:6" x14ac:dyDescent="0.35">
      <c r="A2277" t="s">
        <v>5516</v>
      </c>
      <c r="B2277" t="s">
        <v>5517</v>
      </c>
      <c r="C2277" t="s">
        <v>1776</v>
      </c>
      <c r="D2277" t="s">
        <v>9</v>
      </c>
      <c r="E2277">
        <v>651</v>
      </c>
      <c r="F2277" t="str">
        <f>HYPERLINK("https://www.google.com/maps/search/?api=1&amp;query=24.5672239,46.85127791", "View Map")</f>
        <v>View Map</v>
      </c>
    </row>
    <row r="2278" spans="1:6" x14ac:dyDescent="0.35">
      <c r="A2278" t="s">
        <v>5518</v>
      </c>
      <c r="B2278" t="s">
        <v>5519</v>
      </c>
      <c r="C2278" t="s">
        <v>1776</v>
      </c>
      <c r="D2278" t="s">
        <v>9</v>
      </c>
      <c r="E2278">
        <v>651</v>
      </c>
      <c r="F2278" t="str">
        <f>HYPERLINK("https://www.google.com/maps/search/?api=1&amp;query=24.60219016,46.6008155", "View Map")</f>
        <v>View Map</v>
      </c>
    </row>
    <row r="2279" spans="1:6" x14ac:dyDescent="0.35">
      <c r="A2279" t="s">
        <v>3071</v>
      </c>
      <c r="B2279" t="s">
        <v>5520</v>
      </c>
      <c r="C2279" t="s">
        <v>1776</v>
      </c>
      <c r="D2279" t="s">
        <v>9</v>
      </c>
      <c r="E2279">
        <v>651</v>
      </c>
      <c r="F2279" t="str">
        <f>HYPERLINK("https://www.google.com/maps/search/?api=1&amp;query=24.74300702,46.8390575", "View Map")</f>
        <v>View Map</v>
      </c>
    </row>
    <row r="2280" spans="1:6" x14ac:dyDescent="0.35">
      <c r="A2280" t="s">
        <v>5203</v>
      </c>
      <c r="B2280" t="s">
        <v>5521</v>
      </c>
      <c r="C2280" t="s">
        <v>1776</v>
      </c>
      <c r="D2280" t="s">
        <v>9</v>
      </c>
      <c r="E2280">
        <v>651</v>
      </c>
      <c r="F2280" t="str">
        <f>HYPERLINK("https://www.google.com/maps/search/?api=1&amp;query=24.614585,46.74055496", "View Map")</f>
        <v>View Map</v>
      </c>
    </row>
    <row r="2281" spans="1:6" x14ac:dyDescent="0.35">
      <c r="A2281" t="s">
        <v>1947</v>
      </c>
      <c r="B2281" t="s">
        <v>5522</v>
      </c>
      <c r="C2281" t="s">
        <v>1776</v>
      </c>
      <c r="D2281" t="s">
        <v>9</v>
      </c>
      <c r="E2281">
        <v>651</v>
      </c>
      <c r="F2281" t="str">
        <f>HYPERLINK("https://www.google.com/maps/search/?api=1&amp;query=24.54548054,46.51972044", "View Map")</f>
        <v>View Map</v>
      </c>
    </row>
    <row r="2282" spans="1:6" x14ac:dyDescent="0.35">
      <c r="A2282" t="s">
        <v>1806</v>
      </c>
      <c r="B2282" t="s">
        <v>5523</v>
      </c>
      <c r="C2282" t="s">
        <v>1776</v>
      </c>
      <c r="D2282" t="s">
        <v>9</v>
      </c>
      <c r="E2282">
        <v>650</v>
      </c>
      <c r="F2282" t="str">
        <f>HYPERLINK("https://www.google.com/maps/search/?api=1&amp;query=24.83415546,46.79568329", "View Map")</f>
        <v>View Map</v>
      </c>
    </row>
    <row r="2283" spans="1:6" x14ac:dyDescent="0.35">
      <c r="A2283" t="s">
        <v>1798</v>
      </c>
      <c r="B2283" t="s">
        <v>5524</v>
      </c>
      <c r="C2283" t="s">
        <v>1776</v>
      </c>
      <c r="D2283" t="s">
        <v>9</v>
      </c>
      <c r="E2283">
        <v>650</v>
      </c>
      <c r="F2283" t="str">
        <f>HYPERLINK("https://www.google.com/maps/search/?api=1&amp;query=24.68471957,46.57645429", "View Map")</f>
        <v>View Map</v>
      </c>
    </row>
    <row r="2284" spans="1:6" x14ac:dyDescent="0.35">
      <c r="A2284" t="s">
        <v>5525</v>
      </c>
      <c r="B2284" t="s">
        <v>5526</v>
      </c>
      <c r="C2284" t="s">
        <v>1776</v>
      </c>
      <c r="D2284" t="s">
        <v>9</v>
      </c>
      <c r="E2284">
        <v>650</v>
      </c>
      <c r="F2284" t="str">
        <f>HYPERLINK("https://www.google.com/maps/search/?api=1&amp;query=24.7587323,46.65901776", "View Map")</f>
        <v>View Map</v>
      </c>
    </row>
    <row r="2285" spans="1:6" x14ac:dyDescent="0.35">
      <c r="A2285" t="s">
        <v>5527</v>
      </c>
      <c r="B2285" t="s">
        <v>5528</v>
      </c>
      <c r="C2285" t="s">
        <v>1776</v>
      </c>
      <c r="D2285" t="s">
        <v>9</v>
      </c>
      <c r="E2285">
        <v>650</v>
      </c>
      <c r="F2285" t="str">
        <f>HYPERLINK("https://www.google.com/maps/search/?api=1&amp;query=24.57711662,46.5853868", "View Map")</f>
        <v>View Map</v>
      </c>
    </row>
    <row r="2286" spans="1:6" x14ac:dyDescent="0.35">
      <c r="A2286" t="s">
        <v>1798</v>
      </c>
      <c r="B2286" t="s">
        <v>5529</v>
      </c>
      <c r="C2286" t="s">
        <v>1776</v>
      </c>
      <c r="D2286" t="s">
        <v>9</v>
      </c>
      <c r="E2286">
        <v>650</v>
      </c>
      <c r="F2286" t="str">
        <f>HYPERLINK("https://www.google.com/maps/search/?api=1&amp;query=24.84429942,46.82623565", "View Map")</f>
        <v>View Map</v>
      </c>
    </row>
    <row r="2287" spans="1:6" x14ac:dyDescent="0.35">
      <c r="A2287" t="s">
        <v>5530</v>
      </c>
      <c r="B2287" t="s">
        <v>5531</v>
      </c>
      <c r="C2287" t="s">
        <v>1776</v>
      </c>
      <c r="D2287" t="s">
        <v>9</v>
      </c>
      <c r="E2287">
        <v>650</v>
      </c>
      <c r="F2287" t="str">
        <f>HYPERLINK("https://www.google.com/maps/search/?api=1&amp;query=24.6174008,46.53902272", "View Map")</f>
        <v>View Map</v>
      </c>
    </row>
    <row r="2288" spans="1:6" x14ac:dyDescent="0.35">
      <c r="A2288" t="s">
        <v>1798</v>
      </c>
      <c r="B2288" t="s">
        <v>5532</v>
      </c>
      <c r="C2288" t="s">
        <v>1776</v>
      </c>
      <c r="D2288" t="s">
        <v>9</v>
      </c>
      <c r="E2288">
        <v>649</v>
      </c>
      <c r="F2288" t="str">
        <f>HYPERLINK("https://www.google.com/maps/search/?api=1&amp;query=24.79499814,46.61680963", "View Map")</f>
        <v>View Map</v>
      </c>
    </row>
    <row r="2289" spans="1:6" x14ac:dyDescent="0.35">
      <c r="A2289" t="s">
        <v>5533</v>
      </c>
      <c r="B2289" t="s">
        <v>5534</v>
      </c>
      <c r="C2289" t="s">
        <v>1776</v>
      </c>
      <c r="D2289" t="s">
        <v>9</v>
      </c>
      <c r="E2289">
        <v>649</v>
      </c>
      <c r="F2289" t="str">
        <f>HYPERLINK("https://www.google.com/maps/search/?api=1&amp;query=24.58890957,46.68414001", "View Map")</f>
        <v>View Map</v>
      </c>
    </row>
    <row r="2290" spans="1:6" x14ac:dyDescent="0.35">
      <c r="A2290" t="s">
        <v>5535</v>
      </c>
      <c r="B2290" t="s">
        <v>5536</v>
      </c>
      <c r="C2290" t="s">
        <v>1776</v>
      </c>
      <c r="D2290" t="s">
        <v>9</v>
      </c>
      <c r="E2290">
        <v>649</v>
      </c>
      <c r="F2290" t="str">
        <f>HYPERLINK("https://www.google.com/maps/search/?api=1&amp;query=24.6547944,46.67522804", "View Map")</f>
        <v>View Map</v>
      </c>
    </row>
    <row r="2291" spans="1:6" x14ac:dyDescent="0.35">
      <c r="A2291" t="s">
        <v>5537</v>
      </c>
      <c r="B2291" t="s">
        <v>5538</v>
      </c>
      <c r="C2291" t="s">
        <v>1776</v>
      </c>
      <c r="D2291" t="s">
        <v>9</v>
      </c>
      <c r="E2291">
        <v>648</v>
      </c>
      <c r="F2291" t="str">
        <f>HYPERLINK("https://www.google.com/maps/search/?api=1&amp;query=24.76282314,46.77643728", "View Map")</f>
        <v>View Map</v>
      </c>
    </row>
    <row r="2292" spans="1:6" x14ac:dyDescent="0.35">
      <c r="A2292" t="s">
        <v>1798</v>
      </c>
      <c r="B2292" t="s">
        <v>5539</v>
      </c>
      <c r="C2292" t="s">
        <v>1776</v>
      </c>
      <c r="D2292" t="s">
        <v>9</v>
      </c>
      <c r="E2292">
        <v>648</v>
      </c>
      <c r="F2292" t="str">
        <f>HYPERLINK("https://www.google.com/maps/search/?api=1&amp;query=24.67955636,46.57896969", "View Map")</f>
        <v>View Map</v>
      </c>
    </row>
    <row r="2293" spans="1:6" x14ac:dyDescent="0.35">
      <c r="A2293" t="s">
        <v>2738</v>
      </c>
      <c r="B2293" t="s">
        <v>5540</v>
      </c>
      <c r="C2293" t="s">
        <v>1776</v>
      </c>
      <c r="D2293" t="s">
        <v>9</v>
      </c>
      <c r="E2293">
        <v>648</v>
      </c>
      <c r="F2293" t="str">
        <f>HYPERLINK("https://www.google.com/maps/search/?api=1&amp;query=24.76677296,46.82896855", "View Map")</f>
        <v>View Map</v>
      </c>
    </row>
    <row r="2294" spans="1:6" x14ac:dyDescent="0.35">
      <c r="A2294" t="s">
        <v>1798</v>
      </c>
      <c r="B2294" t="s">
        <v>5541</v>
      </c>
      <c r="C2294" t="s">
        <v>1776</v>
      </c>
      <c r="D2294" t="s">
        <v>9</v>
      </c>
      <c r="E2294">
        <v>648</v>
      </c>
      <c r="F2294" t="str">
        <f>HYPERLINK("https://www.google.com/maps/search/?api=1&amp;query=24.74906,46.73131", "View Map")</f>
        <v>View Map</v>
      </c>
    </row>
    <row r="2295" spans="1:6" x14ac:dyDescent="0.35">
      <c r="A2295" t="s">
        <v>5542</v>
      </c>
      <c r="B2295" t="s">
        <v>5543</v>
      </c>
      <c r="C2295" t="s">
        <v>1776</v>
      </c>
      <c r="D2295" t="s">
        <v>9</v>
      </c>
      <c r="E2295">
        <v>648</v>
      </c>
      <c r="F2295" t="str">
        <f>HYPERLINK("https://www.google.com/maps/search/?api=1&amp;query=24.55900659,46.68057761", "View Map")</f>
        <v>View Map</v>
      </c>
    </row>
    <row r="2296" spans="1:6" x14ac:dyDescent="0.35">
      <c r="A2296" t="s">
        <v>5544</v>
      </c>
      <c r="B2296" t="s">
        <v>5545</v>
      </c>
      <c r="C2296" t="s">
        <v>1776</v>
      </c>
      <c r="D2296" t="s">
        <v>9</v>
      </c>
      <c r="E2296">
        <v>647</v>
      </c>
      <c r="F2296" t="str">
        <f>HYPERLINK("https://www.google.com/maps/search/?api=1&amp;query=24.72485281,46.81306006", "View Map")</f>
        <v>View Map</v>
      </c>
    </row>
    <row r="2297" spans="1:6" x14ac:dyDescent="0.35">
      <c r="A2297" t="s">
        <v>961</v>
      </c>
      <c r="B2297" t="s">
        <v>5546</v>
      </c>
      <c r="C2297" t="s">
        <v>1776</v>
      </c>
      <c r="D2297" t="s">
        <v>9</v>
      </c>
      <c r="E2297">
        <v>647</v>
      </c>
      <c r="F2297" t="str">
        <f>HYPERLINK("https://www.google.com/maps/search/?api=1&amp;query=24.81508246,46.88640375", "View Map")</f>
        <v>View Map</v>
      </c>
    </row>
    <row r="2298" spans="1:6" x14ac:dyDescent="0.35">
      <c r="A2298" t="s">
        <v>5547</v>
      </c>
      <c r="B2298" t="s">
        <v>5548</v>
      </c>
      <c r="C2298" t="s">
        <v>1776</v>
      </c>
      <c r="D2298" t="s">
        <v>9</v>
      </c>
      <c r="E2298">
        <v>647</v>
      </c>
      <c r="F2298" t="str">
        <f>HYPERLINK("https://www.google.com/maps/search/?api=1&amp;query=24.78943627,46.74272561", "View Map")</f>
        <v>View Map</v>
      </c>
    </row>
    <row r="2299" spans="1:6" x14ac:dyDescent="0.35">
      <c r="A2299" t="s">
        <v>5549</v>
      </c>
      <c r="B2299" t="s">
        <v>5550</v>
      </c>
      <c r="C2299" t="s">
        <v>1776</v>
      </c>
      <c r="D2299" t="s">
        <v>9</v>
      </c>
      <c r="E2299">
        <v>647</v>
      </c>
      <c r="F2299" t="str">
        <f>HYPERLINK("https://www.google.com/maps/search/?api=1&amp;query=24.7808455,46.76503782", "View Map")</f>
        <v>View Map</v>
      </c>
    </row>
    <row r="2300" spans="1:6" x14ac:dyDescent="0.35">
      <c r="A2300" t="s">
        <v>5551</v>
      </c>
      <c r="B2300" t="s">
        <v>5552</v>
      </c>
      <c r="C2300" t="s">
        <v>1776</v>
      </c>
      <c r="D2300" t="s">
        <v>9</v>
      </c>
      <c r="E2300">
        <v>647</v>
      </c>
      <c r="F2300" t="str">
        <f>HYPERLINK("https://www.google.com/maps/search/?api=1&amp;query=24.57453587,46.58848251", "View Map")</f>
        <v>View Map</v>
      </c>
    </row>
    <row r="2301" spans="1:6" x14ac:dyDescent="0.35">
      <c r="A2301" t="s">
        <v>5553</v>
      </c>
      <c r="B2301" t="s">
        <v>5554</v>
      </c>
      <c r="C2301" t="s">
        <v>1776</v>
      </c>
      <c r="D2301" t="s">
        <v>9</v>
      </c>
      <c r="E2301">
        <v>647</v>
      </c>
      <c r="F2301" t="str">
        <f>HYPERLINK("https://www.google.com/maps/search/?api=1&amp;query=24.81256081,46.75290913", "View Map")</f>
        <v>View Map</v>
      </c>
    </row>
    <row r="2302" spans="1:6" x14ac:dyDescent="0.35">
      <c r="A2302" t="s">
        <v>5555</v>
      </c>
      <c r="B2302" t="s">
        <v>5556</v>
      </c>
      <c r="C2302" t="s">
        <v>1776</v>
      </c>
      <c r="D2302" t="s">
        <v>9</v>
      </c>
      <c r="E2302">
        <v>646</v>
      </c>
      <c r="F2302" t="str">
        <f>HYPERLINK("https://www.google.com/maps/search/?api=1&amp;query=24.59614393,46.67438373", "View Map")</f>
        <v>View Map</v>
      </c>
    </row>
    <row r="2303" spans="1:6" x14ac:dyDescent="0.35">
      <c r="A2303" t="s">
        <v>5557</v>
      </c>
      <c r="B2303" t="s">
        <v>5558</v>
      </c>
      <c r="C2303" t="s">
        <v>1776</v>
      </c>
      <c r="D2303" t="s">
        <v>9</v>
      </c>
      <c r="E2303">
        <v>645</v>
      </c>
      <c r="F2303" t="str">
        <f>HYPERLINK("https://www.google.com/maps/search/?api=1&amp;query=24.56640818,46.78645152", "View Map")</f>
        <v>View Map</v>
      </c>
    </row>
    <row r="2304" spans="1:6" x14ac:dyDescent="0.35">
      <c r="A2304" t="s">
        <v>5559</v>
      </c>
      <c r="B2304" t="s">
        <v>5560</v>
      </c>
      <c r="C2304" t="s">
        <v>1776</v>
      </c>
      <c r="D2304" t="s">
        <v>9</v>
      </c>
      <c r="E2304">
        <v>645</v>
      </c>
      <c r="F2304" t="str">
        <f>HYPERLINK("https://www.google.com/maps/search/?api=1&amp;query=24.79670332,46.6409025", "View Map")</f>
        <v>View Map</v>
      </c>
    </row>
    <row r="2305" spans="1:6" x14ac:dyDescent="0.35">
      <c r="A2305" t="s">
        <v>5561</v>
      </c>
      <c r="B2305" t="s">
        <v>5562</v>
      </c>
      <c r="C2305" t="s">
        <v>1776</v>
      </c>
      <c r="D2305" t="s">
        <v>9</v>
      </c>
      <c r="E2305">
        <v>644</v>
      </c>
      <c r="F2305" t="str">
        <f>HYPERLINK("https://www.google.com/maps/search/?api=1&amp;query=24.75081,46.6834", "View Map")</f>
        <v>View Map</v>
      </c>
    </row>
    <row r="2306" spans="1:6" x14ac:dyDescent="0.35">
      <c r="A2306" t="s">
        <v>5563</v>
      </c>
      <c r="B2306" t="s">
        <v>5564</v>
      </c>
      <c r="C2306" t="s">
        <v>1776</v>
      </c>
      <c r="D2306" t="s">
        <v>9</v>
      </c>
      <c r="E2306">
        <v>644</v>
      </c>
      <c r="F2306" t="str">
        <f>HYPERLINK("https://www.google.com/maps/search/?api=1&amp;query=24.55528807,46.71076679", "View Map")</f>
        <v>View Map</v>
      </c>
    </row>
    <row r="2307" spans="1:6" x14ac:dyDescent="0.35">
      <c r="A2307" t="s">
        <v>5565</v>
      </c>
      <c r="B2307" t="s">
        <v>5566</v>
      </c>
      <c r="C2307" t="s">
        <v>1776</v>
      </c>
      <c r="D2307" t="s">
        <v>9</v>
      </c>
      <c r="E2307">
        <v>643</v>
      </c>
      <c r="F2307" t="str">
        <f>HYPERLINK("https://www.google.com/maps/search/?api=1&amp;query=24.71532518,46.83074209", "View Map")</f>
        <v>View Map</v>
      </c>
    </row>
    <row r="2308" spans="1:6" x14ac:dyDescent="0.35">
      <c r="A2308" t="s">
        <v>5567</v>
      </c>
      <c r="B2308" t="s">
        <v>5568</v>
      </c>
      <c r="C2308" t="s">
        <v>1776</v>
      </c>
      <c r="D2308" t="s">
        <v>9</v>
      </c>
      <c r="E2308">
        <v>643</v>
      </c>
      <c r="F2308" t="str">
        <f>HYPERLINK("https://www.google.com/maps/search/?api=1&amp;query=24.53681225,46.70143153", "View Map")</f>
        <v>View Map</v>
      </c>
    </row>
    <row r="2309" spans="1:6" x14ac:dyDescent="0.35">
      <c r="A2309" t="s">
        <v>1806</v>
      </c>
      <c r="B2309" t="s">
        <v>5569</v>
      </c>
      <c r="C2309" t="s">
        <v>1776</v>
      </c>
      <c r="D2309" t="s">
        <v>9</v>
      </c>
      <c r="E2309">
        <v>643</v>
      </c>
      <c r="F2309" t="str">
        <f>HYPERLINK("https://www.google.com/maps/search/?api=1&amp;query=24.80479585,46.79033581", "View Map")</f>
        <v>View Map</v>
      </c>
    </row>
    <row r="2310" spans="1:6" x14ac:dyDescent="0.35">
      <c r="A2310" t="s">
        <v>5570</v>
      </c>
      <c r="B2310" t="s">
        <v>5571</v>
      </c>
      <c r="C2310" t="s">
        <v>1776</v>
      </c>
      <c r="D2310" t="s">
        <v>9</v>
      </c>
      <c r="E2310">
        <v>643</v>
      </c>
      <c r="F2310" t="str">
        <f>HYPERLINK("https://www.google.com/maps/search/?api=1&amp;query=24.81758482,46.74703221", "View Map")</f>
        <v>View Map</v>
      </c>
    </row>
    <row r="2311" spans="1:6" x14ac:dyDescent="0.35">
      <c r="A2311" t="s">
        <v>5572</v>
      </c>
      <c r="B2311" t="s">
        <v>5573</v>
      </c>
      <c r="C2311" t="s">
        <v>1776</v>
      </c>
      <c r="D2311" t="s">
        <v>9</v>
      </c>
      <c r="E2311">
        <v>643</v>
      </c>
      <c r="F2311" t="str">
        <f>HYPERLINK("https://www.google.com/maps/search/?api=1&amp;query=24.79424058,46.64743725", "View Map")</f>
        <v>View Map</v>
      </c>
    </row>
    <row r="2312" spans="1:6" x14ac:dyDescent="0.35">
      <c r="A2312" t="s">
        <v>1798</v>
      </c>
      <c r="B2312" t="s">
        <v>5574</v>
      </c>
      <c r="C2312" t="s">
        <v>1776</v>
      </c>
      <c r="D2312" t="s">
        <v>9</v>
      </c>
      <c r="E2312">
        <v>642</v>
      </c>
      <c r="F2312" t="str">
        <f>HYPERLINK("https://www.google.com/maps/search/?api=1&amp;query=24.68883198,46.60036037", "View Map")</f>
        <v>View Map</v>
      </c>
    </row>
    <row r="2313" spans="1:6" x14ac:dyDescent="0.35">
      <c r="A2313" t="s">
        <v>5575</v>
      </c>
      <c r="B2313" t="s">
        <v>5576</v>
      </c>
      <c r="C2313" t="s">
        <v>1776</v>
      </c>
      <c r="D2313" t="s">
        <v>9</v>
      </c>
      <c r="E2313">
        <v>642</v>
      </c>
      <c r="F2313" t="str">
        <f>HYPERLINK("https://www.google.com/maps/search/?api=1&amp;query=24.71843199,46.85317115", "View Map")</f>
        <v>View Map</v>
      </c>
    </row>
    <row r="2314" spans="1:6" x14ac:dyDescent="0.35">
      <c r="A2314" t="s">
        <v>5015</v>
      </c>
      <c r="B2314" t="s">
        <v>5577</v>
      </c>
      <c r="C2314" t="s">
        <v>1776</v>
      </c>
      <c r="D2314" t="s">
        <v>9</v>
      </c>
      <c r="E2314">
        <v>642</v>
      </c>
      <c r="F2314" t="str">
        <f>HYPERLINK("https://www.google.com/maps/search/?api=1&amp;query=24.8254419,46.78413116", "View Map")</f>
        <v>View Map</v>
      </c>
    </row>
    <row r="2315" spans="1:6" x14ac:dyDescent="0.35">
      <c r="A2315" t="s">
        <v>5578</v>
      </c>
      <c r="B2315" t="s">
        <v>5579</v>
      </c>
      <c r="C2315" t="s">
        <v>1776</v>
      </c>
      <c r="D2315" t="s">
        <v>9</v>
      </c>
      <c r="E2315">
        <v>641</v>
      </c>
      <c r="F2315" t="str">
        <f>HYPERLINK("https://www.google.com/maps/search/?api=1&amp;query=24.68219712,46.70444767", "View Map")</f>
        <v>View Map</v>
      </c>
    </row>
    <row r="2316" spans="1:6" x14ac:dyDescent="0.35">
      <c r="A2316" t="s">
        <v>1798</v>
      </c>
      <c r="B2316" t="s">
        <v>5580</v>
      </c>
      <c r="C2316" t="s">
        <v>1776</v>
      </c>
      <c r="D2316" t="s">
        <v>9</v>
      </c>
      <c r="E2316">
        <v>641</v>
      </c>
      <c r="F2316" t="str">
        <f>HYPERLINK("https://www.google.com/maps/search/?api=1&amp;query=24.60640589,46.52185655", "View Map")</f>
        <v>View Map</v>
      </c>
    </row>
    <row r="2317" spans="1:6" x14ac:dyDescent="0.35">
      <c r="A2317" t="s">
        <v>2711</v>
      </c>
      <c r="B2317" t="s">
        <v>5581</v>
      </c>
      <c r="C2317" t="s">
        <v>1776</v>
      </c>
      <c r="D2317" t="s">
        <v>9</v>
      </c>
      <c r="E2317">
        <v>641</v>
      </c>
      <c r="F2317" t="str">
        <f>HYPERLINK("https://www.google.com/maps/search/?api=1&amp;query=24.74493399,46.77377883", "View Map")</f>
        <v>View Map</v>
      </c>
    </row>
    <row r="2318" spans="1:6" x14ac:dyDescent="0.35">
      <c r="A2318" t="s">
        <v>5582</v>
      </c>
      <c r="B2318" t="s">
        <v>5583</v>
      </c>
      <c r="C2318" t="s">
        <v>1776</v>
      </c>
      <c r="D2318" t="s">
        <v>9</v>
      </c>
      <c r="E2318">
        <v>641</v>
      </c>
      <c r="F2318" t="str">
        <f>HYPERLINK("https://www.google.com/maps/search/?api=1&amp;query=24.7060772,46.85162253", "View Map")</f>
        <v>View Map</v>
      </c>
    </row>
    <row r="2319" spans="1:6" x14ac:dyDescent="0.35">
      <c r="A2319" t="s">
        <v>1947</v>
      </c>
      <c r="B2319" t="s">
        <v>5584</v>
      </c>
      <c r="C2319" t="s">
        <v>1776</v>
      </c>
      <c r="D2319" t="s">
        <v>9</v>
      </c>
      <c r="E2319">
        <v>641</v>
      </c>
      <c r="F2319" t="str">
        <f>HYPERLINK("https://www.google.com/maps/search/?api=1&amp;query=24.56556101,46.52619138", "View Map")</f>
        <v>View Map</v>
      </c>
    </row>
    <row r="2320" spans="1:6" x14ac:dyDescent="0.35">
      <c r="A2320" t="s">
        <v>5585</v>
      </c>
      <c r="B2320" t="s">
        <v>5586</v>
      </c>
      <c r="C2320" t="s">
        <v>1776</v>
      </c>
      <c r="D2320" t="s">
        <v>9</v>
      </c>
      <c r="E2320">
        <v>641</v>
      </c>
      <c r="F2320" t="str">
        <f>HYPERLINK("https://www.google.com/maps/search/?api=1&amp;query=24.57801161,46.56510858", "View Map")</f>
        <v>View Map</v>
      </c>
    </row>
    <row r="2321" spans="1:6" x14ac:dyDescent="0.35">
      <c r="A2321" t="s">
        <v>5256</v>
      </c>
      <c r="B2321" t="s">
        <v>5587</v>
      </c>
      <c r="C2321" t="s">
        <v>1776</v>
      </c>
      <c r="D2321" t="s">
        <v>9</v>
      </c>
      <c r="E2321">
        <v>640</v>
      </c>
      <c r="F2321" t="str">
        <f>HYPERLINK("https://www.google.com/maps/search/?api=1&amp;query=24.5483376,46.70362731", "View Map")</f>
        <v>View Map</v>
      </c>
    </row>
    <row r="2322" spans="1:6" x14ac:dyDescent="0.35">
      <c r="A2322" t="s">
        <v>1798</v>
      </c>
      <c r="B2322" t="s">
        <v>5588</v>
      </c>
      <c r="C2322" t="s">
        <v>1776</v>
      </c>
      <c r="D2322" t="s">
        <v>9</v>
      </c>
      <c r="E2322">
        <v>640</v>
      </c>
      <c r="F2322" t="str">
        <f>HYPERLINK("https://www.google.com/maps/search/?api=1&amp;query=24.77103029,46.65556605", "View Map")</f>
        <v>View Map</v>
      </c>
    </row>
    <row r="2323" spans="1:6" x14ac:dyDescent="0.35">
      <c r="A2323" t="s">
        <v>1794</v>
      </c>
      <c r="B2323" t="s">
        <v>5589</v>
      </c>
      <c r="C2323" t="s">
        <v>1776</v>
      </c>
      <c r="D2323" t="s">
        <v>9</v>
      </c>
      <c r="E2323">
        <v>640</v>
      </c>
      <c r="F2323" t="str">
        <f>HYPERLINK("https://www.google.com/maps/search/?api=1&amp;query=24.76525771,46.68196386", "View Map")</f>
        <v>View Map</v>
      </c>
    </row>
    <row r="2324" spans="1:6" x14ac:dyDescent="0.35">
      <c r="A2324" t="s">
        <v>2275</v>
      </c>
      <c r="B2324" t="s">
        <v>5590</v>
      </c>
      <c r="C2324" t="s">
        <v>1776</v>
      </c>
      <c r="D2324" t="s">
        <v>9</v>
      </c>
      <c r="E2324">
        <v>640</v>
      </c>
      <c r="F2324" t="str">
        <f>HYPERLINK("https://www.google.com/maps/search/?api=1&amp;query=24.7825397,46.61671202", "View Map")</f>
        <v>View Map</v>
      </c>
    </row>
    <row r="2325" spans="1:6" x14ac:dyDescent="0.35">
      <c r="A2325" t="s">
        <v>1947</v>
      </c>
      <c r="B2325" t="s">
        <v>5591</v>
      </c>
      <c r="C2325" t="s">
        <v>1776</v>
      </c>
      <c r="D2325" t="s">
        <v>9</v>
      </c>
      <c r="E2325">
        <v>640</v>
      </c>
      <c r="F2325" t="str">
        <f>HYPERLINK("https://www.google.com/maps/search/?api=1&amp;query=24.51113535,46.68455253", "View Map")</f>
        <v>View Map</v>
      </c>
    </row>
    <row r="2326" spans="1:6" x14ac:dyDescent="0.35">
      <c r="A2326" t="s">
        <v>5592</v>
      </c>
      <c r="B2326" t="s">
        <v>5593</v>
      </c>
      <c r="C2326" t="s">
        <v>1776</v>
      </c>
      <c r="D2326" t="s">
        <v>9</v>
      </c>
      <c r="E2326">
        <v>639</v>
      </c>
      <c r="F2326" t="str">
        <f>HYPERLINK("https://www.google.com/maps/search/?api=1&amp;query=24.55712394,46.77317016", "View Map")</f>
        <v>View Map</v>
      </c>
    </row>
    <row r="2327" spans="1:6" x14ac:dyDescent="0.35">
      <c r="A2327" t="s">
        <v>5594</v>
      </c>
      <c r="B2327" t="s">
        <v>5595</v>
      </c>
      <c r="C2327" t="s">
        <v>1776</v>
      </c>
      <c r="D2327" t="s">
        <v>9</v>
      </c>
      <c r="E2327">
        <v>639</v>
      </c>
      <c r="F2327" t="str">
        <f>HYPERLINK("https://www.google.com/maps/search/?api=1&amp;query=24.76033643,46.75424267", "View Map")</f>
        <v>View Map</v>
      </c>
    </row>
    <row r="2328" spans="1:6" x14ac:dyDescent="0.35">
      <c r="A2328" t="s">
        <v>4620</v>
      </c>
      <c r="B2328" t="s">
        <v>5596</v>
      </c>
      <c r="C2328" t="s">
        <v>1776</v>
      </c>
      <c r="D2328" t="s">
        <v>9</v>
      </c>
      <c r="E2328">
        <v>639</v>
      </c>
      <c r="F2328" t="str">
        <f>HYPERLINK("https://www.google.com/maps/search/?api=1&amp;query=24.67283897,46.78712445", "View Map")</f>
        <v>View Map</v>
      </c>
    </row>
    <row r="2329" spans="1:6" x14ac:dyDescent="0.35">
      <c r="A2329" t="s">
        <v>2124</v>
      </c>
      <c r="B2329" t="s">
        <v>5597</v>
      </c>
      <c r="C2329" t="s">
        <v>1776</v>
      </c>
      <c r="D2329" t="s">
        <v>9</v>
      </c>
      <c r="E2329">
        <v>639</v>
      </c>
      <c r="F2329" t="str">
        <f>HYPERLINK("https://www.google.com/maps/search/?api=1&amp;query=24.75415456,46.71229993", "View Map")</f>
        <v>View Map</v>
      </c>
    </row>
    <row r="2330" spans="1:6" x14ac:dyDescent="0.35">
      <c r="A2330" t="s">
        <v>1947</v>
      </c>
      <c r="B2330" t="s">
        <v>5598</v>
      </c>
      <c r="C2330" t="s">
        <v>1776</v>
      </c>
      <c r="D2330" t="s">
        <v>9</v>
      </c>
      <c r="E2330">
        <v>639</v>
      </c>
      <c r="F2330" t="str">
        <f>HYPERLINK("https://www.google.com/maps/search/?api=1&amp;query=24.5056,46.7317", "View Map")</f>
        <v>View Map</v>
      </c>
    </row>
    <row r="2331" spans="1:6" x14ac:dyDescent="0.35">
      <c r="A2331" t="s">
        <v>1806</v>
      </c>
      <c r="B2331" t="s">
        <v>5599</v>
      </c>
      <c r="C2331" t="s">
        <v>1776</v>
      </c>
      <c r="D2331" t="s">
        <v>9</v>
      </c>
      <c r="E2331">
        <v>638</v>
      </c>
      <c r="F2331" t="str">
        <f>HYPERLINK("https://www.google.com/maps/search/?api=1&amp;query=24.75113039,46.76851452", "View Map")</f>
        <v>View Map</v>
      </c>
    </row>
    <row r="2332" spans="1:6" x14ac:dyDescent="0.35">
      <c r="A2332" t="s">
        <v>1947</v>
      </c>
      <c r="B2332" t="s">
        <v>5600</v>
      </c>
      <c r="C2332" t="s">
        <v>1776</v>
      </c>
      <c r="D2332" t="s">
        <v>9</v>
      </c>
      <c r="E2332">
        <v>638</v>
      </c>
      <c r="F2332" t="str">
        <f>HYPERLINK("https://www.google.com/maps/search/?api=1&amp;query=24.51399553,46.67858352", "View Map")</f>
        <v>View Map</v>
      </c>
    </row>
    <row r="2333" spans="1:6" x14ac:dyDescent="0.35">
      <c r="A2333" t="s">
        <v>5601</v>
      </c>
      <c r="B2333" t="s">
        <v>5602</v>
      </c>
      <c r="C2333" t="s">
        <v>1776</v>
      </c>
      <c r="D2333" t="s">
        <v>9</v>
      </c>
      <c r="E2333">
        <v>638</v>
      </c>
      <c r="F2333" t="str">
        <f>HYPERLINK("https://www.google.com/maps/search/?api=1&amp;query=24.71392961,46.66438471", "View Map")</f>
        <v>View Map</v>
      </c>
    </row>
    <row r="2334" spans="1:6" x14ac:dyDescent="0.35">
      <c r="A2334" t="s">
        <v>1798</v>
      </c>
      <c r="B2334" t="s">
        <v>5603</v>
      </c>
      <c r="C2334" t="s">
        <v>1776</v>
      </c>
      <c r="D2334" t="s">
        <v>9</v>
      </c>
      <c r="E2334">
        <v>638</v>
      </c>
      <c r="F2334" t="str">
        <f>HYPERLINK("https://www.google.com/maps/search/?api=1&amp;query=24.87046489,46.64310785", "View Map")</f>
        <v>View Map</v>
      </c>
    </row>
    <row r="2335" spans="1:6" x14ac:dyDescent="0.35">
      <c r="A2335" t="s">
        <v>5604</v>
      </c>
      <c r="B2335" t="s">
        <v>5605</v>
      </c>
      <c r="C2335" t="s">
        <v>1776</v>
      </c>
      <c r="D2335" t="s">
        <v>9</v>
      </c>
      <c r="E2335">
        <v>638</v>
      </c>
      <c r="F2335" t="str">
        <f>HYPERLINK("https://www.google.com/maps/search/?api=1&amp;query=24.63134889,46.70200098", "View Map")</f>
        <v>View Map</v>
      </c>
    </row>
    <row r="2336" spans="1:6" x14ac:dyDescent="0.35">
      <c r="A2336" t="s">
        <v>1885</v>
      </c>
      <c r="B2336" t="s">
        <v>5606</v>
      </c>
      <c r="C2336" t="s">
        <v>1776</v>
      </c>
      <c r="D2336" t="s">
        <v>9</v>
      </c>
      <c r="E2336">
        <v>638</v>
      </c>
      <c r="F2336" t="str">
        <f>HYPERLINK("https://www.google.com/maps/search/?api=1&amp;query=24.77350353,46.73638469", "View Map")</f>
        <v>View Map</v>
      </c>
    </row>
    <row r="2337" spans="1:6" x14ac:dyDescent="0.35">
      <c r="A2337" t="s">
        <v>5607</v>
      </c>
      <c r="B2337" t="s">
        <v>5608</v>
      </c>
      <c r="C2337" t="s">
        <v>1776</v>
      </c>
      <c r="D2337" t="s">
        <v>9</v>
      </c>
      <c r="E2337">
        <v>637</v>
      </c>
      <c r="F2337" t="str">
        <f>HYPERLINK("https://www.google.com/maps/search/?api=1&amp;query=24.81488526,46.76960226", "View Map")</f>
        <v>View Map</v>
      </c>
    </row>
    <row r="2338" spans="1:6" x14ac:dyDescent="0.35">
      <c r="A2338" t="s">
        <v>1798</v>
      </c>
      <c r="B2338" t="s">
        <v>5609</v>
      </c>
      <c r="C2338" t="s">
        <v>1776</v>
      </c>
      <c r="D2338" t="s">
        <v>9</v>
      </c>
      <c r="E2338">
        <v>636</v>
      </c>
      <c r="F2338" t="str">
        <f>HYPERLINK("https://www.google.com/maps/search/?api=1&amp;query=24.83623824,46.76173705", "View Map")</f>
        <v>View Map</v>
      </c>
    </row>
    <row r="2339" spans="1:6" x14ac:dyDescent="0.35">
      <c r="A2339" t="s">
        <v>5610</v>
      </c>
      <c r="B2339" t="s">
        <v>5611</v>
      </c>
      <c r="C2339" t="s">
        <v>1776</v>
      </c>
      <c r="D2339" t="s">
        <v>9</v>
      </c>
      <c r="E2339">
        <v>636</v>
      </c>
      <c r="F2339" t="str">
        <f>HYPERLINK("https://www.google.com/maps/search/?api=1&amp;query=24.61291787,46.64048646", "View Map")</f>
        <v>View Map</v>
      </c>
    </row>
    <row r="2340" spans="1:6" x14ac:dyDescent="0.35">
      <c r="A2340" t="s">
        <v>5612</v>
      </c>
      <c r="B2340" t="s">
        <v>5613</v>
      </c>
      <c r="C2340" t="s">
        <v>1776</v>
      </c>
      <c r="D2340" t="s">
        <v>9</v>
      </c>
      <c r="E2340">
        <v>636</v>
      </c>
      <c r="F2340" t="str">
        <f>HYPERLINK("https://www.google.com/maps/search/?api=1&amp;query=24.58096773,46.68390103", "View Map")</f>
        <v>View Map</v>
      </c>
    </row>
    <row r="2341" spans="1:6" x14ac:dyDescent="0.35">
      <c r="A2341" t="s">
        <v>5614</v>
      </c>
      <c r="B2341" t="s">
        <v>5615</v>
      </c>
      <c r="C2341" t="s">
        <v>1776</v>
      </c>
      <c r="D2341" t="s">
        <v>9</v>
      </c>
      <c r="E2341">
        <v>635</v>
      </c>
      <c r="F2341" t="str">
        <f>HYPERLINK("https://www.google.com/maps/search/?api=1&amp;query=24.7866427,46.70177871", "View Map")</f>
        <v>View Map</v>
      </c>
    </row>
    <row r="2342" spans="1:6" x14ac:dyDescent="0.35">
      <c r="A2342" t="s">
        <v>1995</v>
      </c>
      <c r="B2342" t="s">
        <v>5616</v>
      </c>
      <c r="C2342" t="s">
        <v>1776</v>
      </c>
      <c r="D2342" t="s">
        <v>9</v>
      </c>
      <c r="E2342">
        <v>635</v>
      </c>
      <c r="F2342" t="str">
        <f>HYPERLINK("https://www.google.com/maps/search/?api=1&amp;query=24.72051339,46.79714379", "View Map")</f>
        <v>View Map</v>
      </c>
    </row>
    <row r="2343" spans="1:6" x14ac:dyDescent="0.35">
      <c r="A2343" t="s">
        <v>5617</v>
      </c>
      <c r="B2343" t="s">
        <v>5618</v>
      </c>
      <c r="C2343" t="s">
        <v>1776</v>
      </c>
      <c r="D2343" t="s">
        <v>9</v>
      </c>
      <c r="E2343">
        <v>635</v>
      </c>
      <c r="F2343" t="str">
        <f>HYPERLINK("https://www.google.com/maps/search/?api=1&amp;query=24.76496575,46.78210153", "View Map")</f>
        <v>View Map</v>
      </c>
    </row>
    <row r="2344" spans="1:6" x14ac:dyDescent="0.35">
      <c r="A2344" t="s">
        <v>5619</v>
      </c>
      <c r="B2344" t="s">
        <v>5620</v>
      </c>
      <c r="C2344" t="s">
        <v>1776</v>
      </c>
      <c r="D2344" t="s">
        <v>9</v>
      </c>
      <c r="E2344">
        <v>635</v>
      </c>
      <c r="F2344" t="str">
        <f>HYPERLINK("https://www.google.com/maps/search/?api=1&amp;query=24.64328185,46.57308951", "View Map")</f>
        <v>View Map</v>
      </c>
    </row>
    <row r="2345" spans="1:6" x14ac:dyDescent="0.35">
      <c r="A2345" t="s">
        <v>2128</v>
      </c>
      <c r="B2345" t="s">
        <v>5621</v>
      </c>
      <c r="C2345" t="s">
        <v>1776</v>
      </c>
      <c r="D2345" t="s">
        <v>9</v>
      </c>
      <c r="E2345">
        <v>635</v>
      </c>
      <c r="F2345" t="str">
        <f>HYPERLINK("https://www.google.com/maps/search/?api=1&amp;query=24.69333033,46.83849449", "View Map")</f>
        <v>View Map</v>
      </c>
    </row>
    <row r="2346" spans="1:6" x14ac:dyDescent="0.35">
      <c r="A2346" t="s">
        <v>5622</v>
      </c>
      <c r="B2346" t="s">
        <v>5623</v>
      </c>
      <c r="C2346" t="s">
        <v>1776</v>
      </c>
      <c r="D2346" t="s">
        <v>9</v>
      </c>
      <c r="E2346">
        <v>635</v>
      </c>
      <c r="F2346" t="str">
        <f>HYPERLINK("https://www.google.com/maps/search/?api=1&amp;query=24.72908518,46.66035017", "View Map")</f>
        <v>View Map</v>
      </c>
    </row>
    <row r="2347" spans="1:6" x14ac:dyDescent="0.35">
      <c r="A2347" t="s">
        <v>5624</v>
      </c>
      <c r="B2347" t="s">
        <v>5625</v>
      </c>
      <c r="C2347" t="s">
        <v>1776</v>
      </c>
      <c r="D2347" t="s">
        <v>9</v>
      </c>
      <c r="E2347">
        <v>634</v>
      </c>
      <c r="F2347" t="str">
        <f>HYPERLINK("https://www.google.com/maps/search/?api=1&amp;query=24.78389585,46.81399146", "View Map")</f>
        <v>View Map</v>
      </c>
    </row>
    <row r="2348" spans="1:6" x14ac:dyDescent="0.35">
      <c r="A2348" t="s">
        <v>2178</v>
      </c>
      <c r="B2348" t="s">
        <v>5626</v>
      </c>
      <c r="C2348" t="s">
        <v>1776</v>
      </c>
      <c r="D2348" t="s">
        <v>9</v>
      </c>
      <c r="E2348">
        <v>634</v>
      </c>
      <c r="F2348" t="str">
        <f>HYPERLINK("https://www.google.com/maps/search/?api=1&amp;query=24.8269,46.6361", "View Map")</f>
        <v>View Map</v>
      </c>
    </row>
    <row r="2349" spans="1:6" x14ac:dyDescent="0.35">
      <c r="A2349" t="s">
        <v>1798</v>
      </c>
      <c r="B2349" t="s">
        <v>5627</v>
      </c>
      <c r="C2349" t="s">
        <v>1776</v>
      </c>
      <c r="D2349" t="s">
        <v>9</v>
      </c>
      <c r="E2349">
        <v>634</v>
      </c>
      <c r="F2349" t="str">
        <f>HYPERLINK("https://www.google.com/maps/search/?api=1&amp;query=24.82599,46.58453", "View Map")</f>
        <v>View Map</v>
      </c>
    </row>
    <row r="2350" spans="1:6" x14ac:dyDescent="0.35">
      <c r="A2350" t="s">
        <v>5628</v>
      </c>
      <c r="B2350" t="s">
        <v>5629</v>
      </c>
      <c r="C2350" t="s">
        <v>1776</v>
      </c>
      <c r="D2350" t="s">
        <v>9</v>
      </c>
      <c r="E2350">
        <v>634</v>
      </c>
      <c r="F2350" t="str">
        <f>HYPERLINK("https://www.google.com/maps/search/?api=1&amp;query=24.64455057,46.6869071", "View Map")</f>
        <v>View Map</v>
      </c>
    </row>
    <row r="2351" spans="1:6" x14ac:dyDescent="0.35">
      <c r="A2351" t="s">
        <v>5630</v>
      </c>
      <c r="B2351" t="s">
        <v>5631</v>
      </c>
      <c r="C2351" t="s">
        <v>1776</v>
      </c>
      <c r="D2351" t="s">
        <v>9</v>
      </c>
      <c r="E2351">
        <v>633</v>
      </c>
      <c r="F2351" t="str">
        <f>HYPERLINK("https://www.google.com/maps/search/?api=1&amp;query=24.58198291,46.59144438", "View Map")</f>
        <v>View Map</v>
      </c>
    </row>
    <row r="2352" spans="1:6" x14ac:dyDescent="0.35">
      <c r="A2352" t="s">
        <v>5632</v>
      </c>
      <c r="B2352" t="s">
        <v>5633</v>
      </c>
      <c r="C2352" t="s">
        <v>1776</v>
      </c>
      <c r="D2352" t="s">
        <v>9</v>
      </c>
      <c r="E2352">
        <v>633</v>
      </c>
      <c r="F2352" t="str">
        <f>HYPERLINK("https://www.google.com/maps/search/?api=1&amp;query=24.80943836,46.64490465", "View Map")</f>
        <v>View Map</v>
      </c>
    </row>
    <row r="2353" spans="1:6" x14ac:dyDescent="0.35">
      <c r="A2353" t="s">
        <v>5634</v>
      </c>
      <c r="B2353" t="s">
        <v>5635</v>
      </c>
      <c r="C2353" t="s">
        <v>1776</v>
      </c>
      <c r="D2353" t="s">
        <v>9</v>
      </c>
      <c r="E2353">
        <v>633</v>
      </c>
      <c r="F2353" t="str">
        <f>HYPERLINK("https://www.google.com/maps/search/?api=1&amp;query=24.79740407,46.80360029", "View Map")</f>
        <v>View Map</v>
      </c>
    </row>
    <row r="2354" spans="1:6" x14ac:dyDescent="0.35">
      <c r="A2354" t="s">
        <v>5636</v>
      </c>
      <c r="B2354" t="s">
        <v>5637</v>
      </c>
      <c r="C2354" t="s">
        <v>1776</v>
      </c>
      <c r="D2354" t="s">
        <v>9</v>
      </c>
      <c r="E2354">
        <v>633</v>
      </c>
      <c r="F2354" t="str">
        <f>HYPERLINK("https://www.google.com/maps/search/?api=1&amp;query=24.7942456,46.89612415", "View Map")</f>
        <v>View Map</v>
      </c>
    </row>
    <row r="2355" spans="1:6" x14ac:dyDescent="0.35">
      <c r="A2355" t="s">
        <v>5638</v>
      </c>
      <c r="B2355" t="s">
        <v>5639</v>
      </c>
      <c r="C2355" t="s">
        <v>1776</v>
      </c>
      <c r="D2355" t="s">
        <v>9</v>
      </c>
      <c r="E2355">
        <v>632</v>
      </c>
      <c r="F2355" t="str">
        <f>HYPERLINK("https://www.google.com/maps/search/?api=1&amp;query=24.63652647,46.56941693", "View Map")</f>
        <v>View Map</v>
      </c>
    </row>
    <row r="2356" spans="1:6" x14ac:dyDescent="0.35">
      <c r="A2356" t="s">
        <v>5640</v>
      </c>
      <c r="B2356" t="s">
        <v>5641</v>
      </c>
      <c r="C2356" t="s">
        <v>1776</v>
      </c>
      <c r="D2356" t="s">
        <v>9</v>
      </c>
      <c r="E2356">
        <v>632</v>
      </c>
      <c r="F2356" t="str">
        <f>HYPERLINK("https://www.google.com/maps/search/?api=1&amp;query=24.58815505,46.78042521", "View Map")</f>
        <v>View Map</v>
      </c>
    </row>
    <row r="2357" spans="1:6" x14ac:dyDescent="0.35">
      <c r="A2357" t="s">
        <v>5642</v>
      </c>
      <c r="B2357" t="s">
        <v>5643</v>
      </c>
      <c r="C2357" t="s">
        <v>1776</v>
      </c>
      <c r="D2357" t="s">
        <v>9</v>
      </c>
      <c r="E2357">
        <v>632</v>
      </c>
      <c r="F2357" t="str">
        <f>HYPERLINK("https://www.google.com/maps/search/?api=1&amp;query=24.58376196,46.76947643", "View Map")</f>
        <v>View Map</v>
      </c>
    </row>
    <row r="2358" spans="1:6" x14ac:dyDescent="0.35">
      <c r="A2358" t="s">
        <v>5644</v>
      </c>
      <c r="B2358" t="s">
        <v>5645</v>
      </c>
      <c r="C2358" t="s">
        <v>1776</v>
      </c>
      <c r="D2358" t="s">
        <v>9</v>
      </c>
      <c r="E2358">
        <v>632</v>
      </c>
      <c r="F2358" t="str">
        <f>HYPERLINK("https://www.google.com/maps/search/?api=1&amp;query=24.65926793,46.62618742", "View Map")</f>
        <v>View Map</v>
      </c>
    </row>
    <row r="2359" spans="1:6" x14ac:dyDescent="0.35">
      <c r="A2359" t="s">
        <v>5646</v>
      </c>
      <c r="B2359" t="s">
        <v>5647</v>
      </c>
      <c r="C2359" t="s">
        <v>1776</v>
      </c>
      <c r="D2359" t="s">
        <v>9</v>
      </c>
      <c r="E2359">
        <v>631</v>
      </c>
      <c r="F2359" t="str">
        <f>HYPERLINK("https://www.google.com/maps/search/?api=1&amp;query=24.59826043,46.58311059", "View Map")</f>
        <v>View Map</v>
      </c>
    </row>
    <row r="2360" spans="1:6" x14ac:dyDescent="0.35">
      <c r="A2360" t="s">
        <v>5648</v>
      </c>
      <c r="B2360" t="s">
        <v>5649</v>
      </c>
      <c r="C2360" t="s">
        <v>1776</v>
      </c>
      <c r="D2360" t="s">
        <v>9</v>
      </c>
      <c r="E2360">
        <v>631</v>
      </c>
      <c r="F2360" t="str">
        <f>HYPERLINK("https://www.google.com/maps/search/?api=1&amp;query=24.74660643,46.78485708", "View Map")</f>
        <v>View Map</v>
      </c>
    </row>
    <row r="2361" spans="1:6" x14ac:dyDescent="0.35">
      <c r="A2361" t="s">
        <v>5302</v>
      </c>
      <c r="B2361" t="s">
        <v>5650</v>
      </c>
      <c r="C2361" t="s">
        <v>1776</v>
      </c>
      <c r="D2361" t="s">
        <v>9</v>
      </c>
      <c r="E2361">
        <v>631</v>
      </c>
      <c r="F2361" t="str">
        <f>HYPERLINK("https://www.google.com/maps/search/?api=1&amp;query=24.58493332,46.69495538", "View Map")</f>
        <v>View Map</v>
      </c>
    </row>
    <row r="2362" spans="1:6" x14ac:dyDescent="0.35">
      <c r="A2362" t="s">
        <v>2711</v>
      </c>
      <c r="B2362" t="s">
        <v>5651</v>
      </c>
      <c r="C2362" t="s">
        <v>1776</v>
      </c>
      <c r="D2362" t="s">
        <v>9</v>
      </c>
      <c r="E2362">
        <v>631</v>
      </c>
      <c r="F2362" t="str">
        <f>HYPERLINK("https://www.google.com/maps/search/?api=1&amp;query=24.74608103,46.79637723", "View Map")</f>
        <v>View Map</v>
      </c>
    </row>
    <row r="2363" spans="1:6" x14ac:dyDescent="0.35">
      <c r="A2363" t="s">
        <v>5652</v>
      </c>
      <c r="B2363" t="s">
        <v>5653</v>
      </c>
      <c r="C2363" t="s">
        <v>1776</v>
      </c>
      <c r="D2363" t="s">
        <v>9</v>
      </c>
      <c r="E2363">
        <v>631</v>
      </c>
      <c r="F2363" t="str">
        <f>HYPERLINK("https://www.google.com/maps/search/?api=1&amp;query=24.67219664,46.80932935", "View Map")</f>
        <v>View Map</v>
      </c>
    </row>
    <row r="2364" spans="1:6" x14ac:dyDescent="0.35">
      <c r="A2364" t="s">
        <v>5654</v>
      </c>
      <c r="B2364" t="s">
        <v>5655</v>
      </c>
      <c r="C2364" t="s">
        <v>1776</v>
      </c>
      <c r="D2364" t="s">
        <v>9</v>
      </c>
      <c r="E2364">
        <v>631</v>
      </c>
      <c r="F2364" t="str">
        <f>HYPERLINK("https://www.google.com/maps/search/?api=1&amp;query=24.6577291,46.66700156", "View Map")</f>
        <v>View Map</v>
      </c>
    </row>
    <row r="2365" spans="1:6" x14ac:dyDescent="0.35">
      <c r="A2365" t="s">
        <v>5656</v>
      </c>
      <c r="B2365" t="s">
        <v>5657</v>
      </c>
      <c r="C2365" t="s">
        <v>1776</v>
      </c>
      <c r="D2365" t="s">
        <v>9</v>
      </c>
      <c r="E2365">
        <v>630</v>
      </c>
      <c r="F2365" t="str">
        <f>HYPERLINK("https://www.google.com/maps/search/?api=1&amp;query=24.753885,46.71888321", "View Map")</f>
        <v>View Map</v>
      </c>
    </row>
    <row r="2366" spans="1:6" x14ac:dyDescent="0.35">
      <c r="A2366" t="s">
        <v>5658</v>
      </c>
      <c r="B2366" t="s">
        <v>5659</v>
      </c>
      <c r="C2366" t="s">
        <v>1776</v>
      </c>
      <c r="D2366" t="s">
        <v>9</v>
      </c>
      <c r="E2366">
        <v>630</v>
      </c>
      <c r="F2366" t="str">
        <f>HYPERLINK("https://www.google.com/maps/search/?api=1&amp;query=24.75567718,46.68313838", "View Map")</f>
        <v>View Map</v>
      </c>
    </row>
    <row r="2367" spans="1:6" x14ac:dyDescent="0.35">
      <c r="A2367" t="s">
        <v>2178</v>
      </c>
      <c r="B2367" t="s">
        <v>5660</v>
      </c>
      <c r="C2367" t="s">
        <v>1776</v>
      </c>
      <c r="D2367" t="s">
        <v>9</v>
      </c>
      <c r="E2367">
        <v>630</v>
      </c>
      <c r="F2367" t="str">
        <f>HYPERLINK("https://www.google.com/maps/search/?api=1&amp;query=24.64442634,46.55545005", "View Map")</f>
        <v>View Map</v>
      </c>
    </row>
    <row r="2368" spans="1:6" x14ac:dyDescent="0.35">
      <c r="A2368" t="s">
        <v>1806</v>
      </c>
      <c r="B2368" t="s">
        <v>5661</v>
      </c>
      <c r="C2368" t="s">
        <v>1776</v>
      </c>
      <c r="D2368" t="s">
        <v>9</v>
      </c>
      <c r="E2368">
        <v>630</v>
      </c>
      <c r="F2368" t="str">
        <f>HYPERLINK("https://www.google.com/maps/search/?api=1&amp;query=24.84236232,46.76819195", "View Map")</f>
        <v>View Map</v>
      </c>
    </row>
    <row r="2369" spans="1:6" x14ac:dyDescent="0.35">
      <c r="A2369" t="s">
        <v>5662</v>
      </c>
      <c r="B2369" t="s">
        <v>5663</v>
      </c>
      <c r="C2369" t="s">
        <v>1776</v>
      </c>
      <c r="D2369" t="s">
        <v>318</v>
      </c>
      <c r="E2369">
        <v>630</v>
      </c>
      <c r="F2369" t="str">
        <f>HYPERLINK("https://www.google.com/maps/search/?api=1&amp;query=24.67094519,46.74232063", "View Map")</f>
        <v>View Map</v>
      </c>
    </row>
    <row r="2370" spans="1:6" x14ac:dyDescent="0.35">
      <c r="A2370" t="s">
        <v>5664</v>
      </c>
      <c r="B2370" t="s">
        <v>5665</v>
      </c>
      <c r="C2370" t="s">
        <v>1776</v>
      </c>
      <c r="D2370" t="s">
        <v>9</v>
      </c>
      <c r="E2370">
        <v>630</v>
      </c>
      <c r="F2370" t="str">
        <f>HYPERLINK("https://www.google.com/maps/search/?api=1&amp;query=24.68803298,46.75817434", "View Map")</f>
        <v>View Map</v>
      </c>
    </row>
    <row r="2371" spans="1:6" x14ac:dyDescent="0.35">
      <c r="A2371" t="s">
        <v>5666</v>
      </c>
      <c r="B2371" t="s">
        <v>5667</v>
      </c>
      <c r="C2371" t="s">
        <v>1776</v>
      </c>
      <c r="D2371" t="s">
        <v>9</v>
      </c>
      <c r="E2371">
        <v>630</v>
      </c>
      <c r="F2371" t="str">
        <f>HYPERLINK("https://www.google.com/maps/search/?api=1&amp;query=24.71166402,46.77993013", "View Map")</f>
        <v>View Map</v>
      </c>
    </row>
    <row r="2372" spans="1:6" x14ac:dyDescent="0.35">
      <c r="A2372" t="s">
        <v>1794</v>
      </c>
      <c r="B2372" t="s">
        <v>5668</v>
      </c>
      <c r="C2372" t="s">
        <v>1776</v>
      </c>
      <c r="D2372" t="s">
        <v>9</v>
      </c>
      <c r="E2372">
        <v>629</v>
      </c>
      <c r="F2372" t="str">
        <f>HYPERLINK("https://www.google.com/maps/search/?api=1&amp;query=24.64797859,46.57036827", "View Map")</f>
        <v>View Map</v>
      </c>
    </row>
    <row r="2373" spans="1:6" x14ac:dyDescent="0.35">
      <c r="A2373" t="s">
        <v>5669</v>
      </c>
      <c r="B2373" t="s">
        <v>5670</v>
      </c>
      <c r="C2373" t="s">
        <v>1776</v>
      </c>
      <c r="D2373" t="s">
        <v>9</v>
      </c>
      <c r="E2373">
        <v>629</v>
      </c>
      <c r="F2373" t="str">
        <f>HYPERLINK("https://www.google.com/maps/search/?api=1&amp;query=24.56838085,46.63753815", "View Map")</f>
        <v>View Map</v>
      </c>
    </row>
    <row r="2374" spans="1:6" x14ac:dyDescent="0.35">
      <c r="A2374" t="s">
        <v>1798</v>
      </c>
      <c r="B2374" t="s">
        <v>5671</v>
      </c>
      <c r="C2374" t="s">
        <v>1776</v>
      </c>
      <c r="D2374" t="s">
        <v>9</v>
      </c>
      <c r="E2374">
        <v>629</v>
      </c>
      <c r="F2374" t="str">
        <f>HYPERLINK("https://www.google.com/maps/search/?api=1&amp;query=24.64917485,46.83991769", "View Map")</f>
        <v>View Map</v>
      </c>
    </row>
    <row r="2375" spans="1:6" x14ac:dyDescent="0.35">
      <c r="A2375" t="s">
        <v>5672</v>
      </c>
      <c r="B2375" t="s">
        <v>5673</v>
      </c>
      <c r="C2375" t="s">
        <v>1776</v>
      </c>
      <c r="D2375" t="s">
        <v>9</v>
      </c>
      <c r="E2375">
        <v>629</v>
      </c>
      <c r="F2375" t="str">
        <f>HYPERLINK("https://www.google.com/maps/search/?api=1&amp;query=24.61088732,46.71677076", "View Map")</f>
        <v>View Map</v>
      </c>
    </row>
    <row r="2376" spans="1:6" x14ac:dyDescent="0.35">
      <c r="A2376" t="s">
        <v>1806</v>
      </c>
      <c r="B2376" t="s">
        <v>5674</v>
      </c>
      <c r="C2376" t="s">
        <v>1776</v>
      </c>
      <c r="D2376" t="s">
        <v>9</v>
      </c>
      <c r="E2376">
        <v>628</v>
      </c>
      <c r="F2376" t="str">
        <f>HYPERLINK("https://www.google.com/maps/search/?api=1&amp;query=24.81483793,46.73893518", "View Map")</f>
        <v>View Map</v>
      </c>
    </row>
    <row r="2377" spans="1:6" x14ac:dyDescent="0.35">
      <c r="A2377" t="s">
        <v>5675</v>
      </c>
      <c r="B2377" t="s">
        <v>5676</v>
      </c>
      <c r="C2377" t="s">
        <v>1843</v>
      </c>
      <c r="D2377" t="s">
        <v>9</v>
      </c>
      <c r="E2377">
        <v>628</v>
      </c>
      <c r="F2377" t="str">
        <f>HYPERLINK("https://www.google.com/maps/search/?api=1&amp;query=24.74611713,46.52684451", "View Map")</f>
        <v>View Map</v>
      </c>
    </row>
    <row r="2378" spans="1:6" x14ac:dyDescent="0.35">
      <c r="A2378" t="s">
        <v>5677</v>
      </c>
      <c r="B2378" t="s">
        <v>5678</v>
      </c>
      <c r="C2378" t="s">
        <v>1776</v>
      </c>
      <c r="D2378" t="s">
        <v>9</v>
      </c>
      <c r="E2378">
        <v>628</v>
      </c>
      <c r="F2378" t="str">
        <f>HYPERLINK("https://www.google.com/maps/search/?api=1&amp;query=24.56355516,46.63332373", "View Map")</f>
        <v>View Map</v>
      </c>
    </row>
    <row r="2379" spans="1:6" x14ac:dyDescent="0.35">
      <c r="A2379" t="s">
        <v>5679</v>
      </c>
      <c r="B2379" t="s">
        <v>5680</v>
      </c>
      <c r="C2379" t="s">
        <v>1843</v>
      </c>
      <c r="D2379" t="s">
        <v>9</v>
      </c>
      <c r="E2379">
        <v>628</v>
      </c>
      <c r="F2379" t="str">
        <f>HYPERLINK("https://www.google.com/maps/search/?api=1&amp;query=24.90907686,46.44611664", "View Map")</f>
        <v>View Map</v>
      </c>
    </row>
    <row r="2380" spans="1:6" x14ac:dyDescent="0.35">
      <c r="A2380" t="s">
        <v>1798</v>
      </c>
      <c r="B2380" t="s">
        <v>5681</v>
      </c>
      <c r="C2380" t="s">
        <v>1776</v>
      </c>
      <c r="D2380" t="s">
        <v>9</v>
      </c>
      <c r="E2380">
        <v>627</v>
      </c>
      <c r="F2380" t="str">
        <f>HYPERLINK("https://www.google.com/maps/search/?api=1&amp;query=24.82721426,46.77267211", "View Map")</f>
        <v>View Map</v>
      </c>
    </row>
    <row r="2381" spans="1:6" x14ac:dyDescent="0.35">
      <c r="A2381" t="s">
        <v>5682</v>
      </c>
      <c r="B2381" t="s">
        <v>5683</v>
      </c>
      <c r="C2381" t="s">
        <v>1776</v>
      </c>
      <c r="D2381" t="s">
        <v>9</v>
      </c>
      <c r="E2381">
        <v>626</v>
      </c>
      <c r="F2381" t="str">
        <f>HYPERLINK("https://www.google.com/maps/search/?api=1&amp;query=24.7194477,46.67688108", "View Map")</f>
        <v>View Map</v>
      </c>
    </row>
    <row r="2382" spans="1:6" x14ac:dyDescent="0.35">
      <c r="A2382" t="s">
        <v>1798</v>
      </c>
      <c r="B2382" t="s">
        <v>5684</v>
      </c>
      <c r="C2382" t="s">
        <v>1776</v>
      </c>
      <c r="D2382" t="s">
        <v>9</v>
      </c>
      <c r="E2382">
        <v>625</v>
      </c>
      <c r="F2382" t="str">
        <f>HYPERLINK("https://www.google.com/maps/search/?api=1&amp;query=24.806819,46.82055937", "View Map")</f>
        <v>View Map</v>
      </c>
    </row>
    <row r="2383" spans="1:6" x14ac:dyDescent="0.35">
      <c r="A2383" t="s">
        <v>1798</v>
      </c>
      <c r="B2383" t="s">
        <v>5685</v>
      </c>
      <c r="C2383" t="s">
        <v>1776</v>
      </c>
      <c r="D2383" t="s">
        <v>9</v>
      </c>
      <c r="E2383">
        <v>625</v>
      </c>
      <c r="F2383" t="str">
        <f>HYPERLINK("https://www.google.com/maps/search/?api=1&amp;query=24.62431564,46.57222066", "View Map")</f>
        <v>View Map</v>
      </c>
    </row>
    <row r="2384" spans="1:6" x14ac:dyDescent="0.35">
      <c r="A2384" t="s">
        <v>3718</v>
      </c>
      <c r="B2384" t="s">
        <v>5686</v>
      </c>
      <c r="C2384" t="s">
        <v>1776</v>
      </c>
      <c r="D2384" t="s">
        <v>9</v>
      </c>
      <c r="E2384">
        <v>624</v>
      </c>
      <c r="F2384" t="str">
        <f>HYPERLINK("https://www.google.com/maps/search/?api=1&amp;query=24.82147802,46.64630148", "View Map")</f>
        <v>View Map</v>
      </c>
    </row>
    <row r="2385" spans="1:6" x14ac:dyDescent="0.35">
      <c r="A2385" t="s">
        <v>1798</v>
      </c>
      <c r="B2385" t="s">
        <v>5687</v>
      </c>
      <c r="C2385" t="s">
        <v>1776</v>
      </c>
      <c r="D2385" t="s">
        <v>9</v>
      </c>
      <c r="E2385">
        <v>624</v>
      </c>
      <c r="F2385" t="str">
        <f>HYPERLINK("https://www.google.com/maps/search/?api=1&amp;query=24.55789099,46.79619046", "View Map")</f>
        <v>View Map</v>
      </c>
    </row>
    <row r="2386" spans="1:6" x14ac:dyDescent="0.35">
      <c r="A2386" t="s">
        <v>2738</v>
      </c>
      <c r="B2386" t="s">
        <v>5688</v>
      </c>
      <c r="C2386" t="s">
        <v>1776</v>
      </c>
      <c r="D2386" t="s">
        <v>9</v>
      </c>
      <c r="E2386">
        <v>622</v>
      </c>
      <c r="F2386" t="str">
        <f>HYPERLINK("https://www.google.com/maps/search/?api=1&amp;query=24.69569309,46.86418031", "View Map")</f>
        <v>View Map</v>
      </c>
    </row>
    <row r="2387" spans="1:6" x14ac:dyDescent="0.35">
      <c r="A2387" t="s">
        <v>2178</v>
      </c>
      <c r="B2387" t="s">
        <v>5689</v>
      </c>
      <c r="C2387" t="s">
        <v>1776</v>
      </c>
      <c r="D2387" t="s">
        <v>9</v>
      </c>
      <c r="E2387">
        <v>622</v>
      </c>
      <c r="F2387" t="str">
        <f>HYPERLINK("https://www.google.com/maps/search/?api=1&amp;query=24.80660484,46.6263806", "View Map")</f>
        <v>View Map</v>
      </c>
    </row>
    <row r="2388" spans="1:6" x14ac:dyDescent="0.35">
      <c r="A2388" t="s">
        <v>1798</v>
      </c>
      <c r="B2388" t="s">
        <v>5690</v>
      </c>
      <c r="C2388" t="s">
        <v>1776</v>
      </c>
      <c r="D2388" t="s">
        <v>318</v>
      </c>
      <c r="E2388">
        <v>621</v>
      </c>
      <c r="F2388" t="str">
        <f>HYPERLINK("https://www.google.com/maps/search/?api=1&amp;query=24.80672,46.68404", "View Map")</f>
        <v>View Map</v>
      </c>
    </row>
    <row r="2389" spans="1:6" x14ac:dyDescent="0.35">
      <c r="A2389" t="s">
        <v>3791</v>
      </c>
      <c r="B2389" t="s">
        <v>5691</v>
      </c>
      <c r="C2389" t="s">
        <v>1776</v>
      </c>
      <c r="D2389" t="s">
        <v>9</v>
      </c>
      <c r="E2389">
        <v>621</v>
      </c>
      <c r="F2389" t="str">
        <f>HYPERLINK("https://www.google.com/maps/search/?api=1&amp;query=24.54554412,46.71511112", "View Map")</f>
        <v>View Map</v>
      </c>
    </row>
    <row r="2390" spans="1:6" x14ac:dyDescent="0.35">
      <c r="A2390" t="s">
        <v>5692</v>
      </c>
      <c r="B2390" t="s">
        <v>5693</v>
      </c>
      <c r="C2390" t="s">
        <v>1776</v>
      </c>
      <c r="D2390" t="s">
        <v>9</v>
      </c>
      <c r="E2390">
        <v>620</v>
      </c>
      <c r="F2390" t="str">
        <f>HYPERLINK("https://www.google.com/maps/search/?api=1&amp;query=24.82866537,46.75032105", "View Map")</f>
        <v>View Map</v>
      </c>
    </row>
    <row r="2391" spans="1:6" x14ac:dyDescent="0.35">
      <c r="A2391" t="s">
        <v>1798</v>
      </c>
      <c r="B2391" t="s">
        <v>5694</v>
      </c>
      <c r="C2391" t="s">
        <v>1776</v>
      </c>
      <c r="D2391" t="s">
        <v>9</v>
      </c>
      <c r="E2391">
        <v>620</v>
      </c>
      <c r="F2391" t="str">
        <f>HYPERLINK("https://www.google.com/maps/search/?api=1&amp;query=24.80049235,46.83531518", "View Map")</f>
        <v>View Map</v>
      </c>
    </row>
    <row r="2392" spans="1:6" x14ac:dyDescent="0.35">
      <c r="A2392" t="s">
        <v>5695</v>
      </c>
      <c r="B2392" t="s">
        <v>5696</v>
      </c>
      <c r="C2392" t="s">
        <v>1776</v>
      </c>
      <c r="D2392" t="s">
        <v>9</v>
      </c>
      <c r="E2392">
        <v>618</v>
      </c>
      <c r="F2392" t="str">
        <f>HYPERLINK("https://www.google.com/maps/search/?api=1&amp;query=24.6782855,46.81130859", "View Map")</f>
        <v>View Map</v>
      </c>
    </row>
    <row r="2393" spans="1:6" x14ac:dyDescent="0.35">
      <c r="A2393" t="s">
        <v>1798</v>
      </c>
      <c r="B2393" t="s">
        <v>5697</v>
      </c>
      <c r="C2393" t="s">
        <v>1776</v>
      </c>
      <c r="D2393" t="s">
        <v>9</v>
      </c>
      <c r="E2393">
        <v>617</v>
      </c>
      <c r="F2393" t="str">
        <f>HYPERLINK("https://www.google.com/maps/search/?api=1&amp;query=24.88107218,46.61798141", "View Map")</f>
        <v>View Map</v>
      </c>
    </row>
    <row r="2394" spans="1:6" x14ac:dyDescent="0.35">
      <c r="A2394" t="s">
        <v>5698</v>
      </c>
      <c r="B2394" t="s">
        <v>5699</v>
      </c>
      <c r="C2394" t="s">
        <v>1776</v>
      </c>
      <c r="D2394" t="s">
        <v>9</v>
      </c>
      <c r="E2394">
        <v>616</v>
      </c>
      <c r="F2394" t="str">
        <f>HYPERLINK("https://www.google.com/maps/search/?api=1&amp;query=24.59165387,46.7092736", "View Map")</f>
        <v>View Map</v>
      </c>
    </row>
    <row r="2395" spans="1:6" x14ac:dyDescent="0.35">
      <c r="A2395" t="s">
        <v>5700</v>
      </c>
      <c r="B2395" t="s">
        <v>5701</v>
      </c>
      <c r="C2395" t="s">
        <v>1776</v>
      </c>
      <c r="D2395" t="s">
        <v>9</v>
      </c>
      <c r="E2395">
        <v>616</v>
      </c>
      <c r="F2395" t="str">
        <f>HYPERLINK("https://www.google.com/maps/search/?api=1&amp;query=24.81959664,46.64769764", "View Map")</f>
        <v>View Map</v>
      </c>
    </row>
    <row r="2396" spans="1:6" x14ac:dyDescent="0.35">
      <c r="A2396" t="s">
        <v>4774</v>
      </c>
      <c r="B2396" t="s">
        <v>5702</v>
      </c>
      <c r="C2396" t="s">
        <v>1776</v>
      </c>
      <c r="D2396" t="s">
        <v>9</v>
      </c>
      <c r="E2396">
        <v>615</v>
      </c>
      <c r="F2396" t="str">
        <f>HYPERLINK("https://www.google.com/maps/search/?api=1&amp;query=24.62143437,46.7524683", "View Map")</f>
        <v>View Map</v>
      </c>
    </row>
    <row r="2397" spans="1:6" x14ac:dyDescent="0.35">
      <c r="A2397" t="s">
        <v>5703</v>
      </c>
      <c r="B2397" t="s">
        <v>5704</v>
      </c>
      <c r="C2397" t="s">
        <v>1776</v>
      </c>
      <c r="D2397" t="s">
        <v>9</v>
      </c>
      <c r="E2397">
        <v>614</v>
      </c>
      <c r="F2397" t="str">
        <f>HYPERLINK("https://www.google.com/maps/search/?api=1&amp;query=24.59371936,46.68073571", "View Map")</f>
        <v>View Map</v>
      </c>
    </row>
    <row r="2398" spans="1:6" x14ac:dyDescent="0.35">
      <c r="A2398" t="s">
        <v>5705</v>
      </c>
      <c r="B2398" t="s">
        <v>5706</v>
      </c>
      <c r="C2398" t="s">
        <v>1776</v>
      </c>
      <c r="D2398" t="s">
        <v>9</v>
      </c>
      <c r="E2398">
        <v>614</v>
      </c>
      <c r="F2398" t="str">
        <f>HYPERLINK("https://www.google.com/maps/search/?api=1&amp;query=24.57897632,46.58187586", "View Map")</f>
        <v>View Map</v>
      </c>
    </row>
    <row r="2399" spans="1:6" x14ac:dyDescent="0.35">
      <c r="A2399" t="s">
        <v>1947</v>
      </c>
      <c r="B2399" t="s">
        <v>5707</v>
      </c>
      <c r="C2399" t="s">
        <v>1776</v>
      </c>
      <c r="D2399" t="s">
        <v>318</v>
      </c>
      <c r="E2399">
        <v>612</v>
      </c>
      <c r="F2399" t="str">
        <f>HYPERLINK("https://www.google.com/maps/search/?api=1&amp;query=24.56143855,46.55122751", "View Map")</f>
        <v>View Map</v>
      </c>
    </row>
    <row r="2400" spans="1:6" x14ac:dyDescent="0.35">
      <c r="A2400" t="s">
        <v>1798</v>
      </c>
      <c r="B2400" t="s">
        <v>5708</v>
      </c>
      <c r="C2400" t="s">
        <v>1776</v>
      </c>
      <c r="D2400" t="s">
        <v>318</v>
      </c>
      <c r="E2400">
        <v>610</v>
      </c>
      <c r="F2400" t="str">
        <f>HYPERLINK("https://www.google.com/maps/search/?api=1&amp;query=24.83047201,46.60662697", "View Map")</f>
        <v>View Map</v>
      </c>
    </row>
    <row r="2401" spans="1:6" x14ac:dyDescent="0.35">
      <c r="A2401" t="s">
        <v>5709</v>
      </c>
      <c r="B2401" t="s">
        <v>5710</v>
      </c>
      <c r="C2401" t="s">
        <v>1776</v>
      </c>
      <c r="D2401" t="s">
        <v>9</v>
      </c>
      <c r="E2401">
        <v>603</v>
      </c>
      <c r="F2401" t="str">
        <f>HYPERLINK("https://www.google.com/maps/search/?api=1&amp;query=24.81315951,46.79012088", "View Map")</f>
        <v>View Map</v>
      </c>
    </row>
    <row r="2402" spans="1:6" x14ac:dyDescent="0.35">
      <c r="A2402" t="s">
        <v>5711</v>
      </c>
      <c r="B2402" t="s">
        <v>5712</v>
      </c>
      <c r="C2402" t="s">
        <v>1776</v>
      </c>
      <c r="D2402" t="s">
        <v>9</v>
      </c>
      <c r="E2402">
        <v>596</v>
      </c>
      <c r="F2402" t="str">
        <f>HYPERLINK("https://www.google.com/maps/search/?api=1&amp;query=24.77399065,46.6159704", "View Map")</f>
        <v>View Map</v>
      </c>
    </row>
    <row r="2403" spans="1:6" x14ac:dyDescent="0.35">
      <c r="A2403" t="s">
        <v>5713</v>
      </c>
      <c r="B2403" t="s">
        <v>5714</v>
      </c>
      <c r="C2403" t="s">
        <v>1776</v>
      </c>
      <c r="D2403" t="s">
        <v>9</v>
      </c>
      <c r="E2403">
        <v>595</v>
      </c>
      <c r="F2403" t="str">
        <f>HYPERLINK("https://www.google.com/maps/search/?api=1&amp;query=24.61597068,46.7530875", "View Map")</f>
        <v>View Map</v>
      </c>
    </row>
    <row r="2404" spans="1:6" x14ac:dyDescent="0.35">
      <c r="A2404" t="s">
        <v>5715</v>
      </c>
      <c r="B2404" t="s">
        <v>5716</v>
      </c>
      <c r="C2404" t="s">
        <v>1776</v>
      </c>
      <c r="D2404" t="s">
        <v>9</v>
      </c>
      <c r="E2404">
        <v>594</v>
      </c>
      <c r="F2404" t="str">
        <f>HYPERLINK("https://www.google.com/maps/search/?api=1&amp;query=24.59000063,46.76508727", "View Map")</f>
        <v>View Map</v>
      </c>
    </row>
    <row r="2405" spans="1:6" x14ac:dyDescent="0.35">
      <c r="A2405" t="s">
        <v>5717</v>
      </c>
      <c r="B2405" t="s">
        <v>5718</v>
      </c>
      <c r="C2405" t="s">
        <v>1776</v>
      </c>
      <c r="D2405" t="s">
        <v>9</v>
      </c>
      <c r="E2405">
        <v>594</v>
      </c>
      <c r="F2405" t="str">
        <f>HYPERLINK("https://www.google.com/maps/search/?api=1&amp;query=24.60373375,46.72476116", "View Map")</f>
        <v>View Map</v>
      </c>
    </row>
    <row r="2406" spans="1:6" x14ac:dyDescent="0.35">
      <c r="A2406" t="s">
        <v>5719</v>
      </c>
      <c r="B2406" t="s">
        <v>5720</v>
      </c>
      <c r="C2406" t="s">
        <v>1776</v>
      </c>
      <c r="D2406" t="s">
        <v>9</v>
      </c>
      <c r="E2406">
        <v>589</v>
      </c>
      <c r="F2406" t="str">
        <f>HYPERLINK("https://www.google.com/maps/search/?api=1&amp;query=24.7059,46.70366", "View Map")</f>
        <v>View Map</v>
      </c>
    </row>
    <row r="2407" spans="1:6" x14ac:dyDescent="0.35">
      <c r="A2407" t="s">
        <v>1947</v>
      </c>
      <c r="B2407" t="s">
        <v>5721</v>
      </c>
      <c r="C2407" t="s">
        <v>1776</v>
      </c>
      <c r="D2407" t="s">
        <v>9</v>
      </c>
      <c r="E2407">
        <v>588</v>
      </c>
      <c r="F2407" t="str">
        <f>HYPERLINK("https://www.google.com/maps/search/?api=1&amp;query=24.55363955,46.6674507", "View Map")</f>
        <v>View Map</v>
      </c>
    </row>
    <row r="2408" spans="1:6" x14ac:dyDescent="0.35">
      <c r="A2408" t="s">
        <v>5722</v>
      </c>
      <c r="B2408" t="s">
        <v>5723</v>
      </c>
      <c r="C2408" t="s">
        <v>1776</v>
      </c>
      <c r="D2408" t="s">
        <v>9</v>
      </c>
      <c r="E2408">
        <v>577</v>
      </c>
      <c r="F2408" t="str">
        <f>HYPERLINK("https://www.google.com/maps/search/?api=1&amp;query=24.58672745,46.53021536", "View Map")</f>
        <v>View Map</v>
      </c>
    </row>
    <row r="2409" spans="1:6" x14ac:dyDescent="0.35">
      <c r="A2409" t="s">
        <v>5724</v>
      </c>
      <c r="B2409" t="s">
        <v>5725</v>
      </c>
      <c r="C2409" t="s">
        <v>1776</v>
      </c>
      <c r="D2409" t="s">
        <v>9</v>
      </c>
      <c r="E2409">
        <v>575</v>
      </c>
      <c r="F2409" t="str">
        <f>HYPERLINK("https://www.google.com/maps/search/?api=1&amp;query=24.59360186,46.66058462", "View Map")</f>
        <v>View Map</v>
      </c>
    </row>
    <row r="2410" spans="1:6" x14ac:dyDescent="0.35">
      <c r="A2410" t="s">
        <v>5726</v>
      </c>
      <c r="B2410" t="s">
        <v>5727</v>
      </c>
      <c r="C2410" t="s">
        <v>1776</v>
      </c>
      <c r="D2410" t="s">
        <v>9</v>
      </c>
      <c r="E2410">
        <v>572</v>
      </c>
      <c r="F2410" t="str">
        <f>HYPERLINK("https://www.google.com/maps/search/?api=1&amp;query=24.69909441,46.82676965", "View Map")</f>
        <v>View Map</v>
      </c>
    </row>
    <row r="2411" spans="1:6" x14ac:dyDescent="0.35">
      <c r="A2411" t="s">
        <v>1798</v>
      </c>
      <c r="B2411" t="s">
        <v>5728</v>
      </c>
      <c r="C2411" t="s">
        <v>1776</v>
      </c>
      <c r="D2411" t="s">
        <v>318</v>
      </c>
      <c r="E2411">
        <v>571</v>
      </c>
      <c r="F2411" t="str">
        <f>HYPERLINK("https://www.google.com/maps/search/?api=1&amp;query=24.74719087,46.62624905", "View Map")</f>
        <v>View Map</v>
      </c>
    </row>
    <row r="2412" spans="1:6" x14ac:dyDescent="0.35">
      <c r="A2412" t="s">
        <v>1798</v>
      </c>
      <c r="B2412" t="s">
        <v>5729</v>
      </c>
      <c r="C2412" t="s">
        <v>1776</v>
      </c>
      <c r="D2412" t="s">
        <v>9</v>
      </c>
      <c r="E2412">
        <v>567</v>
      </c>
      <c r="F2412" t="str">
        <f>HYPERLINK("https://www.google.com/maps/search/?api=1&amp;query=24.7851743,46.90611436", "View Map")</f>
        <v>View Map</v>
      </c>
    </row>
    <row r="2413" spans="1:6" x14ac:dyDescent="0.35">
      <c r="A2413" t="s">
        <v>5730</v>
      </c>
      <c r="B2413" t="s">
        <v>5731</v>
      </c>
      <c r="C2413" t="s">
        <v>1776</v>
      </c>
      <c r="D2413" t="s">
        <v>318</v>
      </c>
      <c r="E2413">
        <v>561</v>
      </c>
      <c r="F2413" t="str">
        <f>HYPERLINK("https://www.google.com/maps/search/?api=1&amp;query=24.6256551,46.69616648", "View Map")</f>
        <v>View Map</v>
      </c>
    </row>
    <row r="2414" spans="1:6" x14ac:dyDescent="0.35">
      <c r="A2414" t="s">
        <v>5732</v>
      </c>
      <c r="B2414" t="s">
        <v>5733</v>
      </c>
      <c r="C2414" t="s">
        <v>1776</v>
      </c>
      <c r="D2414" t="s">
        <v>9</v>
      </c>
      <c r="E2414">
        <v>556</v>
      </c>
      <c r="F2414" t="str">
        <f>HYPERLINK("https://www.google.com/maps/search/?api=1&amp;query=24.6054738,46.65457095", "View Map")</f>
        <v>View Map</v>
      </c>
    </row>
    <row r="2415" spans="1:6" x14ac:dyDescent="0.35">
      <c r="A2415" t="s">
        <v>1798</v>
      </c>
      <c r="B2415" t="s">
        <v>5734</v>
      </c>
      <c r="C2415" t="s">
        <v>1776</v>
      </c>
      <c r="D2415" t="s">
        <v>318</v>
      </c>
      <c r="E2415">
        <v>553</v>
      </c>
      <c r="F2415" t="str">
        <f>HYPERLINK("https://www.google.com/maps/search/?api=1&amp;query=24.8292,46.7397", "View Map")</f>
        <v>View Map</v>
      </c>
    </row>
    <row r="2416" spans="1:6" x14ac:dyDescent="0.35">
      <c r="A2416" t="s">
        <v>5735</v>
      </c>
      <c r="B2416" t="s">
        <v>5736</v>
      </c>
      <c r="C2416" t="s">
        <v>1776</v>
      </c>
      <c r="D2416" t="s">
        <v>318</v>
      </c>
      <c r="E2416">
        <v>528</v>
      </c>
      <c r="F2416" t="str">
        <f>HYPERLINK("https://www.google.com/maps/search/?api=1&amp;query=24.68521954,46.78836918", "View Map")</f>
        <v>View Map</v>
      </c>
    </row>
    <row r="2417" spans="1:6" x14ac:dyDescent="0.35">
      <c r="A2417" t="s">
        <v>2396</v>
      </c>
      <c r="B2417" t="s">
        <v>5737</v>
      </c>
      <c r="C2417" t="s">
        <v>1776</v>
      </c>
      <c r="D2417" t="s">
        <v>9</v>
      </c>
      <c r="E2417">
        <v>527</v>
      </c>
      <c r="F2417" t="str">
        <f>HYPERLINK("https://www.google.com/maps/search/?api=1&amp;query=24.6064935,46.75478962", "View Map")</f>
        <v>View Map</v>
      </c>
    </row>
    <row r="2418" spans="1:6" x14ac:dyDescent="0.35">
      <c r="A2418" t="s">
        <v>5738</v>
      </c>
      <c r="B2418" t="s">
        <v>5739</v>
      </c>
      <c r="C2418" t="s">
        <v>1776</v>
      </c>
      <c r="D2418" t="s">
        <v>318</v>
      </c>
      <c r="E2418">
        <v>522</v>
      </c>
      <c r="F2418" t="str">
        <f>HYPERLINK("https://www.google.com/maps/search/?api=1&amp;query=24.76169202,46.65921203", "View Map")</f>
        <v>View Map</v>
      </c>
    </row>
    <row r="2419" spans="1:6" x14ac:dyDescent="0.35">
      <c r="A2419" t="s">
        <v>5740</v>
      </c>
      <c r="B2419" t="s">
        <v>5741</v>
      </c>
      <c r="C2419" t="s">
        <v>1776</v>
      </c>
      <c r="D2419" t="s">
        <v>318</v>
      </c>
      <c r="E2419">
        <v>506</v>
      </c>
      <c r="F2419" t="str">
        <f>HYPERLINK("https://www.google.com/maps/search/?api=1&amp;query=24.53960025,46.66354464", "View Map")</f>
        <v>View Map</v>
      </c>
    </row>
    <row r="2420" spans="1:6" x14ac:dyDescent="0.35">
      <c r="A2420" t="s">
        <v>5742</v>
      </c>
      <c r="B2420" t="s">
        <v>5743</v>
      </c>
      <c r="C2420" t="s">
        <v>1776</v>
      </c>
      <c r="D2420" t="s">
        <v>318</v>
      </c>
      <c r="E2420">
        <v>503</v>
      </c>
      <c r="F2420" t="str">
        <f>HYPERLINK("https://www.google.com/maps/search/?api=1&amp;query=24.72476077,46.84399062", "View Map")</f>
        <v>View Map</v>
      </c>
    </row>
    <row r="2421" spans="1:6" x14ac:dyDescent="0.35">
      <c r="A2421" t="s">
        <v>5744</v>
      </c>
      <c r="B2421" t="s">
        <v>5745</v>
      </c>
      <c r="C2421" t="s">
        <v>1776</v>
      </c>
      <c r="D2421" t="s">
        <v>318</v>
      </c>
      <c r="E2421">
        <v>487</v>
      </c>
      <c r="F2421" t="str">
        <f>HYPERLINK("https://www.google.com/maps/search/?api=1&amp;query=24.76524922,46.6271013", "View Map")</f>
        <v>View Map</v>
      </c>
    </row>
    <row r="2422" spans="1:6" x14ac:dyDescent="0.35">
      <c r="A2422" t="s">
        <v>5746</v>
      </c>
      <c r="B2422" t="s">
        <v>5747</v>
      </c>
      <c r="C2422" t="s">
        <v>1776</v>
      </c>
      <c r="D2422" t="s">
        <v>318</v>
      </c>
      <c r="E2422">
        <v>481</v>
      </c>
      <c r="F2422" t="str">
        <f>HYPERLINK("https://www.google.com/maps/search/?api=1&amp;query=24.73463634,46.77801906", "View Map")</f>
        <v>View Map</v>
      </c>
    </row>
    <row r="2423" spans="1:6" x14ac:dyDescent="0.35">
      <c r="A2423" t="s">
        <v>2932</v>
      </c>
      <c r="B2423" t="s">
        <v>5748</v>
      </c>
      <c r="C2423" t="s">
        <v>1776</v>
      </c>
      <c r="D2423" t="s">
        <v>9</v>
      </c>
      <c r="E2423">
        <v>481</v>
      </c>
      <c r="F2423" t="str">
        <f>HYPERLINK("https://www.google.com/maps/search/?api=1&amp;query=24.78133486,46.73659842", "View Map")</f>
        <v>View Map</v>
      </c>
    </row>
    <row r="2424" spans="1:6" x14ac:dyDescent="0.35">
      <c r="A2424" t="s">
        <v>4194</v>
      </c>
      <c r="B2424" t="s">
        <v>5749</v>
      </c>
      <c r="C2424" t="s">
        <v>1776</v>
      </c>
      <c r="D2424" t="s">
        <v>318</v>
      </c>
      <c r="E2424">
        <v>458</v>
      </c>
      <c r="F2424" t="str">
        <f>HYPERLINK("https://www.google.com/maps/search/?api=1&amp;query=24.56253719,46.80417442", "View Map")</f>
        <v>View Map</v>
      </c>
    </row>
    <row r="2425" spans="1:6" x14ac:dyDescent="0.35">
      <c r="A2425" t="s">
        <v>5750</v>
      </c>
      <c r="B2425" t="s">
        <v>5751</v>
      </c>
      <c r="C2425" t="s">
        <v>1776</v>
      </c>
      <c r="D2425" t="s">
        <v>9</v>
      </c>
      <c r="E2425">
        <v>456</v>
      </c>
      <c r="F2425" t="str">
        <f>HYPERLINK("https://www.google.com/maps/search/?api=1&amp;query=24.62691815,46.54646608", "View Map")</f>
        <v>View Map</v>
      </c>
    </row>
    <row r="2426" spans="1:6" x14ac:dyDescent="0.35">
      <c r="A2426" t="s">
        <v>5752</v>
      </c>
      <c r="B2426" t="s">
        <v>5753</v>
      </c>
      <c r="C2426" t="s">
        <v>1776</v>
      </c>
      <c r="D2426" t="s">
        <v>9</v>
      </c>
      <c r="E2426">
        <v>453</v>
      </c>
      <c r="F2426" t="str">
        <f>HYPERLINK("https://www.google.com/maps/search/?api=1&amp;query=24.75339638,46.65612992", "View Map")</f>
        <v>View Map</v>
      </c>
    </row>
    <row r="2427" spans="1:6" x14ac:dyDescent="0.35">
      <c r="A2427" t="s">
        <v>1794</v>
      </c>
      <c r="B2427" t="s">
        <v>5754</v>
      </c>
      <c r="C2427" t="s">
        <v>1776</v>
      </c>
      <c r="D2427" t="s">
        <v>318</v>
      </c>
      <c r="E2427">
        <v>449</v>
      </c>
      <c r="F2427" t="str">
        <f>HYPERLINK("https://www.google.com/maps/search/?api=1&amp;query=24.64037295,46.55897973", "View Map")</f>
        <v>View Map</v>
      </c>
    </row>
    <row r="2428" spans="1:6" x14ac:dyDescent="0.35">
      <c r="A2428" t="s">
        <v>5755</v>
      </c>
      <c r="B2428" t="s">
        <v>5756</v>
      </c>
      <c r="C2428" t="s">
        <v>1776</v>
      </c>
      <c r="D2428" t="s">
        <v>318</v>
      </c>
      <c r="E2428">
        <v>442</v>
      </c>
      <c r="F2428" t="str">
        <f>HYPERLINK("https://www.google.com/maps/search/?api=1&amp;query=24.54308192,46.68968095", "View Map")</f>
        <v>View Map</v>
      </c>
    </row>
    <row r="2429" spans="1:6" x14ac:dyDescent="0.35">
      <c r="A2429" t="s">
        <v>5757</v>
      </c>
      <c r="B2429" t="s">
        <v>5758</v>
      </c>
      <c r="C2429" t="s">
        <v>1776</v>
      </c>
      <c r="D2429" t="s">
        <v>318</v>
      </c>
      <c r="E2429">
        <v>435</v>
      </c>
      <c r="F2429" t="str">
        <f>HYPERLINK("https://www.google.com/maps/search/?api=1&amp;query=24.57108441,46.53949635", "View Map")</f>
        <v>View Map</v>
      </c>
    </row>
    <row r="2430" spans="1:6" x14ac:dyDescent="0.35">
      <c r="A2430" t="s">
        <v>1794</v>
      </c>
      <c r="B2430" t="s">
        <v>5759</v>
      </c>
      <c r="C2430" t="s">
        <v>1843</v>
      </c>
      <c r="D2430" t="s">
        <v>318</v>
      </c>
      <c r="E2430">
        <v>425</v>
      </c>
      <c r="F2430" t="str">
        <f>HYPERLINK("https://www.google.com/maps/search/?api=1&amp;query=24.89494171,46.44201942", "View Map")</f>
        <v>View Map</v>
      </c>
    </row>
    <row r="2431" spans="1:6" x14ac:dyDescent="0.35">
      <c r="A2431" t="s">
        <v>2124</v>
      </c>
      <c r="B2431" t="s">
        <v>5760</v>
      </c>
      <c r="C2431" t="s">
        <v>1776</v>
      </c>
      <c r="D2431" t="s">
        <v>318</v>
      </c>
      <c r="E2431">
        <v>424</v>
      </c>
      <c r="F2431" t="str">
        <f>HYPERLINK("https://www.google.com/maps/search/?api=1&amp;query=24.7685038,46.77489772", "View Map")</f>
        <v>View Map</v>
      </c>
    </row>
    <row r="2432" spans="1:6" x14ac:dyDescent="0.35">
      <c r="A2432" t="s">
        <v>5761</v>
      </c>
      <c r="B2432" t="s">
        <v>5762</v>
      </c>
      <c r="C2432" t="s">
        <v>1776</v>
      </c>
      <c r="D2432" t="s">
        <v>318</v>
      </c>
      <c r="E2432">
        <v>423</v>
      </c>
      <c r="F2432" t="str">
        <f>HYPERLINK("https://www.google.com/maps/search/?api=1&amp;query=24.67011137,46.79344317", "View Map")</f>
        <v>View Map</v>
      </c>
    </row>
    <row r="2433" spans="1:6" x14ac:dyDescent="0.35">
      <c r="A2433" t="s">
        <v>5763</v>
      </c>
      <c r="B2433" t="s">
        <v>5764</v>
      </c>
      <c r="C2433" t="s">
        <v>1776</v>
      </c>
      <c r="D2433" t="s">
        <v>318</v>
      </c>
      <c r="E2433">
        <v>422</v>
      </c>
      <c r="F2433" t="str">
        <f>HYPERLINK("https://www.google.com/maps/search/?api=1&amp;query=24.69925973,46.62485364", "View Map")</f>
        <v>View Map</v>
      </c>
    </row>
    <row r="2434" spans="1:6" x14ac:dyDescent="0.35">
      <c r="A2434" t="s">
        <v>5765</v>
      </c>
      <c r="B2434" t="s">
        <v>5766</v>
      </c>
      <c r="C2434" t="s">
        <v>1776</v>
      </c>
      <c r="D2434" t="s">
        <v>318</v>
      </c>
      <c r="E2434">
        <v>419</v>
      </c>
      <c r="F2434" t="str">
        <f>HYPERLINK("https://www.google.com/maps/search/?api=1&amp;query=24.73463634,46.77801906", "View Map")</f>
        <v>View Map</v>
      </c>
    </row>
    <row r="2435" spans="1:6" x14ac:dyDescent="0.35">
      <c r="A2435" t="s">
        <v>5767</v>
      </c>
      <c r="B2435" t="s">
        <v>5768</v>
      </c>
      <c r="C2435" t="s">
        <v>1776</v>
      </c>
      <c r="D2435" t="s">
        <v>318</v>
      </c>
      <c r="E2435">
        <v>418</v>
      </c>
      <c r="F2435" t="str">
        <f>HYPERLINK("https://www.google.com/maps/search/?api=1&amp;query=24.73424269,46.77802372", "View Map")</f>
        <v>View Map</v>
      </c>
    </row>
    <row r="2436" spans="1:6" x14ac:dyDescent="0.35">
      <c r="A2436" t="s">
        <v>5769</v>
      </c>
      <c r="B2436" t="s">
        <v>5770</v>
      </c>
      <c r="C2436" t="s">
        <v>1776</v>
      </c>
      <c r="D2436" t="s">
        <v>9</v>
      </c>
      <c r="E2436">
        <v>416</v>
      </c>
      <c r="F2436" t="str">
        <f>HYPERLINK("https://www.google.com/maps/search/?api=1&amp;query=24.5010915,46.62421355", "View Map")</f>
        <v>View Map</v>
      </c>
    </row>
    <row r="2437" spans="1:6" x14ac:dyDescent="0.35">
      <c r="A2437" t="s">
        <v>5771</v>
      </c>
      <c r="B2437" t="s">
        <v>5772</v>
      </c>
      <c r="C2437" t="s">
        <v>1776</v>
      </c>
      <c r="D2437" t="s">
        <v>318</v>
      </c>
      <c r="E2437">
        <v>411</v>
      </c>
      <c r="F2437" t="str">
        <f>HYPERLINK("https://www.google.com/maps/search/?api=1&amp;query=24.68752605,46.83081952", "View Map")</f>
        <v>View Map</v>
      </c>
    </row>
    <row r="2438" spans="1:6" x14ac:dyDescent="0.35">
      <c r="A2438" t="s">
        <v>1798</v>
      </c>
      <c r="B2438" t="s">
        <v>5773</v>
      </c>
      <c r="C2438" t="s">
        <v>1776</v>
      </c>
      <c r="D2438" t="s">
        <v>318</v>
      </c>
      <c r="E2438">
        <v>406</v>
      </c>
      <c r="F2438" t="str">
        <f>HYPERLINK("https://www.google.com/maps/search/?api=1&amp;query=24.62169553,46.74022461", "View Map")</f>
        <v>View Map</v>
      </c>
    </row>
    <row r="2439" spans="1:6" x14ac:dyDescent="0.35">
      <c r="A2439" t="s">
        <v>5774</v>
      </c>
      <c r="B2439" t="s">
        <v>5775</v>
      </c>
      <c r="C2439" t="s">
        <v>1776</v>
      </c>
      <c r="D2439" t="s">
        <v>318</v>
      </c>
      <c r="E2439">
        <v>404</v>
      </c>
      <c r="F2439" t="str">
        <f>HYPERLINK("https://www.google.com/maps/search/?api=1&amp;query=24.65851891,46.80514329", "View Map")</f>
        <v>View Map</v>
      </c>
    </row>
    <row r="2440" spans="1:6" x14ac:dyDescent="0.35">
      <c r="A2440" t="s">
        <v>1798</v>
      </c>
      <c r="B2440" t="s">
        <v>5776</v>
      </c>
      <c r="C2440" t="s">
        <v>1843</v>
      </c>
      <c r="D2440" t="s">
        <v>318</v>
      </c>
      <c r="E2440">
        <v>402</v>
      </c>
      <c r="F2440" t="str">
        <f>HYPERLINK("https://www.google.com/maps/search/?api=1&amp;query=24.7509973,46.56875915", "View Map")</f>
        <v>View Map</v>
      </c>
    </row>
    <row r="2441" spans="1:6" x14ac:dyDescent="0.35">
      <c r="A2441" t="s">
        <v>5213</v>
      </c>
      <c r="B2441" t="s">
        <v>5777</v>
      </c>
      <c r="C2441" t="s">
        <v>1776</v>
      </c>
      <c r="D2441" t="s">
        <v>318</v>
      </c>
      <c r="E2441">
        <v>399</v>
      </c>
      <c r="F2441" t="str">
        <f>HYPERLINK("https://www.google.com/maps/search/?api=1&amp;query=24.71382511,46.61124475", "View Map")</f>
        <v>View Map</v>
      </c>
    </row>
    <row r="2442" spans="1:6" x14ac:dyDescent="0.35">
      <c r="A2442" t="s">
        <v>5778</v>
      </c>
      <c r="B2442" t="s">
        <v>5779</v>
      </c>
      <c r="C2442" t="s">
        <v>1776</v>
      </c>
      <c r="D2442" t="s">
        <v>318</v>
      </c>
      <c r="E2442">
        <v>397</v>
      </c>
      <c r="F2442" t="str">
        <f>HYPERLINK("https://www.google.com/maps/search/?api=1&amp;query=24.57046906,46.6182374", "View Map")</f>
        <v>View Map</v>
      </c>
    </row>
    <row r="2443" spans="1:6" x14ac:dyDescent="0.35">
      <c r="A2443" t="s">
        <v>1798</v>
      </c>
      <c r="B2443" t="s">
        <v>5780</v>
      </c>
      <c r="C2443" t="s">
        <v>1776</v>
      </c>
      <c r="D2443" t="s">
        <v>318</v>
      </c>
      <c r="E2443">
        <v>397</v>
      </c>
      <c r="F2443" t="str">
        <f>HYPERLINK("https://www.google.com/maps/search/?api=1&amp;query=24.8067,46.8792", "View Map")</f>
        <v>View Map</v>
      </c>
    </row>
    <row r="2444" spans="1:6" x14ac:dyDescent="0.35">
      <c r="A2444" t="s">
        <v>5781</v>
      </c>
      <c r="B2444" t="s">
        <v>5782</v>
      </c>
      <c r="C2444" t="s">
        <v>1776</v>
      </c>
      <c r="D2444" t="s">
        <v>318</v>
      </c>
      <c r="E2444">
        <v>396</v>
      </c>
      <c r="F2444" t="str">
        <f>HYPERLINK("https://www.google.com/maps/search/?api=1&amp;query=24.74081802,46.84435842", "View Map")</f>
        <v>View Map</v>
      </c>
    </row>
    <row r="2445" spans="1:6" x14ac:dyDescent="0.35">
      <c r="A2445" t="s">
        <v>1798</v>
      </c>
      <c r="B2445" t="s">
        <v>5783</v>
      </c>
      <c r="C2445" t="s">
        <v>1776</v>
      </c>
      <c r="D2445" t="s">
        <v>318</v>
      </c>
      <c r="E2445">
        <v>396</v>
      </c>
      <c r="F2445" t="str">
        <f>HYPERLINK("https://www.google.com/maps/search/?api=1&amp;query=24.88863907,46.6053174", "View Map")</f>
        <v>View Map</v>
      </c>
    </row>
    <row r="2446" spans="1:6" x14ac:dyDescent="0.35">
      <c r="A2446" t="s">
        <v>5784</v>
      </c>
      <c r="B2446" t="s">
        <v>5785</v>
      </c>
      <c r="C2446" t="s">
        <v>1843</v>
      </c>
      <c r="D2446" t="s">
        <v>318</v>
      </c>
      <c r="E2446">
        <v>393</v>
      </c>
      <c r="F2446" t="str">
        <f>HYPERLINK("https://www.google.com/maps/search/?api=1&amp;query=24.75189426,46.53511499", "View Map")</f>
        <v>View Map</v>
      </c>
    </row>
    <row r="2447" spans="1:6" x14ac:dyDescent="0.35">
      <c r="A2447" t="s">
        <v>1947</v>
      </c>
      <c r="B2447" t="s">
        <v>5786</v>
      </c>
      <c r="C2447" t="s">
        <v>1776</v>
      </c>
      <c r="D2447" t="s">
        <v>318</v>
      </c>
      <c r="E2447">
        <v>392</v>
      </c>
      <c r="F2447" t="str">
        <f>HYPERLINK("https://www.google.com/maps/search/?api=1&amp;query=24.48765947,46.63532146", "View Map")</f>
        <v>View Map</v>
      </c>
    </row>
    <row r="2448" spans="1:6" x14ac:dyDescent="0.35">
      <c r="A2448" t="s">
        <v>5787</v>
      </c>
      <c r="B2448" t="s">
        <v>5788</v>
      </c>
      <c r="C2448" t="s">
        <v>1776</v>
      </c>
      <c r="D2448" t="s">
        <v>318</v>
      </c>
      <c r="E2448">
        <v>390</v>
      </c>
      <c r="F2448" t="str">
        <f>HYPERLINK("https://www.google.com/maps/search/?api=1&amp;query=24.74773026,46.82348913", "View Map")</f>
        <v>View Map</v>
      </c>
    </row>
    <row r="2449" spans="1:6" x14ac:dyDescent="0.35">
      <c r="A2449" t="s">
        <v>5789</v>
      </c>
      <c r="B2449" t="s">
        <v>5790</v>
      </c>
      <c r="C2449" t="s">
        <v>1776</v>
      </c>
      <c r="D2449" t="s">
        <v>318</v>
      </c>
      <c r="E2449">
        <v>389</v>
      </c>
      <c r="F2449" t="str">
        <f>HYPERLINK("https://www.google.com/maps/search/?api=1&amp;query=24.57384886,46.71337917", "View Map")</f>
        <v>View Map</v>
      </c>
    </row>
    <row r="2450" spans="1:6" x14ac:dyDescent="0.35">
      <c r="A2450" t="s">
        <v>5791</v>
      </c>
      <c r="B2450" t="s">
        <v>5792</v>
      </c>
      <c r="C2450" t="s">
        <v>1776</v>
      </c>
      <c r="D2450" t="s">
        <v>318</v>
      </c>
      <c r="E2450">
        <v>385</v>
      </c>
      <c r="F2450" t="str">
        <f>HYPERLINK("https://www.google.com/maps/search/?api=1&amp;query=24.78808545,46.90147752", "View Map")</f>
        <v>View Map</v>
      </c>
    </row>
    <row r="2451" spans="1:6" x14ac:dyDescent="0.35">
      <c r="A2451" t="s">
        <v>5793</v>
      </c>
      <c r="B2451" t="s">
        <v>5794</v>
      </c>
      <c r="C2451" t="s">
        <v>1776</v>
      </c>
      <c r="D2451" t="s">
        <v>318</v>
      </c>
      <c r="E2451">
        <v>381</v>
      </c>
      <c r="F2451" t="str">
        <f>HYPERLINK("https://www.google.com/maps/search/?api=1&amp;query=24.73463213,46.77801222", "View Map")</f>
        <v>View Map</v>
      </c>
    </row>
    <row r="2452" spans="1:6" x14ac:dyDescent="0.35">
      <c r="A2452" t="s">
        <v>5795</v>
      </c>
      <c r="B2452" t="s">
        <v>5796</v>
      </c>
      <c r="C2452" t="s">
        <v>1776</v>
      </c>
      <c r="D2452" t="s">
        <v>318</v>
      </c>
      <c r="E2452">
        <v>380</v>
      </c>
      <c r="F2452" t="str">
        <f>HYPERLINK("https://www.google.com/maps/search/?api=1&amp;query=24.69785448,46.83342102", "View Map")</f>
        <v>View Map</v>
      </c>
    </row>
    <row r="2453" spans="1:6" x14ac:dyDescent="0.35">
      <c r="A2453" t="s">
        <v>5797</v>
      </c>
      <c r="B2453" t="s">
        <v>5798</v>
      </c>
      <c r="C2453" t="s">
        <v>1776</v>
      </c>
      <c r="D2453" t="s">
        <v>318</v>
      </c>
      <c r="E2453">
        <v>380</v>
      </c>
      <c r="F2453" t="str">
        <f>HYPERLINK("https://www.google.com/maps/search/?api=1&amp;query=24.71676687,46.83745102", "View Map")</f>
        <v>View Map</v>
      </c>
    </row>
    <row r="2454" spans="1:6" x14ac:dyDescent="0.35">
      <c r="A2454" t="s">
        <v>1800</v>
      </c>
      <c r="B2454" t="s">
        <v>5799</v>
      </c>
      <c r="C2454" t="s">
        <v>1776</v>
      </c>
      <c r="D2454" t="s">
        <v>318</v>
      </c>
      <c r="E2454">
        <v>379</v>
      </c>
      <c r="F2454" t="str">
        <f>HYPERLINK("https://www.google.com/maps/search/?api=1&amp;query=24.71360067,46.82437061", "View Map")</f>
        <v>View Map</v>
      </c>
    </row>
    <row r="2455" spans="1:6" x14ac:dyDescent="0.35">
      <c r="A2455" t="s">
        <v>5800</v>
      </c>
      <c r="B2455" t="s">
        <v>5801</v>
      </c>
      <c r="C2455" t="s">
        <v>1776</v>
      </c>
      <c r="D2455" t="s">
        <v>318</v>
      </c>
      <c r="E2455">
        <v>379</v>
      </c>
      <c r="F2455" t="str">
        <f>HYPERLINK("https://www.google.com/maps/search/?api=1&amp;query=24.75972717,46.61051843", "View Map")</f>
        <v>View Map</v>
      </c>
    </row>
    <row r="2456" spans="1:6" x14ac:dyDescent="0.35">
      <c r="A2456" t="s">
        <v>1798</v>
      </c>
      <c r="B2456" t="s">
        <v>5802</v>
      </c>
      <c r="C2456" t="s">
        <v>1776</v>
      </c>
      <c r="D2456" t="s">
        <v>318</v>
      </c>
      <c r="E2456">
        <v>378</v>
      </c>
      <c r="F2456" t="str">
        <f>HYPERLINK("https://www.google.com/maps/search/?api=1&amp;query=24.76839986,46.83408547", "View Map")</f>
        <v>View Map</v>
      </c>
    </row>
    <row r="2457" spans="1:6" x14ac:dyDescent="0.35">
      <c r="A2457" t="s">
        <v>5803</v>
      </c>
      <c r="B2457" t="s">
        <v>5804</v>
      </c>
      <c r="C2457" t="s">
        <v>1776</v>
      </c>
      <c r="D2457" t="s">
        <v>318</v>
      </c>
      <c r="E2457">
        <v>373</v>
      </c>
      <c r="F2457" t="str">
        <f>HYPERLINK("https://www.google.com/maps/search/?api=1&amp;query=24.77773437,46.7627915", "View Map")</f>
        <v>View Map</v>
      </c>
    </row>
    <row r="2458" spans="1:6" x14ac:dyDescent="0.35">
      <c r="A2458" t="s">
        <v>5805</v>
      </c>
      <c r="B2458" t="s">
        <v>5806</v>
      </c>
      <c r="C2458" t="s">
        <v>1776</v>
      </c>
      <c r="D2458" t="s">
        <v>318</v>
      </c>
      <c r="E2458">
        <v>372</v>
      </c>
      <c r="F2458" t="str">
        <f>HYPERLINK("https://www.google.com/maps/search/?api=1&amp;query=24.78995232,46.66200466", "View Map")</f>
        <v>View Map</v>
      </c>
    </row>
    <row r="2459" spans="1:6" x14ac:dyDescent="0.35">
      <c r="A2459" t="s">
        <v>1798</v>
      </c>
      <c r="B2459" t="s">
        <v>5807</v>
      </c>
      <c r="C2459" t="s">
        <v>1776</v>
      </c>
      <c r="D2459" t="s">
        <v>318</v>
      </c>
      <c r="E2459">
        <v>367</v>
      </c>
      <c r="F2459" t="str">
        <f>HYPERLINK("https://www.google.com/maps/search/?api=1&amp;query=24.66616227,46.68107825", "View Map")</f>
        <v>View Map</v>
      </c>
    </row>
    <row r="2460" spans="1:6" x14ac:dyDescent="0.35">
      <c r="A2460" t="s">
        <v>5808</v>
      </c>
      <c r="B2460" t="s">
        <v>5809</v>
      </c>
      <c r="C2460" t="s">
        <v>1776</v>
      </c>
      <c r="D2460" t="s">
        <v>318</v>
      </c>
      <c r="E2460">
        <v>367</v>
      </c>
      <c r="F2460" t="str">
        <f>HYPERLINK("https://www.google.com/maps/search/?api=1&amp;query=24.7629499,46.69123064", "View Map")</f>
        <v>View Map</v>
      </c>
    </row>
    <row r="2461" spans="1:6" x14ac:dyDescent="0.35">
      <c r="A2461" t="s">
        <v>1794</v>
      </c>
      <c r="B2461" t="s">
        <v>5810</v>
      </c>
      <c r="C2461" t="s">
        <v>1776</v>
      </c>
      <c r="D2461" t="s">
        <v>318</v>
      </c>
      <c r="E2461">
        <v>366</v>
      </c>
      <c r="F2461" t="str">
        <f>HYPERLINK("https://www.google.com/maps/search/?api=1&amp;query=24.79565301,46.60994772", "View Map")</f>
        <v>View Map</v>
      </c>
    </row>
    <row r="2462" spans="1:6" x14ac:dyDescent="0.35">
      <c r="A2462" t="s">
        <v>5811</v>
      </c>
      <c r="B2462" t="s">
        <v>5812</v>
      </c>
      <c r="C2462" t="s">
        <v>1776</v>
      </c>
      <c r="D2462" t="s">
        <v>318</v>
      </c>
      <c r="E2462">
        <v>363</v>
      </c>
      <c r="F2462" t="str">
        <f>HYPERLINK("https://www.google.com/maps/search/?api=1&amp;query=24.63558934,46.68807658", "View Map")</f>
        <v>View Map</v>
      </c>
    </row>
    <row r="2463" spans="1:6" x14ac:dyDescent="0.35">
      <c r="A2463" t="s">
        <v>5813</v>
      </c>
      <c r="B2463" t="s">
        <v>5814</v>
      </c>
      <c r="C2463" t="s">
        <v>1776</v>
      </c>
      <c r="D2463" t="s">
        <v>318</v>
      </c>
      <c r="E2463">
        <v>361</v>
      </c>
      <c r="F2463" t="str">
        <f>HYPERLINK("https://www.google.com/maps/search/?api=1&amp;query=24.57570091,46.75938962", "View Map")</f>
        <v>View Map</v>
      </c>
    </row>
    <row r="2464" spans="1:6" x14ac:dyDescent="0.35">
      <c r="A2464" t="s">
        <v>5815</v>
      </c>
      <c r="B2464" t="s">
        <v>5816</v>
      </c>
      <c r="C2464" t="s">
        <v>1776</v>
      </c>
      <c r="D2464" t="s">
        <v>318</v>
      </c>
      <c r="E2464">
        <v>360</v>
      </c>
      <c r="F2464" t="str">
        <f>HYPERLINK("https://www.google.com/maps/search/?api=1&amp;query=24.59168432,46.71777495", "View Map")</f>
        <v>View Map</v>
      </c>
    </row>
    <row r="2465" spans="1:6" x14ac:dyDescent="0.35">
      <c r="A2465" t="s">
        <v>5817</v>
      </c>
      <c r="B2465" t="s">
        <v>5818</v>
      </c>
      <c r="C2465" t="s">
        <v>1776</v>
      </c>
      <c r="D2465" t="s">
        <v>318</v>
      </c>
      <c r="E2465">
        <v>360</v>
      </c>
      <c r="F2465" t="str">
        <f>HYPERLINK("https://www.google.com/maps/search/?api=1&amp;query=24.59949314,46.70537345", "View Map")</f>
        <v>View Map</v>
      </c>
    </row>
    <row r="2466" spans="1:6" x14ac:dyDescent="0.35">
      <c r="A2466" t="s">
        <v>5819</v>
      </c>
      <c r="B2466" t="s">
        <v>5820</v>
      </c>
      <c r="C2466" t="s">
        <v>1776</v>
      </c>
      <c r="D2466" t="s">
        <v>318</v>
      </c>
      <c r="E2466">
        <v>355</v>
      </c>
      <c r="F2466" t="str">
        <f>HYPERLINK("https://www.google.com/maps/search/?api=1&amp;query=24.58240149,46.76198493", "View Map")</f>
        <v>View Map</v>
      </c>
    </row>
    <row r="2467" spans="1:6" x14ac:dyDescent="0.35">
      <c r="A2467" t="s">
        <v>5821</v>
      </c>
      <c r="B2467" t="s">
        <v>5822</v>
      </c>
      <c r="C2467" t="s">
        <v>1776</v>
      </c>
      <c r="D2467" t="s">
        <v>318</v>
      </c>
      <c r="E2467">
        <v>352</v>
      </c>
      <c r="F2467" t="str">
        <f>HYPERLINK("https://www.google.com/maps/search/?api=1&amp;query=24.72781865,46.85025775", "View Map")</f>
        <v>View Map</v>
      </c>
    </row>
    <row r="2468" spans="1:6" x14ac:dyDescent="0.35">
      <c r="A2468" t="s">
        <v>5823</v>
      </c>
      <c r="B2468" t="s">
        <v>5824</v>
      </c>
      <c r="C2468" t="s">
        <v>1776</v>
      </c>
      <c r="D2468" t="s">
        <v>318</v>
      </c>
      <c r="E2468">
        <v>352</v>
      </c>
      <c r="F2468" t="str">
        <f>HYPERLINK("https://www.google.com/maps/search/?api=1&amp;query=24.5842836,46.67268871", "View Map")</f>
        <v>View Map</v>
      </c>
    </row>
    <row r="2469" spans="1:6" x14ac:dyDescent="0.35">
      <c r="A2469" t="s">
        <v>4877</v>
      </c>
      <c r="B2469" t="s">
        <v>5825</v>
      </c>
      <c r="C2469" t="s">
        <v>1776</v>
      </c>
      <c r="D2469" t="s">
        <v>318</v>
      </c>
      <c r="E2469">
        <v>351</v>
      </c>
      <c r="F2469" t="str">
        <f>HYPERLINK("https://www.google.com/maps/search/?api=1&amp;query=24.74446412,46.78346912", "View Map")</f>
        <v>View Map</v>
      </c>
    </row>
    <row r="2470" spans="1:6" x14ac:dyDescent="0.35">
      <c r="A2470" t="s">
        <v>5826</v>
      </c>
      <c r="B2470" t="s">
        <v>5827</v>
      </c>
      <c r="C2470" t="s">
        <v>1776</v>
      </c>
      <c r="D2470" t="s">
        <v>318</v>
      </c>
      <c r="E2470">
        <v>351</v>
      </c>
      <c r="F2470" t="str">
        <f>HYPERLINK("https://www.google.com/maps/search/?api=1&amp;query=24.56448392,46.69473232", "View Map")</f>
        <v>View Map</v>
      </c>
    </row>
    <row r="2471" spans="1:6" x14ac:dyDescent="0.35">
      <c r="A2471" t="s">
        <v>5828</v>
      </c>
      <c r="B2471" t="s">
        <v>5829</v>
      </c>
      <c r="C2471" t="s">
        <v>1776</v>
      </c>
      <c r="D2471" t="s">
        <v>318</v>
      </c>
      <c r="E2471">
        <v>351</v>
      </c>
      <c r="F2471" t="str">
        <f>HYPERLINK("https://www.google.com/maps/search/?api=1&amp;query=24.63089997,46.69888684", "View Map")</f>
        <v>View Map</v>
      </c>
    </row>
    <row r="2472" spans="1:6" x14ac:dyDescent="0.35">
      <c r="A2472" t="s">
        <v>1798</v>
      </c>
      <c r="B2472" t="s">
        <v>5830</v>
      </c>
      <c r="C2472" t="s">
        <v>1776</v>
      </c>
      <c r="D2472" t="s">
        <v>318</v>
      </c>
      <c r="E2472">
        <v>350</v>
      </c>
      <c r="F2472" t="str">
        <f>HYPERLINK("https://www.google.com/maps/search/?api=1&amp;query=24.83323989,46.77611144", "View Map")</f>
        <v>View Map</v>
      </c>
    </row>
    <row r="2473" spans="1:6" x14ac:dyDescent="0.35">
      <c r="A2473" t="s">
        <v>1947</v>
      </c>
      <c r="B2473" t="s">
        <v>5831</v>
      </c>
      <c r="C2473" t="s">
        <v>1776</v>
      </c>
      <c r="D2473" t="s">
        <v>318</v>
      </c>
      <c r="E2473">
        <v>349</v>
      </c>
      <c r="F2473" t="str">
        <f>HYPERLINK("https://www.google.com/maps/search/?api=1&amp;query=24.4889,46.6319", "View Map")</f>
        <v>View Map</v>
      </c>
    </row>
    <row r="2474" spans="1:6" x14ac:dyDescent="0.35">
      <c r="A2474" t="s">
        <v>5832</v>
      </c>
      <c r="B2474" t="s">
        <v>5833</v>
      </c>
      <c r="C2474" t="s">
        <v>1776</v>
      </c>
      <c r="D2474" t="s">
        <v>318</v>
      </c>
      <c r="E2474">
        <v>349</v>
      </c>
      <c r="F2474" t="str">
        <f>HYPERLINK("https://www.google.com/maps/search/?api=1&amp;query=24.67507445,46.6926969", "View Map")</f>
        <v>View Map</v>
      </c>
    </row>
    <row r="2475" spans="1:6" x14ac:dyDescent="0.35">
      <c r="A2475" t="s">
        <v>5834</v>
      </c>
      <c r="B2475" t="s">
        <v>5835</v>
      </c>
      <c r="C2475" t="s">
        <v>1776</v>
      </c>
      <c r="D2475" t="s">
        <v>318</v>
      </c>
      <c r="E2475">
        <v>346</v>
      </c>
      <c r="F2475" t="str">
        <f>HYPERLINK("https://www.google.com/maps/search/?api=1&amp;query=24.70915855,46.8009796", "View Map")</f>
        <v>View Map</v>
      </c>
    </row>
    <row r="2476" spans="1:6" x14ac:dyDescent="0.35">
      <c r="A2476" t="s">
        <v>5836</v>
      </c>
      <c r="B2476" t="s">
        <v>5837</v>
      </c>
      <c r="C2476" t="s">
        <v>1776</v>
      </c>
      <c r="D2476" t="s">
        <v>318</v>
      </c>
      <c r="E2476">
        <v>345</v>
      </c>
      <c r="F2476" t="str">
        <f>HYPERLINK("https://www.google.com/maps/search/?api=1&amp;query=24.5558777,46.79015483", "View Map")</f>
        <v>View Map</v>
      </c>
    </row>
    <row r="2477" spans="1:6" x14ac:dyDescent="0.35">
      <c r="A2477" t="s">
        <v>5838</v>
      </c>
      <c r="B2477" t="s">
        <v>5839</v>
      </c>
      <c r="C2477" t="s">
        <v>1776</v>
      </c>
      <c r="D2477" t="s">
        <v>318</v>
      </c>
      <c r="E2477">
        <v>345</v>
      </c>
      <c r="F2477" t="str">
        <f>HYPERLINK("https://www.google.com/maps/search/?api=1&amp;query=24.76599909,46.61819749", "View Map")</f>
        <v>View Map</v>
      </c>
    </row>
    <row r="2478" spans="1:6" x14ac:dyDescent="0.35">
      <c r="A2478" t="s">
        <v>5840</v>
      </c>
      <c r="B2478" t="s">
        <v>5841</v>
      </c>
      <c r="C2478" t="s">
        <v>1776</v>
      </c>
      <c r="D2478" t="s">
        <v>318</v>
      </c>
      <c r="E2478">
        <v>344</v>
      </c>
      <c r="F2478" t="str">
        <f>HYPERLINK("https://www.google.com/maps/search/?api=1&amp;query=24.58888388,46.68225593", "View Map")</f>
        <v>View Map</v>
      </c>
    </row>
    <row r="2479" spans="1:6" x14ac:dyDescent="0.35">
      <c r="A2479" t="s">
        <v>2874</v>
      </c>
      <c r="B2479" t="s">
        <v>5842</v>
      </c>
      <c r="C2479" t="s">
        <v>1776</v>
      </c>
      <c r="D2479" t="s">
        <v>318</v>
      </c>
      <c r="E2479">
        <v>344</v>
      </c>
      <c r="F2479" t="str">
        <f>HYPERLINK("https://www.google.com/maps/search/?api=1&amp;query=24.64886805,46.80071501", "View Map")</f>
        <v>View Map</v>
      </c>
    </row>
    <row r="2480" spans="1:6" x14ac:dyDescent="0.35">
      <c r="A2480" t="s">
        <v>1947</v>
      </c>
      <c r="B2480" t="s">
        <v>5843</v>
      </c>
      <c r="C2480" t="s">
        <v>1776</v>
      </c>
      <c r="D2480" t="s">
        <v>318</v>
      </c>
      <c r="E2480">
        <v>342</v>
      </c>
      <c r="F2480" t="str">
        <f>HYPERLINK("https://www.google.com/maps/search/?api=1&amp;query=24.56193195,46.54860037", "View Map")</f>
        <v>View Map</v>
      </c>
    </row>
    <row r="2481" spans="1:6" x14ac:dyDescent="0.35">
      <c r="A2481" t="s">
        <v>5844</v>
      </c>
      <c r="B2481" t="s">
        <v>5845</v>
      </c>
      <c r="C2481" t="s">
        <v>1776</v>
      </c>
      <c r="D2481" t="s">
        <v>318</v>
      </c>
      <c r="E2481">
        <v>340</v>
      </c>
      <c r="F2481" t="str">
        <f>HYPERLINK("https://www.google.com/maps/search/?api=1&amp;query=24.47968017,46.80468886", "View Map")</f>
        <v>View Map</v>
      </c>
    </row>
    <row r="2482" spans="1:6" x14ac:dyDescent="0.35">
      <c r="A2482" t="s">
        <v>5846</v>
      </c>
      <c r="B2482" t="s">
        <v>5847</v>
      </c>
      <c r="C2482" t="s">
        <v>1776</v>
      </c>
      <c r="D2482" t="s">
        <v>318</v>
      </c>
      <c r="E2482">
        <v>340</v>
      </c>
      <c r="F2482" t="str">
        <f>HYPERLINK("https://www.google.com/maps/search/?api=1&amp;query=24.57482822,46.7925692", "View Map")</f>
        <v>View Map</v>
      </c>
    </row>
    <row r="2483" spans="1:6" x14ac:dyDescent="0.35">
      <c r="A2483" t="s">
        <v>5848</v>
      </c>
      <c r="B2483" t="s">
        <v>5849</v>
      </c>
      <c r="C2483" t="s">
        <v>1776</v>
      </c>
      <c r="D2483" t="s">
        <v>318</v>
      </c>
      <c r="E2483">
        <v>339</v>
      </c>
      <c r="F2483" t="str">
        <f>HYPERLINK("https://www.google.com/maps/search/?api=1&amp;query=24.63271439,46.53268239", "View Map")</f>
        <v>View Map</v>
      </c>
    </row>
    <row r="2484" spans="1:6" x14ac:dyDescent="0.35">
      <c r="A2484" t="s">
        <v>5850</v>
      </c>
      <c r="B2484" t="s">
        <v>5851</v>
      </c>
      <c r="C2484" t="s">
        <v>1776</v>
      </c>
      <c r="D2484" t="s">
        <v>318</v>
      </c>
      <c r="E2484">
        <v>337</v>
      </c>
      <c r="F2484" t="str">
        <f>HYPERLINK("https://www.google.com/maps/search/?api=1&amp;query=24.584545,46.6700254", "View Map")</f>
        <v>View Map</v>
      </c>
    </row>
    <row r="2485" spans="1:6" x14ac:dyDescent="0.35">
      <c r="A2485" t="s">
        <v>5852</v>
      </c>
      <c r="B2485" t="s">
        <v>5853</v>
      </c>
      <c r="C2485" t="s">
        <v>1776</v>
      </c>
      <c r="D2485" t="s">
        <v>318</v>
      </c>
      <c r="E2485">
        <v>334</v>
      </c>
      <c r="F2485" t="str">
        <f>HYPERLINK("https://www.google.com/maps/search/?api=1&amp;query=24.73914909,46.82461504", "View Map")</f>
        <v>View Map</v>
      </c>
    </row>
    <row r="2486" spans="1:6" x14ac:dyDescent="0.35">
      <c r="A2486" t="s">
        <v>5854</v>
      </c>
      <c r="B2486" t="s">
        <v>5855</v>
      </c>
      <c r="C2486" t="s">
        <v>1776</v>
      </c>
      <c r="D2486" t="s">
        <v>318</v>
      </c>
      <c r="E2486">
        <v>334</v>
      </c>
      <c r="F2486" t="str">
        <f>HYPERLINK("https://www.google.com/maps/search/?api=1&amp;query=24.74603712,46.72554078", "View Map")</f>
        <v>View Map</v>
      </c>
    </row>
    <row r="2487" spans="1:6" x14ac:dyDescent="0.35">
      <c r="A2487" t="s">
        <v>2514</v>
      </c>
      <c r="B2487" t="s">
        <v>5856</v>
      </c>
      <c r="C2487" t="s">
        <v>1776</v>
      </c>
      <c r="D2487" t="s">
        <v>318</v>
      </c>
      <c r="E2487">
        <v>333</v>
      </c>
      <c r="F2487" t="str">
        <f>HYPERLINK("https://www.google.com/maps/search/?api=1&amp;query=24.70473601,46.81267078", "View Map")</f>
        <v>View Map</v>
      </c>
    </row>
    <row r="2488" spans="1:6" x14ac:dyDescent="0.35">
      <c r="A2488" t="s">
        <v>5840</v>
      </c>
      <c r="B2488" t="s">
        <v>5857</v>
      </c>
      <c r="C2488" t="s">
        <v>1776</v>
      </c>
      <c r="D2488" t="s">
        <v>318</v>
      </c>
      <c r="E2488">
        <v>332</v>
      </c>
      <c r="F2488" t="str">
        <f>HYPERLINK("https://www.google.com/maps/search/?api=1&amp;query=24.59058566,46.68904697", "View Map")</f>
        <v>View Map</v>
      </c>
    </row>
    <row r="2489" spans="1:6" x14ac:dyDescent="0.35">
      <c r="A2489" t="s">
        <v>1947</v>
      </c>
      <c r="B2489" t="s">
        <v>5858</v>
      </c>
      <c r="C2489" t="s">
        <v>1776</v>
      </c>
      <c r="D2489" t="s">
        <v>318</v>
      </c>
      <c r="E2489">
        <v>331</v>
      </c>
      <c r="F2489" t="str">
        <f>HYPERLINK("https://www.google.com/maps/search/?api=1&amp;query=24.52690324,46.65844168", "View Map")</f>
        <v>View Map</v>
      </c>
    </row>
    <row r="2490" spans="1:6" x14ac:dyDescent="0.35">
      <c r="A2490" t="s">
        <v>5859</v>
      </c>
      <c r="B2490" t="s">
        <v>5860</v>
      </c>
      <c r="C2490" t="s">
        <v>1776</v>
      </c>
      <c r="D2490" t="s">
        <v>318</v>
      </c>
      <c r="E2490">
        <v>325</v>
      </c>
      <c r="F2490" t="str">
        <f>HYPERLINK("https://www.google.com/maps/search/?api=1&amp;query=24.75652679,46.82470708", "View Map")</f>
        <v>View Map</v>
      </c>
    </row>
    <row r="2491" spans="1:6" x14ac:dyDescent="0.35">
      <c r="A2491" t="s">
        <v>5861</v>
      </c>
      <c r="B2491" t="s">
        <v>5862</v>
      </c>
      <c r="C2491" t="s">
        <v>1776</v>
      </c>
      <c r="D2491" t="s">
        <v>318</v>
      </c>
      <c r="E2491">
        <v>323</v>
      </c>
      <c r="F2491" t="str">
        <f>HYPERLINK("https://www.google.com/maps/search/?api=1&amp;query=24.80040579,46.71023779", "View Map")</f>
        <v>View Map</v>
      </c>
    </row>
    <row r="2492" spans="1:6" x14ac:dyDescent="0.35">
      <c r="A2492" t="s">
        <v>5863</v>
      </c>
      <c r="B2492" t="s">
        <v>5864</v>
      </c>
      <c r="C2492" t="s">
        <v>1776</v>
      </c>
      <c r="D2492" t="s">
        <v>318</v>
      </c>
      <c r="E2492">
        <v>322</v>
      </c>
      <c r="F2492" t="str">
        <f>HYPERLINK("https://www.google.com/maps/search/?api=1&amp;query=24.69921059,46.85217229", "View Map")</f>
        <v>View Map</v>
      </c>
    </row>
    <row r="2493" spans="1:6" x14ac:dyDescent="0.35">
      <c r="A2493" t="s">
        <v>5865</v>
      </c>
      <c r="B2493" t="s">
        <v>5866</v>
      </c>
      <c r="C2493" t="s">
        <v>1776</v>
      </c>
      <c r="D2493" t="s">
        <v>318</v>
      </c>
      <c r="E2493">
        <v>322</v>
      </c>
      <c r="F2493" t="str">
        <f>HYPERLINK("https://www.google.com/maps/search/?api=1&amp;query=24.71654173,46.79855543", "View Map")</f>
        <v>View Map</v>
      </c>
    </row>
    <row r="2494" spans="1:6" x14ac:dyDescent="0.35">
      <c r="A2494" t="s">
        <v>5867</v>
      </c>
      <c r="B2494" t="s">
        <v>5868</v>
      </c>
      <c r="C2494" t="s">
        <v>1776</v>
      </c>
      <c r="D2494" t="s">
        <v>318</v>
      </c>
      <c r="E2494">
        <v>322</v>
      </c>
      <c r="F2494" t="str">
        <f>HYPERLINK("https://www.google.com/maps/search/?api=1&amp;query=24.7339594,46.74493408", "View Map")</f>
        <v>View Map</v>
      </c>
    </row>
    <row r="2495" spans="1:6" x14ac:dyDescent="0.35">
      <c r="A2495" t="s">
        <v>1798</v>
      </c>
      <c r="B2495" t="s">
        <v>5869</v>
      </c>
      <c r="C2495" t="s">
        <v>1776</v>
      </c>
      <c r="D2495" t="s">
        <v>318</v>
      </c>
      <c r="E2495">
        <v>321</v>
      </c>
      <c r="F2495" t="str">
        <f>HYPERLINK("https://www.google.com/maps/search/?api=1&amp;query=24.56421454,46.80790653", "View Map")</f>
        <v>View Map</v>
      </c>
    </row>
    <row r="2496" spans="1:6" x14ac:dyDescent="0.35">
      <c r="A2496" t="s">
        <v>5870</v>
      </c>
      <c r="B2496" t="s">
        <v>5871</v>
      </c>
      <c r="C2496" t="s">
        <v>1776</v>
      </c>
      <c r="D2496" t="s">
        <v>318</v>
      </c>
      <c r="E2496">
        <v>320</v>
      </c>
      <c r="F2496" t="str">
        <f>HYPERLINK("https://www.google.com/maps/search/?api=1&amp;query=24.70083532,46.76946321", "View Map")</f>
        <v>View Map</v>
      </c>
    </row>
    <row r="2497" spans="1:6" x14ac:dyDescent="0.35">
      <c r="A2497" t="s">
        <v>5872</v>
      </c>
      <c r="B2497" t="s">
        <v>5873</v>
      </c>
      <c r="C2497" t="s">
        <v>1776</v>
      </c>
      <c r="D2497" t="s">
        <v>318</v>
      </c>
      <c r="E2497">
        <v>320</v>
      </c>
      <c r="F2497" t="str">
        <f>HYPERLINK("https://www.google.com/maps/search/?api=1&amp;query=24.67439876,46.66396239", "View Map")</f>
        <v>View Map</v>
      </c>
    </row>
    <row r="2498" spans="1:6" x14ac:dyDescent="0.35">
      <c r="A2498" t="s">
        <v>5874</v>
      </c>
      <c r="B2498" t="s">
        <v>5875</v>
      </c>
      <c r="C2498" t="s">
        <v>1776</v>
      </c>
      <c r="D2498" t="s">
        <v>318</v>
      </c>
      <c r="E2498">
        <v>319</v>
      </c>
      <c r="F2498" t="str">
        <f>HYPERLINK("https://www.google.com/maps/search/?api=1&amp;query=24.77912425,46.74615559", "View Map")</f>
        <v>View Map</v>
      </c>
    </row>
    <row r="2499" spans="1:6" x14ac:dyDescent="0.35">
      <c r="A2499" t="s">
        <v>1947</v>
      </c>
      <c r="B2499" t="s">
        <v>5876</v>
      </c>
      <c r="C2499" t="s">
        <v>1776</v>
      </c>
      <c r="D2499" t="s">
        <v>318</v>
      </c>
      <c r="E2499">
        <v>316</v>
      </c>
      <c r="F2499" t="str">
        <f>HYPERLINK("https://www.google.com/maps/search/?api=1&amp;query=24.5533,46.5428", "View Map")</f>
        <v>View Map</v>
      </c>
    </row>
    <row r="2500" spans="1:6" x14ac:dyDescent="0.35">
      <c r="A2500" t="s">
        <v>5877</v>
      </c>
      <c r="B2500" t="s">
        <v>5878</v>
      </c>
      <c r="C2500" t="s">
        <v>1776</v>
      </c>
      <c r="D2500" t="s">
        <v>318</v>
      </c>
      <c r="E2500">
        <v>316</v>
      </c>
      <c r="F2500" t="str">
        <f>HYPERLINK("https://www.google.com/maps/search/?api=1&amp;query=24.60466498,46.63437106", "View Map")</f>
        <v>View Map</v>
      </c>
    </row>
    <row r="2501" spans="1:6" x14ac:dyDescent="0.35">
      <c r="A2501" t="s">
        <v>5879</v>
      </c>
      <c r="B2501" t="s">
        <v>5880</v>
      </c>
      <c r="C2501" t="s">
        <v>1776</v>
      </c>
      <c r="D2501" t="s">
        <v>318</v>
      </c>
      <c r="E2501">
        <v>316</v>
      </c>
      <c r="F2501" t="str">
        <f>HYPERLINK("https://www.google.com/maps/search/?api=1&amp;query=24.72711563,46.65582048", "View Map")</f>
        <v>View Map</v>
      </c>
    </row>
    <row r="2502" spans="1:6" x14ac:dyDescent="0.35">
      <c r="A2502" t="s">
        <v>5881</v>
      </c>
      <c r="B2502" t="s">
        <v>5882</v>
      </c>
      <c r="C2502" t="s">
        <v>1776</v>
      </c>
      <c r="D2502" t="s">
        <v>318</v>
      </c>
      <c r="E2502">
        <v>316</v>
      </c>
      <c r="F2502" t="str">
        <f>HYPERLINK("https://www.google.com/maps/search/?api=1&amp;query=24.57658581,46.61862011", "View Map")</f>
        <v>View Map</v>
      </c>
    </row>
    <row r="2503" spans="1:6" x14ac:dyDescent="0.35">
      <c r="A2503" t="s">
        <v>5883</v>
      </c>
      <c r="B2503" t="s">
        <v>5884</v>
      </c>
      <c r="C2503" t="s">
        <v>1776</v>
      </c>
      <c r="D2503" t="s">
        <v>318</v>
      </c>
      <c r="E2503">
        <v>315</v>
      </c>
      <c r="F2503" t="str">
        <f>HYPERLINK("https://www.google.com/maps/search/?api=1&amp;query=24.61205914,46.73509434", "View Map")</f>
        <v>View Map</v>
      </c>
    </row>
    <row r="2504" spans="1:6" x14ac:dyDescent="0.35">
      <c r="A2504" t="s">
        <v>1798</v>
      </c>
      <c r="B2504" t="s">
        <v>5885</v>
      </c>
      <c r="C2504" t="s">
        <v>1776</v>
      </c>
      <c r="D2504" t="s">
        <v>318</v>
      </c>
      <c r="E2504">
        <v>314</v>
      </c>
      <c r="F2504" t="str">
        <f>HYPERLINK("https://www.google.com/maps/search/?api=1&amp;query=24.57879545,46.76070941", "View Map")</f>
        <v>View Map</v>
      </c>
    </row>
    <row r="2505" spans="1:6" x14ac:dyDescent="0.35">
      <c r="A2505" t="s">
        <v>5886</v>
      </c>
      <c r="B2505" t="s">
        <v>5887</v>
      </c>
      <c r="C2505" t="s">
        <v>1776</v>
      </c>
      <c r="D2505" t="s">
        <v>318</v>
      </c>
      <c r="E2505">
        <v>313</v>
      </c>
      <c r="F2505" t="str">
        <f>HYPERLINK("https://www.google.com/maps/search/?api=1&amp;query=24.78494227,46.62163175", "View Map")</f>
        <v>View Map</v>
      </c>
    </row>
    <row r="2506" spans="1:6" x14ac:dyDescent="0.35">
      <c r="A2506" t="s">
        <v>5888</v>
      </c>
      <c r="B2506" t="s">
        <v>5889</v>
      </c>
      <c r="C2506" t="s">
        <v>1776</v>
      </c>
      <c r="D2506" t="s">
        <v>318</v>
      </c>
      <c r="E2506">
        <v>312</v>
      </c>
      <c r="F2506" t="str">
        <f>HYPERLINK("https://www.google.com/maps/search/?api=1&amp;query=24.5408,46.6944", "View Map")</f>
        <v>View Map</v>
      </c>
    </row>
    <row r="2507" spans="1:6" x14ac:dyDescent="0.35">
      <c r="A2507" t="s">
        <v>5890</v>
      </c>
      <c r="B2507" t="s">
        <v>5891</v>
      </c>
      <c r="C2507" t="s">
        <v>1843</v>
      </c>
      <c r="D2507" t="s">
        <v>318</v>
      </c>
      <c r="E2507">
        <v>312</v>
      </c>
      <c r="F2507" t="str">
        <f>HYPERLINK("https://www.google.com/maps/search/?api=1&amp;query=24.78929589,46.4258794", "View Map")</f>
        <v>View Map</v>
      </c>
    </row>
    <row r="2508" spans="1:6" x14ac:dyDescent="0.35">
      <c r="A2508" t="s">
        <v>5892</v>
      </c>
      <c r="B2508" t="s">
        <v>5893</v>
      </c>
      <c r="C2508" t="s">
        <v>1776</v>
      </c>
      <c r="D2508" t="s">
        <v>318</v>
      </c>
      <c r="E2508">
        <v>312</v>
      </c>
      <c r="F2508" t="str">
        <f>HYPERLINK("https://www.google.com/maps/search/?api=1&amp;query=24.58033104,46.59097735", "View Map")</f>
        <v>View Map</v>
      </c>
    </row>
    <row r="2509" spans="1:6" x14ac:dyDescent="0.35">
      <c r="A2509" t="s">
        <v>5894</v>
      </c>
      <c r="B2509" t="s">
        <v>5895</v>
      </c>
      <c r="C2509" t="s">
        <v>1776</v>
      </c>
      <c r="D2509" t="s">
        <v>318</v>
      </c>
      <c r="E2509">
        <v>311</v>
      </c>
      <c r="F2509" t="str">
        <f>HYPERLINK("https://www.google.com/maps/search/?api=1&amp;query=24.57000921,46.71039582", "View Map")</f>
        <v>View Map</v>
      </c>
    </row>
    <row r="2510" spans="1:6" x14ac:dyDescent="0.35">
      <c r="A2510" t="s">
        <v>5896</v>
      </c>
      <c r="B2510" t="s">
        <v>5897</v>
      </c>
      <c r="C2510" t="s">
        <v>1776</v>
      </c>
      <c r="D2510" t="s">
        <v>318</v>
      </c>
      <c r="E2510">
        <v>310</v>
      </c>
      <c r="F2510" t="str">
        <f>HYPERLINK("https://www.google.com/maps/search/?api=1&amp;query=24.586637,46.60297669", "View Map")</f>
        <v>View Map</v>
      </c>
    </row>
    <row r="2511" spans="1:6" x14ac:dyDescent="0.35">
      <c r="A2511" t="s">
        <v>5898</v>
      </c>
      <c r="B2511" t="s">
        <v>5899</v>
      </c>
      <c r="C2511" t="s">
        <v>1776</v>
      </c>
      <c r="D2511" t="s">
        <v>318</v>
      </c>
      <c r="E2511">
        <v>309</v>
      </c>
      <c r="F2511" t="str">
        <f>HYPERLINK("https://www.google.com/maps/search/?api=1&amp;query=24.68954053,46.64155291", "View Map")</f>
        <v>View Map</v>
      </c>
    </row>
    <row r="2512" spans="1:6" x14ac:dyDescent="0.35">
      <c r="A2512" t="s">
        <v>5900</v>
      </c>
      <c r="B2512" t="s">
        <v>5901</v>
      </c>
      <c r="C2512" t="s">
        <v>1776</v>
      </c>
      <c r="D2512" t="s">
        <v>318</v>
      </c>
      <c r="E2512">
        <v>308</v>
      </c>
      <c r="F2512" t="str">
        <f>HYPERLINK("https://www.google.com/maps/search/?api=1&amp;query=24.54567425,46.67219982", "View Map")</f>
        <v>View Map</v>
      </c>
    </row>
    <row r="2513" spans="1:6" x14ac:dyDescent="0.35">
      <c r="A2513" t="s">
        <v>5902</v>
      </c>
      <c r="B2513" t="s">
        <v>5903</v>
      </c>
      <c r="C2513" t="s">
        <v>1776</v>
      </c>
      <c r="D2513" t="s">
        <v>318</v>
      </c>
      <c r="E2513">
        <v>308</v>
      </c>
      <c r="F2513" t="str">
        <f>HYPERLINK("https://www.google.com/maps/search/?api=1&amp;query=24.6123126,46.71145752", "View Map")</f>
        <v>View Map</v>
      </c>
    </row>
    <row r="2514" spans="1:6" x14ac:dyDescent="0.35">
      <c r="A2514" t="s">
        <v>5904</v>
      </c>
      <c r="B2514" t="s">
        <v>5905</v>
      </c>
      <c r="C2514" t="s">
        <v>1776</v>
      </c>
      <c r="D2514" t="s">
        <v>318</v>
      </c>
      <c r="E2514">
        <v>305</v>
      </c>
      <c r="F2514" t="str">
        <f>HYPERLINK("https://www.google.com/maps/search/?api=1&amp;query=24.77760132,46.62092336", "View Map")</f>
        <v>View Map</v>
      </c>
    </row>
    <row r="2515" spans="1:6" x14ac:dyDescent="0.35">
      <c r="A2515" t="s">
        <v>5906</v>
      </c>
      <c r="B2515" t="s">
        <v>5907</v>
      </c>
      <c r="C2515" t="s">
        <v>1776</v>
      </c>
      <c r="D2515" t="s">
        <v>318</v>
      </c>
      <c r="E2515">
        <v>302</v>
      </c>
      <c r="F2515" t="str">
        <f>HYPERLINK("https://www.google.com/maps/search/?api=1&amp;query=24.82032996,46.76044133", "View Map")</f>
        <v>View Map</v>
      </c>
    </row>
    <row r="2516" spans="1:6" x14ac:dyDescent="0.35">
      <c r="A2516" t="s">
        <v>5908</v>
      </c>
      <c r="B2516" t="s">
        <v>5909</v>
      </c>
      <c r="C2516" t="s">
        <v>1776</v>
      </c>
      <c r="D2516" t="s">
        <v>318</v>
      </c>
      <c r="E2516">
        <v>301</v>
      </c>
      <c r="F2516" t="str">
        <f>HYPERLINK("https://www.google.com/maps/search/?api=1&amp;query=24.63914295,46.70451745", "View Map")</f>
        <v>View Map</v>
      </c>
    </row>
    <row r="2517" spans="1:6" x14ac:dyDescent="0.35">
      <c r="A2517" t="s">
        <v>5632</v>
      </c>
      <c r="B2517" t="s">
        <v>5910</v>
      </c>
      <c r="C2517" t="s">
        <v>1776</v>
      </c>
      <c r="D2517" t="s">
        <v>318</v>
      </c>
      <c r="E2517">
        <v>300</v>
      </c>
      <c r="F2517" t="str">
        <f>HYPERLINK("https://www.google.com/maps/search/?api=1&amp;query=24.82270876,46.63974852", "View Map")</f>
        <v>View Map</v>
      </c>
    </row>
    <row r="2518" spans="1:6" x14ac:dyDescent="0.35">
      <c r="A2518" t="s">
        <v>4326</v>
      </c>
      <c r="B2518" t="s">
        <v>5911</v>
      </c>
      <c r="C2518" t="s">
        <v>1776</v>
      </c>
      <c r="D2518" t="s">
        <v>318</v>
      </c>
      <c r="E2518">
        <v>300</v>
      </c>
      <c r="F2518" t="str">
        <f>HYPERLINK("https://www.google.com/maps/search/?api=1&amp;query=24.68521732,46.82861433", "View Map")</f>
        <v>View Map</v>
      </c>
    </row>
    <row r="2519" spans="1:6" x14ac:dyDescent="0.35">
      <c r="A2519" t="s">
        <v>5912</v>
      </c>
      <c r="B2519" t="s">
        <v>5913</v>
      </c>
      <c r="C2519" t="s">
        <v>1776</v>
      </c>
      <c r="D2519" t="s">
        <v>318</v>
      </c>
      <c r="E2519">
        <v>299</v>
      </c>
      <c r="F2519" t="str">
        <f>HYPERLINK("https://www.google.com/maps/search/?api=1&amp;query=24.70187815,46.85983424", "View Map")</f>
        <v>View Map</v>
      </c>
    </row>
    <row r="2520" spans="1:6" x14ac:dyDescent="0.35">
      <c r="A2520" t="s">
        <v>5914</v>
      </c>
      <c r="B2520" t="s">
        <v>5915</v>
      </c>
      <c r="C2520" t="s">
        <v>1776</v>
      </c>
      <c r="D2520" t="s">
        <v>318</v>
      </c>
      <c r="E2520">
        <v>299</v>
      </c>
      <c r="F2520" t="str">
        <f>HYPERLINK("https://www.google.com/maps/search/?api=1&amp;query=24.63608326,46.70658558", "View Map")</f>
        <v>View Map</v>
      </c>
    </row>
    <row r="2521" spans="1:6" x14ac:dyDescent="0.35">
      <c r="A2521" t="s">
        <v>1947</v>
      </c>
      <c r="B2521" t="s">
        <v>5916</v>
      </c>
      <c r="C2521" t="s">
        <v>1776</v>
      </c>
      <c r="D2521" t="s">
        <v>318</v>
      </c>
      <c r="E2521">
        <v>299</v>
      </c>
      <c r="F2521" t="str">
        <f>HYPERLINK("https://www.google.com/maps/search/?api=1&amp;query=24.56218376,46.57032725", "View Map")</f>
        <v>View Map</v>
      </c>
    </row>
    <row r="2522" spans="1:6" x14ac:dyDescent="0.35">
      <c r="A2522" t="s">
        <v>5917</v>
      </c>
      <c r="B2522" t="s">
        <v>5918</v>
      </c>
      <c r="C2522" t="s">
        <v>1776</v>
      </c>
      <c r="D2522" t="s">
        <v>318</v>
      </c>
      <c r="E2522">
        <v>298</v>
      </c>
      <c r="F2522" t="str">
        <f>HYPERLINK("https://www.google.com/maps/search/?api=1&amp;query=24.57131171,46.63469077", "View Map")</f>
        <v>View Map</v>
      </c>
    </row>
    <row r="2523" spans="1:6" x14ac:dyDescent="0.35">
      <c r="A2523" t="s">
        <v>5919</v>
      </c>
      <c r="B2523" t="s">
        <v>5920</v>
      </c>
      <c r="C2523" t="s">
        <v>1776</v>
      </c>
      <c r="D2523" t="s">
        <v>318</v>
      </c>
      <c r="E2523">
        <v>296</v>
      </c>
      <c r="F2523" t="str">
        <f>HYPERLINK("https://www.google.com/maps/search/?api=1&amp;query=24.68501402,46.78269899", "View Map")</f>
        <v>View Map</v>
      </c>
    </row>
    <row r="2524" spans="1:6" x14ac:dyDescent="0.35">
      <c r="A2524" t="s">
        <v>5921</v>
      </c>
      <c r="B2524" t="s">
        <v>5922</v>
      </c>
      <c r="C2524" t="s">
        <v>1776</v>
      </c>
      <c r="D2524" t="s">
        <v>318</v>
      </c>
      <c r="E2524">
        <v>295</v>
      </c>
      <c r="F2524" t="str">
        <f>HYPERLINK("https://www.google.com/maps/search/?api=1&amp;query=24.63398037,46.70505504", "View Map")</f>
        <v>View Map</v>
      </c>
    </row>
    <row r="2525" spans="1:6" x14ac:dyDescent="0.35">
      <c r="A2525" t="s">
        <v>5923</v>
      </c>
      <c r="B2525" t="s">
        <v>5924</v>
      </c>
      <c r="C2525" t="s">
        <v>1776</v>
      </c>
      <c r="D2525" t="s">
        <v>318</v>
      </c>
      <c r="E2525">
        <v>295</v>
      </c>
      <c r="F2525" t="str">
        <f>HYPERLINK("https://www.google.com/maps/search/?api=1&amp;query=24.67615124,46.75584079", "View Map")</f>
        <v>View Map</v>
      </c>
    </row>
    <row r="2526" spans="1:6" x14ac:dyDescent="0.35">
      <c r="A2526" t="s">
        <v>5925</v>
      </c>
      <c r="B2526" t="s">
        <v>5926</v>
      </c>
      <c r="C2526" t="s">
        <v>1776</v>
      </c>
      <c r="D2526" t="s">
        <v>318</v>
      </c>
      <c r="E2526">
        <v>294</v>
      </c>
      <c r="F2526" t="str">
        <f>HYPERLINK("https://www.google.com/maps/search/?api=1&amp;query=24.67307022,46.78202841", "View Map")</f>
        <v>View Map</v>
      </c>
    </row>
    <row r="2527" spans="1:6" x14ac:dyDescent="0.35">
      <c r="A2527" t="s">
        <v>5927</v>
      </c>
      <c r="B2527" t="s">
        <v>5928</v>
      </c>
      <c r="C2527" t="s">
        <v>1776</v>
      </c>
      <c r="D2527" t="s">
        <v>318</v>
      </c>
      <c r="E2527">
        <v>294</v>
      </c>
      <c r="F2527" t="str">
        <f>HYPERLINK("https://www.google.com/maps/search/?api=1&amp;query=24.81847379,46.81534706", "View Map")</f>
        <v>View Map</v>
      </c>
    </row>
    <row r="2528" spans="1:6" x14ac:dyDescent="0.35">
      <c r="A2528" t="s">
        <v>5929</v>
      </c>
      <c r="B2528" t="s">
        <v>5930</v>
      </c>
      <c r="C2528" t="s">
        <v>1776</v>
      </c>
      <c r="D2528" t="s">
        <v>318</v>
      </c>
      <c r="E2528">
        <v>293</v>
      </c>
      <c r="F2528" t="str">
        <f>HYPERLINK("https://www.google.com/maps/search/?api=1&amp;query=24.56899602,46.68132863", "View Map")</f>
        <v>View Map</v>
      </c>
    </row>
    <row r="2529" spans="1:6" x14ac:dyDescent="0.35">
      <c r="A2529" t="s">
        <v>5931</v>
      </c>
      <c r="B2529" t="s">
        <v>5932</v>
      </c>
      <c r="C2529" t="s">
        <v>1776</v>
      </c>
      <c r="D2529" t="s">
        <v>318</v>
      </c>
      <c r="E2529">
        <v>293</v>
      </c>
      <c r="F2529" t="str">
        <f>HYPERLINK("https://www.google.com/maps/search/?api=1&amp;query=24.58303811,46.63715282", "View Map")</f>
        <v>View Map</v>
      </c>
    </row>
    <row r="2530" spans="1:6" x14ac:dyDescent="0.35">
      <c r="A2530" t="s">
        <v>2285</v>
      </c>
      <c r="B2530" t="s">
        <v>5933</v>
      </c>
      <c r="C2530" t="s">
        <v>1776</v>
      </c>
      <c r="D2530" t="s">
        <v>318</v>
      </c>
      <c r="E2530">
        <v>291</v>
      </c>
      <c r="F2530" t="str">
        <f>HYPERLINK("https://www.google.com/maps/search/?api=1&amp;query=24.78410798,46.6294559", "View Map")</f>
        <v>View Map</v>
      </c>
    </row>
    <row r="2531" spans="1:6" x14ac:dyDescent="0.35">
      <c r="A2531" t="s">
        <v>5934</v>
      </c>
      <c r="B2531" t="s">
        <v>5935</v>
      </c>
      <c r="C2531" t="s">
        <v>1776</v>
      </c>
      <c r="D2531" t="s">
        <v>318</v>
      </c>
      <c r="E2531">
        <v>291</v>
      </c>
      <c r="F2531" t="str">
        <f>HYPERLINK("https://www.google.com/maps/search/?api=1&amp;query=24.64942153,46.70695369", "View Map")</f>
        <v>View Map</v>
      </c>
    </row>
    <row r="2532" spans="1:6" x14ac:dyDescent="0.35">
      <c r="A2532" t="s">
        <v>1947</v>
      </c>
      <c r="B2532" t="s">
        <v>5936</v>
      </c>
      <c r="C2532" t="s">
        <v>1776</v>
      </c>
      <c r="D2532" t="s">
        <v>318</v>
      </c>
      <c r="E2532">
        <v>291</v>
      </c>
      <c r="F2532" t="str">
        <f>HYPERLINK("https://www.google.com/maps/search/?api=1&amp;query=24.56023287,46.74744312", "View Map")</f>
        <v>View Map</v>
      </c>
    </row>
    <row r="2533" spans="1:6" x14ac:dyDescent="0.35">
      <c r="A2533" t="s">
        <v>5937</v>
      </c>
      <c r="B2533" t="s">
        <v>5938</v>
      </c>
      <c r="C2533" t="s">
        <v>1776</v>
      </c>
      <c r="D2533" t="s">
        <v>318</v>
      </c>
      <c r="E2533">
        <v>290</v>
      </c>
      <c r="F2533" t="str">
        <f>HYPERLINK("https://www.google.com/maps/search/?api=1&amp;query=24.67887008,46.68110562", "View Map")</f>
        <v>View Map</v>
      </c>
    </row>
    <row r="2534" spans="1:6" x14ac:dyDescent="0.35">
      <c r="A2534" t="s">
        <v>5939</v>
      </c>
      <c r="B2534" t="s">
        <v>5940</v>
      </c>
      <c r="C2534" t="s">
        <v>1776</v>
      </c>
      <c r="D2534" t="s">
        <v>318</v>
      </c>
      <c r="E2534">
        <v>289</v>
      </c>
      <c r="F2534" t="str">
        <f>HYPERLINK("https://www.google.com/maps/search/?api=1&amp;query=24.59919575,46.70633397", "View Map")</f>
        <v>View Map</v>
      </c>
    </row>
    <row r="2535" spans="1:6" x14ac:dyDescent="0.35">
      <c r="A2535" t="s">
        <v>1100</v>
      </c>
      <c r="B2535" t="s">
        <v>5941</v>
      </c>
      <c r="C2535" t="s">
        <v>1776</v>
      </c>
      <c r="D2535" t="s">
        <v>318</v>
      </c>
      <c r="E2535">
        <v>289</v>
      </c>
      <c r="F2535" t="str">
        <f>HYPERLINK("https://www.google.com/maps/search/?api=1&amp;query=24.70231294,46.75759735", "View Map")</f>
        <v>View Map</v>
      </c>
    </row>
    <row r="2536" spans="1:6" x14ac:dyDescent="0.35">
      <c r="A2536" t="s">
        <v>5942</v>
      </c>
      <c r="B2536" t="s">
        <v>5943</v>
      </c>
      <c r="C2536" t="s">
        <v>1776</v>
      </c>
      <c r="D2536" t="s">
        <v>318</v>
      </c>
      <c r="E2536">
        <v>289</v>
      </c>
      <c r="F2536" t="str">
        <f>HYPERLINK("https://www.google.com/maps/search/?api=1&amp;query=24.75022578,46.77365846", "View Map")</f>
        <v>View Map</v>
      </c>
    </row>
    <row r="2537" spans="1:6" x14ac:dyDescent="0.35">
      <c r="A2537" t="s">
        <v>5944</v>
      </c>
      <c r="B2537" t="s">
        <v>5945</v>
      </c>
      <c r="C2537" t="s">
        <v>1776</v>
      </c>
      <c r="D2537" t="s">
        <v>318</v>
      </c>
      <c r="E2537">
        <v>288</v>
      </c>
      <c r="F2537" t="str">
        <f>HYPERLINK("https://www.google.com/maps/search/?api=1&amp;query=24.78113336,46.74491589", "View Map")</f>
        <v>View Map</v>
      </c>
    </row>
    <row r="2538" spans="1:6" x14ac:dyDescent="0.35">
      <c r="A2538" t="s">
        <v>5946</v>
      </c>
      <c r="B2538" t="s">
        <v>5947</v>
      </c>
      <c r="C2538" t="s">
        <v>1776</v>
      </c>
      <c r="D2538" t="s">
        <v>318</v>
      </c>
      <c r="E2538">
        <v>288</v>
      </c>
      <c r="F2538" t="str">
        <f>HYPERLINK("https://www.google.com/maps/search/?api=1&amp;query=24.62950581,46.67881737", "View Map")</f>
        <v>View Map</v>
      </c>
    </row>
    <row r="2539" spans="1:6" x14ac:dyDescent="0.35">
      <c r="A2539" t="s">
        <v>1798</v>
      </c>
      <c r="B2539" t="s">
        <v>5948</v>
      </c>
      <c r="C2539" t="s">
        <v>1776</v>
      </c>
      <c r="D2539" t="s">
        <v>318</v>
      </c>
      <c r="E2539">
        <v>288</v>
      </c>
      <c r="F2539" t="str">
        <f>HYPERLINK("https://www.google.com/maps/search/?api=1&amp;query=24.93119984,46.8152622", "View Map")</f>
        <v>View Map</v>
      </c>
    </row>
    <row r="2540" spans="1:6" x14ac:dyDescent="0.35">
      <c r="A2540" t="s">
        <v>5949</v>
      </c>
      <c r="B2540" t="s">
        <v>5950</v>
      </c>
      <c r="C2540" t="s">
        <v>1776</v>
      </c>
      <c r="D2540" t="s">
        <v>318</v>
      </c>
      <c r="E2540">
        <v>287</v>
      </c>
      <c r="F2540" t="str">
        <f>HYPERLINK("https://www.google.com/maps/search/?api=1&amp;query=24.63077482,46.68537339", "View Map")</f>
        <v>View Map</v>
      </c>
    </row>
    <row r="2541" spans="1:6" x14ac:dyDescent="0.35">
      <c r="A2541" t="s">
        <v>5951</v>
      </c>
      <c r="B2541" t="s">
        <v>5952</v>
      </c>
      <c r="C2541" t="s">
        <v>1776</v>
      </c>
      <c r="D2541" t="s">
        <v>318</v>
      </c>
      <c r="E2541">
        <v>286</v>
      </c>
      <c r="F2541" t="str">
        <f>HYPERLINK("https://www.google.com/maps/search/?api=1&amp;query=24.7575076,46.72357512", "View Map")</f>
        <v>View Map</v>
      </c>
    </row>
    <row r="2542" spans="1:6" x14ac:dyDescent="0.35">
      <c r="A2542" t="s">
        <v>5953</v>
      </c>
      <c r="B2542" t="s">
        <v>5954</v>
      </c>
      <c r="C2542" t="s">
        <v>1776</v>
      </c>
      <c r="D2542" t="s">
        <v>318</v>
      </c>
      <c r="E2542">
        <v>285</v>
      </c>
      <c r="F2542" t="str">
        <f>HYPERLINK("https://www.google.com/maps/search/?api=1&amp;query=24.780734,46.76991222", "View Map")</f>
        <v>View Map</v>
      </c>
    </row>
    <row r="2543" spans="1:6" x14ac:dyDescent="0.35">
      <c r="A2543" t="s">
        <v>5955</v>
      </c>
      <c r="B2543" t="s">
        <v>5956</v>
      </c>
      <c r="C2543" t="s">
        <v>1776</v>
      </c>
      <c r="D2543" t="s">
        <v>318</v>
      </c>
      <c r="E2543">
        <v>280</v>
      </c>
      <c r="F2543" t="str">
        <f>HYPERLINK("https://www.google.com/maps/search/?api=1&amp;query=24.61657229,46.73618587", "View Map")</f>
        <v>View Map</v>
      </c>
    </row>
    <row r="2544" spans="1:6" x14ac:dyDescent="0.35">
      <c r="A2544" t="s">
        <v>1798</v>
      </c>
      <c r="B2544" t="s">
        <v>5957</v>
      </c>
      <c r="C2544" t="s">
        <v>1776</v>
      </c>
      <c r="D2544" t="s">
        <v>318</v>
      </c>
      <c r="E2544">
        <v>280</v>
      </c>
      <c r="F2544" t="str">
        <f>HYPERLINK("https://www.google.com/maps/search/?api=1&amp;query=24.780909,46.90640957", "View Map")</f>
        <v>View Map</v>
      </c>
    </row>
    <row r="2545" spans="1:6" x14ac:dyDescent="0.35">
      <c r="A2545" t="s">
        <v>5533</v>
      </c>
      <c r="B2545" t="s">
        <v>5958</v>
      </c>
      <c r="C2545" t="s">
        <v>1776</v>
      </c>
      <c r="D2545" t="s">
        <v>318</v>
      </c>
      <c r="E2545">
        <v>271</v>
      </c>
      <c r="F2545" t="str">
        <f>HYPERLINK("https://www.google.com/maps/search/?api=1&amp;query=24.5861994,46.65743851", "View Map")</f>
        <v>View Map</v>
      </c>
    </row>
    <row r="2546" spans="1:6" x14ac:dyDescent="0.35">
      <c r="A2546" t="s">
        <v>5959</v>
      </c>
      <c r="B2546" t="s">
        <v>5960</v>
      </c>
      <c r="C2546" t="s">
        <v>1776</v>
      </c>
      <c r="D2546" t="s">
        <v>318</v>
      </c>
      <c r="E2546">
        <v>219</v>
      </c>
      <c r="F2546" t="str">
        <f>HYPERLINK("https://www.google.com/maps/search/?api=1&amp;query=24.5894121,46.58873461", "View Map")</f>
        <v>View Map</v>
      </c>
    </row>
    <row r="2547" spans="1:6" x14ac:dyDescent="0.35">
      <c r="A2547" t="s">
        <v>5961</v>
      </c>
      <c r="B2547" t="s">
        <v>5962</v>
      </c>
      <c r="C2547" t="s">
        <v>1843</v>
      </c>
      <c r="D2547" t="s">
        <v>318</v>
      </c>
      <c r="E2547">
        <v>200</v>
      </c>
      <c r="F2547" t="str">
        <f>HYPERLINK("https://www.google.com/maps/search/?api=1&amp;query=24.7560703,46.54113542", "View Map")</f>
        <v>View Map</v>
      </c>
    </row>
  </sheetData>
  <autoFilter ref="A1:F2547" xr:uid="{00000000-0001-0000-0300-000000000000}"/>
  <pageMargins left="0.75" right="0.75" top="1" bottom="1" header="0.5" footer="0.5"/>
  <headerFooter>
    <oddFooter>&amp;C_x000D_&amp;1#&amp;"Calibri"&amp;10&amp;K0000FF Restricted - مقيد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3DCAD-FB2C-41DD-84E1-C1C8F556FFDD}">
  <dimension ref="A1:F2547"/>
  <sheetViews>
    <sheetView rightToLeft="1" workbookViewId="0">
      <selection activeCell="D15" sqref="D15"/>
    </sheetView>
  </sheetViews>
  <sheetFormatPr defaultRowHeight="14.5" x14ac:dyDescent="0.35"/>
  <cols>
    <col min="1" max="1" width="34.7265625" style="4" customWidth="1"/>
    <col min="2" max="2" width="26.81640625" style="5" customWidth="1"/>
    <col min="3" max="3" width="10" style="5" customWidth="1"/>
    <col min="4" max="4" width="16.26953125" style="5" customWidth="1"/>
    <col min="5" max="5" width="12" style="6" customWidth="1"/>
    <col min="6" max="6" width="13.1796875" style="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</row>
    <row r="2" spans="1:6" x14ac:dyDescent="0.35">
      <c r="A2" s="4" t="s">
        <v>5963</v>
      </c>
      <c r="B2" s="5" t="s">
        <v>1775</v>
      </c>
      <c r="C2" s="5" t="s">
        <v>1776</v>
      </c>
      <c r="D2" s="5" t="s">
        <v>13</v>
      </c>
      <c r="E2" s="6">
        <v>133510</v>
      </c>
      <c r="F2" s="5" t="str">
        <f>HYPERLINK("https://www.google.com/maps/search/?api=1&amp;query=24.6290373,46.70857805", "View Map")</f>
        <v>View Map</v>
      </c>
    </row>
    <row r="3" spans="1:6" x14ac:dyDescent="0.35">
      <c r="A3" s="4" t="s">
        <v>5964</v>
      </c>
      <c r="B3" s="5" t="s">
        <v>1778</v>
      </c>
      <c r="C3" s="5" t="s">
        <v>1776</v>
      </c>
      <c r="D3" s="5" t="s">
        <v>13</v>
      </c>
      <c r="E3" s="6">
        <v>127519</v>
      </c>
      <c r="F3" s="5" t="str">
        <f>HYPERLINK("https://www.google.com/maps/search/?api=1&amp;query=24.71878225,46.7552068", "View Map")</f>
        <v>View Map</v>
      </c>
    </row>
    <row r="4" spans="1:6" x14ac:dyDescent="0.35">
      <c r="A4" s="4" t="s">
        <v>5965</v>
      </c>
      <c r="B4" s="5" t="s">
        <v>1780</v>
      </c>
      <c r="C4" s="5" t="s">
        <v>1776</v>
      </c>
      <c r="D4" s="5" t="s">
        <v>13</v>
      </c>
      <c r="E4" s="6">
        <v>64708</v>
      </c>
      <c r="F4" s="5" t="str">
        <f>HYPERLINK("https://www.google.com/maps/search/?api=1&amp;query=24.674339,46.7816788", "View Map")</f>
        <v>View Map</v>
      </c>
    </row>
    <row r="5" spans="1:6" x14ac:dyDescent="0.35">
      <c r="A5" s="4" t="s">
        <v>5966</v>
      </c>
      <c r="B5" s="5" t="s">
        <v>1782</v>
      </c>
      <c r="C5" s="5" t="s">
        <v>1776</v>
      </c>
      <c r="D5" s="5" t="s">
        <v>13</v>
      </c>
      <c r="E5" s="6">
        <v>40668</v>
      </c>
      <c r="F5" s="5" t="str">
        <f>HYPERLINK("https://www.google.com/maps/search/?api=1&amp;query=24.70051282,46.65273349", "View Map")</f>
        <v>View Map</v>
      </c>
    </row>
    <row r="6" spans="1:6" x14ac:dyDescent="0.35">
      <c r="A6" s="4" t="s">
        <v>5967</v>
      </c>
      <c r="B6" s="5" t="s">
        <v>1784</v>
      </c>
      <c r="C6" s="5" t="s">
        <v>1776</v>
      </c>
      <c r="D6" s="5" t="s">
        <v>13</v>
      </c>
      <c r="E6" s="6">
        <v>31096</v>
      </c>
      <c r="F6" s="5" t="str">
        <f>HYPERLINK("https://www.google.com/maps/search/?api=1&amp;query=24.62872277,46.71230113", "View Map")</f>
        <v>View Map</v>
      </c>
    </row>
    <row r="7" spans="1:6" x14ac:dyDescent="0.35">
      <c r="A7" s="4" t="s">
        <v>5968</v>
      </c>
      <c r="B7" s="5" t="s">
        <v>1786</v>
      </c>
      <c r="C7" s="5" t="s">
        <v>1776</v>
      </c>
      <c r="D7" s="5" t="s">
        <v>13</v>
      </c>
      <c r="E7" s="6">
        <v>26723</v>
      </c>
      <c r="F7" s="5" t="str">
        <f>HYPERLINK("https://www.google.com/maps/search/?api=1&amp;query=24.67053649,46.65803202", "View Map")</f>
        <v>View Map</v>
      </c>
    </row>
    <row r="8" spans="1:6" x14ac:dyDescent="0.35">
      <c r="A8" s="4" t="s">
        <v>5969</v>
      </c>
      <c r="B8" s="5" t="s">
        <v>1788</v>
      </c>
      <c r="C8" s="5" t="s">
        <v>1776</v>
      </c>
      <c r="D8" s="5" t="s">
        <v>13</v>
      </c>
      <c r="E8" s="6">
        <v>24905</v>
      </c>
      <c r="F8" s="5" t="str">
        <f>HYPERLINK("https://www.google.com/maps/search/?api=1&amp;query=24.67439423,46.87595957", "View Map")</f>
        <v>View Map</v>
      </c>
    </row>
    <row r="9" spans="1:6" x14ac:dyDescent="0.35">
      <c r="A9" s="4" t="s">
        <v>5966</v>
      </c>
      <c r="B9" s="5" t="s">
        <v>1789</v>
      </c>
      <c r="C9" s="5" t="s">
        <v>1776</v>
      </c>
      <c r="D9" s="5" t="s">
        <v>13</v>
      </c>
      <c r="E9" s="6">
        <v>24339</v>
      </c>
      <c r="F9" s="5" t="str">
        <f>HYPERLINK("https://www.google.com/maps/search/?api=1&amp;query=24.70051434,46.65273532", "View Map")</f>
        <v>View Map</v>
      </c>
    </row>
    <row r="10" spans="1:6" x14ac:dyDescent="0.35">
      <c r="A10" s="4" t="s">
        <v>5970</v>
      </c>
      <c r="B10" s="5" t="s">
        <v>1791</v>
      </c>
      <c r="C10" s="5" t="s">
        <v>1776</v>
      </c>
      <c r="D10" s="5" t="s">
        <v>13</v>
      </c>
      <c r="E10" s="6">
        <v>21324</v>
      </c>
      <c r="F10" s="5" t="str">
        <f>HYPERLINK("https://www.google.com/maps/search/?api=1&amp;query=24.67291561,46.86330744", "View Map")</f>
        <v>View Map</v>
      </c>
    </row>
    <row r="11" spans="1:6" x14ac:dyDescent="0.35">
      <c r="A11" s="4" t="s">
        <v>5971</v>
      </c>
      <c r="B11" s="5" t="s">
        <v>1793</v>
      </c>
      <c r="C11" s="5" t="s">
        <v>1776</v>
      </c>
      <c r="D11" s="5" t="s">
        <v>13</v>
      </c>
      <c r="E11" s="6">
        <v>18968</v>
      </c>
      <c r="F11" s="5" t="str">
        <f>HYPERLINK("https://www.google.com/maps/search/?api=1&amp;query=24.80437452,46.61631235", "View Map")</f>
        <v>View Map</v>
      </c>
    </row>
    <row r="12" spans="1:6" x14ac:dyDescent="0.35">
      <c r="A12" s="4" t="s">
        <v>5972</v>
      </c>
      <c r="B12" s="5" t="s">
        <v>1795</v>
      </c>
      <c r="C12" s="5" t="s">
        <v>1776</v>
      </c>
      <c r="D12" s="5" t="s">
        <v>13</v>
      </c>
      <c r="E12" s="6">
        <v>16477</v>
      </c>
      <c r="F12" s="5" t="str">
        <f>HYPERLINK("https://www.google.com/maps/search/?api=1&amp;query=24.7196813,46.65872229", "View Map")</f>
        <v>View Map</v>
      </c>
    </row>
    <row r="13" spans="1:6" x14ac:dyDescent="0.35">
      <c r="A13" s="4" t="s">
        <v>5973</v>
      </c>
      <c r="B13" s="5" t="s">
        <v>1797</v>
      </c>
      <c r="C13" s="5" t="s">
        <v>1776</v>
      </c>
      <c r="D13" s="5" t="s">
        <v>13</v>
      </c>
      <c r="E13" s="6">
        <v>15794</v>
      </c>
      <c r="F13" s="5" t="str">
        <f>HYPERLINK("https://www.google.com/maps/search/?api=1&amp;query=24.66201851,46.86361439", "View Map")</f>
        <v>View Map</v>
      </c>
    </row>
    <row r="14" spans="1:6" x14ac:dyDescent="0.35">
      <c r="A14" s="4" t="s">
        <v>5974</v>
      </c>
      <c r="B14" s="5" t="s">
        <v>1799</v>
      </c>
      <c r="C14" s="5" t="s">
        <v>1776</v>
      </c>
      <c r="D14" s="5" t="s">
        <v>13</v>
      </c>
      <c r="E14" s="6">
        <v>15189</v>
      </c>
      <c r="F14" s="5" t="str">
        <f>HYPERLINK("https://www.google.com/maps/search/?api=1&amp;query=24.8589,46.6406", "View Map")</f>
        <v>View Map</v>
      </c>
    </row>
    <row r="15" spans="1:6" x14ac:dyDescent="0.35">
      <c r="A15" s="4" t="s">
        <v>5975</v>
      </c>
      <c r="B15" s="5" t="s">
        <v>1801</v>
      </c>
      <c r="C15" s="5" t="s">
        <v>1776</v>
      </c>
      <c r="D15" s="5" t="s">
        <v>13</v>
      </c>
      <c r="E15" s="6">
        <v>14735</v>
      </c>
      <c r="F15" s="5" t="str">
        <f>HYPERLINK("https://www.google.com/maps/search/?api=1&amp;query=24.673575,46.88101881", "View Map")</f>
        <v>View Map</v>
      </c>
    </row>
    <row r="16" spans="1:6" x14ac:dyDescent="0.35">
      <c r="A16" s="4" t="s">
        <v>5976</v>
      </c>
      <c r="B16" s="5" t="s">
        <v>1803</v>
      </c>
      <c r="C16" s="5" t="s">
        <v>1776</v>
      </c>
      <c r="D16" s="5" t="s">
        <v>13</v>
      </c>
      <c r="E16" s="6">
        <v>14638</v>
      </c>
      <c r="F16" s="5" t="str">
        <f>HYPERLINK("https://www.google.com/maps/search/?api=1&amp;query=24.64446,46.67468", "View Map")</f>
        <v>View Map</v>
      </c>
    </row>
    <row r="17" spans="1:6" x14ac:dyDescent="0.35">
      <c r="A17" s="4" t="s">
        <v>5977</v>
      </c>
      <c r="B17" s="5" t="s">
        <v>1805</v>
      </c>
      <c r="C17" s="5" t="s">
        <v>1776</v>
      </c>
      <c r="D17" s="5" t="s">
        <v>13</v>
      </c>
      <c r="E17" s="6">
        <v>14367</v>
      </c>
      <c r="F17" s="5" t="str">
        <f>HYPERLINK("https://www.google.com/maps/search/?api=1&amp;query=24.63422828,46.70184492", "View Map")</f>
        <v>View Map</v>
      </c>
    </row>
    <row r="18" spans="1:6" x14ac:dyDescent="0.35">
      <c r="A18" s="4" t="s">
        <v>5978</v>
      </c>
      <c r="B18" s="5" t="s">
        <v>1807</v>
      </c>
      <c r="C18" s="5" t="s">
        <v>1776</v>
      </c>
      <c r="D18" s="5" t="s">
        <v>13</v>
      </c>
      <c r="E18" s="6">
        <v>13896</v>
      </c>
      <c r="F18" s="5" t="str">
        <f>HYPERLINK("https://www.google.com/maps/search/?api=1&amp;query=24.79307551,46.76440138", "View Map")</f>
        <v>View Map</v>
      </c>
    </row>
    <row r="19" spans="1:6" x14ac:dyDescent="0.35">
      <c r="A19" s="4" t="s">
        <v>5979</v>
      </c>
      <c r="B19" s="5" t="s">
        <v>1809</v>
      </c>
      <c r="C19" s="5" t="s">
        <v>1776</v>
      </c>
      <c r="D19" s="5" t="s">
        <v>13</v>
      </c>
      <c r="E19" s="6">
        <v>13577</v>
      </c>
      <c r="F19" s="5" t="str">
        <f>HYPERLINK("https://www.google.com/maps/search/?api=1&amp;query=24.56288985,46.87173798", "View Map")</f>
        <v>View Map</v>
      </c>
    </row>
    <row r="20" spans="1:6" x14ac:dyDescent="0.35">
      <c r="A20" s="4" t="s">
        <v>5980</v>
      </c>
      <c r="B20" s="5" t="s">
        <v>1811</v>
      </c>
      <c r="C20" s="5" t="s">
        <v>1776</v>
      </c>
      <c r="D20" s="5" t="s">
        <v>13</v>
      </c>
      <c r="E20" s="6">
        <v>13482</v>
      </c>
      <c r="F20" s="5" t="str">
        <f>HYPERLINK("https://www.google.com/maps/search/?api=1&amp;query=24.71811061,46.85098508", "View Map")</f>
        <v>View Map</v>
      </c>
    </row>
    <row r="21" spans="1:6" x14ac:dyDescent="0.35">
      <c r="A21" s="4" t="s">
        <v>5981</v>
      </c>
      <c r="B21" s="5" t="s">
        <v>1813</v>
      </c>
      <c r="C21" s="5" t="s">
        <v>1776</v>
      </c>
      <c r="D21" s="5" t="s">
        <v>13</v>
      </c>
      <c r="E21" s="6">
        <v>13429</v>
      </c>
      <c r="F21" s="5" t="str">
        <f>HYPERLINK("https://www.google.com/maps/search/?api=1&amp;query=24.74076623,46.79615151", "View Map")</f>
        <v>View Map</v>
      </c>
    </row>
    <row r="22" spans="1:6" x14ac:dyDescent="0.35">
      <c r="A22" s="4" t="s">
        <v>5974</v>
      </c>
      <c r="B22" s="5" t="s">
        <v>1814</v>
      </c>
      <c r="C22" s="5" t="s">
        <v>1776</v>
      </c>
      <c r="D22" s="5" t="s">
        <v>13</v>
      </c>
      <c r="E22" s="6">
        <v>13372</v>
      </c>
      <c r="F22" s="5" t="str">
        <f>HYPERLINK("https://www.google.com/maps/search/?api=1&amp;query=24.7961,46.6783", "View Map")</f>
        <v>View Map</v>
      </c>
    </row>
    <row r="23" spans="1:6" x14ac:dyDescent="0.35">
      <c r="A23" s="4" t="s">
        <v>5982</v>
      </c>
      <c r="B23" s="5" t="s">
        <v>1816</v>
      </c>
      <c r="C23" s="5" t="s">
        <v>1776</v>
      </c>
      <c r="D23" s="5" t="s">
        <v>13</v>
      </c>
      <c r="E23" s="6">
        <v>13372</v>
      </c>
      <c r="F23" s="5" t="str">
        <f>HYPERLINK("https://www.google.com/maps/search/?api=1&amp;query=24.6142033,46.70814639", "View Map")</f>
        <v>View Map</v>
      </c>
    </row>
    <row r="24" spans="1:6" x14ac:dyDescent="0.35">
      <c r="A24" s="4" t="s">
        <v>5983</v>
      </c>
      <c r="B24" s="5" t="s">
        <v>1818</v>
      </c>
      <c r="C24" s="5" t="s">
        <v>1776</v>
      </c>
      <c r="D24" s="5" t="s">
        <v>13</v>
      </c>
      <c r="E24" s="6">
        <v>13167</v>
      </c>
      <c r="F24" s="5" t="str">
        <f>HYPERLINK("https://www.google.com/maps/search/?api=1&amp;query=24.67329557,46.7328561", "View Map")</f>
        <v>View Map</v>
      </c>
    </row>
    <row r="25" spans="1:6" x14ac:dyDescent="0.35">
      <c r="A25" s="4" t="s">
        <v>5974</v>
      </c>
      <c r="B25" s="5" t="s">
        <v>1819</v>
      </c>
      <c r="C25" s="5" t="s">
        <v>1776</v>
      </c>
      <c r="D25" s="5" t="s">
        <v>13</v>
      </c>
      <c r="E25" s="6">
        <v>12582</v>
      </c>
      <c r="F25" s="5" t="str">
        <f>HYPERLINK("https://www.google.com/maps/search/?api=1&amp;query=24.84761723,46.62807962", "View Map")</f>
        <v>View Map</v>
      </c>
    </row>
    <row r="26" spans="1:6" x14ac:dyDescent="0.35">
      <c r="A26" s="4" t="s">
        <v>5984</v>
      </c>
      <c r="B26" s="5" t="s">
        <v>1821</v>
      </c>
      <c r="C26" s="5" t="s">
        <v>1776</v>
      </c>
      <c r="D26" s="5" t="s">
        <v>13</v>
      </c>
      <c r="E26" s="6">
        <v>12452</v>
      </c>
      <c r="F26" s="5" t="str">
        <f>HYPERLINK("https://www.google.com/maps/search/?api=1&amp;query=24.62757384,46.74264107", "View Map")</f>
        <v>View Map</v>
      </c>
    </row>
    <row r="27" spans="1:6" x14ac:dyDescent="0.35">
      <c r="A27" s="4" t="s">
        <v>5974</v>
      </c>
      <c r="B27" s="5" t="s">
        <v>1822</v>
      </c>
      <c r="C27" s="5" t="s">
        <v>1776</v>
      </c>
      <c r="D27" s="5" t="s">
        <v>13</v>
      </c>
      <c r="E27" s="6">
        <v>12431</v>
      </c>
      <c r="F27" s="5" t="str">
        <f>HYPERLINK("https://www.google.com/maps/search/?api=1&amp;query=24.81908,46.61899", "View Map")</f>
        <v>View Map</v>
      </c>
    </row>
    <row r="28" spans="1:6" x14ac:dyDescent="0.35">
      <c r="A28" s="4" t="s">
        <v>5974</v>
      </c>
      <c r="B28" s="5" t="s">
        <v>1823</v>
      </c>
      <c r="C28" s="5" t="s">
        <v>1776</v>
      </c>
      <c r="D28" s="5" t="s">
        <v>13</v>
      </c>
      <c r="E28" s="6">
        <v>12341</v>
      </c>
      <c r="F28" s="5" t="str">
        <f>HYPERLINK("https://www.google.com/maps/search/?api=1&amp;query=24.79720059,46.59853213", "View Map")</f>
        <v>View Map</v>
      </c>
    </row>
    <row r="29" spans="1:6" x14ac:dyDescent="0.35">
      <c r="A29" s="4" t="s">
        <v>5974</v>
      </c>
      <c r="B29" s="5" t="s">
        <v>1824</v>
      </c>
      <c r="C29" s="5" t="s">
        <v>1776</v>
      </c>
      <c r="D29" s="5" t="s">
        <v>13</v>
      </c>
      <c r="E29" s="6">
        <v>12173</v>
      </c>
      <c r="F29" s="5" t="str">
        <f>HYPERLINK("https://www.google.com/maps/search/?api=1&amp;query=24.8608,46.6494", "View Map")</f>
        <v>View Map</v>
      </c>
    </row>
    <row r="30" spans="1:6" x14ac:dyDescent="0.35">
      <c r="A30" s="4" t="s">
        <v>5985</v>
      </c>
      <c r="B30" s="5" t="s">
        <v>1826</v>
      </c>
      <c r="C30" s="5" t="s">
        <v>1776</v>
      </c>
      <c r="D30" s="5" t="s">
        <v>13</v>
      </c>
      <c r="E30" s="6">
        <v>12142</v>
      </c>
      <c r="F30" s="5" t="str">
        <f>HYPERLINK("https://www.google.com/maps/search/?api=1&amp;query=24.75244777,46.66041016", "View Map")</f>
        <v>View Map</v>
      </c>
    </row>
    <row r="31" spans="1:6" x14ac:dyDescent="0.35">
      <c r="A31" s="4" t="s">
        <v>5986</v>
      </c>
      <c r="B31" s="5" t="s">
        <v>1828</v>
      </c>
      <c r="C31" s="5" t="s">
        <v>1776</v>
      </c>
      <c r="D31" s="5" t="s">
        <v>13</v>
      </c>
      <c r="E31" s="6">
        <v>12112</v>
      </c>
      <c r="F31" s="5" t="str">
        <f>HYPERLINK("https://www.google.com/maps/search/?api=1&amp;query=24.80580317,46.64511913", "View Map")</f>
        <v>View Map</v>
      </c>
    </row>
    <row r="32" spans="1:6" x14ac:dyDescent="0.35">
      <c r="A32" s="4" t="s">
        <v>5974</v>
      </c>
      <c r="B32" s="5" t="s">
        <v>1829</v>
      </c>
      <c r="C32" s="5" t="s">
        <v>1776</v>
      </c>
      <c r="D32" s="5" t="s">
        <v>13</v>
      </c>
      <c r="E32" s="6">
        <v>12082</v>
      </c>
      <c r="F32" s="5" t="str">
        <f>HYPERLINK("https://www.google.com/maps/search/?api=1&amp;query=24.87769689,46.64635932", "View Map")</f>
        <v>View Map</v>
      </c>
    </row>
    <row r="33" spans="1:6" x14ac:dyDescent="0.35">
      <c r="A33" s="4" t="s">
        <v>5972</v>
      </c>
      <c r="B33" s="5" t="s">
        <v>1830</v>
      </c>
      <c r="C33" s="5" t="s">
        <v>1776</v>
      </c>
      <c r="D33" s="5" t="s">
        <v>13</v>
      </c>
      <c r="E33" s="6">
        <v>11978</v>
      </c>
      <c r="F33" s="5" t="str">
        <f>HYPERLINK("https://www.google.com/maps/search/?api=1&amp;query=24.75392709,46.61690089", "View Map")</f>
        <v>View Map</v>
      </c>
    </row>
    <row r="34" spans="1:6" x14ac:dyDescent="0.35">
      <c r="A34" s="4" t="s">
        <v>5987</v>
      </c>
      <c r="B34" s="5" t="s">
        <v>1832</v>
      </c>
      <c r="C34" s="5" t="s">
        <v>1776</v>
      </c>
      <c r="D34" s="5" t="s">
        <v>13</v>
      </c>
      <c r="E34" s="6">
        <v>11916</v>
      </c>
      <c r="F34" s="5" t="str">
        <f>HYPERLINK("https://www.google.com/maps/search/?api=1&amp;query=24.6076925,46.63268705", "View Map")</f>
        <v>View Map</v>
      </c>
    </row>
    <row r="35" spans="1:6" x14ac:dyDescent="0.35">
      <c r="A35" s="4" t="s">
        <v>5988</v>
      </c>
      <c r="B35" s="5" t="s">
        <v>1834</v>
      </c>
      <c r="C35" s="5" t="s">
        <v>1776</v>
      </c>
      <c r="D35" s="5" t="s">
        <v>13</v>
      </c>
      <c r="E35" s="6">
        <v>11717</v>
      </c>
      <c r="F35" s="5" t="str">
        <f>HYPERLINK("https://www.google.com/maps/search/?api=1&amp;query=24.70831193,46.80891747", "View Map")</f>
        <v>View Map</v>
      </c>
    </row>
    <row r="36" spans="1:6" x14ac:dyDescent="0.35">
      <c r="A36" s="4" t="s">
        <v>5989</v>
      </c>
      <c r="B36" s="5" t="s">
        <v>1836</v>
      </c>
      <c r="C36" s="5" t="s">
        <v>1776</v>
      </c>
      <c r="D36" s="5" t="s">
        <v>13</v>
      </c>
      <c r="E36" s="6">
        <v>11651</v>
      </c>
      <c r="F36" s="5" t="str">
        <f>HYPERLINK("https://www.google.com/maps/search/?api=1&amp;query=24.64905,46.68186", "View Map")</f>
        <v>View Map</v>
      </c>
    </row>
    <row r="37" spans="1:6" x14ac:dyDescent="0.35">
      <c r="A37" s="4" t="s">
        <v>5990</v>
      </c>
      <c r="B37" s="5" t="s">
        <v>1838</v>
      </c>
      <c r="C37" s="5" t="s">
        <v>1776</v>
      </c>
      <c r="D37" s="5" t="s">
        <v>13</v>
      </c>
      <c r="E37" s="6">
        <v>11242</v>
      </c>
      <c r="F37" s="5" t="str">
        <f>HYPERLINK("https://www.google.com/maps/search/?api=1&amp;query=24.67622402,46.72770081", "View Map")</f>
        <v>View Map</v>
      </c>
    </row>
    <row r="38" spans="1:6" x14ac:dyDescent="0.35">
      <c r="A38" s="4" t="s">
        <v>5991</v>
      </c>
      <c r="B38" s="5" t="s">
        <v>1840</v>
      </c>
      <c r="C38" s="5" t="s">
        <v>1776</v>
      </c>
      <c r="D38" s="5" t="s">
        <v>13</v>
      </c>
      <c r="E38" s="6">
        <v>11141</v>
      </c>
      <c r="F38" s="5" t="str">
        <f>HYPERLINK("https://www.google.com/maps/search/?api=1&amp;query=24.63849898,46.66478357", "View Map")</f>
        <v>View Map</v>
      </c>
    </row>
    <row r="39" spans="1:6" x14ac:dyDescent="0.35">
      <c r="A39" s="4" t="s">
        <v>5992</v>
      </c>
      <c r="B39" s="5" t="s">
        <v>1842</v>
      </c>
      <c r="C39" s="5" t="s">
        <v>1843</v>
      </c>
      <c r="D39" s="5" t="s">
        <v>13</v>
      </c>
      <c r="E39" s="6">
        <v>10942</v>
      </c>
      <c r="F39" s="5" t="str">
        <f>HYPERLINK("https://www.google.com/maps/search/?api=1&amp;query=24.74883235,46.5738511", "View Map")</f>
        <v>View Map</v>
      </c>
    </row>
    <row r="40" spans="1:6" x14ac:dyDescent="0.35">
      <c r="A40" s="4" t="s">
        <v>5993</v>
      </c>
      <c r="B40" s="5" t="s">
        <v>1845</v>
      </c>
      <c r="C40" s="5" t="s">
        <v>1776</v>
      </c>
      <c r="D40" s="5" t="s">
        <v>13</v>
      </c>
      <c r="E40" s="6">
        <v>10893</v>
      </c>
      <c r="F40" s="5" t="str">
        <f>HYPERLINK("https://www.google.com/maps/search/?api=1&amp;query=24.67564658,46.87356533", "View Map")</f>
        <v>View Map</v>
      </c>
    </row>
    <row r="41" spans="1:6" x14ac:dyDescent="0.35">
      <c r="A41" s="4" t="s">
        <v>5974</v>
      </c>
      <c r="B41" s="5" t="s">
        <v>1846</v>
      </c>
      <c r="C41" s="5" t="s">
        <v>1776</v>
      </c>
      <c r="D41" s="5" t="s">
        <v>13</v>
      </c>
      <c r="E41" s="6">
        <v>10882</v>
      </c>
      <c r="F41" s="5" t="str">
        <f>HYPERLINK("https://www.google.com/maps/search/?api=1&amp;query=24.83314673,46.74338989", "View Map")</f>
        <v>View Map</v>
      </c>
    </row>
    <row r="42" spans="1:6" x14ac:dyDescent="0.35">
      <c r="A42" s="4" t="s">
        <v>5994</v>
      </c>
      <c r="B42" s="5" t="s">
        <v>1848</v>
      </c>
      <c r="C42" s="5" t="s">
        <v>1776</v>
      </c>
      <c r="D42" s="5" t="s">
        <v>13</v>
      </c>
      <c r="E42" s="6">
        <v>10718</v>
      </c>
      <c r="F42" s="5" t="str">
        <f>HYPERLINK("https://www.google.com/maps/search/?api=1&amp;query=24.58819031,46.57208541", "View Map")</f>
        <v>View Map</v>
      </c>
    </row>
    <row r="43" spans="1:6" x14ac:dyDescent="0.35">
      <c r="A43" s="4" t="s">
        <v>5995</v>
      </c>
      <c r="B43" s="5" t="s">
        <v>1850</v>
      </c>
      <c r="C43" s="5" t="s">
        <v>1776</v>
      </c>
      <c r="D43" s="5" t="s">
        <v>13</v>
      </c>
      <c r="E43" s="6">
        <v>10676</v>
      </c>
      <c r="F43" s="5" t="str">
        <f>HYPERLINK("https://www.google.com/maps/search/?api=1&amp;query=24.68503394,46.57709164", "View Map")</f>
        <v>View Map</v>
      </c>
    </row>
    <row r="44" spans="1:6" x14ac:dyDescent="0.35">
      <c r="A44" s="4" t="s">
        <v>5996</v>
      </c>
      <c r="B44" s="5" t="s">
        <v>1852</v>
      </c>
      <c r="C44" s="5" t="s">
        <v>1776</v>
      </c>
      <c r="D44" s="5" t="s">
        <v>13</v>
      </c>
      <c r="E44" s="6">
        <v>10656</v>
      </c>
      <c r="F44" s="5" t="str">
        <f>HYPERLINK("https://www.google.com/maps/search/?api=1&amp;query=24.79026589,46.80096866", "View Map")</f>
        <v>View Map</v>
      </c>
    </row>
    <row r="45" spans="1:6" x14ac:dyDescent="0.35">
      <c r="A45" s="4" t="s">
        <v>5997</v>
      </c>
      <c r="B45" s="5" t="s">
        <v>1854</v>
      </c>
      <c r="C45" s="5" t="s">
        <v>1843</v>
      </c>
      <c r="D45" s="5" t="s">
        <v>13</v>
      </c>
      <c r="E45" s="6">
        <v>10523</v>
      </c>
      <c r="F45" s="5" t="str">
        <f>HYPERLINK("https://www.google.com/maps/search/?api=1&amp;query=24.80390597,46.52287513", "View Map")</f>
        <v>View Map</v>
      </c>
    </row>
    <row r="46" spans="1:6" x14ac:dyDescent="0.35">
      <c r="A46" s="4" t="s">
        <v>5974</v>
      </c>
      <c r="B46" s="5" t="s">
        <v>1855</v>
      </c>
      <c r="C46" s="5" t="s">
        <v>1776</v>
      </c>
      <c r="D46" s="5" t="s">
        <v>13</v>
      </c>
      <c r="E46" s="6">
        <v>10408</v>
      </c>
      <c r="F46" s="5" t="str">
        <f>HYPERLINK("https://www.google.com/maps/search/?api=1&amp;query=24.69409578,46.60271828", "View Map")</f>
        <v>View Map</v>
      </c>
    </row>
    <row r="47" spans="1:6" x14ac:dyDescent="0.35">
      <c r="A47" s="4" t="s">
        <v>5974</v>
      </c>
      <c r="B47" s="5" t="s">
        <v>1856</v>
      </c>
      <c r="C47" s="5" t="s">
        <v>1776</v>
      </c>
      <c r="D47" s="5" t="s">
        <v>13</v>
      </c>
      <c r="E47" s="6">
        <v>10351</v>
      </c>
      <c r="F47" s="5" t="str">
        <f>HYPERLINK("https://www.google.com/maps/search/?api=1&amp;query=24.68444607,46.58426799", "View Map")</f>
        <v>View Map</v>
      </c>
    </row>
    <row r="48" spans="1:6" x14ac:dyDescent="0.35">
      <c r="A48" s="4" t="s">
        <v>5998</v>
      </c>
      <c r="B48" s="5" t="s">
        <v>1858</v>
      </c>
      <c r="C48" s="5" t="s">
        <v>1776</v>
      </c>
      <c r="D48" s="5" t="s">
        <v>13</v>
      </c>
      <c r="E48" s="6">
        <v>10031</v>
      </c>
      <c r="F48" s="5" t="str">
        <f>HYPERLINK("https://www.google.com/maps/search/?api=1&amp;query=24.66912039,46.86116075", "View Map")</f>
        <v>View Map</v>
      </c>
    </row>
    <row r="49" spans="1:6" x14ac:dyDescent="0.35">
      <c r="A49" s="4" t="s">
        <v>5999</v>
      </c>
      <c r="B49" s="5" t="s">
        <v>1860</v>
      </c>
      <c r="C49" s="5" t="s">
        <v>1776</v>
      </c>
      <c r="D49" s="5" t="s">
        <v>13</v>
      </c>
      <c r="E49" s="6">
        <v>10020</v>
      </c>
      <c r="F49" s="5" t="str">
        <f>HYPERLINK("https://www.google.com/maps/search/?api=1&amp;query=24.72963194,46.75550089", "View Map")</f>
        <v>View Map</v>
      </c>
    </row>
    <row r="50" spans="1:6" x14ac:dyDescent="0.35">
      <c r="A50" s="4" t="s">
        <v>6000</v>
      </c>
      <c r="B50" s="5" t="s">
        <v>1862</v>
      </c>
      <c r="C50" s="5" t="s">
        <v>1776</v>
      </c>
      <c r="D50" s="5" t="s">
        <v>13</v>
      </c>
      <c r="E50" s="6">
        <v>10014</v>
      </c>
      <c r="F50" s="5" t="str">
        <f>HYPERLINK("https://www.google.com/maps/search/?api=1&amp;query=24.81794716,46.77955596", "View Map")</f>
        <v>View Map</v>
      </c>
    </row>
    <row r="51" spans="1:6" x14ac:dyDescent="0.35">
      <c r="A51" s="4" t="s">
        <v>6001</v>
      </c>
      <c r="B51" s="5" t="s">
        <v>1864</v>
      </c>
      <c r="C51" s="5" t="s">
        <v>1776</v>
      </c>
      <c r="D51" s="5" t="s">
        <v>13</v>
      </c>
      <c r="E51" s="6">
        <v>9988</v>
      </c>
      <c r="F51" s="5" t="str">
        <f>HYPERLINK("https://www.google.com/maps/search/?api=1&amp;query=24.77342195,46.69107172", "View Map")</f>
        <v>View Map</v>
      </c>
    </row>
    <row r="52" spans="1:6" x14ac:dyDescent="0.35">
      <c r="A52" s="4" t="s">
        <v>6002</v>
      </c>
      <c r="B52" s="5" t="s">
        <v>1866</v>
      </c>
      <c r="C52" s="5" t="s">
        <v>1776</v>
      </c>
      <c r="D52" s="5" t="s">
        <v>13</v>
      </c>
      <c r="E52" s="6">
        <v>9964</v>
      </c>
      <c r="F52" s="5" t="str">
        <f>HYPERLINK("https://www.google.com/maps/search/?api=1&amp;query=24.65884065,46.87719912", "View Map")</f>
        <v>View Map</v>
      </c>
    </row>
    <row r="53" spans="1:6" x14ac:dyDescent="0.35">
      <c r="A53" s="4" t="s">
        <v>6003</v>
      </c>
      <c r="B53" s="5" t="s">
        <v>1868</v>
      </c>
      <c r="C53" s="5" t="s">
        <v>1776</v>
      </c>
      <c r="D53" s="5" t="s">
        <v>13</v>
      </c>
      <c r="E53" s="6">
        <v>9476</v>
      </c>
      <c r="F53" s="5" t="str">
        <f>HYPERLINK("https://www.google.com/maps/search/?api=1&amp;query=24.6798632,46.71079373", "View Map")</f>
        <v>View Map</v>
      </c>
    </row>
    <row r="54" spans="1:6" x14ac:dyDescent="0.35">
      <c r="A54" s="4" t="s">
        <v>5974</v>
      </c>
      <c r="B54" s="5" t="s">
        <v>1869</v>
      </c>
      <c r="C54" s="5" t="s">
        <v>1843</v>
      </c>
      <c r="D54" s="5" t="s">
        <v>13</v>
      </c>
      <c r="E54" s="6">
        <v>9469</v>
      </c>
      <c r="F54" s="5" t="str">
        <f>HYPERLINK("https://www.google.com/maps/search/?api=1&amp;query=24.8244511,46.56413091", "View Map")</f>
        <v>View Map</v>
      </c>
    </row>
    <row r="55" spans="1:6" x14ac:dyDescent="0.35">
      <c r="A55" s="4" t="s">
        <v>6004</v>
      </c>
      <c r="B55" s="5" t="s">
        <v>1871</v>
      </c>
      <c r="C55" s="5" t="s">
        <v>1776</v>
      </c>
      <c r="D55" s="5" t="s">
        <v>13</v>
      </c>
      <c r="E55" s="6">
        <v>9322</v>
      </c>
      <c r="F55" s="5" t="str">
        <f>HYPERLINK("https://www.google.com/maps/search/?api=1&amp;query=24.7529,46.87116", "View Map")</f>
        <v>View Map</v>
      </c>
    </row>
    <row r="56" spans="1:6" x14ac:dyDescent="0.35">
      <c r="A56" s="4" t="s">
        <v>6005</v>
      </c>
      <c r="B56" s="5" t="s">
        <v>1873</v>
      </c>
      <c r="C56" s="5" t="s">
        <v>1776</v>
      </c>
      <c r="D56" s="5" t="s">
        <v>13</v>
      </c>
      <c r="E56" s="6">
        <v>9223</v>
      </c>
      <c r="F56" s="5" t="str">
        <f>HYPERLINK("https://www.google.com/maps/search/?api=1&amp;query=24.80658817,46.62264935", "View Map")</f>
        <v>View Map</v>
      </c>
    </row>
    <row r="57" spans="1:6" x14ac:dyDescent="0.35">
      <c r="A57" s="4" t="s">
        <v>5974</v>
      </c>
      <c r="B57" s="5" t="s">
        <v>1874</v>
      </c>
      <c r="C57" s="5" t="s">
        <v>1776</v>
      </c>
      <c r="D57" s="5" t="s">
        <v>13</v>
      </c>
      <c r="E57" s="6">
        <v>8855</v>
      </c>
      <c r="F57" s="5" t="str">
        <f>HYPERLINK("https://www.google.com/maps/search/?api=1&amp;query=24.82874649,46.73084389", "View Map")</f>
        <v>View Map</v>
      </c>
    </row>
    <row r="58" spans="1:6" x14ac:dyDescent="0.35">
      <c r="A58" s="4" t="s">
        <v>6006</v>
      </c>
      <c r="B58" s="5" t="s">
        <v>1876</v>
      </c>
      <c r="C58" s="5" t="s">
        <v>1776</v>
      </c>
      <c r="D58" s="5" t="s">
        <v>13</v>
      </c>
      <c r="E58" s="6">
        <v>8805</v>
      </c>
      <c r="F58" s="5" t="str">
        <f>HYPERLINK("https://www.google.com/maps/search/?api=1&amp;query=24.5517,46.7622", "View Map")</f>
        <v>View Map</v>
      </c>
    </row>
    <row r="59" spans="1:6" x14ac:dyDescent="0.35">
      <c r="A59" s="4" t="s">
        <v>5974</v>
      </c>
      <c r="B59" s="5" t="s">
        <v>1877</v>
      </c>
      <c r="C59" s="5" t="s">
        <v>1843</v>
      </c>
      <c r="D59" s="5" t="s">
        <v>13</v>
      </c>
      <c r="E59" s="6">
        <v>8636</v>
      </c>
      <c r="F59" s="5" t="str">
        <f>HYPERLINK("https://www.google.com/maps/search/?api=1&amp;query=24.79095,46.57925", "View Map")</f>
        <v>View Map</v>
      </c>
    </row>
    <row r="60" spans="1:6" x14ac:dyDescent="0.35">
      <c r="A60" s="4" t="s">
        <v>5974</v>
      </c>
      <c r="B60" s="5" t="s">
        <v>1878</v>
      </c>
      <c r="C60" s="5" t="s">
        <v>1776</v>
      </c>
      <c r="D60" s="5" t="s">
        <v>13</v>
      </c>
      <c r="E60" s="6">
        <v>8573</v>
      </c>
      <c r="F60" s="5" t="str">
        <f>HYPERLINK("https://www.google.com/maps/search/?api=1&amp;query=24.78495628,46.71657203", "View Map")</f>
        <v>View Map</v>
      </c>
    </row>
    <row r="61" spans="1:6" x14ac:dyDescent="0.35">
      <c r="A61" s="4" t="s">
        <v>6007</v>
      </c>
      <c r="B61" s="5" t="s">
        <v>1880</v>
      </c>
      <c r="C61" s="5" t="s">
        <v>1776</v>
      </c>
      <c r="D61" s="5" t="s">
        <v>13</v>
      </c>
      <c r="E61" s="6">
        <v>8373</v>
      </c>
      <c r="F61" s="5" t="str">
        <f>HYPERLINK("https://www.google.com/maps/search/?api=1&amp;query=24.58757385,46.59471991", "View Map")</f>
        <v>View Map</v>
      </c>
    </row>
    <row r="62" spans="1:6" x14ac:dyDescent="0.35">
      <c r="A62" s="4" t="s">
        <v>6008</v>
      </c>
      <c r="B62" s="5" t="s">
        <v>1882</v>
      </c>
      <c r="C62" s="5" t="s">
        <v>1776</v>
      </c>
      <c r="D62" s="5" t="s">
        <v>13</v>
      </c>
      <c r="E62" s="6">
        <v>8357</v>
      </c>
      <c r="F62" s="5" t="str">
        <f>HYPERLINK("https://www.google.com/maps/search/?api=1&amp;query=24.78932199,46.76853061", "View Map")</f>
        <v>View Map</v>
      </c>
    </row>
    <row r="63" spans="1:6" x14ac:dyDescent="0.35">
      <c r="A63" s="4" t="s">
        <v>6009</v>
      </c>
      <c r="B63" s="5" t="s">
        <v>1884</v>
      </c>
      <c r="C63" s="5" t="s">
        <v>1776</v>
      </c>
      <c r="D63" s="5" t="s">
        <v>13</v>
      </c>
      <c r="E63" s="6">
        <v>8099</v>
      </c>
      <c r="F63" s="5" t="str">
        <f>HYPERLINK("https://www.google.com/maps/search/?api=1&amp;query=24.74727361,46.84160882", "View Map")</f>
        <v>View Map</v>
      </c>
    </row>
    <row r="64" spans="1:6" x14ac:dyDescent="0.35">
      <c r="A64" s="4" t="s">
        <v>6010</v>
      </c>
      <c r="B64" s="5" t="s">
        <v>1886</v>
      </c>
      <c r="C64" s="5" t="s">
        <v>1776</v>
      </c>
      <c r="D64" s="5" t="s">
        <v>13</v>
      </c>
      <c r="E64" s="6">
        <v>8086</v>
      </c>
      <c r="F64" s="5" t="str">
        <f>HYPERLINK("https://www.google.com/maps/search/?api=1&amp;query=24.77267282,46.75851137", "View Map")</f>
        <v>View Map</v>
      </c>
    </row>
    <row r="65" spans="1:6" x14ac:dyDescent="0.35">
      <c r="A65" s="4" t="s">
        <v>6006</v>
      </c>
      <c r="B65" s="5" t="s">
        <v>1887</v>
      </c>
      <c r="C65" s="5" t="s">
        <v>1776</v>
      </c>
      <c r="D65" s="5" t="s">
        <v>13</v>
      </c>
      <c r="E65" s="6">
        <v>8017</v>
      </c>
      <c r="F65" s="5" t="str">
        <f>HYPERLINK("https://www.google.com/maps/search/?api=1&amp;query=24.55178967,46.76239806", "View Map")</f>
        <v>View Map</v>
      </c>
    </row>
    <row r="66" spans="1:6" x14ac:dyDescent="0.35">
      <c r="A66" s="4" t="s">
        <v>6011</v>
      </c>
      <c r="B66" s="5" t="s">
        <v>1889</v>
      </c>
      <c r="C66" s="5" t="s">
        <v>1843</v>
      </c>
      <c r="D66" s="5" t="s">
        <v>13</v>
      </c>
      <c r="E66" s="6">
        <v>7956</v>
      </c>
      <c r="F66" s="5" t="str">
        <f>HYPERLINK("https://www.google.com/maps/search/?api=1&amp;query=24.76002407,46.57250774", "View Map")</f>
        <v>View Map</v>
      </c>
    </row>
    <row r="67" spans="1:6" x14ac:dyDescent="0.35">
      <c r="A67" s="4" t="s">
        <v>6012</v>
      </c>
      <c r="B67" s="5" t="s">
        <v>1891</v>
      </c>
      <c r="C67" s="5" t="s">
        <v>1776</v>
      </c>
      <c r="D67" s="5" t="s">
        <v>13</v>
      </c>
      <c r="E67" s="6">
        <v>7784</v>
      </c>
      <c r="F67" s="5" t="str">
        <f>HYPERLINK("https://www.google.com/maps/search/?api=1&amp;query=24.78040768,46.74986449", "View Map")</f>
        <v>View Map</v>
      </c>
    </row>
    <row r="68" spans="1:6" x14ac:dyDescent="0.35">
      <c r="A68" s="4" t="s">
        <v>5972</v>
      </c>
      <c r="B68" s="5" t="s">
        <v>1892</v>
      </c>
      <c r="C68" s="5" t="s">
        <v>1776</v>
      </c>
      <c r="D68" s="5" t="s">
        <v>13</v>
      </c>
      <c r="E68" s="6">
        <v>7769</v>
      </c>
      <c r="F68" s="5" t="str">
        <f>HYPERLINK("https://www.google.com/maps/search/?api=1&amp;query=24.78684,46.61241", "View Map")</f>
        <v>View Map</v>
      </c>
    </row>
    <row r="69" spans="1:6" x14ac:dyDescent="0.35">
      <c r="A69" s="4" t="s">
        <v>6013</v>
      </c>
      <c r="B69" s="5" t="s">
        <v>1894</v>
      </c>
      <c r="C69" s="5" t="s">
        <v>1776</v>
      </c>
      <c r="D69" s="5" t="s">
        <v>13</v>
      </c>
      <c r="E69" s="6">
        <v>7716</v>
      </c>
      <c r="F69" s="5" t="str">
        <f>HYPERLINK("https://www.google.com/maps/search/?api=1&amp;query=24.79261396,46.63660156", "View Map")</f>
        <v>View Map</v>
      </c>
    </row>
    <row r="70" spans="1:6" x14ac:dyDescent="0.35">
      <c r="A70" s="4" t="s">
        <v>6014</v>
      </c>
      <c r="B70" s="5" t="s">
        <v>1896</v>
      </c>
      <c r="C70" s="5" t="s">
        <v>1776</v>
      </c>
      <c r="D70" s="5" t="s">
        <v>13</v>
      </c>
      <c r="E70" s="6">
        <v>7700</v>
      </c>
      <c r="F70" s="5" t="str">
        <f>HYPERLINK("https://www.google.com/maps/search/?api=1&amp;query=24.82324652,46.64278055", "View Map")</f>
        <v>View Map</v>
      </c>
    </row>
    <row r="71" spans="1:6" x14ac:dyDescent="0.35">
      <c r="A71" s="4" t="s">
        <v>6015</v>
      </c>
      <c r="B71" s="5" t="s">
        <v>1898</v>
      </c>
      <c r="C71" s="5" t="s">
        <v>1776</v>
      </c>
      <c r="D71" s="5" t="s">
        <v>13</v>
      </c>
      <c r="E71" s="6">
        <v>7669</v>
      </c>
      <c r="F71" s="5" t="str">
        <f>HYPERLINK("https://www.google.com/maps/search/?api=1&amp;query=24.6042,46.7106", "View Map")</f>
        <v>View Map</v>
      </c>
    </row>
    <row r="72" spans="1:6" x14ac:dyDescent="0.35">
      <c r="A72" s="4" t="s">
        <v>6016</v>
      </c>
      <c r="B72" s="5" t="s">
        <v>1900</v>
      </c>
      <c r="C72" s="5" t="s">
        <v>1776</v>
      </c>
      <c r="D72" s="5" t="s">
        <v>13</v>
      </c>
      <c r="E72" s="6">
        <v>7661</v>
      </c>
      <c r="F72" s="5" t="str">
        <f>HYPERLINK("https://www.google.com/maps/search/?api=1&amp;query=24.75976505,46.62691597", "View Map")</f>
        <v>View Map</v>
      </c>
    </row>
    <row r="73" spans="1:6" x14ac:dyDescent="0.35">
      <c r="A73" s="4" t="s">
        <v>6017</v>
      </c>
      <c r="B73" s="5" t="s">
        <v>1902</v>
      </c>
      <c r="C73" s="5" t="s">
        <v>1776</v>
      </c>
      <c r="D73" s="5" t="s">
        <v>13</v>
      </c>
      <c r="E73" s="6">
        <v>7633</v>
      </c>
      <c r="F73" s="5" t="str">
        <f>HYPERLINK("https://www.google.com/maps/search/?api=1&amp;query=24.67184839,46.87290208", "View Map")</f>
        <v>View Map</v>
      </c>
    </row>
    <row r="74" spans="1:6" x14ac:dyDescent="0.35">
      <c r="A74" s="4" t="s">
        <v>6018</v>
      </c>
      <c r="B74" s="5" t="s">
        <v>1904</v>
      </c>
      <c r="C74" s="5" t="s">
        <v>1776</v>
      </c>
      <c r="D74" s="5" t="s">
        <v>13</v>
      </c>
      <c r="E74" s="6">
        <v>7542</v>
      </c>
      <c r="F74" s="5" t="str">
        <f>HYPERLINK("https://www.google.com/maps/search/?api=1&amp;query=24.66706887,46.74262083", "View Map")</f>
        <v>View Map</v>
      </c>
    </row>
    <row r="75" spans="1:6" x14ac:dyDescent="0.35">
      <c r="A75" s="4" t="s">
        <v>6019</v>
      </c>
      <c r="B75" s="5" t="s">
        <v>1906</v>
      </c>
      <c r="C75" s="5" t="s">
        <v>1776</v>
      </c>
      <c r="D75" s="5" t="s">
        <v>13</v>
      </c>
      <c r="E75" s="6">
        <v>7420</v>
      </c>
      <c r="F75" s="5" t="str">
        <f>HYPERLINK("https://www.google.com/maps/search/?api=1&amp;query=24.55649386,46.67708684", "View Map")</f>
        <v>View Map</v>
      </c>
    </row>
    <row r="76" spans="1:6" x14ac:dyDescent="0.35">
      <c r="A76" s="4" t="s">
        <v>6020</v>
      </c>
      <c r="B76" s="5" t="s">
        <v>1908</v>
      </c>
      <c r="C76" s="5" t="s">
        <v>1776</v>
      </c>
      <c r="D76" s="5" t="s">
        <v>13</v>
      </c>
      <c r="E76" s="6">
        <v>7408</v>
      </c>
      <c r="F76" s="5" t="str">
        <f>HYPERLINK("https://www.google.com/maps/search/?api=1&amp;query=24.69302381,46.66629719", "View Map")</f>
        <v>View Map</v>
      </c>
    </row>
    <row r="77" spans="1:6" x14ac:dyDescent="0.35">
      <c r="A77" s="4" t="s">
        <v>5974</v>
      </c>
      <c r="B77" s="5" t="s">
        <v>1909</v>
      </c>
      <c r="C77" s="5" t="s">
        <v>1776</v>
      </c>
      <c r="D77" s="5" t="s">
        <v>13</v>
      </c>
      <c r="E77" s="6">
        <v>7372</v>
      </c>
      <c r="F77" s="5" t="str">
        <f>HYPERLINK("https://www.google.com/maps/search/?api=1&amp;query=24.79239619,46.58872121", "View Map")</f>
        <v>View Map</v>
      </c>
    </row>
    <row r="78" spans="1:6" x14ac:dyDescent="0.35">
      <c r="A78" s="4" t="s">
        <v>6021</v>
      </c>
      <c r="B78" s="5" t="s">
        <v>1911</v>
      </c>
      <c r="C78" s="5" t="s">
        <v>1776</v>
      </c>
      <c r="D78" s="5" t="s">
        <v>13</v>
      </c>
      <c r="E78" s="6">
        <v>7357</v>
      </c>
      <c r="F78" s="5" t="str">
        <f>HYPERLINK("https://www.google.com/maps/search/?api=1&amp;query=24.79631409,46.70845731", "View Map")</f>
        <v>View Map</v>
      </c>
    </row>
    <row r="79" spans="1:6" x14ac:dyDescent="0.35">
      <c r="A79" s="4" t="s">
        <v>6022</v>
      </c>
      <c r="B79" s="5" t="s">
        <v>1913</v>
      </c>
      <c r="C79" s="5" t="s">
        <v>1776</v>
      </c>
      <c r="D79" s="5" t="s">
        <v>13</v>
      </c>
      <c r="E79" s="6">
        <v>7356</v>
      </c>
      <c r="F79" s="5" t="str">
        <f>HYPERLINK("https://www.google.com/maps/search/?api=1&amp;query=24.56930384,46.84492638", "View Map")</f>
        <v>View Map</v>
      </c>
    </row>
    <row r="80" spans="1:6" x14ac:dyDescent="0.35">
      <c r="A80" s="4" t="s">
        <v>5974</v>
      </c>
      <c r="B80" s="5" t="s">
        <v>1914</v>
      </c>
      <c r="C80" s="5" t="s">
        <v>1776</v>
      </c>
      <c r="D80" s="5" t="s">
        <v>13</v>
      </c>
      <c r="E80" s="6">
        <v>7309</v>
      </c>
      <c r="F80" s="5" t="str">
        <f>HYPERLINK("https://www.google.com/maps/search/?api=1&amp;query=24.77533413,46.69329393", "View Map")</f>
        <v>View Map</v>
      </c>
    </row>
    <row r="81" spans="1:6" x14ac:dyDescent="0.35">
      <c r="A81" s="4" t="s">
        <v>6023</v>
      </c>
      <c r="B81" s="5" t="s">
        <v>1916</v>
      </c>
      <c r="C81" s="5" t="s">
        <v>1776</v>
      </c>
      <c r="D81" s="5" t="s">
        <v>13</v>
      </c>
      <c r="E81" s="6">
        <v>7282</v>
      </c>
      <c r="F81" s="5" t="str">
        <f>HYPERLINK("https://www.google.com/maps/search/?api=1&amp;query=24.56028075,46.76468396", "View Map")</f>
        <v>View Map</v>
      </c>
    </row>
    <row r="82" spans="1:6" x14ac:dyDescent="0.35">
      <c r="A82" s="4" t="s">
        <v>6024</v>
      </c>
      <c r="B82" s="5" t="s">
        <v>1918</v>
      </c>
      <c r="C82" s="5" t="s">
        <v>1776</v>
      </c>
      <c r="D82" s="5" t="s">
        <v>13</v>
      </c>
      <c r="E82" s="6">
        <v>7273</v>
      </c>
      <c r="F82" s="5" t="str">
        <f>HYPERLINK("https://www.google.com/maps/search/?api=1&amp;query=24.80627015,46.66876306", "View Map")</f>
        <v>View Map</v>
      </c>
    </row>
    <row r="83" spans="1:6" x14ac:dyDescent="0.35">
      <c r="A83" s="4" t="s">
        <v>6025</v>
      </c>
      <c r="B83" s="5" t="s">
        <v>1920</v>
      </c>
      <c r="C83" s="5" t="s">
        <v>1776</v>
      </c>
      <c r="D83" s="5" t="s">
        <v>13</v>
      </c>
      <c r="E83" s="6">
        <v>7265</v>
      </c>
      <c r="F83" s="5" t="str">
        <f>HYPERLINK("https://www.google.com/maps/search/?api=1&amp;query=24.69469787,46.74235539", "View Map")</f>
        <v>View Map</v>
      </c>
    </row>
    <row r="84" spans="1:6" x14ac:dyDescent="0.35">
      <c r="A84" s="4" t="s">
        <v>6026</v>
      </c>
      <c r="B84" s="5" t="s">
        <v>1922</v>
      </c>
      <c r="C84" s="5" t="s">
        <v>1776</v>
      </c>
      <c r="D84" s="5" t="s">
        <v>13</v>
      </c>
      <c r="E84" s="6">
        <v>7250</v>
      </c>
      <c r="F84" s="5" t="str">
        <f>HYPERLINK("https://www.google.com/maps/search/?api=1&amp;query=24.72517966,46.80649294", "View Map")</f>
        <v>View Map</v>
      </c>
    </row>
    <row r="85" spans="1:6" x14ac:dyDescent="0.35">
      <c r="A85" s="4" t="s">
        <v>6027</v>
      </c>
      <c r="B85" s="5" t="s">
        <v>1924</v>
      </c>
      <c r="C85" s="5" t="s">
        <v>1776</v>
      </c>
      <c r="D85" s="5" t="s">
        <v>13</v>
      </c>
      <c r="E85" s="6">
        <v>7207</v>
      </c>
      <c r="F85" s="5" t="str">
        <f>HYPERLINK("https://www.google.com/maps/search/?api=1&amp;query=24.66639,46.87482", "View Map")</f>
        <v>View Map</v>
      </c>
    </row>
    <row r="86" spans="1:6" x14ac:dyDescent="0.35">
      <c r="A86" s="4" t="s">
        <v>6028</v>
      </c>
      <c r="B86" s="5" t="s">
        <v>1926</v>
      </c>
      <c r="C86" s="5" t="s">
        <v>1776</v>
      </c>
      <c r="D86" s="5" t="s">
        <v>13</v>
      </c>
      <c r="E86" s="6">
        <v>7111</v>
      </c>
      <c r="F86" s="5" t="str">
        <f>HYPERLINK("https://www.google.com/maps/search/?api=1&amp;query=24.82022623,46.77454046", "View Map")</f>
        <v>View Map</v>
      </c>
    </row>
    <row r="87" spans="1:6" x14ac:dyDescent="0.35">
      <c r="A87" s="4" t="s">
        <v>6029</v>
      </c>
      <c r="B87" s="5" t="s">
        <v>1928</v>
      </c>
      <c r="C87" s="5" t="s">
        <v>1776</v>
      </c>
      <c r="D87" s="5" t="s">
        <v>13</v>
      </c>
      <c r="E87" s="6">
        <v>7053</v>
      </c>
      <c r="F87" s="5" t="str">
        <f>HYPERLINK("https://www.google.com/maps/search/?api=1&amp;query=24.78245443,46.66026953", "View Map")</f>
        <v>View Map</v>
      </c>
    </row>
    <row r="88" spans="1:6" x14ac:dyDescent="0.35">
      <c r="A88" s="4" t="s">
        <v>6030</v>
      </c>
      <c r="B88" s="5" t="s">
        <v>1930</v>
      </c>
      <c r="C88" s="5" t="s">
        <v>1776</v>
      </c>
      <c r="D88" s="5" t="s">
        <v>13</v>
      </c>
      <c r="E88" s="6">
        <v>7034</v>
      </c>
      <c r="F88" s="5" t="str">
        <f>HYPERLINK("https://www.google.com/maps/search/?api=1&amp;query=24.70812841,46.82041352", "View Map")</f>
        <v>View Map</v>
      </c>
    </row>
    <row r="89" spans="1:6" x14ac:dyDescent="0.35">
      <c r="A89" s="4" t="s">
        <v>6031</v>
      </c>
      <c r="B89" s="5" t="s">
        <v>1932</v>
      </c>
      <c r="C89" s="5" t="s">
        <v>1776</v>
      </c>
      <c r="D89" s="5" t="s">
        <v>13</v>
      </c>
      <c r="E89" s="6">
        <v>6936</v>
      </c>
      <c r="F89" s="5" t="str">
        <f>HYPERLINK("https://www.google.com/maps/search/?api=1&amp;query=24.77880642,46.64982861", "View Map")</f>
        <v>View Map</v>
      </c>
    </row>
    <row r="90" spans="1:6" x14ac:dyDescent="0.35">
      <c r="A90" s="4" t="s">
        <v>6032</v>
      </c>
      <c r="B90" s="5" t="s">
        <v>1934</v>
      </c>
      <c r="C90" s="5" t="s">
        <v>1776</v>
      </c>
      <c r="D90" s="5" t="s">
        <v>13</v>
      </c>
      <c r="E90" s="6">
        <v>6931</v>
      </c>
      <c r="F90" s="5" t="str">
        <f>HYPERLINK("https://www.google.com/maps/search/?api=1&amp;query=24.80957067,46.88653704", "View Map")</f>
        <v>View Map</v>
      </c>
    </row>
    <row r="91" spans="1:6" x14ac:dyDescent="0.35">
      <c r="A91" s="4" t="s">
        <v>6033</v>
      </c>
      <c r="B91" s="5" t="s">
        <v>1936</v>
      </c>
      <c r="C91" s="5" t="s">
        <v>1776</v>
      </c>
      <c r="D91" s="5" t="s">
        <v>13</v>
      </c>
      <c r="E91" s="6">
        <v>6809</v>
      </c>
      <c r="F91" s="5" t="str">
        <f>HYPERLINK("https://www.google.com/maps/search/?api=1&amp;query=24.61919749,46.7485558", "View Map")</f>
        <v>View Map</v>
      </c>
    </row>
    <row r="92" spans="1:6" x14ac:dyDescent="0.35">
      <c r="A92" s="4" t="s">
        <v>6034</v>
      </c>
      <c r="B92" s="5" t="s">
        <v>1938</v>
      </c>
      <c r="C92" s="5" t="s">
        <v>1776</v>
      </c>
      <c r="D92" s="5" t="s">
        <v>13</v>
      </c>
      <c r="E92" s="6">
        <v>6800</v>
      </c>
      <c r="F92" s="5" t="str">
        <f>HYPERLINK("https://www.google.com/maps/search/?api=1&amp;query=24.66920219,46.86510731", "View Map")</f>
        <v>View Map</v>
      </c>
    </row>
    <row r="93" spans="1:6" x14ac:dyDescent="0.35">
      <c r="A93" s="4" t="s">
        <v>6035</v>
      </c>
      <c r="B93" s="5" t="s">
        <v>1940</v>
      </c>
      <c r="C93" s="5" t="s">
        <v>1776</v>
      </c>
      <c r="D93" s="5" t="s">
        <v>13</v>
      </c>
      <c r="E93" s="6">
        <v>6786</v>
      </c>
      <c r="F93" s="5" t="str">
        <f>HYPERLINK("https://www.google.com/maps/search/?api=1&amp;query=24.55545024,46.71343576", "View Map")</f>
        <v>View Map</v>
      </c>
    </row>
    <row r="94" spans="1:6" x14ac:dyDescent="0.35">
      <c r="A94" s="4" t="s">
        <v>6036</v>
      </c>
      <c r="B94" s="5" t="s">
        <v>1942</v>
      </c>
      <c r="C94" s="5" t="s">
        <v>1776</v>
      </c>
      <c r="D94" s="5" t="s">
        <v>13</v>
      </c>
      <c r="E94" s="6">
        <v>6685</v>
      </c>
      <c r="F94" s="5" t="str">
        <f>HYPERLINK("https://www.google.com/maps/search/?api=1&amp;query=24.69414993,46.59166411", "View Map")</f>
        <v>View Map</v>
      </c>
    </row>
    <row r="95" spans="1:6" x14ac:dyDescent="0.35">
      <c r="A95" s="4" t="s">
        <v>6037</v>
      </c>
      <c r="B95" s="5" t="s">
        <v>1944</v>
      </c>
      <c r="C95" s="5" t="s">
        <v>1776</v>
      </c>
      <c r="D95" s="5" t="s">
        <v>13</v>
      </c>
      <c r="E95" s="6">
        <v>6647</v>
      </c>
      <c r="F95" s="5" t="str">
        <f>HYPERLINK("https://www.google.com/maps/search/?api=1&amp;query=24.5885165,46.67740114", "View Map")</f>
        <v>View Map</v>
      </c>
    </row>
    <row r="96" spans="1:6" x14ac:dyDescent="0.35">
      <c r="A96" s="4" t="s">
        <v>6038</v>
      </c>
      <c r="B96" s="5" t="s">
        <v>1946</v>
      </c>
      <c r="C96" s="5" t="s">
        <v>1776</v>
      </c>
      <c r="D96" s="5" t="s">
        <v>13</v>
      </c>
      <c r="E96" s="6">
        <v>6621</v>
      </c>
      <c r="F96" s="5" t="str">
        <f>HYPERLINK("https://www.google.com/maps/search/?api=1&amp;query=24.80106567,46.81345225", "View Map")</f>
        <v>View Map</v>
      </c>
    </row>
    <row r="97" spans="1:6" x14ac:dyDescent="0.35">
      <c r="A97" s="4" t="s">
        <v>6039</v>
      </c>
      <c r="B97" s="5" t="s">
        <v>1948</v>
      </c>
      <c r="C97" s="5" t="s">
        <v>1776</v>
      </c>
      <c r="D97" s="5" t="s">
        <v>13</v>
      </c>
      <c r="E97" s="6">
        <v>6482</v>
      </c>
      <c r="F97" s="5" t="str">
        <f>HYPERLINK("https://www.google.com/maps/search/?api=1&amp;query=24.55363744,46.55218514", "View Map")</f>
        <v>View Map</v>
      </c>
    </row>
    <row r="98" spans="1:6" x14ac:dyDescent="0.35">
      <c r="A98" s="4" t="s">
        <v>6040</v>
      </c>
      <c r="B98" s="5" t="s">
        <v>1950</v>
      </c>
      <c r="C98" s="5" t="s">
        <v>1776</v>
      </c>
      <c r="D98" s="5" t="s">
        <v>13</v>
      </c>
      <c r="E98" s="6">
        <v>6466</v>
      </c>
      <c r="F98" s="5" t="str">
        <f>HYPERLINK("https://www.google.com/maps/search/?api=1&amp;query=24.78268175,46.70087355", "View Map")</f>
        <v>View Map</v>
      </c>
    </row>
    <row r="99" spans="1:6" x14ac:dyDescent="0.35">
      <c r="A99" s="4" t="s">
        <v>6041</v>
      </c>
      <c r="B99" s="5" t="s">
        <v>1952</v>
      </c>
      <c r="C99" s="5" t="s">
        <v>1776</v>
      </c>
      <c r="D99" s="5" t="s">
        <v>13</v>
      </c>
      <c r="E99" s="6">
        <v>6457</v>
      </c>
      <c r="F99" s="5" t="str">
        <f>HYPERLINK("https://www.google.com/maps/search/?api=1&amp;query=24.77867952,46.65492895", "View Map")</f>
        <v>View Map</v>
      </c>
    </row>
    <row r="100" spans="1:6" x14ac:dyDescent="0.35">
      <c r="A100" s="4" t="s">
        <v>5974</v>
      </c>
      <c r="B100" s="5" t="s">
        <v>1953</v>
      </c>
      <c r="C100" s="5" t="s">
        <v>1776</v>
      </c>
      <c r="D100" s="5" t="s">
        <v>13</v>
      </c>
      <c r="E100" s="6">
        <v>6323</v>
      </c>
      <c r="F100" s="5" t="str">
        <f>HYPERLINK("https://www.google.com/maps/search/?api=1&amp;query=24.81315951,46.79012088", "View Map")</f>
        <v>View Map</v>
      </c>
    </row>
    <row r="101" spans="1:6" x14ac:dyDescent="0.35">
      <c r="A101" s="4" t="s">
        <v>5978</v>
      </c>
      <c r="B101" s="5" t="s">
        <v>1954</v>
      </c>
      <c r="C101" s="5" t="s">
        <v>1776</v>
      </c>
      <c r="D101" s="5" t="s">
        <v>13</v>
      </c>
      <c r="E101" s="6">
        <v>6225</v>
      </c>
      <c r="F101" s="5" t="str">
        <f>HYPERLINK("https://www.google.com/maps/search/?api=1&amp;query=24.75061791,46.76832507", "View Map")</f>
        <v>View Map</v>
      </c>
    </row>
    <row r="102" spans="1:6" x14ac:dyDescent="0.35">
      <c r="A102" s="4" t="s">
        <v>6042</v>
      </c>
      <c r="B102" s="5" t="s">
        <v>1956</v>
      </c>
      <c r="C102" s="5" t="s">
        <v>1776</v>
      </c>
      <c r="D102" s="5" t="s">
        <v>13</v>
      </c>
      <c r="E102" s="6">
        <v>6193</v>
      </c>
      <c r="F102" s="5" t="str">
        <f>HYPERLINK("https://www.google.com/maps/search/?api=1&amp;query=24.69341833,46.70865915", "View Map")</f>
        <v>View Map</v>
      </c>
    </row>
    <row r="103" spans="1:6" x14ac:dyDescent="0.35">
      <c r="A103" s="4" t="s">
        <v>5974</v>
      </c>
      <c r="B103" s="5" t="s">
        <v>1957</v>
      </c>
      <c r="C103" s="5" t="s">
        <v>1776</v>
      </c>
      <c r="D103" s="5" t="s">
        <v>13</v>
      </c>
      <c r="E103" s="6">
        <v>6167</v>
      </c>
      <c r="F103" s="5" t="str">
        <f>HYPERLINK("https://www.google.com/maps/search/?api=1&amp;query=24.82845,46.60742", "View Map")</f>
        <v>View Map</v>
      </c>
    </row>
    <row r="104" spans="1:6" x14ac:dyDescent="0.35">
      <c r="A104" s="4" t="s">
        <v>6043</v>
      </c>
      <c r="B104" s="5" t="s">
        <v>1959</v>
      </c>
      <c r="C104" s="5" t="s">
        <v>1776</v>
      </c>
      <c r="D104" s="5" t="s">
        <v>13</v>
      </c>
      <c r="E104" s="6">
        <v>6124</v>
      </c>
      <c r="F104" s="5" t="str">
        <f>HYPERLINK("https://www.google.com/maps/search/?api=1&amp;query=24.73006,46.65733", "View Map")</f>
        <v>View Map</v>
      </c>
    </row>
    <row r="105" spans="1:6" x14ac:dyDescent="0.35">
      <c r="A105" s="4" t="s">
        <v>6044</v>
      </c>
      <c r="B105" s="5" t="s">
        <v>1961</v>
      </c>
      <c r="C105" s="5" t="s">
        <v>1776</v>
      </c>
      <c r="D105" s="5" t="s">
        <v>13</v>
      </c>
      <c r="E105" s="6">
        <v>6122</v>
      </c>
      <c r="F105" s="5" t="str">
        <f>HYPERLINK("https://www.google.com/maps/search/?api=1&amp;query=24.8112021,46.78053911", "View Map")</f>
        <v>View Map</v>
      </c>
    </row>
    <row r="106" spans="1:6" x14ac:dyDescent="0.35">
      <c r="A106" s="4" t="s">
        <v>6045</v>
      </c>
      <c r="B106" s="5" t="s">
        <v>1963</v>
      </c>
      <c r="C106" s="5" t="s">
        <v>1776</v>
      </c>
      <c r="D106" s="5" t="s">
        <v>13</v>
      </c>
      <c r="E106" s="6">
        <v>6112</v>
      </c>
      <c r="F106" s="5" t="str">
        <f>HYPERLINK("https://www.google.com/maps/search/?api=1&amp;query=24.66101798,46.8607738", "View Map")</f>
        <v>View Map</v>
      </c>
    </row>
    <row r="107" spans="1:6" x14ac:dyDescent="0.35">
      <c r="A107" s="4" t="s">
        <v>6046</v>
      </c>
      <c r="B107" s="5" t="s">
        <v>1965</v>
      </c>
      <c r="C107" s="5" t="s">
        <v>1776</v>
      </c>
      <c r="D107" s="5" t="s">
        <v>13</v>
      </c>
      <c r="E107" s="6">
        <v>6082</v>
      </c>
      <c r="F107" s="5" t="str">
        <f>HYPERLINK("https://www.google.com/maps/search/?api=1&amp;query=24.71568591,46.82771854", "View Map")</f>
        <v>View Map</v>
      </c>
    </row>
    <row r="108" spans="1:6" x14ac:dyDescent="0.35">
      <c r="A108" s="4" t="s">
        <v>6047</v>
      </c>
      <c r="B108" s="5" t="s">
        <v>1967</v>
      </c>
      <c r="C108" s="5" t="s">
        <v>1776</v>
      </c>
      <c r="D108" s="5" t="s">
        <v>13</v>
      </c>
      <c r="E108" s="6">
        <v>6060</v>
      </c>
      <c r="F108" s="5" t="str">
        <f>HYPERLINK("https://www.google.com/maps/search/?api=1&amp;query=24.67610276,46.86496369", "View Map")</f>
        <v>View Map</v>
      </c>
    </row>
    <row r="109" spans="1:6" x14ac:dyDescent="0.35">
      <c r="A109" s="4" t="s">
        <v>6048</v>
      </c>
      <c r="B109" s="5" t="s">
        <v>1969</v>
      </c>
      <c r="C109" s="5" t="s">
        <v>1776</v>
      </c>
      <c r="D109" s="5" t="s">
        <v>13</v>
      </c>
      <c r="E109" s="6">
        <v>6005</v>
      </c>
      <c r="F109" s="5" t="str">
        <f>HYPERLINK("https://www.google.com/maps/search/?api=1&amp;query=24.76462182,46.76403247", "View Map")</f>
        <v>View Map</v>
      </c>
    </row>
    <row r="110" spans="1:6" x14ac:dyDescent="0.35">
      <c r="A110" s="4" t="s">
        <v>5974</v>
      </c>
      <c r="B110" s="5" t="s">
        <v>1970</v>
      </c>
      <c r="C110" s="5" t="s">
        <v>1776</v>
      </c>
      <c r="D110" s="5" t="s">
        <v>13</v>
      </c>
      <c r="E110" s="6">
        <v>5948</v>
      </c>
      <c r="F110" s="5" t="str">
        <f>HYPERLINK("https://www.google.com/maps/search/?api=1&amp;query=24.73728402,46.78538541", "View Map")</f>
        <v>View Map</v>
      </c>
    </row>
    <row r="111" spans="1:6" x14ac:dyDescent="0.35">
      <c r="A111" s="4" t="s">
        <v>6049</v>
      </c>
      <c r="B111" s="5" t="s">
        <v>1972</v>
      </c>
      <c r="C111" s="5" t="s">
        <v>1776</v>
      </c>
      <c r="D111" s="5" t="s">
        <v>13</v>
      </c>
      <c r="E111" s="6">
        <v>5941</v>
      </c>
      <c r="F111" s="5" t="str">
        <f>HYPERLINK("https://www.google.com/maps/search/?api=1&amp;query=24.66598522,46.7009511", "View Map")</f>
        <v>View Map</v>
      </c>
    </row>
    <row r="112" spans="1:6" x14ac:dyDescent="0.35">
      <c r="A112" s="4" t="s">
        <v>6050</v>
      </c>
      <c r="B112" s="5" t="s">
        <v>1974</v>
      </c>
      <c r="C112" s="5" t="s">
        <v>1776</v>
      </c>
      <c r="D112" s="5" t="s">
        <v>13</v>
      </c>
      <c r="E112" s="6">
        <v>5881</v>
      </c>
      <c r="F112" s="5" t="str">
        <f>HYPERLINK("https://www.google.com/maps/search/?api=1&amp;query=24.69470816,46.68759636", "View Map")</f>
        <v>View Map</v>
      </c>
    </row>
    <row r="113" spans="1:6" x14ac:dyDescent="0.35">
      <c r="A113" s="4" t="s">
        <v>6051</v>
      </c>
      <c r="B113" s="5" t="s">
        <v>1975</v>
      </c>
      <c r="C113" s="5" t="s">
        <v>1776</v>
      </c>
      <c r="D113" s="5" t="s">
        <v>13</v>
      </c>
      <c r="E113" s="6">
        <v>5841</v>
      </c>
      <c r="F113" s="5" t="str">
        <f>HYPERLINK("https://www.google.com/maps/search/?api=1&amp;query=24.59857647,46.77267912", "View Map")</f>
        <v>View Map</v>
      </c>
    </row>
    <row r="114" spans="1:6" x14ac:dyDescent="0.35">
      <c r="A114" s="4" t="s">
        <v>6052</v>
      </c>
      <c r="B114" s="5" t="s">
        <v>1977</v>
      </c>
      <c r="C114" s="5" t="s">
        <v>1776</v>
      </c>
      <c r="D114" s="5" t="s">
        <v>13</v>
      </c>
      <c r="E114" s="6">
        <v>5805</v>
      </c>
      <c r="F114" s="5" t="str">
        <f>HYPERLINK("https://www.google.com/maps/search/?api=1&amp;query=24.75554387,46.78789353", "View Map")</f>
        <v>View Map</v>
      </c>
    </row>
    <row r="115" spans="1:6" x14ac:dyDescent="0.35">
      <c r="A115" s="4" t="s">
        <v>6053</v>
      </c>
      <c r="B115" s="5" t="s">
        <v>1979</v>
      </c>
      <c r="C115" s="5" t="s">
        <v>1776</v>
      </c>
      <c r="D115" s="5" t="s">
        <v>13</v>
      </c>
      <c r="E115" s="6">
        <v>5799</v>
      </c>
      <c r="F115" s="5" t="str">
        <f>HYPERLINK("https://www.google.com/maps/search/?api=1&amp;query=24.60363978,46.6584658", "View Map")</f>
        <v>View Map</v>
      </c>
    </row>
    <row r="116" spans="1:6" x14ac:dyDescent="0.35">
      <c r="A116" s="4" t="s">
        <v>6054</v>
      </c>
      <c r="B116" s="5" t="s">
        <v>1981</v>
      </c>
      <c r="C116" s="5" t="s">
        <v>1776</v>
      </c>
      <c r="D116" s="5" t="s">
        <v>13</v>
      </c>
      <c r="E116" s="6">
        <v>5783</v>
      </c>
      <c r="F116" s="5" t="str">
        <f>HYPERLINK("https://www.google.com/maps/search/?api=1&amp;query=24.58584592,46.66717194", "View Map")</f>
        <v>View Map</v>
      </c>
    </row>
    <row r="117" spans="1:6" x14ac:dyDescent="0.35">
      <c r="A117" s="4" t="s">
        <v>6055</v>
      </c>
      <c r="B117" s="5" t="s">
        <v>1983</v>
      </c>
      <c r="C117" s="5" t="s">
        <v>1776</v>
      </c>
      <c r="D117" s="5" t="s">
        <v>13</v>
      </c>
      <c r="E117" s="6">
        <v>5768</v>
      </c>
      <c r="F117" s="5" t="str">
        <f>HYPERLINK("https://www.google.com/maps/search/?api=1&amp;query=24.76785944,46.7377981", "View Map")</f>
        <v>View Map</v>
      </c>
    </row>
    <row r="118" spans="1:6" x14ac:dyDescent="0.35">
      <c r="A118" s="4" t="s">
        <v>5974</v>
      </c>
      <c r="B118" s="5" t="s">
        <v>1984</v>
      </c>
      <c r="C118" s="5" t="s">
        <v>1776</v>
      </c>
      <c r="D118" s="5" t="s">
        <v>13</v>
      </c>
      <c r="E118" s="6">
        <v>5754</v>
      </c>
      <c r="F118" s="5" t="str">
        <f>HYPERLINK("https://www.google.com/maps/search/?api=1&amp;query=24.7822977,46.8353532", "View Map")</f>
        <v>View Map</v>
      </c>
    </row>
    <row r="119" spans="1:6" x14ac:dyDescent="0.35">
      <c r="A119" s="4" t="s">
        <v>6056</v>
      </c>
      <c r="B119" s="5" t="s">
        <v>1986</v>
      </c>
      <c r="C119" s="5" t="s">
        <v>1776</v>
      </c>
      <c r="D119" s="5" t="s">
        <v>13</v>
      </c>
      <c r="E119" s="6">
        <v>5748</v>
      </c>
      <c r="F119" s="5" t="str">
        <f>HYPERLINK("https://www.google.com/maps/search/?api=1&amp;query=24.7960199,46.63184058", "View Map")</f>
        <v>View Map</v>
      </c>
    </row>
    <row r="120" spans="1:6" x14ac:dyDescent="0.35">
      <c r="A120" s="4" t="s">
        <v>6057</v>
      </c>
      <c r="B120" s="5" t="s">
        <v>1988</v>
      </c>
      <c r="C120" s="5" t="s">
        <v>1776</v>
      </c>
      <c r="D120" s="5" t="s">
        <v>13</v>
      </c>
      <c r="E120" s="6">
        <v>5719</v>
      </c>
      <c r="F120" s="5" t="str">
        <f>HYPERLINK("https://www.google.com/maps/search/?api=1&amp;query=24.73936669,46.60787857", "View Map")</f>
        <v>View Map</v>
      </c>
    </row>
    <row r="121" spans="1:6" x14ac:dyDescent="0.35">
      <c r="A121" s="4" t="s">
        <v>6058</v>
      </c>
      <c r="B121" s="5" t="s">
        <v>1990</v>
      </c>
      <c r="C121" s="5" t="s">
        <v>1776</v>
      </c>
      <c r="D121" s="5" t="s">
        <v>13</v>
      </c>
      <c r="E121" s="6">
        <v>5704</v>
      </c>
      <c r="F121" s="5" t="str">
        <f>HYPERLINK("https://www.google.com/maps/search/?api=1&amp;query=24.78883047,46.73059015", "View Map")</f>
        <v>View Map</v>
      </c>
    </row>
    <row r="122" spans="1:6" x14ac:dyDescent="0.35">
      <c r="A122" s="4" t="s">
        <v>5974</v>
      </c>
      <c r="B122" s="5" t="s">
        <v>1991</v>
      </c>
      <c r="C122" s="5" t="s">
        <v>1776</v>
      </c>
      <c r="D122" s="5" t="s">
        <v>13</v>
      </c>
      <c r="E122" s="6">
        <v>5700</v>
      </c>
      <c r="F122" s="5" t="str">
        <f>HYPERLINK("https://www.google.com/maps/search/?api=1&amp;query=24.86718667,46.63469465", "View Map")</f>
        <v>View Map</v>
      </c>
    </row>
    <row r="123" spans="1:6" x14ac:dyDescent="0.35">
      <c r="A123" s="4" t="s">
        <v>6059</v>
      </c>
      <c r="B123" s="5" t="s">
        <v>1993</v>
      </c>
      <c r="C123" s="5" t="s">
        <v>1776</v>
      </c>
      <c r="D123" s="5" t="s">
        <v>13</v>
      </c>
      <c r="E123" s="6">
        <v>5679</v>
      </c>
      <c r="F123" s="5" t="str">
        <f>HYPERLINK("https://www.google.com/maps/search/?api=1&amp;query=24.57913996,46.66583556", "View Map")</f>
        <v>View Map</v>
      </c>
    </row>
    <row r="124" spans="1:6" x14ac:dyDescent="0.35">
      <c r="A124" s="4" t="s">
        <v>5974</v>
      </c>
      <c r="B124" s="5" t="s">
        <v>1994</v>
      </c>
      <c r="C124" s="5" t="s">
        <v>1776</v>
      </c>
      <c r="D124" s="5" t="s">
        <v>13</v>
      </c>
      <c r="E124" s="6">
        <v>5678</v>
      </c>
      <c r="F124" s="5" t="str">
        <f>HYPERLINK("https://www.google.com/maps/search/?api=1&amp;query=24.92334319,46.82037301", "View Map")</f>
        <v>View Map</v>
      </c>
    </row>
    <row r="125" spans="1:6" x14ac:dyDescent="0.35">
      <c r="A125" s="4" t="s">
        <v>6060</v>
      </c>
      <c r="B125" s="5" t="s">
        <v>1996</v>
      </c>
      <c r="C125" s="5" t="s">
        <v>1776</v>
      </c>
      <c r="D125" s="5" t="s">
        <v>13</v>
      </c>
      <c r="E125" s="6">
        <v>5651</v>
      </c>
      <c r="F125" s="5" t="str">
        <f>HYPERLINK("https://www.google.com/maps/search/?api=1&amp;query=24.56145228,46.79002075", "View Map")</f>
        <v>View Map</v>
      </c>
    </row>
    <row r="126" spans="1:6" x14ac:dyDescent="0.35">
      <c r="A126" s="4" t="s">
        <v>6061</v>
      </c>
      <c r="B126" s="5" t="s">
        <v>1998</v>
      </c>
      <c r="C126" s="5" t="s">
        <v>1843</v>
      </c>
      <c r="D126" s="5" t="s">
        <v>13</v>
      </c>
      <c r="E126" s="6">
        <v>5644</v>
      </c>
      <c r="F126" s="5" t="str">
        <f>HYPERLINK("https://www.google.com/maps/search/?api=1&amp;query=24.73793,46.57923", "View Map")</f>
        <v>View Map</v>
      </c>
    </row>
    <row r="127" spans="1:6" x14ac:dyDescent="0.35">
      <c r="A127" s="4" t="s">
        <v>6062</v>
      </c>
      <c r="B127" s="5" t="s">
        <v>1999</v>
      </c>
      <c r="C127" s="5" t="s">
        <v>1776</v>
      </c>
      <c r="D127" s="5" t="s">
        <v>13</v>
      </c>
      <c r="E127" s="6">
        <v>5535</v>
      </c>
      <c r="F127" s="5" t="str">
        <f>HYPERLINK("https://www.google.com/maps/search/?api=1&amp;query=24.67643014,46.80624134", "View Map")</f>
        <v>View Map</v>
      </c>
    </row>
    <row r="128" spans="1:6" x14ac:dyDescent="0.35">
      <c r="A128" s="4" t="s">
        <v>6063</v>
      </c>
      <c r="B128" s="5" t="s">
        <v>2001</v>
      </c>
      <c r="C128" s="5" t="s">
        <v>1776</v>
      </c>
      <c r="D128" s="5" t="s">
        <v>13</v>
      </c>
      <c r="E128" s="6">
        <v>5524</v>
      </c>
      <c r="F128" s="5" t="str">
        <f>HYPERLINK("https://www.google.com/maps/search/?api=1&amp;query=24.55530165,46.8648805", "View Map")</f>
        <v>View Map</v>
      </c>
    </row>
    <row r="129" spans="1:6" x14ac:dyDescent="0.35">
      <c r="A129" s="4" t="s">
        <v>6064</v>
      </c>
      <c r="B129" s="5" t="s">
        <v>2003</v>
      </c>
      <c r="C129" s="5" t="s">
        <v>1776</v>
      </c>
      <c r="D129" s="5" t="s">
        <v>13</v>
      </c>
      <c r="E129" s="6">
        <v>5524</v>
      </c>
      <c r="F129" s="5" t="str">
        <f>HYPERLINK("https://www.google.com/maps/search/?api=1&amp;query=24.69756071,46.76240858", "View Map")</f>
        <v>View Map</v>
      </c>
    </row>
    <row r="130" spans="1:6" x14ac:dyDescent="0.35">
      <c r="A130" s="4" t="s">
        <v>5974</v>
      </c>
      <c r="B130" s="5" t="s">
        <v>2004</v>
      </c>
      <c r="C130" s="5" t="s">
        <v>1776</v>
      </c>
      <c r="D130" s="5" t="s">
        <v>13</v>
      </c>
      <c r="E130" s="6">
        <v>5479</v>
      </c>
      <c r="F130" s="5" t="str">
        <f>HYPERLINK("https://www.google.com/maps/search/?api=1&amp;query=24.64672947,46.5638687", "View Map")</f>
        <v>View Map</v>
      </c>
    </row>
    <row r="131" spans="1:6" x14ac:dyDescent="0.35">
      <c r="A131" s="4" t="s">
        <v>6065</v>
      </c>
      <c r="B131" s="5" t="s">
        <v>2006</v>
      </c>
      <c r="C131" s="5" t="s">
        <v>1776</v>
      </c>
      <c r="D131" s="5" t="s">
        <v>13</v>
      </c>
      <c r="E131" s="6">
        <v>5463</v>
      </c>
      <c r="F131" s="5" t="str">
        <f>HYPERLINK("https://www.google.com/maps/search/?api=1&amp;query=24.80129235,46.74042935", "View Map")</f>
        <v>View Map</v>
      </c>
    </row>
    <row r="132" spans="1:6" x14ac:dyDescent="0.35">
      <c r="A132" s="4" t="s">
        <v>6066</v>
      </c>
      <c r="B132" s="5" t="s">
        <v>2008</v>
      </c>
      <c r="C132" s="5" t="s">
        <v>1776</v>
      </c>
      <c r="D132" s="5" t="s">
        <v>13</v>
      </c>
      <c r="E132" s="6">
        <v>5444</v>
      </c>
      <c r="F132" s="5" t="str">
        <f>HYPERLINK("https://www.google.com/maps/search/?api=1&amp;query=24.79523579,46.73767582", "View Map")</f>
        <v>View Map</v>
      </c>
    </row>
    <row r="133" spans="1:6" x14ac:dyDescent="0.35">
      <c r="A133" s="4" t="s">
        <v>6067</v>
      </c>
      <c r="B133" s="5" t="s">
        <v>2010</v>
      </c>
      <c r="C133" s="5" t="s">
        <v>1776</v>
      </c>
      <c r="D133" s="5" t="s">
        <v>13</v>
      </c>
      <c r="E133" s="6">
        <v>5431</v>
      </c>
      <c r="F133" s="5" t="str">
        <f>HYPERLINK("https://www.google.com/maps/search/?api=1&amp;query=24.75806727,46.74662437", "View Map")</f>
        <v>View Map</v>
      </c>
    </row>
    <row r="134" spans="1:6" x14ac:dyDescent="0.35">
      <c r="A134" s="4" t="s">
        <v>5974</v>
      </c>
      <c r="B134" s="5" t="s">
        <v>2011</v>
      </c>
      <c r="C134" s="5" t="s">
        <v>1776</v>
      </c>
      <c r="D134" s="5" t="s">
        <v>13</v>
      </c>
      <c r="E134" s="6">
        <v>5349</v>
      </c>
      <c r="F134" s="5" t="str">
        <f>HYPERLINK("https://www.google.com/maps/search/?api=1&amp;query=24.70226648,46.66692736", "View Map")</f>
        <v>View Map</v>
      </c>
    </row>
    <row r="135" spans="1:6" x14ac:dyDescent="0.35">
      <c r="A135" s="4" t="s">
        <v>5974</v>
      </c>
      <c r="B135" s="5" t="s">
        <v>2012</v>
      </c>
      <c r="C135" s="5" t="s">
        <v>1776</v>
      </c>
      <c r="D135" s="5" t="s">
        <v>13</v>
      </c>
      <c r="E135" s="6">
        <v>5327</v>
      </c>
      <c r="F135" s="5" t="str">
        <f>HYPERLINK("https://www.google.com/maps/search/?api=1&amp;query=24.8797477,46.60346858", "View Map")</f>
        <v>View Map</v>
      </c>
    </row>
    <row r="136" spans="1:6" x14ac:dyDescent="0.35">
      <c r="A136" s="4" t="s">
        <v>6068</v>
      </c>
      <c r="B136" s="5" t="s">
        <v>2014</v>
      </c>
      <c r="C136" s="5" t="s">
        <v>1776</v>
      </c>
      <c r="D136" s="5" t="s">
        <v>13</v>
      </c>
      <c r="E136" s="6">
        <v>5312</v>
      </c>
      <c r="F136" s="5" t="str">
        <f>HYPERLINK("https://www.google.com/maps/search/?api=1&amp;query=24.73298,46.65794", "View Map")</f>
        <v>View Map</v>
      </c>
    </row>
    <row r="137" spans="1:6" x14ac:dyDescent="0.35">
      <c r="A137" s="4" t="s">
        <v>6069</v>
      </c>
      <c r="B137" s="5" t="s">
        <v>2016</v>
      </c>
      <c r="C137" s="5" t="s">
        <v>1776</v>
      </c>
      <c r="D137" s="5" t="s">
        <v>13</v>
      </c>
      <c r="E137" s="6">
        <v>5311</v>
      </c>
      <c r="F137" s="5" t="str">
        <f>HYPERLINK("https://www.google.com/maps/search/?api=1&amp;query=24.80212711,46.7338643", "View Map")</f>
        <v>View Map</v>
      </c>
    </row>
    <row r="138" spans="1:6" x14ac:dyDescent="0.35">
      <c r="A138" s="4" t="s">
        <v>6070</v>
      </c>
      <c r="B138" s="5" t="s">
        <v>2018</v>
      </c>
      <c r="C138" s="5" t="s">
        <v>1776</v>
      </c>
      <c r="D138" s="5" t="s">
        <v>13</v>
      </c>
      <c r="E138" s="6">
        <v>5308</v>
      </c>
      <c r="F138" s="5" t="str">
        <f>HYPERLINK("https://www.google.com/maps/search/?api=1&amp;query=24.66957461,46.70044643", "View Map")</f>
        <v>View Map</v>
      </c>
    </row>
    <row r="139" spans="1:6" x14ac:dyDescent="0.35">
      <c r="A139" s="4" t="s">
        <v>6071</v>
      </c>
      <c r="B139" s="5" t="s">
        <v>2020</v>
      </c>
      <c r="C139" s="5" t="s">
        <v>1776</v>
      </c>
      <c r="D139" s="5" t="s">
        <v>13</v>
      </c>
      <c r="E139" s="6">
        <v>5228</v>
      </c>
      <c r="F139" s="5" t="str">
        <f>HYPERLINK("https://www.google.com/maps/search/?api=1&amp;query=24.63105049,46.7143999", "View Map")</f>
        <v>View Map</v>
      </c>
    </row>
    <row r="140" spans="1:6" x14ac:dyDescent="0.35">
      <c r="A140" s="4" t="s">
        <v>6072</v>
      </c>
      <c r="B140" s="5" t="s">
        <v>2022</v>
      </c>
      <c r="C140" s="5" t="s">
        <v>1776</v>
      </c>
      <c r="D140" s="5" t="s">
        <v>13</v>
      </c>
      <c r="E140" s="6">
        <v>5209</v>
      </c>
      <c r="F140" s="5" t="str">
        <f>HYPERLINK("https://www.google.com/maps/search/?api=1&amp;query=24.63609762,46.7104271", "View Map")</f>
        <v>View Map</v>
      </c>
    </row>
    <row r="141" spans="1:6" x14ac:dyDescent="0.35">
      <c r="A141" s="4" t="s">
        <v>6073</v>
      </c>
      <c r="B141" s="5" t="s">
        <v>2024</v>
      </c>
      <c r="C141" s="5" t="s">
        <v>1776</v>
      </c>
      <c r="D141" s="5" t="s">
        <v>13</v>
      </c>
      <c r="E141" s="6">
        <v>5199</v>
      </c>
      <c r="F141" s="5" t="str">
        <f>HYPERLINK("https://www.google.com/maps/search/?api=1&amp;query=24.69496368,46.76523926", "View Map")</f>
        <v>View Map</v>
      </c>
    </row>
    <row r="142" spans="1:6" x14ac:dyDescent="0.35">
      <c r="A142" s="4" t="s">
        <v>6074</v>
      </c>
      <c r="B142" s="5" t="s">
        <v>2026</v>
      </c>
      <c r="C142" s="5" t="s">
        <v>1776</v>
      </c>
      <c r="D142" s="5" t="s">
        <v>13</v>
      </c>
      <c r="E142" s="6">
        <v>5180</v>
      </c>
      <c r="F142" s="5" t="str">
        <f>HYPERLINK("https://www.google.com/maps/search/?api=1&amp;query=24.68619557,46.78018729", "View Map")</f>
        <v>View Map</v>
      </c>
    </row>
    <row r="143" spans="1:6" x14ac:dyDescent="0.35">
      <c r="A143" s="4" t="s">
        <v>6075</v>
      </c>
      <c r="B143" s="5" t="s">
        <v>2028</v>
      </c>
      <c r="C143" s="5" t="s">
        <v>1776</v>
      </c>
      <c r="D143" s="5" t="s">
        <v>13</v>
      </c>
      <c r="E143" s="6">
        <v>5174</v>
      </c>
      <c r="F143" s="5" t="str">
        <f>HYPERLINK("https://www.google.com/maps/search/?api=1&amp;query=24.67939988,46.66350969", "View Map")</f>
        <v>View Map</v>
      </c>
    </row>
    <row r="144" spans="1:6" x14ac:dyDescent="0.35">
      <c r="A144" s="4" t="s">
        <v>5974</v>
      </c>
      <c r="B144" s="5" t="s">
        <v>2029</v>
      </c>
      <c r="C144" s="5" t="s">
        <v>1776</v>
      </c>
      <c r="D144" s="5" t="s">
        <v>13</v>
      </c>
      <c r="E144" s="6">
        <v>5169</v>
      </c>
      <c r="F144" s="5" t="str">
        <f>HYPERLINK("https://www.google.com/maps/search/?api=1&amp;query=24.92576238,46.82523471", "View Map")</f>
        <v>View Map</v>
      </c>
    </row>
    <row r="145" spans="1:6" x14ac:dyDescent="0.35">
      <c r="A145" s="4" t="s">
        <v>6076</v>
      </c>
      <c r="B145" s="5" t="s">
        <v>2031</v>
      </c>
      <c r="C145" s="5" t="s">
        <v>1776</v>
      </c>
      <c r="D145" s="5" t="s">
        <v>13</v>
      </c>
      <c r="E145" s="6">
        <v>5135</v>
      </c>
      <c r="F145" s="5" t="str">
        <f>HYPERLINK("https://www.google.com/maps/search/?api=1&amp;query=24.72108914,46.85436542", "View Map")</f>
        <v>View Map</v>
      </c>
    </row>
    <row r="146" spans="1:6" x14ac:dyDescent="0.35">
      <c r="A146" s="4" t="s">
        <v>6077</v>
      </c>
      <c r="B146" s="5" t="s">
        <v>2033</v>
      </c>
      <c r="C146" s="5" t="s">
        <v>1776</v>
      </c>
      <c r="D146" s="5" t="s">
        <v>13</v>
      </c>
      <c r="E146" s="6">
        <v>5127</v>
      </c>
      <c r="F146" s="5" t="str">
        <f>HYPERLINK("https://www.google.com/maps/search/?api=1&amp;query=24.79599263,46.62389353", "View Map")</f>
        <v>View Map</v>
      </c>
    </row>
    <row r="147" spans="1:6" x14ac:dyDescent="0.35">
      <c r="A147" s="4" t="s">
        <v>5972</v>
      </c>
      <c r="B147" s="5" t="s">
        <v>2034</v>
      </c>
      <c r="C147" s="5" t="s">
        <v>1776</v>
      </c>
      <c r="D147" s="5" t="s">
        <v>13</v>
      </c>
      <c r="E147" s="6">
        <v>5103</v>
      </c>
      <c r="F147" s="5" t="str">
        <f>HYPERLINK("https://www.google.com/maps/search/?api=1&amp;query=24.82120776,46.60274635", "View Map")</f>
        <v>View Map</v>
      </c>
    </row>
    <row r="148" spans="1:6" x14ac:dyDescent="0.35">
      <c r="A148" s="4" t="s">
        <v>6078</v>
      </c>
      <c r="B148" s="5" t="s">
        <v>2036</v>
      </c>
      <c r="C148" s="5" t="s">
        <v>1776</v>
      </c>
      <c r="D148" s="5" t="s">
        <v>13</v>
      </c>
      <c r="E148" s="6">
        <v>5083</v>
      </c>
      <c r="F148" s="5" t="str">
        <f>HYPERLINK("https://www.google.com/maps/search/?api=1&amp;query=24.68184014,46.71961591", "View Map")</f>
        <v>View Map</v>
      </c>
    </row>
    <row r="149" spans="1:6" x14ac:dyDescent="0.35">
      <c r="A149" s="4" t="s">
        <v>6079</v>
      </c>
      <c r="B149" s="5" t="s">
        <v>2038</v>
      </c>
      <c r="C149" s="5" t="s">
        <v>1843</v>
      </c>
      <c r="D149" s="5" t="s">
        <v>13</v>
      </c>
      <c r="E149" s="6">
        <v>5079</v>
      </c>
      <c r="F149" s="5" t="str">
        <f>HYPERLINK("https://www.google.com/maps/search/?api=1&amp;query=24.73759225,46.59876738", "View Map")</f>
        <v>View Map</v>
      </c>
    </row>
    <row r="150" spans="1:6" x14ac:dyDescent="0.35">
      <c r="A150" s="4" t="s">
        <v>6080</v>
      </c>
      <c r="B150" s="5" t="s">
        <v>2040</v>
      </c>
      <c r="C150" s="5" t="s">
        <v>1776</v>
      </c>
      <c r="D150" s="5" t="s">
        <v>13</v>
      </c>
      <c r="E150" s="6">
        <v>5071</v>
      </c>
      <c r="F150" s="5" t="str">
        <f>HYPERLINK("https://www.google.com/maps/search/?api=1&amp;query=24.6742582,46.75742232", "View Map")</f>
        <v>View Map</v>
      </c>
    </row>
    <row r="151" spans="1:6" x14ac:dyDescent="0.35">
      <c r="A151" s="4" t="s">
        <v>6081</v>
      </c>
      <c r="B151" s="5" t="s">
        <v>2042</v>
      </c>
      <c r="C151" s="5" t="s">
        <v>1776</v>
      </c>
      <c r="D151" s="5" t="s">
        <v>13</v>
      </c>
      <c r="E151" s="6">
        <v>5061</v>
      </c>
      <c r="F151" s="5" t="str">
        <f>HYPERLINK("https://www.google.com/maps/search/?api=1&amp;query=24.67994789,46.70623404", "View Map")</f>
        <v>View Map</v>
      </c>
    </row>
    <row r="152" spans="1:6" x14ac:dyDescent="0.35">
      <c r="A152" s="4" t="s">
        <v>6082</v>
      </c>
      <c r="B152" s="5" t="s">
        <v>2044</v>
      </c>
      <c r="C152" s="5" t="s">
        <v>1776</v>
      </c>
      <c r="D152" s="5" t="s">
        <v>13</v>
      </c>
      <c r="E152" s="6">
        <v>5058</v>
      </c>
      <c r="F152" s="5" t="str">
        <f>HYPERLINK("https://www.google.com/maps/search/?api=1&amp;query=24.58332673,46.77322263", "View Map")</f>
        <v>View Map</v>
      </c>
    </row>
    <row r="153" spans="1:6" x14ac:dyDescent="0.35">
      <c r="A153" s="4" t="s">
        <v>6083</v>
      </c>
      <c r="B153" s="5" t="s">
        <v>2046</v>
      </c>
      <c r="C153" s="5" t="s">
        <v>1776</v>
      </c>
      <c r="D153" s="5" t="s">
        <v>13</v>
      </c>
      <c r="E153" s="6">
        <v>5056</v>
      </c>
      <c r="F153" s="5" t="str">
        <f>HYPERLINK("https://www.google.com/maps/search/?api=1&amp;query=24.78265071,46.58388412", "View Map")</f>
        <v>View Map</v>
      </c>
    </row>
    <row r="154" spans="1:6" x14ac:dyDescent="0.35">
      <c r="A154" s="4" t="s">
        <v>5974</v>
      </c>
      <c r="B154" s="5" t="s">
        <v>2047</v>
      </c>
      <c r="C154" s="5" t="s">
        <v>1776</v>
      </c>
      <c r="D154" s="5" t="s">
        <v>13</v>
      </c>
      <c r="E154" s="6">
        <v>5019</v>
      </c>
      <c r="F154" s="5" t="str">
        <f>HYPERLINK("https://www.google.com/maps/search/?api=1&amp;query=24.6137815,46.75777171", "View Map")</f>
        <v>View Map</v>
      </c>
    </row>
    <row r="155" spans="1:6" x14ac:dyDescent="0.35">
      <c r="A155" s="4" t="s">
        <v>5974</v>
      </c>
      <c r="B155" s="5" t="s">
        <v>2048</v>
      </c>
      <c r="C155" s="5" t="s">
        <v>1776</v>
      </c>
      <c r="D155" s="5" t="s">
        <v>13</v>
      </c>
      <c r="E155" s="6">
        <v>5009</v>
      </c>
      <c r="F155" s="5" t="str">
        <f>HYPERLINK("https://www.google.com/maps/search/?api=1&amp;query=24.56362419,46.80326295", "View Map")</f>
        <v>View Map</v>
      </c>
    </row>
    <row r="156" spans="1:6" x14ac:dyDescent="0.35">
      <c r="A156" s="4" t="s">
        <v>6039</v>
      </c>
      <c r="B156" s="5" t="s">
        <v>2049</v>
      </c>
      <c r="C156" s="5" t="s">
        <v>1776</v>
      </c>
      <c r="D156" s="5" t="s">
        <v>13</v>
      </c>
      <c r="E156" s="6">
        <v>4997</v>
      </c>
      <c r="F156" s="5" t="str">
        <f>HYPERLINK("https://www.google.com/maps/search/?api=1&amp;query=24.61477434,46.70980659", "View Map")</f>
        <v>View Map</v>
      </c>
    </row>
    <row r="157" spans="1:6" x14ac:dyDescent="0.35">
      <c r="A157" s="4" t="s">
        <v>6061</v>
      </c>
      <c r="B157" s="5" t="s">
        <v>2050</v>
      </c>
      <c r="C157" s="5" t="s">
        <v>1843</v>
      </c>
      <c r="D157" s="5" t="s">
        <v>13</v>
      </c>
      <c r="E157" s="6">
        <v>4992</v>
      </c>
      <c r="F157" s="5" t="str">
        <f>HYPERLINK("https://www.google.com/maps/search/?api=1&amp;query=24.73795,46.57921", "View Map")</f>
        <v>View Map</v>
      </c>
    </row>
    <row r="158" spans="1:6" x14ac:dyDescent="0.35">
      <c r="A158" s="4" t="s">
        <v>6084</v>
      </c>
      <c r="B158" s="5" t="s">
        <v>2052</v>
      </c>
      <c r="C158" s="5" t="s">
        <v>1776</v>
      </c>
      <c r="D158" s="5" t="s">
        <v>13</v>
      </c>
      <c r="E158" s="6">
        <v>4975</v>
      </c>
      <c r="F158" s="5" t="str">
        <f>HYPERLINK("https://www.google.com/maps/search/?api=1&amp;query=24.71415605,46.78377465", "View Map")</f>
        <v>View Map</v>
      </c>
    </row>
    <row r="159" spans="1:6" x14ac:dyDescent="0.35">
      <c r="A159" s="4" t="s">
        <v>6085</v>
      </c>
      <c r="B159" s="5" t="s">
        <v>2054</v>
      </c>
      <c r="C159" s="5" t="s">
        <v>1776</v>
      </c>
      <c r="D159" s="5" t="s">
        <v>13</v>
      </c>
      <c r="E159" s="6">
        <v>4963</v>
      </c>
      <c r="F159" s="5" t="str">
        <f>HYPERLINK("https://www.google.com/maps/search/?api=1&amp;query=24.73271,46.65093", "View Map")</f>
        <v>View Map</v>
      </c>
    </row>
    <row r="160" spans="1:6" x14ac:dyDescent="0.35">
      <c r="A160" s="4" t="s">
        <v>5974</v>
      </c>
      <c r="B160" s="5" t="s">
        <v>2055</v>
      </c>
      <c r="C160" s="5" t="s">
        <v>1776</v>
      </c>
      <c r="D160" s="5" t="s">
        <v>13</v>
      </c>
      <c r="E160" s="6">
        <v>4933</v>
      </c>
      <c r="F160" s="5" t="str">
        <f>HYPERLINK("https://www.google.com/maps/search/?api=1&amp;query=24.89540143,46.61677811", "View Map")</f>
        <v>View Map</v>
      </c>
    </row>
    <row r="161" spans="1:6" x14ac:dyDescent="0.35">
      <c r="A161" s="4" t="s">
        <v>6086</v>
      </c>
      <c r="B161" s="5" t="s">
        <v>2057</v>
      </c>
      <c r="C161" s="5" t="s">
        <v>1776</v>
      </c>
      <c r="D161" s="5" t="s">
        <v>13</v>
      </c>
      <c r="E161" s="6">
        <v>4930</v>
      </c>
      <c r="F161" s="5" t="str">
        <f>HYPERLINK("https://www.google.com/maps/search/?api=1&amp;query=24.8078,46.6183", "View Map")</f>
        <v>View Map</v>
      </c>
    </row>
    <row r="162" spans="1:6" x14ac:dyDescent="0.35">
      <c r="A162" s="4" t="s">
        <v>6039</v>
      </c>
      <c r="B162" s="5" t="s">
        <v>2058</v>
      </c>
      <c r="C162" s="5" t="s">
        <v>1776</v>
      </c>
      <c r="D162" s="5" t="s">
        <v>13</v>
      </c>
      <c r="E162" s="6">
        <v>4915</v>
      </c>
      <c r="F162" s="5" t="str">
        <f>HYPERLINK("https://www.google.com/maps/search/?api=1&amp;query=24.6069,46.625", "View Map")</f>
        <v>View Map</v>
      </c>
    </row>
    <row r="163" spans="1:6" x14ac:dyDescent="0.35">
      <c r="A163" s="4" t="s">
        <v>6087</v>
      </c>
      <c r="B163" s="5" t="s">
        <v>2060</v>
      </c>
      <c r="C163" s="5" t="s">
        <v>1776</v>
      </c>
      <c r="D163" s="5" t="s">
        <v>13</v>
      </c>
      <c r="E163" s="6">
        <v>4889</v>
      </c>
      <c r="F163" s="5" t="str">
        <f>HYPERLINK("https://www.google.com/maps/search/?api=1&amp;query=24.67259,46.71596", "View Map")</f>
        <v>View Map</v>
      </c>
    </row>
    <row r="164" spans="1:6" x14ac:dyDescent="0.35">
      <c r="A164" s="4" t="s">
        <v>6088</v>
      </c>
      <c r="B164" s="5" t="s">
        <v>2062</v>
      </c>
      <c r="C164" s="5" t="s">
        <v>1776</v>
      </c>
      <c r="D164" s="5" t="s">
        <v>13</v>
      </c>
      <c r="E164" s="6">
        <v>4883</v>
      </c>
      <c r="F164" s="5" t="str">
        <f>HYPERLINK("https://www.google.com/maps/search/?api=1&amp;query=24.81133093,46.61878903", "View Map")</f>
        <v>View Map</v>
      </c>
    </row>
    <row r="165" spans="1:6" x14ac:dyDescent="0.35">
      <c r="A165" s="4" t="s">
        <v>6089</v>
      </c>
      <c r="B165" s="5" t="s">
        <v>2064</v>
      </c>
      <c r="C165" s="5" t="s">
        <v>1776</v>
      </c>
      <c r="D165" s="5" t="s">
        <v>13</v>
      </c>
      <c r="E165" s="6">
        <v>4881</v>
      </c>
      <c r="F165" s="5" t="str">
        <f>HYPERLINK("https://www.google.com/maps/search/?api=1&amp;query=24.6908,46.6269", "View Map")</f>
        <v>View Map</v>
      </c>
    </row>
    <row r="166" spans="1:6" x14ac:dyDescent="0.35">
      <c r="A166" s="4" t="s">
        <v>6090</v>
      </c>
      <c r="B166" s="5" t="s">
        <v>2066</v>
      </c>
      <c r="C166" s="5" t="s">
        <v>1776</v>
      </c>
      <c r="D166" s="5" t="s">
        <v>13</v>
      </c>
      <c r="E166" s="6">
        <v>4859</v>
      </c>
      <c r="F166" s="5" t="str">
        <f>HYPERLINK("https://www.google.com/maps/search/?api=1&amp;query=24.67088702,46.74360874", "View Map")</f>
        <v>View Map</v>
      </c>
    </row>
    <row r="167" spans="1:6" x14ac:dyDescent="0.35">
      <c r="A167" s="4" t="s">
        <v>6091</v>
      </c>
      <c r="B167" s="5" t="s">
        <v>2068</v>
      </c>
      <c r="C167" s="5" t="s">
        <v>1776</v>
      </c>
      <c r="D167" s="5" t="s">
        <v>13</v>
      </c>
      <c r="E167" s="6">
        <v>4853</v>
      </c>
      <c r="F167" s="5" t="str">
        <f>HYPERLINK("https://www.google.com/maps/search/?api=1&amp;query=24.5919537,46.7471375", "View Map")</f>
        <v>View Map</v>
      </c>
    </row>
    <row r="168" spans="1:6" x14ac:dyDescent="0.35">
      <c r="A168" s="4" t="s">
        <v>5978</v>
      </c>
      <c r="B168" s="5" t="s">
        <v>2069</v>
      </c>
      <c r="C168" s="5" t="s">
        <v>1776</v>
      </c>
      <c r="D168" s="5" t="s">
        <v>13</v>
      </c>
      <c r="E168" s="6">
        <v>4834</v>
      </c>
      <c r="F168" s="5" t="str">
        <f>HYPERLINK("https://www.google.com/maps/search/?api=1&amp;query=24.78065677,46.58766811", "View Map")</f>
        <v>View Map</v>
      </c>
    </row>
    <row r="169" spans="1:6" x14ac:dyDescent="0.35">
      <c r="A169" s="4" t="s">
        <v>6092</v>
      </c>
      <c r="B169" s="5" t="s">
        <v>2071</v>
      </c>
      <c r="C169" s="5" t="s">
        <v>1776</v>
      </c>
      <c r="D169" s="5" t="s">
        <v>13</v>
      </c>
      <c r="E169" s="6">
        <v>4834</v>
      </c>
      <c r="F169" s="5" t="str">
        <f>HYPERLINK("https://www.google.com/maps/search/?api=1&amp;query=24.62418346,46.74383133", "View Map")</f>
        <v>View Map</v>
      </c>
    </row>
    <row r="170" spans="1:6" x14ac:dyDescent="0.35">
      <c r="A170" s="4" t="s">
        <v>6039</v>
      </c>
      <c r="B170" s="5" t="s">
        <v>2072</v>
      </c>
      <c r="C170" s="5" t="s">
        <v>1776</v>
      </c>
      <c r="D170" s="5" t="s">
        <v>13</v>
      </c>
      <c r="E170" s="6">
        <v>4819</v>
      </c>
      <c r="F170" s="5" t="str">
        <f>HYPERLINK("https://www.google.com/maps/search/?api=1&amp;query=24.57398396,46.63571953", "View Map")</f>
        <v>View Map</v>
      </c>
    </row>
    <row r="171" spans="1:6" x14ac:dyDescent="0.35">
      <c r="A171" s="4" t="s">
        <v>5974</v>
      </c>
      <c r="B171" s="5" t="s">
        <v>2073</v>
      </c>
      <c r="C171" s="5" t="s">
        <v>1776</v>
      </c>
      <c r="D171" s="5" t="s">
        <v>13</v>
      </c>
      <c r="E171" s="6">
        <v>4801</v>
      </c>
      <c r="F171" s="5" t="str">
        <f>HYPERLINK("https://www.google.com/maps/search/?api=1&amp;query=24.81243589,46.82744311", "View Map")</f>
        <v>View Map</v>
      </c>
    </row>
    <row r="172" spans="1:6" x14ac:dyDescent="0.35">
      <c r="A172" s="4" t="s">
        <v>6093</v>
      </c>
      <c r="B172" s="5" t="s">
        <v>2075</v>
      </c>
      <c r="C172" s="5" t="s">
        <v>1776</v>
      </c>
      <c r="D172" s="5" t="s">
        <v>13</v>
      </c>
      <c r="E172" s="6">
        <v>4793</v>
      </c>
      <c r="F172" s="5" t="str">
        <f>HYPERLINK("https://www.google.com/maps/search/?api=1&amp;query=24.68620666,46.58833388", "View Map")</f>
        <v>View Map</v>
      </c>
    </row>
    <row r="173" spans="1:6" x14ac:dyDescent="0.35">
      <c r="A173" s="4" t="s">
        <v>5974</v>
      </c>
      <c r="B173" s="5" t="s">
        <v>2076</v>
      </c>
      <c r="C173" s="5" t="s">
        <v>1776</v>
      </c>
      <c r="D173" s="5" t="s">
        <v>13</v>
      </c>
      <c r="E173" s="6">
        <v>4768</v>
      </c>
      <c r="F173" s="5" t="str">
        <f>HYPERLINK("https://www.google.com/maps/search/?api=1&amp;query=24.83051913,46.57855565", "View Map")</f>
        <v>View Map</v>
      </c>
    </row>
    <row r="174" spans="1:6" x14ac:dyDescent="0.35">
      <c r="A174" s="4" t="s">
        <v>5972</v>
      </c>
      <c r="B174" s="5" t="s">
        <v>2077</v>
      </c>
      <c r="C174" s="5" t="s">
        <v>1776</v>
      </c>
      <c r="D174" s="5" t="s">
        <v>13</v>
      </c>
      <c r="E174" s="6">
        <v>4755</v>
      </c>
      <c r="F174" s="5" t="str">
        <f>HYPERLINK("https://www.google.com/maps/search/?api=1&amp;query=24.78503888,46.67786923", "View Map")</f>
        <v>View Map</v>
      </c>
    </row>
    <row r="175" spans="1:6" x14ac:dyDescent="0.35">
      <c r="A175" s="4" t="s">
        <v>6094</v>
      </c>
      <c r="B175" s="5" t="s">
        <v>2079</v>
      </c>
      <c r="C175" s="5" t="s">
        <v>1843</v>
      </c>
      <c r="D175" s="5" t="s">
        <v>13</v>
      </c>
      <c r="E175" s="6">
        <v>4754</v>
      </c>
      <c r="F175" s="5" t="str">
        <f>HYPERLINK("https://www.google.com/maps/search/?api=1&amp;query=24.74555352,46.574474", "View Map")</f>
        <v>View Map</v>
      </c>
    </row>
    <row r="176" spans="1:6" x14ac:dyDescent="0.35">
      <c r="A176" s="4" t="s">
        <v>6095</v>
      </c>
      <c r="B176" s="5" t="s">
        <v>2081</v>
      </c>
      <c r="C176" s="5" t="s">
        <v>1776</v>
      </c>
      <c r="D176" s="5" t="s">
        <v>13</v>
      </c>
      <c r="E176" s="6">
        <v>4744</v>
      </c>
      <c r="F176" s="5" t="str">
        <f>HYPERLINK("https://www.google.com/maps/search/?api=1&amp;query=24.57351722,46.6148052", "View Map")</f>
        <v>View Map</v>
      </c>
    </row>
    <row r="177" spans="1:6" x14ac:dyDescent="0.35">
      <c r="A177" s="4" t="s">
        <v>6096</v>
      </c>
      <c r="B177" s="5" t="s">
        <v>2083</v>
      </c>
      <c r="C177" s="5" t="s">
        <v>1776</v>
      </c>
      <c r="D177" s="5" t="s">
        <v>13</v>
      </c>
      <c r="E177" s="6">
        <v>4741</v>
      </c>
      <c r="F177" s="5" t="str">
        <f>HYPERLINK("https://www.google.com/maps/search/?api=1&amp;query=24.58041158,46.67659749", "View Map")</f>
        <v>View Map</v>
      </c>
    </row>
    <row r="178" spans="1:6" x14ac:dyDescent="0.35">
      <c r="A178" s="4" t="s">
        <v>6097</v>
      </c>
      <c r="B178" s="5" t="s">
        <v>2085</v>
      </c>
      <c r="C178" s="5" t="s">
        <v>1776</v>
      </c>
      <c r="D178" s="5" t="s">
        <v>13</v>
      </c>
      <c r="E178" s="6">
        <v>4737</v>
      </c>
      <c r="F178" s="5" t="str">
        <f>HYPERLINK("https://www.google.com/maps/search/?api=1&amp;query=24.59613063,46.71067492", "View Map")</f>
        <v>View Map</v>
      </c>
    </row>
    <row r="179" spans="1:6" x14ac:dyDescent="0.35">
      <c r="A179" s="4" t="s">
        <v>5974</v>
      </c>
      <c r="B179" s="5" t="s">
        <v>2086</v>
      </c>
      <c r="C179" s="5" t="s">
        <v>1776</v>
      </c>
      <c r="D179" s="5" t="s">
        <v>13</v>
      </c>
      <c r="E179" s="6">
        <v>4698</v>
      </c>
      <c r="F179" s="5" t="str">
        <f>HYPERLINK("https://www.google.com/maps/search/?api=1&amp;query=24.84062294,46.88054074", "View Map")</f>
        <v>View Map</v>
      </c>
    </row>
    <row r="180" spans="1:6" x14ac:dyDescent="0.35">
      <c r="A180" s="4" t="s">
        <v>6098</v>
      </c>
      <c r="B180" s="5" t="s">
        <v>2088</v>
      </c>
      <c r="C180" s="5" t="s">
        <v>1776</v>
      </c>
      <c r="D180" s="5" t="s">
        <v>13</v>
      </c>
      <c r="E180" s="6">
        <v>4696</v>
      </c>
      <c r="F180" s="5" t="str">
        <f>HYPERLINK("https://www.google.com/maps/search/?api=1&amp;query=24.7675,46.5931", "View Map")</f>
        <v>View Map</v>
      </c>
    </row>
    <row r="181" spans="1:6" x14ac:dyDescent="0.35">
      <c r="A181" s="4" t="s">
        <v>5972</v>
      </c>
      <c r="B181" s="5" t="s">
        <v>2089</v>
      </c>
      <c r="C181" s="5" t="s">
        <v>1776</v>
      </c>
      <c r="D181" s="5" t="s">
        <v>13</v>
      </c>
      <c r="E181" s="6">
        <v>4657</v>
      </c>
      <c r="F181" s="5" t="str">
        <f>HYPERLINK("https://www.google.com/maps/search/?api=1&amp;query=24.68734844,46.56685804", "View Map")</f>
        <v>View Map</v>
      </c>
    </row>
    <row r="182" spans="1:6" x14ac:dyDescent="0.35">
      <c r="A182" s="4" t="s">
        <v>5978</v>
      </c>
      <c r="B182" s="5" t="s">
        <v>2090</v>
      </c>
      <c r="C182" s="5" t="s">
        <v>1776</v>
      </c>
      <c r="D182" s="5" t="s">
        <v>13</v>
      </c>
      <c r="E182" s="6">
        <v>4618</v>
      </c>
      <c r="F182" s="5" t="str">
        <f>HYPERLINK("https://www.google.com/maps/search/?api=1&amp;query=24.81083538,46.7401432", "View Map")</f>
        <v>View Map</v>
      </c>
    </row>
    <row r="183" spans="1:6" x14ac:dyDescent="0.35">
      <c r="A183" s="4" t="s">
        <v>6099</v>
      </c>
      <c r="B183" s="5" t="s">
        <v>2092</v>
      </c>
      <c r="C183" s="5" t="s">
        <v>1776</v>
      </c>
      <c r="D183" s="5" t="s">
        <v>13</v>
      </c>
      <c r="E183" s="6">
        <v>4600</v>
      </c>
      <c r="F183" s="5" t="str">
        <f>HYPERLINK("https://www.google.com/maps/search/?api=1&amp;query=24.70921421,46.76989273", "View Map")</f>
        <v>View Map</v>
      </c>
    </row>
    <row r="184" spans="1:6" x14ac:dyDescent="0.35">
      <c r="A184" s="4" t="s">
        <v>6100</v>
      </c>
      <c r="B184" s="5" t="s">
        <v>2094</v>
      </c>
      <c r="C184" s="5" t="s">
        <v>1776</v>
      </c>
      <c r="D184" s="5" t="s">
        <v>13</v>
      </c>
      <c r="E184" s="6">
        <v>4544</v>
      </c>
      <c r="F184" s="5" t="str">
        <f>HYPERLINK("https://www.google.com/maps/search/?api=1&amp;query=24.8157958,46.79362523", "View Map")</f>
        <v>View Map</v>
      </c>
    </row>
    <row r="185" spans="1:6" x14ac:dyDescent="0.35">
      <c r="A185" s="4" t="s">
        <v>6101</v>
      </c>
      <c r="B185" s="5" t="s">
        <v>2096</v>
      </c>
      <c r="C185" s="5" t="s">
        <v>1776</v>
      </c>
      <c r="D185" s="5" t="s">
        <v>13</v>
      </c>
      <c r="E185" s="6">
        <v>4541</v>
      </c>
      <c r="F185" s="5" t="str">
        <f>HYPERLINK("https://www.google.com/maps/search/?api=1&amp;query=24.82195567,46.77697875", "View Map")</f>
        <v>View Map</v>
      </c>
    </row>
    <row r="186" spans="1:6" x14ac:dyDescent="0.35">
      <c r="A186" s="4" t="s">
        <v>6102</v>
      </c>
      <c r="B186" s="5" t="s">
        <v>2098</v>
      </c>
      <c r="C186" s="5" t="s">
        <v>1776</v>
      </c>
      <c r="D186" s="5" t="s">
        <v>13</v>
      </c>
      <c r="E186" s="6">
        <v>4530</v>
      </c>
      <c r="F186" s="5" t="str">
        <f>HYPERLINK("https://www.google.com/maps/search/?api=1&amp;query=24.81032301,46.61099192", "View Map")</f>
        <v>View Map</v>
      </c>
    </row>
    <row r="187" spans="1:6" x14ac:dyDescent="0.35">
      <c r="A187" s="4" t="s">
        <v>6103</v>
      </c>
      <c r="B187" s="5" t="s">
        <v>2100</v>
      </c>
      <c r="C187" s="5" t="s">
        <v>1776</v>
      </c>
      <c r="D187" s="5" t="s">
        <v>13</v>
      </c>
      <c r="E187" s="6">
        <v>4522</v>
      </c>
      <c r="F187" s="5" t="str">
        <f>HYPERLINK("https://www.google.com/maps/search/?api=1&amp;query=24.75026011,46.67943946", "View Map")</f>
        <v>View Map</v>
      </c>
    </row>
    <row r="188" spans="1:6" x14ac:dyDescent="0.35">
      <c r="A188" s="4" t="s">
        <v>6104</v>
      </c>
      <c r="B188" s="5" t="s">
        <v>2102</v>
      </c>
      <c r="C188" s="5" t="s">
        <v>1776</v>
      </c>
      <c r="D188" s="5" t="s">
        <v>13</v>
      </c>
      <c r="E188" s="6">
        <v>4513</v>
      </c>
      <c r="F188" s="5" t="str">
        <f>HYPERLINK("https://www.google.com/maps/search/?api=1&amp;query=24.77070675,46.71048516", "View Map")</f>
        <v>View Map</v>
      </c>
    </row>
    <row r="189" spans="1:6" x14ac:dyDescent="0.35">
      <c r="A189" s="4" t="s">
        <v>5978</v>
      </c>
      <c r="B189" s="5" t="s">
        <v>2103</v>
      </c>
      <c r="C189" s="5" t="s">
        <v>1776</v>
      </c>
      <c r="D189" s="5" t="s">
        <v>13</v>
      </c>
      <c r="E189" s="6">
        <v>4512</v>
      </c>
      <c r="F189" s="5" t="str">
        <f>HYPERLINK("https://www.google.com/maps/search/?api=1&amp;query=24.81078765,46.74026016", "View Map")</f>
        <v>View Map</v>
      </c>
    </row>
    <row r="190" spans="1:6" x14ac:dyDescent="0.35">
      <c r="A190" s="4" t="s">
        <v>5974</v>
      </c>
      <c r="B190" s="5" t="s">
        <v>2104</v>
      </c>
      <c r="C190" s="5" t="s">
        <v>1776</v>
      </c>
      <c r="D190" s="5" t="s">
        <v>13</v>
      </c>
      <c r="E190" s="6">
        <v>4480</v>
      </c>
      <c r="F190" s="5" t="str">
        <f>HYPERLINK("https://www.google.com/maps/search/?api=1&amp;query=24.74721,46.84946", "View Map")</f>
        <v>View Map</v>
      </c>
    </row>
    <row r="191" spans="1:6" x14ac:dyDescent="0.35">
      <c r="A191" s="4" t="s">
        <v>6105</v>
      </c>
      <c r="B191" s="5" t="s">
        <v>2106</v>
      </c>
      <c r="C191" s="5" t="s">
        <v>1776</v>
      </c>
      <c r="D191" s="5" t="s">
        <v>13</v>
      </c>
      <c r="E191" s="6">
        <v>4471</v>
      </c>
      <c r="F191" s="5" t="str">
        <f>HYPERLINK("https://www.google.com/maps/search/?api=1&amp;query=24.81224366,46.66457489", "View Map")</f>
        <v>View Map</v>
      </c>
    </row>
    <row r="192" spans="1:6" x14ac:dyDescent="0.35">
      <c r="A192" s="4" t="s">
        <v>6106</v>
      </c>
      <c r="B192" s="5" t="s">
        <v>2108</v>
      </c>
      <c r="C192" s="5" t="s">
        <v>1776</v>
      </c>
      <c r="D192" s="5" t="s">
        <v>13</v>
      </c>
      <c r="E192" s="6">
        <v>4408</v>
      </c>
      <c r="F192" s="5" t="str">
        <f>HYPERLINK("https://www.google.com/maps/search/?api=1&amp;query=24.69664673,46.81679054", "View Map")</f>
        <v>View Map</v>
      </c>
    </row>
    <row r="193" spans="1:6" x14ac:dyDescent="0.35">
      <c r="A193" s="4" t="s">
        <v>6107</v>
      </c>
      <c r="B193" s="5" t="s">
        <v>2110</v>
      </c>
      <c r="C193" s="5" t="s">
        <v>1776</v>
      </c>
      <c r="D193" s="5" t="s">
        <v>13</v>
      </c>
      <c r="E193" s="6">
        <v>4408</v>
      </c>
      <c r="F193" s="5" t="str">
        <f>HYPERLINK("https://www.google.com/maps/search/?api=1&amp;query=24.7549957,46.72114823", "View Map")</f>
        <v>View Map</v>
      </c>
    </row>
    <row r="194" spans="1:6" x14ac:dyDescent="0.35">
      <c r="A194" s="4" t="s">
        <v>6108</v>
      </c>
      <c r="B194" s="5" t="s">
        <v>2112</v>
      </c>
      <c r="C194" s="5" t="s">
        <v>1776</v>
      </c>
      <c r="D194" s="5" t="s">
        <v>13</v>
      </c>
      <c r="E194" s="6">
        <v>4405</v>
      </c>
      <c r="F194" s="5" t="str">
        <f>HYPERLINK("https://www.google.com/maps/search/?api=1&amp;query=24.74499644,46.71869362", "View Map")</f>
        <v>View Map</v>
      </c>
    </row>
    <row r="195" spans="1:6" x14ac:dyDescent="0.35">
      <c r="A195" s="4" t="s">
        <v>5972</v>
      </c>
      <c r="B195" s="5" t="s">
        <v>2113</v>
      </c>
      <c r="C195" s="5" t="s">
        <v>1776</v>
      </c>
      <c r="D195" s="5" t="s">
        <v>13</v>
      </c>
      <c r="E195" s="6">
        <v>4387</v>
      </c>
      <c r="F195" s="5" t="str">
        <f>HYPERLINK("https://www.google.com/maps/search/?api=1&amp;query=24.63540454,46.55433271", "View Map")</f>
        <v>View Map</v>
      </c>
    </row>
    <row r="196" spans="1:6" x14ac:dyDescent="0.35">
      <c r="A196" s="4" t="s">
        <v>6109</v>
      </c>
      <c r="B196" s="5" t="s">
        <v>2115</v>
      </c>
      <c r="C196" s="5" t="s">
        <v>1776</v>
      </c>
      <c r="D196" s="5" t="s">
        <v>13</v>
      </c>
      <c r="E196" s="6">
        <v>4383</v>
      </c>
      <c r="F196" s="5" t="str">
        <f>HYPERLINK("https://www.google.com/maps/search/?api=1&amp;query=24.82202884,46.62588032", "View Map")</f>
        <v>View Map</v>
      </c>
    </row>
    <row r="197" spans="1:6" x14ac:dyDescent="0.35">
      <c r="A197" s="4" t="s">
        <v>6110</v>
      </c>
      <c r="B197" s="5" t="s">
        <v>2117</v>
      </c>
      <c r="C197" s="5" t="s">
        <v>1776</v>
      </c>
      <c r="D197" s="5" t="s">
        <v>13</v>
      </c>
      <c r="E197" s="6">
        <v>4364</v>
      </c>
      <c r="F197" s="5" t="str">
        <f>HYPERLINK("https://www.google.com/maps/search/?api=1&amp;query=24.65996461,46.74198876", "View Map")</f>
        <v>View Map</v>
      </c>
    </row>
    <row r="198" spans="1:6" x14ac:dyDescent="0.35">
      <c r="A198" s="4" t="s">
        <v>5974</v>
      </c>
      <c r="B198" s="5" t="s">
        <v>2118</v>
      </c>
      <c r="C198" s="5" t="s">
        <v>1776</v>
      </c>
      <c r="D198" s="5" t="s">
        <v>13</v>
      </c>
      <c r="E198" s="6">
        <v>4337</v>
      </c>
      <c r="F198" s="5" t="str">
        <f>HYPERLINK("https://www.google.com/maps/search/?api=1&amp;query=24.84802253,46.78672859", "View Map")</f>
        <v>View Map</v>
      </c>
    </row>
    <row r="199" spans="1:6" x14ac:dyDescent="0.35">
      <c r="A199" s="4" t="s">
        <v>6111</v>
      </c>
      <c r="B199" s="5" t="s">
        <v>2120</v>
      </c>
      <c r="C199" s="5" t="s">
        <v>1776</v>
      </c>
      <c r="D199" s="5" t="s">
        <v>13</v>
      </c>
      <c r="E199" s="6">
        <v>4333</v>
      </c>
      <c r="F199" s="5" t="str">
        <f>HYPERLINK("https://www.google.com/maps/search/?api=1&amp;query=24.6585166,46.80513643", "View Map")</f>
        <v>View Map</v>
      </c>
    </row>
    <row r="200" spans="1:6" x14ac:dyDescent="0.35">
      <c r="A200" s="4" t="s">
        <v>6112</v>
      </c>
      <c r="B200" s="5" t="s">
        <v>2122</v>
      </c>
      <c r="C200" s="5" t="s">
        <v>1776</v>
      </c>
      <c r="D200" s="5" t="s">
        <v>13</v>
      </c>
      <c r="E200" s="6">
        <v>4324</v>
      </c>
      <c r="F200" s="5" t="str">
        <f>HYPERLINK("https://www.google.com/maps/search/?api=1&amp;query=24.79318363,46.69914311", "View Map")</f>
        <v>View Map</v>
      </c>
    </row>
    <row r="201" spans="1:6" x14ac:dyDescent="0.35">
      <c r="A201" s="4" t="s">
        <v>5974</v>
      </c>
      <c r="B201" s="5" t="s">
        <v>2123</v>
      </c>
      <c r="C201" s="5" t="s">
        <v>1776</v>
      </c>
      <c r="D201" s="5" t="s">
        <v>13</v>
      </c>
      <c r="E201" s="6">
        <v>4286</v>
      </c>
      <c r="F201" s="5" t="str">
        <f>HYPERLINK("https://www.google.com/maps/search/?api=1&amp;query=24.70896007,46.68531757", "View Map")</f>
        <v>View Map</v>
      </c>
    </row>
    <row r="202" spans="1:6" x14ac:dyDescent="0.35">
      <c r="A202" s="4" t="s">
        <v>6113</v>
      </c>
      <c r="B202" s="5" t="s">
        <v>2125</v>
      </c>
      <c r="C202" s="5" t="s">
        <v>1776</v>
      </c>
      <c r="D202" s="5" t="s">
        <v>13</v>
      </c>
      <c r="E202" s="6">
        <v>4281</v>
      </c>
      <c r="F202" s="5" t="str">
        <f>HYPERLINK("https://www.google.com/maps/search/?api=1&amp;query=24.79887,46.74665", "View Map")</f>
        <v>View Map</v>
      </c>
    </row>
    <row r="203" spans="1:6" x14ac:dyDescent="0.35">
      <c r="A203" s="4" t="s">
        <v>6114</v>
      </c>
      <c r="B203" s="5" t="s">
        <v>2127</v>
      </c>
      <c r="C203" s="5" t="s">
        <v>1776</v>
      </c>
      <c r="D203" s="5" t="s">
        <v>13</v>
      </c>
      <c r="E203" s="6">
        <v>4276</v>
      </c>
      <c r="F203" s="5" t="str">
        <f>HYPERLINK("https://www.google.com/maps/search/?api=1&amp;query=24.72058456,46.65218849", "View Map")</f>
        <v>View Map</v>
      </c>
    </row>
    <row r="204" spans="1:6" x14ac:dyDescent="0.35">
      <c r="A204" s="4" t="s">
        <v>6115</v>
      </c>
      <c r="B204" s="5" t="s">
        <v>2129</v>
      </c>
      <c r="C204" s="5" t="s">
        <v>1776</v>
      </c>
      <c r="D204" s="5" t="s">
        <v>13</v>
      </c>
      <c r="E204" s="6">
        <v>4232</v>
      </c>
      <c r="F204" s="5" t="str">
        <f>HYPERLINK("https://www.google.com/maps/search/?api=1&amp;query=24.68868255,46.84266039", "View Map")</f>
        <v>View Map</v>
      </c>
    </row>
    <row r="205" spans="1:6" x14ac:dyDescent="0.35">
      <c r="A205" s="4" t="s">
        <v>6116</v>
      </c>
      <c r="B205" s="5" t="s">
        <v>2131</v>
      </c>
      <c r="C205" s="5" t="s">
        <v>1776</v>
      </c>
      <c r="D205" s="5" t="s">
        <v>13</v>
      </c>
      <c r="E205" s="6">
        <v>4231</v>
      </c>
      <c r="F205" s="5" t="str">
        <f>HYPERLINK("https://www.google.com/maps/search/?api=1&amp;query=24.82106777,46.63710869", "View Map")</f>
        <v>View Map</v>
      </c>
    </row>
    <row r="206" spans="1:6" x14ac:dyDescent="0.35">
      <c r="A206" s="4" t="s">
        <v>6117</v>
      </c>
      <c r="B206" s="5" t="s">
        <v>2133</v>
      </c>
      <c r="C206" s="5" t="s">
        <v>1776</v>
      </c>
      <c r="D206" s="5" t="s">
        <v>13</v>
      </c>
      <c r="E206" s="6">
        <v>4231</v>
      </c>
      <c r="F206" s="5" t="str">
        <f>HYPERLINK("https://www.google.com/maps/search/?api=1&amp;query=24.66517893,46.87975884", "View Map")</f>
        <v>View Map</v>
      </c>
    </row>
    <row r="207" spans="1:6" x14ac:dyDescent="0.35">
      <c r="A207" s="4" t="s">
        <v>6118</v>
      </c>
      <c r="B207" s="5" t="s">
        <v>2135</v>
      </c>
      <c r="C207" s="5" t="s">
        <v>1776</v>
      </c>
      <c r="D207" s="5" t="s">
        <v>13</v>
      </c>
      <c r="E207" s="6">
        <v>4219</v>
      </c>
      <c r="F207" s="5" t="str">
        <f>HYPERLINK("https://www.google.com/maps/search/?api=1&amp;query=24.72321569,46.68044048", "View Map")</f>
        <v>View Map</v>
      </c>
    </row>
    <row r="208" spans="1:6" x14ac:dyDescent="0.35">
      <c r="A208" s="4" t="s">
        <v>5974</v>
      </c>
      <c r="B208" s="5" t="s">
        <v>2136</v>
      </c>
      <c r="C208" s="5" t="s">
        <v>1776</v>
      </c>
      <c r="D208" s="5" t="s">
        <v>13</v>
      </c>
      <c r="E208" s="6">
        <v>4217</v>
      </c>
      <c r="F208" s="5" t="str">
        <f>HYPERLINK("https://www.google.com/maps/search/?api=1&amp;query=24.81908134,46.6605319", "View Map")</f>
        <v>View Map</v>
      </c>
    </row>
    <row r="209" spans="1:6" x14ac:dyDescent="0.35">
      <c r="A209" s="4" t="s">
        <v>6039</v>
      </c>
      <c r="B209" s="5" t="s">
        <v>2137</v>
      </c>
      <c r="C209" s="5" t="s">
        <v>1776</v>
      </c>
      <c r="D209" s="5" t="s">
        <v>13</v>
      </c>
      <c r="E209" s="6">
        <v>4210</v>
      </c>
      <c r="F209" s="5" t="str">
        <f>HYPERLINK("https://www.google.com/maps/search/?api=1&amp;query=24.55203435,46.54888884", "View Map")</f>
        <v>View Map</v>
      </c>
    </row>
    <row r="210" spans="1:6" x14ac:dyDescent="0.35">
      <c r="A210" s="4" t="s">
        <v>6039</v>
      </c>
      <c r="B210" s="5" t="s">
        <v>2138</v>
      </c>
      <c r="C210" s="5" t="s">
        <v>1776</v>
      </c>
      <c r="D210" s="5" t="s">
        <v>13</v>
      </c>
      <c r="E210" s="6">
        <v>4200</v>
      </c>
      <c r="F210" s="5" t="str">
        <f>HYPERLINK("https://www.google.com/maps/search/?api=1&amp;query=24.52771284,46.6906314", "View Map")</f>
        <v>View Map</v>
      </c>
    </row>
    <row r="211" spans="1:6" x14ac:dyDescent="0.35">
      <c r="A211" s="4" t="s">
        <v>6119</v>
      </c>
      <c r="B211" s="5" t="s">
        <v>2140</v>
      </c>
      <c r="C211" s="5" t="s">
        <v>1776</v>
      </c>
      <c r="D211" s="5" t="s">
        <v>9</v>
      </c>
      <c r="E211" s="6">
        <v>4122</v>
      </c>
      <c r="F211" s="5" t="str">
        <f>HYPERLINK("https://www.google.com/maps/search/?api=1&amp;query=24.707473,46.696697", "View Map")</f>
        <v>View Map</v>
      </c>
    </row>
    <row r="212" spans="1:6" x14ac:dyDescent="0.35">
      <c r="A212" s="4" t="s">
        <v>6120</v>
      </c>
      <c r="B212" s="5" t="s">
        <v>2142</v>
      </c>
      <c r="C212" s="5" t="s">
        <v>1776</v>
      </c>
      <c r="D212" s="5" t="s">
        <v>13</v>
      </c>
      <c r="E212" s="6">
        <v>4077</v>
      </c>
      <c r="F212" s="5" t="str">
        <f>HYPERLINK("https://www.google.com/maps/search/?api=1&amp;query=24.67626846,46.81616517", "View Map")</f>
        <v>View Map</v>
      </c>
    </row>
    <row r="213" spans="1:6" x14ac:dyDescent="0.35">
      <c r="A213" s="4" t="s">
        <v>5974</v>
      </c>
      <c r="B213" s="5" t="s">
        <v>2143</v>
      </c>
      <c r="C213" s="5" t="s">
        <v>1776</v>
      </c>
      <c r="D213" s="5" t="s">
        <v>13</v>
      </c>
      <c r="E213" s="6">
        <v>4033</v>
      </c>
      <c r="F213" s="5" t="str">
        <f>HYPERLINK("https://www.google.com/maps/search/?api=1&amp;query=24.75067195,46.75744096", "View Map")</f>
        <v>View Map</v>
      </c>
    </row>
    <row r="214" spans="1:6" x14ac:dyDescent="0.35">
      <c r="A214" s="4" t="s">
        <v>6121</v>
      </c>
      <c r="B214" s="5" t="s">
        <v>2145</v>
      </c>
      <c r="C214" s="5" t="s">
        <v>1776</v>
      </c>
      <c r="D214" s="5" t="s">
        <v>13</v>
      </c>
      <c r="E214" s="6">
        <v>4032</v>
      </c>
      <c r="F214" s="5" t="str">
        <f>HYPERLINK("https://www.google.com/maps/search/?api=1&amp;query=24.76978328,46.78655468", "View Map")</f>
        <v>View Map</v>
      </c>
    </row>
    <row r="215" spans="1:6" x14ac:dyDescent="0.35">
      <c r="A215" s="4" t="s">
        <v>5978</v>
      </c>
      <c r="B215" s="5" t="s">
        <v>2146</v>
      </c>
      <c r="C215" s="5" t="s">
        <v>1776</v>
      </c>
      <c r="D215" s="5" t="s">
        <v>13</v>
      </c>
      <c r="E215" s="6">
        <v>4010</v>
      </c>
      <c r="F215" s="5" t="str">
        <f>HYPERLINK("https://www.google.com/maps/search/?api=1&amp;query=24.8132771,46.73512109", "View Map")</f>
        <v>View Map</v>
      </c>
    </row>
    <row r="216" spans="1:6" x14ac:dyDescent="0.35">
      <c r="A216" s="4" t="s">
        <v>6122</v>
      </c>
      <c r="B216" s="5" t="s">
        <v>2148</v>
      </c>
      <c r="C216" s="5" t="s">
        <v>1776</v>
      </c>
      <c r="D216" s="5" t="s">
        <v>13</v>
      </c>
      <c r="E216" s="6">
        <v>4009</v>
      </c>
      <c r="F216" s="5" t="str">
        <f>HYPERLINK("https://www.google.com/maps/search/?api=1&amp;query=24.7808198,46.80009952", "View Map")</f>
        <v>View Map</v>
      </c>
    </row>
    <row r="217" spans="1:6" x14ac:dyDescent="0.35">
      <c r="A217" s="4" t="s">
        <v>6123</v>
      </c>
      <c r="B217" s="5" t="s">
        <v>2150</v>
      </c>
      <c r="C217" s="5" t="s">
        <v>1776</v>
      </c>
      <c r="D217" s="5" t="s">
        <v>13</v>
      </c>
      <c r="E217" s="6">
        <v>4004</v>
      </c>
      <c r="F217" s="5" t="str">
        <f>HYPERLINK("https://www.google.com/maps/search/?api=1&amp;query=24.73141341,46.81933181", "View Map")</f>
        <v>View Map</v>
      </c>
    </row>
    <row r="218" spans="1:6" x14ac:dyDescent="0.35">
      <c r="A218" s="4" t="s">
        <v>6124</v>
      </c>
      <c r="B218" s="5" t="s">
        <v>2152</v>
      </c>
      <c r="C218" s="5" t="s">
        <v>1776</v>
      </c>
      <c r="D218" s="5" t="s">
        <v>13</v>
      </c>
      <c r="E218" s="6">
        <v>3970</v>
      </c>
      <c r="F218" s="5" t="str">
        <f>HYPERLINK("https://www.google.com/maps/search/?api=1&amp;query=24.87572,46.58971", "View Map")</f>
        <v>View Map</v>
      </c>
    </row>
    <row r="219" spans="1:6" x14ac:dyDescent="0.35">
      <c r="A219" s="4" t="s">
        <v>6125</v>
      </c>
      <c r="B219" s="5" t="s">
        <v>2154</v>
      </c>
      <c r="C219" s="5" t="s">
        <v>1776</v>
      </c>
      <c r="D219" s="5" t="s">
        <v>13</v>
      </c>
      <c r="E219" s="6">
        <v>3966</v>
      </c>
      <c r="F219" s="5" t="str">
        <f>HYPERLINK("https://www.google.com/maps/search/?api=1&amp;query=24.61438633,46.71976303", "View Map")</f>
        <v>View Map</v>
      </c>
    </row>
    <row r="220" spans="1:6" x14ac:dyDescent="0.35">
      <c r="A220" s="4" t="s">
        <v>6126</v>
      </c>
      <c r="B220" s="5" t="s">
        <v>2156</v>
      </c>
      <c r="C220" s="5" t="s">
        <v>1776</v>
      </c>
      <c r="D220" s="5" t="s">
        <v>13</v>
      </c>
      <c r="E220" s="6">
        <v>3959</v>
      </c>
      <c r="F220" s="5" t="str">
        <f>HYPERLINK("https://www.google.com/maps/search/?api=1&amp;query=24.73232027,46.68662811", "View Map")</f>
        <v>View Map</v>
      </c>
    </row>
    <row r="221" spans="1:6" x14ac:dyDescent="0.35">
      <c r="A221" s="4" t="s">
        <v>5974</v>
      </c>
      <c r="B221" s="5" t="s">
        <v>2157</v>
      </c>
      <c r="C221" s="5" t="s">
        <v>1776</v>
      </c>
      <c r="D221" s="5" t="s">
        <v>13</v>
      </c>
      <c r="E221" s="6">
        <v>3945</v>
      </c>
      <c r="F221" s="5" t="str">
        <f>HYPERLINK("https://www.google.com/maps/search/?api=1&amp;query=24.83797343,46.60331339", "View Map")</f>
        <v>View Map</v>
      </c>
    </row>
    <row r="222" spans="1:6" x14ac:dyDescent="0.35">
      <c r="A222" s="4" t="s">
        <v>6089</v>
      </c>
      <c r="B222" s="5" t="s">
        <v>2158</v>
      </c>
      <c r="C222" s="5" t="s">
        <v>1776</v>
      </c>
      <c r="D222" s="5" t="s">
        <v>13</v>
      </c>
      <c r="E222" s="6">
        <v>3945</v>
      </c>
      <c r="F222" s="5" t="str">
        <f>HYPERLINK("https://www.google.com/maps/search/?api=1&amp;query=24.6807,46.61716", "View Map")</f>
        <v>View Map</v>
      </c>
    </row>
    <row r="223" spans="1:6" x14ac:dyDescent="0.35">
      <c r="A223" s="4" t="s">
        <v>5974</v>
      </c>
      <c r="B223" s="5" t="s">
        <v>2159</v>
      </c>
      <c r="C223" s="5" t="s">
        <v>1776</v>
      </c>
      <c r="D223" s="5" t="s">
        <v>13</v>
      </c>
      <c r="E223" s="6">
        <v>3945</v>
      </c>
      <c r="F223" s="5" t="str">
        <f>HYPERLINK("https://www.google.com/maps/search/?api=1&amp;query=24.84300835,46.7751923", "View Map")</f>
        <v>View Map</v>
      </c>
    </row>
    <row r="224" spans="1:6" x14ac:dyDescent="0.35">
      <c r="A224" s="4" t="s">
        <v>6127</v>
      </c>
      <c r="B224" s="5" t="s">
        <v>2161</v>
      </c>
      <c r="C224" s="5" t="s">
        <v>1776</v>
      </c>
      <c r="D224" s="5" t="s">
        <v>13</v>
      </c>
      <c r="E224" s="6">
        <v>3942</v>
      </c>
      <c r="F224" s="5" t="str">
        <f>HYPERLINK("https://www.google.com/maps/search/?api=1&amp;query=24.76530146,46.62392789", "View Map")</f>
        <v>View Map</v>
      </c>
    </row>
    <row r="225" spans="1:6" x14ac:dyDescent="0.35">
      <c r="A225" s="4" t="s">
        <v>6128</v>
      </c>
      <c r="B225" s="5" t="s">
        <v>2163</v>
      </c>
      <c r="C225" s="5" t="s">
        <v>1776</v>
      </c>
      <c r="D225" s="5" t="s">
        <v>13</v>
      </c>
      <c r="E225" s="6">
        <v>3928</v>
      </c>
      <c r="F225" s="5" t="str">
        <f>HYPERLINK("https://www.google.com/maps/search/?api=1&amp;query=24.64249818,46.70717456", "View Map")</f>
        <v>View Map</v>
      </c>
    </row>
    <row r="226" spans="1:6" x14ac:dyDescent="0.35">
      <c r="A226" s="4" t="s">
        <v>6129</v>
      </c>
      <c r="B226" s="5" t="s">
        <v>2165</v>
      </c>
      <c r="C226" s="5" t="s">
        <v>1776</v>
      </c>
      <c r="D226" s="5" t="s">
        <v>13</v>
      </c>
      <c r="E226" s="6">
        <v>3926</v>
      </c>
      <c r="F226" s="5" t="str">
        <f>HYPERLINK("https://www.google.com/maps/search/?api=1&amp;query=24.78604308,46.76298235", "View Map")</f>
        <v>View Map</v>
      </c>
    </row>
    <row r="227" spans="1:6" x14ac:dyDescent="0.35">
      <c r="A227" s="4" t="s">
        <v>5974</v>
      </c>
      <c r="B227" s="5" t="s">
        <v>2166</v>
      </c>
      <c r="C227" s="5" t="s">
        <v>1776</v>
      </c>
      <c r="D227" s="5" t="s">
        <v>13</v>
      </c>
      <c r="E227" s="6">
        <v>3920</v>
      </c>
      <c r="F227" s="5" t="str">
        <f>HYPERLINK("https://www.google.com/maps/search/?api=1&amp;query=24.81079056,46.74341364", "View Map")</f>
        <v>View Map</v>
      </c>
    </row>
    <row r="228" spans="1:6" x14ac:dyDescent="0.35">
      <c r="A228" s="4" t="s">
        <v>6130</v>
      </c>
      <c r="B228" s="5" t="s">
        <v>2168</v>
      </c>
      <c r="C228" s="5" t="s">
        <v>1776</v>
      </c>
      <c r="D228" s="5" t="s">
        <v>13</v>
      </c>
      <c r="E228" s="6">
        <v>3907</v>
      </c>
      <c r="F228" s="5" t="str">
        <f>HYPERLINK("https://www.google.com/maps/search/?api=1&amp;query=24.79234344,46.78817133", "View Map")</f>
        <v>View Map</v>
      </c>
    </row>
    <row r="229" spans="1:6" x14ac:dyDescent="0.35">
      <c r="A229" s="4" t="s">
        <v>5974</v>
      </c>
      <c r="B229" s="5" t="s">
        <v>2169</v>
      </c>
      <c r="C229" s="5" t="s">
        <v>1776</v>
      </c>
      <c r="D229" s="5" t="s">
        <v>13</v>
      </c>
      <c r="E229" s="6">
        <v>3905</v>
      </c>
      <c r="F229" s="5" t="str">
        <f>HYPERLINK("https://www.google.com/maps/search/?api=1&amp;query=24.92525789,46.82341566", "View Map")</f>
        <v>View Map</v>
      </c>
    </row>
    <row r="230" spans="1:6" x14ac:dyDescent="0.35">
      <c r="A230" s="4" t="s">
        <v>2170</v>
      </c>
      <c r="B230" s="5" t="s">
        <v>2171</v>
      </c>
      <c r="C230" s="5" t="s">
        <v>1776</v>
      </c>
      <c r="D230" s="5" t="s">
        <v>13</v>
      </c>
      <c r="E230" s="6">
        <v>3896</v>
      </c>
      <c r="F230" s="5" t="str">
        <f>HYPERLINK("https://www.google.com/maps/search/?api=1&amp;query=24.59429692,46.77229409", "View Map")</f>
        <v>View Map</v>
      </c>
    </row>
    <row r="231" spans="1:6" x14ac:dyDescent="0.35">
      <c r="A231" s="4" t="s">
        <v>6131</v>
      </c>
      <c r="B231" s="5" t="s">
        <v>2173</v>
      </c>
      <c r="C231" s="5" t="s">
        <v>1776</v>
      </c>
      <c r="D231" s="5" t="s">
        <v>13</v>
      </c>
      <c r="E231" s="6">
        <v>3889</v>
      </c>
      <c r="F231" s="5" t="str">
        <f>HYPERLINK("https://www.google.com/maps/search/?api=1&amp;query=24.74781716,46.70447247", "View Map")</f>
        <v>View Map</v>
      </c>
    </row>
    <row r="232" spans="1:6" x14ac:dyDescent="0.35">
      <c r="A232" s="4" t="s">
        <v>6132</v>
      </c>
      <c r="B232" s="5" t="s">
        <v>2175</v>
      </c>
      <c r="C232" s="5" t="s">
        <v>1776</v>
      </c>
      <c r="D232" s="5" t="s">
        <v>13</v>
      </c>
      <c r="E232" s="6">
        <v>3865</v>
      </c>
      <c r="F232" s="5" t="str">
        <f>HYPERLINK("https://www.google.com/maps/search/?api=1&amp;query=24.791792,46.65668941", "View Map")</f>
        <v>View Map</v>
      </c>
    </row>
    <row r="233" spans="1:6" x14ac:dyDescent="0.35">
      <c r="A233" s="4" t="s">
        <v>6133</v>
      </c>
      <c r="B233" s="5" t="s">
        <v>2177</v>
      </c>
      <c r="C233" s="5" t="s">
        <v>1776</v>
      </c>
      <c r="D233" s="5" t="s">
        <v>13</v>
      </c>
      <c r="E233" s="6">
        <v>3859</v>
      </c>
      <c r="F233" s="5" t="str">
        <f>HYPERLINK("https://www.google.com/maps/search/?api=1&amp;query=24.81351193,46.63982027", "View Map")</f>
        <v>View Map</v>
      </c>
    </row>
    <row r="234" spans="1:6" x14ac:dyDescent="0.35">
      <c r="A234" s="4" t="s">
        <v>6134</v>
      </c>
      <c r="B234" s="5" t="s">
        <v>2179</v>
      </c>
      <c r="C234" s="5" t="s">
        <v>1776</v>
      </c>
      <c r="D234" s="5" t="s">
        <v>13</v>
      </c>
      <c r="E234" s="6">
        <v>3846</v>
      </c>
      <c r="F234" s="5" t="str">
        <f>HYPERLINK("https://www.google.com/maps/search/?api=1&amp;query=24.74132,46.61862", "View Map")</f>
        <v>View Map</v>
      </c>
    </row>
    <row r="235" spans="1:6" x14ac:dyDescent="0.35">
      <c r="A235" s="4" t="s">
        <v>6135</v>
      </c>
      <c r="B235" s="5" t="s">
        <v>2181</v>
      </c>
      <c r="C235" s="5" t="s">
        <v>1776</v>
      </c>
      <c r="D235" s="5" t="s">
        <v>13</v>
      </c>
      <c r="E235" s="6">
        <v>3839</v>
      </c>
      <c r="F235" s="5" t="str">
        <f>HYPERLINK("https://www.google.com/maps/search/?api=1&amp;query=24.56246651,46.64444749", "View Map")</f>
        <v>View Map</v>
      </c>
    </row>
    <row r="236" spans="1:6" x14ac:dyDescent="0.35">
      <c r="A236" s="4" t="s">
        <v>6136</v>
      </c>
      <c r="B236" s="5" t="s">
        <v>2183</v>
      </c>
      <c r="C236" s="5" t="s">
        <v>1776</v>
      </c>
      <c r="D236" s="5" t="s">
        <v>13</v>
      </c>
      <c r="E236" s="6">
        <v>3836</v>
      </c>
      <c r="F236" s="5" t="str">
        <f>HYPERLINK("https://www.google.com/maps/search/?api=1&amp;query=24.68048832,46.75019139", "View Map")</f>
        <v>View Map</v>
      </c>
    </row>
    <row r="237" spans="1:6" x14ac:dyDescent="0.35">
      <c r="A237" s="4" t="s">
        <v>5974</v>
      </c>
      <c r="B237" s="5" t="s">
        <v>2184</v>
      </c>
      <c r="C237" s="5" t="s">
        <v>1776</v>
      </c>
      <c r="D237" s="5" t="s">
        <v>13</v>
      </c>
      <c r="E237" s="6">
        <v>3824</v>
      </c>
      <c r="F237" s="5" t="str">
        <f>HYPERLINK("https://www.google.com/maps/search/?api=1&amp;query=24.84848672,46.81388526", "View Map")</f>
        <v>View Map</v>
      </c>
    </row>
    <row r="238" spans="1:6" x14ac:dyDescent="0.35">
      <c r="A238" s="4" t="s">
        <v>6137</v>
      </c>
      <c r="B238" s="5" t="s">
        <v>2186</v>
      </c>
      <c r="C238" s="5" t="s">
        <v>1776</v>
      </c>
      <c r="D238" s="5" t="s">
        <v>13</v>
      </c>
      <c r="E238" s="6">
        <v>3812</v>
      </c>
      <c r="F238" s="5" t="str">
        <f>HYPERLINK("https://www.google.com/maps/search/?api=1&amp;query=24.82941374,46.74639906", "View Map")</f>
        <v>View Map</v>
      </c>
    </row>
    <row r="239" spans="1:6" x14ac:dyDescent="0.35">
      <c r="A239" s="4" t="s">
        <v>6138</v>
      </c>
      <c r="B239" s="5" t="s">
        <v>2188</v>
      </c>
      <c r="C239" s="5" t="s">
        <v>1776</v>
      </c>
      <c r="D239" s="5" t="s">
        <v>13</v>
      </c>
      <c r="E239" s="6">
        <v>3798</v>
      </c>
      <c r="F239" s="5" t="str">
        <f>HYPERLINK("https://www.google.com/maps/search/?api=1&amp;query=24.60263241,46.66814416", "View Map")</f>
        <v>View Map</v>
      </c>
    </row>
    <row r="240" spans="1:6" x14ac:dyDescent="0.35">
      <c r="A240" s="4" t="s">
        <v>6139</v>
      </c>
      <c r="B240" s="5" t="s">
        <v>2190</v>
      </c>
      <c r="C240" s="5" t="s">
        <v>1776</v>
      </c>
      <c r="D240" s="5" t="s">
        <v>13</v>
      </c>
      <c r="E240" s="6">
        <v>3788</v>
      </c>
      <c r="F240" s="5" t="str">
        <f>HYPERLINK("https://www.google.com/maps/search/?api=1&amp;query=24.59312243,46.63023738", "View Map")</f>
        <v>View Map</v>
      </c>
    </row>
    <row r="241" spans="1:6" x14ac:dyDescent="0.35">
      <c r="A241" s="4" t="s">
        <v>6039</v>
      </c>
      <c r="B241" s="5" t="s">
        <v>2191</v>
      </c>
      <c r="C241" s="5" t="s">
        <v>1776</v>
      </c>
      <c r="D241" s="5" t="s">
        <v>13</v>
      </c>
      <c r="E241" s="6">
        <v>3773</v>
      </c>
      <c r="F241" s="5" t="str">
        <f>HYPERLINK("https://www.google.com/maps/search/?api=1&amp;query=24.55584605,46.61643833", "View Map")</f>
        <v>View Map</v>
      </c>
    </row>
    <row r="242" spans="1:6" x14ac:dyDescent="0.35">
      <c r="A242" s="4" t="s">
        <v>6140</v>
      </c>
      <c r="B242" s="5" t="s">
        <v>2193</v>
      </c>
      <c r="C242" s="5" t="s">
        <v>1776</v>
      </c>
      <c r="D242" s="5" t="s">
        <v>13</v>
      </c>
      <c r="E242" s="6">
        <v>3771</v>
      </c>
      <c r="F242" s="5" t="str">
        <f>HYPERLINK("https://www.google.com/maps/search/?api=1&amp;query=24.70743241,46.7825186", "View Map")</f>
        <v>View Map</v>
      </c>
    </row>
    <row r="243" spans="1:6" x14ac:dyDescent="0.35">
      <c r="A243" s="4" t="s">
        <v>5974</v>
      </c>
      <c r="B243" s="5" t="s">
        <v>2194</v>
      </c>
      <c r="C243" s="5" t="s">
        <v>1843</v>
      </c>
      <c r="D243" s="5" t="s">
        <v>13</v>
      </c>
      <c r="E243" s="6">
        <v>3769</v>
      </c>
      <c r="F243" s="5" t="str">
        <f>HYPERLINK("https://www.google.com/maps/search/?api=1&amp;query=24.77072396,46.58629832", "View Map")</f>
        <v>View Map</v>
      </c>
    </row>
    <row r="244" spans="1:6" x14ac:dyDescent="0.35">
      <c r="A244" s="4" t="s">
        <v>6141</v>
      </c>
      <c r="B244" s="5" t="s">
        <v>2196</v>
      </c>
      <c r="C244" s="5" t="s">
        <v>1776</v>
      </c>
      <c r="D244" s="5" t="s">
        <v>13</v>
      </c>
      <c r="E244" s="6">
        <v>3765</v>
      </c>
      <c r="F244" s="5" t="str">
        <f>HYPERLINK("https://www.google.com/maps/search/?api=1&amp;query=24.73787535,46.75838404", "View Map")</f>
        <v>View Map</v>
      </c>
    </row>
    <row r="245" spans="1:6" x14ac:dyDescent="0.35">
      <c r="A245" s="4" t="s">
        <v>6082</v>
      </c>
      <c r="B245" s="5" t="s">
        <v>2197</v>
      </c>
      <c r="C245" s="5" t="s">
        <v>1776</v>
      </c>
      <c r="D245" s="5" t="s">
        <v>13</v>
      </c>
      <c r="E245" s="6">
        <v>3760</v>
      </c>
      <c r="F245" s="5" t="str">
        <f>HYPERLINK("https://www.google.com/maps/search/?api=1&amp;query=24.58333482,46.77321823", "View Map")</f>
        <v>View Map</v>
      </c>
    </row>
    <row r="246" spans="1:6" x14ac:dyDescent="0.35">
      <c r="A246" s="4" t="s">
        <v>5974</v>
      </c>
      <c r="B246" s="5" t="s">
        <v>2198</v>
      </c>
      <c r="C246" s="5" t="s">
        <v>1776</v>
      </c>
      <c r="D246" s="5" t="s">
        <v>13</v>
      </c>
      <c r="E246" s="6">
        <v>3760</v>
      </c>
      <c r="F246" s="5" t="str">
        <f>HYPERLINK("https://www.google.com/maps/search/?api=1&amp;query=24.87214561,46.63960209", "View Map")</f>
        <v>View Map</v>
      </c>
    </row>
    <row r="247" spans="1:6" x14ac:dyDescent="0.35">
      <c r="A247" s="4" t="s">
        <v>6142</v>
      </c>
      <c r="B247" s="5" t="s">
        <v>2200</v>
      </c>
      <c r="C247" s="5" t="s">
        <v>1776</v>
      </c>
      <c r="D247" s="5" t="s">
        <v>13</v>
      </c>
      <c r="E247" s="6">
        <v>3754</v>
      </c>
      <c r="F247" s="5" t="str">
        <f>HYPERLINK("https://www.google.com/maps/search/?api=1&amp;query=24.5453159,46.66009751", "View Map")</f>
        <v>View Map</v>
      </c>
    </row>
    <row r="248" spans="1:6" x14ac:dyDescent="0.35">
      <c r="A248" s="4" t="s">
        <v>5978</v>
      </c>
      <c r="B248" s="5" t="s">
        <v>2201</v>
      </c>
      <c r="C248" s="5" t="s">
        <v>1776</v>
      </c>
      <c r="D248" s="5" t="s">
        <v>13</v>
      </c>
      <c r="E248" s="6">
        <v>3753</v>
      </c>
      <c r="F248" s="5" t="str">
        <f>HYPERLINK("https://www.google.com/maps/search/?api=1&amp;query=24.75162793,46.8422796", "View Map")</f>
        <v>View Map</v>
      </c>
    </row>
    <row r="249" spans="1:6" x14ac:dyDescent="0.35">
      <c r="A249" s="4" t="s">
        <v>6143</v>
      </c>
      <c r="B249" s="5" t="s">
        <v>2203</v>
      </c>
      <c r="C249" s="5" t="s">
        <v>1776</v>
      </c>
      <c r="D249" s="5" t="s">
        <v>13</v>
      </c>
      <c r="E249" s="6">
        <v>3724</v>
      </c>
      <c r="F249" s="5" t="str">
        <f>HYPERLINK("https://www.google.com/maps/search/?api=1&amp;query=24.6757,46.63011", "View Map")</f>
        <v>View Map</v>
      </c>
    </row>
    <row r="250" spans="1:6" x14ac:dyDescent="0.35">
      <c r="A250" s="4" t="s">
        <v>6144</v>
      </c>
      <c r="B250" s="5" t="s">
        <v>2205</v>
      </c>
      <c r="C250" s="5" t="s">
        <v>1843</v>
      </c>
      <c r="D250" s="5" t="s">
        <v>13</v>
      </c>
      <c r="E250" s="6">
        <v>3722</v>
      </c>
      <c r="F250" s="5" t="str">
        <f>HYPERLINK("https://www.google.com/maps/search/?api=1&amp;query=24.77574319,46.58338538", "View Map")</f>
        <v>View Map</v>
      </c>
    </row>
    <row r="251" spans="1:6" x14ac:dyDescent="0.35">
      <c r="A251" s="4" t="s">
        <v>5974</v>
      </c>
      <c r="B251" s="5" t="s">
        <v>2206</v>
      </c>
      <c r="C251" s="5" t="s">
        <v>1776</v>
      </c>
      <c r="D251" s="5" t="s">
        <v>13</v>
      </c>
      <c r="E251" s="6">
        <v>3716</v>
      </c>
      <c r="F251" s="5" t="str">
        <f>HYPERLINK("https://www.google.com/maps/search/?api=1&amp;query=24.85091661,46.57664797", "View Map")</f>
        <v>View Map</v>
      </c>
    </row>
    <row r="252" spans="1:6" x14ac:dyDescent="0.35">
      <c r="A252" s="4" t="s">
        <v>6145</v>
      </c>
      <c r="B252" s="5" t="s">
        <v>2208</v>
      </c>
      <c r="C252" s="5" t="s">
        <v>1776</v>
      </c>
      <c r="D252" s="5" t="s">
        <v>13</v>
      </c>
      <c r="E252" s="6">
        <v>3678</v>
      </c>
      <c r="F252" s="5" t="str">
        <f>HYPERLINK("https://www.google.com/maps/search/?api=1&amp;query=24.6839708,46.75931963", "View Map")</f>
        <v>View Map</v>
      </c>
    </row>
    <row r="253" spans="1:6" x14ac:dyDescent="0.35">
      <c r="A253" s="4" t="s">
        <v>6039</v>
      </c>
      <c r="B253" s="5" t="s">
        <v>2209</v>
      </c>
      <c r="C253" s="5" t="s">
        <v>1776</v>
      </c>
      <c r="D253" s="5" t="s">
        <v>13</v>
      </c>
      <c r="E253" s="6">
        <v>3672</v>
      </c>
      <c r="F253" s="5" t="str">
        <f>HYPERLINK("https://www.google.com/maps/search/?api=1&amp;query=24.61958456,46.71918604", "View Map")</f>
        <v>View Map</v>
      </c>
    </row>
    <row r="254" spans="1:6" x14ac:dyDescent="0.35">
      <c r="A254" s="4" t="s">
        <v>6146</v>
      </c>
      <c r="B254" s="5" t="s">
        <v>2211</v>
      </c>
      <c r="C254" s="5" t="s">
        <v>1776</v>
      </c>
      <c r="D254" s="5" t="s">
        <v>13</v>
      </c>
      <c r="E254" s="6">
        <v>3671</v>
      </c>
      <c r="F254" s="5" t="str">
        <f>HYPERLINK("https://www.google.com/maps/search/?api=1&amp;query=24.76349582,46.73857398", "View Map")</f>
        <v>View Map</v>
      </c>
    </row>
    <row r="255" spans="1:6" x14ac:dyDescent="0.35">
      <c r="A255" s="4" t="s">
        <v>6147</v>
      </c>
      <c r="B255" s="5" t="s">
        <v>2213</v>
      </c>
      <c r="C255" s="5" t="s">
        <v>1776</v>
      </c>
      <c r="D255" s="5" t="s">
        <v>13</v>
      </c>
      <c r="E255" s="6">
        <v>3645</v>
      </c>
      <c r="F255" s="5" t="str">
        <f>HYPERLINK("https://www.google.com/maps/search/?api=1&amp;query=24.77467428,46.65619389", "View Map")</f>
        <v>View Map</v>
      </c>
    </row>
    <row r="256" spans="1:6" x14ac:dyDescent="0.35">
      <c r="A256" s="4" t="s">
        <v>6148</v>
      </c>
      <c r="B256" s="5" t="s">
        <v>2215</v>
      </c>
      <c r="C256" s="5" t="s">
        <v>1843</v>
      </c>
      <c r="D256" s="5" t="s">
        <v>13</v>
      </c>
      <c r="E256" s="6">
        <v>3640</v>
      </c>
      <c r="F256" s="5" t="str">
        <f>HYPERLINK("https://www.google.com/maps/search/?api=1&amp;query=24.74393078,46.59568889", "View Map")</f>
        <v>View Map</v>
      </c>
    </row>
    <row r="257" spans="1:6" x14ac:dyDescent="0.35">
      <c r="A257" s="4" t="s">
        <v>6149</v>
      </c>
      <c r="B257" s="5" t="s">
        <v>2217</v>
      </c>
      <c r="C257" s="5" t="s">
        <v>1776</v>
      </c>
      <c r="D257" s="5" t="s">
        <v>13</v>
      </c>
      <c r="E257" s="6">
        <v>3636</v>
      </c>
      <c r="F257" s="5" t="str">
        <f>HYPERLINK("https://www.google.com/maps/search/?api=1&amp;query=24.67988475,46.81956778", "View Map")</f>
        <v>View Map</v>
      </c>
    </row>
    <row r="258" spans="1:6" x14ac:dyDescent="0.35">
      <c r="A258" s="4" t="s">
        <v>6150</v>
      </c>
      <c r="B258" s="5" t="s">
        <v>2219</v>
      </c>
      <c r="C258" s="5" t="s">
        <v>1776</v>
      </c>
      <c r="D258" s="5" t="s">
        <v>13</v>
      </c>
      <c r="E258" s="6">
        <v>3634</v>
      </c>
      <c r="F258" s="5" t="str">
        <f>HYPERLINK("https://www.google.com/maps/search/?api=1&amp;query=24.65289934,46.55807417", "View Map")</f>
        <v>View Map</v>
      </c>
    </row>
    <row r="259" spans="1:6" x14ac:dyDescent="0.35">
      <c r="A259" s="4" t="s">
        <v>6151</v>
      </c>
      <c r="B259" s="5" t="s">
        <v>2221</v>
      </c>
      <c r="C259" s="5" t="s">
        <v>1776</v>
      </c>
      <c r="D259" s="5" t="s">
        <v>13</v>
      </c>
      <c r="E259" s="6">
        <v>3623</v>
      </c>
      <c r="F259" s="5" t="str">
        <f>HYPERLINK("https://www.google.com/maps/search/?api=1&amp;query=24.61106184,46.74747155", "View Map")</f>
        <v>View Map</v>
      </c>
    </row>
    <row r="260" spans="1:6" x14ac:dyDescent="0.35">
      <c r="A260" s="4" t="s">
        <v>6152</v>
      </c>
      <c r="B260" s="5" t="s">
        <v>2223</v>
      </c>
      <c r="C260" s="5" t="s">
        <v>1776</v>
      </c>
      <c r="D260" s="5" t="s">
        <v>13</v>
      </c>
      <c r="E260" s="6">
        <v>3622</v>
      </c>
      <c r="F260" s="5" t="str">
        <f>HYPERLINK("https://www.google.com/maps/search/?api=1&amp;query=24.75627161,46.79285684", "View Map")</f>
        <v>View Map</v>
      </c>
    </row>
    <row r="261" spans="1:6" x14ac:dyDescent="0.35">
      <c r="A261" s="4" t="s">
        <v>6153</v>
      </c>
      <c r="B261" s="5" t="s">
        <v>2225</v>
      </c>
      <c r="C261" s="5" t="s">
        <v>1776</v>
      </c>
      <c r="D261" s="5" t="s">
        <v>13</v>
      </c>
      <c r="E261" s="6">
        <v>3614</v>
      </c>
      <c r="F261" s="5" t="str">
        <f>HYPERLINK("https://www.google.com/maps/search/?api=1&amp;query=24.5894657,46.79147885", "View Map")</f>
        <v>View Map</v>
      </c>
    </row>
    <row r="262" spans="1:6" x14ac:dyDescent="0.35">
      <c r="A262" s="4" t="s">
        <v>5978</v>
      </c>
      <c r="B262" s="5" t="s">
        <v>2226</v>
      </c>
      <c r="C262" s="5" t="s">
        <v>1776</v>
      </c>
      <c r="D262" s="5" t="s">
        <v>13</v>
      </c>
      <c r="E262" s="6">
        <v>3603</v>
      </c>
      <c r="F262" s="5" t="str">
        <f>HYPERLINK("https://www.google.com/maps/search/?api=1&amp;query=24.81756076,46.77037614", "View Map")</f>
        <v>View Map</v>
      </c>
    </row>
    <row r="263" spans="1:6" x14ac:dyDescent="0.35">
      <c r="A263" s="4" t="s">
        <v>6154</v>
      </c>
      <c r="B263" s="5" t="s">
        <v>2228</v>
      </c>
      <c r="C263" s="5" t="s">
        <v>1776</v>
      </c>
      <c r="D263" s="5" t="s">
        <v>13</v>
      </c>
      <c r="E263" s="6">
        <v>3597</v>
      </c>
      <c r="F263" s="5" t="str">
        <f>HYPERLINK("https://www.google.com/maps/search/?api=1&amp;query=24.79033084,46.70312404", "View Map")</f>
        <v>View Map</v>
      </c>
    </row>
    <row r="264" spans="1:6" x14ac:dyDescent="0.35">
      <c r="A264" s="4" t="s">
        <v>5974</v>
      </c>
      <c r="B264" s="5" t="s">
        <v>2229</v>
      </c>
      <c r="C264" s="5" t="s">
        <v>1843</v>
      </c>
      <c r="D264" s="5" t="s">
        <v>13</v>
      </c>
      <c r="E264" s="6">
        <v>3562</v>
      </c>
      <c r="F264" s="5" t="str">
        <f>HYPERLINK("https://www.google.com/maps/search/?api=1&amp;query=24.77141234,46.58162402", "View Map")</f>
        <v>View Map</v>
      </c>
    </row>
    <row r="265" spans="1:6" x14ac:dyDescent="0.35">
      <c r="A265" s="4" t="s">
        <v>6155</v>
      </c>
      <c r="B265" s="5" t="s">
        <v>2231</v>
      </c>
      <c r="C265" s="5" t="s">
        <v>1776</v>
      </c>
      <c r="D265" s="5" t="s">
        <v>13</v>
      </c>
      <c r="E265" s="6">
        <v>3561</v>
      </c>
      <c r="F265" s="5" t="str">
        <f>HYPERLINK("https://www.google.com/maps/search/?api=1&amp;query=24.58650894,46.56472162", "View Map")</f>
        <v>View Map</v>
      </c>
    </row>
    <row r="266" spans="1:6" x14ac:dyDescent="0.35">
      <c r="A266" s="4" t="s">
        <v>6156</v>
      </c>
      <c r="B266" s="5" t="s">
        <v>2233</v>
      </c>
      <c r="C266" s="5" t="s">
        <v>1776</v>
      </c>
      <c r="D266" s="5" t="s">
        <v>13</v>
      </c>
      <c r="E266" s="6">
        <v>3547</v>
      </c>
      <c r="F266" s="5" t="str">
        <f>HYPERLINK("https://www.google.com/maps/search/?api=1&amp;query=24.78821659,46.64503146", "View Map")</f>
        <v>View Map</v>
      </c>
    </row>
    <row r="267" spans="1:6" x14ac:dyDescent="0.35">
      <c r="A267" s="4" t="s">
        <v>5974</v>
      </c>
      <c r="B267" s="5" t="s">
        <v>2234</v>
      </c>
      <c r="C267" s="5" t="s">
        <v>1776</v>
      </c>
      <c r="D267" s="5" t="s">
        <v>13</v>
      </c>
      <c r="E267" s="6">
        <v>3545</v>
      </c>
      <c r="F267" s="5" t="str">
        <f>HYPERLINK("https://www.google.com/maps/search/?api=1&amp;query=24.83657073,46.74370043", "View Map")</f>
        <v>View Map</v>
      </c>
    </row>
    <row r="268" spans="1:6" x14ac:dyDescent="0.35">
      <c r="A268" s="4" t="s">
        <v>6157</v>
      </c>
      <c r="B268" s="5" t="s">
        <v>2236</v>
      </c>
      <c r="C268" s="5" t="s">
        <v>1776</v>
      </c>
      <c r="D268" s="5" t="s">
        <v>13</v>
      </c>
      <c r="E268" s="6">
        <v>3539</v>
      </c>
      <c r="F268" s="5" t="str">
        <f>HYPERLINK("https://www.google.com/maps/search/?api=1&amp;query=24.78992452,46.81871222", "View Map")</f>
        <v>View Map</v>
      </c>
    </row>
    <row r="269" spans="1:6" x14ac:dyDescent="0.35">
      <c r="A269" s="4" t="s">
        <v>6158</v>
      </c>
      <c r="B269" s="5" t="s">
        <v>2238</v>
      </c>
      <c r="C269" s="5" t="s">
        <v>1776</v>
      </c>
      <c r="D269" s="5" t="s">
        <v>9</v>
      </c>
      <c r="E269" s="6">
        <v>3534</v>
      </c>
      <c r="F269" s="5" t="str">
        <f>HYPERLINK("https://www.google.com/maps/search/?api=1&amp;query=24.4094,46.8456", "View Map")</f>
        <v>View Map</v>
      </c>
    </row>
    <row r="270" spans="1:6" x14ac:dyDescent="0.35">
      <c r="A270" s="4" t="s">
        <v>6159</v>
      </c>
      <c r="B270" s="5" t="s">
        <v>2240</v>
      </c>
      <c r="C270" s="5" t="s">
        <v>1776</v>
      </c>
      <c r="D270" s="5" t="s">
        <v>13</v>
      </c>
      <c r="E270" s="6">
        <v>3533</v>
      </c>
      <c r="F270" s="5" t="str">
        <f>HYPERLINK("https://www.google.com/maps/search/?api=1&amp;query=24.71041136,46.61485027", "View Map")</f>
        <v>View Map</v>
      </c>
    </row>
    <row r="271" spans="1:6" x14ac:dyDescent="0.35">
      <c r="A271" s="4" t="s">
        <v>6160</v>
      </c>
      <c r="B271" s="5" t="s">
        <v>2242</v>
      </c>
      <c r="C271" s="5" t="s">
        <v>1776</v>
      </c>
      <c r="D271" s="5" t="s">
        <v>13</v>
      </c>
      <c r="E271" s="6">
        <v>3531</v>
      </c>
      <c r="F271" s="5" t="str">
        <f>HYPERLINK("https://www.google.com/maps/search/?api=1&amp;query=24.65966611,46.86842639", "View Map")</f>
        <v>View Map</v>
      </c>
    </row>
    <row r="272" spans="1:6" x14ac:dyDescent="0.35">
      <c r="A272" s="4" t="s">
        <v>5974</v>
      </c>
      <c r="B272" s="5" t="s">
        <v>2243</v>
      </c>
      <c r="C272" s="5" t="s">
        <v>1776</v>
      </c>
      <c r="D272" s="5" t="s">
        <v>13</v>
      </c>
      <c r="E272" s="6">
        <v>3520</v>
      </c>
      <c r="F272" s="5" t="str">
        <f>HYPERLINK("https://www.google.com/maps/search/?api=1&amp;query=24.81437163,46.68478694", "View Map")</f>
        <v>View Map</v>
      </c>
    </row>
    <row r="273" spans="1:6" x14ac:dyDescent="0.35">
      <c r="A273" s="4" t="s">
        <v>6161</v>
      </c>
      <c r="B273" s="5" t="s">
        <v>2245</v>
      </c>
      <c r="C273" s="5" t="s">
        <v>1776</v>
      </c>
      <c r="D273" s="5" t="s">
        <v>13</v>
      </c>
      <c r="E273" s="6">
        <v>3512</v>
      </c>
      <c r="F273" s="5" t="str">
        <f>HYPERLINK("https://www.google.com/maps/search/?api=1&amp;query=24.79638973,46.70013016", "View Map")</f>
        <v>View Map</v>
      </c>
    </row>
    <row r="274" spans="1:6" x14ac:dyDescent="0.35">
      <c r="A274" s="4" t="s">
        <v>6162</v>
      </c>
      <c r="B274" s="5" t="s">
        <v>2247</v>
      </c>
      <c r="C274" s="5" t="s">
        <v>1776</v>
      </c>
      <c r="D274" s="5" t="s">
        <v>13</v>
      </c>
      <c r="E274" s="6">
        <v>3509</v>
      </c>
      <c r="F274" s="5" t="str">
        <f>HYPERLINK("https://www.google.com/maps/search/?api=1&amp;query=24.70531838,46.76942957", "View Map")</f>
        <v>View Map</v>
      </c>
    </row>
    <row r="275" spans="1:6" x14ac:dyDescent="0.35">
      <c r="A275" s="4" t="s">
        <v>6163</v>
      </c>
      <c r="B275" s="5" t="s">
        <v>2249</v>
      </c>
      <c r="C275" s="5" t="s">
        <v>1776</v>
      </c>
      <c r="D275" s="5" t="s">
        <v>13</v>
      </c>
      <c r="E275" s="6">
        <v>3504</v>
      </c>
      <c r="F275" s="5" t="str">
        <f>HYPERLINK("https://www.google.com/maps/search/?api=1&amp;query=24.5641861,46.79203736", "View Map")</f>
        <v>View Map</v>
      </c>
    </row>
    <row r="276" spans="1:6" x14ac:dyDescent="0.35">
      <c r="A276" s="4" t="s">
        <v>6164</v>
      </c>
      <c r="B276" s="5" t="s">
        <v>2251</v>
      </c>
      <c r="C276" s="5" t="s">
        <v>1776</v>
      </c>
      <c r="D276" s="5" t="s">
        <v>13</v>
      </c>
      <c r="E276" s="6">
        <v>3487</v>
      </c>
      <c r="F276" s="5" t="str">
        <f>HYPERLINK("https://www.google.com/maps/search/?api=1&amp;query=24.72106303,46.78516465", "View Map")</f>
        <v>View Map</v>
      </c>
    </row>
    <row r="277" spans="1:6" x14ac:dyDescent="0.35">
      <c r="A277" s="4" t="s">
        <v>6165</v>
      </c>
      <c r="B277" s="5" t="s">
        <v>2253</v>
      </c>
      <c r="C277" s="5" t="s">
        <v>1776</v>
      </c>
      <c r="D277" s="5" t="s">
        <v>13</v>
      </c>
      <c r="E277" s="6">
        <v>3486</v>
      </c>
      <c r="F277" s="5" t="str">
        <f>HYPERLINK("https://www.google.com/maps/search/?api=1&amp;query=24.79112,46.71663", "View Map")</f>
        <v>View Map</v>
      </c>
    </row>
    <row r="278" spans="1:6" x14ac:dyDescent="0.35">
      <c r="A278" s="4" t="s">
        <v>6166</v>
      </c>
      <c r="B278" s="5" t="s">
        <v>2255</v>
      </c>
      <c r="C278" s="5" t="s">
        <v>1776</v>
      </c>
      <c r="D278" s="5" t="s">
        <v>13</v>
      </c>
      <c r="E278" s="6">
        <v>3479</v>
      </c>
      <c r="F278" s="5" t="str">
        <f>HYPERLINK("https://www.google.com/maps/search/?api=1&amp;query=24.71878225,46.7552068", "View Map")</f>
        <v>View Map</v>
      </c>
    </row>
    <row r="279" spans="1:6" x14ac:dyDescent="0.35">
      <c r="A279" s="4" t="s">
        <v>6167</v>
      </c>
      <c r="B279" s="5" t="s">
        <v>2257</v>
      </c>
      <c r="C279" s="5" t="s">
        <v>1776</v>
      </c>
      <c r="D279" s="5" t="s">
        <v>13</v>
      </c>
      <c r="E279" s="6">
        <v>3476</v>
      </c>
      <c r="F279" s="5" t="str">
        <f>HYPERLINK("https://www.google.com/maps/search/?api=1&amp;query=24.8252308,46.77551103", "View Map")</f>
        <v>View Map</v>
      </c>
    </row>
    <row r="280" spans="1:6" x14ac:dyDescent="0.35">
      <c r="A280" s="4" t="s">
        <v>6168</v>
      </c>
      <c r="B280" s="5" t="s">
        <v>2259</v>
      </c>
      <c r="C280" s="5" t="s">
        <v>1776</v>
      </c>
      <c r="D280" s="5" t="s">
        <v>13</v>
      </c>
      <c r="E280" s="6">
        <v>3473</v>
      </c>
      <c r="F280" s="5" t="str">
        <f>HYPERLINK("https://www.google.com/maps/search/?api=1&amp;query=24.78812478,46.66134629", "View Map")</f>
        <v>View Map</v>
      </c>
    </row>
    <row r="281" spans="1:6" x14ac:dyDescent="0.35">
      <c r="A281" s="4" t="s">
        <v>6169</v>
      </c>
      <c r="B281" s="5" t="s">
        <v>2261</v>
      </c>
      <c r="C281" s="5" t="s">
        <v>1776</v>
      </c>
      <c r="D281" s="5" t="s">
        <v>13</v>
      </c>
      <c r="E281" s="6">
        <v>3465</v>
      </c>
      <c r="F281" s="5" t="str">
        <f>HYPERLINK("https://www.google.com/maps/search/?api=1&amp;query=24.7350782,46.64576413", "View Map")</f>
        <v>View Map</v>
      </c>
    </row>
    <row r="282" spans="1:6" x14ac:dyDescent="0.35">
      <c r="A282" s="4" t="s">
        <v>5972</v>
      </c>
      <c r="B282" s="5" t="s">
        <v>2262</v>
      </c>
      <c r="C282" s="5" t="s">
        <v>1776</v>
      </c>
      <c r="D282" s="5" t="s">
        <v>13</v>
      </c>
      <c r="E282" s="6">
        <v>3463</v>
      </c>
      <c r="F282" s="5" t="str">
        <f>HYPERLINK("https://www.google.com/maps/search/?api=1&amp;query=24.74195971,46.7134947", "View Map")</f>
        <v>View Map</v>
      </c>
    </row>
    <row r="283" spans="1:6" x14ac:dyDescent="0.35">
      <c r="A283" s="4" t="s">
        <v>6170</v>
      </c>
      <c r="B283" s="5" t="s">
        <v>2264</v>
      </c>
      <c r="C283" s="5" t="s">
        <v>1776</v>
      </c>
      <c r="D283" s="5" t="s">
        <v>13</v>
      </c>
      <c r="E283" s="6">
        <v>3458</v>
      </c>
      <c r="F283" s="5" t="str">
        <f>HYPERLINK("https://www.google.com/maps/search/?api=1&amp;query=24.79397828,46.77968977", "View Map")</f>
        <v>View Map</v>
      </c>
    </row>
    <row r="284" spans="1:6" x14ac:dyDescent="0.35">
      <c r="A284" s="4" t="s">
        <v>6171</v>
      </c>
      <c r="B284" s="5" t="s">
        <v>2266</v>
      </c>
      <c r="C284" s="5" t="s">
        <v>1776</v>
      </c>
      <c r="D284" s="5" t="s">
        <v>13</v>
      </c>
      <c r="E284" s="6">
        <v>3456</v>
      </c>
      <c r="F284" s="5" t="str">
        <f>HYPERLINK("https://www.google.com/maps/search/?api=1&amp;query=24.60350696,46.66371151", "View Map")</f>
        <v>View Map</v>
      </c>
    </row>
    <row r="285" spans="1:6" x14ac:dyDescent="0.35">
      <c r="A285" s="4" t="s">
        <v>6172</v>
      </c>
      <c r="B285" s="5" t="s">
        <v>2268</v>
      </c>
      <c r="C285" s="5" t="s">
        <v>1776</v>
      </c>
      <c r="D285" s="5" t="s">
        <v>13</v>
      </c>
      <c r="E285" s="6">
        <v>3456</v>
      </c>
      <c r="F285" s="5" t="str">
        <f>HYPERLINK("https://www.google.com/maps/search/?api=1&amp;query=24.78809276,46.64128075", "View Map")</f>
        <v>View Map</v>
      </c>
    </row>
    <row r="286" spans="1:6" x14ac:dyDescent="0.35">
      <c r="A286" s="4" t="s">
        <v>6173</v>
      </c>
      <c r="B286" s="5" t="s">
        <v>2270</v>
      </c>
      <c r="C286" s="5" t="s">
        <v>1776</v>
      </c>
      <c r="D286" s="5" t="s">
        <v>13</v>
      </c>
      <c r="E286" s="6">
        <v>3431</v>
      </c>
      <c r="F286" s="5" t="str">
        <f>HYPERLINK("https://www.google.com/maps/search/?api=1&amp;query=24.75029505,46.72127648", "View Map")</f>
        <v>View Map</v>
      </c>
    </row>
    <row r="287" spans="1:6" x14ac:dyDescent="0.35">
      <c r="A287" s="4" t="s">
        <v>6174</v>
      </c>
      <c r="B287" s="5" t="s">
        <v>2272</v>
      </c>
      <c r="C287" s="5" t="s">
        <v>1776</v>
      </c>
      <c r="D287" s="5" t="s">
        <v>13</v>
      </c>
      <c r="E287" s="6">
        <v>3423</v>
      </c>
      <c r="F287" s="5" t="str">
        <f>HYPERLINK("https://www.google.com/maps/search/?api=1&amp;query=24.6348789,46.72995099", "View Map")</f>
        <v>View Map</v>
      </c>
    </row>
    <row r="288" spans="1:6" x14ac:dyDescent="0.35">
      <c r="A288" s="4" t="s">
        <v>6175</v>
      </c>
      <c r="B288" s="5" t="s">
        <v>2274</v>
      </c>
      <c r="C288" s="5" t="s">
        <v>1776</v>
      </c>
      <c r="D288" s="5" t="s">
        <v>13</v>
      </c>
      <c r="E288" s="6">
        <v>3406</v>
      </c>
      <c r="F288" s="5" t="str">
        <f>HYPERLINK("https://www.google.com/maps/search/?api=1&amp;query=24.7471122,46.80341236", "View Map")</f>
        <v>View Map</v>
      </c>
    </row>
    <row r="289" spans="1:6" x14ac:dyDescent="0.35">
      <c r="A289" s="4" t="s">
        <v>6176</v>
      </c>
      <c r="B289" s="5" t="s">
        <v>2276</v>
      </c>
      <c r="C289" s="5" t="s">
        <v>1776</v>
      </c>
      <c r="D289" s="5" t="s">
        <v>13</v>
      </c>
      <c r="E289" s="6">
        <v>3396</v>
      </c>
      <c r="F289" s="5" t="str">
        <f>HYPERLINK("https://www.google.com/maps/search/?api=1&amp;query=24.79923,46.5878", "View Map")</f>
        <v>View Map</v>
      </c>
    </row>
    <row r="290" spans="1:6" x14ac:dyDescent="0.35">
      <c r="A290" s="4" t="s">
        <v>6177</v>
      </c>
      <c r="B290" s="5" t="s">
        <v>2278</v>
      </c>
      <c r="C290" s="5" t="s">
        <v>1776</v>
      </c>
      <c r="D290" s="5" t="s">
        <v>13</v>
      </c>
      <c r="E290" s="6">
        <v>3396</v>
      </c>
      <c r="F290" s="5" t="str">
        <f>HYPERLINK("https://www.google.com/maps/search/?api=1&amp;query=24.67628728,46.77676379", "View Map")</f>
        <v>View Map</v>
      </c>
    </row>
    <row r="291" spans="1:6" x14ac:dyDescent="0.35">
      <c r="A291" s="4" t="s">
        <v>6178</v>
      </c>
      <c r="B291" s="5" t="s">
        <v>2280</v>
      </c>
      <c r="C291" s="5" t="s">
        <v>1776</v>
      </c>
      <c r="D291" s="5" t="s">
        <v>13</v>
      </c>
      <c r="E291" s="6">
        <v>3374</v>
      </c>
      <c r="F291" s="5" t="str">
        <f>HYPERLINK("https://www.google.com/maps/search/?api=1&amp;query=24.7432809,46.78827508", "View Map")</f>
        <v>View Map</v>
      </c>
    </row>
    <row r="292" spans="1:6" x14ac:dyDescent="0.35">
      <c r="A292" s="4" t="s">
        <v>5974</v>
      </c>
      <c r="B292" s="5" t="s">
        <v>2281</v>
      </c>
      <c r="C292" s="5" t="s">
        <v>1776</v>
      </c>
      <c r="D292" s="5" t="s">
        <v>13</v>
      </c>
      <c r="E292" s="6">
        <v>3372</v>
      </c>
      <c r="F292" s="5" t="str">
        <f>HYPERLINK("https://www.google.com/maps/search/?api=1&amp;query=24.6903,46.5869", "View Map")</f>
        <v>View Map</v>
      </c>
    </row>
    <row r="293" spans="1:6" x14ac:dyDescent="0.35">
      <c r="A293" s="4" t="s">
        <v>5974</v>
      </c>
      <c r="B293" s="5" t="s">
        <v>2282</v>
      </c>
      <c r="C293" s="5" t="s">
        <v>1776</v>
      </c>
      <c r="D293" s="5" t="s">
        <v>13</v>
      </c>
      <c r="E293" s="6">
        <v>3350</v>
      </c>
      <c r="F293" s="5" t="str">
        <f>HYPERLINK("https://www.google.com/maps/search/?api=1&amp;query=24.85319071,46.66450634", "View Map")</f>
        <v>View Map</v>
      </c>
    </row>
    <row r="294" spans="1:6" x14ac:dyDescent="0.35">
      <c r="A294" s="4" t="s">
        <v>6179</v>
      </c>
      <c r="B294" s="5" t="s">
        <v>2284</v>
      </c>
      <c r="C294" s="5" t="s">
        <v>1776</v>
      </c>
      <c r="D294" s="5" t="s">
        <v>13</v>
      </c>
      <c r="E294" s="6">
        <v>3346</v>
      </c>
      <c r="F294" s="5" t="str">
        <f>HYPERLINK("https://www.google.com/maps/search/?api=1&amp;query=24.65678285,46.67067659", "View Map")</f>
        <v>View Map</v>
      </c>
    </row>
    <row r="295" spans="1:6" x14ac:dyDescent="0.35">
      <c r="A295" s="4" t="s">
        <v>6180</v>
      </c>
      <c r="B295" s="5" t="s">
        <v>2286</v>
      </c>
      <c r="C295" s="5" t="s">
        <v>1776</v>
      </c>
      <c r="D295" s="5" t="s">
        <v>13</v>
      </c>
      <c r="E295" s="6">
        <v>3342</v>
      </c>
      <c r="F295" s="5" t="str">
        <f>HYPERLINK("https://www.google.com/maps/search/?api=1&amp;query=24.77926497,46.62438618", "View Map")</f>
        <v>View Map</v>
      </c>
    </row>
    <row r="296" spans="1:6" x14ac:dyDescent="0.35">
      <c r="A296" s="4" t="s">
        <v>6121</v>
      </c>
      <c r="B296" s="5" t="s">
        <v>2287</v>
      </c>
      <c r="C296" s="5" t="s">
        <v>1776</v>
      </c>
      <c r="D296" s="5" t="s">
        <v>13</v>
      </c>
      <c r="E296" s="6">
        <v>3327</v>
      </c>
      <c r="F296" s="5" t="str">
        <f>HYPERLINK("https://www.google.com/maps/search/?api=1&amp;query=24.77426357,46.79551526", "View Map")</f>
        <v>View Map</v>
      </c>
    </row>
    <row r="297" spans="1:6" x14ac:dyDescent="0.35">
      <c r="A297" s="4" t="s">
        <v>6181</v>
      </c>
      <c r="B297" s="5" t="s">
        <v>2289</v>
      </c>
      <c r="C297" s="5" t="s">
        <v>1776</v>
      </c>
      <c r="D297" s="5" t="s">
        <v>13</v>
      </c>
      <c r="E297" s="6">
        <v>3309</v>
      </c>
      <c r="F297" s="5" t="str">
        <f>HYPERLINK("https://www.google.com/maps/search/?api=1&amp;query=24.7835667,46.71021498", "View Map")</f>
        <v>View Map</v>
      </c>
    </row>
    <row r="298" spans="1:6" x14ac:dyDescent="0.35">
      <c r="A298" s="4" t="s">
        <v>5978</v>
      </c>
      <c r="B298" s="5" t="s">
        <v>2290</v>
      </c>
      <c r="C298" s="5" t="s">
        <v>1776</v>
      </c>
      <c r="D298" s="5" t="s">
        <v>13</v>
      </c>
      <c r="E298" s="6">
        <v>3306</v>
      </c>
      <c r="F298" s="5" t="str">
        <f>HYPERLINK("https://www.google.com/maps/search/?api=1&amp;query=24.82608047,46.75326701", "View Map")</f>
        <v>View Map</v>
      </c>
    </row>
    <row r="299" spans="1:6" x14ac:dyDescent="0.35">
      <c r="A299" s="4" t="s">
        <v>6182</v>
      </c>
      <c r="B299" s="5" t="s">
        <v>2292</v>
      </c>
      <c r="C299" s="5" t="s">
        <v>1776</v>
      </c>
      <c r="D299" s="5" t="s">
        <v>13</v>
      </c>
      <c r="E299" s="6">
        <v>3300</v>
      </c>
      <c r="F299" s="5" t="str">
        <f>HYPERLINK("https://www.google.com/maps/search/?api=1&amp;query=24.72976975,46.6530934", "View Map")</f>
        <v>View Map</v>
      </c>
    </row>
    <row r="300" spans="1:6" x14ac:dyDescent="0.35">
      <c r="A300" s="4" t="s">
        <v>5974</v>
      </c>
      <c r="B300" s="5" t="s">
        <v>2293</v>
      </c>
      <c r="C300" s="5" t="s">
        <v>1776</v>
      </c>
      <c r="D300" s="5" t="s">
        <v>13</v>
      </c>
      <c r="E300" s="6">
        <v>3296</v>
      </c>
      <c r="F300" s="5" t="str">
        <f>HYPERLINK("https://www.google.com/maps/search/?api=1&amp;query=24.83066896,46.66620127", "View Map")</f>
        <v>View Map</v>
      </c>
    </row>
    <row r="301" spans="1:6" x14ac:dyDescent="0.35">
      <c r="A301" s="4" t="s">
        <v>6183</v>
      </c>
      <c r="B301" s="5" t="s">
        <v>2295</v>
      </c>
      <c r="C301" s="5" t="s">
        <v>1776</v>
      </c>
      <c r="D301" s="5" t="s">
        <v>13</v>
      </c>
      <c r="E301" s="6">
        <v>3286</v>
      </c>
      <c r="F301" s="5" t="str">
        <f>HYPERLINK("https://www.google.com/maps/search/?api=1&amp;query=24.81524319,46.62503079", "View Map")</f>
        <v>View Map</v>
      </c>
    </row>
    <row r="302" spans="1:6" x14ac:dyDescent="0.35">
      <c r="A302" s="4" t="s">
        <v>6184</v>
      </c>
      <c r="B302" s="5" t="s">
        <v>2297</v>
      </c>
      <c r="C302" s="5" t="s">
        <v>1776</v>
      </c>
      <c r="D302" s="5" t="s">
        <v>13</v>
      </c>
      <c r="E302" s="6">
        <v>3283</v>
      </c>
      <c r="F302" s="5" t="str">
        <f>HYPERLINK("https://www.google.com/maps/search/?api=1&amp;query=24.80553186,46.76491938", "View Map")</f>
        <v>View Map</v>
      </c>
    </row>
    <row r="303" spans="1:6" x14ac:dyDescent="0.35">
      <c r="A303" s="4" t="s">
        <v>5978</v>
      </c>
      <c r="B303" s="5" t="s">
        <v>2298</v>
      </c>
      <c r="C303" s="5" t="s">
        <v>1776</v>
      </c>
      <c r="D303" s="5" t="s">
        <v>13</v>
      </c>
      <c r="E303" s="6">
        <v>3274</v>
      </c>
      <c r="F303" s="5" t="str">
        <f>HYPERLINK("https://www.google.com/maps/search/?api=1&amp;query=24.82942092,46.68542883", "View Map")</f>
        <v>View Map</v>
      </c>
    </row>
    <row r="304" spans="1:6" x14ac:dyDescent="0.35">
      <c r="A304" s="4" t="s">
        <v>6185</v>
      </c>
      <c r="B304" s="5" t="s">
        <v>2300</v>
      </c>
      <c r="C304" s="5" t="s">
        <v>1776</v>
      </c>
      <c r="D304" s="5" t="s">
        <v>13</v>
      </c>
      <c r="E304" s="6">
        <v>3273</v>
      </c>
      <c r="F304" s="5" t="str">
        <f>HYPERLINK("https://www.google.com/maps/search/?api=1&amp;query=24.53781668,46.66622221", "View Map")</f>
        <v>View Map</v>
      </c>
    </row>
    <row r="305" spans="1:6" x14ac:dyDescent="0.35">
      <c r="A305" s="4" t="s">
        <v>6186</v>
      </c>
      <c r="B305" s="5" t="s">
        <v>2302</v>
      </c>
      <c r="C305" s="5" t="s">
        <v>1776</v>
      </c>
      <c r="D305" s="5" t="s">
        <v>13</v>
      </c>
      <c r="E305" s="6">
        <v>3269</v>
      </c>
      <c r="F305" s="5" t="str">
        <f>HYPERLINK("https://www.google.com/maps/search/?api=1&amp;query=24.72332361,46.79331423", "View Map")</f>
        <v>View Map</v>
      </c>
    </row>
    <row r="306" spans="1:6" x14ac:dyDescent="0.35">
      <c r="A306" s="4" t="s">
        <v>6039</v>
      </c>
      <c r="B306" s="5" t="s">
        <v>2303</v>
      </c>
      <c r="C306" s="5" t="s">
        <v>1776</v>
      </c>
      <c r="D306" s="5" t="s">
        <v>13</v>
      </c>
      <c r="E306" s="6">
        <v>3269</v>
      </c>
      <c r="F306" s="5" t="str">
        <f>HYPERLINK("https://www.google.com/maps/search/?api=1&amp;query=24.62704288,46.70263391", "View Map")</f>
        <v>View Map</v>
      </c>
    </row>
    <row r="307" spans="1:6" x14ac:dyDescent="0.35">
      <c r="A307" s="4" t="s">
        <v>5974</v>
      </c>
      <c r="B307" s="5" t="s">
        <v>2304</v>
      </c>
      <c r="C307" s="5" t="s">
        <v>1776</v>
      </c>
      <c r="D307" s="5" t="s">
        <v>13</v>
      </c>
      <c r="E307" s="6">
        <v>3268</v>
      </c>
      <c r="F307" s="5" t="str">
        <f>HYPERLINK("https://www.google.com/maps/search/?api=1&amp;query=24.78706105,46.87565385", "View Map")</f>
        <v>View Map</v>
      </c>
    </row>
    <row r="308" spans="1:6" x14ac:dyDescent="0.35">
      <c r="A308" s="4" t="s">
        <v>6187</v>
      </c>
      <c r="B308" s="5" t="s">
        <v>2306</v>
      </c>
      <c r="C308" s="5" t="s">
        <v>1776</v>
      </c>
      <c r="D308" s="5" t="s">
        <v>13</v>
      </c>
      <c r="E308" s="6">
        <v>3243</v>
      </c>
      <c r="F308" s="5" t="str">
        <f>HYPERLINK("https://www.google.com/maps/search/?api=1&amp;query=24.7370575,46.71942659", "View Map")</f>
        <v>View Map</v>
      </c>
    </row>
    <row r="309" spans="1:6" x14ac:dyDescent="0.35">
      <c r="A309" s="4" t="s">
        <v>6188</v>
      </c>
      <c r="B309" s="5" t="s">
        <v>2308</v>
      </c>
      <c r="C309" s="5" t="s">
        <v>1776</v>
      </c>
      <c r="D309" s="5" t="s">
        <v>13</v>
      </c>
      <c r="E309" s="6">
        <v>3232</v>
      </c>
      <c r="F309" s="5" t="str">
        <f>HYPERLINK("https://www.google.com/maps/search/?api=1&amp;query=24.63143668,46.55845555", "View Map")</f>
        <v>View Map</v>
      </c>
    </row>
    <row r="310" spans="1:6" x14ac:dyDescent="0.35">
      <c r="A310" s="4" t="s">
        <v>6189</v>
      </c>
      <c r="B310" s="5" t="s">
        <v>2310</v>
      </c>
      <c r="C310" s="5" t="s">
        <v>1776</v>
      </c>
      <c r="D310" s="5" t="s">
        <v>13</v>
      </c>
      <c r="E310" s="6">
        <v>3229</v>
      </c>
      <c r="F310" s="5" t="str">
        <f>HYPERLINK("https://www.google.com/maps/search/?api=1&amp;query=24.77025071,46.66617964", "View Map")</f>
        <v>View Map</v>
      </c>
    </row>
    <row r="311" spans="1:6" x14ac:dyDescent="0.35">
      <c r="A311" s="4" t="s">
        <v>5972</v>
      </c>
      <c r="B311" s="5" t="s">
        <v>2311</v>
      </c>
      <c r="C311" s="5" t="s">
        <v>1843</v>
      </c>
      <c r="D311" s="5" t="s">
        <v>13</v>
      </c>
      <c r="E311" s="6">
        <v>3229</v>
      </c>
      <c r="F311" s="5" t="str">
        <f>HYPERLINK("https://www.google.com/maps/search/?api=1&amp;query=24.7453,46.5272", "View Map")</f>
        <v>View Map</v>
      </c>
    </row>
    <row r="312" spans="1:6" x14ac:dyDescent="0.35">
      <c r="A312" s="4" t="s">
        <v>6190</v>
      </c>
      <c r="B312" s="5" t="s">
        <v>2313</v>
      </c>
      <c r="C312" s="5" t="s">
        <v>1776</v>
      </c>
      <c r="D312" s="5" t="s">
        <v>13</v>
      </c>
      <c r="E312" s="6">
        <v>3219</v>
      </c>
      <c r="F312" s="5" t="str">
        <f>HYPERLINK("https://www.google.com/maps/search/?api=1&amp;query=24.63543151,46.66348217", "View Map")</f>
        <v>View Map</v>
      </c>
    </row>
    <row r="313" spans="1:6" x14ac:dyDescent="0.35">
      <c r="A313" s="4" t="s">
        <v>5974</v>
      </c>
      <c r="B313" s="5" t="s">
        <v>2314</v>
      </c>
      <c r="C313" s="5" t="s">
        <v>1776</v>
      </c>
      <c r="D313" s="5" t="s">
        <v>13</v>
      </c>
      <c r="E313" s="6">
        <v>3200</v>
      </c>
      <c r="F313" s="5" t="str">
        <f>HYPERLINK("https://www.google.com/maps/search/?api=1&amp;query=24.62811641,46.52462515", "View Map")</f>
        <v>View Map</v>
      </c>
    </row>
    <row r="314" spans="1:6" x14ac:dyDescent="0.35">
      <c r="A314" s="4" t="s">
        <v>5974</v>
      </c>
      <c r="B314" s="5" t="s">
        <v>2315</v>
      </c>
      <c r="C314" s="5" t="s">
        <v>1776</v>
      </c>
      <c r="D314" s="5" t="s">
        <v>13</v>
      </c>
      <c r="E314" s="6">
        <v>3189</v>
      </c>
      <c r="F314" s="5" t="str">
        <f>HYPERLINK("https://www.google.com/maps/search/?api=1&amp;query=0.0,0.0", "View Map")</f>
        <v>View Map</v>
      </c>
    </row>
    <row r="315" spans="1:6" x14ac:dyDescent="0.35">
      <c r="A315" s="4" t="s">
        <v>6191</v>
      </c>
      <c r="B315" s="5" t="s">
        <v>2317</v>
      </c>
      <c r="C315" s="5" t="s">
        <v>1776</v>
      </c>
      <c r="D315" s="5" t="s">
        <v>13</v>
      </c>
      <c r="E315" s="6">
        <v>3188</v>
      </c>
      <c r="F315" s="5" t="str">
        <f>HYPERLINK("https://www.google.com/maps/search/?api=1&amp;query=24.59691053,46.70225699", "View Map")</f>
        <v>View Map</v>
      </c>
    </row>
    <row r="316" spans="1:6" x14ac:dyDescent="0.35">
      <c r="A316" s="4" t="s">
        <v>6192</v>
      </c>
      <c r="B316" s="5" t="s">
        <v>2319</v>
      </c>
      <c r="C316" s="5" t="s">
        <v>1776</v>
      </c>
      <c r="D316" s="5" t="s">
        <v>13</v>
      </c>
      <c r="E316" s="6">
        <v>3186</v>
      </c>
      <c r="F316" s="5" t="str">
        <f>HYPERLINK("https://www.google.com/maps/search/?api=1&amp;query=24.69646524,46.78867533", "View Map")</f>
        <v>View Map</v>
      </c>
    </row>
    <row r="317" spans="1:6" x14ac:dyDescent="0.35">
      <c r="A317" s="4" t="s">
        <v>6193</v>
      </c>
      <c r="B317" s="5" t="s">
        <v>2321</v>
      </c>
      <c r="C317" s="5" t="s">
        <v>1776</v>
      </c>
      <c r="D317" s="5" t="s">
        <v>13</v>
      </c>
      <c r="E317" s="6">
        <v>3180</v>
      </c>
      <c r="F317" s="5" t="str">
        <f>HYPERLINK("https://www.google.com/maps/search/?api=1&amp;query=24.59883664,46.68591839", "View Map")</f>
        <v>View Map</v>
      </c>
    </row>
    <row r="318" spans="1:6" x14ac:dyDescent="0.35">
      <c r="A318" s="4" t="s">
        <v>6194</v>
      </c>
      <c r="B318" s="5" t="s">
        <v>2323</v>
      </c>
      <c r="C318" s="5" t="s">
        <v>1776</v>
      </c>
      <c r="D318" s="5" t="s">
        <v>13</v>
      </c>
      <c r="E318" s="6">
        <v>3171</v>
      </c>
      <c r="F318" s="5" t="str">
        <f>HYPERLINK("https://www.google.com/maps/search/?api=1&amp;query=24.80787682,46.86147383", "View Map")</f>
        <v>View Map</v>
      </c>
    </row>
    <row r="319" spans="1:6" x14ac:dyDescent="0.35">
      <c r="A319" s="4" t="s">
        <v>6039</v>
      </c>
      <c r="B319" s="5" t="s">
        <v>2324</v>
      </c>
      <c r="C319" s="5" t="s">
        <v>1776</v>
      </c>
      <c r="D319" s="5" t="s">
        <v>13</v>
      </c>
      <c r="E319" s="6">
        <v>3166</v>
      </c>
      <c r="F319" s="5" t="str">
        <f>HYPERLINK("https://www.google.com/maps/search/?api=1&amp;query=24.68074,46.57364", "View Map")</f>
        <v>View Map</v>
      </c>
    </row>
    <row r="320" spans="1:6" x14ac:dyDescent="0.35">
      <c r="A320" s="4" t="s">
        <v>6039</v>
      </c>
      <c r="B320" s="5" t="s">
        <v>2325</v>
      </c>
      <c r="C320" s="5" t="s">
        <v>1776</v>
      </c>
      <c r="D320" s="5" t="s">
        <v>13</v>
      </c>
      <c r="E320" s="6">
        <v>3162</v>
      </c>
      <c r="F320" s="5" t="str">
        <f>HYPERLINK("https://www.google.com/maps/search/?api=1&amp;query=24.5040804,46.6683632", "View Map")</f>
        <v>View Map</v>
      </c>
    </row>
    <row r="321" spans="1:6" x14ac:dyDescent="0.35">
      <c r="A321" s="4" t="s">
        <v>6195</v>
      </c>
      <c r="B321" s="5" t="s">
        <v>2327</v>
      </c>
      <c r="C321" s="5" t="s">
        <v>1776</v>
      </c>
      <c r="D321" s="5" t="s">
        <v>13</v>
      </c>
      <c r="E321" s="6">
        <v>3144</v>
      </c>
      <c r="F321" s="5" t="str">
        <f>HYPERLINK("https://www.google.com/maps/search/?api=1&amp;query=24.75253842,46.77390533", "View Map")</f>
        <v>View Map</v>
      </c>
    </row>
    <row r="322" spans="1:6" x14ac:dyDescent="0.35">
      <c r="A322" s="4" t="s">
        <v>6196</v>
      </c>
      <c r="B322" s="5" t="s">
        <v>2329</v>
      </c>
      <c r="C322" s="5" t="s">
        <v>1776</v>
      </c>
      <c r="D322" s="5" t="s">
        <v>13</v>
      </c>
      <c r="E322" s="6">
        <v>3140</v>
      </c>
      <c r="F322" s="5" t="str">
        <f>HYPERLINK("https://www.google.com/maps/search/?api=1&amp;query=24.70025958,46.63927743", "View Map")</f>
        <v>View Map</v>
      </c>
    </row>
    <row r="323" spans="1:6" x14ac:dyDescent="0.35">
      <c r="A323" s="4" t="s">
        <v>6197</v>
      </c>
      <c r="B323" s="5" t="s">
        <v>2331</v>
      </c>
      <c r="C323" s="5" t="s">
        <v>1776</v>
      </c>
      <c r="D323" s="5" t="s">
        <v>13</v>
      </c>
      <c r="E323" s="6">
        <v>3136</v>
      </c>
      <c r="F323" s="5" t="str">
        <f>HYPERLINK("https://www.google.com/maps/search/?api=1&amp;query=24.68022,46.62634", "View Map")</f>
        <v>View Map</v>
      </c>
    </row>
    <row r="324" spans="1:6" x14ac:dyDescent="0.35">
      <c r="A324" s="4" t="s">
        <v>6198</v>
      </c>
      <c r="B324" s="5" t="s">
        <v>2333</v>
      </c>
      <c r="C324" s="5" t="s">
        <v>1776</v>
      </c>
      <c r="D324" s="5" t="s">
        <v>13</v>
      </c>
      <c r="E324" s="6">
        <v>3127</v>
      </c>
      <c r="F324" s="5" t="str">
        <f>HYPERLINK("https://www.google.com/maps/search/?api=1&amp;query=24.58210422,46.83014168", "View Map")</f>
        <v>View Map</v>
      </c>
    </row>
    <row r="325" spans="1:6" x14ac:dyDescent="0.35">
      <c r="A325" s="4" t="s">
        <v>5974</v>
      </c>
      <c r="B325" s="5" t="s">
        <v>2334</v>
      </c>
      <c r="C325" s="5" t="s">
        <v>1776</v>
      </c>
      <c r="D325" s="5" t="s">
        <v>13</v>
      </c>
      <c r="E325" s="6">
        <v>3127</v>
      </c>
      <c r="F325" s="5" t="str">
        <f>HYPERLINK("https://www.google.com/maps/search/?api=1&amp;query=24.85604,46.6519", "View Map")</f>
        <v>View Map</v>
      </c>
    </row>
    <row r="326" spans="1:6" x14ac:dyDescent="0.35">
      <c r="A326" s="4" t="s">
        <v>6199</v>
      </c>
      <c r="B326" s="5" t="s">
        <v>2336</v>
      </c>
      <c r="C326" s="5" t="s">
        <v>1776</v>
      </c>
      <c r="D326" s="5" t="s">
        <v>13</v>
      </c>
      <c r="E326" s="6">
        <v>3122</v>
      </c>
      <c r="F326" s="5" t="str">
        <f>HYPERLINK("https://www.google.com/maps/search/?api=1&amp;query=24.75965878,46.67599022", "View Map")</f>
        <v>View Map</v>
      </c>
    </row>
    <row r="327" spans="1:6" x14ac:dyDescent="0.35">
      <c r="A327" s="4" t="s">
        <v>6200</v>
      </c>
      <c r="B327" s="5" t="s">
        <v>2338</v>
      </c>
      <c r="C327" s="5" t="s">
        <v>1776</v>
      </c>
      <c r="D327" s="5" t="s">
        <v>13</v>
      </c>
      <c r="E327" s="6">
        <v>3109</v>
      </c>
      <c r="F327" s="5" t="str">
        <f>HYPERLINK("https://www.google.com/maps/search/?api=1&amp;query=24.73033882,46.65855522", "View Map")</f>
        <v>View Map</v>
      </c>
    </row>
    <row r="328" spans="1:6" x14ac:dyDescent="0.35">
      <c r="A328" s="4" t="s">
        <v>5974</v>
      </c>
      <c r="B328" s="5" t="s">
        <v>2339</v>
      </c>
      <c r="C328" s="5" t="s">
        <v>1776</v>
      </c>
      <c r="D328" s="5" t="s">
        <v>13</v>
      </c>
      <c r="E328" s="6">
        <v>3108</v>
      </c>
      <c r="F328" s="5" t="str">
        <f>HYPERLINK("https://www.google.com/maps/search/?api=1&amp;query=24.62069505,46.76202884", "View Map")</f>
        <v>View Map</v>
      </c>
    </row>
    <row r="329" spans="1:6" x14ac:dyDescent="0.35">
      <c r="A329" s="4" t="s">
        <v>6140</v>
      </c>
      <c r="B329" s="5" t="s">
        <v>2340</v>
      </c>
      <c r="C329" s="5" t="s">
        <v>1776</v>
      </c>
      <c r="D329" s="5" t="s">
        <v>13</v>
      </c>
      <c r="E329" s="6">
        <v>3108</v>
      </c>
      <c r="F329" s="5" t="str">
        <f>HYPERLINK("https://www.google.com/maps/search/?api=1&amp;query=24.70711492,46.78274636", "View Map")</f>
        <v>View Map</v>
      </c>
    </row>
    <row r="330" spans="1:6" x14ac:dyDescent="0.35">
      <c r="A330" s="4" t="s">
        <v>5974</v>
      </c>
      <c r="B330" s="5" t="s">
        <v>2341</v>
      </c>
      <c r="C330" s="5" t="s">
        <v>1776</v>
      </c>
      <c r="D330" s="5" t="s">
        <v>13</v>
      </c>
      <c r="E330" s="6">
        <v>3105</v>
      </c>
      <c r="F330" s="5" t="str">
        <f>HYPERLINK("https://www.google.com/maps/search/?api=1&amp;query=24.78699481,46.60725271", "View Map")</f>
        <v>View Map</v>
      </c>
    </row>
    <row r="331" spans="1:6" x14ac:dyDescent="0.35">
      <c r="A331" s="4" t="s">
        <v>6201</v>
      </c>
      <c r="B331" s="5" t="s">
        <v>2343</v>
      </c>
      <c r="C331" s="5" t="s">
        <v>1776</v>
      </c>
      <c r="D331" s="5" t="s">
        <v>13</v>
      </c>
      <c r="E331" s="6">
        <v>3094</v>
      </c>
      <c r="F331" s="5" t="str">
        <f>HYPERLINK("https://www.google.com/maps/search/?api=1&amp;query=24.68278566,46.81484869", "View Map")</f>
        <v>View Map</v>
      </c>
    </row>
    <row r="332" spans="1:6" x14ac:dyDescent="0.35">
      <c r="A332" s="4" t="s">
        <v>6202</v>
      </c>
      <c r="B332" s="5" t="s">
        <v>2345</v>
      </c>
      <c r="C332" s="5" t="s">
        <v>1776</v>
      </c>
      <c r="D332" s="5" t="s">
        <v>13</v>
      </c>
      <c r="E332" s="6">
        <v>3090</v>
      </c>
      <c r="F332" s="5" t="str">
        <f>HYPERLINK("https://www.google.com/maps/search/?api=1&amp;query=24.8140633,46.80113044", "View Map")</f>
        <v>View Map</v>
      </c>
    </row>
    <row r="333" spans="1:6" x14ac:dyDescent="0.35">
      <c r="A333" s="4" t="s">
        <v>6203</v>
      </c>
      <c r="B333" s="5" t="s">
        <v>2347</v>
      </c>
      <c r="C333" s="5" t="s">
        <v>1776</v>
      </c>
      <c r="D333" s="5" t="s">
        <v>13</v>
      </c>
      <c r="E333" s="6">
        <v>3087</v>
      </c>
      <c r="F333" s="5" t="str">
        <f>HYPERLINK("https://www.google.com/maps/search/?api=1&amp;query=24.56722617,46.77511662", "View Map")</f>
        <v>View Map</v>
      </c>
    </row>
    <row r="334" spans="1:6" x14ac:dyDescent="0.35">
      <c r="A334" s="4" t="s">
        <v>6204</v>
      </c>
      <c r="B334" s="5" t="s">
        <v>2349</v>
      </c>
      <c r="C334" s="5" t="s">
        <v>1776</v>
      </c>
      <c r="D334" s="5" t="s">
        <v>13</v>
      </c>
      <c r="E334" s="6">
        <v>3086</v>
      </c>
      <c r="F334" s="5" t="str">
        <f>HYPERLINK("https://www.google.com/maps/search/?api=1&amp;query=24.67481433,46.64755393", "View Map")</f>
        <v>View Map</v>
      </c>
    </row>
    <row r="335" spans="1:6" x14ac:dyDescent="0.35">
      <c r="A335" s="4" t="s">
        <v>6082</v>
      </c>
      <c r="B335" s="5" t="s">
        <v>2350</v>
      </c>
      <c r="C335" s="5" t="s">
        <v>1776</v>
      </c>
      <c r="D335" s="5" t="s">
        <v>13</v>
      </c>
      <c r="E335" s="6">
        <v>3081</v>
      </c>
      <c r="F335" s="5" t="str">
        <f>HYPERLINK("https://www.google.com/maps/search/?api=1&amp;query=24.58332442,46.77322389", "View Map")</f>
        <v>View Map</v>
      </c>
    </row>
    <row r="336" spans="1:6" x14ac:dyDescent="0.35">
      <c r="A336" s="4" t="s">
        <v>6039</v>
      </c>
      <c r="B336" s="5" t="s">
        <v>2351</v>
      </c>
      <c r="C336" s="5" t="s">
        <v>1776</v>
      </c>
      <c r="D336" s="5" t="s">
        <v>13</v>
      </c>
      <c r="E336" s="6">
        <v>3071</v>
      </c>
      <c r="F336" s="5" t="str">
        <f>HYPERLINK("https://www.google.com/maps/search/?api=1&amp;query=24.5572,46.5258", "View Map")</f>
        <v>View Map</v>
      </c>
    </row>
    <row r="337" spans="1:6" x14ac:dyDescent="0.35">
      <c r="A337" s="4" t="s">
        <v>6205</v>
      </c>
      <c r="B337" s="5" t="s">
        <v>2353</v>
      </c>
      <c r="C337" s="5" t="s">
        <v>1776</v>
      </c>
      <c r="D337" s="5" t="s">
        <v>13</v>
      </c>
      <c r="E337" s="6">
        <v>3070</v>
      </c>
      <c r="F337" s="5" t="str">
        <f>HYPERLINK("https://www.google.com/maps/search/?api=1&amp;query=24.73843638,46.79563318", "View Map")</f>
        <v>View Map</v>
      </c>
    </row>
    <row r="338" spans="1:6" x14ac:dyDescent="0.35">
      <c r="A338" s="4" t="s">
        <v>6206</v>
      </c>
      <c r="B338" s="5" t="s">
        <v>2355</v>
      </c>
      <c r="C338" s="5" t="s">
        <v>1776</v>
      </c>
      <c r="D338" s="5" t="s">
        <v>13</v>
      </c>
      <c r="E338" s="6">
        <v>3061</v>
      </c>
      <c r="F338" s="5" t="str">
        <f>HYPERLINK("https://www.google.com/maps/search/?api=1&amp;query=24.72941517,46.64848986", "View Map")</f>
        <v>View Map</v>
      </c>
    </row>
    <row r="339" spans="1:6" x14ac:dyDescent="0.35">
      <c r="A339" s="4" t="s">
        <v>5974</v>
      </c>
      <c r="B339" s="5" t="s">
        <v>2356</v>
      </c>
      <c r="C339" s="5" t="s">
        <v>1776</v>
      </c>
      <c r="D339" s="5" t="s">
        <v>13</v>
      </c>
      <c r="E339" s="6">
        <v>3061</v>
      </c>
      <c r="F339" s="5" t="str">
        <f>HYPERLINK("https://www.google.com/maps/search/?api=1&amp;query=24.81598812,46.72746", "View Map")</f>
        <v>View Map</v>
      </c>
    </row>
    <row r="340" spans="1:6" x14ac:dyDescent="0.35">
      <c r="A340" s="4" t="s">
        <v>6207</v>
      </c>
      <c r="B340" s="5" t="s">
        <v>2358</v>
      </c>
      <c r="C340" s="5" t="s">
        <v>1776</v>
      </c>
      <c r="D340" s="5" t="s">
        <v>13</v>
      </c>
      <c r="E340" s="6">
        <v>3049</v>
      </c>
      <c r="F340" s="5" t="str">
        <f>HYPERLINK("https://www.google.com/maps/search/?api=1&amp;query=24.63454616,46.68208697", "View Map")</f>
        <v>View Map</v>
      </c>
    </row>
    <row r="341" spans="1:6" x14ac:dyDescent="0.35">
      <c r="A341" s="4" t="s">
        <v>6208</v>
      </c>
      <c r="B341" s="5" t="s">
        <v>2360</v>
      </c>
      <c r="C341" s="5" t="s">
        <v>1776</v>
      </c>
      <c r="D341" s="5" t="s">
        <v>13</v>
      </c>
      <c r="E341" s="6">
        <v>3040</v>
      </c>
      <c r="F341" s="5" t="str">
        <f>HYPERLINK("https://www.google.com/maps/search/?api=1&amp;query=24.76167728,46.65921951", "View Map")</f>
        <v>View Map</v>
      </c>
    </row>
    <row r="342" spans="1:6" x14ac:dyDescent="0.35">
      <c r="A342" s="4" t="s">
        <v>6209</v>
      </c>
      <c r="B342" s="5" t="s">
        <v>2362</v>
      </c>
      <c r="C342" s="5" t="s">
        <v>1776</v>
      </c>
      <c r="D342" s="5" t="s">
        <v>13</v>
      </c>
      <c r="E342" s="6">
        <v>3038</v>
      </c>
      <c r="F342" s="5" t="str">
        <f>HYPERLINK("https://www.google.com/maps/search/?api=1&amp;query=24.54885924,46.86622893", "View Map")</f>
        <v>View Map</v>
      </c>
    </row>
    <row r="343" spans="1:6" x14ac:dyDescent="0.35">
      <c r="A343" s="4" t="s">
        <v>6210</v>
      </c>
      <c r="B343" s="5" t="s">
        <v>2364</v>
      </c>
      <c r="C343" s="5" t="s">
        <v>1776</v>
      </c>
      <c r="D343" s="5" t="s">
        <v>13</v>
      </c>
      <c r="E343" s="6">
        <v>3032</v>
      </c>
      <c r="F343" s="5" t="str">
        <f>HYPERLINK("https://www.google.com/maps/search/?api=1&amp;query=24.63499109,46.69101628", "View Map")</f>
        <v>View Map</v>
      </c>
    </row>
    <row r="344" spans="1:6" x14ac:dyDescent="0.35">
      <c r="A344" s="4" t="s">
        <v>5974</v>
      </c>
      <c r="B344" s="5" t="s">
        <v>2365</v>
      </c>
      <c r="C344" s="5" t="s">
        <v>1776</v>
      </c>
      <c r="D344" s="5" t="s">
        <v>13</v>
      </c>
      <c r="E344" s="6">
        <v>3022</v>
      </c>
      <c r="F344" s="5" t="str">
        <f>HYPERLINK("https://www.google.com/maps/search/?api=1&amp;query=24.79032223,46.59870231", "View Map")</f>
        <v>View Map</v>
      </c>
    </row>
    <row r="345" spans="1:6" x14ac:dyDescent="0.35">
      <c r="A345" s="4" t="s">
        <v>6211</v>
      </c>
      <c r="B345" s="5" t="s">
        <v>2367</v>
      </c>
      <c r="C345" s="5" t="s">
        <v>1776</v>
      </c>
      <c r="D345" s="5" t="s">
        <v>13</v>
      </c>
      <c r="E345" s="6">
        <v>3010</v>
      </c>
      <c r="F345" s="5" t="str">
        <f>HYPERLINK("https://www.google.com/maps/search/?api=1&amp;query=24.68720105,46.75389824", "View Map")</f>
        <v>View Map</v>
      </c>
    </row>
    <row r="346" spans="1:6" x14ac:dyDescent="0.35">
      <c r="A346" s="4" t="s">
        <v>5974</v>
      </c>
      <c r="B346" s="5" t="s">
        <v>2368</v>
      </c>
      <c r="C346" s="5" t="s">
        <v>1776</v>
      </c>
      <c r="D346" s="5" t="s">
        <v>13</v>
      </c>
      <c r="E346" s="6">
        <v>3009</v>
      </c>
      <c r="F346" s="5" t="str">
        <f>HYPERLINK("https://www.google.com/maps/search/?api=1&amp;query=24.79683667,46.7940238", "View Map")</f>
        <v>View Map</v>
      </c>
    </row>
    <row r="347" spans="1:6" x14ac:dyDescent="0.35">
      <c r="A347" s="4" t="s">
        <v>6212</v>
      </c>
      <c r="B347" s="5" t="s">
        <v>2370</v>
      </c>
      <c r="C347" s="5" t="s">
        <v>1843</v>
      </c>
      <c r="D347" s="5" t="s">
        <v>13</v>
      </c>
      <c r="E347" s="6">
        <v>3003</v>
      </c>
      <c r="F347" s="5" t="str">
        <f>HYPERLINK("https://www.google.com/maps/search/?api=1&amp;query=24.77658931,46.57349104", "View Map")</f>
        <v>View Map</v>
      </c>
    </row>
    <row r="348" spans="1:6" x14ac:dyDescent="0.35">
      <c r="A348" s="4" t="s">
        <v>6213</v>
      </c>
      <c r="B348" s="5" t="s">
        <v>2372</v>
      </c>
      <c r="C348" s="5" t="s">
        <v>1776</v>
      </c>
      <c r="D348" s="5" t="s">
        <v>13</v>
      </c>
      <c r="E348" s="6">
        <v>3001</v>
      </c>
      <c r="F348" s="5" t="str">
        <f>HYPERLINK("https://www.google.com/maps/search/?api=1&amp;query=24.76325194,46.61802798", "View Map")</f>
        <v>View Map</v>
      </c>
    </row>
    <row r="349" spans="1:6" x14ac:dyDescent="0.35">
      <c r="A349" s="4" t="s">
        <v>6214</v>
      </c>
      <c r="B349" s="5" t="s">
        <v>2374</v>
      </c>
      <c r="C349" s="5" t="s">
        <v>1776</v>
      </c>
      <c r="D349" s="5" t="s">
        <v>13</v>
      </c>
      <c r="E349" s="6">
        <v>2997</v>
      </c>
      <c r="F349" s="5" t="str">
        <f>HYPERLINK("https://www.google.com/maps/search/?api=1&amp;query=24.57357787,46.75189298", "View Map")</f>
        <v>View Map</v>
      </c>
    </row>
    <row r="350" spans="1:6" x14ac:dyDescent="0.35">
      <c r="A350" s="4" t="s">
        <v>6215</v>
      </c>
      <c r="B350" s="5" t="s">
        <v>2376</v>
      </c>
      <c r="C350" s="5" t="s">
        <v>1776</v>
      </c>
      <c r="D350" s="5" t="s">
        <v>13</v>
      </c>
      <c r="E350" s="6">
        <v>2986</v>
      </c>
      <c r="F350" s="5" t="str">
        <f>HYPERLINK("https://www.google.com/maps/search/?api=1&amp;query=24.76372004,46.82905062", "View Map")</f>
        <v>View Map</v>
      </c>
    </row>
    <row r="351" spans="1:6" x14ac:dyDescent="0.35">
      <c r="A351" s="4" t="s">
        <v>6216</v>
      </c>
      <c r="B351" s="5" t="s">
        <v>2378</v>
      </c>
      <c r="C351" s="5" t="s">
        <v>1776</v>
      </c>
      <c r="D351" s="5" t="s">
        <v>13</v>
      </c>
      <c r="E351" s="6">
        <v>2982</v>
      </c>
      <c r="F351" s="5" t="str">
        <f>HYPERLINK("https://www.google.com/maps/search/?api=1&amp;query=24.7129834,46.79048354", "View Map")</f>
        <v>View Map</v>
      </c>
    </row>
    <row r="352" spans="1:6" x14ac:dyDescent="0.35">
      <c r="A352" s="4" t="s">
        <v>6217</v>
      </c>
      <c r="B352" s="5" t="s">
        <v>2380</v>
      </c>
      <c r="C352" s="5" t="s">
        <v>1776</v>
      </c>
      <c r="D352" s="5" t="s">
        <v>13</v>
      </c>
      <c r="E352" s="6">
        <v>2953</v>
      </c>
      <c r="F352" s="5" t="str">
        <f>HYPERLINK("https://www.google.com/maps/search/?api=1&amp;query=24.60389191,46.68976118", "View Map")</f>
        <v>View Map</v>
      </c>
    </row>
    <row r="353" spans="1:6" x14ac:dyDescent="0.35">
      <c r="A353" s="4" t="s">
        <v>6039</v>
      </c>
      <c r="B353" s="5" t="s">
        <v>2381</v>
      </c>
      <c r="C353" s="5" t="s">
        <v>1776</v>
      </c>
      <c r="D353" s="5" t="s">
        <v>13</v>
      </c>
      <c r="E353" s="6">
        <v>2951</v>
      </c>
      <c r="F353" s="5" t="str">
        <f>HYPERLINK("https://www.google.com/maps/search/?api=1&amp;query=24.56339244,46.59136083", "View Map")</f>
        <v>View Map</v>
      </c>
    </row>
    <row r="354" spans="1:6" x14ac:dyDescent="0.35">
      <c r="A354" s="4" t="s">
        <v>6218</v>
      </c>
      <c r="B354" s="5" t="s">
        <v>2383</v>
      </c>
      <c r="C354" s="5" t="s">
        <v>1776</v>
      </c>
      <c r="D354" s="5" t="s">
        <v>13</v>
      </c>
      <c r="E354" s="6">
        <v>2946</v>
      </c>
      <c r="F354" s="5" t="str">
        <f>HYPERLINK("https://www.google.com/maps/search/?api=1&amp;query=24.72993825,46.65608824", "View Map")</f>
        <v>View Map</v>
      </c>
    </row>
    <row r="355" spans="1:6" x14ac:dyDescent="0.35">
      <c r="A355" s="4" t="s">
        <v>6219</v>
      </c>
      <c r="B355" s="5" t="s">
        <v>2385</v>
      </c>
      <c r="C355" s="5" t="s">
        <v>1776</v>
      </c>
      <c r="D355" s="5" t="s">
        <v>13</v>
      </c>
      <c r="E355" s="6">
        <v>2944</v>
      </c>
      <c r="F355" s="5" t="str">
        <f>HYPERLINK("https://www.google.com/maps/search/?api=1&amp;query=24.80083616,46.64942101", "View Map")</f>
        <v>View Map</v>
      </c>
    </row>
    <row r="356" spans="1:6" x14ac:dyDescent="0.35">
      <c r="A356" s="4" t="s">
        <v>6220</v>
      </c>
      <c r="B356" s="5" t="s">
        <v>2387</v>
      </c>
      <c r="C356" s="5" t="s">
        <v>1776</v>
      </c>
      <c r="D356" s="5" t="s">
        <v>13</v>
      </c>
      <c r="E356" s="6">
        <v>2934</v>
      </c>
      <c r="F356" s="5" t="str">
        <f>HYPERLINK("https://www.google.com/maps/search/?api=1&amp;query=24.58436535,46.76394362", "View Map")</f>
        <v>View Map</v>
      </c>
    </row>
    <row r="357" spans="1:6" x14ac:dyDescent="0.35">
      <c r="A357" s="4" t="s">
        <v>6221</v>
      </c>
      <c r="B357" s="5" t="s">
        <v>2389</v>
      </c>
      <c r="C357" s="5" t="s">
        <v>1776</v>
      </c>
      <c r="D357" s="5" t="s">
        <v>13</v>
      </c>
      <c r="E357" s="6">
        <v>2934</v>
      </c>
      <c r="F357" s="5" t="str">
        <f>HYPERLINK("https://www.google.com/maps/search/?api=1&amp;query=24.69856028,46.78649476", "View Map")</f>
        <v>View Map</v>
      </c>
    </row>
    <row r="358" spans="1:6" x14ac:dyDescent="0.35">
      <c r="A358" s="4" t="s">
        <v>6222</v>
      </c>
      <c r="B358" s="5" t="s">
        <v>2391</v>
      </c>
      <c r="C358" s="5" t="s">
        <v>1776</v>
      </c>
      <c r="D358" s="5" t="s">
        <v>13</v>
      </c>
      <c r="E358" s="6">
        <v>2929</v>
      </c>
      <c r="F358" s="5" t="str">
        <f>HYPERLINK("https://www.google.com/maps/search/?api=1&amp;query=24.73160227,46.69385327", "View Map")</f>
        <v>View Map</v>
      </c>
    </row>
    <row r="359" spans="1:6" x14ac:dyDescent="0.35">
      <c r="A359" s="4" t="s">
        <v>6223</v>
      </c>
      <c r="B359" s="5" t="s">
        <v>2393</v>
      </c>
      <c r="C359" s="5" t="s">
        <v>1776</v>
      </c>
      <c r="D359" s="5" t="s">
        <v>13</v>
      </c>
      <c r="E359" s="6">
        <v>2927</v>
      </c>
      <c r="F359" s="5" t="str">
        <f>HYPERLINK("https://www.google.com/maps/search/?api=1&amp;query=24.68061524,46.7845886", "View Map")</f>
        <v>View Map</v>
      </c>
    </row>
    <row r="360" spans="1:6" x14ac:dyDescent="0.35">
      <c r="A360" s="4" t="s">
        <v>6224</v>
      </c>
      <c r="B360" s="5" t="s">
        <v>2395</v>
      </c>
      <c r="C360" s="5" t="s">
        <v>1776</v>
      </c>
      <c r="D360" s="5" t="s">
        <v>13</v>
      </c>
      <c r="E360" s="6">
        <v>2924</v>
      </c>
      <c r="F360" s="5" t="str">
        <f>HYPERLINK("https://www.google.com/maps/search/?api=1&amp;query=24.73451893,46.65339147", "View Map")</f>
        <v>View Map</v>
      </c>
    </row>
    <row r="361" spans="1:6" x14ac:dyDescent="0.35">
      <c r="A361" s="4" t="s">
        <v>6225</v>
      </c>
      <c r="B361" s="5" t="s">
        <v>2397</v>
      </c>
      <c r="C361" s="5" t="s">
        <v>1776</v>
      </c>
      <c r="D361" s="5" t="s">
        <v>13</v>
      </c>
      <c r="E361" s="6">
        <v>2908</v>
      </c>
      <c r="F361" s="5" t="str">
        <f>HYPERLINK("https://www.google.com/maps/search/?api=1&amp;query=24.60894509,46.74114648", "View Map")</f>
        <v>View Map</v>
      </c>
    </row>
    <row r="362" spans="1:6" x14ac:dyDescent="0.35">
      <c r="A362" s="4" t="s">
        <v>5974</v>
      </c>
      <c r="B362" s="5" t="s">
        <v>2398</v>
      </c>
      <c r="C362" s="5" t="s">
        <v>1776</v>
      </c>
      <c r="D362" s="5" t="s">
        <v>13</v>
      </c>
      <c r="E362" s="6">
        <v>2898</v>
      </c>
      <c r="F362" s="5" t="str">
        <f>HYPERLINK("https://www.google.com/maps/search/?api=1&amp;query=24.83703111,46.77066822", "View Map")</f>
        <v>View Map</v>
      </c>
    </row>
    <row r="363" spans="1:6" x14ac:dyDescent="0.35">
      <c r="A363" s="4" t="s">
        <v>6226</v>
      </c>
      <c r="B363" s="5" t="s">
        <v>2400</v>
      </c>
      <c r="C363" s="5" t="s">
        <v>1776</v>
      </c>
      <c r="D363" s="5" t="s">
        <v>13</v>
      </c>
      <c r="E363" s="6">
        <v>2898</v>
      </c>
      <c r="F363" s="5" t="str">
        <f>HYPERLINK("https://www.google.com/maps/search/?api=1&amp;query=24.73280569,46.66256694", "View Map")</f>
        <v>View Map</v>
      </c>
    </row>
    <row r="364" spans="1:6" x14ac:dyDescent="0.35">
      <c r="A364" s="4" t="s">
        <v>6227</v>
      </c>
      <c r="B364" s="5" t="s">
        <v>2402</v>
      </c>
      <c r="C364" s="5" t="s">
        <v>1776</v>
      </c>
      <c r="D364" s="5" t="s">
        <v>13</v>
      </c>
      <c r="E364" s="6">
        <v>2894</v>
      </c>
      <c r="F364" s="5" t="str">
        <f>HYPERLINK("https://www.google.com/maps/search/?api=1&amp;query=24.67036033,46.79370774", "View Map")</f>
        <v>View Map</v>
      </c>
    </row>
    <row r="365" spans="1:6" x14ac:dyDescent="0.35">
      <c r="A365" s="4" t="s">
        <v>6228</v>
      </c>
      <c r="B365" s="5" t="s">
        <v>2404</v>
      </c>
      <c r="C365" s="5" t="s">
        <v>1776</v>
      </c>
      <c r="D365" s="5" t="s">
        <v>13</v>
      </c>
      <c r="E365" s="6">
        <v>2891</v>
      </c>
      <c r="F365" s="5" t="str">
        <f>HYPERLINK("https://www.google.com/maps/search/?api=1&amp;query=24.67519209,46.79597774", "View Map")</f>
        <v>View Map</v>
      </c>
    </row>
    <row r="366" spans="1:6" x14ac:dyDescent="0.35">
      <c r="A366" s="4" t="s">
        <v>5974</v>
      </c>
      <c r="B366" s="5" t="s">
        <v>2405</v>
      </c>
      <c r="C366" s="5" t="s">
        <v>1776</v>
      </c>
      <c r="D366" s="5" t="s">
        <v>13</v>
      </c>
      <c r="E366" s="6">
        <v>2887</v>
      </c>
      <c r="F366" s="5" t="str">
        <f>HYPERLINK("https://www.google.com/maps/search/?api=1&amp;query=24.82311751,46.77345016", "View Map")</f>
        <v>View Map</v>
      </c>
    </row>
    <row r="367" spans="1:6" x14ac:dyDescent="0.35">
      <c r="A367" s="4" t="s">
        <v>6229</v>
      </c>
      <c r="B367" s="5" t="s">
        <v>2407</v>
      </c>
      <c r="C367" s="5" t="s">
        <v>1776</v>
      </c>
      <c r="D367" s="5" t="s">
        <v>13</v>
      </c>
      <c r="E367" s="6">
        <v>2885</v>
      </c>
      <c r="F367" s="5" t="str">
        <f>HYPERLINK("https://www.google.com/maps/search/?api=1&amp;query=24.6788181,46.82417938", "View Map")</f>
        <v>View Map</v>
      </c>
    </row>
    <row r="368" spans="1:6" x14ac:dyDescent="0.35">
      <c r="A368" s="4" t="s">
        <v>6230</v>
      </c>
      <c r="B368" s="5" t="s">
        <v>2409</v>
      </c>
      <c r="C368" s="5" t="s">
        <v>1776</v>
      </c>
      <c r="D368" s="5" t="s">
        <v>13</v>
      </c>
      <c r="E368" s="6">
        <v>2884</v>
      </c>
      <c r="F368" s="5" t="str">
        <f>HYPERLINK("https://www.google.com/maps/search/?api=1&amp;query=24.59371774,46.76144005", "View Map")</f>
        <v>View Map</v>
      </c>
    </row>
    <row r="369" spans="1:6" x14ac:dyDescent="0.35">
      <c r="A369" s="4" t="s">
        <v>6231</v>
      </c>
      <c r="B369" s="5" t="s">
        <v>2411</v>
      </c>
      <c r="C369" s="5" t="s">
        <v>1776</v>
      </c>
      <c r="D369" s="5" t="s">
        <v>13</v>
      </c>
      <c r="E369" s="6">
        <v>2883</v>
      </c>
      <c r="F369" s="5" t="str">
        <f>HYPERLINK("https://www.google.com/maps/search/?api=1&amp;query=24.77321573,46.64560772", "View Map")</f>
        <v>View Map</v>
      </c>
    </row>
    <row r="370" spans="1:6" x14ac:dyDescent="0.35">
      <c r="A370" s="4" t="s">
        <v>6232</v>
      </c>
      <c r="B370" s="5" t="s">
        <v>2413</v>
      </c>
      <c r="C370" s="5" t="s">
        <v>1776</v>
      </c>
      <c r="D370" s="5" t="s">
        <v>13</v>
      </c>
      <c r="E370" s="6">
        <v>2881</v>
      </c>
      <c r="F370" s="5" t="str">
        <f>HYPERLINK("https://www.google.com/maps/search/?api=1&amp;query=24.81650648,46.77273439", "View Map")</f>
        <v>View Map</v>
      </c>
    </row>
    <row r="371" spans="1:6" x14ac:dyDescent="0.35">
      <c r="A371" s="4" t="s">
        <v>6233</v>
      </c>
      <c r="B371" s="5" t="s">
        <v>2415</v>
      </c>
      <c r="C371" s="5" t="s">
        <v>1776</v>
      </c>
      <c r="D371" s="5" t="s">
        <v>13</v>
      </c>
      <c r="E371" s="6">
        <v>2876</v>
      </c>
      <c r="F371" s="5" t="str">
        <f>HYPERLINK("https://www.google.com/maps/search/?api=1&amp;query=24.7089,46.7492", "View Map")</f>
        <v>View Map</v>
      </c>
    </row>
    <row r="372" spans="1:6" x14ac:dyDescent="0.35">
      <c r="A372" s="4" t="s">
        <v>5974</v>
      </c>
      <c r="B372" s="5" t="s">
        <v>2416</v>
      </c>
      <c r="C372" s="5" t="s">
        <v>1776</v>
      </c>
      <c r="D372" s="5" t="s">
        <v>13</v>
      </c>
      <c r="E372" s="6">
        <v>2875</v>
      </c>
      <c r="F372" s="5" t="str">
        <f>HYPERLINK("https://www.google.com/maps/search/?api=1&amp;query=24.82910127,46.63398993", "View Map")</f>
        <v>View Map</v>
      </c>
    </row>
    <row r="373" spans="1:6" x14ac:dyDescent="0.35">
      <c r="A373" s="4" t="s">
        <v>6234</v>
      </c>
      <c r="B373" s="5" t="s">
        <v>2418</v>
      </c>
      <c r="C373" s="5" t="s">
        <v>1776</v>
      </c>
      <c r="D373" s="5" t="s">
        <v>13</v>
      </c>
      <c r="E373" s="6">
        <v>2870</v>
      </c>
      <c r="F373" s="5" t="str">
        <f>HYPERLINK("https://www.google.com/maps/search/?api=1&amp;query=24.57545013,46.6309083", "View Map")</f>
        <v>View Map</v>
      </c>
    </row>
    <row r="374" spans="1:6" x14ac:dyDescent="0.35">
      <c r="A374" s="4" t="s">
        <v>5972</v>
      </c>
      <c r="B374" s="5" t="s">
        <v>2419</v>
      </c>
      <c r="C374" s="5" t="s">
        <v>1776</v>
      </c>
      <c r="D374" s="5" t="s">
        <v>13</v>
      </c>
      <c r="E374" s="6">
        <v>2858</v>
      </c>
      <c r="F374" s="5" t="str">
        <f>HYPERLINK("https://www.google.com/maps/search/?api=1&amp;query=24.63850329,46.58642776", "View Map")</f>
        <v>View Map</v>
      </c>
    </row>
    <row r="375" spans="1:6" x14ac:dyDescent="0.35">
      <c r="A375" s="4" t="s">
        <v>6060</v>
      </c>
      <c r="B375" s="5" t="s">
        <v>2420</v>
      </c>
      <c r="C375" s="5" t="s">
        <v>1776</v>
      </c>
      <c r="D375" s="5" t="s">
        <v>13</v>
      </c>
      <c r="E375" s="6">
        <v>2849</v>
      </c>
      <c r="F375" s="5" t="str">
        <f>HYPERLINK("https://www.google.com/maps/search/?api=1&amp;query=24.70510695,46.66334575", "View Map")</f>
        <v>View Map</v>
      </c>
    </row>
    <row r="376" spans="1:6" x14ac:dyDescent="0.35">
      <c r="A376" s="4" t="s">
        <v>5974</v>
      </c>
      <c r="B376" s="5" t="s">
        <v>2421</v>
      </c>
      <c r="C376" s="5" t="s">
        <v>1776</v>
      </c>
      <c r="D376" s="5" t="s">
        <v>13</v>
      </c>
      <c r="E376" s="6">
        <v>2845</v>
      </c>
      <c r="F376" s="5" t="str">
        <f>HYPERLINK("https://www.google.com/maps/search/?api=1&amp;query=24.83613636,46.60738876", "View Map")</f>
        <v>View Map</v>
      </c>
    </row>
    <row r="377" spans="1:6" x14ac:dyDescent="0.35">
      <c r="A377" s="4" t="s">
        <v>6235</v>
      </c>
      <c r="B377" s="5" t="s">
        <v>2423</v>
      </c>
      <c r="C377" s="5" t="s">
        <v>1776</v>
      </c>
      <c r="D377" s="5" t="s">
        <v>13</v>
      </c>
      <c r="E377" s="6">
        <v>2839</v>
      </c>
      <c r="F377" s="5" t="str">
        <f>HYPERLINK("https://www.google.com/maps/search/?api=1&amp;query=24.64237849,46.69975979", "View Map")</f>
        <v>View Map</v>
      </c>
    </row>
    <row r="378" spans="1:6" x14ac:dyDescent="0.35">
      <c r="A378" s="4" t="s">
        <v>6236</v>
      </c>
      <c r="B378" s="5" t="s">
        <v>2425</v>
      </c>
      <c r="C378" s="5" t="s">
        <v>1776</v>
      </c>
      <c r="D378" s="5" t="s">
        <v>13</v>
      </c>
      <c r="E378" s="6">
        <v>2822</v>
      </c>
      <c r="F378" s="5" t="str">
        <f>HYPERLINK("https://www.google.com/maps/search/?api=1&amp;query=24.73238448,46.7794887", "View Map")</f>
        <v>View Map</v>
      </c>
    </row>
    <row r="379" spans="1:6" x14ac:dyDescent="0.35">
      <c r="A379" s="4" t="s">
        <v>6134</v>
      </c>
      <c r="B379" s="5" t="s">
        <v>2426</v>
      </c>
      <c r="C379" s="5" t="s">
        <v>1776</v>
      </c>
      <c r="D379" s="5" t="s">
        <v>13</v>
      </c>
      <c r="E379" s="6">
        <v>2821</v>
      </c>
      <c r="F379" s="5" t="str">
        <f>HYPERLINK("https://www.google.com/maps/search/?api=1&amp;query=24.86124226,46.64060644", "View Map")</f>
        <v>View Map</v>
      </c>
    </row>
    <row r="380" spans="1:6" x14ac:dyDescent="0.35">
      <c r="A380" s="4" t="s">
        <v>6237</v>
      </c>
      <c r="B380" s="5" t="s">
        <v>2428</v>
      </c>
      <c r="C380" s="5" t="s">
        <v>1776</v>
      </c>
      <c r="D380" s="5" t="s">
        <v>13</v>
      </c>
      <c r="E380" s="6">
        <v>2819</v>
      </c>
      <c r="F380" s="5" t="str">
        <f>HYPERLINK("https://www.google.com/maps/search/?api=1&amp;query=24.7820034,46.63845924", "View Map")</f>
        <v>View Map</v>
      </c>
    </row>
    <row r="381" spans="1:6" x14ac:dyDescent="0.35">
      <c r="A381" s="4" t="s">
        <v>5974</v>
      </c>
      <c r="B381" s="5" t="s">
        <v>2429</v>
      </c>
      <c r="C381" s="5" t="s">
        <v>1843</v>
      </c>
      <c r="D381" s="5" t="s">
        <v>13</v>
      </c>
      <c r="E381" s="6">
        <v>2810</v>
      </c>
      <c r="F381" s="5" t="str">
        <f>HYPERLINK("https://www.google.com/maps/search/?api=1&amp;query=24.82563064,46.56039825", "View Map")</f>
        <v>View Map</v>
      </c>
    </row>
    <row r="382" spans="1:6" x14ac:dyDescent="0.35">
      <c r="A382" s="4" t="s">
        <v>6238</v>
      </c>
      <c r="B382" s="5" t="s">
        <v>2431</v>
      </c>
      <c r="C382" s="5" t="s">
        <v>1776</v>
      </c>
      <c r="D382" s="5" t="s">
        <v>13</v>
      </c>
      <c r="E382" s="6">
        <v>2805</v>
      </c>
      <c r="F382" s="5" t="str">
        <f>HYPERLINK("https://www.google.com/maps/search/?api=1&amp;query=24.67828762,46.64568013", "View Map")</f>
        <v>View Map</v>
      </c>
    </row>
    <row r="383" spans="1:6" x14ac:dyDescent="0.35">
      <c r="A383" s="4" t="s">
        <v>5978</v>
      </c>
      <c r="B383" s="5" t="s">
        <v>2432</v>
      </c>
      <c r="C383" s="5" t="s">
        <v>1776</v>
      </c>
      <c r="D383" s="5" t="s">
        <v>13</v>
      </c>
      <c r="E383" s="6">
        <v>2804</v>
      </c>
      <c r="F383" s="5" t="str">
        <f>HYPERLINK("https://www.google.com/maps/search/?api=1&amp;query=24.823577,46.734064", "View Map")</f>
        <v>View Map</v>
      </c>
    </row>
    <row r="384" spans="1:6" x14ac:dyDescent="0.35">
      <c r="A384" s="4" t="s">
        <v>6239</v>
      </c>
      <c r="B384" s="5" t="s">
        <v>2434</v>
      </c>
      <c r="C384" s="5" t="s">
        <v>1776</v>
      </c>
      <c r="D384" s="5" t="s">
        <v>13</v>
      </c>
      <c r="E384" s="6">
        <v>2797</v>
      </c>
      <c r="F384" s="5" t="str">
        <f>HYPERLINK("https://www.google.com/maps/search/?api=1&amp;query=24.68403664,46.64290979", "View Map")</f>
        <v>View Map</v>
      </c>
    </row>
    <row r="385" spans="1:6" x14ac:dyDescent="0.35">
      <c r="A385" s="4" t="s">
        <v>5974</v>
      </c>
      <c r="B385" s="5" t="s">
        <v>2435</v>
      </c>
      <c r="C385" s="5" t="s">
        <v>1776</v>
      </c>
      <c r="D385" s="5" t="s">
        <v>13</v>
      </c>
      <c r="E385" s="6">
        <v>2795</v>
      </c>
      <c r="F385" s="5" t="str">
        <f>HYPERLINK("https://www.google.com/maps/search/?api=1&amp;query=24.8224203,46.73908315", "View Map")</f>
        <v>View Map</v>
      </c>
    </row>
    <row r="386" spans="1:6" x14ac:dyDescent="0.35">
      <c r="A386" s="4" t="s">
        <v>6240</v>
      </c>
      <c r="B386" s="5" t="s">
        <v>2437</v>
      </c>
      <c r="C386" s="5" t="s">
        <v>1776</v>
      </c>
      <c r="D386" s="5" t="s">
        <v>13</v>
      </c>
      <c r="E386" s="6">
        <v>2764</v>
      </c>
      <c r="F386" s="5" t="str">
        <f>HYPERLINK("https://www.google.com/maps/search/?api=1&amp;query=24.59053613,46.64161047", "View Map")</f>
        <v>View Map</v>
      </c>
    </row>
    <row r="387" spans="1:6" x14ac:dyDescent="0.35">
      <c r="A387" s="4" t="s">
        <v>6241</v>
      </c>
      <c r="B387" s="5" t="s">
        <v>2439</v>
      </c>
      <c r="C387" s="5" t="s">
        <v>1776</v>
      </c>
      <c r="D387" s="5" t="s">
        <v>13</v>
      </c>
      <c r="E387" s="6">
        <v>2763</v>
      </c>
      <c r="F387" s="5" t="str">
        <f>HYPERLINK("https://www.google.com/maps/search/?api=1&amp;query=24.79919183,46.90345477", "View Map")</f>
        <v>View Map</v>
      </c>
    </row>
    <row r="388" spans="1:6" x14ac:dyDescent="0.35">
      <c r="A388" s="4" t="s">
        <v>6242</v>
      </c>
      <c r="B388" s="5" t="s">
        <v>2441</v>
      </c>
      <c r="C388" s="5" t="s">
        <v>1776</v>
      </c>
      <c r="D388" s="5" t="s">
        <v>13</v>
      </c>
      <c r="E388" s="6">
        <v>2757</v>
      </c>
      <c r="F388" s="5" t="str">
        <f>HYPERLINK("https://www.google.com/maps/search/?api=1&amp;query=24.74580983,46.83531074", "View Map")</f>
        <v>View Map</v>
      </c>
    </row>
    <row r="389" spans="1:6" x14ac:dyDescent="0.35">
      <c r="A389" s="4" t="s">
        <v>6039</v>
      </c>
      <c r="B389" s="5" t="s">
        <v>2442</v>
      </c>
      <c r="C389" s="5" t="s">
        <v>1776</v>
      </c>
      <c r="D389" s="5" t="s">
        <v>13</v>
      </c>
      <c r="E389" s="6">
        <v>2753</v>
      </c>
      <c r="F389" s="5" t="str">
        <f>HYPERLINK("https://www.google.com/maps/search/?api=1&amp;query=24.53586152,46.63978243", "View Map")</f>
        <v>View Map</v>
      </c>
    </row>
    <row r="390" spans="1:6" x14ac:dyDescent="0.35">
      <c r="A390" s="4" t="s">
        <v>6243</v>
      </c>
      <c r="B390" s="5" t="s">
        <v>2444</v>
      </c>
      <c r="C390" s="5" t="s">
        <v>1776</v>
      </c>
      <c r="D390" s="5" t="s">
        <v>13</v>
      </c>
      <c r="E390" s="6">
        <v>2753</v>
      </c>
      <c r="F390" s="5" t="str">
        <f>HYPERLINK("https://www.google.com/maps/search/?api=1&amp;query=24.61242848,46.74421928", "View Map")</f>
        <v>View Map</v>
      </c>
    </row>
    <row r="391" spans="1:6" x14ac:dyDescent="0.35">
      <c r="A391" s="4" t="s">
        <v>6244</v>
      </c>
      <c r="B391" s="5" t="s">
        <v>2446</v>
      </c>
      <c r="C391" s="5" t="s">
        <v>1776</v>
      </c>
      <c r="D391" s="5" t="s">
        <v>13</v>
      </c>
      <c r="E391" s="6">
        <v>2750</v>
      </c>
      <c r="F391" s="5" t="str">
        <f>HYPERLINK("https://www.google.com/maps/search/?api=1&amp;query=24.68959386,46.61181068", "View Map")</f>
        <v>View Map</v>
      </c>
    </row>
    <row r="392" spans="1:6" x14ac:dyDescent="0.35">
      <c r="A392" s="4" t="s">
        <v>5974</v>
      </c>
      <c r="B392" s="5" t="s">
        <v>2447</v>
      </c>
      <c r="C392" s="5" t="s">
        <v>1776</v>
      </c>
      <c r="D392" s="5" t="s">
        <v>13</v>
      </c>
      <c r="E392" s="6">
        <v>2744</v>
      </c>
      <c r="F392" s="5" t="str">
        <f>HYPERLINK("https://www.google.com/maps/search/?api=1&amp;query=24.7251261,46.75134483", "View Map")</f>
        <v>View Map</v>
      </c>
    </row>
    <row r="393" spans="1:6" x14ac:dyDescent="0.35">
      <c r="A393" s="4" t="s">
        <v>6039</v>
      </c>
      <c r="B393" s="5" t="s">
        <v>2448</v>
      </c>
      <c r="C393" s="5" t="s">
        <v>1776</v>
      </c>
      <c r="D393" s="5" t="s">
        <v>13</v>
      </c>
      <c r="E393" s="6">
        <v>2740</v>
      </c>
      <c r="F393" s="5" t="str">
        <f>HYPERLINK("https://www.google.com/maps/search/?api=1&amp;query=24.68303487,46.57086891", "View Map")</f>
        <v>View Map</v>
      </c>
    </row>
    <row r="394" spans="1:6" x14ac:dyDescent="0.35">
      <c r="A394" s="4" t="s">
        <v>6245</v>
      </c>
      <c r="B394" s="5" t="s">
        <v>2450</v>
      </c>
      <c r="C394" s="5" t="s">
        <v>1776</v>
      </c>
      <c r="D394" s="5" t="s">
        <v>13</v>
      </c>
      <c r="E394" s="6">
        <v>2731</v>
      </c>
      <c r="F394" s="5" t="str">
        <f>HYPERLINK("https://www.google.com/maps/search/?api=1&amp;query=24.68401806,46.67712572", "View Map")</f>
        <v>View Map</v>
      </c>
    </row>
    <row r="395" spans="1:6" x14ac:dyDescent="0.35">
      <c r="A395" s="4" t="s">
        <v>6246</v>
      </c>
      <c r="B395" s="5" t="s">
        <v>2452</v>
      </c>
      <c r="C395" s="5" t="s">
        <v>1776</v>
      </c>
      <c r="D395" s="5" t="s">
        <v>13</v>
      </c>
      <c r="E395" s="6">
        <v>2725</v>
      </c>
      <c r="F395" s="5" t="str">
        <f>HYPERLINK("https://www.google.com/maps/search/?api=1&amp;query=24.79818718,46.6509949", "View Map")</f>
        <v>View Map</v>
      </c>
    </row>
    <row r="396" spans="1:6" x14ac:dyDescent="0.35">
      <c r="A396" s="4" t="s">
        <v>6247</v>
      </c>
      <c r="B396" s="5" t="s">
        <v>2454</v>
      </c>
      <c r="C396" s="5" t="s">
        <v>1776</v>
      </c>
      <c r="D396" s="5" t="s">
        <v>13</v>
      </c>
      <c r="E396" s="6">
        <v>2723</v>
      </c>
      <c r="F396" s="5" t="str">
        <f>HYPERLINK("https://www.google.com/maps/search/?api=1&amp;query=24.5976122,46.86700742", "View Map")</f>
        <v>View Map</v>
      </c>
    </row>
    <row r="397" spans="1:6" x14ac:dyDescent="0.35">
      <c r="A397" s="4" t="s">
        <v>6248</v>
      </c>
      <c r="B397" s="5" t="s">
        <v>2456</v>
      </c>
      <c r="C397" s="5" t="s">
        <v>1776</v>
      </c>
      <c r="D397" s="5" t="s">
        <v>13</v>
      </c>
      <c r="E397" s="6">
        <v>2723</v>
      </c>
      <c r="F397" s="5" t="str">
        <f>HYPERLINK("https://www.google.com/maps/search/?api=1&amp;query=24.68586567,46.6778582", "View Map")</f>
        <v>View Map</v>
      </c>
    </row>
    <row r="398" spans="1:6" x14ac:dyDescent="0.35">
      <c r="A398" s="4" t="s">
        <v>5974</v>
      </c>
      <c r="B398" s="5" t="s">
        <v>2457</v>
      </c>
      <c r="C398" s="5" t="s">
        <v>1776</v>
      </c>
      <c r="D398" s="5" t="s">
        <v>13</v>
      </c>
      <c r="E398" s="6">
        <v>2706</v>
      </c>
      <c r="F398" s="5" t="str">
        <f>HYPERLINK("https://www.google.com/maps/search/?api=1&amp;query=24.8034611,46.84307362", "View Map")</f>
        <v>View Map</v>
      </c>
    </row>
    <row r="399" spans="1:6" x14ac:dyDescent="0.35">
      <c r="A399" s="4" t="s">
        <v>6249</v>
      </c>
      <c r="B399" s="5" t="s">
        <v>2459</v>
      </c>
      <c r="C399" s="5" t="s">
        <v>1776</v>
      </c>
      <c r="D399" s="5" t="s">
        <v>13</v>
      </c>
      <c r="E399" s="6">
        <v>2704</v>
      </c>
      <c r="F399" s="5" t="str">
        <f>HYPERLINK("https://www.google.com/maps/search/?api=1&amp;query=24.73790389,46.71423975", "View Map")</f>
        <v>View Map</v>
      </c>
    </row>
    <row r="400" spans="1:6" x14ac:dyDescent="0.35">
      <c r="A400" s="4" t="s">
        <v>6250</v>
      </c>
      <c r="B400" s="5" t="s">
        <v>2461</v>
      </c>
      <c r="C400" s="5" t="s">
        <v>1776</v>
      </c>
      <c r="D400" s="5" t="s">
        <v>13</v>
      </c>
      <c r="E400" s="6">
        <v>2700</v>
      </c>
      <c r="F400" s="5" t="str">
        <f>HYPERLINK("https://www.google.com/maps/search/?api=1&amp;query=24.69716626,46.75205603", "View Map")</f>
        <v>View Map</v>
      </c>
    </row>
    <row r="401" spans="1:6" x14ac:dyDescent="0.35">
      <c r="A401" s="4" t="s">
        <v>6251</v>
      </c>
      <c r="B401" s="5" t="s">
        <v>2463</v>
      </c>
      <c r="C401" s="5" t="s">
        <v>1776</v>
      </c>
      <c r="D401" s="5" t="s">
        <v>13</v>
      </c>
      <c r="E401" s="6">
        <v>2699</v>
      </c>
      <c r="F401" s="5" t="str">
        <f>HYPERLINK("https://www.google.com/maps/search/?api=1&amp;query=24.78505252,46.75259701", "View Map")</f>
        <v>View Map</v>
      </c>
    </row>
    <row r="402" spans="1:6" x14ac:dyDescent="0.35">
      <c r="A402" s="4" t="s">
        <v>5978</v>
      </c>
      <c r="B402" s="5" t="s">
        <v>2464</v>
      </c>
      <c r="C402" s="5" t="s">
        <v>1776</v>
      </c>
      <c r="D402" s="5" t="s">
        <v>13</v>
      </c>
      <c r="E402" s="6">
        <v>2694</v>
      </c>
      <c r="F402" s="5" t="str">
        <f>HYPERLINK("https://www.google.com/maps/search/?api=1&amp;query=24.82971391,46.73196701", "View Map")</f>
        <v>View Map</v>
      </c>
    </row>
    <row r="403" spans="1:6" x14ac:dyDescent="0.35">
      <c r="A403" s="4" t="s">
        <v>6252</v>
      </c>
      <c r="B403" s="5" t="s">
        <v>2466</v>
      </c>
      <c r="C403" s="5" t="s">
        <v>1776</v>
      </c>
      <c r="D403" s="5" t="s">
        <v>13</v>
      </c>
      <c r="E403" s="6">
        <v>2692</v>
      </c>
      <c r="F403" s="5" t="str">
        <f>HYPERLINK("https://www.google.com/maps/search/?api=1&amp;query=24.58331852,46.61143754", "View Map")</f>
        <v>View Map</v>
      </c>
    </row>
    <row r="404" spans="1:6" x14ac:dyDescent="0.35">
      <c r="A404" s="4" t="s">
        <v>6039</v>
      </c>
      <c r="B404" s="5" t="s">
        <v>2467</v>
      </c>
      <c r="C404" s="5" t="s">
        <v>1776</v>
      </c>
      <c r="D404" s="5" t="s">
        <v>13</v>
      </c>
      <c r="E404" s="6">
        <v>2691</v>
      </c>
      <c r="F404" s="5" t="str">
        <f>HYPERLINK("https://www.google.com/maps/search/?api=1&amp;query=24.56314833,46.59821793", "View Map")</f>
        <v>View Map</v>
      </c>
    </row>
    <row r="405" spans="1:6" x14ac:dyDescent="0.35">
      <c r="A405" s="4" t="s">
        <v>5974</v>
      </c>
      <c r="B405" s="5" t="s">
        <v>2468</v>
      </c>
      <c r="C405" s="5" t="s">
        <v>1776</v>
      </c>
      <c r="D405" s="5" t="s">
        <v>13</v>
      </c>
      <c r="E405" s="6">
        <v>2689</v>
      </c>
      <c r="F405" s="5" t="str">
        <f>HYPERLINK("https://www.google.com/maps/search/?api=1&amp;query=24.85522799,46.62433144", "View Map")</f>
        <v>View Map</v>
      </c>
    </row>
    <row r="406" spans="1:6" x14ac:dyDescent="0.35">
      <c r="A406" s="4" t="s">
        <v>6253</v>
      </c>
      <c r="B406" s="5" t="s">
        <v>2470</v>
      </c>
      <c r="C406" s="5" t="s">
        <v>1776</v>
      </c>
      <c r="D406" s="5" t="s">
        <v>13</v>
      </c>
      <c r="E406" s="6">
        <v>2685</v>
      </c>
      <c r="F406" s="5" t="str">
        <f>HYPERLINK("https://www.google.com/maps/search/?api=1&amp;query=24.79958821,46.63371581", "View Map")</f>
        <v>View Map</v>
      </c>
    </row>
    <row r="407" spans="1:6" x14ac:dyDescent="0.35">
      <c r="A407" s="4" t="s">
        <v>6254</v>
      </c>
      <c r="B407" s="5" t="s">
        <v>2472</v>
      </c>
      <c r="C407" s="5" t="s">
        <v>1776</v>
      </c>
      <c r="D407" s="5" t="s">
        <v>13</v>
      </c>
      <c r="E407" s="6">
        <v>2682</v>
      </c>
      <c r="F407" s="5" t="str">
        <f>HYPERLINK("https://www.google.com/maps/search/?api=1&amp;query=24.67875292,46.70016142", "View Map")</f>
        <v>View Map</v>
      </c>
    </row>
    <row r="408" spans="1:6" x14ac:dyDescent="0.35">
      <c r="A408" s="4" t="s">
        <v>6039</v>
      </c>
      <c r="B408" s="5" t="s">
        <v>2473</v>
      </c>
      <c r="C408" s="5" t="s">
        <v>1776</v>
      </c>
      <c r="D408" s="5" t="s">
        <v>13</v>
      </c>
      <c r="E408" s="6">
        <v>2682</v>
      </c>
      <c r="F408" s="5" t="str">
        <f>HYPERLINK("https://www.google.com/maps/search/?api=1&amp;query=24.55106877,46.67705814", "View Map")</f>
        <v>View Map</v>
      </c>
    </row>
    <row r="409" spans="1:6" x14ac:dyDescent="0.35">
      <c r="A409" s="4" t="s">
        <v>6255</v>
      </c>
      <c r="B409" s="5" t="s">
        <v>2475</v>
      </c>
      <c r="C409" s="5" t="s">
        <v>1776</v>
      </c>
      <c r="D409" s="5" t="s">
        <v>13</v>
      </c>
      <c r="E409" s="6">
        <v>2675</v>
      </c>
      <c r="F409" s="5" t="str">
        <f>HYPERLINK("https://www.google.com/maps/search/?api=1&amp;query=24.7915941,46.65051766", "View Map")</f>
        <v>View Map</v>
      </c>
    </row>
    <row r="410" spans="1:6" x14ac:dyDescent="0.35">
      <c r="A410" s="4" t="s">
        <v>6256</v>
      </c>
      <c r="B410" s="5" t="s">
        <v>2476</v>
      </c>
      <c r="C410" s="5" t="s">
        <v>1776</v>
      </c>
      <c r="D410" s="5" t="s">
        <v>13</v>
      </c>
      <c r="E410" s="6">
        <v>2671</v>
      </c>
      <c r="F410" s="5" t="str">
        <f>HYPERLINK("https://www.google.com/maps/search/?api=1&amp;query=24.58589189,46.78317575", "View Map")</f>
        <v>View Map</v>
      </c>
    </row>
    <row r="411" spans="1:6" x14ac:dyDescent="0.35">
      <c r="A411" s="4" t="s">
        <v>6039</v>
      </c>
      <c r="B411" s="5" t="s">
        <v>2477</v>
      </c>
      <c r="C411" s="5" t="s">
        <v>1776</v>
      </c>
      <c r="D411" s="5" t="s">
        <v>13</v>
      </c>
      <c r="E411" s="6">
        <v>2671</v>
      </c>
      <c r="F411" s="5" t="str">
        <f>HYPERLINK("https://www.google.com/maps/search/?api=1&amp;query=24.53493221,46.71747365", "View Map")</f>
        <v>View Map</v>
      </c>
    </row>
    <row r="412" spans="1:6" x14ac:dyDescent="0.35">
      <c r="A412" s="4" t="s">
        <v>6257</v>
      </c>
      <c r="B412" s="5" t="s">
        <v>2479</v>
      </c>
      <c r="C412" s="5" t="s">
        <v>1776</v>
      </c>
      <c r="D412" s="5" t="s">
        <v>13</v>
      </c>
      <c r="E412" s="6">
        <v>2670</v>
      </c>
      <c r="F412" s="5" t="str">
        <f>HYPERLINK("https://www.google.com/maps/search/?api=1&amp;query=24.80595262,46.60508968", "View Map")</f>
        <v>View Map</v>
      </c>
    </row>
    <row r="413" spans="1:6" x14ac:dyDescent="0.35">
      <c r="A413" s="4" t="s">
        <v>6052</v>
      </c>
      <c r="B413" s="5" t="s">
        <v>2480</v>
      </c>
      <c r="C413" s="5" t="s">
        <v>1776</v>
      </c>
      <c r="D413" s="5" t="s">
        <v>13</v>
      </c>
      <c r="E413" s="6">
        <v>2662</v>
      </c>
      <c r="F413" s="5" t="str">
        <f>HYPERLINK("https://www.google.com/maps/search/?api=1&amp;query=24.76531804,46.7630721", "View Map")</f>
        <v>View Map</v>
      </c>
    </row>
    <row r="414" spans="1:6" x14ac:dyDescent="0.35">
      <c r="A414" s="4" t="s">
        <v>5972</v>
      </c>
      <c r="B414" s="5" t="s">
        <v>2481</v>
      </c>
      <c r="C414" s="5" t="s">
        <v>1843</v>
      </c>
      <c r="D414" s="5" t="s">
        <v>13</v>
      </c>
      <c r="E414" s="6">
        <v>2652</v>
      </c>
      <c r="F414" s="5" t="str">
        <f>HYPERLINK("https://www.google.com/maps/search/?api=1&amp;query=24.7731,46.5667", "View Map")</f>
        <v>View Map</v>
      </c>
    </row>
    <row r="415" spans="1:6" x14ac:dyDescent="0.35">
      <c r="A415" s="4" t="s">
        <v>6258</v>
      </c>
      <c r="B415" s="5" t="s">
        <v>2483</v>
      </c>
      <c r="C415" s="5" t="s">
        <v>1776</v>
      </c>
      <c r="D415" s="5" t="s">
        <v>13</v>
      </c>
      <c r="E415" s="6">
        <v>2648</v>
      </c>
      <c r="F415" s="5" t="str">
        <f>HYPERLINK("https://www.google.com/maps/search/?api=1&amp;query=24.601876,46.648235", "View Map")</f>
        <v>View Map</v>
      </c>
    </row>
    <row r="416" spans="1:6" x14ac:dyDescent="0.35">
      <c r="A416" s="4" t="s">
        <v>6259</v>
      </c>
      <c r="B416" s="5" t="s">
        <v>2485</v>
      </c>
      <c r="C416" s="5" t="s">
        <v>1776</v>
      </c>
      <c r="D416" s="5" t="s">
        <v>13</v>
      </c>
      <c r="E416" s="6">
        <v>2646</v>
      </c>
      <c r="F416" s="5" t="str">
        <f>HYPERLINK("https://www.google.com/maps/search/?api=1&amp;query=24.75528654,46.80413415", "View Map")</f>
        <v>View Map</v>
      </c>
    </row>
    <row r="417" spans="1:6" x14ac:dyDescent="0.35">
      <c r="A417" s="4" t="s">
        <v>6260</v>
      </c>
      <c r="B417" s="5" t="s">
        <v>2487</v>
      </c>
      <c r="C417" s="5" t="s">
        <v>1776</v>
      </c>
      <c r="D417" s="5" t="s">
        <v>13</v>
      </c>
      <c r="E417" s="6">
        <v>2645</v>
      </c>
      <c r="F417" s="5" t="str">
        <f>HYPERLINK("https://www.google.com/maps/search/?api=1&amp;query=24.71303789,46.81407533", "View Map")</f>
        <v>View Map</v>
      </c>
    </row>
    <row r="418" spans="1:6" x14ac:dyDescent="0.35">
      <c r="A418" s="4" t="s">
        <v>6261</v>
      </c>
      <c r="B418" s="5" t="s">
        <v>2489</v>
      </c>
      <c r="C418" s="5" t="s">
        <v>1776</v>
      </c>
      <c r="D418" s="5" t="s">
        <v>13</v>
      </c>
      <c r="E418" s="6">
        <v>2638</v>
      </c>
      <c r="F418" s="5" t="str">
        <f>HYPERLINK("https://www.google.com/maps/search/?api=1&amp;query=24.7014662,46.64439781", "View Map")</f>
        <v>View Map</v>
      </c>
    </row>
    <row r="419" spans="1:6" x14ac:dyDescent="0.35">
      <c r="A419" s="4" t="s">
        <v>6262</v>
      </c>
      <c r="B419" s="5" t="s">
        <v>2491</v>
      </c>
      <c r="C419" s="5" t="s">
        <v>1776</v>
      </c>
      <c r="D419" s="5" t="s">
        <v>13</v>
      </c>
      <c r="E419" s="6">
        <v>2633</v>
      </c>
      <c r="F419" s="5" t="str">
        <f>HYPERLINK("https://www.google.com/maps/search/?api=1&amp;query=24.76381798,46.66711131", "View Map")</f>
        <v>View Map</v>
      </c>
    </row>
    <row r="420" spans="1:6" x14ac:dyDescent="0.35">
      <c r="A420" s="4" t="s">
        <v>6263</v>
      </c>
      <c r="B420" s="5" t="s">
        <v>2493</v>
      </c>
      <c r="C420" s="5" t="s">
        <v>1776</v>
      </c>
      <c r="D420" s="5" t="s">
        <v>13</v>
      </c>
      <c r="E420" s="6">
        <v>2627</v>
      </c>
      <c r="F420" s="5" t="str">
        <f>HYPERLINK("https://www.google.com/maps/search/?api=1&amp;query=24.71378224,46.66415674", "View Map")</f>
        <v>View Map</v>
      </c>
    </row>
    <row r="421" spans="1:6" x14ac:dyDescent="0.35">
      <c r="A421" s="4" t="s">
        <v>6264</v>
      </c>
      <c r="B421" s="5" t="s">
        <v>2495</v>
      </c>
      <c r="C421" s="5" t="s">
        <v>1776</v>
      </c>
      <c r="D421" s="5" t="s">
        <v>13</v>
      </c>
      <c r="E421" s="6">
        <v>2625</v>
      </c>
      <c r="F421" s="5" t="str">
        <f>HYPERLINK("https://www.google.com/maps/search/?api=1&amp;query=24.65104427,46.81195515", "View Map")</f>
        <v>View Map</v>
      </c>
    </row>
    <row r="422" spans="1:6" x14ac:dyDescent="0.35">
      <c r="A422" s="4" t="s">
        <v>6265</v>
      </c>
      <c r="B422" s="5" t="s">
        <v>2497</v>
      </c>
      <c r="C422" s="5" t="s">
        <v>1776</v>
      </c>
      <c r="D422" s="5" t="s">
        <v>13</v>
      </c>
      <c r="E422" s="6">
        <v>2622</v>
      </c>
      <c r="F422" s="5" t="str">
        <f>HYPERLINK("https://www.google.com/maps/search/?api=1&amp;query=24.48979644,46.61598214", "View Map")</f>
        <v>View Map</v>
      </c>
    </row>
    <row r="423" spans="1:6" x14ac:dyDescent="0.35">
      <c r="A423" s="4" t="s">
        <v>6266</v>
      </c>
      <c r="B423" s="5" t="s">
        <v>2499</v>
      </c>
      <c r="C423" s="5" t="s">
        <v>1776</v>
      </c>
      <c r="D423" s="5" t="s">
        <v>13</v>
      </c>
      <c r="E423" s="6">
        <v>2622</v>
      </c>
      <c r="F423" s="5" t="str">
        <f>HYPERLINK("https://www.google.com/maps/search/?api=1&amp;query=24.72666641,46.85361565", "View Map")</f>
        <v>View Map</v>
      </c>
    </row>
    <row r="424" spans="1:6" x14ac:dyDescent="0.35">
      <c r="A424" s="4" t="s">
        <v>6267</v>
      </c>
      <c r="B424" s="5" t="s">
        <v>2501</v>
      </c>
      <c r="C424" s="5" t="s">
        <v>1776</v>
      </c>
      <c r="D424" s="5" t="s">
        <v>13</v>
      </c>
      <c r="E424" s="6">
        <v>2616</v>
      </c>
      <c r="F424" s="5" t="str">
        <f>HYPERLINK("https://www.google.com/maps/search/?api=1&amp;query=24.69234504,46.80164413", "View Map")</f>
        <v>View Map</v>
      </c>
    </row>
    <row r="425" spans="1:6" x14ac:dyDescent="0.35">
      <c r="A425" s="4" t="s">
        <v>6113</v>
      </c>
      <c r="B425" s="5" t="s">
        <v>2502</v>
      </c>
      <c r="C425" s="5" t="s">
        <v>1776</v>
      </c>
      <c r="D425" s="5" t="s">
        <v>13</v>
      </c>
      <c r="E425" s="6">
        <v>2608</v>
      </c>
      <c r="F425" s="5" t="str">
        <f>HYPERLINK("https://www.google.com/maps/search/?api=1&amp;query=24.80349,46.80487", "View Map")</f>
        <v>View Map</v>
      </c>
    </row>
    <row r="426" spans="1:6" x14ac:dyDescent="0.35">
      <c r="A426" s="4" t="s">
        <v>6268</v>
      </c>
      <c r="B426" s="5" t="s">
        <v>2504</v>
      </c>
      <c r="C426" s="5" t="s">
        <v>1776</v>
      </c>
      <c r="D426" s="5" t="s">
        <v>13</v>
      </c>
      <c r="E426" s="6">
        <v>2603</v>
      </c>
      <c r="F426" s="5" t="str">
        <f>HYPERLINK("https://www.google.com/maps/search/?api=1&amp;query=24.73660421,46.76481192", "View Map")</f>
        <v>View Map</v>
      </c>
    </row>
    <row r="427" spans="1:6" x14ac:dyDescent="0.35">
      <c r="A427" s="4" t="s">
        <v>5978</v>
      </c>
      <c r="B427" s="5" t="s">
        <v>2505</v>
      </c>
      <c r="C427" s="5" t="s">
        <v>1776</v>
      </c>
      <c r="D427" s="5" t="s">
        <v>13</v>
      </c>
      <c r="E427" s="6">
        <v>2595</v>
      </c>
      <c r="F427" s="5" t="str">
        <f>HYPERLINK("https://www.google.com/maps/search/?api=1&amp;query=24.8277018,46.78878921", "View Map")</f>
        <v>View Map</v>
      </c>
    </row>
    <row r="428" spans="1:6" x14ac:dyDescent="0.35">
      <c r="A428" s="4" t="s">
        <v>5978</v>
      </c>
      <c r="B428" s="5" t="s">
        <v>2506</v>
      </c>
      <c r="C428" s="5" t="s">
        <v>1776</v>
      </c>
      <c r="D428" s="5" t="s">
        <v>13</v>
      </c>
      <c r="E428" s="6">
        <v>2591</v>
      </c>
      <c r="F428" s="5" t="str">
        <f>HYPERLINK("https://www.google.com/maps/search/?api=1&amp;query=24.83112837,46.6431487", "View Map")</f>
        <v>View Map</v>
      </c>
    </row>
    <row r="429" spans="1:6" x14ac:dyDescent="0.35">
      <c r="A429" s="4" t="s">
        <v>6269</v>
      </c>
      <c r="B429" s="5" t="s">
        <v>2508</v>
      </c>
      <c r="C429" s="5" t="s">
        <v>1776</v>
      </c>
      <c r="D429" s="5" t="s">
        <v>13</v>
      </c>
      <c r="E429" s="6">
        <v>2590</v>
      </c>
      <c r="F429" s="5" t="str">
        <f>HYPERLINK("https://www.google.com/maps/search/?api=1&amp;query=24.71462786,46.80416291", "View Map")</f>
        <v>View Map</v>
      </c>
    </row>
    <row r="430" spans="1:6" x14ac:dyDescent="0.35">
      <c r="A430" s="4" t="s">
        <v>6270</v>
      </c>
      <c r="B430" s="5" t="s">
        <v>2510</v>
      </c>
      <c r="C430" s="5" t="s">
        <v>1776</v>
      </c>
      <c r="D430" s="5" t="s">
        <v>9</v>
      </c>
      <c r="E430" s="6">
        <v>2588</v>
      </c>
      <c r="F430" s="5" t="str">
        <f>HYPERLINK("https://www.google.com/maps/search/?api=1&amp;query=24.91030407,46.80917563", "View Map")</f>
        <v>View Map</v>
      </c>
    </row>
    <row r="431" spans="1:6" x14ac:dyDescent="0.35">
      <c r="A431" s="4" t="s">
        <v>5974</v>
      </c>
      <c r="B431" s="5" t="s">
        <v>2511</v>
      </c>
      <c r="C431" s="5" t="s">
        <v>1776</v>
      </c>
      <c r="D431" s="5" t="s">
        <v>13</v>
      </c>
      <c r="E431" s="6">
        <v>2587</v>
      </c>
      <c r="F431" s="5" t="str">
        <f>HYPERLINK("https://www.google.com/maps/search/?api=1&amp;query=24.85509467,46.65538219", "View Map")</f>
        <v>View Map</v>
      </c>
    </row>
    <row r="432" spans="1:6" x14ac:dyDescent="0.35">
      <c r="A432" s="4" t="s">
        <v>6271</v>
      </c>
      <c r="B432" s="5" t="s">
        <v>2513</v>
      </c>
      <c r="C432" s="5" t="s">
        <v>1776</v>
      </c>
      <c r="D432" s="5" t="s">
        <v>13</v>
      </c>
      <c r="E432" s="6">
        <v>2585</v>
      </c>
      <c r="F432" s="5" t="str">
        <f>HYPERLINK("https://www.google.com/maps/search/?api=1&amp;query=24.70428071,46.67103887", "View Map")</f>
        <v>View Map</v>
      </c>
    </row>
    <row r="433" spans="1:6" x14ac:dyDescent="0.35">
      <c r="A433" s="4" t="s">
        <v>6272</v>
      </c>
      <c r="B433" s="5" t="s">
        <v>2515</v>
      </c>
      <c r="C433" s="5" t="s">
        <v>1776</v>
      </c>
      <c r="D433" s="5" t="s">
        <v>13</v>
      </c>
      <c r="E433" s="6">
        <v>2583</v>
      </c>
      <c r="F433" s="5" t="str">
        <f>HYPERLINK("https://www.google.com/maps/search/?api=1&amp;query=24.70084072,46.80484557", "View Map")</f>
        <v>View Map</v>
      </c>
    </row>
    <row r="434" spans="1:6" x14ac:dyDescent="0.35">
      <c r="A434" s="4" t="s">
        <v>5974</v>
      </c>
      <c r="B434" s="5" t="s">
        <v>2516</v>
      </c>
      <c r="C434" s="5" t="s">
        <v>1776</v>
      </c>
      <c r="D434" s="5" t="s">
        <v>13</v>
      </c>
      <c r="E434" s="6">
        <v>2582</v>
      </c>
      <c r="F434" s="5" t="str">
        <f>HYPERLINK("https://www.google.com/maps/search/?api=1&amp;query=0.0,0.0", "View Map")</f>
        <v>View Map</v>
      </c>
    </row>
    <row r="435" spans="1:6" x14ac:dyDescent="0.35">
      <c r="A435" s="4" t="s">
        <v>5974</v>
      </c>
      <c r="B435" s="5" t="s">
        <v>2517</v>
      </c>
      <c r="C435" s="5" t="s">
        <v>1776</v>
      </c>
      <c r="D435" s="5" t="s">
        <v>13</v>
      </c>
      <c r="E435" s="6">
        <v>2579</v>
      </c>
      <c r="F435" s="5" t="str">
        <f>HYPERLINK("https://www.google.com/maps/search/?api=1&amp;query=24.84607118,46.6320328", "View Map")</f>
        <v>View Map</v>
      </c>
    </row>
    <row r="436" spans="1:6" x14ac:dyDescent="0.35">
      <c r="A436" s="4" t="s">
        <v>5974</v>
      </c>
      <c r="B436" s="5" t="s">
        <v>2518</v>
      </c>
      <c r="C436" s="5" t="s">
        <v>1776</v>
      </c>
      <c r="D436" s="5" t="s">
        <v>13</v>
      </c>
      <c r="E436" s="6">
        <v>2571</v>
      </c>
      <c r="F436" s="5" t="str">
        <f>HYPERLINK("https://www.google.com/maps/search/?api=1&amp;query=0.0,0.0", "View Map")</f>
        <v>View Map</v>
      </c>
    </row>
    <row r="437" spans="1:6" x14ac:dyDescent="0.35">
      <c r="A437" s="4" t="s">
        <v>6090</v>
      </c>
      <c r="B437" s="5" t="s">
        <v>2519</v>
      </c>
      <c r="C437" s="5" t="s">
        <v>1776</v>
      </c>
      <c r="D437" s="5" t="s">
        <v>13</v>
      </c>
      <c r="E437" s="6">
        <v>2570</v>
      </c>
      <c r="F437" s="5" t="str">
        <f>HYPERLINK("https://www.google.com/maps/search/?api=1&amp;query=24.63679652,46.75307336", "View Map")</f>
        <v>View Map</v>
      </c>
    </row>
    <row r="438" spans="1:6" x14ac:dyDescent="0.35">
      <c r="A438" s="4" t="s">
        <v>6273</v>
      </c>
      <c r="B438" s="5" t="s">
        <v>2521</v>
      </c>
      <c r="C438" s="5" t="s">
        <v>1776</v>
      </c>
      <c r="D438" s="5" t="s">
        <v>13</v>
      </c>
      <c r="E438" s="6">
        <v>2553</v>
      </c>
      <c r="F438" s="5" t="str">
        <f>HYPERLINK("https://www.google.com/maps/search/?api=1&amp;query=24.79288283,46.64229655", "View Map")</f>
        <v>View Map</v>
      </c>
    </row>
    <row r="439" spans="1:6" x14ac:dyDescent="0.35">
      <c r="A439" s="4" t="s">
        <v>6274</v>
      </c>
      <c r="B439" s="5" t="s">
        <v>2523</v>
      </c>
      <c r="C439" s="5" t="s">
        <v>1776</v>
      </c>
      <c r="D439" s="5" t="s">
        <v>13</v>
      </c>
      <c r="E439" s="6">
        <v>2551</v>
      </c>
      <c r="F439" s="5" t="str">
        <f>HYPERLINK("https://www.google.com/maps/search/?api=1&amp;query=24.5919537,46.7471375", "View Map")</f>
        <v>View Map</v>
      </c>
    </row>
    <row r="440" spans="1:6" x14ac:dyDescent="0.35">
      <c r="A440" s="4" t="s">
        <v>6275</v>
      </c>
      <c r="B440" s="5" t="s">
        <v>2525</v>
      </c>
      <c r="C440" s="5" t="s">
        <v>1776</v>
      </c>
      <c r="D440" s="5" t="s">
        <v>13</v>
      </c>
      <c r="E440" s="6">
        <v>2550</v>
      </c>
      <c r="F440" s="5" t="str">
        <f>HYPERLINK("https://www.google.com/maps/search/?api=1&amp;query=24.74282844,46.76123553", "View Map")</f>
        <v>View Map</v>
      </c>
    </row>
    <row r="441" spans="1:6" x14ac:dyDescent="0.35">
      <c r="A441" s="4" t="s">
        <v>6276</v>
      </c>
      <c r="B441" s="5" t="s">
        <v>2527</v>
      </c>
      <c r="C441" s="5" t="s">
        <v>1776</v>
      </c>
      <c r="D441" s="5" t="s">
        <v>13</v>
      </c>
      <c r="E441" s="6">
        <v>2546</v>
      </c>
      <c r="F441" s="5" t="str">
        <f>HYPERLINK("https://www.google.com/maps/search/?api=1&amp;query=24.68996777,46.79271818", "View Map")</f>
        <v>View Map</v>
      </c>
    </row>
    <row r="442" spans="1:6" x14ac:dyDescent="0.35">
      <c r="A442" s="4" t="s">
        <v>5974</v>
      </c>
      <c r="B442" s="5" t="s">
        <v>2528</v>
      </c>
      <c r="C442" s="5" t="s">
        <v>1776</v>
      </c>
      <c r="D442" s="5" t="s">
        <v>13</v>
      </c>
      <c r="E442" s="6">
        <v>2544</v>
      </c>
      <c r="F442" s="5" t="str">
        <f>HYPERLINK("https://www.google.com/maps/search/?api=1&amp;query=24.8259204,46.58849274", "View Map")</f>
        <v>View Map</v>
      </c>
    </row>
    <row r="443" spans="1:6" x14ac:dyDescent="0.35">
      <c r="A443" s="4" t="s">
        <v>6277</v>
      </c>
      <c r="B443" s="5" t="s">
        <v>2530</v>
      </c>
      <c r="C443" s="5" t="s">
        <v>1776</v>
      </c>
      <c r="D443" s="5" t="s">
        <v>13</v>
      </c>
      <c r="E443" s="6">
        <v>2542</v>
      </c>
      <c r="F443" s="5" t="str">
        <f>HYPERLINK("https://www.google.com/maps/search/?api=1&amp;query=24.63565497,46.73478913", "View Map")</f>
        <v>View Map</v>
      </c>
    </row>
    <row r="444" spans="1:6" x14ac:dyDescent="0.35">
      <c r="A444" s="4" t="s">
        <v>6278</v>
      </c>
      <c r="B444" s="5" t="s">
        <v>2532</v>
      </c>
      <c r="C444" s="5" t="s">
        <v>1776</v>
      </c>
      <c r="D444" s="5" t="s">
        <v>13</v>
      </c>
      <c r="E444" s="6">
        <v>2536</v>
      </c>
      <c r="F444" s="5" t="str">
        <f>HYPERLINK("https://www.google.com/maps/search/?api=1&amp;query=24.69872224,46.65581211", "View Map")</f>
        <v>View Map</v>
      </c>
    </row>
    <row r="445" spans="1:6" x14ac:dyDescent="0.35">
      <c r="A445" s="4" t="s">
        <v>6279</v>
      </c>
      <c r="B445" s="5" t="s">
        <v>2534</v>
      </c>
      <c r="C445" s="5" t="s">
        <v>1776</v>
      </c>
      <c r="D445" s="5" t="s">
        <v>13</v>
      </c>
      <c r="E445" s="6">
        <v>2529</v>
      </c>
      <c r="F445" s="5" t="str">
        <f>HYPERLINK("https://www.google.com/maps/search/?api=1&amp;query=24.76779662,46.63119513", "View Map")</f>
        <v>View Map</v>
      </c>
    </row>
    <row r="446" spans="1:6" x14ac:dyDescent="0.35">
      <c r="A446" s="4" t="s">
        <v>6280</v>
      </c>
      <c r="B446" s="5" t="s">
        <v>2536</v>
      </c>
      <c r="C446" s="5" t="s">
        <v>1776</v>
      </c>
      <c r="D446" s="5" t="s">
        <v>13</v>
      </c>
      <c r="E446" s="6">
        <v>2524</v>
      </c>
      <c r="F446" s="5" t="str">
        <f>HYPERLINK("https://www.google.com/maps/search/?api=1&amp;query=24.68219483,46.79184304", "View Map")</f>
        <v>View Map</v>
      </c>
    </row>
    <row r="447" spans="1:6" x14ac:dyDescent="0.35">
      <c r="A447" s="4" t="s">
        <v>6281</v>
      </c>
      <c r="B447" s="5" t="s">
        <v>2538</v>
      </c>
      <c r="C447" s="5" t="s">
        <v>1776</v>
      </c>
      <c r="D447" s="5" t="s">
        <v>13</v>
      </c>
      <c r="E447" s="6">
        <v>2522</v>
      </c>
      <c r="F447" s="5" t="str">
        <f>HYPERLINK("https://www.google.com/maps/search/?api=1&amp;query=24.74151075,46.82299896", "View Map")</f>
        <v>View Map</v>
      </c>
    </row>
    <row r="448" spans="1:6" x14ac:dyDescent="0.35">
      <c r="A448" s="4" t="s">
        <v>5974</v>
      </c>
      <c r="B448" s="5" t="s">
        <v>2539</v>
      </c>
      <c r="C448" s="5" t="s">
        <v>1776</v>
      </c>
      <c r="D448" s="5" t="s">
        <v>9</v>
      </c>
      <c r="E448" s="6">
        <v>2508</v>
      </c>
      <c r="F448" s="5" t="str">
        <f>HYPERLINK("https://www.google.com/maps/search/?api=1&amp;query=24.82519516,46.57665367", "View Map")</f>
        <v>View Map</v>
      </c>
    </row>
    <row r="449" spans="1:6" x14ac:dyDescent="0.35">
      <c r="A449" s="4" t="s">
        <v>6052</v>
      </c>
      <c r="B449" s="5" t="s">
        <v>2540</v>
      </c>
      <c r="C449" s="5" t="s">
        <v>1776</v>
      </c>
      <c r="D449" s="5" t="s">
        <v>13</v>
      </c>
      <c r="E449" s="6">
        <v>2508</v>
      </c>
      <c r="F449" s="5" t="str">
        <f>HYPERLINK("https://www.google.com/maps/search/?api=1&amp;query=24.7625263,46.79104833", "View Map")</f>
        <v>View Map</v>
      </c>
    </row>
    <row r="450" spans="1:6" x14ac:dyDescent="0.35">
      <c r="A450" s="4" t="s">
        <v>6090</v>
      </c>
      <c r="B450" s="5" t="s">
        <v>2541</v>
      </c>
      <c r="C450" s="5" t="s">
        <v>1776</v>
      </c>
      <c r="D450" s="5" t="s">
        <v>13</v>
      </c>
      <c r="E450" s="6">
        <v>2508</v>
      </c>
      <c r="F450" s="5" t="str">
        <f>HYPERLINK("https://www.google.com/maps/search/?api=1&amp;query=24.6528115,46.75738867", "View Map")</f>
        <v>View Map</v>
      </c>
    </row>
    <row r="451" spans="1:6" x14ac:dyDescent="0.35">
      <c r="A451" s="4" t="s">
        <v>6282</v>
      </c>
      <c r="B451" s="5" t="s">
        <v>2543</v>
      </c>
      <c r="C451" s="5" t="s">
        <v>1776</v>
      </c>
      <c r="D451" s="5" t="s">
        <v>13</v>
      </c>
      <c r="E451" s="6">
        <v>2504</v>
      </c>
      <c r="F451" s="5" t="str">
        <f>HYPERLINK("https://www.google.com/maps/search/?api=1&amp;query=24.8161,46.6872", "View Map")</f>
        <v>View Map</v>
      </c>
    </row>
    <row r="452" spans="1:6" x14ac:dyDescent="0.35">
      <c r="A452" s="4" t="s">
        <v>5974</v>
      </c>
      <c r="B452" s="5" t="s">
        <v>2544</v>
      </c>
      <c r="C452" s="5" t="s">
        <v>1776</v>
      </c>
      <c r="D452" s="5" t="s">
        <v>13</v>
      </c>
      <c r="E452" s="6">
        <v>2503</v>
      </c>
      <c r="F452" s="5" t="str">
        <f>HYPERLINK("https://www.google.com/maps/search/?api=1&amp;query=24.79414024,46.73328974", "View Map")</f>
        <v>View Map</v>
      </c>
    </row>
    <row r="453" spans="1:6" x14ac:dyDescent="0.35">
      <c r="A453" s="4" t="s">
        <v>6283</v>
      </c>
      <c r="B453" s="5" t="s">
        <v>2546</v>
      </c>
      <c r="C453" s="5" t="s">
        <v>1776</v>
      </c>
      <c r="D453" s="5" t="s">
        <v>13</v>
      </c>
      <c r="E453" s="6">
        <v>2496</v>
      </c>
      <c r="F453" s="5" t="str">
        <f>HYPERLINK("https://www.google.com/maps/search/?api=1&amp;query=24.58050058,46.76986772", "View Map")</f>
        <v>View Map</v>
      </c>
    </row>
    <row r="454" spans="1:6" x14ac:dyDescent="0.35">
      <c r="A454" s="4" t="s">
        <v>5974</v>
      </c>
      <c r="B454" s="5" t="s">
        <v>2547</v>
      </c>
      <c r="C454" s="5" t="s">
        <v>1776</v>
      </c>
      <c r="D454" s="5" t="s">
        <v>13</v>
      </c>
      <c r="E454" s="6">
        <v>2491</v>
      </c>
      <c r="F454" s="5" t="str">
        <f>HYPERLINK("https://www.google.com/maps/search/?api=1&amp;query=24.83227,46.64166", "View Map")</f>
        <v>View Map</v>
      </c>
    </row>
    <row r="455" spans="1:6" x14ac:dyDescent="0.35">
      <c r="A455" s="4" t="s">
        <v>6284</v>
      </c>
      <c r="B455" s="5" t="s">
        <v>2549</v>
      </c>
      <c r="C455" s="5" t="s">
        <v>1776</v>
      </c>
      <c r="D455" s="5" t="s">
        <v>13</v>
      </c>
      <c r="E455" s="6">
        <v>2490</v>
      </c>
      <c r="F455" s="5" t="str">
        <f>HYPERLINK("https://www.google.com/maps/search/?api=1&amp;query=24.57151923,46.6304919", "View Map")</f>
        <v>View Map</v>
      </c>
    </row>
    <row r="456" spans="1:6" x14ac:dyDescent="0.35">
      <c r="A456" s="4" t="s">
        <v>6285</v>
      </c>
      <c r="B456" s="5" t="s">
        <v>2551</v>
      </c>
      <c r="C456" s="5" t="s">
        <v>1776</v>
      </c>
      <c r="D456" s="5" t="s">
        <v>13</v>
      </c>
      <c r="E456" s="6">
        <v>2490</v>
      </c>
      <c r="F456" s="5" t="str">
        <f>HYPERLINK("https://www.google.com/maps/search/?api=1&amp;query=24.71016165,46.69043979", "View Map")</f>
        <v>View Map</v>
      </c>
    </row>
    <row r="457" spans="1:6" x14ac:dyDescent="0.35">
      <c r="A457" s="4" t="s">
        <v>6286</v>
      </c>
      <c r="B457" s="5" t="s">
        <v>2553</v>
      </c>
      <c r="C457" s="5" t="s">
        <v>1776</v>
      </c>
      <c r="D457" s="5" t="s">
        <v>13</v>
      </c>
      <c r="E457" s="6">
        <v>2484</v>
      </c>
      <c r="F457" s="5" t="str">
        <f>HYPERLINK("https://www.google.com/maps/search/?api=1&amp;query=24.8092,46.63193", "View Map")</f>
        <v>View Map</v>
      </c>
    </row>
    <row r="458" spans="1:6" x14ac:dyDescent="0.35">
      <c r="A458" s="4" t="s">
        <v>6039</v>
      </c>
      <c r="B458" s="5" t="s">
        <v>2554</v>
      </c>
      <c r="C458" s="5" t="s">
        <v>1776</v>
      </c>
      <c r="D458" s="5" t="s">
        <v>13</v>
      </c>
      <c r="E458" s="6">
        <v>2480</v>
      </c>
      <c r="F458" s="5" t="str">
        <f>HYPERLINK("https://www.google.com/maps/search/?api=1&amp;query=24.67851479,46.57639115", "View Map")</f>
        <v>View Map</v>
      </c>
    </row>
    <row r="459" spans="1:6" x14ac:dyDescent="0.35">
      <c r="A459" s="4" t="s">
        <v>6287</v>
      </c>
      <c r="B459" s="5" t="s">
        <v>2556</v>
      </c>
      <c r="C459" s="5" t="s">
        <v>1776</v>
      </c>
      <c r="D459" s="5" t="s">
        <v>13</v>
      </c>
      <c r="E459" s="6">
        <v>2480</v>
      </c>
      <c r="F459" s="5" t="str">
        <f>HYPERLINK("https://www.google.com/maps/search/?api=1&amp;query=24.78350463,46.66439239", "View Map")</f>
        <v>View Map</v>
      </c>
    </row>
    <row r="460" spans="1:6" x14ac:dyDescent="0.35">
      <c r="A460" s="4" t="s">
        <v>6288</v>
      </c>
      <c r="B460" s="5" t="s">
        <v>2558</v>
      </c>
      <c r="C460" s="5" t="s">
        <v>1776</v>
      </c>
      <c r="D460" s="5" t="s">
        <v>13</v>
      </c>
      <c r="E460" s="6">
        <v>2479</v>
      </c>
      <c r="F460" s="5" t="str">
        <f>HYPERLINK("https://www.google.com/maps/search/?api=1&amp;query=24.5919537,46.7471375", "View Map")</f>
        <v>View Map</v>
      </c>
    </row>
    <row r="461" spans="1:6" x14ac:dyDescent="0.35">
      <c r="A461" s="4" t="s">
        <v>6289</v>
      </c>
      <c r="B461" s="5" t="s">
        <v>2560</v>
      </c>
      <c r="C461" s="5" t="s">
        <v>1776</v>
      </c>
      <c r="D461" s="5" t="s">
        <v>13</v>
      </c>
      <c r="E461" s="6">
        <v>2479</v>
      </c>
      <c r="F461" s="5" t="str">
        <f>HYPERLINK("https://www.google.com/maps/search/?api=1&amp;query=24.57850436,46.70339837", "View Map")</f>
        <v>View Map</v>
      </c>
    </row>
    <row r="462" spans="1:6" x14ac:dyDescent="0.35">
      <c r="A462" s="4" t="s">
        <v>6290</v>
      </c>
      <c r="B462" s="5" t="s">
        <v>2562</v>
      </c>
      <c r="C462" s="5" t="s">
        <v>1776</v>
      </c>
      <c r="D462" s="5" t="s">
        <v>13</v>
      </c>
      <c r="E462" s="6">
        <v>2479</v>
      </c>
      <c r="F462" s="5" t="str">
        <f>HYPERLINK("https://www.google.com/maps/search/?api=1&amp;query=24.57091572,46.66374636", "View Map")</f>
        <v>View Map</v>
      </c>
    </row>
    <row r="463" spans="1:6" x14ac:dyDescent="0.35">
      <c r="A463" s="4" t="s">
        <v>6291</v>
      </c>
      <c r="B463" s="5" t="s">
        <v>2564</v>
      </c>
      <c r="C463" s="5" t="s">
        <v>1776</v>
      </c>
      <c r="D463" s="5" t="s">
        <v>13</v>
      </c>
      <c r="E463" s="6">
        <v>2476</v>
      </c>
      <c r="F463" s="5" t="str">
        <f>HYPERLINK("https://www.google.com/maps/search/?api=1&amp;query=24.75885056,46.67936433", "View Map")</f>
        <v>View Map</v>
      </c>
    </row>
    <row r="464" spans="1:6" x14ac:dyDescent="0.35">
      <c r="A464" s="4" t="s">
        <v>6292</v>
      </c>
      <c r="B464" s="5" t="s">
        <v>2566</v>
      </c>
      <c r="C464" s="5" t="s">
        <v>1776</v>
      </c>
      <c r="D464" s="5" t="s">
        <v>13</v>
      </c>
      <c r="E464" s="6">
        <v>2475</v>
      </c>
      <c r="F464" s="5" t="str">
        <f>HYPERLINK("https://www.google.com/maps/search/?api=1&amp;query=24.72772256,46.77760433", "View Map")</f>
        <v>View Map</v>
      </c>
    </row>
    <row r="465" spans="1:6" x14ac:dyDescent="0.35">
      <c r="A465" s="4" t="s">
        <v>6293</v>
      </c>
      <c r="B465" s="5" t="s">
        <v>2568</v>
      </c>
      <c r="C465" s="5" t="s">
        <v>1776</v>
      </c>
      <c r="D465" s="5" t="s">
        <v>13</v>
      </c>
      <c r="E465" s="6">
        <v>2471</v>
      </c>
      <c r="F465" s="5" t="str">
        <f>HYPERLINK("https://www.google.com/maps/search/?api=1&amp;query=24.77136132,46.77601617", "View Map")</f>
        <v>View Map</v>
      </c>
    </row>
    <row r="466" spans="1:6" x14ac:dyDescent="0.35">
      <c r="A466" s="4" t="s">
        <v>6294</v>
      </c>
      <c r="B466" s="5" t="s">
        <v>2570</v>
      </c>
      <c r="C466" s="5" t="s">
        <v>1776</v>
      </c>
      <c r="D466" s="5" t="s">
        <v>13</v>
      </c>
      <c r="E466" s="6">
        <v>2469</v>
      </c>
      <c r="F466" s="5" t="str">
        <f>HYPERLINK("https://www.google.com/maps/search/?api=1&amp;query=24.68188405,46.68902352", "View Map")</f>
        <v>View Map</v>
      </c>
    </row>
    <row r="467" spans="1:6" x14ac:dyDescent="0.35">
      <c r="A467" s="4" t="s">
        <v>6295</v>
      </c>
      <c r="B467" s="5" t="s">
        <v>2572</v>
      </c>
      <c r="C467" s="5" t="s">
        <v>1776</v>
      </c>
      <c r="D467" s="5" t="s">
        <v>13</v>
      </c>
      <c r="E467" s="6">
        <v>2465</v>
      </c>
      <c r="F467" s="5" t="str">
        <f>HYPERLINK("https://www.google.com/maps/search/?api=1&amp;query=24.5919537,46.7471375", "View Map")</f>
        <v>View Map</v>
      </c>
    </row>
    <row r="468" spans="1:6" x14ac:dyDescent="0.35">
      <c r="A468" s="4" t="s">
        <v>6134</v>
      </c>
      <c r="B468" s="5" t="s">
        <v>2573</v>
      </c>
      <c r="C468" s="5" t="s">
        <v>1776</v>
      </c>
      <c r="D468" s="5" t="s">
        <v>13</v>
      </c>
      <c r="E468" s="6">
        <v>2451</v>
      </c>
      <c r="F468" s="5" t="str">
        <f>HYPERLINK("https://www.google.com/maps/search/?api=1&amp;query=24.72690278,46.70476956", "View Map")</f>
        <v>View Map</v>
      </c>
    </row>
    <row r="469" spans="1:6" x14ac:dyDescent="0.35">
      <c r="A469" s="4" t="s">
        <v>6296</v>
      </c>
      <c r="B469" s="5" t="s">
        <v>2575</v>
      </c>
      <c r="C469" s="5" t="s">
        <v>1776</v>
      </c>
      <c r="D469" s="5" t="s">
        <v>13</v>
      </c>
      <c r="E469" s="6">
        <v>2450</v>
      </c>
      <c r="F469" s="5" t="str">
        <f>HYPERLINK("https://www.google.com/maps/search/?api=1&amp;query=24.77052623,46.65025996", "View Map")</f>
        <v>View Map</v>
      </c>
    </row>
    <row r="470" spans="1:6" x14ac:dyDescent="0.35">
      <c r="A470" s="4" t="s">
        <v>6297</v>
      </c>
      <c r="B470" s="5" t="s">
        <v>2577</v>
      </c>
      <c r="C470" s="5" t="s">
        <v>1776</v>
      </c>
      <c r="D470" s="5" t="s">
        <v>13</v>
      </c>
      <c r="E470" s="6">
        <v>2441</v>
      </c>
      <c r="F470" s="5" t="str">
        <f>HYPERLINK("https://www.google.com/maps/search/?api=1&amp;query=24.75424432,46.66459586", "View Map")</f>
        <v>View Map</v>
      </c>
    </row>
    <row r="471" spans="1:6" x14ac:dyDescent="0.35">
      <c r="A471" s="4" t="s">
        <v>6298</v>
      </c>
      <c r="B471" s="5" t="s">
        <v>2579</v>
      </c>
      <c r="C471" s="5" t="s">
        <v>1776</v>
      </c>
      <c r="D471" s="5" t="s">
        <v>13</v>
      </c>
      <c r="E471" s="6">
        <v>2439</v>
      </c>
      <c r="F471" s="5" t="str">
        <f>HYPERLINK("https://www.google.com/maps/search/?api=1&amp;query=24.7585534,46.65049362", "View Map")</f>
        <v>View Map</v>
      </c>
    </row>
    <row r="472" spans="1:6" x14ac:dyDescent="0.35">
      <c r="A472" s="4" t="s">
        <v>5978</v>
      </c>
      <c r="B472" s="5" t="s">
        <v>2580</v>
      </c>
      <c r="C472" s="5" t="s">
        <v>1776</v>
      </c>
      <c r="D472" s="5" t="s">
        <v>13</v>
      </c>
      <c r="E472" s="6">
        <v>2438</v>
      </c>
      <c r="F472" s="5" t="str">
        <f>HYPERLINK("https://www.google.com/maps/search/?api=1&amp;query=24.70789208,46.83324805", "View Map")</f>
        <v>View Map</v>
      </c>
    </row>
    <row r="473" spans="1:6" x14ac:dyDescent="0.35">
      <c r="A473" s="4" t="s">
        <v>5978</v>
      </c>
      <c r="B473" s="5" t="s">
        <v>2581</v>
      </c>
      <c r="C473" s="5" t="s">
        <v>1776</v>
      </c>
      <c r="D473" s="5" t="s">
        <v>13</v>
      </c>
      <c r="E473" s="6">
        <v>2437</v>
      </c>
      <c r="F473" s="5" t="str">
        <f>HYPERLINK("https://www.google.com/maps/search/?api=1&amp;query=24.82399195,46.78630701", "View Map")</f>
        <v>View Map</v>
      </c>
    </row>
    <row r="474" spans="1:6" x14ac:dyDescent="0.35">
      <c r="A474" s="4" t="s">
        <v>5972</v>
      </c>
      <c r="B474" s="5" t="s">
        <v>2582</v>
      </c>
      <c r="C474" s="5" t="s">
        <v>1843</v>
      </c>
      <c r="D474" s="5" t="s">
        <v>13</v>
      </c>
      <c r="E474" s="6">
        <v>2434</v>
      </c>
      <c r="F474" s="5" t="str">
        <f>HYPERLINK("https://www.google.com/maps/search/?api=1&amp;query=24.74563765,46.59197015", "View Map")</f>
        <v>View Map</v>
      </c>
    </row>
    <row r="475" spans="1:6" x14ac:dyDescent="0.35">
      <c r="A475" s="4" t="s">
        <v>6299</v>
      </c>
      <c r="B475" s="5" t="s">
        <v>2584</v>
      </c>
      <c r="C475" s="5" t="s">
        <v>1776</v>
      </c>
      <c r="D475" s="5" t="s">
        <v>13</v>
      </c>
      <c r="E475" s="6">
        <v>2415</v>
      </c>
      <c r="F475" s="5" t="str">
        <f>HYPERLINK("https://www.google.com/maps/search/?api=1&amp;query=24.67134361,46.71365382", "View Map")</f>
        <v>View Map</v>
      </c>
    </row>
    <row r="476" spans="1:6" x14ac:dyDescent="0.35">
      <c r="A476" s="4" t="s">
        <v>5974</v>
      </c>
      <c r="B476" s="5" t="s">
        <v>2585</v>
      </c>
      <c r="C476" s="5" t="s">
        <v>1776</v>
      </c>
      <c r="D476" s="5" t="s">
        <v>9</v>
      </c>
      <c r="E476" s="6">
        <v>2413</v>
      </c>
      <c r="F476" s="5" t="str">
        <f>HYPERLINK("https://www.google.com/maps/search/?api=1&amp;query=24.84375129,46.79091178", "View Map")</f>
        <v>View Map</v>
      </c>
    </row>
    <row r="477" spans="1:6" x14ac:dyDescent="0.35">
      <c r="A477" s="4" t="s">
        <v>5974</v>
      </c>
      <c r="B477" s="5" t="s">
        <v>2586</v>
      </c>
      <c r="C477" s="5" t="s">
        <v>1776</v>
      </c>
      <c r="D477" s="5" t="s">
        <v>13</v>
      </c>
      <c r="E477" s="6">
        <v>2411</v>
      </c>
      <c r="F477" s="5" t="str">
        <f>HYPERLINK("https://www.google.com/maps/search/?api=1&amp;query=24.84132377,46.75461212", "View Map")</f>
        <v>View Map</v>
      </c>
    </row>
    <row r="478" spans="1:6" x14ac:dyDescent="0.35">
      <c r="A478" s="4" t="s">
        <v>6300</v>
      </c>
      <c r="B478" s="5" t="s">
        <v>2588</v>
      </c>
      <c r="C478" s="5" t="s">
        <v>1776</v>
      </c>
      <c r="D478" s="5" t="s">
        <v>13</v>
      </c>
      <c r="E478" s="6">
        <v>2407</v>
      </c>
      <c r="F478" s="5" t="str">
        <f>HYPERLINK("https://www.google.com/maps/search/?api=1&amp;query=24.57945465,46.60578049", "View Map")</f>
        <v>View Map</v>
      </c>
    </row>
    <row r="479" spans="1:6" x14ac:dyDescent="0.35">
      <c r="A479" s="4" t="s">
        <v>6301</v>
      </c>
      <c r="B479" s="5" t="s">
        <v>2590</v>
      </c>
      <c r="C479" s="5" t="s">
        <v>1776</v>
      </c>
      <c r="D479" s="5" t="s">
        <v>13</v>
      </c>
      <c r="E479" s="6">
        <v>2402</v>
      </c>
      <c r="F479" s="5" t="str">
        <f>HYPERLINK("https://www.google.com/maps/search/?api=1&amp;query=24.68783706,46.67492904", "View Map")</f>
        <v>View Map</v>
      </c>
    </row>
    <row r="480" spans="1:6" x14ac:dyDescent="0.35">
      <c r="A480" s="4" t="s">
        <v>5974</v>
      </c>
      <c r="B480" s="5" t="s">
        <v>2591</v>
      </c>
      <c r="C480" s="5" t="s">
        <v>1776</v>
      </c>
      <c r="D480" s="5" t="s">
        <v>13</v>
      </c>
      <c r="E480" s="6">
        <v>2399</v>
      </c>
      <c r="F480" s="5" t="str">
        <f>HYPERLINK("https://www.google.com/maps/search/?api=1&amp;query=24.84435305,46.80595562", "View Map")</f>
        <v>View Map</v>
      </c>
    </row>
    <row r="481" spans="1:6" x14ac:dyDescent="0.35">
      <c r="A481" s="4" t="s">
        <v>6302</v>
      </c>
      <c r="B481" s="5" t="s">
        <v>2593</v>
      </c>
      <c r="C481" s="5" t="s">
        <v>1776</v>
      </c>
      <c r="D481" s="5" t="s">
        <v>13</v>
      </c>
      <c r="E481" s="6">
        <v>2394</v>
      </c>
      <c r="F481" s="5" t="str">
        <f>HYPERLINK("https://www.google.com/maps/search/?api=1&amp;query=24.39528917,46.83902328", "View Map")</f>
        <v>View Map</v>
      </c>
    </row>
    <row r="482" spans="1:6" x14ac:dyDescent="0.35">
      <c r="A482" s="4" t="s">
        <v>6303</v>
      </c>
      <c r="B482" s="5" t="s">
        <v>2595</v>
      </c>
      <c r="C482" s="5" t="s">
        <v>1776</v>
      </c>
      <c r="D482" s="5" t="s">
        <v>13</v>
      </c>
      <c r="E482" s="6">
        <v>2393</v>
      </c>
      <c r="F482" s="5" t="str">
        <f>HYPERLINK("https://www.google.com/maps/search/?api=1&amp;query=24.67481433,46.64755393", "View Map")</f>
        <v>View Map</v>
      </c>
    </row>
    <row r="483" spans="1:6" x14ac:dyDescent="0.35">
      <c r="A483" s="4" t="s">
        <v>5974</v>
      </c>
      <c r="B483" s="5" t="s">
        <v>2596</v>
      </c>
      <c r="C483" s="5" t="s">
        <v>1776</v>
      </c>
      <c r="D483" s="5" t="s">
        <v>13</v>
      </c>
      <c r="E483" s="6">
        <v>2391</v>
      </c>
      <c r="F483" s="5" t="str">
        <f>HYPERLINK("https://www.google.com/maps/search/?api=1&amp;query=24.82135816,46.71911923", "View Map")</f>
        <v>View Map</v>
      </c>
    </row>
    <row r="484" spans="1:6" x14ac:dyDescent="0.35">
      <c r="A484" s="4" t="s">
        <v>6304</v>
      </c>
      <c r="B484" s="5" t="s">
        <v>2598</v>
      </c>
      <c r="C484" s="5" t="s">
        <v>1776</v>
      </c>
      <c r="D484" s="5" t="s">
        <v>13</v>
      </c>
      <c r="E484" s="6">
        <v>2386</v>
      </c>
      <c r="F484" s="5" t="str">
        <f>HYPERLINK("https://www.google.com/maps/search/?api=1&amp;query=24.81903905,46.72484647", "View Map")</f>
        <v>View Map</v>
      </c>
    </row>
    <row r="485" spans="1:6" x14ac:dyDescent="0.35">
      <c r="A485" s="4" t="s">
        <v>5974</v>
      </c>
      <c r="B485" s="5" t="s">
        <v>2599</v>
      </c>
      <c r="C485" s="5" t="s">
        <v>1776</v>
      </c>
      <c r="D485" s="5" t="s">
        <v>13</v>
      </c>
      <c r="E485" s="6">
        <v>2386</v>
      </c>
      <c r="F485" s="5" t="str">
        <f>HYPERLINK("https://www.google.com/maps/search/?api=1&amp;query=24.8933,46.6367", "View Map")</f>
        <v>View Map</v>
      </c>
    </row>
    <row r="486" spans="1:6" x14ac:dyDescent="0.35">
      <c r="A486" s="4" t="s">
        <v>5974</v>
      </c>
      <c r="B486" s="5" t="s">
        <v>2600</v>
      </c>
      <c r="C486" s="5" t="s">
        <v>1776</v>
      </c>
      <c r="D486" s="5" t="s">
        <v>13</v>
      </c>
      <c r="E486" s="6">
        <v>2384</v>
      </c>
      <c r="F486" s="5" t="str">
        <f>HYPERLINK("https://www.google.com/maps/search/?api=1&amp;query=24.86500454,46.64300251", "View Map")</f>
        <v>View Map</v>
      </c>
    </row>
    <row r="487" spans="1:6" x14ac:dyDescent="0.35">
      <c r="A487" s="4" t="s">
        <v>6305</v>
      </c>
      <c r="B487" s="5" t="s">
        <v>2602</v>
      </c>
      <c r="C487" s="5" t="s">
        <v>1776</v>
      </c>
      <c r="D487" s="5" t="s">
        <v>13</v>
      </c>
      <c r="E487" s="6">
        <v>2384</v>
      </c>
      <c r="F487" s="5" t="str">
        <f>HYPERLINK("https://www.google.com/maps/search/?api=1&amp;query=24.81908134,46.6605319", "View Map")</f>
        <v>View Map</v>
      </c>
    </row>
    <row r="488" spans="1:6" x14ac:dyDescent="0.35">
      <c r="A488" s="4" t="s">
        <v>5974</v>
      </c>
      <c r="B488" s="5" t="s">
        <v>2603</v>
      </c>
      <c r="C488" s="5" t="s">
        <v>1776</v>
      </c>
      <c r="D488" s="5" t="s">
        <v>13</v>
      </c>
      <c r="E488" s="6">
        <v>2374</v>
      </c>
      <c r="F488" s="5" t="str">
        <f>HYPERLINK("https://www.google.com/maps/search/?api=1&amp;query=24.83867618,46.77747984", "View Map")</f>
        <v>View Map</v>
      </c>
    </row>
    <row r="489" spans="1:6" x14ac:dyDescent="0.35">
      <c r="A489" s="4" t="s">
        <v>6306</v>
      </c>
      <c r="B489" s="5" t="s">
        <v>2605</v>
      </c>
      <c r="C489" s="5" t="s">
        <v>1776</v>
      </c>
      <c r="D489" s="5" t="s">
        <v>13</v>
      </c>
      <c r="E489" s="6">
        <v>2373</v>
      </c>
      <c r="F489" s="5" t="str">
        <f>HYPERLINK("https://www.google.com/maps/search/?api=1&amp;query=24.63100061,46.70569836", "View Map")</f>
        <v>View Map</v>
      </c>
    </row>
    <row r="490" spans="1:6" x14ac:dyDescent="0.35">
      <c r="A490" s="4" t="s">
        <v>5974</v>
      </c>
      <c r="B490" s="5" t="s">
        <v>2606</v>
      </c>
      <c r="C490" s="5" t="s">
        <v>1776</v>
      </c>
      <c r="D490" s="5" t="s">
        <v>13</v>
      </c>
      <c r="E490" s="6">
        <v>2371</v>
      </c>
      <c r="F490" s="5" t="str">
        <f>HYPERLINK("https://www.google.com/maps/search/?api=1&amp;query=24.75768663,46.75600076", "View Map")</f>
        <v>View Map</v>
      </c>
    </row>
    <row r="491" spans="1:6" x14ac:dyDescent="0.35">
      <c r="A491" s="4" t="s">
        <v>6307</v>
      </c>
      <c r="B491" s="5" t="s">
        <v>2608</v>
      </c>
      <c r="C491" s="5" t="s">
        <v>1776</v>
      </c>
      <c r="D491" s="5" t="s">
        <v>13</v>
      </c>
      <c r="E491" s="6">
        <v>2369</v>
      </c>
      <c r="F491" s="5" t="str">
        <f>HYPERLINK("https://www.google.com/maps/search/?api=1&amp;query=24.58820307,46.61441952", "View Map")</f>
        <v>View Map</v>
      </c>
    </row>
    <row r="492" spans="1:6" x14ac:dyDescent="0.35">
      <c r="A492" s="4" t="s">
        <v>5974</v>
      </c>
      <c r="B492" s="5" t="s">
        <v>2609</v>
      </c>
      <c r="C492" s="5" t="s">
        <v>1776</v>
      </c>
      <c r="D492" s="5" t="s">
        <v>13</v>
      </c>
      <c r="E492" s="6">
        <v>2366</v>
      </c>
      <c r="F492" s="5" t="str">
        <f>HYPERLINK("https://www.google.com/maps/search/?api=1&amp;query=24.82043797,46.58948209", "View Map")</f>
        <v>View Map</v>
      </c>
    </row>
    <row r="493" spans="1:6" x14ac:dyDescent="0.35">
      <c r="A493" s="4" t="s">
        <v>6308</v>
      </c>
      <c r="B493" s="5" t="s">
        <v>2611</v>
      </c>
      <c r="C493" s="5" t="s">
        <v>1776</v>
      </c>
      <c r="D493" s="5" t="s">
        <v>13</v>
      </c>
      <c r="E493" s="6">
        <v>2361</v>
      </c>
      <c r="F493" s="5" t="str">
        <f>HYPERLINK("https://www.google.com/maps/search/?api=1&amp;query=24.5617344,46.63880384", "View Map")</f>
        <v>View Map</v>
      </c>
    </row>
    <row r="494" spans="1:6" x14ac:dyDescent="0.35">
      <c r="A494" s="4" t="s">
        <v>6309</v>
      </c>
      <c r="B494" s="5" t="s">
        <v>2613</v>
      </c>
      <c r="C494" s="5" t="s">
        <v>1776</v>
      </c>
      <c r="D494" s="5" t="s">
        <v>13</v>
      </c>
      <c r="E494" s="6">
        <v>2359</v>
      </c>
      <c r="F494" s="5" t="str">
        <f>HYPERLINK("https://www.google.com/maps/search/?api=1&amp;query=24.73685094,46.76052308", "View Map")</f>
        <v>View Map</v>
      </c>
    </row>
    <row r="495" spans="1:6" x14ac:dyDescent="0.35">
      <c r="A495" s="4" t="s">
        <v>6310</v>
      </c>
      <c r="B495" s="5" t="s">
        <v>2615</v>
      </c>
      <c r="C495" s="5" t="s">
        <v>1776</v>
      </c>
      <c r="D495" s="5" t="s">
        <v>13</v>
      </c>
      <c r="E495" s="6">
        <v>2355</v>
      </c>
      <c r="F495" s="5" t="str">
        <f>HYPERLINK("https://www.google.com/maps/search/?api=1&amp;query=24.59043053,46.64855906", "View Map")</f>
        <v>View Map</v>
      </c>
    </row>
    <row r="496" spans="1:6" x14ac:dyDescent="0.35">
      <c r="A496" s="4" t="s">
        <v>6311</v>
      </c>
      <c r="B496" s="5" t="s">
        <v>2617</v>
      </c>
      <c r="C496" s="5" t="s">
        <v>1776</v>
      </c>
      <c r="D496" s="5" t="s">
        <v>13</v>
      </c>
      <c r="E496" s="6">
        <v>2348</v>
      </c>
      <c r="F496" s="5" t="str">
        <f>HYPERLINK("https://www.google.com/maps/search/?api=1&amp;query=24.75376616,46.70238851", "View Map")</f>
        <v>View Map</v>
      </c>
    </row>
    <row r="497" spans="1:6" x14ac:dyDescent="0.35">
      <c r="A497" s="4" t="s">
        <v>6312</v>
      </c>
      <c r="B497" s="5" t="s">
        <v>2619</v>
      </c>
      <c r="C497" s="5" t="s">
        <v>1776</v>
      </c>
      <c r="D497" s="5" t="s">
        <v>13</v>
      </c>
      <c r="E497" s="6">
        <v>2348</v>
      </c>
      <c r="F497" s="5" t="str">
        <f>HYPERLINK("https://www.google.com/maps/search/?api=1&amp;query=24.59055247,46.67017034", "View Map")</f>
        <v>View Map</v>
      </c>
    </row>
    <row r="498" spans="1:6" x14ac:dyDescent="0.35">
      <c r="A498" s="4" t="s">
        <v>6313</v>
      </c>
      <c r="B498" s="5" t="s">
        <v>2621</v>
      </c>
      <c r="C498" s="5" t="s">
        <v>1776</v>
      </c>
      <c r="D498" s="5" t="s">
        <v>13</v>
      </c>
      <c r="E498" s="6">
        <v>2346</v>
      </c>
      <c r="F498" s="5" t="str">
        <f>HYPERLINK("https://www.google.com/maps/search/?api=1&amp;query=24.68890721,46.77067909", "View Map")</f>
        <v>View Map</v>
      </c>
    </row>
    <row r="499" spans="1:6" x14ac:dyDescent="0.35">
      <c r="A499" s="4" t="s">
        <v>6314</v>
      </c>
      <c r="B499" s="5" t="s">
        <v>2623</v>
      </c>
      <c r="C499" s="5" t="s">
        <v>1776</v>
      </c>
      <c r="D499" s="5" t="s">
        <v>13</v>
      </c>
      <c r="E499" s="6">
        <v>2340</v>
      </c>
      <c r="F499" s="5" t="str">
        <f>HYPERLINK("https://www.google.com/maps/search/?api=1&amp;query=24.75492832,46.64334662", "View Map")</f>
        <v>View Map</v>
      </c>
    </row>
    <row r="500" spans="1:6" x14ac:dyDescent="0.35">
      <c r="A500" s="4" t="s">
        <v>6315</v>
      </c>
      <c r="B500" s="5" t="s">
        <v>2625</v>
      </c>
      <c r="C500" s="5" t="s">
        <v>1776</v>
      </c>
      <c r="D500" s="5" t="s">
        <v>13</v>
      </c>
      <c r="E500" s="6">
        <v>2339</v>
      </c>
      <c r="F500" s="5" t="str">
        <f>HYPERLINK("https://www.google.com/maps/search/?api=1&amp;query=24.62685783,46.6557251", "View Map")</f>
        <v>View Map</v>
      </c>
    </row>
    <row r="501" spans="1:6" x14ac:dyDescent="0.35">
      <c r="A501" s="4" t="s">
        <v>6316</v>
      </c>
      <c r="B501" s="5" t="s">
        <v>2627</v>
      </c>
      <c r="C501" s="5" t="s">
        <v>1776</v>
      </c>
      <c r="D501" s="5" t="s">
        <v>13</v>
      </c>
      <c r="E501" s="6">
        <v>2338</v>
      </c>
      <c r="F501" s="5" t="str">
        <f>HYPERLINK("https://www.google.com/maps/search/?api=1&amp;query=24.62227973,46.52827251", "View Map")</f>
        <v>View Map</v>
      </c>
    </row>
    <row r="502" spans="1:6" x14ac:dyDescent="0.35">
      <c r="A502" s="4" t="s">
        <v>6317</v>
      </c>
      <c r="B502" s="5" t="s">
        <v>2629</v>
      </c>
      <c r="C502" s="5" t="s">
        <v>1776</v>
      </c>
      <c r="D502" s="5" t="s">
        <v>13</v>
      </c>
      <c r="E502" s="6">
        <v>2336</v>
      </c>
      <c r="F502" s="5" t="str">
        <f>HYPERLINK("https://www.google.com/maps/search/?api=1&amp;query=24.66250716,46.72494639", "View Map")</f>
        <v>View Map</v>
      </c>
    </row>
    <row r="503" spans="1:6" x14ac:dyDescent="0.35">
      <c r="A503" s="4" t="s">
        <v>6318</v>
      </c>
      <c r="B503" s="5" t="s">
        <v>2631</v>
      </c>
      <c r="C503" s="5" t="s">
        <v>1776</v>
      </c>
      <c r="D503" s="5" t="s">
        <v>13</v>
      </c>
      <c r="E503" s="6">
        <v>2333</v>
      </c>
      <c r="F503" s="5" t="str">
        <f>HYPERLINK("https://www.google.com/maps/search/?api=1&amp;query=24.80299941,46.71617693", "View Map")</f>
        <v>View Map</v>
      </c>
    </row>
    <row r="504" spans="1:6" x14ac:dyDescent="0.35">
      <c r="A504" s="4" t="s">
        <v>6319</v>
      </c>
      <c r="B504" s="5" t="s">
        <v>2633</v>
      </c>
      <c r="C504" s="5" t="s">
        <v>1776</v>
      </c>
      <c r="D504" s="5" t="s">
        <v>13</v>
      </c>
      <c r="E504" s="6">
        <v>2333</v>
      </c>
      <c r="F504" s="5" t="str">
        <f>HYPERLINK("https://www.google.com/maps/search/?api=1&amp;query=24.68594,46.6705", "View Map")</f>
        <v>View Map</v>
      </c>
    </row>
    <row r="505" spans="1:6" x14ac:dyDescent="0.35">
      <c r="A505" s="4" t="s">
        <v>6320</v>
      </c>
      <c r="B505" s="5" t="s">
        <v>2635</v>
      </c>
      <c r="C505" s="5" t="s">
        <v>1776</v>
      </c>
      <c r="D505" s="5" t="s">
        <v>13</v>
      </c>
      <c r="E505" s="6">
        <v>2332</v>
      </c>
      <c r="F505" s="5" t="str">
        <f>HYPERLINK("https://www.google.com/maps/search/?api=1&amp;query=24.57766606,46.67910207", "View Map")</f>
        <v>View Map</v>
      </c>
    </row>
    <row r="506" spans="1:6" x14ac:dyDescent="0.35">
      <c r="A506" s="4" t="s">
        <v>6321</v>
      </c>
      <c r="B506" s="5" t="s">
        <v>2637</v>
      </c>
      <c r="C506" s="5" t="s">
        <v>1776</v>
      </c>
      <c r="D506" s="5" t="s">
        <v>13</v>
      </c>
      <c r="E506" s="6">
        <v>2330</v>
      </c>
      <c r="F506" s="5" t="str">
        <f>HYPERLINK("https://www.google.com/maps/search/?api=1&amp;query=24.56970915,46.65257787", "View Map")</f>
        <v>View Map</v>
      </c>
    </row>
    <row r="507" spans="1:6" x14ac:dyDescent="0.35">
      <c r="A507" s="4" t="s">
        <v>5974</v>
      </c>
      <c r="B507" s="5" t="s">
        <v>2638</v>
      </c>
      <c r="C507" s="5" t="s">
        <v>1776</v>
      </c>
      <c r="D507" s="5" t="s">
        <v>13</v>
      </c>
      <c r="E507" s="6">
        <v>2328</v>
      </c>
      <c r="F507" s="5" t="str">
        <f>HYPERLINK("https://www.google.com/maps/search/?api=1&amp;query=24.55998194,46.80414634", "View Map")</f>
        <v>View Map</v>
      </c>
    </row>
    <row r="508" spans="1:6" x14ac:dyDescent="0.35">
      <c r="A508" s="4" t="s">
        <v>6322</v>
      </c>
      <c r="B508" s="5" t="s">
        <v>2640</v>
      </c>
      <c r="C508" s="5" t="s">
        <v>1776</v>
      </c>
      <c r="D508" s="5" t="s">
        <v>13</v>
      </c>
      <c r="E508" s="6">
        <v>2328</v>
      </c>
      <c r="F508" s="5" t="str">
        <f>HYPERLINK("https://www.google.com/maps/search/?api=1&amp;query=24.7016225,46.6596974", "View Map")</f>
        <v>View Map</v>
      </c>
    </row>
    <row r="509" spans="1:6" x14ac:dyDescent="0.35">
      <c r="A509" s="4" t="s">
        <v>5974</v>
      </c>
      <c r="B509" s="5" t="s">
        <v>2641</v>
      </c>
      <c r="C509" s="5" t="s">
        <v>1776</v>
      </c>
      <c r="D509" s="5" t="s">
        <v>13</v>
      </c>
      <c r="E509" s="6">
        <v>2326</v>
      </c>
      <c r="F509" s="5" t="str">
        <f>HYPERLINK("https://www.google.com/maps/search/?api=1&amp;query=24.64422334,46.71817887", "View Map")</f>
        <v>View Map</v>
      </c>
    </row>
    <row r="510" spans="1:6" x14ac:dyDescent="0.35">
      <c r="A510" s="4" t="s">
        <v>6323</v>
      </c>
      <c r="B510" s="5" t="s">
        <v>2643</v>
      </c>
      <c r="C510" s="5" t="s">
        <v>1776</v>
      </c>
      <c r="D510" s="5" t="s">
        <v>13</v>
      </c>
      <c r="E510" s="6">
        <v>2326</v>
      </c>
      <c r="F510" s="5" t="str">
        <f>HYPERLINK("https://www.google.com/maps/search/?api=1&amp;query=24.55676043,46.5226673", "View Map")</f>
        <v>View Map</v>
      </c>
    </row>
    <row r="511" spans="1:6" x14ac:dyDescent="0.35">
      <c r="A511" s="4" t="s">
        <v>6324</v>
      </c>
      <c r="B511" s="5" t="s">
        <v>2645</v>
      </c>
      <c r="C511" s="5" t="s">
        <v>1776</v>
      </c>
      <c r="D511" s="5" t="s">
        <v>13</v>
      </c>
      <c r="E511" s="6">
        <v>2323</v>
      </c>
      <c r="F511" s="5" t="str">
        <f>HYPERLINK("https://www.google.com/maps/search/?api=1&amp;query=24.75964203,46.78409231", "View Map")</f>
        <v>View Map</v>
      </c>
    </row>
    <row r="512" spans="1:6" x14ac:dyDescent="0.35">
      <c r="A512" s="4" t="s">
        <v>6325</v>
      </c>
      <c r="B512" s="5" t="s">
        <v>2647</v>
      </c>
      <c r="C512" s="5" t="s">
        <v>1776</v>
      </c>
      <c r="D512" s="5" t="s">
        <v>13</v>
      </c>
      <c r="E512" s="6">
        <v>2322</v>
      </c>
      <c r="F512" s="5" t="str">
        <f>HYPERLINK("https://www.google.com/maps/search/?api=1&amp;query=24.57764299,46.54183285", "View Map")</f>
        <v>View Map</v>
      </c>
    </row>
    <row r="513" spans="1:6" x14ac:dyDescent="0.35">
      <c r="A513" s="4" t="s">
        <v>6326</v>
      </c>
      <c r="B513" s="5" t="s">
        <v>2649</v>
      </c>
      <c r="C513" s="5" t="s">
        <v>1776</v>
      </c>
      <c r="D513" s="5" t="s">
        <v>13</v>
      </c>
      <c r="E513" s="6">
        <v>2322</v>
      </c>
      <c r="F513" s="5" t="str">
        <f>HYPERLINK("https://www.google.com/maps/search/?api=1&amp;query=24.58069407,46.67935242", "View Map")</f>
        <v>View Map</v>
      </c>
    </row>
    <row r="514" spans="1:6" x14ac:dyDescent="0.35">
      <c r="A514" s="4" t="s">
        <v>6327</v>
      </c>
      <c r="B514" s="5" t="s">
        <v>2651</v>
      </c>
      <c r="C514" s="5" t="s">
        <v>1776</v>
      </c>
      <c r="D514" s="5" t="s">
        <v>13</v>
      </c>
      <c r="E514" s="6">
        <v>2321</v>
      </c>
      <c r="F514" s="5" t="str">
        <f>HYPERLINK("https://www.google.com/maps/search/?api=1&amp;query=24.66213054,46.80220782", "View Map")</f>
        <v>View Map</v>
      </c>
    </row>
    <row r="515" spans="1:6" x14ac:dyDescent="0.35">
      <c r="A515" s="4" t="s">
        <v>6328</v>
      </c>
      <c r="B515" s="5" t="s">
        <v>2653</v>
      </c>
      <c r="C515" s="5" t="s">
        <v>1776</v>
      </c>
      <c r="D515" s="5" t="s">
        <v>9</v>
      </c>
      <c r="E515" s="6">
        <v>2320</v>
      </c>
      <c r="F515" s="5" t="str">
        <f>HYPERLINK("https://www.google.com/maps/search/?api=1&amp;query=24.70904817,46.8313787", "View Map")</f>
        <v>View Map</v>
      </c>
    </row>
    <row r="516" spans="1:6" x14ac:dyDescent="0.35">
      <c r="A516" s="4" t="s">
        <v>6329</v>
      </c>
      <c r="B516" s="5" t="s">
        <v>2655</v>
      </c>
      <c r="C516" s="5" t="s">
        <v>1776</v>
      </c>
      <c r="D516" s="5" t="s">
        <v>13</v>
      </c>
      <c r="E516" s="6">
        <v>2319</v>
      </c>
      <c r="F516" s="5" t="str">
        <f>HYPERLINK("https://www.google.com/maps/search/?api=1&amp;query=24.76045268,46.66736514", "View Map")</f>
        <v>View Map</v>
      </c>
    </row>
    <row r="517" spans="1:6" x14ac:dyDescent="0.35">
      <c r="A517" s="4" t="s">
        <v>6330</v>
      </c>
      <c r="B517" s="5" t="s">
        <v>2657</v>
      </c>
      <c r="C517" s="5" t="s">
        <v>1776</v>
      </c>
      <c r="D517" s="5" t="s">
        <v>13</v>
      </c>
      <c r="E517" s="6">
        <v>2314</v>
      </c>
      <c r="F517" s="5" t="str">
        <f>HYPERLINK("https://www.google.com/maps/search/?api=1&amp;query=24.76467804,46.82075889", "View Map")</f>
        <v>View Map</v>
      </c>
    </row>
    <row r="518" spans="1:6" x14ac:dyDescent="0.35">
      <c r="A518" s="4" t="s">
        <v>5974</v>
      </c>
      <c r="B518" s="5" t="s">
        <v>2658</v>
      </c>
      <c r="C518" s="5" t="s">
        <v>1776</v>
      </c>
      <c r="D518" s="5" t="s">
        <v>13</v>
      </c>
      <c r="E518" s="6">
        <v>2313</v>
      </c>
      <c r="F518" s="5" t="str">
        <f>HYPERLINK("https://www.google.com/maps/search/?api=1&amp;query=24.69122129,46.8444315", "View Map")</f>
        <v>View Map</v>
      </c>
    </row>
    <row r="519" spans="1:6" x14ac:dyDescent="0.35">
      <c r="A519" s="4" t="s">
        <v>6039</v>
      </c>
      <c r="B519" s="5" t="s">
        <v>2659</v>
      </c>
      <c r="C519" s="5" t="s">
        <v>1776</v>
      </c>
      <c r="D519" s="5" t="s">
        <v>13</v>
      </c>
      <c r="E519" s="6">
        <v>2311</v>
      </c>
      <c r="F519" s="5" t="str">
        <f>HYPERLINK("https://www.google.com/maps/search/?api=1&amp;query=24.9207114,46.8107448", "View Map")</f>
        <v>View Map</v>
      </c>
    </row>
    <row r="520" spans="1:6" x14ac:dyDescent="0.35">
      <c r="A520" s="4" t="s">
        <v>6331</v>
      </c>
      <c r="B520" s="5" t="s">
        <v>2661</v>
      </c>
      <c r="C520" s="5" t="s">
        <v>1776</v>
      </c>
      <c r="D520" s="5" t="s">
        <v>9</v>
      </c>
      <c r="E520" s="6">
        <v>2310</v>
      </c>
      <c r="F520" s="5" t="str">
        <f>HYPERLINK("https://www.google.com/maps/search/?api=1&amp;query=24.68915115,46.80418445", "View Map")</f>
        <v>View Map</v>
      </c>
    </row>
    <row r="521" spans="1:6" x14ac:dyDescent="0.35">
      <c r="A521" s="4" t="s">
        <v>5974</v>
      </c>
      <c r="B521" s="5" t="s">
        <v>2662</v>
      </c>
      <c r="C521" s="5" t="s">
        <v>1776</v>
      </c>
      <c r="D521" s="5" t="s">
        <v>13</v>
      </c>
      <c r="E521" s="6">
        <v>2303</v>
      </c>
      <c r="F521" s="5" t="str">
        <f>HYPERLINK("https://www.google.com/maps/search/?api=1&amp;query=24.83131162,46.58232585", "View Map")</f>
        <v>View Map</v>
      </c>
    </row>
    <row r="522" spans="1:6" x14ac:dyDescent="0.35">
      <c r="A522" s="4" t="s">
        <v>6332</v>
      </c>
      <c r="B522" s="5" t="s">
        <v>2664</v>
      </c>
      <c r="C522" s="5" t="s">
        <v>1776</v>
      </c>
      <c r="D522" s="5" t="s">
        <v>13</v>
      </c>
      <c r="E522" s="6">
        <v>2302</v>
      </c>
      <c r="F522" s="5" t="str">
        <f>HYPERLINK("https://www.google.com/maps/search/?api=1&amp;query=24.58082044,46.68156942", "View Map")</f>
        <v>View Map</v>
      </c>
    </row>
    <row r="523" spans="1:6" x14ac:dyDescent="0.35">
      <c r="A523" s="4" t="s">
        <v>6333</v>
      </c>
      <c r="B523" s="5" t="s">
        <v>2666</v>
      </c>
      <c r="C523" s="5" t="s">
        <v>1776</v>
      </c>
      <c r="D523" s="5" t="s">
        <v>13</v>
      </c>
      <c r="E523" s="6">
        <v>2300</v>
      </c>
      <c r="F523" s="5" t="str">
        <f>HYPERLINK("https://www.google.com/maps/search/?api=1&amp;query=24.6224902,46.75413262", "View Map")</f>
        <v>View Map</v>
      </c>
    </row>
    <row r="524" spans="1:6" x14ac:dyDescent="0.35">
      <c r="A524" s="4" t="s">
        <v>6334</v>
      </c>
      <c r="B524" s="5" t="s">
        <v>2668</v>
      </c>
      <c r="C524" s="5" t="s">
        <v>1776</v>
      </c>
      <c r="D524" s="5" t="s">
        <v>13</v>
      </c>
      <c r="E524" s="6">
        <v>2297</v>
      </c>
      <c r="F524" s="5" t="str">
        <f>HYPERLINK("https://www.google.com/maps/search/?api=1&amp;query=24.68166379,46.80459328", "View Map")</f>
        <v>View Map</v>
      </c>
    </row>
    <row r="525" spans="1:6" x14ac:dyDescent="0.35">
      <c r="A525" s="4" t="s">
        <v>6335</v>
      </c>
      <c r="B525" s="5" t="s">
        <v>2670</v>
      </c>
      <c r="C525" s="5" t="s">
        <v>1776</v>
      </c>
      <c r="D525" s="5" t="s">
        <v>13</v>
      </c>
      <c r="E525" s="6">
        <v>2296</v>
      </c>
      <c r="F525" s="5" t="str">
        <f>HYPERLINK("https://www.google.com/maps/search/?api=1&amp;query=24.68289251,46.68160418", "View Map")</f>
        <v>View Map</v>
      </c>
    </row>
    <row r="526" spans="1:6" x14ac:dyDescent="0.35">
      <c r="A526" s="4" t="s">
        <v>6336</v>
      </c>
      <c r="B526" s="5" t="s">
        <v>2672</v>
      </c>
      <c r="C526" s="5" t="s">
        <v>1776</v>
      </c>
      <c r="D526" s="5" t="s">
        <v>13</v>
      </c>
      <c r="E526" s="6">
        <v>2294</v>
      </c>
      <c r="F526" s="5" t="str">
        <f>HYPERLINK("https://www.google.com/maps/search/?api=1&amp;query=24.70771,46.67637", "View Map")</f>
        <v>View Map</v>
      </c>
    </row>
    <row r="527" spans="1:6" x14ac:dyDescent="0.35">
      <c r="A527" s="4" t="s">
        <v>6337</v>
      </c>
      <c r="B527" s="5" t="s">
        <v>2674</v>
      </c>
      <c r="C527" s="5" t="s">
        <v>1776</v>
      </c>
      <c r="D527" s="5" t="s">
        <v>13</v>
      </c>
      <c r="E527" s="6">
        <v>2294</v>
      </c>
      <c r="F527" s="5" t="str">
        <f>HYPERLINK("https://www.google.com/maps/search/?api=1&amp;query=24.67528726,46.58276208", "View Map")</f>
        <v>View Map</v>
      </c>
    </row>
    <row r="528" spans="1:6" x14ac:dyDescent="0.35">
      <c r="A528" s="4" t="s">
        <v>5972</v>
      </c>
      <c r="B528" s="5" t="s">
        <v>2675</v>
      </c>
      <c r="C528" s="5" t="s">
        <v>1776</v>
      </c>
      <c r="D528" s="5" t="s">
        <v>13</v>
      </c>
      <c r="E528" s="6">
        <v>2293</v>
      </c>
      <c r="F528" s="5" t="str">
        <f>HYPERLINK("https://www.google.com/maps/search/?api=1&amp;query=24.8319,46.6525", "View Map")</f>
        <v>View Map</v>
      </c>
    </row>
    <row r="529" spans="1:6" x14ac:dyDescent="0.35">
      <c r="A529" s="4" t="s">
        <v>6338</v>
      </c>
      <c r="B529" s="5" t="s">
        <v>2677</v>
      </c>
      <c r="C529" s="5" t="s">
        <v>1776</v>
      </c>
      <c r="D529" s="5" t="s">
        <v>13</v>
      </c>
      <c r="E529" s="6">
        <v>2292</v>
      </c>
      <c r="F529" s="5" t="str">
        <f>HYPERLINK("https://www.google.com/maps/search/?api=1&amp;query=24.55335453,46.86842219", "View Map")</f>
        <v>View Map</v>
      </c>
    </row>
    <row r="530" spans="1:6" x14ac:dyDescent="0.35">
      <c r="A530" s="4" t="s">
        <v>6339</v>
      </c>
      <c r="B530" s="5" t="s">
        <v>2679</v>
      </c>
      <c r="C530" s="5" t="s">
        <v>1776</v>
      </c>
      <c r="D530" s="5" t="s">
        <v>13</v>
      </c>
      <c r="E530" s="6">
        <v>2291</v>
      </c>
      <c r="F530" s="5" t="str">
        <f>HYPERLINK("https://www.google.com/maps/search/?api=1&amp;query=24.65642147,46.74074333", "View Map")</f>
        <v>View Map</v>
      </c>
    </row>
    <row r="531" spans="1:6" x14ac:dyDescent="0.35">
      <c r="A531" s="4" t="s">
        <v>6340</v>
      </c>
      <c r="B531" s="5" t="s">
        <v>2681</v>
      </c>
      <c r="C531" s="5" t="s">
        <v>1776</v>
      </c>
      <c r="D531" s="5" t="s">
        <v>13</v>
      </c>
      <c r="E531" s="6">
        <v>2286</v>
      </c>
      <c r="F531" s="5" t="str">
        <f>HYPERLINK("https://www.google.com/maps/search/?api=1&amp;query=24.72411491,46.85601722", "View Map")</f>
        <v>View Map</v>
      </c>
    </row>
    <row r="532" spans="1:6" x14ac:dyDescent="0.35">
      <c r="A532" s="4" t="s">
        <v>6341</v>
      </c>
      <c r="B532" s="5" t="s">
        <v>2683</v>
      </c>
      <c r="C532" s="5" t="s">
        <v>1776</v>
      </c>
      <c r="D532" s="5" t="s">
        <v>13</v>
      </c>
      <c r="E532" s="6">
        <v>2275</v>
      </c>
      <c r="F532" s="5" t="str">
        <f>HYPERLINK("https://www.google.com/maps/search/?api=1&amp;query=24.54167953,46.73054959", "View Map")</f>
        <v>View Map</v>
      </c>
    </row>
    <row r="533" spans="1:6" x14ac:dyDescent="0.35">
      <c r="A533" s="4" t="s">
        <v>6342</v>
      </c>
      <c r="B533" s="5" t="s">
        <v>2685</v>
      </c>
      <c r="C533" s="5" t="s">
        <v>1776</v>
      </c>
      <c r="D533" s="5" t="s">
        <v>13</v>
      </c>
      <c r="E533" s="6">
        <v>2271</v>
      </c>
      <c r="F533" s="5" t="str">
        <f>HYPERLINK("https://www.google.com/maps/search/?api=1&amp;query=24.626032,46.67015535", "View Map")</f>
        <v>View Map</v>
      </c>
    </row>
    <row r="534" spans="1:6" x14ac:dyDescent="0.35">
      <c r="A534" s="4" t="s">
        <v>5974</v>
      </c>
      <c r="B534" s="5" t="s">
        <v>2686</v>
      </c>
      <c r="C534" s="5" t="s">
        <v>1776</v>
      </c>
      <c r="D534" s="5" t="s">
        <v>13</v>
      </c>
      <c r="E534" s="6">
        <v>2252</v>
      </c>
      <c r="F534" s="5" t="str">
        <f>HYPERLINK("https://www.google.com/maps/search/?api=1&amp;query=24.74721727,46.62628386", "View Map")</f>
        <v>View Map</v>
      </c>
    </row>
    <row r="535" spans="1:6" x14ac:dyDescent="0.35">
      <c r="A535" s="4" t="s">
        <v>6343</v>
      </c>
      <c r="B535" s="5" t="s">
        <v>2688</v>
      </c>
      <c r="C535" s="5" t="s">
        <v>1776</v>
      </c>
      <c r="D535" s="5" t="s">
        <v>13</v>
      </c>
      <c r="E535" s="6">
        <v>2251</v>
      </c>
      <c r="F535" s="5" t="str">
        <f>HYPERLINK("https://www.google.com/maps/search/?api=1&amp;query=24.6325,46.7156", "View Map")</f>
        <v>View Map</v>
      </c>
    </row>
    <row r="536" spans="1:6" x14ac:dyDescent="0.35">
      <c r="A536" s="4" t="s">
        <v>6344</v>
      </c>
      <c r="B536" s="5" t="s">
        <v>2690</v>
      </c>
      <c r="C536" s="5" t="s">
        <v>1776</v>
      </c>
      <c r="D536" s="5" t="s">
        <v>13</v>
      </c>
      <c r="E536" s="6">
        <v>2250</v>
      </c>
      <c r="F536" s="5" t="str">
        <f>HYPERLINK("https://www.google.com/maps/search/?api=1&amp;query=24.80040817,46.61245204", "View Map")</f>
        <v>View Map</v>
      </c>
    </row>
    <row r="537" spans="1:6" x14ac:dyDescent="0.35">
      <c r="A537" s="4" t="s">
        <v>6345</v>
      </c>
      <c r="B537" s="5" t="s">
        <v>2692</v>
      </c>
      <c r="C537" s="5" t="s">
        <v>1776</v>
      </c>
      <c r="D537" s="5" t="s">
        <v>13</v>
      </c>
      <c r="E537" s="6">
        <v>2249</v>
      </c>
      <c r="F537" s="5" t="str">
        <f>HYPERLINK("https://www.google.com/maps/search/?api=1&amp;query=24.87258727,46.80882715", "View Map")</f>
        <v>View Map</v>
      </c>
    </row>
    <row r="538" spans="1:6" x14ac:dyDescent="0.35">
      <c r="A538" s="4" t="s">
        <v>5974</v>
      </c>
      <c r="B538" s="5" t="s">
        <v>2693</v>
      </c>
      <c r="C538" s="5" t="s">
        <v>1776</v>
      </c>
      <c r="D538" s="5" t="s">
        <v>13</v>
      </c>
      <c r="E538" s="6">
        <v>2245</v>
      </c>
      <c r="F538" s="5" t="str">
        <f>HYPERLINK("https://www.google.com/maps/search/?api=1&amp;query=24.81538117,46.8052495", "View Map")</f>
        <v>View Map</v>
      </c>
    </row>
    <row r="539" spans="1:6" x14ac:dyDescent="0.35">
      <c r="A539" s="4" t="s">
        <v>6346</v>
      </c>
      <c r="B539" s="5" t="s">
        <v>2695</v>
      </c>
      <c r="C539" s="5" t="s">
        <v>1776</v>
      </c>
      <c r="D539" s="5" t="s">
        <v>13</v>
      </c>
      <c r="E539" s="6">
        <v>2244</v>
      </c>
      <c r="F539" s="5" t="str">
        <f>HYPERLINK("https://www.google.com/maps/search/?api=1&amp;query=24.7526,46.70686", "View Map")</f>
        <v>View Map</v>
      </c>
    </row>
    <row r="540" spans="1:6" x14ac:dyDescent="0.35">
      <c r="A540" s="4" t="s">
        <v>6293</v>
      </c>
      <c r="B540" s="5" t="s">
        <v>2696</v>
      </c>
      <c r="C540" s="5" t="s">
        <v>1776</v>
      </c>
      <c r="D540" s="5" t="s">
        <v>13</v>
      </c>
      <c r="E540" s="6">
        <v>2243</v>
      </c>
      <c r="F540" s="5" t="str">
        <f>HYPERLINK("https://www.google.com/maps/search/?api=1&amp;query=24.77136506,46.77602207", "View Map")</f>
        <v>View Map</v>
      </c>
    </row>
    <row r="541" spans="1:6" x14ac:dyDescent="0.35">
      <c r="A541" s="4" t="s">
        <v>6347</v>
      </c>
      <c r="B541" s="5" t="s">
        <v>2698</v>
      </c>
      <c r="C541" s="5" t="s">
        <v>1776</v>
      </c>
      <c r="D541" s="5" t="s">
        <v>13</v>
      </c>
      <c r="E541" s="6">
        <v>2239</v>
      </c>
      <c r="F541" s="5" t="str">
        <f>HYPERLINK("https://www.google.com/maps/search/?api=1&amp;query=24.71092091,46.83455047", "View Map")</f>
        <v>View Map</v>
      </c>
    </row>
    <row r="542" spans="1:6" x14ac:dyDescent="0.35">
      <c r="A542" s="4" t="s">
        <v>6348</v>
      </c>
      <c r="B542" s="5" t="s">
        <v>2700</v>
      </c>
      <c r="C542" s="5" t="s">
        <v>1776</v>
      </c>
      <c r="D542" s="5" t="s">
        <v>13</v>
      </c>
      <c r="E542" s="6">
        <v>2232</v>
      </c>
      <c r="F542" s="5" t="str">
        <f>HYPERLINK("https://www.google.com/maps/search/?api=1&amp;query=24.7226486,46.79984027", "View Map")</f>
        <v>View Map</v>
      </c>
    </row>
    <row r="543" spans="1:6" x14ac:dyDescent="0.35">
      <c r="A543" s="4" t="s">
        <v>5974</v>
      </c>
      <c r="B543" s="5" t="s">
        <v>2701</v>
      </c>
      <c r="C543" s="5" t="s">
        <v>1776</v>
      </c>
      <c r="D543" s="5" t="s">
        <v>13</v>
      </c>
      <c r="E543" s="6">
        <v>2232</v>
      </c>
      <c r="F543" s="5" t="str">
        <f>HYPERLINK("https://www.google.com/maps/search/?api=1&amp;query=24.8482485,46.82373402", "View Map")</f>
        <v>View Map</v>
      </c>
    </row>
    <row r="544" spans="1:6" x14ac:dyDescent="0.35">
      <c r="A544" s="4" t="s">
        <v>5978</v>
      </c>
      <c r="B544" s="5" t="s">
        <v>2702</v>
      </c>
      <c r="C544" s="5" t="s">
        <v>1776</v>
      </c>
      <c r="D544" s="5" t="s">
        <v>13</v>
      </c>
      <c r="E544" s="6">
        <v>2229</v>
      </c>
      <c r="F544" s="5" t="str">
        <f>HYPERLINK("https://www.google.com/maps/search/?api=1&amp;query=24.81358583,46.78162619", "View Map")</f>
        <v>View Map</v>
      </c>
    </row>
    <row r="545" spans="1:6" x14ac:dyDescent="0.35">
      <c r="A545" s="4" t="s">
        <v>5978</v>
      </c>
      <c r="B545" s="5" t="s">
        <v>2703</v>
      </c>
      <c r="C545" s="5" t="s">
        <v>1776</v>
      </c>
      <c r="D545" s="5" t="s">
        <v>13</v>
      </c>
      <c r="E545" s="6">
        <v>2226</v>
      </c>
      <c r="F545" s="5" t="str">
        <f>HYPERLINK("https://www.google.com/maps/search/?api=1&amp;query=24.83148734,46.88593313", "View Map")</f>
        <v>View Map</v>
      </c>
    </row>
    <row r="546" spans="1:6" x14ac:dyDescent="0.35">
      <c r="A546" s="4" t="s">
        <v>6349</v>
      </c>
      <c r="B546" s="5" t="s">
        <v>2705</v>
      </c>
      <c r="C546" s="5" t="s">
        <v>1776</v>
      </c>
      <c r="D546" s="5" t="s">
        <v>13</v>
      </c>
      <c r="E546" s="6">
        <v>2224</v>
      </c>
      <c r="F546" s="5" t="str">
        <f>HYPERLINK("https://www.google.com/maps/search/?api=1&amp;query=24.71732238,46.77786977", "View Map")</f>
        <v>View Map</v>
      </c>
    </row>
    <row r="547" spans="1:6" x14ac:dyDescent="0.35">
      <c r="A547" s="4" t="s">
        <v>6350</v>
      </c>
      <c r="B547" s="5" t="s">
        <v>2706</v>
      </c>
      <c r="C547" s="5" t="s">
        <v>1776</v>
      </c>
      <c r="D547" s="5" t="s">
        <v>13</v>
      </c>
      <c r="E547" s="6">
        <v>2223</v>
      </c>
      <c r="F547" s="5" t="str">
        <f>HYPERLINK("https://www.google.com/maps/search/?api=1&amp;query=24.70893355,46.78726012", "View Map")</f>
        <v>View Map</v>
      </c>
    </row>
    <row r="548" spans="1:6" x14ac:dyDescent="0.35">
      <c r="A548" s="4" t="s">
        <v>6351</v>
      </c>
      <c r="B548" s="5" t="s">
        <v>2708</v>
      </c>
      <c r="C548" s="5" t="s">
        <v>1776</v>
      </c>
      <c r="D548" s="5" t="s">
        <v>13</v>
      </c>
      <c r="E548" s="6">
        <v>2221</v>
      </c>
      <c r="F548" s="5" t="str">
        <f>HYPERLINK("https://www.google.com/maps/search/?api=1&amp;query=24.57016355,46.62149744", "View Map")</f>
        <v>View Map</v>
      </c>
    </row>
    <row r="549" spans="1:6" x14ac:dyDescent="0.35">
      <c r="A549" s="4" t="s">
        <v>6352</v>
      </c>
      <c r="B549" s="5" t="s">
        <v>2710</v>
      </c>
      <c r="C549" s="5" t="s">
        <v>1776</v>
      </c>
      <c r="D549" s="5" t="s">
        <v>13</v>
      </c>
      <c r="E549" s="6">
        <v>2220</v>
      </c>
      <c r="F549" s="5" t="str">
        <f>HYPERLINK("https://www.google.com/maps/search/?api=1&amp;query=24.64,46.6964", "View Map")</f>
        <v>View Map</v>
      </c>
    </row>
    <row r="550" spans="1:6" x14ac:dyDescent="0.35">
      <c r="A550" s="4" t="s">
        <v>6353</v>
      </c>
      <c r="B550" s="5" t="s">
        <v>2712</v>
      </c>
      <c r="C550" s="5" t="s">
        <v>1776</v>
      </c>
      <c r="D550" s="5" t="s">
        <v>13</v>
      </c>
      <c r="E550" s="6">
        <v>2216</v>
      </c>
      <c r="F550" s="5" t="str">
        <f>HYPERLINK("https://www.google.com/maps/search/?api=1&amp;query=24.73894872,46.78983778", "View Map")</f>
        <v>View Map</v>
      </c>
    </row>
    <row r="551" spans="1:6" x14ac:dyDescent="0.35">
      <c r="A551" s="4" t="s">
        <v>5974</v>
      </c>
      <c r="B551" s="5" t="s">
        <v>2713</v>
      </c>
      <c r="C551" s="5" t="s">
        <v>1776</v>
      </c>
      <c r="D551" s="5" t="s">
        <v>13</v>
      </c>
      <c r="E551" s="6">
        <v>2213</v>
      </c>
      <c r="F551" s="5" t="str">
        <f>HYPERLINK("https://www.google.com/maps/search/?api=1&amp;query=24.84817858,46.82772415", "View Map")</f>
        <v>View Map</v>
      </c>
    </row>
    <row r="552" spans="1:6" x14ac:dyDescent="0.35">
      <c r="A552" s="4" t="s">
        <v>6354</v>
      </c>
      <c r="B552" s="5" t="s">
        <v>2715</v>
      </c>
      <c r="C552" s="5" t="s">
        <v>1776</v>
      </c>
      <c r="D552" s="5" t="s">
        <v>13</v>
      </c>
      <c r="E552" s="6">
        <v>2212</v>
      </c>
      <c r="F552" s="5" t="str">
        <f>HYPERLINK("https://www.google.com/maps/search/?api=1&amp;query=24.61632806,46.64672449", "View Map")</f>
        <v>View Map</v>
      </c>
    </row>
    <row r="553" spans="1:6" x14ac:dyDescent="0.35">
      <c r="A553" s="4" t="s">
        <v>5974</v>
      </c>
      <c r="B553" s="5" t="s">
        <v>2716</v>
      </c>
      <c r="C553" s="5" t="s">
        <v>1776</v>
      </c>
      <c r="D553" s="5" t="s">
        <v>13</v>
      </c>
      <c r="E553" s="6">
        <v>2207</v>
      </c>
      <c r="F553" s="5" t="str">
        <f>HYPERLINK("https://www.google.com/maps/search/?api=1&amp;query=24.64157218,46.66129257", "View Map")</f>
        <v>View Map</v>
      </c>
    </row>
    <row r="554" spans="1:6" x14ac:dyDescent="0.35">
      <c r="A554" s="4" t="s">
        <v>6355</v>
      </c>
      <c r="B554" s="5" t="s">
        <v>2718</v>
      </c>
      <c r="C554" s="5" t="s">
        <v>1776</v>
      </c>
      <c r="D554" s="5" t="s">
        <v>13</v>
      </c>
      <c r="E554" s="6">
        <v>2206</v>
      </c>
      <c r="F554" s="5" t="str">
        <f>HYPERLINK("https://www.google.com/maps/search/?api=1&amp;query=24.68787843,46.57693484", "View Map")</f>
        <v>View Map</v>
      </c>
    </row>
    <row r="555" spans="1:6" x14ac:dyDescent="0.35">
      <c r="A555" s="4" t="s">
        <v>6039</v>
      </c>
      <c r="B555" s="5" t="s">
        <v>2719</v>
      </c>
      <c r="C555" s="5" t="s">
        <v>1776</v>
      </c>
      <c r="D555" s="5" t="s">
        <v>13</v>
      </c>
      <c r="E555" s="6">
        <v>2205</v>
      </c>
      <c r="F555" s="5" t="str">
        <f>HYPERLINK("https://www.google.com/maps/search/?api=1&amp;query=24.6122,46.7017", "View Map")</f>
        <v>View Map</v>
      </c>
    </row>
    <row r="556" spans="1:6" x14ac:dyDescent="0.35">
      <c r="A556" s="4" t="s">
        <v>6356</v>
      </c>
      <c r="B556" s="5" t="s">
        <v>2721</v>
      </c>
      <c r="C556" s="5" t="s">
        <v>1776</v>
      </c>
      <c r="D556" s="5" t="s">
        <v>13</v>
      </c>
      <c r="E556" s="6">
        <v>2200</v>
      </c>
      <c r="F556" s="5" t="str">
        <f>HYPERLINK("https://www.google.com/maps/search/?api=1&amp;query=24.57608323,46.83532588", "View Map")</f>
        <v>View Map</v>
      </c>
    </row>
    <row r="557" spans="1:6" x14ac:dyDescent="0.35">
      <c r="A557" s="4" t="s">
        <v>6357</v>
      </c>
      <c r="B557" s="5" t="s">
        <v>2723</v>
      </c>
      <c r="C557" s="5" t="s">
        <v>1776</v>
      </c>
      <c r="D557" s="5" t="s">
        <v>13</v>
      </c>
      <c r="E557" s="6">
        <v>2200</v>
      </c>
      <c r="F557" s="5" t="str">
        <f>HYPERLINK("https://www.google.com/maps/search/?api=1&amp;query=24.56381494,46.70718724", "View Map")</f>
        <v>View Map</v>
      </c>
    </row>
    <row r="558" spans="1:6" x14ac:dyDescent="0.35">
      <c r="A558" s="4" t="s">
        <v>5974</v>
      </c>
      <c r="B558" s="5" t="s">
        <v>2724</v>
      </c>
      <c r="C558" s="5" t="s">
        <v>1776</v>
      </c>
      <c r="D558" s="5" t="s">
        <v>13</v>
      </c>
      <c r="E558" s="6">
        <v>2196</v>
      </c>
      <c r="F558" s="5" t="str">
        <f>HYPERLINK("https://www.google.com/maps/search/?api=1&amp;query=0.0,0.0", "View Map")</f>
        <v>View Map</v>
      </c>
    </row>
    <row r="559" spans="1:6" x14ac:dyDescent="0.35">
      <c r="A559" s="4" t="s">
        <v>6358</v>
      </c>
      <c r="B559" s="5" t="s">
        <v>2726</v>
      </c>
      <c r="C559" s="5" t="s">
        <v>1776</v>
      </c>
      <c r="D559" s="5" t="s">
        <v>13</v>
      </c>
      <c r="E559" s="6">
        <v>2193</v>
      </c>
      <c r="F559" s="5" t="str">
        <f>HYPERLINK("https://www.google.com/maps/search/?api=1&amp;query=24.77379701,46.67295", "View Map")</f>
        <v>View Map</v>
      </c>
    </row>
    <row r="560" spans="1:6" x14ac:dyDescent="0.35">
      <c r="A560" s="4" t="s">
        <v>6344</v>
      </c>
      <c r="B560" s="5" t="s">
        <v>2727</v>
      </c>
      <c r="C560" s="5" t="s">
        <v>1776</v>
      </c>
      <c r="D560" s="5" t="s">
        <v>13</v>
      </c>
      <c r="E560" s="6">
        <v>2191</v>
      </c>
      <c r="F560" s="5" t="str">
        <f>HYPERLINK("https://www.google.com/maps/search/?api=1&amp;query=24.73929471,46.7187042", "View Map")</f>
        <v>View Map</v>
      </c>
    </row>
    <row r="561" spans="1:6" x14ac:dyDescent="0.35">
      <c r="A561" s="4" t="s">
        <v>6359</v>
      </c>
      <c r="B561" s="5" t="s">
        <v>2729</v>
      </c>
      <c r="C561" s="5" t="s">
        <v>1776</v>
      </c>
      <c r="D561" s="5" t="s">
        <v>13</v>
      </c>
      <c r="E561" s="6">
        <v>2191</v>
      </c>
      <c r="F561" s="5" t="str">
        <f>HYPERLINK("https://www.google.com/maps/search/?api=1&amp;query=24.69948418,46.85979804", "View Map")</f>
        <v>View Map</v>
      </c>
    </row>
    <row r="562" spans="1:6" x14ac:dyDescent="0.35">
      <c r="A562" s="4" t="s">
        <v>6360</v>
      </c>
      <c r="B562" s="5" t="s">
        <v>2731</v>
      </c>
      <c r="C562" s="5" t="s">
        <v>1776</v>
      </c>
      <c r="D562" s="5" t="s">
        <v>13</v>
      </c>
      <c r="E562" s="6">
        <v>2190</v>
      </c>
      <c r="F562" s="5" t="str">
        <f>HYPERLINK("https://www.google.com/maps/search/?api=1&amp;query=24.57064654,46.71489436", "View Map")</f>
        <v>View Map</v>
      </c>
    </row>
    <row r="563" spans="1:6" x14ac:dyDescent="0.35">
      <c r="A563" s="4" t="s">
        <v>6361</v>
      </c>
      <c r="B563" s="5" t="s">
        <v>2733</v>
      </c>
      <c r="C563" s="5" t="s">
        <v>1776</v>
      </c>
      <c r="D563" s="5" t="s">
        <v>13</v>
      </c>
      <c r="E563" s="6">
        <v>2188</v>
      </c>
      <c r="F563" s="5" t="str">
        <f>HYPERLINK("https://www.google.com/maps/search/?api=1&amp;query=24.65428805,46.74159627", "View Map")</f>
        <v>View Map</v>
      </c>
    </row>
    <row r="564" spans="1:6" x14ac:dyDescent="0.35">
      <c r="A564" s="4" t="s">
        <v>6362</v>
      </c>
      <c r="B564" s="5" t="s">
        <v>2735</v>
      </c>
      <c r="C564" s="5" t="s">
        <v>1776</v>
      </c>
      <c r="D564" s="5" t="s">
        <v>13</v>
      </c>
      <c r="E564" s="6">
        <v>2184</v>
      </c>
      <c r="F564" s="5" t="str">
        <f>HYPERLINK("https://www.google.com/maps/search/?api=1&amp;query=24.55324627,46.68157371", "View Map")</f>
        <v>View Map</v>
      </c>
    </row>
    <row r="565" spans="1:6" x14ac:dyDescent="0.35">
      <c r="A565" s="4" t="s">
        <v>6363</v>
      </c>
      <c r="B565" s="5" t="s">
        <v>2737</v>
      </c>
      <c r="C565" s="5" t="s">
        <v>1776</v>
      </c>
      <c r="D565" s="5" t="s">
        <v>13</v>
      </c>
      <c r="E565" s="6">
        <v>2178</v>
      </c>
      <c r="F565" s="5" t="str">
        <f>HYPERLINK("https://www.google.com/maps/search/?api=1&amp;query=24.78023049,46.67701325", "View Map")</f>
        <v>View Map</v>
      </c>
    </row>
    <row r="566" spans="1:6" x14ac:dyDescent="0.35">
      <c r="A566" s="4" t="s">
        <v>6364</v>
      </c>
      <c r="B566" s="5" t="s">
        <v>2739</v>
      </c>
      <c r="C566" s="5" t="s">
        <v>1776</v>
      </c>
      <c r="D566" s="5" t="s">
        <v>13</v>
      </c>
      <c r="E566" s="6">
        <v>2174</v>
      </c>
      <c r="F566" s="5" t="str">
        <f>HYPERLINK("https://www.google.com/maps/search/?api=1&amp;query=24.71807026,46.83111536", "View Map")</f>
        <v>View Map</v>
      </c>
    </row>
    <row r="567" spans="1:6" x14ac:dyDescent="0.35">
      <c r="A567" s="4" t="s">
        <v>6365</v>
      </c>
      <c r="B567" s="5" t="s">
        <v>2741</v>
      </c>
      <c r="C567" s="5" t="s">
        <v>1776</v>
      </c>
      <c r="D567" s="5" t="s">
        <v>13</v>
      </c>
      <c r="E567" s="6">
        <v>2171</v>
      </c>
      <c r="F567" s="5" t="str">
        <f>HYPERLINK("https://www.google.com/maps/search/?api=1&amp;query=24.58976787,46.73712067", "View Map")</f>
        <v>View Map</v>
      </c>
    </row>
    <row r="568" spans="1:6" x14ac:dyDescent="0.35">
      <c r="A568" s="4" t="s">
        <v>6366</v>
      </c>
      <c r="B568" s="5" t="s">
        <v>2743</v>
      </c>
      <c r="C568" s="5" t="s">
        <v>1776</v>
      </c>
      <c r="D568" s="5" t="s">
        <v>13</v>
      </c>
      <c r="E568" s="6">
        <v>2167</v>
      </c>
      <c r="F568" s="5" t="str">
        <f>HYPERLINK("https://www.google.com/maps/search/?api=1&amp;query=24.57640778,46.59466383", "View Map")</f>
        <v>View Map</v>
      </c>
    </row>
    <row r="569" spans="1:6" x14ac:dyDescent="0.35">
      <c r="A569" s="4" t="s">
        <v>6367</v>
      </c>
      <c r="B569" s="5" t="s">
        <v>2745</v>
      </c>
      <c r="C569" s="5" t="s">
        <v>1776</v>
      </c>
      <c r="D569" s="5" t="s">
        <v>13</v>
      </c>
      <c r="E569" s="6">
        <v>2165</v>
      </c>
      <c r="F569" s="5" t="str">
        <f>HYPERLINK("https://www.google.com/maps/search/?api=1&amp;query=24.62036701,46.80794113", "View Map")</f>
        <v>View Map</v>
      </c>
    </row>
    <row r="570" spans="1:6" x14ac:dyDescent="0.35">
      <c r="A570" s="4" t="s">
        <v>6368</v>
      </c>
      <c r="B570" s="5" t="s">
        <v>2747</v>
      </c>
      <c r="C570" s="5" t="s">
        <v>1776</v>
      </c>
      <c r="D570" s="5" t="s">
        <v>13</v>
      </c>
      <c r="E570" s="6">
        <v>2165</v>
      </c>
      <c r="F570" s="5" t="str">
        <f>HYPERLINK("https://www.google.com/maps/search/?api=1&amp;query=24.8063862,46.65123976", "View Map")</f>
        <v>View Map</v>
      </c>
    </row>
    <row r="571" spans="1:6" x14ac:dyDescent="0.35">
      <c r="A571" s="4" t="s">
        <v>5974</v>
      </c>
      <c r="B571" s="5" t="s">
        <v>2748</v>
      </c>
      <c r="C571" s="5" t="s">
        <v>1776</v>
      </c>
      <c r="D571" s="5" t="s">
        <v>13</v>
      </c>
      <c r="E571" s="6">
        <v>2153</v>
      </c>
      <c r="F571" s="5" t="str">
        <f>HYPERLINK("https://www.google.com/maps/search/?api=1&amp;query=24.82624901,46.79934931", "View Map")</f>
        <v>View Map</v>
      </c>
    </row>
    <row r="572" spans="1:6" x14ac:dyDescent="0.35">
      <c r="A572" s="4" t="s">
        <v>6369</v>
      </c>
      <c r="B572" s="5" t="s">
        <v>2750</v>
      </c>
      <c r="C572" s="5" t="s">
        <v>1776</v>
      </c>
      <c r="D572" s="5" t="s">
        <v>13</v>
      </c>
      <c r="E572" s="6">
        <v>2151</v>
      </c>
      <c r="F572" s="5" t="str">
        <f>HYPERLINK("https://www.google.com/maps/search/?api=1&amp;query=24.6119,46.6864", "View Map")</f>
        <v>View Map</v>
      </c>
    </row>
    <row r="573" spans="1:6" x14ac:dyDescent="0.35">
      <c r="A573" s="4" t="s">
        <v>6370</v>
      </c>
      <c r="B573" s="5" t="s">
        <v>2752</v>
      </c>
      <c r="C573" s="5" t="s">
        <v>1776</v>
      </c>
      <c r="D573" s="5" t="s">
        <v>13</v>
      </c>
      <c r="E573" s="6">
        <v>2151</v>
      </c>
      <c r="F573" s="5" t="str">
        <f>HYPERLINK("https://www.google.com/maps/search/?api=1&amp;query=24.57878307,46.6626018", "View Map")</f>
        <v>View Map</v>
      </c>
    </row>
    <row r="574" spans="1:6" x14ac:dyDescent="0.35">
      <c r="A574" s="4" t="s">
        <v>6371</v>
      </c>
      <c r="B574" s="5" t="s">
        <v>2754</v>
      </c>
      <c r="C574" s="5" t="s">
        <v>1776</v>
      </c>
      <c r="D574" s="5" t="s">
        <v>13</v>
      </c>
      <c r="E574" s="6">
        <v>2144</v>
      </c>
      <c r="F574" s="5" t="str">
        <f>HYPERLINK("https://www.google.com/maps/search/?api=1&amp;query=24.60170897,46.69501853", "View Map")</f>
        <v>View Map</v>
      </c>
    </row>
    <row r="575" spans="1:6" x14ac:dyDescent="0.35">
      <c r="A575" s="4" t="s">
        <v>6372</v>
      </c>
      <c r="B575" s="5" t="s">
        <v>2756</v>
      </c>
      <c r="C575" s="5" t="s">
        <v>1776</v>
      </c>
      <c r="D575" s="5" t="s">
        <v>13</v>
      </c>
      <c r="E575" s="6">
        <v>2139</v>
      </c>
      <c r="F575" s="5" t="str">
        <f>HYPERLINK("https://www.google.com/maps/search/?api=1&amp;query=24.7368616,46.67932325", "View Map")</f>
        <v>View Map</v>
      </c>
    </row>
    <row r="576" spans="1:6" x14ac:dyDescent="0.35">
      <c r="A576" s="4" t="s">
        <v>6373</v>
      </c>
      <c r="B576" s="5" t="s">
        <v>2758</v>
      </c>
      <c r="C576" s="5" t="s">
        <v>1776</v>
      </c>
      <c r="D576" s="5" t="s">
        <v>13</v>
      </c>
      <c r="E576" s="6">
        <v>2135</v>
      </c>
      <c r="F576" s="5" t="str">
        <f>HYPERLINK("https://www.google.com/maps/search/?api=1&amp;query=24.73725396,46.80359199", "View Map")</f>
        <v>View Map</v>
      </c>
    </row>
    <row r="577" spans="1:6" x14ac:dyDescent="0.35">
      <c r="A577" s="4" t="s">
        <v>5974</v>
      </c>
      <c r="B577" s="5" t="s">
        <v>2759</v>
      </c>
      <c r="C577" s="5" t="s">
        <v>1776</v>
      </c>
      <c r="D577" s="5" t="s">
        <v>13</v>
      </c>
      <c r="E577" s="6">
        <v>2134</v>
      </c>
      <c r="F577" s="5" t="str">
        <f>HYPERLINK("https://www.google.com/maps/search/?api=1&amp;query=0.0,0.0", "View Map")</f>
        <v>View Map</v>
      </c>
    </row>
    <row r="578" spans="1:6" x14ac:dyDescent="0.35">
      <c r="A578" s="4" t="s">
        <v>6374</v>
      </c>
      <c r="B578" s="5" t="s">
        <v>2761</v>
      </c>
      <c r="C578" s="5" t="s">
        <v>1776</v>
      </c>
      <c r="D578" s="5" t="s">
        <v>13</v>
      </c>
      <c r="E578" s="6">
        <v>2131</v>
      </c>
      <c r="F578" s="5" t="str">
        <f>HYPERLINK("https://www.google.com/maps/search/?api=1&amp;query=24.6819685,46.82093711", "View Map")</f>
        <v>View Map</v>
      </c>
    </row>
    <row r="579" spans="1:6" x14ac:dyDescent="0.35">
      <c r="A579" s="4" t="s">
        <v>5974</v>
      </c>
      <c r="B579" s="5" t="s">
        <v>2762</v>
      </c>
      <c r="C579" s="5" t="s">
        <v>1776</v>
      </c>
      <c r="D579" s="5" t="s">
        <v>13</v>
      </c>
      <c r="E579" s="6">
        <v>2126</v>
      </c>
      <c r="F579" s="5" t="str">
        <f>HYPERLINK("https://www.google.com/maps/search/?api=1&amp;query=24.83307,46.68694", "View Map")</f>
        <v>View Map</v>
      </c>
    </row>
    <row r="580" spans="1:6" x14ac:dyDescent="0.35">
      <c r="A580" s="4" t="s">
        <v>5974</v>
      </c>
      <c r="B580" s="5" t="s">
        <v>2763</v>
      </c>
      <c r="C580" s="5" t="s">
        <v>1776</v>
      </c>
      <c r="D580" s="5" t="s">
        <v>13</v>
      </c>
      <c r="E580" s="6">
        <v>2124</v>
      </c>
      <c r="F580" s="5" t="str">
        <f>HYPERLINK("https://www.google.com/maps/search/?api=1&amp;query=24.83262768,46.81771632", "View Map")</f>
        <v>View Map</v>
      </c>
    </row>
    <row r="581" spans="1:6" x14ac:dyDescent="0.35">
      <c r="A581" s="4" t="s">
        <v>6375</v>
      </c>
      <c r="B581" s="5" t="s">
        <v>2765</v>
      </c>
      <c r="C581" s="5" t="s">
        <v>1776</v>
      </c>
      <c r="D581" s="5" t="s">
        <v>13</v>
      </c>
      <c r="E581" s="6">
        <v>2120</v>
      </c>
      <c r="F581" s="5" t="str">
        <f>HYPERLINK("https://www.google.com/maps/search/?api=1&amp;query=24.61743165,46.70012993", "View Map")</f>
        <v>View Map</v>
      </c>
    </row>
    <row r="582" spans="1:6" x14ac:dyDescent="0.35">
      <c r="A582" s="4" t="s">
        <v>6376</v>
      </c>
      <c r="B582" s="5" t="s">
        <v>2767</v>
      </c>
      <c r="C582" s="5" t="s">
        <v>1776</v>
      </c>
      <c r="D582" s="5" t="s">
        <v>13</v>
      </c>
      <c r="E582" s="6">
        <v>2120</v>
      </c>
      <c r="F582" s="5" t="str">
        <f>HYPERLINK("https://www.google.com/maps/search/?api=1&amp;query=24.68348817,46.77779585", "View Map")</f>
        <v>View Map</v>
      </c>
    </row>
    <row r="583" spans="1:6" x14ac:dyDescent="0.35">
      <c r="A583" s="4" t="s">
        <v>6377</v>
      </c>
      <c r="B583" s="5" t="s">
        <v>2769</v>
      </c>
      <c r="C583" s="5" t="s">
        <v>1776</v>
      </c>
      <c r="D583" s="5" t="s">
        <v>13</v>
      </c>
      <c r="E583" s="6">
        <v>2119</v>
      </c>
      <c r="F583" s="5" t="str">
        <f>HYPERLINK("https://www.google.com/maps/search/?api=1&amp;query=24.65657097,46.72239725", "View Map")</f>
        <v>View Map</v>
      </c>
    </row>
    <row r="584" spans="1:6" x14ac:dyDescent="0.35">
      <c r="A584" s="4" t="s">
        <v>6378</v>
      </c>
      <c r="B584" s="5" t="s">
        <v>2771</v>
      </c>
      <c r="C584" s="5" t="s">
        <v>1776</v>
      </c>
      <c r="D584" s="5" t="s">
        <v>13</v>
      </c>
      <c r="E584" s="6">
        <v>2113</v>
      </c>
      <c r="F584" s="5" t="str">
        <f>HYPERLINK("https://www.google.com/maps/search/?api=1&amp;query=24.73153205,46.64280987", "View Map")</f>
        <v>View Map</v>
      </c>
    </row>
    <row r="585" spans="1:6" x14ac:dyDescent="0.35">
      <c r="A585" s="4" t="s">
        <v>5974</v>
      </c>
      <c r="B585" s="5" t="s">
        <v>2772</v>
      </c>
      <c r="C585" s="5" t="s">
        <v>1776</v>
      </c>
      <c r="D585" s="5" t="s">
        <v>13</v>
      </c>
      <c r="E585" s="6">
        <v>2113</v>
      </c>
      <c r="F585" s="5" t="str">
        <f>HYPERLINK("https://www.google.com/maps/search/?api=1&amp;query=24.76371,46.69553", "View Map")</f>
        <v>View Map</v>
      </c>
    </row>
    <row r="586" spans="1:6" x14ac:dyDescent="0.35">
      <c r="A586" s="4" t="s">
        <v>6379</v>
      </c>
      <c r="B586" s="5" t="s">
        <v>2774</v>
      </c>
      <c r="C586" s="5" t="s">
        <v>1776</v>
      </c>
      <c r="D586" s="5" t="s">
        <v>13</v>
      </c>
      <c r="E586" s="6">
        <v>2112</v>
      </c>
      <c r="F586" s="5" t="str">
        <f>HYPERLINK("https://www.google.com/maps/search/?api=1&amp;query=24.63351133,46.75650956", "View Map")</f>
        <v>View Map</v>
      </c>
    </row>
    <row r="587" spans="1:6" x14ac:dyDescent="0.35">
      <c r="A587" s="4" t="s">
        <v>5996</v>
      </c>
      <c r="B587" s="5" t="s">
        <v>2775</v>
      </c>
      <c r="C587" s="5" t="s">
        <v>1776</v>
      </c>
      <c r="D587" s="5" t="s">
        <v>13</v>
      </c>
      <c r="E587" s="6">
        <v>2106</v>
      </c>
      <c r="F587" s="5" t="str">
        <f>HYPERLINK("https://www.google.com/maps/search/?api=1&amp;query=24.7861178,46.79299834", "View Map")</f>
        <v>View Map</v>
      </c>
    </row>
    <row r="588" spans="1:6" x14ac:dyDescent="0.35">
      <c r="A588" s="4" t="s">
        <v>6260</v>
      </c>
      <c r="B588" s="5" t="s">
        <v>2776</v>
      </c>
      <c r="C588" s="5" t="s">
        <v>1776</v>
      </c>
      <c r="D588" s="5" t="s">
        <v>13</v>
      </c>
      <c r="E588" s="6">
        <v>2104</v>
      </c>
      <c r="F588" s="5" t="str">
        <f>HYPERLINK("https://www.google.com/maps/search/?api=1&amp;query=24.71118916,46.80532115", "View Map")</f>
        <v>View Map</v>
      </c>
    </row>
    <row r="589" spans="1:6" x14ac:dyDescent="0.35">
      <c r="A589" s="4" t="s">
        <v>6380</v>
      </c>
      <c r="B589" s="5" t="s">
        <v>2778</v>
      </c>
      <c r="C589" s="5" t="s">
        <v>1776</v>
      </c>
      <c r="D589" s="5" t="s">
        <v>13</v>
      </c>
      <c r="E589" s="6">
        <v>2100</v>
      </c>
      <c r="F589" s="5" t="str">
        <f>HYPERLINK("https://www.google.com/maps/search/?api=1&amp;query=24.6306191,46.75079643", "View Map")</f>
        <v>View Map</v>
      </c>
    </row>
    <row r="590" spans="1:6" x14ac:dyDescent="0.35">
      <c r="A590" s="4" t="s">
        <v>6039</v>
      </c>
      <c r="B590" s="5" t="s">
        <v>2779</v>
      </c>
      <c r="C590" s="5" t="s">
        <v>1776</v>
      </c>
      <c r="D590" s="5" t="s">
        <v>13</v>
      </c>
      <c r="E590" s="6">
        <v>2098</v>
      </c>
      <c r="F590" s="5" t="str">
        <f>HYPERLINK("https://www.google.com/maps/search/?api=1&amp;query=24.51032709,46.67249126", "View Map")</f>
        <v>View Map</v>
      </c>
    </row>
    <row r="591" spans="1:6" x14ac:dyDescent="0.35">
      <c r="A591" s="4" t="s">
        <v>5972</v>
      </c>
      <c r="B591" s="5" t="s">
        <v>2780</v>
      </c>
      <c r="C591" s="5" t="s">
        <v>1776</v>
      </c>
      <c r="D591" s="5" t="s">
        <v>13</v>
      </c>
      <c r="E591" s="6">
        <v>2095</v>
      </c>
      <c r="F591" s="5" t="str">
        <f>HYPERLINK("https://www.google.com/maps/search/?api=1&amp;query=24.65968414,46.79532928", "View Map")</f>
        <v>View Map</v>
      </c>
    </row>
    <row r="592" spans="1:6" x14ac:dyDescent="0.35">
      <c r="A592" s="4" t="s">
        <v>6381</v>
      </c>
      <c r="B592" s="5" t="s">
        <v>2782</v>
      </c>
      <c r="C592" s="5" t="s">
        <v>1776</v>
      </c>
      <c r="D592" s="5" t="s">
        <v>13</v>
      </c>
      <c r="E592" s="6">
        <v>2091</v>
      </c>
      <c r="F592" s="5" t="str">
        <f>HYPERLINK("https://www.google.com/maps/search/?api=1&amp;query=24.73037392,46.68446288", "View Map")</f>
        <v>View Map</v>
      </c>
    </row>
    <row r="593" spans="1:6" x14ac:dyDescent="0.35">
      <c r="A593" s="4" t="s">
        <v>6382</v>
      </c>
      <c r="B593" s="5" t="s">
        <v>2784</v>
      </c>
      <c r="C593" s="5" t="s">
        <v>1776</v>
      </c>
      <c r="D593" s="5" t="s">
        <v>13</v>
      </c>
      <c r="E593" s="6">
        <v>2088</v>
      </c>
      <c r="F593" s="5" t="str">
        <f>HYPERLINK("https://www.google.com/maps/search/?api=1&amp;query=24.68306407,46.71265569", "View Map")</f>
        <v>View Map</v>
      </c>
    </row>
    <row r="594" spans="1:6" x14ac:dyDescent="0.35">
      <c r="A594" s="4" t="s">
        <v>6383</v>
      </c>
      <c r="B594" s="5" t="s">
        <v>2786</v>
      </c>
      <c r="C594" s="5" t="s">
        <v>1776</v>
      </c>
      <c r="D594" s="5" t="s">
        <v>13</v>
      </c>
      <c r="E594" s="6">
        <v>2086</v>
      </c>
      <c r="F594" s="5" t="str">
        <f>HYPERLINK("https://www.google.com/maps/search/?api=1&amp;query=24.58650463,46.68320732", "View Map")</f>
        <v>View Map</v>
      </c>
    </row>
    <row r="595" spans="1:6" x14ac:dyDescent="0.35">
      <c r="A595" s="4" t="s">
        <v>6384</v>
      </c>
      <c r="B595" s="5" t="s">
        <v>2788</v>
      </c>
      <c r="C595" s="5" t="s">
        <v>1776</v>
      </c>
      <c r="D595" s="5" t="s">
        <v>13</v>
      </c>
      <c r="E595" s="6">
        <v>2086</v>
      </c>
      <c r="F595" s="5" t="str">
        <f>HYPERLINK("https://www.google.com/maps/search/?api=1&amp;query=24.69849762,46.686346", "View Map")</f>
        <v>View Map</v>
      </c>
    </row>
    <row r="596" spans="1:6" x14ac:dyDescent="0.35">
      <c r="A596" s="4" t="s">
        <v>6385</v>
      </c>
      <c r="B596" s="5" t="s">
        <v>2790</v>
      </c>
      <c r="C596" s="5" t="s">
        <v>1776</v>
      </c>
      <c r="D596" s="5" t="s">
        <v>13</v>
      </c>
      <c r="E596" s="6">
        <v>2084</v>
      </c>
      <c r="F596" s="5" t="str">
        <f>HYPERLINK("https://www.google.com/maps/search/?api=1&amp;query=24.68549506,46.82876099", "View Map")</f>
        <v>View Map</v>
      </c>
    </row>
    <row r="597" spans="1:6" x14ac:dyDescent="0.35">
      <c r="A597" s="4" t="s">
        <v>6386</v>
      </c>
      <c r="B597" s="5" t="s">
        <v>2792</v>
      </c>
      <c r="C597" s="5" t="s">
        <v>1776</v>
      </c>
      <c r="D597" s="5" t="s">
        <v>13</v>
      </c>
      <c r="E597" s="6">
        <v>2080</v>
      </c>
      <c r="F597" s="5" t="str">
        <f>HYPERLINK("https://www.google.com/maps/search/?api=1&amp;query=24.59719193,46.65401444", "View Map")</f>
        <v>View Map</v>
      </c>
    </row>
    <row r="598" spans="1:6" x14ac:dyDescent="0.35">
      <c r="A598" s="4" t="s">
        <v>6387</v>
      </c>
      <c r="B598" s="5" t="s">
        <v>2794</v>
      </c>
      <c r="C598" s="5" t="s">
        <v>1776</v>
      </c>
      <c r="D598" s="5" t="s">
        <v>13</v>
      </c>
      <c r="E598" s="6">
        <v>2079</v>
      </c>
      <c r="F598" s="5" t="str">
        <f>HYPERLINK("https://www.google.com/maps/search/?api=1&amp;query=24.72207968,46.80221719", "View Map")</f>
        <v>View Map</v>
      </c>
    </row>
    <row r="599" spans="1:6" x14ac:dyDescent="0.35">
      <c r="A599" s="4" t="s">
        <v>6388</v>
      </c>
      <c r="B599" s="5" t="s">
        <v>2796</v>
      </c>
      <c r="C599" s="5" t="s">
        <v>1776</v>
      </c>
      <c r="D599" s="5" t="s">
        <v>13</v>
      </c>
      <c r="E599" s="6">
        <v>2074</v>
      </c>
      <c r="F599" s="5" t="str">
        <f>HYPERLINK("https://www.google.com/maps/search/?api=1&amp;query=24.78875116,46.70551882", "View Map")</f>
        <v>View Map</v>
      </c>
    </row>
    <row r="600" spans="1:6" x14ac:dyDescent="0.35">
      <c r="A600" s="4" t="s">
        <v>6389</v>
      </c>
      <c r="B600" s="5" t="s">
        <v>2798</v>
      </c>
      <c r="C600" s="5" t="s">
        <v>1776</v>
      </c>
      <c r="D600" s="5" t="s">
        <v>13</v>
      </c>
      <c r="E600" s="6">
        <v>2072</v>
      </c>
      <c r="F600" s="5" t="str">
        <f>HYPERLINK("https://www.google.com/maps/search/?api=1&amp;query=24.77589286,46.68995651", "View Map")</f>
        <v>View Map</v>
      </c>
    </row>
    <row r="601" spans="1:6" x14ac:dyDescent="0.35">
      <c r="A601" s="4" t="s">
        <v>6390</v>
      </c>
      <c r="B601" s="5" t="s">
        <v>2800</v>
      </c>
      <c r="C601" s="5" t="s">
        <v>1776</v>
      </c>
      <c r="D601" s="5" t="s">
        <v>13</v>
      </c>
      <c r="E601" s="6">
        <v>2070</v>
      </c>
      <c r="F601" s="5" t="str">
        <f>HYPERLINK("https://www.google.com/maps/search/?api=1&amp;query=24.6834691,46.7412753", "View Map")</f>
        <v>View Map</v>
      </c>
    </row>
    <row r="602" spans="1:6" x14ac:dyDescent="0.35">
      <c r="A602" s="4" t="s">
        <v>6391</v>
      </c>
      <c r="B602" s="5" t="s">
        <v>2802</v>
      </c>
      <c r="C602" s="5" t="s">
        <v>1776</v>
      </c>
      <c r="D602" s="5" t="s">
        <v>13</v>
      </c>
      <c r="E602" s="6">
        <v>2068</v>
      </c>
      <c r="F602" s="5" t="str">
        <f>HYPERLINK("https://www.google.com/maps/search/?api=1&amp;query=24.81112149,46.79641324", "View Map")</f>
        <v>View Map</v>
      </c>
    </row>
    <row r="603" spans="1:6" x14ac:dyDescent="0.35">
      <c r="A603" s="4" t="s">
        <v>6392</v>
      </c>
      <c r="B603" s="5" t="s">
        <v>2804</v>
      </c>
      <c r="C603" s="5" t="s">
        <v>1776</v>
      </c>
      <c r="D603" s="5" t="s">
        <v>13</v>
      </c>
      <c r="E603" s="6">
        <v>2066</v>
      </c>
      <c r="F603" s="5" t="str">
        <f>HYPERLINK("https://www.google.com/maps/search/?api=1&amp;query=24.77013796,46.82593766", "View Map")</f>
        <v>View Map</v>
      </c>
    </row>
    <row r="604" spans="1:6" x14ac:dyDescent="0.35">
      <c r="A604" s="4" t="s">
        <v>6393</v>
      </c>
      <c r="B604" s="5" t="s">
        <v>2806</v>
      </c>
      <c r="C604" s="5" t="s">
        <v>1776</v>
      </c>
      <c r="D604" s="5" t="s">
        <v>13</v>
      </c>
      <c r="E604" s="6">
        <v>2060</v>
      </c>
      <c r="F604" s="5" t="str">
        <f>HYPERLINK("https://www.google.com/maps/search/?api=1&amp;query=24.81829816,46.63466773", "View Map")</f>
        <v>View Map</v>
      </c>
    </row>
    <row r="605" spans="1:6" x14ac:dyDescent="0.35">
      <c r="A605" s="4" t="s">
        <v>6394</v>
      </c>
      <c r="B605" s="5" t="s">
        <v>2808</v>
      </c>
      <c r="C605" s="5" t="s">
        <v>1776</v>
      </c>
      <c r="D605" s="5" t="s">
        <v>13</v>
      </c>
      <c r="E605" s="6">
        <v>2058</v>
      </c>
      <c r="F605" s="5" t="str">
        <f>HYPERLINK("https://www.google.com/maps/search/?api=1&amp;query=24.57247204,46.61897024", "View Map")</f>
        <v>View Map</v>
      </c>
    </row>
    <row r="606" spans="1:6" x14ac:dyDescent="0.35">
      <c r="A606" s="4" t="s">
        <v>6395</v>
      </c>
      <c r="B606" s="5" t="s">
        <v>2810</v>
      </c>
      <c r="C606" s="5" t="s">
        <v>1776</v>
      </c>
      <c r="D606" s="5" t="s">
        <v>13</v>
      </c>
      <c r="E606" s="6">
        <v>2057</v>
      </c>
      <c r="F606" s="5" t="str">
        <f>HYPERLINK("https://www.google.com/maps/search/?api=1&amp;query=24.64942153,46.70695369", "View Map")</f>
        <v>View Map</v>
      </c>
    </row>
    <row r="607" spans="1:6" x14ac:dyDescent="0.35">
      <c r="A607" s="4" t="s">
        <v>6396</v>
      </c>
      <c r="B607" s="5" t="s">
        <v>2812</v>
      </c>
      <c r="C607" s="5" t="s">
        <v>1776</v>
      </c>
      <c r="D607" s="5" t="s">
        <v>13</v>
      </c>
      <c r="E607" s="6">
        <v>2053</v>
      </c>
      <c r="F607" s="5" t="str">
        <f>HYPERLINK("https://www.google.com/maps/search/?api=1&amp;query=24.7280551,46.82088315", "View Map")</f>
        <v>View Map</v>
      </c>
    </row>
    <row r="608" spans="1:6" x14ac:dyDescent="0.35">
      <c r="A608" s="4" t="s">
        <v>6220</v>
      </c>
      <c r="B608" s="5" t="s">
        <v>2813</v>
      </c>
      <c r="C608" s="5" t="s">
        <v>1776</v>
      </c>
      <c r="D608" s="5" t="s">
        <v>13</v>
      </c>
      <c r="E608" s="6">
        <v>2050</v>
      </c>
      <c r="F608" s="5" t="str">
        <f>HYPERLINK("https://www.google.com/maps/search/?api=1&amp;query=24.58435564,46.76394926", "View Map")</f>
        <v>View Map</v>
      </c>
    </row>
    <row r="609" spans="1:6" x14ac:dyDescent="0.35">
      <c r="A609" s="4" t="s">
        <v>6397</v>
      </c>
      <c r="B609" s="5" t="s">
        <v>2815</v>
      </c>
      <c r="C609" s="5" t="s">
        <v>1776</v>
      </c>
      <c r="D609" s="5" t="s">
        <v>13</v>
      </c>
      <c r="E609" s="6">
        <v>2048</v>
      </c>
      <c r="F609" s="5" t="str">
        <f>HYPERLINK("https://www.google.com/maps/search/?api=1&amp;query=24.80039563,46.80001072", "View Map")</f>
        <v>View Map</v>
      </c>
    </row>
    <row r="610" spans="1:6" x14ac:dyDescent="0.35">
      <c r="A610" s="4" t="s">
        <v>6398</v>
      </c>
      <c r="B610" s="5" t="s">
        <v>2817</v>
      </c>
      <c r="C610" s="5" t="s">
        <v>1776</v>
      </c>
      <c r="D610" s="5" t="s">
        <v>13</v>
      </c>
      <c r="E610" s="6">
        <v>2048</v>
      </c>
      <c r="F610" s="5" t="str">
        <f>HYPERLINK("https://www.google.com/maps/search/?api=1&amp;query=24.80549012,46.70952652", "View Map")</f>
        <v>View Map</v>
      </c>
    </row>
    <row r="611" spans="1:6" x14ac:dyDescent="0.35">
      <c r="A611" s="4" t="s">
        <v>5974</v>
      </c>
      <c r="B611" s="5" t="s">
        <v>2818</v>
      </c>
      <c r="C611" s="5" t="s">
        <v>1776</v>
      </c>
      <c r="D611" s="5" t="s">
        <v>13</v>
      </c>
      <c r="E611" s="6">
        <v>2043</v>
      </c>
      <c r="F611" s="5" t="str">
        <f>HYPERLINK("https://www.google.com/maps/search/?api=1&amp;query=24.85203405,46.82693237", "View Map")</f>
        <v>View Map</v>
      </c>
    </row>
    <row r="612" spans="1:6" x14ac:dyDescent="0.35">
      <c r="A612" s="4" t="s">
        <v>5972</v>
      </c>
      <c r="B612" s="5" t="s">
        <v>2819</v>
      </c>
      <c r="C612" s="5" t="s">
        <v>1776</v>
      </c>
      <c r="D612" s="5" t="s">
        <v>13</v>
      </c>
      <c r="E612" s="6">
        <v>2042</v>
      </c>
      <c r="F612" s="5" t="str">
        <f>HYPERLINK("https://www.google.com/maps/search/?api=1&amp;query=24.8265293,46.59987905", "View Map")</f>
        <v>View Map</v>
      </c>
    </row>
    <row r="613" spans="1:6" x14ac:dyDescent="0.35">
      <c r="A613" s="4" t="s">
        <v>6399</v>
      </c>
      <c r="B613" s="5" t="s">
        <v>2821</v>
      </c>
      <c r="C613" s="5" t="s">
        <v>1776</v>
      </c>
      <c r="D613" s="5" t="s">
        <v>13</v>
      </c>
      <c r="E613" s="6">
        <v>2041</v>
      </c>
      <c r="F613" s="5" t="str">
        <f>HYPERLINK("https://www.google.com/maps/search/?api=1&amp;query=24.62112977,46.73223297", "View Map")</f>
        <v>View Map</v>
      </c>
    </row>
    <row r="614" spans="1:6" x14ac:dyDescent="0.35">
      <c r="A614" s="4" t="s">
        <v>6400</v>
      </c>
      <c r="B614" s="5" t="s">
        <v>2823</v>
      </c>
      <c r="C614" s="5" t="s">
        <v>1776</v>
      </c>
      <c r="D614" s="5" t="s">
        <v>13</v>
      </c>
      <c r="E614" s="6">
        <v>2035</v>
      </c>
      <c r="F614" s="5" t="str">
        <f>HYPERLINK("https://www.google.com/maps/search/?api=1&amp;query=24.71435212,46.66846967", "View Map")</f>
        <v>View Map</v>
      </c>
    </row>
    <row r="615" spans="1:6" x14ac:dyDescent="0.35">
      <c r="A615" s="4" t="s">
        <v>6401</v>
      </c>
      <c r="B615" s="5" t="s">
        <v>2825</v>
      </c>
      <c r="C615" s="5" t="s">
        <v>1776</v>
      </c>
      <c r="D615" s="5" t="s">
        <v>13</v>
      </c>
      <c r="E615" s="6">
        <v>2027</v>
      </c>
      <c r="F615" s="5" t="str">
        <f>HYPERLINK("https://www.google.com/maps/search/?api=1&amp;query=24.63186916,46.68972409", "View Map")</f>
        <v>View Map</v>
      </c>
    </row>
    <row r="616" spans="1:6" x14ac:dyDescent="0.35">
      <c r="A616" s="4" t="s">
        <v>6402</v>
      </c>
      <c r="B616" s="5" t="s">
        <v>2827</v>
      </c>
      <c r="C616" s="5" t="s">
        <v>1776</v>
      </c>
      <c r="D616" s="5" t="s">
        <v>13</v>
      </c>
      <c r="E616" s="6">
        <v>2021</v>
      </c>
      <c r="F616" s="5" t="str">
        <f>HYPERLINK("https://www.google.com/maps/search/?api=1&amp;query=24.63693425,46.66294383", "View Map")</f>
        <v>View Map</v>
      </c>
    </row>
    <row r="617" spans="1:6" x14ac:dyDescent="0.35">
      <c r="A617" s="4" t="s">
        <v>6403</v>
      </c>
      <c r="B617" s="5" t="s">
        <v>2829</v>
      </c>
      <c r="C617" s="5" t="s">
        <v>1776</v>
      </c>
      <c r="D617" s="5" t="s">
        <v>13</v>
      </c>
      <c r="E617" s="6">
        <v>2015</v>
      </c>
      <c r="F617" s="5" t="str">
        <f>HYPERLINK("https://www.google.com/maps/search/?api=1&amp;query=24.58363943,46.67838005", "View Map")</f>
        <v>View Map</v>
      </c>
    </row>
    <row r="618" spans="1:6" x14ac:dyDescent="0.35">
      <c r="A618" s="4" t="s">
        <v>6039</v>
      </c>
      <c r="B618" s="5" t="s">
        <v>2830</v>
      </c>
      <c r="C618" s="5" t="s">
        <v>1776</v>
      </c>
      <c r="D618" s="5" t="s">
        <v>13</v>
      </c>
      <c r="E618" s="6">
        <v>2013</v>
      </c>
      <c r="F618" s="5" t="str">
        <f>HYPERLINK("https://www.google.com/maps/search/?api=1&amp;query=24.5594289,46.54186244", "View Map")</f>
        <v>View Map</v>
      </c>
    </row>
    <row r="619" spans="1:6" x14ac:dyDescent="0.35">
      <c r="A619" s="4" t="s">
        <v>6399</v>
      </c>
      <c r="B619" s="5" t="s">
        <v>2831</v>
      </c>
      <c r="C619" s="5" t="s">
        <v>1776</v>
      </c>
      <c r="D619" s="5" t="s">
        <v>13</v>
      </c>
      <c r="E619" s="6">
        <v>2013</v>
      </c>
      <c r="F619" s="5" t="str">
        <f>HYPERLINK("https://www.google.com/maps/search/?api=1&amp;query=24.66000596,46.72130472", "View Map")</f>
        <v>View Map</v>
      </c>
    </row>
    <row r="620" spans="1:6" x14ac:dyDescent="0.35">
      <c r="A620" s="4" t="s">
        <v>6404</v>
      </c>
      <c r="B620" s="5" t="s">
        <v>2833</v>
      </c>
      <c r="C620" s="5" t="s">
        <v>1776</v>
      </c>
      <c r="D620" s="5" t="s">
        <v>13</v>
      </c>
      <c r="E620" s="6">
        <v>2012</v>
      </c>
      <c r="F620" s="5" t="str">
        <f>HYPERLINK("https://www.google.com/maps/search/?api=1&amp;query=24.74494592,46.83091449", "View Map")</f>
        <v>View Map</v>
      </c>
    </row>
    <row r="621" spans="1:6" x14ac:dyDescent="0.35">
      <c r="A621" s="4" t="s">
        <v>6405</v>
      </c>
      <c r="B621" s="5" t="s">
        <v>2835</v>
      </c>
      <c r="C621" s="5" t="s">
        <v>1776</v>
      </c>
      <c r="D621" s="5" t="s">
        <v>13</v>
      </c>
      <c r="E621" s="6">
        <v>2012</v>
      </c>
      <c r="F621" s="5" t="str">
        <f>HYPERLINK("https://www.google.com/maps/search/?api=1&amp;query=24.74067191,46.82436082", "View Map")</f>
        <v>View Map</v>
      </c>
    </row>
    <row r="622" spans="1:6" x14ac:dyDescent="0.35">
      <c r="A622" s="4" t="s">
        <v>6406</v>
      </c>
      <c r="B622" s="5" t="s">
        <v>2837</v>
      </c>
      <c r="C622" s="5" t="s">
        <v>1776</v>
      </c>
      <c r="D622" s="5" t="s">
        <v>13</v>
      </c>
      <c r="E622" s="6">
        <v>2009</v>
      </c>
      <c r="F622" s="5" t="str">
        <f>HYPERLINK("https://www.google.com/maps/search/?api=1&amp;query=24.8124717,46.63054777", "View Map")</f>
        <v>View Map</v>
      </c>
    </row>
    <row r="623" spans="1:6" x14ac:dyDescent="0.35">
      <c r="A623" s="4" t="s">
        <v>6407</v>
      </c>
      <c r="B623" s="5" t="s">
        <v>2839</v>
      </c>
      <c r="C623" s="5" t="s">
        <v>1776</v>
      </c>
      <c r="D623" s="5" t="s">
        <v>13</v>
      </c>
      <c r="E623" s="6">
        <v>2007</v>
      </c>
      <c r="F623" s="5" t="str">
        <f>HYPERLINK("https://www.google.com/maps/search/?api=1&amp;query=24.75799798,46.75921396", "View Map")</f>
        <v>View Map</v>
      </c>
    </row>
    <row r="624" spans="1:6" x14ac:dyDescent="0.35">
      <c r="A624" s="4" t="s">
        <v>6408</v>
      </c>
      <c r="B624" s="5" t="s">
        <v>2841</v>
      </c>
      <c r="C624" s="5" t="s">
        <v>1776</v>
      </c>
      <c r="D624" s="5" t="s">
        <v>13</v>
      </c>
      <c r="E624" s="6">
        <v>2006</v>
      </c>
      <c r="F624" s="5" t="str">
        <f>HYPERLINK("https://www.google.com/maps/search/?api=1&amp;query=24.68310064,46.77263798", "View Map")</f>
        <v>View Map</v>
      </c>
    </row>
    <row r="625" spans="1:6" x14ac:dyDescent="0.35">
      <c r="A625" s="4" t="s">
        <v>5970</v>
      </c>
      <c r="B625" s="5" t="s">
        <v>2842</v>
      </c>
      <c r="C625" s="5" t="s">
        <v>1776</v>
      </c>
      <c r="D625" s="5" t="s">
        <v>13</v>
      </c>
      <c r="E625" s="6">
        <v>2006</v>
      </c>
      <c r="F625" s="5" t="str">
        <f>HYPERLINK("https://www.google.com/maps/search/?api=1&amp;query=24.75744134,46.82088493", "View Map")</f>
        <v>View Map</v>
      </c>
    </row>
    <row r="626" spans="1:6" x14ac:dyDescent="0.35">
      <c r="A626" s="4" t="s">
        <v>6409</v>
      </c>
      <c r="B626" s="5" t="s">
        <v>2844</v>
      </c>
      <c r="C626" s="5" t="s">
        <v>1776</v>
      </c>
      <c r="D626" s="5" t="s">
        <v>13</v>
      </c>
      <c r="E626" s="6">
        <v>2005</v>
      </c>
      <c r="F626" s="5" t="str">
        <f>HYPERLINK("https://www.google.com/maps/search/?api=1&amp;query=24.697,46.68687", "View Map")</f>
        <v>View Map</v>
      </c>
    </row>
    <row r="627" spans="1:6" x14ac:dyDescent="0.35">
      <c r="A627" s="4" t="s">
        <v>6410</v>
      </c>
      <c r="B627" s="5" t="s">
        <v>2846</v>
      </c>
      <c r="C627" s="5" t="s">
        <v>1776</v>
      </c>
      <c r="D627" s="5" t="s">
        <v>13</v>
      </c>
      <c r="E627" s="6">
        <v>2000</v>
      </c>
      <c r="F627" s="5" t="str">
        <f>HYPERLINK("https://www.google.com/maps/search/?api=1&amp;query=24.62124237,46.67574559", "View Map")</f>
        <v>View Map</v>
      </c>
    </row>
    <row r="628" spans="1:6" x14ac:dyDescent="0.35">
      <c r="A628" s="4" t="s">
        <v>5974</v>
      </c>
      <c r="B628" s="5" t="s">
        <v>2847</v>
      </c>
      <c r="C628" s="5" t="s">
        <v>1776</v>
      </c>
      <c r="D628" s="5" t="s">
        <v>13</v>
      </c>
      <c r="E628" s="6">
        <v>1998</v>
      </c>
      <c r="F628" s="5" t="str">
        <f>HYPERLINK("https://www.google.com/maps/search/?api=1&amp;query=24.74721727,46.62628386", "View Map")</f>
        <v>View Map</v>
      </c>
    </row>
    <row r="629" spans="1:6" x14ac:dyDescent="0.35">
      <c r="A629" s="4" t="s">
        <v>6031</v>
      </c>
      <c r="B629" s="5" t="s">
        <v>2848</v>
      </c>
      <c r="C629" s="5" t="s">
        <v>1776</v>
      </c>
      <c r="D629" s="5" t="s">
        <v>13</v>
      </c>
      <c r="E629" s="6">
        <v>1994</v>
      </c>
      <c r="F629" s="5" t="str">
        <f>HYPERLINK("https://www.google.com/maps/search/?api=1&amp;query=24.77700994,46.64653054", "View Map")</f>
        <v>View Map</v>
      </c>
    </row>
    <row r="630" spans="1:6" x14ac:dyDescent="0.35">
      <c r="A630" s="4" t="s">
        <v>6411</v>
      </c>
      <c r="B630" s="5" t="s">
        <v>2850</v>
      </c>
      <c r="C630" s="5" t="s">
        <v>1776</v>
      </c>
      <c r="D630" s="5" t="s">
        <v>13</v>
      </c>
      <c r="E630" s="6">
        <v>1989</v>
      </c>
      <c r="F630" s="5" t="str">
        <f>HYPERLINK("https://www.google.com/maps/search/?api=1&amp;query=24.82343327,46.66038619", "View Map")</f>
        <v>View Map</v>
      </c>
    </row>
    <row r="631" spans="1:6" x14ac:dyDescent="0.35">
      <c r="A631" s="4" t="s">
        <v>6134</v>
      </c>
      <c r="B631" s="5" t="s">
        <v>2851</v>
      </c>
      <c r="C631" s="5" t="s">
        <v>1776</v>
      </c>
      <c r="D631" s="5" t="s">
        <v>13</v>
      </c>
      <c r="E631" s="6">
        <v>1987</v>
      </c>
      <c r="F631" s="5" t="str">
        <f>HYPERLINK("https://www.google.com/maps/search/?api=1&amp;query=24.64274007,46.56680742", "View Map")</f>
        <v>View Map</v>
      </c>
    </row>
    <row r="632" spans="1:6" x14ac:dyDescent="0.35">
      <c r="A632" s="4" t="s">
        <v>5972</v>
      </c>
      <c r="B632" s="5" t="s">
        <v>2852</v>
      </c>
      <c r="C632" s="5" t="s">
        <v>1776</v>
      </c>
      <c r="D632" s="5" t="s">
        <v>13</v>
      </c>
      <c r="E632" s="6">
        <v>1984</v>
      </c>
      <c r="F632" s="5" t="str">
        <f>HYPERLINK("https://www.google.com/maps/search/?api=1&amp;query=24.62463958,46.52681672", "View Map")</f>
        <v>View Map</v>
      </c>
    </row>
    <row r="633" spans="1:6" x14ac:dyDescent="0.35">
      <c r="A633" s="4" t="s">
        <v>6090</v>
      </c>
      <c r="B633" s="5" t="s">
        <v>2853</v>
      </c>
      <c r="C633" s="5" t="s">
        <v>1776</v>
      </c>
      <c r="D633" s="5" t="s">
        <v>13</v>
      </c>
      <c r="E633" s="6">
        <v>1983</v>
      </c>
      <c r="F633" s="5" t="str">
        <f>HYPERLINK("https://www.google.com/maps/search/?api=1&amp;query=24.67811386,46.70644698", "View Map")</f>
        <v>View Map</v>
      </c>
    </row>
    <row r="634" spans="1:6" x14ac:dyDescent="0.35">
      <c r="A634" s="4" t="s">
        <v>5972</v>
      </c>
      <c r="B634" s="5" t="s">
        <v>2854</v>
      </c>
      <c r="C634" s="5" t="s">
        <v>1776</v>
      </c>
      <c r="D634" s="5" t="s">
        <v>13</v>
      </c>
      <c r="E634" s="6">
        <v>1982</v>
      </c>
      <c r="F634" s="5" t="str">
        <f>HYPERLINK("https://www.google.com/maps/search/?api=1&amp;query=24.85592841,46.63178187", "View Map")</f>
        <v>View Map</v>
      </c>
    </row>
    <row r="635" spans="1:6" x14ac:dyDescent="0.35">
      <c r="A635" s="4" t="s">
        <v>6412</v>
      </c>
      <c r="B635" s="5" t="s">
        <v>2856</v>
      </c>
      <c r="C635" s="5" t="s">
        <v>1776</v>
      </c>
      <c r="D635" s="5" t="s">
        <v>13</v>
      </c>
      <c r="E635" s="6">
        <v>1981</v>
      </c>
      <c r="F635" s="5" t="str">
        <f>HYPERLINK("https://www.google.com/maps/search/?api=1&amp;query=24.69361629,46.77754291", "View Map")</f>
        <v>View Map</v>
      </c>
    </row>
    <row r="636" spans="1:6" x14ac:dyDescent="0.35">
      <c r="A636" s="4" t="s">
        <v>6413</v>
      </c>
      <c r="B636" s="5" t="s">
        <v>2858</v>
      </c>
      <c r="C636" s="5" t="s">
        <v>1776</v>
      </c>
      <c r="D636" s="5" t="s">
        <v>13</v>
      </c>
      <c r="E636" s="6">
        <v>1979</v>
      </c>
      <c r="F636" s="5" t="str">
        <f>HYPERLINK("https://www.google.com/maps/search/?api=1&amp;query=24.79239853,46.77130603", "View Map")</f>
        <v>View Map</v>
      </c>
    </row>
    <row r="637" spans="1:6" x14ac:dyDescent="0.35">
      <c r="A637" s="4" t="s">
        <v>5974</v>
      </c>
      <c r="B637" s="5" t="s">
        <v>2859</v>
      </c>
      <c r="C637" s="5" t="s">
        <v>1776</v>
      </c>
      <c r="D637" s="5" t="s">
        <v>13</v>
      </c>
      <c r="E637" s="6">
        <v>1977</v>
      </c>
      <c r="F637" s="5" t="str">
        <f>HYPERLINK("https://www.google.com/maps/search/?api=1&amp;query=24.64479596,46.55154994", "View Map")</f>
        <v>View Map</v>
      </c>
    </row>
    <row r="638" spans="1:6" x14ac:dyDescent="0.35">
      <c r="A638" s="4" t="s">
        <v>5974</v>
      </c>
      <c r="B638" s="5" t="s">
        <v>2860</v>
      </c>
      <c r="C638" s="5" t="s">
        <v>1776</v>
      </c>
      <c r="D638" s="5" t="s">
        <v>13</v>
      </c>
      <c r="E638" s="6">
        <v>1974</v>
      </c>
      <c r="F638" s="5" t="str">
        <f>HYPERLINK("https://www.google.com/maps/search/?api=1&amp;query=24.83601156,46.81241589", "View Map")</f>
        <v>View Map</v>
      </c>
    </row>
    <row r="639" spans="1:6" x14ac:dyDescent="0.35">
      <c r="A639" s="4" t="s">
        <v>6414</v>
      </c>
      <c r="B639" s="5" t="s">
        <v>2862</v>
      </c>
      <c r="C639" s="5" t="s">
        <v>1776</v>
      </c>
      <c r="D639" s="5" t="s">
        <v>13</v>
      </c>
      <c r="E639" s="6">
        <v>1968</v>
      </c>
      <c r="F639" s="5" t="str">
        <f>HYPERLINK("https://www.google.com/maps/search/?api=1&amp;query=24.78422683,46.77884073", "View Map")</f>
        <v>View Map</v>
      </c>
    </row>
    <row r="640" spans="1:6" x14ac:dyDescent="0.35">
      <c r="A640" s="4" t="s">
        <v>6415</v>
      </c>
      <c r="B640" s="5" t="s">
        <v>2864</v>
      </c>
      <c r="C640" s="5" t="s">
        <v>1776</v>
      </c>
      <c r="D640" s="5" t="s">
        <v>9</v>
      </c>
      <c r="E640" s="6">
        <v>1960</v>
      </c>
      <c r="F640" s="5" t="str">
        <f>HYPERLINK("https://www.google.com/maps/search/?api=1&amp;query=24.59258883,46.53948231", "View Map")</f>
        <v>View Map</v>
      </c>
    </row>
    <row r="641" spans="1:6" x14ac:dyDescent="0.35">
      <c r="A641" s="4" t="s">
        <v>6161</v>
      </c>
      <c r="B641" s="5" t="s">
        <v>2865</v>
      </c>
      <c r="C641" s="5" t="s">
        <v>1776</v>
      </c>
      <c r="D641" s="5" t="s">
        <v>13</v>
      </c>
      <c r="E641" s="6">
        <v>1958</v>
      </c>
      <c r="F641" s="5" t="str">
        <f>HYPERLINK("https://www.google.com/maps/search/?api=1&amp;query=24.79630775,46.7139173", "View Map")</f>
        <v>View Map</v>
      </c>
    </row>
    <row r="642" spans="1:6" x14ac:dyDescent="0.35">
      <c r="A642" s="4" t="s">
        <v>6039</v>
      </c>
      <c r="B642" s="5" t="s">
        <v>2866</v>
      </c>
      <c r="C642" s="5" t="s">
        <v>1776</v>
      </c>
      <c r="D642" s="5" t="s">
        <v>13</v>
      </c>
      <c r="E642" s="6">
        <v>1957</v>
      </c>
      <c r="F642" s="5" t="str">
        <f>HYPERLINK("https://www.google.com/maps/search/?api=1&amp;query=24.58203389,46.59985164", "View Map")</f>
        <v>View Map</v>
      </c>
    </row>
    <row r="643" spans="1:6" x14ac:dyDescent="0.35">
      <c r="A643" s="4" t="s">
        <v>6416</v>
      </c>
      <c r="B643" s="5" t="s">
        <v>2868</v>
      </c>
      <c r="C643" s="5" t="s">
        <v>1776</v>
      </c>
      <c r="D643" s="5" t="s">
        <v>13</v>
      </c>
      <c r="E643" s="6">
        <v>1956</v>
      </c>
      <c r="F643" s="5" t="str">
        <f>HYPERLINK("https://www.google.com/maps/search/?api=1&amp;query=24.63183474,46.60425225", "View Map")</f>
        <v>View Map</v>
      </c>
    </row>
    <row r="644" spans="1:6" x14ac:dyDescent="0.35">
      <c r="A644" s="4" t="s">
        <v>6006</v>
      </c>
      <c r="B644" s="5" t="s">
        <v>2869</v>
      </c>
      <c r="C644" s="5" t="s">
        <v>1776</v>
      </c>
      <c r="D644" s="5" t="s">
        <v>9</v>
      </c>
      <c r="E644" s="6">
        <v>1954</v>
      </c>
      <c r="F644" s="5" t="str">
        <f>HYPERLINK("https://www.google.com/maps/search/?api=1&amp;query=24.55182071,46.76246338", "View Map")</f>
        <v>View Map</v>
      </c>
    </row>
    <row r="645" spans="1:6" x14ac:dyDescent="0.35">
      <c r="A645" s="4" t="s">
        <v>6417</v>
      </c>
      <c r="B645" s="5" t="s">
        <v>2871</v>
      </c>
      <c r="C645" s="5" t="s">
        <v>1776</v>
      </c>
      <c r="D645" s="5" t="s">
        <v>13</v>
      </c>
      <c r="E645" s="6">
        <v>1953</v>
      </c>
      <c r="F645" s="5" t="str">
        <f>HYPERLINK("https://www.google.com/maps/search/?api=1&amp;query=24.8128698,46.65727134", "View Map")</f>
        <v>View Map</v>
      </c>
    </row>
    <row r="646" spans="1:6" x14ac:dyDescent="0.35">
      <c r="A646" s="4" t="s">
        <v>5974</v>
      </c>
      <c r="B646" s="5" t="s">
        <v>2872</v>
      </c>
      <c r="C646" s="5" t="s">
        <v>1843</v>
      </c>
      <c r="D646" s="5" t="s">
        <v>13</v>
      </c>
      <c r="E646" s="6">
        <v>1950</v>
      </c>
      <c r="F646" s="5" t="str">
        <f>HYPERLINK("https://www.google.com/maps/search/?api=1&amp;query=24.78281,46.56064", "View Map")</f>
        <v>View Map</v>
      </c>
    </row>
    <row r="647" spans="1:6" x14ac:dyDescent="0.35">
      <c r="A647" s="4" t="s">
        <v>6362</v>
      </c>
      <c r="B647" s="5" t="s">
        <v>2873</v>
      </c>
      <c r="C647" s="5" t="s">
        <v>1776</v>
      </c>
      <c r="D647" s="5" t="s">
        <v>13</v>
      </c>
      <c r="E647" s="6">
        <v>1949</v>
      </c>
      <c r="F647" s="5" t="str">
        <f>HYPERLINK("https://www.google.com/maps/search/?api=1&amp;query=24.55581248,46.68653837", "View Map")</f>
        <v>View Map</v>
      </c>
    </row>
    <row r="648" spans="1:6" x14ac:dyDescent="0.35">
      <c r="A648" s="4" t="s">
        <v>6418</v>
      </c>
      <c r="B648" s="5" t="s">
        <v>2875</v>
      </c>
      <c r="C648" s="5" t="s">
        <v>1776</v>
      </c>
      <c r="D648" s="5" t="s">
        <v>9</v>
      </c>
      <c r="E648" s="6">
        <v>1948</v>
      </c>
      <c r="F648" s="5" t="str">
        <f>HYPERLINK("https://www.google.com/maps/search/?api=1&amp;query=24.64718083,46.81012662", "View Map")</f>
        <v>View Map</v>
      </c>
    </row>
    <row r="649" spans="1:6" x14ac:dyDescent="0.35">
      <c r="A649" s="4" t="s">
        <v>6419</v>
      </c>
      <c r="B649" s="5" t="s">
        <v>2877</v>
      </c>
      <c r="C649" s="5" t="s">
        <v>1776</v>
      </c>
      <c r="D649" s="5" t="s">
        <v>13</v>
      </c>
      <c r="E649" s="6">
        <v>1946</v>
      </c>
      <c r="F649" s="5" t="str">
        <f>HYPERLINK("https://www.google.com/maps/search/?api=1&amp;query=24.5711092,46.8365653", "View Map")</f>
        <v>View Map</v>
      </c>
    </row>
    <row r="650" spans="1:6" x14ac:dyDescent="0.35">
      <c r="A650" s="4" t="s">
        <v>5974</v>
      </c>
      <c r="B650" s="5" t="s">
        <v>2878</v>
      </c>
      <c r="C650" s="5" t="s">
        <v>1776</v>
      </c>
      <c r="D650" s="5" t="s">
        <v>13</v>
      </c>
      <c r="E650" s="6">
        <v>1946</v>
      </c>
      <c r="F650" s="5" t="str">
        <f>HYPERLINK("https://www.google.com/maps/search/?api=1&amp;query=24.9017873,46.61425903", "View Map")</f>
        <v>View Map</v>
      </c>
    </row>
    <row r="651" spans="1:6" x14ac:dyDescent="0.35">
      <c r="A651" s="4" t="s">
        <v>5974</v>
      </c>
      <c r="B651" s="5" t="s">
        <v>2879</v>
      </c>
      <c r="C651" s="5" t="s">
        <v>1776</v>
      </c>
      <c r="D651" s="5" t="s">
        <v>13</v>
      </c>
      <c r="E651" s="6">
        <v>1945</v>
      </c>
      <c r="F651" s="5" t="str">
        <f>HYPERLINK("https://www.google.com/maps/search/?api=1&amp;query=24.84452324,46.62858748", "View Map")</f>
        <v>View Map</v>
      </c>
    </row>
    <row r="652" spans="1:6" x14ac:dyDescent="0.35">
      <c r="A652" s="4" t="s">
        <v>6420</v>
      </c>
      <c r="B652" s="5" t="s">
        <v>2881</v>
      </c>
      <c r="C652" s="5" t="s">
        <v>1776</v>
      </c>
      <c r="D652" s="5" t="s">
        <v>13</v>
      </c>
      <c r="E652" s="6">
        <v>1932</v>
      </c>
      <c r="F652" s="5" t="str">
        <f>HYPERLINK("https://www.google.com/maps/search/?api=1&amp;query=24.77869471,46.72186221", "View Map")</f>
        <v>View Map</v>
      </c>
    </row>
    <row r="653" spans="1:6" x14ac:dyDescent="0.35">
      <c r="A653" s="4" t="s">
        <v>6421</v>
      </c>
      <c r="B653" s="5" t="s">
        <v>2883</v>
      </c>
      <c r="C653" s="5" t="s">
        <v>1776</v>
      </c>
      <c r="D653" s="5" t="s">
        <v>13</v>
      </c>
      <c r="E653" s="6">
        <v>1932</v>
      </c>
      <c r="F653" s="5" t="str">
        <f>HYPERLINK("https://www.google.com/maps/search/?api=1&amp;query=24.78268326,46.69424282", "View Map")</f>
        <v>View Map</v>
      </c>
    </row>
    <row r="654" spans="1:6" x14ac:dyDescent="0.35">
      <c r="A654" s="4" t="s">
        <v>5974</v>
      </c>
      <c r="B654" s="5" t="s">
        <v>2884</v>
      </c>
      <c r="C654" s="5" t="s">
        <v>1776</v>
      </c>
      <c r="D654" s="5" t="s">
        <v>13</v>
      </c>
      <c r="E654" s="6">
        <v>1931</v>
      </c>
      <c r="F654" s="5" t="str">
        <f>HYPERLINK("https://www.google.com/maps/search/?api=1&amp;query=24.83991516,46.76439191", "View Map")</f>
        <v>View Map</v>
      </c>
    </row>
    <row r="655" spans="1:6" x14ac:dyDescent="0.35">
      <c r="A655" s="4" t="s">
        <v>6422</v>
      </c>
      <c r="B655" s="5" t="s">
        <v>2886</v>
      </c>
      <c r="C655" s="5" t="s">
        <v>1776</v>
      </c>
      <c r="D655" s="5" t="s">
        <v>13</v>
      </c>
      <c r="E655" s="6">
        <v>1930</v>
      </c>
      <c r="F655" s="5" t="str">
        <f>HYPERLINK("https://www.google.com/maps/search/?api=1&amp;query=24.69873387,46.76547353", "View Map")</f>
        <v>View Map</v>
      </c>
    </row>
    <row r="656" spans="1:6" x14ac:dyDescent="0.35">
      <c r="A656" s="4" t="s">
        <v>6423</v>
      </c>
      <c r="B656" s="5" t="s">
        <v>2888</v>
      </c>
      <c r="C656" s="5" t="s">
        <v>1776</v>
      </c>
      <c r="D656" s="5" t="s">
        <v>13</v>
      </c>
      <c r="E656" s="6">
        <v>1929</v>
      </c>
      <c r="F656" s="5" t="str">
        <f>HYPERLINK("https://www.google.com/maps/search/?api=1&amp;query=24.55015781,46.68665308", "View Map")</f>
        <v>View Map</v>
      </c>
    </row>
    <row r="657" spans="1:6" x14ac:dyDescent="0.35">
      <c r="A657" s="4" t="s">
        <v>6424</v>
      </c>
      <c r="B657" s="5" t="s">
        <v>2890</v>
      </c>
      <c r="C657" s="5" t="s">
        <v>1776</v>
      </c>
      <c r="D657" s="5" t="s">
        <v>13</v>
      </c>
      <c r="E657" s="6">
        <v>1928</v>
      </c>
      <c r="F657" s="5" t="str">
        <f>HYPERLINK("https://www.google.com/maps/search/?api=1&amp;query=24.57921983,46.66917462", "View Map")</f>
        <v>View Map</v>
      </c>
    </row>
    <row r="658" spans="1:6" x14ac:dyDescent="0.35">
      <c r="A658" s="4" t="s">
        <v>6425</v>
      </c>
      <c r="B658" s="5" t="s">
        <v>2892</v>
      </c>
      <c r="C658" s="5" t="s">
        <v>1776</v>
      </c>
      <c r="D658" s="5" t="s">
        <v>13</v>
      </c>
      <c r="E658" s="6">
        <v>1927</v>
      </c>
      <c r="F658" s="5" t="str">
        <f>HYPERLINK("https://www.google.com/maps/search/?api=1&amp;query=24.78226,46.62534", "View Map")</f>
        <v>View Map</v>
      </c>
    </row>
    <row r="659" spans="1:6" x14ac:dyDescent="0.35">
      <c r="A659" s="4" t="s">
        <v>6426</v>
      </c>
      <c r="B659" s="5" t="s">
        <v>2894</v>
      </c>
      <c r="C659" s="5" t="s">
        <v>1776</v>
      </c>
      <c r="D659" s="5" t="s">
        <v>13</v>
      </c>
      <c r="E659" s="6">
        <v>1927</v>
      </c>
      <c r="F659" s="5" t="str">
        <f>HYPERLINK("https://www.google.com/maps/search/?api=1&amp;query=24.67065671,46.80566227", "View Map")</f>
        <v>View Map</v>
      </c>
    </row>
    <row r="660" spans="1:6" x14ac:dyDescent="0.35">
      <c r="A660" s="4" t="s">
        <v>6427</v>
      </c>
      <c r="B660" s="5" t="s">
        <v>2896</v>
      </c>
      <c r="C660" s="5" t="s">
        <v>1776</v>
      </c>
      <c r="D660" s="5" t="s">
        <v>13</v>
      </c>
      <c r="E660" s="6">
        <v>1925</v>
      </c>
      <c r="F660" s="5" t="str">
        <f>HYPERLINK("https://www.google.com/maps/search/?api=1&amp;query=24.77965298,46.78322262", "View Map")</f>
        <v>View Map</v>
      </c>
    </row>
    <row r="661" spans="1:6" x14ac:dyDescent="0.35">
      <c r="A661" s="4" t="s">
        <v>6180</v>
      </c>
      <c r="B661" s="5" t="s">
        <v>2897</v>
      </c>
      <c r="C661" s="5" t="s">
        <v>1776</v>
      </c>
      <c r="D661" s="5" t="s">
        <v>13</v>
      </c>
      <c r="E661" s="6">
        <v>1919</v>
      </c>
      <c r="F661" s="5" t="str">
        <f>HYPERLINK("https://www.google.com/maps/search/?api=1&amp;query=24.75870156,46.62421305", "View Map")</f>
        <v>View Map</v>
      </c>
    </row>
    <row r="662" spans="1:6" x14ac:dyDescent="0.35">
      <c r="A662" s="4" t="s">
        <v>6428</v>
      </c>
      <c r="B662" s="5" t="s">
        <v>2899</v>
      </c>
      <c r="C662" s="5" t="s">
        <v>1776</v>
      </c>
      <c r="D662" s="5" t="s">
        <v>13</v>
      </c>
      <c r="E662" s="6">
        <v>1919</v>
      </c>
      <c r="F662" s="5" t="str">
        <f>HYPERLINK("https://www.google.com/maps/search/?api=1&amp;query=24.75000313,46.74563075", "View Map")</f>
        <v>View Map</v>
      </c>
    </row>
    <row r="663" spans="1:6" x14ac:dyDescent="0.35">
      <c r="A663" s="4" t="s">
        <v>6429</v>
      </c>
      <c r="B663" s="5" t="s">
        <v>2901</v>
      </c>
      <c r="C663" s="5" t="s">
        <v>1776</v>
      </c>
      <c r="D663" s="5" t="s">
        <v>13</v>
      </c>
      <c r="E663" s="6">
        <v>1914</v>
      </c>
      <c r="F663" s="5" t="str">
        <f>HYPERLINK("https://www.google.com/maps/search/?api=1&amp;query=24.68618231,46.84282116", "View Map")</f>
        <v>View Map</v>
      </c>
    </row>
    <row r="664" spans="1:6" x14ac:dyDescent="0.35">
      <c r="A664" s="4" t="s">
        <v>5974</v>
      </c>
      <c r="B664" s="5" t="s">
        <v>2902</v>
      </c>
      <c r="C664" s="5" t="s">
        <v>1776</v>
      </c>
      <c r="D664" s="5" t="s">
        <v>13</v>
      </c>
      <c r="E664" s="6">
        <v>1913</v>
      </c>
      <c r="F664" s="5" t="str">
        <f>HYPERLINK("https://www.google.com/maps/search/?api=1&amp;query=24.55736,46.78215", "View Map")</f>
        <v>View Map</v>
      </c>
    </row>
    <row r="665" spans="1:6" x14ac:dyDescent="0.35">
      <c r="A665" s="4" t="s">
        <v>6430</v>
      </c>
      <c r="B665" s="5" t="s">
        <v>2904</v>
      </c>
      <c r="C665" s="5" t="s">
        <v>1776</v>
      </c>
      <c r="D665" s="5" t="s">
        <v>13</v>
      </c>
      <c r="E665" s="6">
        <v>1911</v>
      </c>
      <c r="F665" s="5" t="str">
        <f>HYPERLINK("https://www.google.com/maps/search/?api=1&amp;query=24.57960877,46.77533728", "View Map")</f>
        <v>View Map</v>
      </c>
    </row>
    <row r="666" spans="1:6" x14ac:dyDescent="0.35">
      <c r="A666" s="4" t="s">
        <v>6431</v>
      </c>
      <c r="B666" s="5" t="s">
        <v>2906</v>
      </c>
      <c r="C666" s="5" t="s">
        <v>1776</v>
      </c>
      <c r="D666" s="5" t="s">
        <v>13</v>
      </c>
      <c r="E666" s="6">
        <v>1910</v>
      </c>
      <c r="F666" s="5" t="str">
        <f>HYPERLINK("https://www.google.com/maps/search/?api=1&amp;query=24.70161253,46.81505033", "View Map")</f>
        <v>View Map</v>
      </c>
    </row>
    <row r="667" spans="1:6" x14ac:dyDescent="0.35">
      <c r="A667" s="4" t="s">
        <v>5974</v>
      </c>
      <c r="B667" s="5" t="s">
        <v>2907</v>
      </c>
      <c r="C667" s="5" t="s">
        <v>1776</v>
      </c>
      <c r="D667" s="5" t="s">
        <v>13</v>
      </c>
      <c r="E667" s="6">
        <v>1909</v>
      </c>
      <c r="F667" s="5" t="str">
        <f>HYPERLINK("https://www.google.com/maps/search/?api=1&amp;query=24.67755331,46.74678615", "View Map")</f>
        <v>View Map</v>
      </c>
    </row>
    <row r="668" spans="1:6" x14ac:dyDescent="0.35">
      <c r="A668" s="4" t="s">
        <v>6432</v>
      </c>
      <c r="B668" s="5" t="s">
        <v>2909</v>
      </c>
      <c r="C668" s="5" t="s">
        <v>1776</v>
      </c>
      <c r="D668" s="5" t="s">
        <v>13</v>
      </c>
      <c r="E668" s="6">
        <v>1908</v>
      </c>
      <c r="F668" s="5" t="str">
        <f>HYPERLINK("https://www.google.com/maps/search/?api=1&amp;query=24.74676282,46.77700217", "View Map")</f>
        <v>View Map</v>
      </c>
    </row>
    <row r="669" spans="1:6" x14ac:dyDescent="0.35">
      <c r="A669" s="4" t="s">
        <v>6433</v>
      </c>
      <c r="B669" s="5" t="s">
        <v>2911</v>
      </c>
      <c r="C669" s="5" t="s">
        <v>1776</v>
      </c>
      <c r="D669" s="5" t="s">
        <v>13</v>
      </c>
      <c r="E669" s="6">
        <v>1902</v>
      </c>
      <c r="F669" s="5" t="str">
        <f>HYPERLINK("https://www.google.com/maps/search/?api=1&amp;query=24.69763043,46.67411699", "View Map")</f>
        <v>View Map</v>
      </c>
    </row>
    <row r="670" spans="1:6" x14ac:dyDescent="0.35">
      <c r="A670" s="4" t="s">
        <v>6434</v>
      </c>
      <c r="B670" s="5" t="s">
        <v>2913</v>
      </c>
      <c r="C670" s="5" t="s">
        <v>1776</v>
      </c>
      <c r="D670" s="5" t="s">
        <v>13</v>
      </c>
      <c r="E670" s="6">
        <v>1899</v>
      </c>
      <c r="F670" s="5" t="str">
        <f>HYPERLINK("https://www.google.com/maps/search/?api=1&amp;query=24.76161484,46.70948484", "View Map")</f>
        <v>View Map</v>
      </c>
    </row>
    <row r="671" spans="1:6" x14ac:dyDescent="0.35">
      <c r="A671" s="4" t="s">
        <v>6435</v>
      </c>
      <c r="B671" s="5" t="s">
        <v>2915</v>
      </c>
      <c r="C671" s="5" t="s">
        <v>1776</v>
      </c>
      <c r="D671" s="5" t="s">
        <v>13</v>
      </c>
      <c r="E671" s="6">
        <v>1897</v>
      </c>
      <c r="F671" s="5" t="str">
        <f>HYPERLINK("https://www.google.com/maps/search/?api=1&amp;query=24.78580006,46.64839887", "View Map")</f>
        <v>View Map</v>
      </c>
    </row>
    <row r="672" spans="1:6" x14ac:dyDescent="0.35">
      <c r="A672" s="4" t="s">
        <v>6436</v>
      </c>
      <c r="B672" s="5" t="s">
        <v>2917</v>
      </c>
      <c r="C672" s="5" t="s">
        <v>1776</v>
      </c>
      <c r="D672" s="5" t="s">
        <v>13</v>
      </c>
      <c r="E672" s="6">
        <v>1896</v>
      </c>
      <c r="F672" s="5" t="str">
        <f>HYPERLINK("https://www.google.com/maps/search/?api=1&amp;query=24.59711476,46.78066055", "View Map")</f>
        <v>View Map</v>
      </c>
    </row>
    <row r="673" spans="1:6" x14ac:dyDescent="0.35">
      <c r="A673" s="4" t="s">
        <v>6437</v>
      </c>
      <c r="B673" s="5" t="s">
        <v>2919</v>
      </c>
      <c r="C673" s="5" t="s">
        <v>1776</v>
      </c>
      <c r="D673" s="5" t="s">
        <v>13</v>
      </c>
      <c r="E673" s="6">
        <v>1892</v>
      </c>
      <c r="F673" s="5" t="str">
        <f>HYPERLINK("https://www.google.com/maps/search/?api=1&amp;query=24.56862568,46.62866045", "View Map")</f>
        <v>View Map</v>
      </c>
    </row>
    <row r="674" spans="1:6" x14ac:dyDescent="0.35">
      <c r="A674" s="4" t="s">
        <v>6039</v>
      </c>
      <c r="B674" s="5" t="s">
        <v>2920</v>
      </c>
      <c r="C674" s="5" t="s">
        <v>1776</v>
      </c>
      <c r="D674" s="5" t="s">
        <v>13</v>
      </c>
      <c r="E674" s="6">
        <v>1892</v>
      </c>
      <c r="F674" s="5" t="str">
        <f>HYPERLINK("https://www.google.com/maps/search/?api=1&amp;query=24.51386838,46.68149558", "View Map")</f>
        <v>View Map</v>
      </c>
    </row>
    <row r="675" spans="1:6" x14ac:dyDescent="0.35">
      <c r="A675" s="4" t="s">
        <v>6438</v>
      </c>
      <c r="B675" s="5" t="s">
        <v>2922</v>
      </c>
      <c r="C675" s="5" t="s">
        <v>1776</v>
      </c>
      <c r="D675" s="5" t="s">
        <v>13</v>
      </c>
      <c r="E675" s="6">
        <v>1887</v>
      </c>
      <c r="F675" s="5" t="str">
        <f>HYPERLINK("https://www.google.com/maps/search/?api=1&amp;query=24.79693803,46.79002441", "View Map")</f>
        <v>View Map</v>
      </c>
    </row>
    <row r="676" spans="1:6" x14ac:dyDescent="0.35">
      <c r="A676" s="4" t="s">
        <v>6439</v>
      </c>
      <c r="B676" s="5" t="s">
        <v>2924</v>
      </c>
      <c r="C676" s="5" t="s">
        <v>1776</v>
      </c>
      <c r="D676" s="5" t="s">
        <v>13</v>
      </c>
      <c r="E676" s="6">
        <v>1885</v>
      </c>
      <c r="F676" s="5" t="str">
        <f>HYPERLINK("https://www.google.com/maps/search/?api=1&amp;query=24.68959898,46.78564211", "View Map")</f>
        <v>View Map</v>
      </c>
    </row>
    <row r="677" spans="1:6" x14ac:dyDescent="0.35">
      <c r="A677" s="4" t="s">
        <v>5974</v>
      </c>
      <c r="B677" s="5" t="s">
        <v>2925</v>
      </c>
      <c r="C677" s="5" t="s">
        <v>1776</v>
      </c>
      <c r="D677" s="5" t="s">
        <v>13</v>
      </c>
      <c r="E677" s="6">
        <v>1884</v>
      </c>
      <c r="F677" s="5" t="str">
        <f>HYPERLINK("https://www.google.com/maps/search/?api=1&amp;query=24.85931823,46.82822139", "View Map")</f>
        <v>View Map</v>
      </c>
    </row>
    <row r="678" spans="1:6" x14ac:dyDescent="0.35">
      <c r="A678" s="4" t="s">
        <v>6039</v>
      </c>
      <c r="B678" s="5" t="s">
        <v>2926</v>
      </c>
      <c r="C678" s="5" t="s">
        <v>1776</v>
      </c>
      <c r="D678" s="5" t="s">
        <v>9</v>
      </c>
      <c r="E678" s="6">
        <v>1878</v>
      </c>
      <c r="F678" s="5" t="str">
        <f>HYPERLINK("https://www.google.com/maps/search/?api=1&amp;query=24.55488805,46.58872846", "View Map")</f>
        <v>View Map</v>
      </c>
    </row>
    <row r="679" spans="1:6" x14ac:dyDescent="0.35">
      <c r="A679" s="4" t="s">
        <v>5974</v>
      </c>
      <c r="B679" s="5" t="s">
        <v>2927</v>
      </c>
      <c r="C679" s="5" t="s">
        <v>1776</v>
      </c>
      <c r="D679" s="5" t="s">
        <v>13</v>
      </c>
      <c r="E679" s="6">
        <v>1878</v>
      </c>
      <c r="F679" s="5" t="str">
        <f>HYPERLINK("https://www.google.com/maps/search/?api=1&amp;query=24.83743043,46.79815654", "View Map")</f>
        <v>View Map</v>
      </c>
    </row>
    <row r="680" spans="1:6" x14ac:dyDescent="0.35">
      <c r="A680" s="4" t="s">
        <v>6440</v>
      </c>
      <c r="B680" s="5" t="s">
        <v>2929</v>
      </c>
      <c r="C680" s="5" t="s">
        <v>1776</v>
      </c>
      <c r="D680" s="5" t="s">
        <v>13</v>
      </c>
      <c r="E680" s="6">
        <v>1878</v>
      </c>
      <c r="F680" s="5" t="str">
        <f>HYPERLINK("https://www.google.com/maps/search/?api=1&amp;query=24.7753332,46.66127253", "View Map")</f>
        <v>View Map</v>
      </c>
    </row>
    <row r="681" spans="1:6" x14ac:dyDescent="0.35">
      <c r="A681" s="4" t="s">
        <v>6441</v>
      </c>
      <c r="B681" s="5" t="s">
        <v>2931</v>
      </c>
      <c r="C681" s="5" t="s">
        <v>1776</v>
      </c>
      <c r="D681" s="5" t="s">
        <v>13</v>
      </c>
      <c r="E681" s="6">
        <v>1876</v>
      </c>
      <c r="F681" s="5" t="str">
        <f>HYPERLINK("https://www.google.com/maps/search/?api=1&amp;query=24.76157554,46.74725419", "View Map")</f>
        <v>View Map</v>
      </c>
    </row>
    <row r="682" spans="1:6" x14ac:dyDescent="0.35">
      <c r="A682" s="4" t="s">
        <v>6442</v>
      </c>
      <c r="B682" s="5" t="s">
        <v>2933</v>
      </c>
      <c r="C682" s="5" t="s">
        <v>1776</v>
      </c>
      <c r="D682" s="5" t="s">
        <v>13</v>
      </c>
      <c r="E682" s="6">
        <v>1874</v>
      </c>
      <c r="F682" s="5" t="str">
        <f>HYPERLINK("https://www.google.com/maps/search/?api=1&amp;query=24.78560178,46.736722", "View Map")</f>
        <v>View Map</v>
      </c>
    </row>
    <row r="683" spans="1:6" x14ac:dyDescent="0.35">
      <c r="A683" s="4" t="s">
        <v>6443</v>
      </c>
      <c r="B683" s="5" t="s">
        <v>2935</v>
      </c>
      <c r="C683" s="5" t="s">
        <v>1776</v>
      </c>
      <c r="D683" s="5" t="s">
        <v>13</v>
      </c>
      <c r="E683" s="6">
        <v>1874</v>
      </c>
      <c r="F683" s="5" t="str">
        <f>HYPERLINK("https://www.google.com/maps/search/?api=1&amp;query=24.58400892,46.62669641", "View Map")</f>
        <v>View Map</v>
      </c>
    </row>
    <row r="684" spans="1:6" x14ac:dyDescent="0.35">
      <c r="A684" s="4" t="s">
        <v>6444</v>
      </c>
      <c r="B684" s="5" t="s">
        <v>2937</v>
      </c>
      <c r="C684" s="5" t="s">
        <v>1776</v>
      </c>
      <c r="D684" s="5" t="s">
        <v>13</v>
      </c>
      <c r="E684" s="6">
        <v>1872</v>
      </c>
      <c r="F684" s="5" t="str">
        <f>HYPERLINK("https://www.google.com/maps/search/?api=1&amp;query=24.7573069,46.76949974", "View Map")</f>
        <v>View Map</v>
      </c>
    </row>
    <row r="685" spans="1:6" x14ac:dyDescent="0.35">
      <c r="A685" s="4" t="s">
        <v>6445</v>
      </c>
      <c r="B685" s="5" t="s">
        <v>2939</v>
      </c>
      <c r="C685" s="5" t="s">
        <v>1776</v>
      </c>
      <c r="D685" s="5" t="s">
        <v>13</v>
      </c>
      <c r="E685" s="6">
        <v>1872</v>
      </c>
      <c r="F685" s="5" t="str">
        <f>HYPERLINK("https://www.google.com/maps/search/?api=1&amp;query=24.68589089,46.57203168", "View Map")</f>
        <v>View Map</v>
      </c>
    </row>
    <row r="686" spans="1:6" x14ac:dyDescent="0.35">
      <c r="A686" s="4" t="s">
        <v>5974</v>
      </c>
      <c r="B686" s="5" t="s">
        <v>2940</v>
      </c>
      <c r="C686" s="5" t="s">
        <v>1776</v>
      </c>
      <c r="D686" s="5" t="s">
        <v>13</v>
      </c>
      <c r="E686" s="6">
        <v>1871</v>
      </c>
      <c r="F686" s="5" t="str">
        <f>HYPERLINK("https://www.google.com/maps/search/?api=1&amp;query=24.55117376,46.77483011", "View Map")</f>
        <v>View Map</v>
      </c>
    </row>
    <row r="687" spans="1:6" x14ac:dyDescent="0.35">
      <c r="A687" s="4" t="s">
        <v>6446</v>
      </c>
      <c r="B687" s="5" t="s">
        <v>2942</v>
      </c>
      <c r="C687" s="5" t="s">
        <v>1843</v>
      </c>
      <c r="D687" s="5" t="s">
        <v>13</v>
      </c>
      <c r="E687" s="6">
        <v>1871</v>
      </c>
      <c r="F687" s="5" t="str">
        <f>HYPERLINK("https://www.google.com/maps/search/?api=1&amp;query=24.75189835,46.57878527", "View Map")</f>
        <v>View Map</v>
      </c>
    </row>
    <row r="688" spans="1:6" x14ac:dyDescent="0.35">
      <c r="A688" s="4" t="s">
        <v>6447</v>
      </c>
      <c r="B688" s="5" t="s">
        <v>2944</v>
      </c>
      <c r="C688" s="5" t="s">
        <v>1776</v>
      </c>
      <c r="D688" s="5" t="s">
        <v>13</v>
      </c>
      <c r="E688" s="6">
        <v>1865</v>
      </c>
      <c r="F688" s="5" t="str">
        <f>HYPERLINK("https://www.google.com/maps/search/?api=1&amp;query=24.76882229,46.70801249", "View Map")</f>
        <v>View Map</v>
      </c>
    </row>
    <row r="689" spans="1:6" x14ac:dyDescent="0.35">
      <c r="A689" s="4" t="s">
        <v>6448</v>
      </c>
      <c r="B689" s="5" t="s">
        <v>2946</v>
      </c>
      <c r="C689" s="5" t="s">
        <v>1776</v>
      </c>
      <c r="D689" s="5" t="s">
        <v>13</v>
      </c>
      <c r="E689" s="6">
        <v>1862</v>
      </c>
      <c r="F689" s="5" t="str">
        <f>HYPERLINK("https://www.google.com/maps/search/?api=1&amp;query=24.6818563,46.76009502", "View Map")</f>
        <v>View Map</v>
      </c>
    </row>
    <row r="690" spans="1:6" x14ac:dyDescent="0.35">
      <c r="A690" s="4" t="s">
        <v>6039</v>
      </c>
      <c r="B690" s="5" t="s">
        <v>2947</v>
      </c>
      <c r="C690" s="5" t="s">
        <v>1776</v>
      </c>
      <c r="D690" s="5" t="s">
        <v>13</v>
      </c>
      <c r="E690" s="6">
        <v>1861</v>
      </c>
      <c r="F690" s="5" t="str">
        <f>HYPERLINK("https://www.google.com/maps/search/?api=1&amp;query=24.57958915,46.61910479", "View Map")</f>
        <v>View Map</v>
      </c>
    </row>
    <row r="691" spans="1:6" x14ac:dyDescent="0.35">
      <c r="A691" s="4" t="s">
        <v>6449</v>
      </c>
      <c r="B691" s="5" t="s">
        <v>2949</v>
      </c>
      <c r="C691" s="5" t="s">
        <v>1776</v>
      </c>
      <c r="D691" s="5" t="s">
        <v>13</v>
      </c>
      <c r="E691" s="6">
        <v>1861</v>
      </c>
      <c r="F691" s="5" t="str">
        <f>HYPERLINK("https://www.google.com/maps/search/?api=1&amp;query=24.57471028,46.70445909", "View Map")</f>
        <v>View Map</v>
      </c>
    </row>
    <row r="692" spans="1:6" x14ac:dyDescent="0.35">
      <c r="A692" s="4" t="s">
        <v>6450</v>
      </c>
      <c r="B692" s="5" t="s">
        <v>2951</v>
      </c>
      <c r="C692" s="5" t="s">
        <v>1776</v>
      </c>
      <c r="D692" s="5" t="s">
        <v>13</v>
      </c>
      <c r="E692" s="6">
        <v>1861</v>
      </c>
      <c r="F692" s="5" t="str">
        <f>HYPERLINK("https://www.google.com/maps/search/?api=1&amp;query=24.71842281,46.77646545", "View Map")</f>
        <v>View Map</v>
      </c>
    </row>
    <row r="693" spans="1:6" x14ac:dyDescent="0.35">
      <c r="A693" s="4" t="s">
        <v>6342</v>
      </c>
      <c r="B693" s="5" t="s">
        <v>2952</v>
      </c>
      <c r="C693" s="5" t="s">
        <v>1776</v>
      </c>
      <c r="D693" s="5" t="s">
        <v>9</v>
      </c>
      <c r="E693" s="6">
        <v>1855</v>
      </c>
      <c r="F693" s="5" t="str">
        <f>HYPERLINK("https://www.google.com/maps/search/?api=1&amp;query=24.58944915,46.58230989", "View Map")</f>
        <v>View Map</v>
      </c>
    </row>
    <row r="694" spans="1:6" x14ac:dyDescent="0.35">
      <c r="A694" s="4" t="s">
        <v>6451</v>
      </c>
      <c r="B694" s="5" t="s">
        <v>2954</v>
      </c>
      <c r="C694" s="5" t="s">
        <v>1776</v>
      </c>
      <c r="D694" s="5" t="s">
        <v>13</v>
      </c>
      <c r="E694" s="6">
        <v>1854</v>
      </c>
      <c r="F694" s="5" t="str">
        <f>HYPERLINK("https://www.google.com/maps/search/?api=1&amp;query=24.75102533,46.66455953", "View Map")</f>
        <v>View Map</v>
      </c>
    </row>
    <row r="695" spans="1:6" x14ac:dyDescent="0.35">
      <c r="A695" s="4" t="s">
        <v>6452</v>
      </c>
      <c r="B695" s="5" t="s">
        <v>2956</v>
      </c>
      <c r="C695" s="5" t="s">
        <v>1776</v>
      </c>
      <c r="D695" s="5" t="s">
        <v>13</v>
      </c>
      <c r="E695" s="6">
        <v>1851</v>
      </c>
      <c r="F695" s="5" t="str">
        <f>HYPERLINK("https://www.google.com/maps/search/?api=1&amp;query=24.76053985,46.77389475", "View Map")</f>
        <v>View Map</v>
      </c>
    </row>
    <row r="696" spans="1:6" x14ac:dyDescent="0.35">
      <c r="A696" s="4" t="s">
        <v>6453</v>
      </c>
      <c r="B696" s="5" t="s">
        <v>2958</v>
      </c>
      <c r="C696" s="5" t="s">
        <v>1776</v>
      </c>
      <c r="D696" s="5" t="s">
        <v>13</v>
      </c>
      <c r="E696" s="6">
        <v>1851</v>
      </c>
      <c r="F696" s="5" t="str">
        <f>HYPERLINK("https://www.google.com/maps/search/?api=1&amp;query=24.76040456,46.8216772", "View Map")</f>
        <v>View Map</v>
      </c>
    </row>
    <row r="697" spans="1:6" x14ac:dyDescent="0.35">
      <c r="A697" s="4" t="s">
        <v>5974</v>
      </c>
      <c r="B697" s="5" t="s">
        <v>2959</v>
      </c>
      <c r="C697" s="5" t="s">
        <v>1776</v>
      </c>
      <c r="D697" s="5" t="s">
        <v>13</v>
      </c>
      <c r="E697" s="6">
        <v>1851</v>
      </c>
      <c r="F697" s="5" t="str">
        <f>HYPERLINK("https://www.google.com/maps/search/?api=1&amp;query=24.83705,46.65104", "View Map")</f>
        <v>View Map</v>
      </c>
    </row>
    <row r="698" spans="1:6" x14ac:dyDescent="0.35">
      <c r="A698" s="4" t="s">
        <v>6454</v>
      </c>
      <c r="B698" s="5" t="s">
        <v>2961</v>
      </c>
      <c r="C698" s="5" t="s">
        <v>1776</v>
      </c>
      <c r="D698" s="5" t="s">
        <v>13</v>
      </c>
      <c r="E698" s="6">
        <v>1849</v>
      </c>
      <c r="F698" s="5" t="str">
        <f>HYPERLINK("https://www.google.com/maps/search/?api=1&amp;query=24.68909814,46.80700506", "View Map")</f>
        <v>View Map</v>
      </c>
    </row>
    <row r="699" spans="1:6" x14ac:dyDescent="0.35">
      <c r="A699" s="4" t="s">
        <v>6039</v>
      </c>
      <c r="B699" s="5" t="s">
        <v>2962</v>
      </c>
      <c r="C699" s="5" t="s">
        <v>1776</v>
      </c>
      <c r="D699" s="5" t="s">
        <v>13</v>
      </c>
      <c r="E699" s="6">
        <v>1847</v>
      </c>
      <c r="F699" s="5" t="str">
        <f>HYPERLINK("https://www.google.com/maps/search/?api=1&amp;query=24.62153594,46.71398173", "View Map")</f>
        <v>View Map</v>
      </c>
    </row>
    <row r="700" spans="1:6" x14ac:dyDescent="0.35">
      <c r="A700" s="4" t="s">
        <v>6452</v>
      </c>
      <c r="B700" s="5" t="s">
        <v>2963</v>
      </c>
      <c r="C700" s="5" t="s">
        <v>1776</v>
      </c>
      <c r="D700" s="5" t="s">
        <v>13</v>
      </c>
      <c r="E700" s="6">
        <v>1847</v>
      </c>
      <c r="F700" s="5" t="str">
        <f>HYPERLINK("https://www.google.com/maps/search/?api=1&amp;query=24.75215275,46.74779009", "View Map")</f>
        <v>View Map</v>
      </c>
    </row>
    <row r="701" spans="1:6" x14ac:dyDescent="0.35">
      <c r="A701" s="4" t="s">
        <v>5974</v>
      </c>
      <c r="B701" s="5" t="s">
        <v>2964</v>
      </c>
      <c r="C701" s="5" t="s">
        <v>1776</v>
      </c>
      <c r="D701" s="5" t="s">
        <v>13</v>
      </c>
      <c r="E701" s="6">
        <v>1845</v>
      </c>
      <c r="F701" s="5" t="str">
        <f>HYPERLINK("https://www.google.com/maps/search/?api=1&amp;query=24.74688546,46.75833224", "View Map")</f>
        <v>View Map</v>
      </c>
    </row>
    <row r="702" spans="1:6" x14ac:dyDescent="0.35">
      <c r="A702" s="4" t="s">
        <v>6455</v>
      </c>
      <c r="B702" s="5" t="s">
        <v>2966</v>
      </c>
      <c r="C702" s="5" t="s">
        <v>1776</v>
      </c>
      <c r="D702" s="5" t="s">
        <v>13</v>
      </c>
      <c r="E702" s="6">
        <v>1844</v>
      </c>
      <c r="F702" s="5" t="str">
        <f>HYPERLINK("https://www.google.com/maps/search/?api=1&amp;query=24.62298743,46.69722577", "View Map")</f>
        <v>View Map</v>
      </c>
    </row>
    <row r="703" spans="1:6" x14ac:dyDescent="0.35">
      <c r="A703" s="4" t="s">
        <v>6456</v>
      </c>
      <c r="B703" s="5" t="s">
        <v>2968</v>
      </c>
      <c r="C703" s="5" t="s">
        <v>1776</v>
      </c>
      <c r="D703" s="5" t="s">
        <v>13</v>
      </c>
      <c r="E703" s="6">
        <v>1842</v>
      </c>
      <c r="F703" s="5" t="str">
        <f>HYPERLINK("https://www.google.com/maps/search/?api=1&amp;query=24.74996795,46.83261496", "View Map")</f>
        <v>View Map</v>
      </c>
    </row>
    <row r="704" spans="1:6" x14ac:dyDescent="0.35">
      <c r="A704" s="4" t="s">
        <v>6457</v>
      </c>
      <c r="B704" s="5" t="s">
        <v>2970</v>
      </c>
      <c r="C704" s="5" t="s">
        <v>1776</v>
      </c>
      <c r="D704" s="5" t="s">
        <v>13</v>
      </c>
      <c r="E704" s="6">
        <v>1839</v>
      </c>
      <c r="F704" s="5" t="str">
        <f>HYPERLINK("https://www.google.com/maps/search/?api=1&amp;query=24.62823722,46.69525798", "View Map")</f>
        <v>View Map</v>
      </c>
    </row>
    <row r="705" spans="1:6" x14ac:dyDescent="0.35">
      <c r="A705" s="4" t="s">
        <v>6458</v>
      </c>
      <c r="B705" s="5" t="s">
        <v>2972</v>
      </c>
      <c r="C705" s="5" t="s">
        <v>1776</v>
      </c>
      <c r="D705" s="5" t="s">
        <v>13</v>
      </c>
      <c r="E705" s="6">
        <v>1838</v>
      </c>
      <c r="F705" s="5" t="str">
        <f>HYPERLINK("https://www.google.com/maps/search/?api=1&amp;query=24.7168156,46.84746171", "View Map")</f>
        <v>View Map</v>
      </c>
    </row>
    <row r="706" spans="1:6" x14ac:dyDescent="0.35">
      <c r="A706" s="4" t="s">
        <v>6344</v>
      </c>
      <c r="B706" s="5" t="s">
        <v>2973</v>
      </c>
      <c r="C706" s="5" t="s">
        <v>1776</v>
      </c>
      <c r="D706" s="5" t="s">
        <v>13</v>
      </c>
      <c r="E706" s="6">
        <v>1837</v>
      </c>
      <c r="F706" s="5" t="str">
        <f>HYPERLINK("https://www.google.com/maps/search/?api=1&amp;query=24.77581432,46.58818802", "View Map")</f>
        <v>View Map</v>
      </c>
    </row>
    <row r="707" spans="1:6" x14ac:dyDescent="0.35">
      <c r="A707" s="4" t="s">
        <v>6459</v>
      </c>
      <c r="B707" s="5" t="s">
        <v>2975</v>
      </c>
      <c r="C707" s="5" t="s">
        <v>1776</v>
      </c>
      <c r="D707" s="5" t="s">
        <v>13</v>
      </c>
      <c r="E707" s="6">
        <v>1835</v>
      </c>
      <c r="F707" s="5" t="str">
        <f>HYPERLINK("https://www.google.com/maps/search/?api=1&amp;query=24.62540948,46.70816725", "View Map")</f>
        <v>View Map</v>
      </c>
    </row>
    <row r="708" spans="1:6" x14ac:dyDescent="0.35">
      <c r="A708" s="4" t="s">
        <v>6460</v>
      </c>
      <c r="B708" s="5" t="s">
        <v>2977</v>
      </c>
      <c r="C708" s="5" t="s">
        <v>1776</v>
      </c>
      <c r="D708" s="5" t="s">
        <v>13</v>
      </c>
      <c r="E708" s="6">
        <v>1831</v>
      </c>
      <c r="F708" s="5" t="str">
        <f>HYPERLINK("https://www.google.com/maps/search/?api=1&amp;query=24.66875972,46.73301653", "View Map")</f>
        <v>View Map</v>
      </c>
    </row>
    <row r="709" spans="1:6" x14ac:dyDescent="0.35">
      <c r="A709" s="4" t="s">
        <v>6134</v>
      </c>
      <c r="B709" s="5" t="s">
        <v>2978</v>
      </c>
      <c r="C709" s="5" t="s">
        <v>1776</v>
      </c>
      <c r="D709" s="5" t="s">
        <v>13</v>
      </c>
      <c r="E709" s="6">
        <v>1830</v>
      </c>
      <c r="F709" s="5" t="str">
        <f>HYPERLINK("https://www.google.com/maps/search/?api=1&amp;query=24.77894893,46.67866674", "View Map")</f>
        <v>View Map</v>
      </c>
    </row>
    <row r="710" spans="1:6" x14ac:dyDescent="0.35">
      <c r="A710" s="4" t="s">
        <v>6461</v>
      </c>
      <c r="B710" s="5" t="s">
        <v>2980</v>
      </c>
      <c r="C710" s="5" t="s">
        <v>1776</v>
      </c>
      <c r="D710" s="5" t="s">
        <v>13</v>
      </c>
      <c r="E710" s="6">
        <v>1830</v>
      </c>
      <c r="F710" s="5" t="str">
        <f>HYPERLINK("https://www.google.com/maps/search/?api=1&amp;query=24.68439801,46.66427217", "View Map")</f>
        <v>View Map</v>
      </c>
    </row>
    <row r="711" spans="1:6" x14ac:dyDescent="0.35">
      <c r="A711" s="4" t="s">
        <v>6462</v>
      </c>
      <c r="B711" s="5" t="s">
        <v>2982</v>
      </c>
      <c r="C711" s="5" t="s">
        <v>1776</v>
      </c>
      <c r="D711" s="5" t="s">
        <v>13</v>
      </c>
      <c r="E711" s="6">
        <v>1830</v>
      </c>
      <c r="F711" s="5" t="str">
        <f>HYPERLINK("https://www.google.com/maps/search/?api=1&amp;query=24.76813,46.653602", "View Map")</f>
        <v>View Map</v>
      </c>
    </row>
    <row r="712" spans="1:6" x14ac:dyDescent="0.35">
      <c r="A712" s="4" t="s">
        <v>6463</v>
      </c>
      <c r="B712" s="5" t="s">
        <v>2984</v>
      </c>
      <c r="C712" s="5" t="s">
        <v>1776</v>
      </c>
      <c r="D712" s="5" t="s">
        <v>13</v>
      </c>
      <c r="E712" s="6">
        <v>1829</v>
      </c>
      <c r="F712" s="5" t="str">
        <f>HYPERLINK("https://www.google.com/maps/search/?api=1&amp;query=24.80359883,46.6223745", "View Map")</f>
        <v>View Map</v>
      </c>
    </row>
    <row r="713" spans="1:6" x14ac:dyDescent="0.35">
      <c r="A713" s="4" t="s">
        <v>6464</v>
      </c>
      <c r="B713" s="5" t="s">
        <v>2986</v>
      </c>
      <c r="C713" s="5" t="s">
        <v>1776</v>
      </c>
      <c r="D713" s="5" t="s">
        <v>13</v>
      </c>
      <c r="E713" s="6">
        <v>1827</v>
      </c>
      <c r="F713" s="5" t="str">
        <f>HYPERLINK("https://www.google.com/maps/search/?api=1&amp;query=24.63989924,46.7349719", "View Map")</f>
        <v>View Map</v>
      </c>
    </row>
    <row r="714" spans="1:6" x14ac:dyDescent="0.35">
      <c r="A714" s="4" t="s">
        <v>6465</v>
      </c>
      <c r="B714" s="5" t="s">
        <v>2988</v>
      </c>
      <c r="C714" s="5" t="s">
        <v>1776</v>
      </c>
      <c r="D714" s="5" t="s">
        <v>13</v>
      </c>
      <c r="E714" s="6">
        <v>1826</v>
      </c>
      <c r="F714" s="5" t="str">
        <f>HYPERLINK("https://www.google.com/maps/search/?api=1&amp;query=24.64598,46.70929", "View Map")</f>
        <v>View Map</v>
      </c>
    </row>
    <row r="715" spans="1:6" x14ac:dyDescent="0.35">
      <c r="A715" s="4" t="s">
        <v>6466</v>
      </c>
      <c r="B715" s="5" t="s">
        <v>2990</v>
      </c>
      <c r="C715" s="5" t="s">
        <v>1776</v>
      </c>
      <c r="D715" s="5" t="s">
        <v>13</v>
      </c>
      <c r="E715" s="6">
        <v>1824</v>
      </c>
      <c r="F715" s="5" t="str">
        <f>HYPERLINK("https://www.google.com/maps/search/?api=1&amp;query=24.67397487,46.72966388", "View Map")</f>
        <v>View Map</v>
      </c>
    </row>
    <row r="716" spans="1:6" x14ac:dyDescent="0.35">
      <c r="A716" s="4" t="s">
        <v>6039</v>
      </c>
      <c r="B716" s="5" t="s">
        <v>2991</v>
      </c>
      <c r="C716" s="5" t="s">
        <v>1776</v>
      </c>
      <c r="D716" s="5" t="s">
        <v>13</v>
      </c>
      <c r="E716" s="6">
        <v>1821</v>
      </c>
      <c r="F716" s="5" t="str">
        <f>HYPERLINK("https://www.google.com/maps/search/?api=1&amp;query=24.55574042,46.53210576", "View Map")</f>
        <v>View Map</v>
      </c>
    </row>
    <row r="717" spans="1:6" x14ac:dyDescent="0.35">
      <c r="A717" s="4" t="s">
        <v>5972</v>
      </c>
      <c r="B717" s="5" t="s">
        <v>2992</v>
      </c>
      <c r="C717" s="5" t="s">
        <v>1776</v>
      </c>
      <c r="D717" s="5" t="s">
        <v>13</v>
      </c>
      <c r="E717" s="6">
        <v>1819</v>
      </c>
      <c r="F717" s="5" t="str">
        <f>HYPERLINK("https://www.google.com/maps/search/?api=1&amp;query=24.81157258,46.66226254", "View Map")</f>
        <v>View Map</v>
      </c>
    </row>
    <row r="718" spans="1:6" x14ac:dyDescent="0.35">
      <c r="A718" s="4" t="s">
        <v>6467</v>
      </c>
      <c r="B718" s="5" t="s">
        <v>2994</v>
      </c>
      <c r="C718" s="5" t="s">
        <v>1776</v>
      </c>
      <c r="D718" s="5" t="s">
        <v>13</v>
      </c>
      <c r="E718" s="6">
        <v>1819</v>
      </c>
      <c r="F718" s="5" t="str">
        <f>HYPERLINK("https://www.google.com/maps/search/?api=1&amp;query=24.5557612,46.72303303", "View Map")</f>
        <v>View Map</v>
      </c>
    </row>
    <row r="719" spans="1:6" x14ac:dyDescent="0.35">
      <c r="A719" s="4" t="s">
        <v>6468</v>
      </c>
      <c r="B719" s="5" t="s">
        <v>2996</v>
      </c>
      <c r="C719" s="5" t="s">
        <v>1776</v>
      </c>
      <c r="D719" s="5" t="s">
        <v>13</v>
      </c>
      <c r="E719" s="6">
        <v>1816</v>
      </c>
      <c r="F719" s="5" t="str">
        <f>HYPERLINK("https://www.google.com/maps/search/?api=1&amp;query=24.8213314,46.62972164", "View Map")</f>
        <v>View Map</v>
      </c>
    </row>
    <row r="720" spans="1:6" x14ac:dyDescent="0.35">
      <c r="A720" s="4" t="s">
        <v>6031</v>
      </c>
      <c r="B720" s="5" t="s">
        <v>2997</v>
      </c>
      <c r="C720" s="5" t="s">
        <v>1776</v>
      </c>
      <c r="D720" s="5" t="s">
        <v>13</v>
      </c>
      <c r="E720" s="6">
        <v>1812</v>
      </c>
      <c r="F720" s="5" t="str">
        <f>HYPERLINK("https://www.google.com/maps/search/?api=1&amp;query=24.77162154,46.66114227", "View Map")</f>
        <v>View Map</v>
      </c>
    </row>
    <row r="721" spans="1:6" x14ac:dyDescent="0.35">
      <c r="A721" s="4" t="s">
        <v>6469</v>
      </c>
      <c r="B721" s="5" t="s">
        <v>2999</v>
      </c>
      <c r="C721" s="5" t="s">
        <v>1776</v>
      </c>
      <c r="D721" s="5" t="s">
        <v>13</v>
      </c>
      <c r="E721" s="6">
        <v>1811</v>
      </c>
      <c r="F721" s="5" t="str">
        <f>HYPERLINK("https://www.google.com/maps/search/?api=1&amp;query=24.61821528,46.68802054", "View Map")</f>
        <v>View Map</v>
      </c>
    </row>
    <row r="722" spans="1:6" x14ac:dyDescent="0.35">
      <c r="A722" s="4" t="s">
        <v>6084</v>
      </c>
      <c r="B722" s="5" t="s">
        <v>3000</v>
      </c>
      <c r="C722" s="5" t="s">
        <v>1776</v>
      </c>
      <c r="D722" s="5" t="s">
        <v>13</v>
      </c>
      <c r="E722" s="6">
        <v>1811</v>
      </c>
      <c r="F722" s="5" t="str">
        <f>HYPERLINK("https://www.google.com/maps/search/?api=1&amp;query=24.69643018,46.86031652", "View Map")</f>
        <v>View Map</v>
      </c>
    </row>
    <row r="723" spans="1:6" x14ac:dyDescent="0.35">
      <c r="A723" s="4" t="s">
        <v>6470</v>
      </c>
      <c r="B723" s="5" t="s">
        <v>3002</v>
      </c>
      <c r="C723" s="5" t="s">
        <v>1776</v>
      </c>
      <c r="D723" s="5" t="s">
        <v>13</v>
      </c>
      <c r="E723" s="6">
        <v>1811</v>
      </c>
      <c r="F723" s="5" t="str">
        <f>HYPERLINK("https://www.google.com/maps/search/?api=1&amp;query=24.70092834,46.67108849", "View Map")</f>
        <v>View Map</v>
      </c>
    </row>
    <row r="724" spans="1:6" x14ac:dyDescent="0.35">
      <c r="A724" s="4" t="s">
        <v>6415</v>
      </c>
      <c r="B724" s="5" t="s">
        <v>3003</v>
      </c>
      <c r="C724" s="5" t="s">
        <v>1776</v>
      </c>
      <c r="D724" s="5" t="s">
        <v>13</v>
      </c>
      <c r="E724" s="6">
        <v>1810</v>
      </c>
      <c r="F724" s="5" t="str">
        <f>HYPERLINK("https://www.google.com/maps/search/?api=1&amp;query=24.56920344,46.5368839", "View Map")</f>
        <v>View Map</v>
      </c>
    </row>
    <row r="725" spans="1:6" x14ac:dyDescent="0.35">
      <c r="A725" s="4" t="s">
        <v>5972</v>
      </c>
      <c r="B725" s="5" t="s">
        <v>3004</v>
      </c>
      <c r="C725" s="5" t="s">
        <v>1776</v>
      </c>
      <c r="D725" s="5" t="s">
        <v>9</v>
      </c>
      <c r="E725" s="6">
        <v>1809</v>
      </c>
      <c r="F725" s="5" t="str">
        <f>HYPERLINK("https://www.google.com/maps/search/?api=1&amp;query=24.81336981,46.60082727", "View Map")</f>
        <v>View Map</v>
      </c>
    </row>
    <row r="726" spans="1:6" x14ac:dyDescent="0.35">
      <c r="A726" s="4" t="s">
        <v>6026</v>
      </c>
      <c r="B726" s="5" t="s">
        <v>3005</v>
      </c>
      <c r="C726" s="5" t="s">
        <v>1776</v>
      </c>
      <c r="D726" s="5" t="s">
        <v>13</v>
      </c>
      <c r="E726" s="6">
        <v>1809</v>
      </c>
      <c r="F726" s="5" t="str">
        <f>HYPERLINK("https://www.google.com/maps/search/?api=1&amp;query=24.72356668,46.80803843", "View Map")</f>
        <v>View Map</v>
      </c>
    </row>
    <row r="727" spans="1:6" x14ac:dyDescent="0.35">
      <c r="A727" s="4" t="s">
        <v>6471</v>
      </c>
      <c r="B727" s="5" t="s">
        <v>3007</v>
      </c>
      <c r="C727" s="5" t="s">
        <v>1776</v>
      </c>
      <c r="D727" s="5" t="s">
        <v>13</v>
      </c>
      <c r="E727" s="6">
        <v>1808</v>
      </c>
      <c r="F727" s="5" t="str">
        <f>HYPERLINK("https://www.google.com/maps/search/?api=1&amp;query=24.69040432,46.60629368", "View Map")</f>
        <v>View Map</v>
      </c>
    </row>
    <row r="728" spans="1:6" x14ac:dyDescent="0.35">
      <c r="A728" s="4" t="s">
        <v>6472</v>
      </c>
      <c r="B728" s="5" t="s">
        <v>3009</v>
      </c>
      <c r="C728" s="5" t="s">
        <v>1776</v>
      </c>
      <c r="D728" s="5" t="s">
        <v>13</v>
      </c>
      <c r="E728" s="6">
        <v>1808</v>
      </c>
      <c r="F728" s="5" t="str">
        <f>HYPERLINK("https://www.google.com/maps/search/?api=1&amp;query=24.39639471,46.83362787", "View Map")</f>
        <v>View Map</v>
      </c>
    </row>
    <row r="729" spans="1:6" x14ac:dyDescent="0.35">
      <c r="A729" s="4" t="s">
        <v>5972</v>
      </c>
      <c r="B729" s="5" t="s">
        <v>3010</v>
      </c>
      <c r="C729" s="5" t="s">
        <v>1776</v>
      </c>
      <c r="D729" s="5" t="s">
        <v>13</v>
      </c>
      <c r="E729" s="6">
        <v>1802</v>
      </c>
      <c r="F729" s="5" t="str">
        <f>HYPERLINK("https://www.google.com/maps/search/?api=1&amp;query=24.6636443,46.74780097", "View Map")</f>
        <v>View Map</v>
      </c>
    </row>
    <row r="730" spans="1:6" x14ac:dyDescent="0.35">
      <c r="A730" s="4" t="s">
        <v>6473</v>
      </c>
      <c r="B730" s="5" t="s">
        <v>3012</v>
      </c>
      <c r="C730" s="5" t="s">
        <v>1776</v>
      </c>
      <c r="D730" s="5" t="s">
        <v>9</v>
      </c>
      <c r="E730" s="6">
        <v>1802</v>
      </c>
      <c r="F730" s="5" t="str">
        <f>HYPERLINK("https://www.google.com/maps/search/?api=1&amp;query=24.80937133,46.65371925", "View Map")</f>
        <v>View Map</v>
      </c>
    </row>
    <row r="731" spans="1:6" x14ac:dyDescent="0.35">
      <c r="A731" s="4" t="s">
        <v>6474</v>
      </c>
      <c r="B731" s="5" t="s">
        <v>3014</v>
      </c>
      <c r="C731" s="5" t="s">
        <v>1776</v>
      </c>
      <c r="D731" s="5" t="s">
        <v>13</v>
      </c>
      <c r="E731" s="6">
        <v>1802</v>
      </c>
      <c r="F731" s="5" t="str">
        <f>HYPERLINK("https://www.google.com/maps/search/?api=1&amp;query=24.58888553,46.78430336", "View Map")</f>
        <v>View Map</v>
      </c>
    </row>
    <row r="732" spans="1:6" x14ac:dyDescent="0.35">
      <c r="A732" s="4" t="s">
        <v>6475</v>
      </c>
      <c r="B732" s="5" t="s">
        <v>3016</v>
      </c>
      <c r="C732" s="5" t="s">
        <v>1776</v>
      </c>
      <c r="D732" s="5" t="s">
        <v>13</v>
      </c>
      <c r="E732" s="6">
        <v>1798</v>
      </c>
      <c r="F732" s="5" t="str">
        <f>HYPERLINK("https://www.google.com/maps/search/?api=1&amp;query=24.57652756,46.56808213", "View Map")</f>
        <v>View Map</v>
      </c>
    </row>
    <row r="733" spans="1:6" x14ac:dyDescent="0.35">
      <c r="A733" s="4" t="s">
        <v>6476</v>
      </c>
      <c r="B733" s="5" t="s">
        <v>3018</v>
      </c>
      <c r="C733" s="5" t="s">
        <v>1776</v>
      </c>
      <c r="D733" s="5" t="s">
        <v>13</v>
      </c>
      <c r="E733" s="6">
        <v>1797</v>
      </c>
      <c r="F733" s="5" t="str">
        <f>HYPERLINK("https://www.google.com/maps/search/?api=1&amp;query=24.72327384,46.81496584", "View Map")</f>
        <v>View Map</v>
      </c>
    </row>
    <row r="734" spans="1:6" x14ac:dyDescent="0.35">
      <c r="A734" s="4" t="s">
        <v>5974</v>
      </c>
      <c r="B734" s="5" t="s">
        <v>3019</v>
      </c>
      <c r="C734" s="5" t="s">
        <v>1776</v>
      </c>
      <c r="D734" s="5" t="s">
        <v>13</v>
      </c>
      <c r="E734" s="6">
        <v>1796</v>
      </c>
      <c r="F734" s="5" t="str">
        <f>HYPERLINK("https://www.google.com/maps/search/?api=1&amp;query=24.65657724,46.68381828", "View Map")</f>
        <v>View Map</v>
      </c>
    </row>
    <row r="735" spans="1:6" x14ac:dyDescent="0.35">
      <c r="A735" s="4" t="s">
        <v>6477</v>
      </c>
      <c r="B735" s="5" t="s">
        <v>3021</v>
      </c>
      <c r="C735" s="5" t="s">
        <v>1776</v>
      </c>
      <c r="D735" s="5" t="s">
        <v>13</v>
      </c>
      <c r="E735" s="6">
        <v>1796</v>
      </c>
      <c r="F735" s="5" t="str">
        <f>HYPERLINK("https://www.google.com/maps/search/?api=1&amp;query=24.76982841,46.75012222", "View Map")</f>
        <v>View Map</v>
      </c>
    </row>
    <row r="736" spans="1:6" x14ac:dyDescent="0.35">
      <c r="A736" s="4" t="s">
        <v>6478</v>
      </c>
      <c r="B736" s="5" t="s">
        <v>3023</v>
      </c>
      <c r="C736" s="5" t="s">
        <v>1776</v>
      </c>
      <c r="D736" s="5" t="s">
        <v>13</v>
      </c>
      <c r="E736" s="6">
        <v>1795</v>
      </c>
      <c r="F736" s="5" t="str">
        <f>HYPERLINK("https://www.google.com/maps/search/?api=1&amp;query=24.80221509,46.8580866", "View Map")</f>
        <v>View Map</v>
      </c>
    </row>
    <row r="737" spans="1:6" x14ac:dyDescent="0.35">
      <c r="A737" s="4" t="s">
        <v>6479</v>
      </c>
      <c r="B737" s="5" t="s">
        <v>3025</v>
      </c>
      <c r="C737" s="5" t="s">
        <v>1776</v>
      </c>
      <c r="D737" s="5" t="s">
        <v>13</v>
      </c>
      <c r="E737" s="6">
        <v>1792</v>
      </c>
      <c r="F737" s="5" t="str">
        <f>HYPERLINK("https://www.google.com/maps/search/?api=1&amp;query=24.7378628,46.61243436", "View Map")</f>
        <v>View Map</v>
      </c>
    </row>
    <row r="738" spans="1:6" x14ac:dyDescent="0.35">
      <c r="A738" s="4" t="s">
        <v>5974</v>
      </c>
      <c r="B738" s="5" t="s">
        <v>3026</v>
      </c>
      <c r="C738" s="5" t="s">
        <v>1776</v>
      </c>
      <c r="D738" s="5" t="s">
        <v>13</v>
      </c>
      <c r="E738" s="6">
        <v>1792</v>
      </c>
      <c r="F738" s="5" t="str">
        <f>HYPERLINK("https://www.google.com/maps/search/?api=1&amp;query=24.8007155,46.72669667", "View Map")</f>
        <v>View Map</v>
      </c>
    </row>
    <row r="739" spans="1:6" x14ac:dyDescent="0.35">
      <c r="A739" s="4" t="s">
        <v>6480</v>
      </c>
      <c r="B739" s="5" t="s">
        <v>3028</v>
      </c>
      <c r="C739" s="5" t="s">
        <v>1776</v>
      </c>
      <c r="D739" s="5" t="s">
        <v>13</v>
      </c>
      <c r="E739" s="6">
        <v>1791</v>
      </c>
      <c r="F739" s="5" t="str">
        <f>HYPERLINK("https://www.google.com/maps/search/?api=1&amp;query=24.69418897,46.69232732", "View Map")</f>
        <v>View Map</v>
      </c>
    </row>
    <row r="740" spans="1:6" x14ac:dyDescent="0.35">
      <c r="A740" s="4" t="s">
        <v>5972</v>
      </c>
      <c r="B740" s="5" t="s">
        <v>3029</v>
      </c>
      <c r="C740" s="5" t="s">
        <v>1776</v>
      </c>
      <c r="D740" s="5" t="s">
        <v>13</v>
      </c>
      <c r="E740" s="6">
        <v>1790</v>
      </c>
      <c r="F740" s="5" t="str">
        <f>HYPERLINK("https://www.google.com/maps/search/?api=1&amp;query=24.81487507,46.61758932", "View Map")</f>
        <v>View Map</v>
      </c>
    </row>
    <row r="741" spans="1:6" x14ac:dyDescent="0.35">
      <c r="A741" s="4" t="s">
        <v>6481</v>
      </c>
      <c r="B741" s="5" t="s">
        <v>3031</v>
      </c>
      <c r="C741" s="5" t="s">
        <v>1776</v>
      </c>
      <c r="D741" s="5" t="s">
        <v>13</v>
      </c>
      <c r="E741" s="6">
        <v>1790</v>
      </c>
      <c r="F741" s="5" t="str">
        <f>HYPERLINK("https://www.google.com/maps/search/?api=1&amp;query=24.82311751,46.77345016", "View Map")</f>
        <v>View Map</v>
      </c>
    </row>
    <row r="742" spans="1:6" x14ac:dyDescent="0.35">
      <c r="A742" s="4" t="s">
        <v>6162</v>
      </c>
      <c r="B742" s="5" t="s">
        <v>3032</v>
      </c>
      <c r="C742" s="5" t="s">
        <v>1776</v>
      </c>
      <c r="D742" s="5" t="s">
        <v>13</v>
      </c>
      <c r="E742" s="6">
        <v>1787</v>
      </c>
      <c r="F742" s="5" t="str">
        <f>HYPERLINK("https://www.google.com/maps/search/?api=1&amp;query=24.70479326,46.77123185", "View Map")</f>
        <v>View Map</v>
      </c>
    </row>
    <row r="743" spans="1:6" x14ac:dyDescent="0.35">
      <c r="A743" s="4" t="s">
        <v>5974</v>
      </c>
      <c r="B743" s="5" t="s">
        <v>3033</v>
      </c>
      <c r="C743" s="5" t="s">
        <v>1776</v>
      </c>
      <c r="D743" s="5" t="s">
        <v>13</v>
      </c>
      <c r="E743" s="6">
        <v>1785</v>
      </c>
      <c r="F743" s="5" t="str">
        <f>HYPERLINK("https://www.google.com/maps/search/?api=1&amp;query=24.86698,46.62094", "View Map")</f>
        <v>View Map</v>
      </c>
    </row>
    <row r="744" spans="1:6" x14ac:dyDescent="0.35">
      <c r="A744" s="4" t="s">
        <v>6482</v>
      </c>
      <c r="B744" s="5" t="s">
        <v>3035</v>
      </c>
      <c r="C744" s="5" t="s">
        <v>1776</v>
      </c>
      <c r="D744" s="5" t="s">
        <v>13</v>
      </c>
      <c r="E744" s="6">
        <v>1784</v>
      </c>
      <c r="F744" s="5" t="str">
        <f>HYPERLINK("https://www.google.com/maps/search/?api=1&amp;query=24.5376302,46.64505804", "View Map")</f>
        <v>View Map</v>
      </c>
    </row>
    <row r="745" spans="1:6" x14ac:dyDescent="0.35">
      <c r="A745" s="4" t="s">
        <v>5974</v>
      </c>
      <c r="B745" s="5" t="s">
        <v>3036</v>
      </c>
      <c r="C745" s="5" t="s">
        <v>1776</v>
      </c>
      <c r="D745" s="5" t="s">
        <v>13</v>
      </c>
      <c r="E745" s="6">
        <v>1783</v>
      </c>
      <c r="F745" s="5" t="str">
        <f>HYPERLINK("https://www.google.com/maps/search/?api=1&amp;query=24.83270518,46.75637819", "View Map")</f>
        <v>View Map</v>
      </c>
    </row>
    <row r="746" spans="1:6" x14ac:dyDescent="0.35">
      <c r="A746" s="4" t="s">
        <v>6483</v>
      </c>
      <c r="B746" s="5" t="s">
        <v>3038</v>
      </c>
      <c r="C746" s="5" t="s">
        <v>1776</v>
      </c>
      <c r="D746" s="5" t="s">
        <v>13</v>
      </c>
      <c r="E746" s="6">
        <v>1782</v>
      </c>
      <c r="F746" s="5" t="str">
        <f>HYPERLINK("https://www.google.com/maps/search/?api=1&amp;query=24.57215663,46.58360309", "View Map")</f>
        <v>View Map</v>
      </c>
    </row>
    <row r="747" spans="1:6" x14ac:dyDescent="0.35">
      <c r="A747" s="4" t="s">
        <v>6039</v>
      </c>
      <c r="B747" s="5" t="s">
        <v>3039</v>
      </c>
      <c r="C747" s="5" t="s">
        <v>1776</v>
      </c>
      <c r="D747" s="5" t="s">
        <v>13</v>
      </c>
      <c r="E747" s="6">
        <v>1782</v>
      </c>
      <c r="F747" s="5" t="str">
        <f>HYPERLINK("https://www.google.com/maps/search/?api=1&amp;query=24.6125,46.7017", "View Map")</f>
        <v>View Map</v>
      </c>
    </row>
    <row r="748" spans="1:6" x14ac:dyDescent="0.35">
      <c r="A748" s="4" t="s">
        <v>6484</v>
      </c>
      <c r="B748" s="5" t="s">
        <v>3041</v>
      </c>
      <c r="C748" s="5" t="s">
        <v>1776</v>
      </c>
      <c r="D748" s="5" t="s">
        <v>13</v>
      </c>
      <c r="E748" s="6">
        <v>1781</v>
      </c>
      <c r="F748" s="5" t="str">
        <f>HYPERLINK("https://www.google.com/maps/search/?api=1&amp;query=24.80437328,46.64869483", "View Map")</f>
        <v>View Map</v>
      </c>
    </row>
    <row r="749" spans="1:6" x14ac:dyDescent="0.35">
      <c r="A749" s="4" t="s">
        <v>6485</v>
      </c>
      <c r="B749" s="5" t="s">
        <v>3043</v>
      </c>
      <c r="C749" s="5" t="s">
        <v>1776</v>
      </c>
      <c r="D749" s="5" t="s">
        <v>13</v>
      </c>
      <c r="E749" s="6">
        <v>1778</v>
      </c>
      <c r="F749" s="5" t="str">
        <f>HYPERLINK("https://www.google.com/maps/search/?api=1&amp;query=24.68324188,46.78661618", "View Map")</f>
        <v>View Map</v>
      </c>
    </row>
    <row r="750" spans="1:6" x14ac:dyDescent="0.35">
      <c r="A750" s="4" t="s">
        <v>5974</v>
      </c>
      <c r="B750" s="5" t="s">
        <v>3044</v>
      </c>
      <c r="C750" s="5" t="s">
        <v>1776</v>
      </c>
      <c r="D750" s="5" t="s">
        <v>13</v>
      </c>
      <c r="E750" s="6">
        <v>1777</v>
      </c>
      <c r="F750" s="5" t="str">
        <f>HYPERLINK("https://www.google.com/maps/search/?api=1&amp;query=24.64417295,46.79255834", "View Map")</f>
        <v>View Map</v>
      </c>
    </row>
    <row r="751" spans="1:6" x14ac:dyDescent="0.35">
      <c r="A751" s="4" t="s">
        <v>6486</v>
      </c>
      <c r="B751" s="5" t="s">
        <v>3046</v>
      </c>
      <c r="C751" s="5" t="s">
        <v>1776</v>
      </c>
      <c r="D751" s="5" t="s">
        <v>13</v>
      </c>
      <c r="E751" s="6">
        <v>1774</v>
      </c>
      <c r="F751" s="5" t="str">
        <f>HYPERLINK("https://www.google.com/maps/search/?api=1&amp;query=24.72266972,46.82456923", "View Map")</f>
        <v>View Map</v>
      </c>
    </row>
    <row r="752" spans="1:6" x14ac:dyDescent="0.35">
      <c r="A752" s="4" t="s">
        <v>6487</v>
      </c>
      <c r="B752" s="5" t="s">
        <v>3048</v>
      </c>
      <c r="C752" s="5" t="s">
        <v>1776</v>
      </c>
      <c r="D752" s="5" t="s">
        <v>13</v>
      </c>
      <c r="E752" s="6">
        <v>1772</v>
      </c>
      <c r="F752" s="5" t="str">
        <f>HYPERLINK("https://www.google.com/maps/search/?api=1&amp;query=24.73681019,46.66074584", "View Map")</f>
        <v>View Map</v>
      </c>
    </row>
    <row r="753" spans="1:6" x14ac:dyDescent="0.35">
      <c r="A753" s="4" t="s">
        <v>6488</v>
      </c>
      <c r="B753" s="5" t="s">
        <v>3050</v>
      </c>
      <c r="C753" s="5" t="s">
        <v>1776</v>
      </c>
      <c r="D753" s="5" t="s">
        <v>13</v>
      </c>
      <c r="E753" s="6">
        <v>1770</v>
      </c>
      <c r="F753" s="5" t="str">
        <f>HYPERLINK("https://www.google.com/maps/search/?api=1&amp;query=24.77811662,46.66856117", "View Map")</f>
        <v>View Map</v>
      </c>
    </row>
    <row r="754" spans="1:6" x14ac:dyDescent="0.35">
      <c r="A754" s="4" t="s">
        <v>6489</v>
      </c>
      <c r="B754" s="5" t="s">
        <v>3052</v>
      </c>
      <c r="C754" s="5" t="s">
        <v>1776</v>
      </c>
      <c r="D754" s="5" t="s">
        <v>13</v>
      </c>
      <c r="E754" s="6">
        <v>1770</v>
      </c>
      <c r="F754" s="5" t="str">
        <f>HYPERLINK("https://www.google.com/maps/search/?api=1&amp;query=24.78074525,46.79005083", "View Map")</f>
        <v>View Map</v>
      </c>
    </row>
    <row r="755" spans="1:6" x14ac:dyDescent="0.35">
      <c r="A755" s="4" t="s">
        <v>3053</v>
      </c>
      <c r="B755" s="5" t="s">
        <v>3054</v>
      </c>
      <c r="C755" s="5" t="s">
        <v>1776</v>
      </c>
      <c r="D755" s="5" t="s">
        <v>13</v>
      </c>
      <c r="E755" s="6">
        <v>1767</v>
      </c>
      <c r="F755" s="5" t="str">
        <f>HYPERLINK("https://www.google.com/maps/search/?api=1&amp;query=24.63964814,46.78593666", "View Map")</f>
        <v>View Map</v>
      </c>
    </row>
    <row r="756" spans="1:6" x14ac:dyDescent="0.35">
      <c r="A756" s="4" t="s">
        <v>6490</v>
      </c>
      <c r="B756" s="5" t="s">
        <v>3056</v>
      </c>
      <c r="C756" s="5" t="s">
        <v>1776</v>
      </c>
      <c r="D756" s="5" t="s">
        <v>13</v>
      </c>
      <c r="E756" s="6">
        <v>1764</v>
      </c>
      <c r="F756" s="5" t="str">
        <f>HYPERLINK("https://www.google.com/maps/search/?api=1&amp;query=24.610464,46.71866615", "View Map")</f>
        <v>View Map</v>
      </c>
    </row>
    <row r="757" spans="1:6" x14ac:dyDescent="0.35">
      <c r="A757" s="4" t="s">
        <v>6491</v>
      </c>
      <c r="B757" s="5" t="s">
        <v>3058</v>
      </c>
      <c r="C757" s="5" t="s">
        <v>1776</v>
      </c>
      <c r="D757" s="5" t="s">
        <v>13</v>
      </c>
      <c r="E757" s="6">
        <v>1761</v>
      </c>
      <c r="F757" s="5" t="str">
        <f>HYPERLINK("https://www.google.com/maps/search/?api=1&amp;query=24.58115827,46.57092668", "View Map")</f>
        <v>View Map</v>
      </c>
    </row>
    <row r="758" spans="1:6" x14ac:dyDescent="0.35">
      <c r="A758" s="4" t="s">
        <v>6492</v>
      </c>
      <c r="B758" s="5" t="s">
        <v>3060</v>
      </c>
      <c r="C758" s="5" t="s">
        <v>1776</v>
      </c>
      <c r="D758" s="5" t="s">
        <v>13</v>
      </c>
      <c r="E758" s="6">
        <v>1761</v>
      </c>
      <c r="F758" s="5" t="str">
        <f>HYPERLINK("https://www.google.com/maps/search/?api=1&amp;query=24.81092439,46.85793814", "View Map")</f>
        <v>View Map</v>
      </c>
    </row>
    <row r="759" spans="1:6" x14ac:dyDescent="0.35">
      <c r="A759" s="4" t="s">
        <v>5974</v>
      </c>
      <c r="B759" s="5" t="s">
        <v>3061</v>
      </c>
      <c r="C759" s="5" t="s">
        <v>1776</v>
      </c>
      <c r="D759" s="5" t="s">
        <v>13</v>
      </c>
      <c r="E759" s="6">
        <v>1755</v>
      </c>
      <c r="F759" s="5" t="str">
        <f>HYPERLINK("https://www.google.com/maps/search/?api=1&amp;query=24.87392999,46.61298512", "View Map")</f>
        <v>View Map</v>
      </c>
    </row>
    <row r="760" spans="1:6" x14ac:dyDescent="0.35">
      <c r="A760" s="4" t="s">
        <v>6493</v>
      </c>
      <c r="B760" s="5" t="s">
        <v>3063</v>
      </c>
      <c r="C760" s="5" t="s">
        <v>1776</v>
      </c>
      <c r="D760" s="5" t="s">
        <v>13</v>
      </c>
      <c r="E760" s="6">
        <v>1755</v>
      </c>
      <c r="F760" s="5" t="str">
        <f>HYPERLINK("https://www.google.com/maps/search/?api=1&amp;query=24.56388862,46.71046769", "View Map")</f>
        <v>View Map</v>
      </c>
    </row>
    <row r="761" spans="1:6" x14ac:dyDescent="0.35">
      <c r="A761" s="4" t="s">
        <v>6494</v>
      </c>
      <c r="B761" s="5" t="s">
        <v>3065</v>
      </c>
      <c r="C761" s="5" t="s">
        <v>1776</v>
      </c>
      <c r="D761" s="5" t="s">
        <v>13</v>
      </c>
      <c r="E761" s="6">
        <v>1755</v>
      </c>
      <c r="F761" s="5" t="str">
        <f>HYPERLINK("https://www.google.com/maps/search/?api=1&amp;query=24.69498401,46.78966611", "View Map")</f>
        <v>View Map</v>
      </c>
    </row>
    <row r="762" spans="1:6" x14ac:dyDescent="0.35">
      <c r="A762" s="4" t="s">
        <v>6495</v>
      </c>
      <c r="B762" s="5" t="s">
        <v>3067</v>
      </c>
      <c r="C762" s="5" t="s">
        <v>1776</v>
      </c>
      <c r="D762" s="5" t="s">
        <v>13</v>
      </c>
      <c r="E762" s="6">
        <v>1751</v>
      </c>
      <c r="F762" s="5" t="str">
        <f>HYPERLINK("https://www.google.com/maps/search/?api=1&amp;query=24.65306179,46.65133897", "View Map")</f>
        <v>View Map</v>
      </c>
    </row>
    <row r="763" spans="1:6" x14ac:dyDescent="0.35">
      <c r="A763" s="4" t="s">
        <v>5974</v>
      </c>
      <c r="B763" s="5" t="s">
        <v>3068</v>
      </c>
      <c r="C763" s="5" t="s">
        <v>1776</v>
      </c>
      <c r="D763" s="5" t="s">
        <v>13</v>
      </c>
      <c r="E763" s="6">
        <v>1750</v>
      </c>
      <c r="F763" s="5" t="str">
        <f>HYPERLINK("https://www.google.com/maps/search/?api=1&amp;query=24.85562724,46.84151737", "View Map")</f>
        <v>View Map</v>
      </c>
    </row>
    <row r="764" spans="1:6" x14ac:dyDescent="0.35">
      <c r="A764" s="4" t="s">
        <v>6496</v>
      </c>
      <c r="B764" s="5" t="s">
        <v>3070</v>
      </c>
      <c r="C764" s="5" t="s">
        <v>1776</v>
      </c>
      <c r="D764" s="5" t="s">
        <v>13</v>
      </c>
      <c r="E764" s="6">
        <v>1748</v>
      </c>
      <c r="F764" s="5" t="str">
        <f>HYPERLINK("https://www.google.com/maps/search/?api=1&amp;query=24.76978416,46.77890583", "View Map")</f>
        <v>View Map</v>
      </c>
    </row>
    <row r="765" spans="1:6" x14ac:dyDescent="0.35">
      <c r="A765" s="4" t="s">
        <v>6497</v>
      </c>
      <c r="B765" s="5" t="s">
        <v>3072</v>
      </c>
      <c r="C765" s="5" t="s">
        <v>1776</v>
      </c>
      <c r="D765" s="5" t="s">
        <v>13</v>
      </c>
      <c r="E765" s="6">
        <v>1747</v>
      </c>
      <c r="F765" s="5" t="str">
        <f>HYPERLINK("https://www.google.com/maps/search/?api=1&amp;query=24.74449693,46.82619363", "View Map")</f>
        <v>View Map</v>
      </c>
    </row>
    <row r="766" spans="1:6" x14ac:dyDescent="0.35">
      <c r="A766" s="4" t="s">
        <v>6498</v>
      </c>
      <c r="B766" s="5" t="s">
        <v>3074</v>
      </c>
      <c r="C766" s="5" t="s">
        <v>1776</v>
      </c>
      <c r="D766" s="5" t="s">
        <v>13</v>
      </c>
      <c r="E766" s="6">
        <v>1747</v>
      </c>
      <c r="F766" s="5" t="str">
        <f>HYPERLINK("https://www.google.com/maps/search/?api=1&amp;query=24.73916575,46.76853328", "View Map")</f>
        <v>View Map</v>
      </c>
    </row>
    <row r="767" spans="1:6" x14ac:dyDescent="0.35">
      <c r="A767" s="4" t="s">
        <v>6499</v>
      </c>
      <c r="B767" s="5" t="s">
        <v>3076</v>
      </c>
      <c r="C767" s="5" t="s">
        <v>1776</v>
      </c>
      <c r="D767" s="5" t="s">
        <v>13</v>
      </c>
      <c r="E767" s="6">
        <v>1745</v>
      </c>
      <c r="F767" s="5" t="str">
        <f>HYPERLINK("https://www.google.com/maps/search/?api=1&amp;query=24.74523184,46.79897044", "View Map")</f>
        <v>View Map</v>
      </c>
    </row>
    <row r="768" spans="1:6" x14ac:dyDescent="0.35">
      <c r="A768" s="4" t="s">
        <v>5978</v>
      </c>
      <c r="B768" s="5" t="s">
        <v>3077</v>
      </c>
      <c r="C768" s="5" t="s">
        <v>1776</v>
      </c>
      <c r="D768" s="5" t="s">
        <v>9</v>
      </c>
      <c r="E768" s="6">
        <v>1741</v>
      </c>
      <c r="F768" s="5" t="str">
        <f>HYPERLINK("https://www.google.com/maps/search/?api=1&amp;query=24.82533509,46.74783763", "View Map")</f>
        <v>View Map</v>
      </c>
    </row>
    <row r="769" spans="1:6" x14ac:dyDescent="0.35">
      <c r="A769" s="4" t="s">
        <v>6500</v>
      </c>
      <c r="B769" s="5" t="s">
        <v>3079</v>
      </c>
      <c r="C769" s="5" t="s">
        <v>1776</v>
      </c>
      <c r="D769" s="5" t="s">
        <v>13</v>
      </c>
      <c r="E769" s="6">
        <v>1740</v>
      </c>
      <c r="F769" s="5" t="str">
        <f>HYPERLINK("https://www.google.com/maps/search/?api=1&amp;query=24.61958038,46.68755354", "View Map")</f>
        <v>View Map</v>
      </c>
    </row>
    <row r="770" spans="1:6" x14ac:dyDescent="0.35">
      <c r="A770" s="4" t="s">
        <v>6501</v>
      </c>
      <c r="B770" s="5" t="s">
        <v>3081</v>
      </c>
      <c r="C770" s="5" t="s">
        <v>1776</v>
      </c>
      <c r="D770" s="5" t="s">
        <v>13</v>
      </c>
      <c r="E770" s="6">
        <v>1735</v>
      </c>
      <c r="F770" s="5" t="str">
        <f>HYPERLINK("https://www.google.com/maps/search/?api=1&amp;query=24.65659264,46.74825675", "View Map")</f>
        <v>View Map</v>
      </c>
    </row>
    <row r="771" spans="1:6" x14ac:dyDescent="0.35">
      <c r="A771" s="4" t="s">
        <v>6502</v>
      </c>
      <c r="B771" s="5" t="s">
        <v>3083</v>
      </c>
      <c r="C771" s="5" t="s">
        <v>1776</v>
      </c>
      <c r="D771" s="5" t="s">
        <v>13</v>
      </c>
      <c r="E771" s="6">
        <v>1735</v>
      </c>
      <c r="F771" s="5" t="str">
        <f>HYPERLINK("https://www.google.com/maps/search/?api=1&amp;query=24.73937506,46.70818929", "View Map")</f>
        <v>View Map</v>
      </c>
    </row>
    <row r="772" spans="1:6" x14ac:dyDescent="0.35">
      <c r="A772" s="4" t="s">
        <v>6503</v>
      </c>
      <c r="B772" s="5" t="s">
        <v>3085</v>
      </c>
      <c r="C772" s="5" t="s">
        <v>1776</v>
      </c>
      <c r="D772" s="5" t="s">
        <v>13</v>
      </c>
      <c r="E772" s="6">
        <v>1732</v>
      </c>
      <c r="F772" s="5" t="str">
        <f>HYPERLINK("https://www.google.com/maps/search/?api=1&amp;query=24.68607,46.56311", "View Map")</f>
        <v>View Map</v>
      </c>
    </row>
    <row r="773" spans="1:6" x14ac:dyDescent="0.35">
      <c r="A773" s="4" t="s">
        <v>6504</v>
      </c>
      <c r="B773" s="5" t="s">
        <v>3087</v>
      </c>
      <c r="C773" s="5" t="s">
        <v>1776</v>
      </c>
      <c r="D773" s="5" t="s">
        <v>13</v>
      </c>
      <c r="E773" s="6">
        <v>1730</v>
      </c>
      <c r="F773" s="5" t="str">
        <f>HYPERLINK("https://www.google.com/maps/search/?api=1&amp;query=24.76100008,46.77698716", "View Map")</f>
        <v>View Map</v>
      </c>
    </row>
    <row r="774" spans="1:6" x14ac:dyDescent="0.35">
      <c r="A774" s="4" t="s">
        <v>5974</v>
      </c>
      <c r="B774" s="5" t="s">
        <v>3088</v>
      </c>
      <c r="C774" s="5" t="s">
        <v>1776</v>
      </c>
      <c r="D774" s="5" t="s">
        <v>13</v>
      </c>
      <c r="E774" s="6">
        <v>1726</v>
      </c>
      <c r="F774" s="5" t="str">
        <f>HYPERLINK("https://www.google.com/maps/search/?api=1&amp;query=24.61917,46.50129", "View Map")</f>
        <v>View Map</v>
      </c>
    </row>
    <row r="775" spans="1:6" x14ac:dyDescent="0.35">
      <c r="A775" s="4" t="s">
        <v>6505</v>
      </c>
      <c r="B775" s="5" t="s">
        <v>3090</v>
      </c>
      <c r="C775" s="5" t="s">
        <v>1776</v>
      </c>
      <c r="D775" s="5" t="s">
        <v>13</v>
      </c>
      <c r="E775" s="6">
        <v>1726</v>
      </c>
      <c r="F775" s="5" t="str">
        <f>HYPERLINK("https://www.google.com/maps/search/?api=1&amp;query=24.818616,46.88765731", "View Map")</f>
        <v>View Map</v>
      </c>
    </row>
    <row r="776" spans="1:6" x14ac:dyDescent="0.35">
      <c r="A776" s="4" t="s">
        <v>5974</v>
      </c>
      <c r="B776" s="5" t="s">
        <v>3091</v>
      </c>
      <c r="C776" s="5" t="s">
        <v>1776</v>
      </c>
      <c r="D776" s="5" t="s">
        <v>13</v>
      </c>
      <c r="E776" s="6">
        <v>1724</v>
      </c>
      <c r="F776" s="5" t="str">
        <f>HYPERLINK("https://www.google.com/maps/search/?api=1&amp;query=24.85334648,46.82699941", "View Map")</f>
        <v>View Map</v>
      </c>
    </row>
    <row r="777" spans="1:6" x14ac:dyDescent="0.35">
      <c r="A777" s="4" t="s">
        <v>6506</v>
      </c>
      <c r="B777" s="5" t="s">
        <v>3093</v>
      </c>
      <c r="C777" s="5" t="s">
        <v>1776</v>
      </c>
      <c r="D777" s="5" t="s">
        <v>13</v>
      </c>
      <c r="E777" s="6">
        <v>1723</v>
      </c>
      <c r="F777" s="5" t="str">
        <f>HYPERLINK("https://www.google.com/maps/search/?api=1&amp;query=24.6755305,46.73820465", "View Map")</f>
        <v>View Map</v>
      </c>
    </row>
    <row r="778" spans="1:6" x14ac:dyDescent="0.35">
      <c r="A778" s="4" t="s">
        <v>5974</v>
      </c>
      <c r="B778" s="5" t="s">
        <v>3094</v>
      </c>
      <c r="C778" s="5" t="s">
        <v>1776</v>
      </c>
      <c r="D778" s="5" t="s">
        <v>13</v>
      </c>
      <c r="E778" s="6">
        <v>1722</v>
      </c>
      <c r="F778" s="5" t="str">
        <f>HYPERLINK("https://www.google.com/maps/search/?api=1&amp;query=24.87025862,46.61654794", "View Map")</f>
        <v>View Map</v>
      </c>
    </row>
    <row r="779" spans="1:6" x14ac:dyDescent="0.35">
      <c r="A779" s="4" t="s">
        <v>6507</v>
      </c>
      <c r="B779" s="5" t="s">
        <v>3096</v>
      </c>
      <c r="C779" s="5" t="s">
        <v>1776</v>
      </c>
      <c r="D779" s="5" t="s">
        <v>13</v>
      </c>
      <c r="E779" s="6">
        <v>1722</v>
      </c>
      <c r="F779" s="5" t="str">
        <f>HYPERLINK("https://www.google.com/maps/search/?api=1&amp;query=24.76900782,46.75974478", "View Map")</f>
        <v>View Map</v>
      </c>
    </row>
    <row r="780" spans="1:6" x14ac:dyDescent="0.35">
      <c r="A780" s="4" t="s">
        <v>6508</v>
      </c>
      <c r="B780" s="5" t="s">
        <v>3098</v>
      </c>
      <c r="C780" s="5" t="s">
        <v>1776</v>
      </c>
      <c r="D780" s="5" t="s">
        <v>13</v>
      </c>
      <c r="E780" s="6">
        <v>1722</v>
      </c>
      <c r="F780" s="5" t="str">
        <f>HYPERLINK("https://www.google.com/maps/search/?api=1&amp;query=24.69826097,46.80339704", "View Map")</f>
        <v>View Map</v>
      </c>
    </row>
    <row r="781" spans="1:6" x14ac:dyDescent="0.35">
      <c r="A781" s="4" t="s">
        <v>6509</v>
      </c>
      <c r="B781" s="5" t="s">
        <v>3100</v>
      </c>
      <c r="C781" s="5" t="s">
        <v>1776</v>
      </c>
      <c r="D781" s="5" t="s">
        <v>13</v>
      </c>
      <c r="E781" s="6">
        <v>1722</v>
      </c>
      <c r="F781" s="5" t="str">
        <f>HYPERLINK("https://www.google.com/maps/search/?api=1&amp;query=24.78612007,46.71853143", "View Map")</f>
        <v>View Map</v>
      </c>
    </row>
    <row r="782" spans="1:6" x14ac:dyDescent="0.35">
      <c r="A782" s="4" t="s">
        <v>5974</v>
      </c>
      <c r="B782" s="5" t="s">
        <v>3101</v>
      </c>
      <c r="C782" s="5" t="s">
        <v>1776</v>
      </c>
      <c r="D782" s="5" t="s">
        <v>13</v>
      </c>
      <c r="E782" s="6">
        <v>1721</v>
      </c>
      <c r="F782" s="5" t="str">
        <f>HYPERLINK("https://www.google.com/maps/search/?api=1&amp;query=24.79030918,46.58661777", "View Map")</f>
        <v>View Map</v>
      </c>
    </row>
    <row r="783" spans="1:6" x14ac:dyDescent="0.35">
      <c r="A783" s="4" t="s">
        <v>6510</v>
      </c>
      <c r="B783" s="5" t="s">
        <v>3103</v>
      </c>
      <c r="C783" s="5" t="s">
        <v>1776</v>
      </c>
      <c r="D783" s="5" t="s">
        <v>13</v>
      </c>
      <c r="E783" s="6">
        <v>1720</v>
      </c>
      <c r="F783" s="5" t="str">
        <f>HYPERLINK("https://www.google.com/maps/search/?api=1&amp;query=24.81973682,46.77088875", "View Map")</f>
        <v>View Map</v>
      </c>
    </row>
    <row r="784" spans="1:6" x14ac:dyDescent="0.35">
      <c r="A784" s="4" t="s">
        <v>6511</v>
      </c>
      <c r="B784" s="5" t="s">
        <v>3105</v>
      </c>
      <c r="C784" s="5" t="s">
        <v>1776</v>
      </c>
      <c r="D784" s="5" t="s">
        <v>13</v>
      </c>
      <c r="E784" s="6">
        <v>1717</v>
      </c>
      <c r="F784" s="5" t="str">
        <f>HYPERLINK("https://www.google.com/maps/search/?api=1&amp;query=24.67914182,46.67245604", "View Map")</f>
        <v>View Map</v>
      </c>
    </row>
    <row r="785" spans="1:6" x14ac:dyDescent="0.35">
      <c r="A785" s="4" t="s">
        <v>6512</v>
      </c>
      <c r="B785" s="5" t="s">
        <v>3107</v>
      </c>
      <c r="C785" s="5" t="s">
        <v>1776</v>
      </c>
      <c r="D785" s="5" t="s">
        <v>13</v>
      </c>
      <c r="E785" s="6">
        <v>1717</v>
      </c>
      <c r="F785" s="5" t="str">
        <f>HYPERLINK("https://www.google.com/maps/search/?api=1&amp;query=24.60534966,46.75245119", "View Map")</f>
        <v>View Map</v>
      </c>
    </row>
    <row r="786" spans="1:6" x14ac:dyDescent="0.35">
      <c r="A786" s="4" t="s">
        <v>6513</v>
      </c>
      <c r="B786" s="5" t="s">
        <v>3109</v>
      </c>
      <c r="C786" s="5" t="s">
        <v>1776</v>
      </c>
      <c r="D786" s="5" t="s">
        <v>13</v>
      </c>
      <c r="E786" s="6">
        <v>1716</v>
      </c>
      <c r="F786" s="5" t="str">
        <f>HYPERLINK("https://www.google.com/maps/search/?api=1&amp;query=24.59147088,46.68608856", "View Map")</f>
        <v>View Map</v>
      </c>
    </row>
    <row r="787" spans="1:6" x14ac:dyDescent="0.35">
      <c r="A787" s="4" t="s">
        <v>6514</v>
      </c>
      <c r="B787" s="5" t="s">
        <v>3111</v>
      </c>
      <c r="C787" s="5" t="s">
        <v>1776</v>
      </c>
      <c r="D787" s="5" t="s">
        <v>13</v>
      </c>
      <c r="E787" s="6">
        <v>1713</v>
      </c>
      <c r="F787" s="5" t="str">
        <f>HYPERLINK("https://www.google.com/maps/search/?api=1&amp;query=24.61121842,46.75690634", "View Map")</f>
        <v>View Map</v>
      </c>
    </row>
    <row r="788" spans="1:6" x14ac:dyDescent="0.35">
      <c r="A788" s="4" t="s">
        <v>5974</v>
      </c>
      <c r="B788" s="5" t="s">
        <v>3112</v>
      </c>
      <c r="C788" s="5" t="s">
        <v>1776</v>
      </c>
      <c r="D788" s="5" t="s">
        <v>13</v>
      </c>
      <c r="E788" s="6">
        <v>1713</v>
      </c>
      <c r="F788" s="5" t="str">
        <f>HYPERLINK("https://www.google.com/maps/search/?api=1&amp;query=24.8808,46.6236", "View Map")</f>
        <v>View Map</v>
      </c>
    </row>
    <row r="789" spans="1:6" x14ac:dyDescent="0.35">
      <c r="A789" s="4" t="s">
        <v>6515</v>
      </c>
      <c r="B789" s="5" t="s">
        <v>3114</v>
      </c>
      <c r="C789" s="5" t="s">
        <v>1776</v>
      </c>
      <c r="D789" s="5" t="s">
        <v>13</v>
      </c>
      <c r="E789" s="6">
        <v>1710</v>
      </c>
      <c r="F789" s="5" t="str">
        <f>HYPERLINK("https://www.google.com/maps/search/?api=1&amp;query=24.53179082,46.68905157", "View Map")</f>
        <v>View Map</v>
      </c>
    </row>
    <row r="790" spans="1:6" x14ac:dyDescent="0.35">
      <c r="A790" s="4" t="s">
        <v>6516</v>
      </c>
      <c r="B790" s="5" t="s">
        <v>3116</v>
      </c>
      <c r="C790" s="5" t="s">
        <v>1776</v>
      </c>
      <c r="D790" s="5" t="s">
        <v>13</v>
      </c>
      <c r="E790" s="6">
        <v>1709</v>
      </c>
      <c r="F790" s="5" t="str">
        <f>HYPERLINK("https://www.google.com/maps/search/?api=1&amp;query=24.62332877,46.70473099", "View Map")</f>
        <v>View Map</v>
      </c>
    </row>
    <row r="791" spans="1:6" x14ac:dyDescent="0.35">
      <c r="A791" s="4" t="s">
        <v>6517</v>
      </c>
      <c r="B791" s="5" t="s">
        <v>3118</v>
      </c>
      <c r="C791" s="5" t="s">
        <v>1776</v>
      </c>
      <c r="D791" s="5" t="s">
        <v>13</v>
      </c>
      <c r="E791" s="6">
        <v>1707</v>
      </c>
      <c r="F791" s="5" t="str">
        <f>HYPERLINK("https://www.google.com/maps/search/?api=1&amp;query=24.54658521,46.70994599", "View Map")</f>
        <v>View Map</v>
      </c>
    </row>
    <row r="792" spans="1:6" x14ac:dyDescent="0.35">
      <c r="A792" s="4" t="s">
        <v>6518</v>
      </c>
      <c r="B792" s="5" t="s">
        <v>3120</v>
      </c>
      <c r="C792" s="5" t="s">
        <v>1776</v>
      </c>
      <c r="D792" s="5" t="s">
        <v>13</v>
      </c>
      <c r="E792" s="6">
        <v>1704</v>
      </c>
      <c r="F792" s="5" t="str">
        <f>HYPERLINK("https://www.google.com/maps/search/?api=1&amp;query=24.58419747,46.78672538", "View Map")</f>
        <v>View Map</v>
      </c>
    </row>
    <row r="793" spans="1:6" x14ac:dyDescent="0.35">
      <c r="A793" s="4" t="s">
        <v>6519</v>
      </c>
      <c r="B793" s="5" t="s">
        <v>3122</v>
      </c>
      <c r="C793" s="5" t="s">
        <v>1776</v>
      </c>
      <c r="D793" s="5" t="s">
        <v>13</v>
      </c>
      <c r="E793" s="6">
        <v>1703</v>
      </c>
      <c r="F793" s="5" t="str">
        <f>HYPERLINK("https://www.google.com/maps/search/?api=1&amp;query=24.7972609,46.65974272", "View Map")</f>
        <v>View Map</v>
      </c>
    </row>
    <row r="794" spans="1:6" x14ac:dyDescent="0.35">
      <c r="A794" s="4" t="s">
        <v>6520</v>
      </c>
      <c r="B794" s="5" t="s">
        <v>3124</v>
      </c>
      <c r="C794" s="5" t="s">
        <v>1776</v>
      </c>
      <c r="D794" s="5" t="s">
        <v>9</v>
      </c>
      <c r="E794" s="6">
        <v>1703</v>
      </c>
      <c r="F794" s="5" t="str">
        <f>HYPERLINK("https://www.google.com/maps/search/?api=1&amp;query=24.75177033,46.66900921", "View Map")</f>
        <v>View Map</v>
      </c>
    </row>
    <row r="795" spans="1:6" x14ac:dyDescent="0.35">
      <c r="A795" s="4" t="s">
        <v>6521</v>
      </c>
      <c r="B795" s="5" t="s">
        <v>3126</v>
      </c>
      <c r="C795" s="5" t="s">
        <v>1776</v>
      </c>
      <c r="D795" s="5" t="s">
        <v>13</v>
      </c>
      <c r="E795" s="6">
        <v>1700</v>
      </c>
      <c r="F795" s="5" t="str">
        <f>HYPERLINK("https://www.google.com/maps/search/?api=1&amp;query=24.72548506,46.78920127", "View Map")</f>
        <v>View Map</v>
      </c>
    </row>
    <row r="796" spans="1:6" x14ac:dyDescent="0.35">
      <c r="A796" s="4" t="s">
        <v>6522</v>
      </c>
      <c r="B796" s="5" t="s">
        <v>3128</v>
      </c>
      <c r="C796" s="5" t="s">
        <v>1776</v>
      </c>
      <c r="D796" s="5" t="s">
        <v>13</v>
      </c>
      <c r="E796" s="6">
        <v>1699</v>
      </c>
      <c r="F796" s="5" t="str">
        <f>HYPERLINK("https://www.google.com/maps/search/?api=1&amp;query=24.70415088,46.78257565", "View Map")</f>
        <v>View Map</v>
      </c>
    </row>
    <row r="797" spans="1:6" x14ac:dyDescent="0.35">
      <c r="A797" s="4" t="s">
        <v>6523</v>
      </c>
      <c r="B797" s="5" t="s">
        <v>3130</v>
      </c>
      <c r="C797" s="5" t="s">
        <v>1776</v>
      </c>
      <c r="D797" s="5" t="s">
        <v>13</v>
      </c>
      <c r="E797" s="6">
        <v>1699</v>
      </c>
      <c r="F797" s="5" t="str">
        <f>HYPERLINK("https://www.google.com/maps/search/?api=1&amp;query=24.53152096,46.72424144", "View Map")</f>
        <v>View Map</v>
      </c>
    </row>
    <row r="798" spans="1:6" x14ac:dyDescent="0.35">
      <c r="A798" s="4" t="s">
        <v>6524</v>
      </c>
      <c r="B798" s="5" t="s">
        <v>3132</v>
      </c>
      <c r="C798" s="5" t="s">
        <v>1776</v>
      </c>
      <c r="D798" s="5" t="s">
        <v>13</v>
      </c>
      <c r="E798" s="6">
        <v>1699</v>
      </c>
      <c r="F798" s="5" t="str">
        <f>HYPERLINK("https://www.google.com/maps/search/?api=1&amp;query=24.62069505,46.76202884", "View Map")</f>
        <v>View Map</v>
      </c>
    </row>
    <row r="799" spans="1:6" x14ac:dyDescent="0.35">
      <c r="A799" s="4" t="s">
        <v>6525</v>
      </c>
      <c r="B799" s="5" t="s">
        <v>3134</v>
      </c>
      <c r="C799" s="5" t="s">
        <v>1776</v>
      </c>
      <c r="D799" s="5" t="s">
        <v>13</v>
      </c>
      <c r="E799" s="6">
        <v>1695</v>
      </c>
      <c r="F799" s="5" t="str">
        <f>HYPERLINK("https://www.google.com/maps/search/?api=1&amp;query=24.58572068,46.61544731", "View Map")</f>
        <v>View Map</v>
      </c>
    </row>
    <row r="800" spans="1:6" x14ac:dyDescent="0.35">
      <c r="A800" s="4" t="s">
        <v>6039</v>
      </c>
      <c r="B800" s="5" t="s">
        <v>3135</v>
      </c>
      <c r="C800" s="5" t="s">
        <v>1776</v>
      </c>
      <c r="D800" s="5" t="s">
        <v>13</v>
      </c>
      <c r="E800" s="6">
        <v>1695</v>
      </c>
      <c r="F800" s="5" t="str">
        <f>HYPERLINK("https://www.google.com/maps/search/?api=1&amp;query=24.55537117,46.56147134", "View Map")</f>
        <v>View Map</v>
      </c>
    </row>
    <row r="801" spans="1:6" x14ac:dyDescent="0.35">
      <c r="A801" s="4" t="s">
        <v>6420</v>
      </c>
      <c r="B801" s="5" t="s">
        <v>3136</v>
      </c>
      <c r="C801" s="5" t="s">
        <v>1776</v>
      </c>
      <c r="D801" s="5" t="s">
        <v>13</v>
      </c>
      <c r="E801" s="6">
        <v>1694</v>
      </c>
      <c r="F801" s="5" t="str">
        <f>HYPERLINK("https://www.google.com/maps/search/?api=1&amp;query=24.77451704,46.71654556", "View Map")</f>
        <v>View Map</v>
      </c>
    </row>
    <row r="802" spans="1:6" x14ac:dyDescent="0.35">
      <c r="A802" s="4" t="s">
        <v>6526</v>
      </c>
      <c r="B802" s="5" t="s">
        <v>3138</v>
      </c>
      <c r="C802" s="5" t="s">
        <v>1776</v>
      </c>
      <c r="D802" s="5" t="s">
        <v>13</v>
      </c>
      <c r="E802" s="6">
        <v>1693</v>
      </c>
      <c r="F802" s="5" t="str">
        <f>HYPERLINK("https://www.google.com/maps/search/?api=1&amp;query=24.58361235,46.6761238", "View Map")</f>
        <v>View Map</v>
      </c>
    </row>
    <row r="803" spans="1:6" x14ac:dyDescent="0.35">
      <c r="A803" s="4" t="s">
        <v>6527</v>
      </c>
      <c r="B803" s="5" t="s">
        <v>3140</v>
      </c>
      <c r="C803" s="5" t="s">
        <v>1776</v>
      </c>
      <c r="D803" s="5" t="s">
        <v>13</v>
      </c>
      <c r="E803" s="6">
        <v>1691</v>
      </c>
      <c r="F803" s="5" t="str">
        <f>HYPERLINK("https://www.google.com/maps/search/?api=1&amp;query=24.82493525,46.60410168", "View Map")</f>
        <v>View Map</v>
      </c>
    </row>
    <row r="804" spans="1:6" x14ac:dyDescent="0.35">
      <c r="A804" s="4" t="s">
        <v>6506</v>
      </c>
      <c r="B804" s="5" t="s">
        <v>3141</v>
      </c>
      <c r="C804" s="5" t="s">
        <v>1776</v>
      </c>
      <c r="D804" s="5" t="s">
        <v>13</v>
      </c>
      <c r="E804" s="6">
        <v>1690</v>
      </c>
      <c r="F804" s="5" t="str">
        <f>HYPERLINK("https://www.google.com/maps/search/?api=1&amp;query=24.67557452,46.73825129", "View Map")</f>
        <v>View Map</v>
      </c>
    </row>
    <row r="805" spans="1:6" x14ac:dyDescent="0.35">
      <c r="A805" s="4" t="s">
        <v>6528</v>
      </c>
      <c r="B805" s="5" t="s">
        <v>3143</v>
      </c>
      <c r="C805" s="5" t="s">
        <v>1776</v>
      </c>
      <c r="D805" s="5" t="s">
        <v>13</v>
      </c>
      <c r="E805" s="6">
        <v>1689</v>
      </c>
      <c r="F805" s="5" t="str">
        <f>HYPERLINK("https://www.google.com/maps/search/?api=1&amp;query=24.79689306,46.69508732", "View Map")</f>
        <v>View Map</v>
      </c>
    </row>
    <row r="806" spans="1:6" x14ac:dyDescent="0.35">
      <c r="A806" s="4" t="s">
        <v>5974</v>
      </c>
      <c r="B806" s="5" t="s">
        <v>3144</v>
      </c>
      <c r="C806" s="5" t="s">
        <v>1776</v>
      </c>
      <c r="D806" s="5" t="s">
        <v>13</v>
      </c>
      <c r="E806" s="6">
        <v>1688</v>
      </c>
      <c r="F806" s="5" t="str">
        <f>HYPERLINK("https://www.google.com/maps/search/?api=1&amp;query=24.70035436,46.69717708", "View Map")</f>
        <v>View Map</v>
      </c>
    </row>
    <row r="807" spans="1:6" x14ac:dyDescent="0.35">
      <c r="A807" s="4" t="s">
        <v>6529</v>
      </c>
      <c r="B807" s="5" t="s">
        <v>3146</v>
      </c>
      <c r="C807" s="5" t="s">
        <v>1776</v>
      </c>
      <c r="D807" s="5" t="s">
        <v>13</v>
      </c>
      <c r="E807" s="6">
        <v>1688</v>
      </c>
      <c r="F807" s="5" t="str">
        <f>HYPERLINK("https://www.google.com/maps/search/?api=1&amp;query=24.7681246,46.80888843", "View Map")</f>
        <v>View Map</v>
      </c>
    </row>
    <row r="808" spans="1:6" x14ac:dyDescent="0.35">
      <c r="A808" s="4" t="s">
        <v>6530</v>
      </c>
      <c r="B808" s="5" t="s">
        <v>3148</v>
      </c>
      <c r="C808" s="5" t="s">
        <v>1776</v>
      </c>
      <c r="D808" s="5" t="s">
        <v>13</v>
      </c>
      <c r="E808" s="6">
        <v>1682</v>
      </c>
      <c r="F808" s="5" t="str">
        <f>HYPERLINK("https://www.google.com/maps/search/?api=1&amp;query=24.77985182,46.66452388", "View Map")</f>
        <v>View Map</v>
      </c>
    </row>
    <row r="809" spans="1:6" x14ac:dyDescent="0.35">
      <c r="A809" s="4" t="s">
        <v>6531</v>
      </c>
      <c r="B809" s="5" t="s">
        <v>3150</v>
      </c>
      <c r="C809" s="5" t="s">
        <v>1776</v>
      </c>
      <c r="D809" s="5" t="s">
        <v>13</v>
      </c>
      <c r="E809" s="6">
        <v>1680</v>
      </c>
      <c r="F809" s="5" t="str">
        <f>HYPERLINK("https://www.google.com/maps/search/?api=1&amp;query=24.73519123,46.79249913", "View Map")</f>
        <v>View Map</v>
      </c>
    </row>
    <row r="810" spans="1:6" x14ac:dyDescent="0.35">
      <c r="A810" s="4" t="s">
        <v>6532</v>
      </c>
      <c r="B810" s="5" t="s">
        <v>3152</v>
      </c>
      <c r="C810" s="5" t="s">
        <v>1776</v>
      </c>
      <c r="D810" s="5" t="s">
        <v>13</v>
      </c>
      <c r="E810" s="6">
        <v>1679</v>
      </c>
      <c r="F810" s="5" t="str">
        <f>HYPERLINK("https://www.google.com/maps/search/?api=1&amp;query=24.77815541,46.69634206", "View Map")</f>
        <v>View Map</v>
      </c>
    </row>
    <row r="811" spans="1:6" x14ac:dyDescent="0.35">
      <c r="A811" s="4" t="s">
        <v>6533</v>
      </c>
      <c r="B811" s="5" t="s">
        <v>3154</v>
      </c>
      <c r="C811" s="5" t="s">
        <v>1776</v>
      </c>
      <c r="D811" s="5" t="s">
        <v>9</v>
      </c>
      <c r="E811" s="6">
        <v>1676</v>
      </c>
      <c r="F811" s="5" t="str">
        <f>HYPERLINK("https://www.google.com/maps/search/?api=1&amp;query=24.57383797,46.78921138", "View Map")</f>
        <v>View Map</v>
      </c>
    </row>
    <row r="812" spans="1:6" x14ac:dyDescent="0.35">
      <c r="A812" s="4" t="s">
        <v>6534</v>
      </c>
      <c r="B812" s="5" t="s">
        <v>3156</v>
      </c>
      <c r="C812" s="5" t="s">
        <v>1776</v>
      </c>
      <c r="D812" s="5" t="s">
        <v>13</v>
      </c>
      <c r="E812" s="6">
        <v>1676</v>
      </c>
      <c r="F812" s="5" t="str">
        <f>HYPERLINK("https://www.google.com/maps/search/?api=1&amp;query=24.69963299,46.80964405", "View Map")</f>
        <v>View Map</v>
      </c>
    </row>
    <row r="813" spans="1:6" x14ac:dyDescent="0.35">
      <c r="A813" s="4" t="s">
        <v>6535</v>
      </c>
      <c r="B813" s="5" t="s">
        <v>3158</v>
      </c>
      <c r="C813" s="5" t="s">
        <v>1776</v>
      </c>
      <c r="D813" s="5" t="s">
        <v>13</v>
      </c>
      <c r="E813" s="6">
        <v>1674</v>
      </c>
      <c r="F813" s="5" t="str">
        <f>HYPERLINK("https://www.google.com/maps/search/?api=1&amp;query=24.79119023,46.63903953", "View Map")</f>
        <v>View Map</v>
      </c>
    </row>
    <row r="814" spans="1:6" x14ac:dyDescent="0.35">
      <c r="A814" s="4" t="s">
        <v>6364</v>
      </c>
      <c r="B814" s="5" t="s">
        <v>3159</v>
      </c>
      <c r="C814" s="5" t="s">
        <v>1776</v>
      </c>
      <c r="D814" s="5" t="s">
        <v>13</v>
      </c>
      <c r="E814" s="6">
        <v>1674</v>
      </c>
      <c r="F814" s="5" t="str">
        <f>HYPERLINK("https://www.google.com/maps/search/?api=1&amp;query=24.69569309,46.86418031", "View Map")</f>
        <v>View Map</v>
      </c>
    </row>
    <row r="815" spans="1:6" x14ac:dyDescent="0.35">
      <c r="A815" s="4" t="s">
        <v>6536</v>
      </c>
      <c r="B815" s="5" t="s">
        <v>3161</v>
      </c>
      <c r="C815" s="5" t="s">
        <v>1776</v>
      </c>
      <c r="D815" s="5" t="s">
        <v>13</v>
      </c>
      <c r="E815" s="6">
        <v>1673</v>
      </c>
      <c r="F815" s="5" t="str">
        <f>HYPERLINK("https://www.google.com/maps/search/?api=1&amp;query=24.57489369,46.76836296", "View Map")</f>
        <v>View Map</v>
      </c>
    </row>
    <row r="816" spans="1:6" x14ac:dyDescent="0.35">
      <c r="A816" s="4" t="s">
        <v>6537</v>
      </c>
      <c r="B816" s="5" t="s">
        <v>3163</v>
      </c>
      <c r="C816" s="5" t="s">
        <v>1776</v>
      </c>
      <c r="D816" s="5" t="s">
        <v>13</v>
      </c>
      <c r="E816" s="6">
        <v>1673</v>
      </c>
      <c r="F816" s="5" t="str">
        <f>HYPERLINK("https://www.google.com/maps/search/?api=1&amp;query=24.6431252,46.59996808", "View Map")</f>
        <v>View Map</v>
      </c>
    </row>
    <row r="817" spans="1:6" x14ac:dyDescent="0.35">
      <c r="A817" s="4" t="s">
        <v>5974</v>
      </c>
      <c r="B817" s="5" t="s">
        <v>3164</v>
      </c>
      <c r="C817" s="5" t="s">
        <v>1776</v>
      </c>
      <c r="D817" s="5" t="s">
        <v>13</v>
      </c>
      <c r="E817" s="6">
        <v>1672</v>
      </c>
      <c r="F817" s="5" t="str">
        <f>HYPERLINK("https://www.google.com/maps/search/?api=1&amp;query=24.87531205,46.86324002", "View Map")</f>
        <v>View Map</v>
      </c>
    </row>
    <row r="818" spans="1:6" x14ac:dyDescent="0.35">
      <c r="A818" s="4" t="s">
        <v>6538</v>
      </c>
      <c r="B818" s="5" t="s">
        <v>3166</v>
      </c>
      <c r="C818" s="5" t="s">
        <v>1776</v>
      </c>
      <c r="D818" s="5" t="s">
        <v>13</v>
      </c>
      <c r="E818" s="6">
        <v>1671</v>
      </c>
      <c r="F818" s="5" t="str">
        <f>HYPERLINK("https://www.google.com/maps/search/?api=1&amp;query=24.80948888,46.63975357", "View Map")</f>
        <v>View Map</v>
      </c>
    </row>
    <row r="819" spans="1:6" x14ac:dyDescent="0.35">
      <c r="A819" s="4" t="s">
        <v>6539</v>
      </c>
      <c r="B819" s="5" t="s">
        <v>3168</v>
      </c>
      <c r="C819" s="5" t="s">
        <v>1776</v>
      </c>
      <c r="D819" s="5" t="s">
        <v>13</v>
      </c>
      <c r="E819" s="6">
        <v>1670</v>
      </c>
      <c r="F819" s="5" t="str">
        <f>HYPERLINK("https://www.google.com/maps/search/?api=1&amp;query=24.81176894,46.59821957", "View Map")</f>
        <v>View Map</v>
      </c>
    </row>
    <row r="820" spans="1:6" x14ac:dyDescent="0.35">
      <c r="A820" s="4" t="s">
        <v>6540</v>
      </c>
      <c r="B820" s="5" t="s">
        <v>3170</v>
      </c>
      <c r="C820" s="5" t="s">
        <v>1776</v>
      </c>
      <c r="D820" s="5" t="s">
        <v>13</v>
      </c>
      <c r="E820" s="6">
        <v>1670</v>
      </c>
      <c r="F820" s="5" t="str">
        <f>HYPERLINK("https://www.google.com/maps/search/?api=1&amp;query=24.60161561,46.72360367", "View Map")</f>
        <v>View Map</v>
      </c>
    </row>
    <row r="821" spans="1:6" x14ac:dyDescent="0.35">
      <c r="A821" s="4" t="s">
        <v>6541</v>
      </c>
      <c r="B821" s="5" t="s">
        <v>3172</v>
      </c>
      <c r="C821" s="5" t="s">
        <v>1776</v>
      </c>
      <c r="D821" s="5" t="s">
        <v>13</v>
      </c>
      <c r="E821" s="6">
        <v>1669</v>
      </c>
      <c r="F821" s="5" t="str">
        <f>HYPERLINK("https://www.google.com/maps/search/?api=1&amp;query=24.80888206,46.62844027", "View Map")</f>
        <v>View Map</v>
      </c>
    </row>
    <row r="822" spans="1:6" x14ac:dyDescent="0.35">
      <c r="A822" s="4" t="s">
        <v>6542</v>
      </c>
      <c r="B822" s="5" t="s">
        <v>3174</v>
      </c>
      <c r="C822" s="5" t="s">
        <v>1776</v>
      </c>
      <c r="D822" s="5" t="s">
        <v>13</v>
      </c>
      <c r="E822" s="6">
        <v>1668</v>
      </c>
      <c r="F822" s="5" t="str">
        <f>HYPERLINK("https://www.google.com/maps/search/?api=1&amp;query=24.75112788,46.65064676", "View Map")</f>
        <v>View Map</v>
      </c>
    </row>
    <row r="823" spans="1:6" x14ac:dyDescent="0.35">
      <c r="A823" s="4" t="s">
        <v>6543</v>
      </c>
      <c r="B823" s="5" t="s">
        <v>3175</v>
      </c>
      <c r="C823" s="5" t="s">
        <v>1776</v>
      </c>
      <c r="D823" s="5" t="s">
        <v>13</v>
      </c>
      <c r="E823" s="6">
        <v>1665</v>
      </c>
      <c r="F823" s="5" t="str">
        <f>HYPERLINK("https://www.google.com/maps/search/?api=1&amp;query=24.68834519,46.68858984", "View Map")</f>
        <v>View Map</v>
      </c>
    </row>
    <row r="824" spans="1:6" x14ac:dyDescent="0.35">
      <c r="A824" s="4" t="s">
        <v>6121</v>
      </c>
      <c r="B824" s="5" t="s">
        <v>3176</v>
      </c>
      <c r="C824" s="5" t="s">
        <v>1776</v>
      </c>
      <c r="D824" s="5" t="s">
        <v>13</v>
      </c>
      <c r="E824" s="6">
        <v>1665</v>
      </c>
      <c r="F824" s="5" t="str">
        <f>HYPERLINK("https://www.google.com/maps/search/?api=1&amp;query=24.76573903,46.79209436", "View Map")</f>
        <v>View Map</v>
      </c>
    </row>
    <row r="825" spans="1:6" x14ac:dyDescent="0.35">
      <c r="A825" s="4" t="s">
        <v>6544</v>
      </c>
      <c r="B825" s="5" t="s">
        <v>3178</v>
      </c>
      <c r="C825" s="5" t="s">
        <v>1776</v>
      </c>
      <c r="D825" s="5" t="s">
        <v>13</v>
      </c>
      <c r="E825" s="6">
        <v>1664</v>
      </c>
      <c r="F825" s="5" t="str">
        <f>HYPERLINK("https://www.google.com/maps/search/?api=1&amp;query=24.82657066,46.81154922", "View Map")</f>
        <v>View Map</v>
      </c>
    </row>
    <row r="826" spans="1:6" x14ac:dyDescent="0.35">
      <c r="A826" s="4" t="s">
        <v>6545</v>
      </c>
      <c r="B826" s="5" t="s">
        <v>3180</v>
      </c>
      <c r="C826" s="5" t="s">
        <v>1776</v>
      </c>
      <c r="D826" s="5" t="s">
        <v>13</v>
      </c>
      <c r="E826" s="6">
        <v>1663</v>
      </c>
      <c r="F826" s="5" t="str">
        <f>HYPERLINK("https://www.google.com/maps/search/?api=1&amp;query=24.55374905,46.88931426", "View Map")</f>
        <v>View Map</v>
      </c>
    </row>
    <row r="827" spans="1:6" x14ac:dyDescent="0.35">
      <c r="A827" s="4" t="s">
        <v>6546</v>
      </c>
      <c r="B827" s="5" t="s">
        <v>3182</v>
      </c>
      <c r="C827" s="5" t="s">
        <v>1776</v>
      </c>
      <c r="D827" s="5" t="s">
        <v>13</v>
      </c>
      <c r="E827" s="6">
        <v>1662</v>
      </c>
      <c r="F827" s="5" t="str">
        <f>HYPERLINK("https://www.google.com/maps/search/?api=1&amp;query=24.67867249,46.79019099", "View Map")</f>
        <v>View Map</v>
      </c>
    </row>
    <row r="828" spans="1:6" x14ac:dyDescent="0.35">
      <c r="A828" s="4" t="s">
        <v>6547</v>
      </c>
      <c r="B828" s="5" t="s">
        <v>3184</v>
      </c>
      <c r="C828" s="5" t="s">
        <v>1776</v>
      </c>
      <c r="D828" s="5" t="s">
        <v>13</v>
      </c>
      <c r="E828" s="6">
        <v>1662</v>
      </c>
      <c r="F828" s="5" t="str">
        <f>HYPERLINK("https://www.google.com/maps/search/?api=1&amp;query=24.79321913,46.62678256", "View Map")</f>
        <v>View Map</v>
      </c>
    </row>
    <row r="829" spans="1:6" x14ac:dyDescent="0.35">
      <c r="A829" s="4" t="s">
        <v>6548</v>
      </c>
      <c r="B829" s="5" t="s">
        <v>3186</v>
      </c>
      <c r="C829" s="5" t="s">
        <v>1776</v>
      </c>
      <c r="D829" s="5" t="s">
        <v>13</v>
      </c>
      <c r="E829" s="6">
        <v>1662</v>
      </c>
      <c r="F829" s="5" t="str">
        <f>HYPERLINK("https://www.google.com/maps/search/?api=1&amp;query=24.69087579,46.6892298", "View Map")</f>
        <v>View Map</v>
      </c>
    </row>
    <row r="830" spans="1:6" x14ac:dyDescent="0.35">
      <c r="A830" s="4" t="s">
        <v>6549</v>
      </c>
      <c r="B830" s="5" t="s">
        <v>3188</v>
      </c>
      <c r="C830" s="5" t="s">
        <v>1776</v>
      </c>
      <c r="D830" s="5" t="s">
        <v>13</v>
      </c>
      <c r="E830" s="6">
        <v>1659</v>
      </c>
      <c r="F830" s="5" t="str">
        <f>HYPERLINK("https://www.google.com/maps/search/?api=1&amp;query=24.79351,46.77427", "View Map")</f>
        <v>View Map</v>
      </c>
    </row>
    <row r="831" spans="1:6" x14ac:dyDescent="0.35">
      <c r="A831" s="4" t="s">
        <v>6550</v>
      </c>
      <c r="B831" s="5" t="s">
        <v>3190</v>
      </c>
      <c r="C831" s="5" t="s">
        <v>1776</v>
      </c>
      <c r="D831" s="5" t="s">
        <v>13</v>
      </c>
      <c r="E831" s="6">
        <v>1658</v>
      </c>
      <c r="F831" s="5" t="str">
        <f>HYPERLINK("https://www.google.com/maps/search/?api=1&amp;query=24.58322524,46.52242644", "View Map")</f>
        <v>View Map</v>
      </c>
    </row>
    <row r="832" spans="1:6" x14ac:dyDescent="0.35">
      <c r="A832" s="4" t="s">
        <v>6551</v>
      </c>
      <c r="B832" s="5" t="s">
        <v>3192</v>
      </c>
      <c r="C832" s="5" t="s">
        <v>1776</v>
      </c>
      <c r="D832" s="5" t="s">
        <v>13</v>
      </c>
      <c r="E832" s="6">
        <v>1656</v>
      </c>
      <c r="F832" s="5" t="str">
        <f>HYPERLINK("https://www.google.com/maps/search/?api=1&amp;query=24.57767904,46.77713849", "View Map")</f>
        <v>View Map</v>
      </c>
    </row>
    <row r="833" spans="1:6" x14ac:dyDescent="0.35">
      <c r="A833" s="4" t="s">
        <v>5974</v>
      </c>
      <c r="B833" s="5" t="s">
        <v>3193</v>
      </c>
      <c r="C833" s="5" t="s">
        <v>1776</v>
      </c>
      <c r="D833" s="5" t="s">
        <v>13</v>
      </c>
      <c r="E833" s="6">
        <v>1656</v>
      </c>
      <c r="F833" s="5" t="str">
        <f>HYPERLINK("https://www.google.com/maps/search/?api=1&amp;query=24.92334319,46.82037301", "View Map")</f>
        <v>View Map</v>
      </c>
    </row>
    <row r="834" spans="1:6" x14ac:dyDescent="0.35">
      <c r="A834" s="4" t="s">
        <v>6552</v>
      </c>
      <c r="B834" s="5" t="s">
        <v>3195</v>
      </c>
      <c r="C834" s="5" t="s">
        <v>1776</v>
      </c>
      <c r="D834" s="5" t="s">
        <v>13</v>
      </c>
      <c r="E834" s="6">
        <v>1655</v>
      </c>
      <c r="F834" s="5" t="str">
        <f>HYPERLINK("https://www.google.com/maps/search/?api=1&amp;query=24.77727932,46.8304126", "View Map")</f>
        <v>View Map</v>
      </c>
    </row>
    <row r="835" spans="1:6" x14ac:dyDescent="0.35">
      <c r="A835" s="4" t="s">
        <v>6553</v>
      </c>
      <c r="B835" s="5" t="s">
        <v>3197</v>
      </c>
      <c r="C835" s="5" t="s">
        <v>1776</v>
      </c>
      <c r="D835" s="5" t="s">
        <v>13</v>
      </c>
      <c r="E835" s="6">
        <v>1653</v>
      </c>
      <c r="F835" s="5" t="str">
        <f>HYPERLINK("https://www.google.com/maps/search/?api=1&amp;query=24.74185043,46.792993", "View Map")</f>
        <v>View Map</v>
      </c>
    </row>
    <row r="836" spans="1:6" x14ac:dyDescent="0.35">
      <c r="A836" s="4" t="s">
        <v>5974</v>
      </c>
      <c r="B836" s="5" t="s">
        <v>3198</v>
      </c>
      <c r="C836" s="5" t="s">
        <v>1776</v>
      </c>
      <c r="D836" s="5" t="s">
        <v>13</v>
      </c>
      <c r="E836" s="6">
        <v>1653</v>
      </c>
      <c r="F836" s="5" t="str">
        <f>HYPERLINK("https://www.google.com/maps/search/?api=1&amp;query=24.8373228,46.59367661", "View Map")</f>
        <v>View Map</v>
      </c>
    </row>
    <row r="837" spans="1:6" x14ac:dyDescent="0.35">
      <c r="A837" s="4" t="s">
        <v>6554</v>
      </c>
      <c r="B837" s="5" t="s">
        <v>3200</v>
      </c>
      <c r="C837" s="5" t="s">
        <v>1776</v>
      </c>
      <c r="D837" s="5" t="s">
        <v>13</v>
      </c>
      <c r="E837" s="6">
        <v>1652</v>
      </c>
      <c r="F837" s="5" t="str">
        <f>HYPERLINK("https://www.google.com/maps/search/?api=1&amp;query=24.79937955,46.69492821", "View Map")</f>
        <v>View Map</v>
      </c>
    </row>
    <row r="838" spans="1:6" x14ac:dyDescent="0.35">
      <c r="A838" s="4" t="s">
        <v>6555</v>
      </c>
      <c r="B838" s="5" t="s">
        <v>3202</v>
      </c>
      <c r="C838" s="5" t="s">
        <v>1776</v>
      </c>
      <c r="D838" s="5" t="s">
        <v>13</v>
      </c>
      <c r="E838" s="6">
        <v>1651</v>
      </c>
      <c r="F838" s="5" t="str">
        <f>HYPERLINK("https://www.google.com/maps/search/?api=1&amp;query=24.5950431,46.5771202", "View Map")</f>
        <v>View Map</v>
      </c>
    </row>
    <row r="839" spans="1:6" x14ac:dyDescent="0.35">
      <c r="A839" s="4" t="s">
        <v>6556</v>
      </c>
      <c r="B839" s="5" t="s">
        <v>3204</v>
      </c>
      <c r="C839" s="5" t="s">
        <v>1776</v>
      </c>
      <c r="D839" s="5" t="s">
        <v>13</v>
      </c>
      <c r="E839" s="6">
        <v>1651</v>
      </c>
      <c r="F839" s="5" t="str">
        <f>HYPERLINK("https://www.google.com/maps/search/?api=1&amp;query=24.74151523,46.81355322", "View Map")</f>
        <v>View Map</v>
      </c>
    </row>
    <row r="840" spans="1:6" x14ac:dyDescent="0.35">
      <c r="A840" s="4" t="s">
        <v>6039</v>
      </c>
      <c r="B840" s="5" t="s">
        <v>3205</v>
      </c>
      <c r="C840" s="5" t="s">
        <v>1776</v>
      </c>
      <c r="D840" s="5" t="s">
        <v>13</v>
      </c>
      <c r="E840" s="6">
        <v>1649</v>
      </c>
      <c r="F840" s="5" t="str">
        <f>HYPERLINK("https://www.google.com/maps/search/?api=1&amp;query=24.57384886,46.71337917", "View Map")</f>
        <v>View Map</v>
      </c>
    </row>
    <row r="841" spans="1:6" x14ac:dyDescent="0.35">
      <c r="A841" s="4" t="s">
        <v>5974</v>
      </c>
      <c r="B841" s="5" t="s">
        <v>3206</v>
      </c>
      <c r="C841" s="5" t="s">
        <v>1776</v>
      </c>
      <c r="D841" s="5" t="s">
        <v>13</v>
      </c>
      <c r="E841" s="6">
        <v>1647</v>
      </c>
      <c r="F841" s="5" t="str">
        <f>HYPERLINK("https://www.google.com/maps/search/?api=1&amp;query=24.8839,46.6358", "View Map")</f>
        <v>View Map</v>
      </c>
    </row>
    <row r="842" spans="1:6" x14ac:dyDescent="0.35">
      <c r="A842" s="4" t="s">
        <v>6557</v>
      </c>
      <c r="B842" s="5" t="s">
        <v>3208</v>
      </c>
      <c r="C842" s="5" t="s">
        <v>1776</v>
      </c>
      <c r="D842" s="5" t="s">
        <v>13</v>
      </c>
      <c r="E842" s="6">
        <v>1646</v>
      </c>
      <c r="F842" s="5" t="str">
        <f>HYPERLINK("https://www.google.com/maps/search/?api=1&amp;query=24.63736913,46.55090118", "View Map")</f>
        <v>View Map</v>
      </c>
    </row>
    <row r="843" spans="1:6" x14ac:dyDescent="0.35">
      <c r="A843" s="4" t="s">
        <v>6558</v>
      </c>
      <c r="B843" s="5" t="s">
        <v>3210</v>
      </c>
      <c r="C843" s="5" t="s">
        <v>1776</v>
      </c>
      <c r="D843" s="5" t="s">
        <v>13</v>
      </c>
      <c r="E843" s="6">
        <v>1646</v>
      </c>
      <c r="F843" s="5" t="str">
        <f>HYPERLINK("https://www.google.com/maps/search/?api=1&amp;query=24.71509161,46.78822783", "View Map")</f>
        <v>View Map</v>
      </c>
    </row>
    <row r="844" spans="1:6" x14ac:dyDescent="0.35">
      <c r="A844" s="4" t="s">
        <v>6559</v>
      </c>
      <c r="B844" s="5" t="s">
        <v>3212</v>
      </c>
      <c r="C844" s="5" t="s">
        <v>1776</v>
      </c>
      <c r="D844" s="5" t="s">
        <v>13</v>
      </c>
      <c r="E844" s="6">
        <v>1646</v>
      </c>
      <c r="F844" s="5" t="str">
        <f>HYPERLINK("https://www.google.com/maps/search/?api=1&amp;query=24.75578177,46.74512079", "View Map")</f>
        <v>View Map</v>
      </c>
    </row>
    <row r="845" spans="1:6" x14ac:dyDescent="0.35">
      <c r="A845" s="4" t="s">
        <v>6560</v>
      </c>
      <c r="B845" s="5" t="s">
        <v>3214</v>
      </c>
      <c r="C845" s="5" t="s">
        <v>1776</v>
      </c>
      <c r="D845" s="5" t="s">
        <v>13</v>
      </c>
      <c r="E845" s="6">
        <v>1646</v>
      </c>
      <c r="F845" s="5" t="str">
        <f>HYPERLINK("https://www.google.com/maps/search/?api=1&amp;query=24.78142229,46.71765395", "View Map")</f>
        <v>View Map</v>
      </c>
    </row>
    <row r="846" spans="1:6" x14ac:dyDescent="0.35">
      <c r="A846" s="4" t="s">
        <v>6039</v>
      </c>
      <c r="B846" s="5" t="s">
        <v>3215</v>
      </c>
      <c r="C846" s="5" t="s">
        <v>1776</v>
      </c>
      <c r="D846" s="5" t="s">
        <v>13</v>
      </c>
      <c r="E846" s="6">
        <v>1642</v>
      </c>
      <c r="F846" s="5" t="str">
        <f>HYPERLINK("https://www.google.com/maps/search/?api=1&amp;query=24.51901915,46.6729652", "View Map")</f>
        <v>View Map</v>
      </c>
    </row>
    <row r="847" spans="1:6" x14ac:dyDescent="0.35">
      <c r="A847" s="4" t="s">
        <v>6561</v>
      </c>
      <c r="B847" s="5" t="s">
        <v>3217</v>
      </c>
      <c r="C847" s="5" t="s">
        <v>1776</v>
      </c>
      <c r="D847" s="5" t="s">
        <v>13</v>
      </c>
      <c r="E847" s="6">
        <v>1641</v>
      </c>
      <c r="F847" s="5" t="str">
        <f>HYPERLINK("https://www.google.com/maps/search/?api=1&amp;query=24.57478232,46.54426344", "View Map")</f>
        <v>View Map</v>
      </c>
    </row>
    <row r="848" spans="1:6" x14ac:dyDescent="0.35">
      <c r="A848" s="4" t="s">
        <v>5974</v>
      </c>
      <c r="B848" s="5" t="s">
        <v>3218</v>
      </c>
      <c r="C848" s="5" t="s">
        <v>1776</v>
      </c>
      <c r="D848" s="5" t="s">
        <v>9</v>
      </c>
      <c r="E848" s="6">
        <v>1641</v>
      </c>
      <c r="F848" s="5" t="str">
        <f>HYPERLINK("https://www.google.com/maps/search/?api=1&amp;query=24.806819,46.82055937", "View Map")</f>
        <v>View Map</v>
      </c>
    </row>
    <row r="849" spans="1:6" x14ac:dyDescent="0.35">
      <c r="A849" s="4" t="s">
        <v>5974</v>
      </c>
      <c r="B849" s="5" t="s">
        <v>3219</v>
      </c>
      <c r="C849" s="5" t="s">
        <v>1776</v>
      </c>
      <c r="D849" s="5" t="s">
        <v>13</v>
      </c>
      <c r="E849" s="6">
        <v>1640</v>
      </c>
      <c r="F849" s="5" t="str">
        <f>HYPERLINK("https://www.google.com/maps/search/?api=1&amp;query=24.64570349,46.77105869", "View Map")</f>
        <v>View Map</v>
      </c>
    </row>
    <row r="850" spans="1:6" x14ac:dyDescent="0.35">
      <c r="A850" s="4" t="s">
        <v>5974</v>
      </c>
      <c r="B850" s="5" t="s">
        <v>3220</v>
      </c>
      <c r="C850" s="5" t="s">
        <v>1776</v>
      </c>
      <c r="D850" s="5" t="s">
        <v>13</v>
      </c>
      <c r="E850" s="6">
        <v>1638</v>
      </c>
      <c r="F850" s="5" t="str">
        <f>HYPERLINK("https://www.google.com/maps/search/?api=1&amp;query=24.8261,46.6792", "View Map")</f>
        <v>View Map</v>
      </c>
    </row>
    <row r="851" spans="1:6" x14ac:dyDescent="0.35">
      <c r="A851" s="4" t="s">
        <v>5974</v>
      </c>
      <c r="B851" s="5" t="s">
        <v>3221</v>
      </c>
      <c r="C851" s="5" t="s">
        <v>1776</v>
      </c>
      <c r="D851" s="5" t="s">
        <v>13</v>
      </c>
      <c r="E851" s="6">
        <v>1636</v>
      </c>
      <c r="F851" s="5" t="str">
        <f>HYPERLINK("https://www.google.com/maps/search/?api=1&amp;query=24.63936591,46.48995104", "View Map")</f>
        <v>View Map</v>
      </c>
    </row>
    <row r="852" spans="1:6" x14ac:dyDescent="0.35">
      <c r="A852" s="4" t="s">
        <v>6562</v>
      </c>
      <c r="B852" s="5" t="s">
        <v>3223</v>
      </c>
      <c r="C852" s="5" t="s">
        <v>1776</v>
      </c>
      <c r="D852" s="5" t="s">
        <v>13</v>
      </c>
      <c r="E852" s="6">
        <v>1634</v>
      </c>
      <c r="F852" s="5" t="str">
        <f>HYPERLINK("https://www.google.com/maps/search/?api=1&amp;query=24.69049771,46.77193113", "View Map")</f>
        <v>View Map</v>
      </c>
    </row>
    <row r="853" spans="1:6" x14ac:dyDescent="0.35">
      <c r="A853" s="4" t="s">
        <v>5972</v>
      </c>
      <c r="B853" s="5" t="s">
        <v>3224</v>
      </c>
      <c r="C853" s="5" t="s">
        <v>1776</v>
      </c>
      <c r="D853" s="5" t="s">
        <v>13</v>
      </c>
      <c r="E853" s="6">
        <v>1634</v>
      </c>
      <c r="F853" s="5" t="str">
        <f>HYPERLINK("https://www.google.com/maps/search/?api=1&amp;query=24.60974482,46.75899631", "View Map")</f>
        <v>View Map</v>
      </c>
    </row>
    <row r="854" spans="1:6" x14ac:dyDescent="0.35">
      <c r="A854" s="4" t="s">
        <v>6497</v>
      </c>
      <c r="B854" s="5" t="s">
        <v>3225</v>
      </c>
      <c r="C854" s="5" t="s">
        <v>1776</v>
      </c>
      <c r="D854" s="5" t="s">
        <v>13</v>
      </c>
      <c r="E854" s="6">
        <v>1633</v>
      </c>
      <c r="F854" s="5" t="str">
        <f>HYPERLINK("https://www.google.com/maps/search/?api=1&amp;query=24.73878948,46.84631879", "View Map")</f>
        <v>View Map</v>
      </c>
    </row>
    <row r="855" spans="1:6" x14ac:dyDescent="0.35">
      <c r="A855" s="4" t="s">
        <v>6563</v>
      </c>
      <c r="B855" s="5" t="s">
        <v>3227</v>
      </c>
      <c r="C855" s="5" t="s">
        <v>1776</v>
      </c>
      <c r="D855" s="5" t="s">
        <v>13</v>
      </c>
      <c r="E855" s="6">
        <v>1633</v>
      </c>
      <c r="F855" s="5" t="str">
        <f>HYPERLINK("https://www.google.com/maps/search/?api=1&amp;query=24.79669619,46.85184418", "View Map")</f>
        <v>View Map</v>
      </c>
    </row>
    <row r="856" spans="1:6" x14ac:dyDescent="0.35">
      <c r="A856" s="4" t="s">
        <v>6313</v>
      </c>
      <c r="B856" s="5" t="s">
        <v>3228</v>
      </c>
      <c r="C856" s="5" t="s">
        <v>1776</v>
      </c>
      <c r="D856" s="5" t="s">
        <v>9</v>
      </c>
      <c r="E856" s="6">
        <v>1633</v>
      </c>
      <c r="F856" s="5" t="str">
        <f>HYPERLINK("https://www.google.com/maps/search/?api=1&amp;query=24.75823602,46.72582692", "View Map")</f>
        <v>View Map</v>
      </c>
    </row>
    <row r="857" spans="1:6" x14ac:dyDescent="0.35">
      <c r="A857" s="4" t="s">
        <v>5974</v>
      </c>
      <c r="B857" s="5" t="s">
        <v>3229</v>
      </c>
      <c r="C857" s="5" t="s">
        <v>1843</v>
      </c>
      <c r="D857" s="5" t="s">
        <v>13</v>
      </c>
      <c r="E857" s="6">
        <v>1632</v>
      </c>
      <c r="F857" s="5" t="str">
        <f>HYPERLINK("https://www.google.com/maps/search/?api=1&amp;query=24.82994564,46.5653247", "View Map")</f>
        <v>View Map</v>
      </c>
    </row>
    <row r="858" spans="1:6" x14ac:dyDescent="0.35">
      <c r="A858" s="4" t="s">
        <v>6564</v>
      </c>
      <c r="B858" s="5" t="s">
        <v>3231</v>
      </c>
      <c r="C858" s="5" t="s">
        <v>1776</v>
      </c>
      <c r="D858" s="5" t="s">
        <v>13</v>
      </c>
      <c r="E858" s="6">
        <v>1631</v>
      </c>
      <c r="F858" s="5" t="str">
        <f>HYPERLINK("https://www.google.com/maps/search/?api=1&amp;query=24.56559255,46.68669281", "View Map")</f>
        <v>View Map</v>
      </c>
    </row>
    <row r="859" spans="1:6" x14ac:dyDescent="0.35">
      <c r="A859" s="4" t="s">
        <v>6215</v>
      </c>
      <c r="B859" s="5" t="s">
        <v>3232</v>
      </c>
      <c r="C859" s="5" t="s">
        <v>1776</v>
      </c>
      <c r="D859" s="5" t="s">
        <v>13</v>
      </c>
      <c r="E859" s="6">
        <v>1629</v>
      </c>
      <c r="F859" s="5" t="str">
        <f>HYPERLINK("https://www.google.com/maps/search/?api=1&amp;query=24.76040933,46.80472769", "View Map")</f>
        <v>View Map</v>
      </c>
    </row>
    <row r="860" spans="1:6" x14ac:dyDescent="0.35">
      <c r="A860" s="4" t="s">
        <v>6565</v>
      </c>
      <c r="B860" s="5" t="s">
        <v>3234</v>
      </c>
      <c r="C860" s="5" t="s">
        <v>1776</v>
      </c>
      <c r="D860" s="5" t="s">
        <v>13</v>
      </c>
      <c r="E860" s="6">
        <v>1628</v>
      </c>
      <c r="F860" s="5" t="str">
        <f>HYPERLINK("https://www.google.com/maps/search/?api=1&amp;query=24.72898476,46.81507056", "View Map")</f>
        <v>View Map</v>
      </c>
    </row>
    <row r="861" spans="1:6" x14ac:dyDescent="0.35">
      <c r="A861" s="4" t="s">
        <v>6566</v>
      </c>
      <c r="B861" s="5" t="s">
        <v>3236</v>
      </c>
      <c r="C861" s="5" t="s">
        <v>1776</v>
      </c>
      <c r="D861" s="5" t="s">
        <v>13</v>
      </c>
      <c r="E861" s="6">
        <v>1628</v>
      </c>
      <c r="F861" s="5" t="str">
        <f>HYPERLINK("https://www.google.com/maps/search/?api=1&amp;query=24.60464948,46.63196645", "View Map")</f>
        <v>View Map</v>
      </c>
    </row>
    <row r="862" spans="1:6" x14ac:dyDescent="0.35">
      <c r="A862" s="4" t="s">
        <v>6567</v>
      </c>
      <c r="B862" s="5" t="s">
        <v>3238</v>
      </c>
      <c r="C862" s="5" t="s">
        <v>1776</v>
      </c>
      <c r="D862" s="5" t="s">
        <v>13</v>
      </c>
      <c r="E862" s="6">
        <v>1628</v>
      </c>
      <c r="F862" s="5" t="str">
        <f>HYPERLINK("https://www.google.com/maps/search/?api=1&amp;query=24.78295897,46.64679276", "View Map")</f>
        <v>View Map</v>
      </c>
    </row>
    <row r="863" spans="1:6" x14ac:dyDescent="0.35">
      <c r="A863" s="4" t="s">
        <v>5974</v>
      </c>
      <c r="B863" s="5" t="s">
        <v>3239</v>
      </c>
      <c r="C863" s="5" t="s">
        <v>1776</v>
      </c>
      <c r="D863" s="5" t="s">
        <v>13</v>
      </c>
      <c r="E863" s="6">
        <v>1625</v>
      </c>
      <c r="F863" s="5" t="str">
        <f>HYPERLINK("https://www.google.com/maps/search/?api=1&amp;query=24.84047586,46.632355", "View Map")</f>
        <v>View Map</v>
      </c>
    </row>
    <row r="864" spans="1:6" x14ac:dyDescent="0.35">
      <c r="A864" s="4" t="s">
        <v>5974</v>
      </c>
      <c r="B864" s="5" t="s">
        <v>3240</v>
      </c>
      <c r="C864" s="5" t="s">
        <v>1776</v>
      </c>
      <c r="D864" s="5" t="s">
        <v>13</v>
      </c>
      <c r="E864" s="6">
        <v>1624</v>
      </c>
      <c r="F864" s="5" t="str">
        <f>HYPERLINK("https://www.google.com/maps/search/?api=1&amp;query=24.92525789,46.82341566", "View Map")</f>
        <v>View Map</v>
      </c>
    </row>
    <row r="865" spans="1:6" x14ac:dyDescent="0.35">
      <c r="A865" s="4" t="s">
        <v>6134</v>
      </c>
      <c r="B865" s="5" t="s">
        <v>3241</v>
      </c>
      <c r="C865" s="5" t="s">
        <v>1843</v>
      </c>
      <c r="D865" s="5" t="s">
        <v>13</v>
      </c>
      <c r="E865" s="6">
        <v>1623</v>
      </c>
      <c r="F865" s="5" t="str">
        <f>HYPERLINK("https://www.google.com/maps/search/?api=1&amp;query=24.74331904,46.57984013", "View Map")</f>
        <v>View Map</v>
      </c>
    </row>
    <row r="866" spans="1:6" x14ac:dyDescent="0.35">
      <c r="A866" s="4" t="s">
        <v>6568</v>
      </c>
      <c r="B866" s="5" t="s">
        <v>3243</v>
      </c>
      <c r="C866" s="5" t="s">
        <v>1776</v>
      </c>
      <c r="D866" s="5" t="s">
        <v>13</v>
      </c>
      <c r="E866" s="6">
        <v>1621</v>
      </c>
      <c r="F866" s="5" t="str">
        <f>HYPERLINK("https://www.google.com/maps/search/?api=1&amp;query=24.52840106,46.70179337", "View Map")</f>
        <v>View Map</v>
      </c>
    </row>
    <row r="867" spans="1:6" x14ac:dyDescent="0.35">
      <c r="A867" s="4" t="s">
        <v>5974</v>
      </c>
      <c r="B867" s="5" t="s">
        <v>3244</v>
      </c>
      <c r="C867" s="5" t="s">
        <v>1776</v>
      </c>
      <c r="D867" s="5" t="s">
        <v>13</v>
      </c>
      <c r="E867" s="6">
        <v>1620</v>
      </c>
      <c r="F867" s="5" t="str">
        <f>HYPERLINK("https://www.google.com/maps/search/?api=1&amp;query=24.5596323,46.8080934", "View Map")</f>
        <v>View Map</v>
      </c>
    </row>
    <row r="868" spans="1:6" x14ac:dyDescent="0.35">
      <c r="A868" s="4" t="s">
        <v>6569</v>
      </c>
      <c r="B868" s="5" t="s">
        <v>3246</v>
      </c>
      <c r="C868" s="5" t="s">
        <v>1776</v>
      </c>
      <c r="D868" s="5" t="s">
        <v>13</v>
      </c>
      <c r="E868" s="6">
        <v>1620</v>
      </c>
      <c r="F868" s="5" t="str">
        <f>HYPERLINK("https://www.google.com/maps/search/?api=1&amp;query=24.68129367,46.80878535", "View Map")</f>
        <v>View Map</v>
      </c>
    </row>
    <row r="869" spans="1:6" x14ac:dyDescent="0.35">
      <c r="A869" s="4" t="s">
        <v>6570</v>
      </c>
      <c r="B869" s="5" t="s">
        <v>3248</v>
      </c>
      <c r="C869" s="5" t="s">
        <v>1776</v>
      </c>
      <c r="D869" s="5" t="s">
        <v>13</v>
      </c>
      <c r="E869" s="6">
        <v>1619</v>
      </c>
      <c r="F869" s="5" t="str">
        <f>HYPERLINK("https://www.google.com/maps/search/?api=1&amp;query=24.80938896,46.68705046", "View Map")</f>
        <v>View Map</v>
      </c>
    </row>
    <row r="870" spans="1:6" x14ac:dyDescent="0.35">
      <c r="A870" s="4" t="s">
        <v>5974</v>
      </c>
      <c r="B870" s="5" t="s">
        <v>3249</v>
      </c>
      <c r="C870" s="5" t="s">
        <v>1776</v>
      </c>
      <c r="D870" s="5" t="s">
        <v>13</v>
      </c>
      <c r="E870" s="6">
        <v>1619</v>
      </c>
      <c r="F870" s="5" t="str">
        <f>HYPERLINK("https://www.google.com/maps/search/?api=1&amp;query=24.86585165,46.67032626", "View Map")</f>
        <v>View Map</v>
      </c>
    </row>
    <row r="871" spans="1:6" x14ac:dyDescent="0.35">
      <c r="A871" s="4" t="s">
        <v>6571</v>
      </c>
      <c r="B871" s="5" t="s">
        <v>3251</v>
      </c>
      <c r="C871" s="5" t="s">
        <v>1776</v>
      </c>
      <c r="D871" s="5" t="s">
        <v>13</v>
      </c>
      <c r="E871" s="6">
        <v>1618</v>
      </c>
      <c r="F871" s="5" t="str">
        <f>HYPERLINK("https://www.google.com/maps/search/?api=1&amp;query=24.73949871,46.65047424", "View Map")</f>
        <v>View Map</v>
      </c>
    </row>
    <row r="872" spans="1:6" x14ac:dyDescent="0.35">
      <c r="A872" s="4" t="s">
        <v>6572</v>
      </c>
      <c r="B872" s="5" t="s">
        <v>3253</v>
      </c>
      <c r="C872" s="5" t="s">
        <v>1776</v>
      </c>
      <c r="D872" s="5" t="s">
        <v>13</v>
      </c>
      <c r="E872" s="6">
        <v>1616</v>
      </c>
      <c r="F872" s="5" t="str">
        <f>HYPERLINK("https://www.google.com/maps/search/?api=1&amp;query=24.66026452,46.79987258", "View Map")</f>
        <v>View Map</v>
      </c>
    </row>
    <row r="873" spans="1:6" x14ac:dyDescent="0.35">
      <c r="A873" s="4" t="s">
        <v>6573</v>
      </c>
      <c r="B873" s="5" t="s">
        <v>3255</v>
      </c>
      <c r="C873" s="5" t="s">
        <v>1776</v>
      </c>
      <c r="D873" s="5" t="s">
        <v>13</v>
      </c>
      <c r="E873" s="6">
        <v>1615</v>
      </c>
      <c r="F873" s="5" t="str">
        <f>HYPERLINK("https://www.google.com/maps/search/?api=1&amp;query=24.78854595,46.65750142", "View Map")</f>
        <v>View Map</v>
      </c>
    </row>
    <row r="874" spans="1:6" x14ac:dyDescent="0.35">
      <c r="A874" s="4" t="s">
        <v>6574</v>
      </c>
      <c r="B874" s="5" t="s">
        <v>3257</v>
      </c>
      <c r="C874" s="5" t="s">
        <v>1776</v>
      </c>
      <c r="D874" s="5" t="s">
        <v>13</v>
      </c>
      <c r="E874" s="6">
        <v>1615</v>
      </c>
      <c r="F874" s="5" t="str">
        <f>HYPERLINK("https://www.google.com/maps/search/?api=1&amp;query=24.74552817,46.83964266", "View Map")</f>
        <v>View Map</v>
      </c>
    </row>
    <row r="875" spans="1:6" x14ac:dyDescent="0.35">
      <c r="A875" s="4" t="s">
        <v>5974</v>
      </c>
      <c r="B875" s="5" t="s">
        <v>3258</v>
      </c>
      <c r="C875" s="5" t="s">
        <v>1776</v>
      </c>
      <c r="D875" s="5" t="s">
        <v>13</v>
      </c>
      <c r="E875" s="6">
        <v>1614</v>
      </c>
      <c r="F875" s="5" t="str">
        <f>HYPERLINK("https://www.google.com/maps/search/?api=1&amp;query=24.87773,46.60725", "View Map")</f>
        <v>View Map</v>
      </c>
    </row>
    <row r="876" spans="1:6" x14ac:dyDescent="0.35">
      <c r="A876" s="4" t="s">
        <v>6134</v>
      </c>
      <c r="B876" s="5" t="s">
        <v>3259</v>
      </c>
      <c r="C876" s="5" t="s">
        <v>1776</v>
      </c>
      <c r="D876" s="5" t="s">
        <v>13</v>
      </c>
      <c r="E876" s="6">
        <v>1612</v>
      </c>
      <c r="F876" s="5" t="str">
        <f>HYPERLINK("https://www.google.com/maps/search/?api=1&amp;query=24.63892197,46.61882601", "View Map")</f>
        <v>View Map</v>
      </c>
    </row>
    <row r="877" spans="1:6" x14ac:dyDescent="0.35">
      <c r="A877" s="4" t="s">
        <v>6575</v>
      </c>
      <c r="B877" s="5" t="s">
        <v>3261</v>
      </c>
      <c r="C877" s="5" t="s">
        <v>1776</v>
      </c>
      <c r="D877" s="5" t="s">
        <v>13</v>
      </c>
      <c r="E877" s="6">
        <v>1610</v>
      </c>
      <c r="F877" s="5" t="str">
        <f>HYPERLINK("https://www.google.com/maps/search/?api=1&amp;query=24.56168925,46.79831275", "View Map")</f>
        <v>View Map</v>
      </c>
    </row>
    <row r="878" spans="1:6" x14ac:dyDescent="0.35">
      <c r="A878" s="4" t="s">
        <v>6178</v>
      </c>
      <c r="B878" s="5" t="s">
        <v>3262</v>
      </c>
      <c r="C878" s="5" t="s">
        <v>1776</v>
      </c>
      <c r="D878" s="5" t="s">
        <v>13</v>
      </c>
      <c r="E878" s="6">
        <v>1608</v>
      </c>
      <c r="F878" s="5" t="str">
        <f>HYPERLINK("https://www.google.com/maps/search/?api=1&amp;query=24.754226,46.77333975", "View Map")</f>
        <v>View Map</v>
      </c>
    </row>
    <row r="879" spans="1:6" x14ac:dyDescent="0.35">
      <c r="A879" s="4" t="s">
        <v>6576</v>
      </c>
      <c r="B879" s="5" t="s">
        <v>3264</v>
      </c>
      <c r="C879" s="5" t="s">
        <v>1776</v>
      </c>
      <c r="D879" s="5" t="s">
        <v>13</v>
      </c>
      <c r="E879" s="6">
        <v>1607</v>
      </c>
      <c r="F879" s="5" t="str">
        <f>HYPERLINK("https://www.google.com/maps/search/?api=1&amp;query=24.76648616,46.78203754", "View Map")</f>
        <v>View Map</v>
      </c>
    </row>
    <row r="880" spans="1:6" x14ac:dyDescent="0.35">
      <c r="A880" s="4" t="s">
        <v>6577</v>
      </c>
      <c r="B880" s="5" t="s">
        <v>3266</v>
      </c>
      <c r="C880" s="5" t="s">
        <v>1776</v>
      </c>
      <c r="D880" s="5" t="s">
        <v>13</v>
      </c>
      <c r="E880" s="6">
        <v>1607</v>
      </c>
      <c r="F880" s="5" t="str">
        <f>HYPERLINK("https://www.google.com/maps/search/?api=1&amp;query=24.60057902,46.67514172", "View Map")</f>
        <v>View Map</v>
      </c>
    </row>
    <row r="881" spans="1:6" x14ac:dyDescent="0.35">
      <c r="A881" s="4" t="s">
        <v>6578</v>
      </c>
      <c r="B881" s="5" t="s">
        <v>3268</v>
      </c>
      <c r="C881" s="5" t="s">
        <v>1776</v>
      </c>
      <c r="D881" s="5" t="s">
        <v>13</v>
      </c>
      <c r="E881" s="6">
        <v>1602</v>
      </c>
      <c r="F881" s="5" t="str">
        <f>HYPERLINK("https://www.google.com/maps/search/?api=1&amp;query=24.79444339,46.67263107", "View Map")</f>
        <v>View Map</v>
      </c>
    </row>
    <row r="882" spans="1:6" x14ac:dyDescent="0.35">
      <c r="A882" s="4" t="s">
        <v>6039</v>
      </c>
      <c r="B882" s="5" t="s">
        <v>3269</v>
      </c>
      <c r="C882" s="5" t="s">
        <v>1776</v>
      </c>
      <c r="D882" s="5" t="s">
        <v>13</v>
      </c>
      <c r="E882" s="6">
        <v>1602</v>
      </c>
      <c r="F882" s="5" t="str">
        <f>HYPERLINK("https://www.google.com/maps/search/?api=1&amp;query=24.54906702,46.57560674", "View Map")</f>
        <v>View Map</v>
      </c>
    </row>
    <row r="883" spans="1:6" x14ac:dyDescent="0.35">
      <c r="A883" s="4" t="s">
        <v>5974</v>
      </c>
      <c r="B883" s="5" t="s">
        <v>3270</v>
      </c>
      <c r="C883" s="5" t="s">
        <v>1776</v>
      </c>
      <c r="D883" s="5" t="s">
        <v>13</v>
      </c>
      <c r="E883" s="6">
        <v>1601</v>
      </c>
      <c r="F883" s="5" t="str">
        <f>HYPERLINK("https://www.google.com/maps/search/?api=1&amp;query=24.61947042,46.83782531", "View Map")</f>
        <v>View Map</v>
      </c>
    </row>
    <row r="884" spans="1:6" x14ac:dyDescent="0.35">
      <c r="A884" s="4" t="s">
        <v>6579</v>
      </c>
      <c r="B884" s="5" t="s">
        <v>3272</v>
      </c>
      <c r="C884" s="5" t="s">
        <v>1776</v>
      </c>
      <c r="D884" s="5" t="s">
        <v>13</v>
      </c>
      <c r="E884" s="6">
        <v>1601</v>
      </c>
      <c r="F884" s="5" t="str">
        <f>HYPERLINK("https://www.google.com/maps/search/?api=1&amp;query=24.75013626,46.71003316", "View Map")</f>
        <v>View Map</v>
      </c>
    </row>
    <row r="885" spans="1:6" x14ac:dyDescent="0.35">
      <c r="A885" s="4" t="s">
        <v>6580</v>
      </c>
      <c r="B885" s="5" t="s">
        <v>3274</v>
      </c>
      <c r="C885" s="5" t="s">
        <v>1843</v>
      </c>
      <c r="D885" s="5" t="s">
        <v>13</v>
      </c>
      <c r="E885" s="6">
        <v>1601</v>
      </c>
      <c r="F885" s="5" t="str">
        <f>HYPERLINK("https://www.google.com/maps/search/?api=1&amp;query=24.74095,46.57136", "View Map")</f>
        <v>View Map</v>
      </c>
    </row>
    <row r="886" spans="1:6" x14ac:dyDescent="0.35">
      <c r="A886" s="4" t="s">
        <v>6581</v>
      </c>
      <c r="B886" s="5" t="s">
        <v>3276</v>
      </c>
      <c r="C886" s="5" t="s">
        <v>1776</v>
      </c>
      <c r="D886" s="5" t="s">
        <v>13</v>
      </c>
      <c r="E886" s="6">
        <v>1599</v>
      </c>
      <c r="F886" s="5" t="str">
        <f>HYPERLINK("https://www.google.com/maps/search/?api=1&amp;query=24.5363744,46.64409573", "View Map")</f>
        <v>View Map</v>
      </c>
    </row>
    <row r="887" spans="1:6" x14ac:dyDescent="0.35">
      <c r="A887" s="4" t="s">
        <v>6582</v>
      </c>
      <c r="B887" s="5" t="s">
        <v>3278</v>
      </c>
      <c r="C887" s="5" t="s">
        <v>1776</v>
      </c>
      <c r="D887" s="5" t="s">
        <v>13</v>
      </c>
      <c r="E887" s="6">
        <v>1598</v>
      </c>
      <c r="F887" s="5" t="str">
        <f>HYPERLINK("https://www.google.com/maps/search/?api=1&amp;query=24.73645164,46.64181861", "View Map")</f>
        <v>View Map</v>
      </c>
    </row>
    <row r="888" spans="1:6" x14ac:dyDescent="0.35">
      <c r="A888" s="4" t="s">
        <v>5974</v>
      </c>
      <c r="B888" s="5" t="s">
        <v>3279</v>
      </c>
      <c r="C888" s="5" t="s">
        <v>1776</v>
      </c>
      <c r="D888" s="5" t="s">
        <v>13</v>
      </c>
      <c r="E888" s="6">
        <v>1597</v>
      </c>
      <c r="F888" s="5" t="str">
        <f>HYPERLINK("https://www.google.com/maps/search/?api=1&amp;query=24.83501,46.59884", "View Map")</f>
        <v>View Map</v>
      </c>
    </row>
    <row r="889" spans="1:6" x14ac:dyDescent="0.35">
      <c r="A889" s="4" t="s">
        <v>6583</v>
      </c>
      <c r="B889" s="5" t="s">
        <v>3281</v>
      </c>
      <c r="C889" s="5" t="s">
        <v>1776</v>
      </c>
      <c r="D889" s="5" t="s">
        <v>13</v>
      </c>
      <c r="E889" s="6">
        <v>1597</v>
      </c>
      <c r="F889" s="5" t="str">
        <f>HYPERLINK("https://www.google.com/maps/search/?api=1&amp;query=24.65144119,46.57818116", "View Map")</f>
        <v>View Map</v>
      </c>
    </row>
    <row r="890" spans="1:6" x14ac:dyDescent="0.35">
      <c r="A890" s="4" t="s">
        <v>6584</v>
      </c>
      <c r="B890" s="5" t="s">
        <v>3283</v>
      </c>
      <c r="C890" s="5" t="s">
        <v>1776</v>
      </c>
      <c r="D890" s="5" t="s">
        <v>13</v>
      </c>
      <c r="E890" s="6">
        <v>1596</v>
      </c>
      <c r="F890" s="5" t="str">
        <f>HYPERLINK("https://www.google.com/maps/search/?api=1&amp;query=24.68583329,46.80294072", "View Map")</f>
        <v>View Map</v>
      </c>
    </row>
    <row r="891" spans="1:6" x14ac:dyDescent="0.35">
      <c r="A891" s="4" t="s">
        <v>6585</v>
      </c>
      <c r="B891" s="5" t="s">
        <v>3285</v>
      </c>
      <c r="C891" s="5" t="s">
        <v>1776</v>
      </c>
      <c r="D891" s="5" t="s">
        <v>13</v>
      </c>
      <c r="E891" s="6">
        <v>1595</v>
      </c>
      <c r="F891" s="5" t="str">
        <f>HYPERLINK("https://www.google.com/maps/search/?api=1&amp;query=24.64145838,46.72166231", "View Map")</f>
        <v>View Map</v>
      </c>
    </row>
    <row r="892" spans="1:6" x14ac:dyDescent="0.35">
      <c r="A892" s="4" t="s">
        <v>6586</v>
      </c>
      <c r="B892" s="5" t="s">
        <v>3287</v>
      </c>
      <c r="C892" s="5" t="s">
        <v>1776</v>
      </c>
      <c r="D892" s="5" t="s">
        <v>13</v>
      </c>
      <c r="E892" s="6">
        <v>1595</v>
      </c>
      <c r="F892" s="5" t="str">
        <f>HYPERLINK("https://www.google.com/maps/search/?api=1&amp;query=24.74132249,46.78830507", "View Map")</f>
        <v>View Map</v>
      </c>
    </row>
    <row r="893" spans="1:6" x14ac:dyDescent="0.35">
      <c r="A893" s="4" t="s">
        <v>5974</v>
      </c>
      <c r="B893" s="5" t="s">
        <v>3288</v>
      </c>
      <c r="C893" s="5" t="s">
        <v>1776</v>
      </c>
      <c r="D893" s="5" t="s">
        <v>13</v>
      </c>
      <c r="E893" s="6">
        <v>1592</v>
      </c>
      <c r="F893" s="5" t="str">
        <f>HYPERLINK("https://www.google.com/maps/search/?api=1&amp;query=24.76777355,46.74623896", "View Map")</f>
        <v>View Map</v>
      </c>
    </row>
    <row r="894" spans="1:6" x14ac:dyDescent="0.35">
      <c r="A894" s="4" t="s">
        <v>6587</v>
      </c>
      <c r="B894" s="5" t="s">
        <v>3290</v>
      </c>
      <c r="C894" s="5" t="s">
        <v>1776</v>
      </c>
      <c r="D894" s="5" t="s">
        <v>13</v>
      </c>
      <c r="E894" s="6">
        <v>1592</v>
      </c>
      <c r="F894" s="5" t="str">
        <f>HYPERLINK("https://www.google.com/maps/search/?api=1&amp;query=24.62920244,46.74461055", "View Map")</f>
        <v>View Map</v>
      </c>
    </row>
    <row r="895" spans="1:6" x14ac:dyDescent="0.35">
      <c r="A895" s="4" t="s">
        <v>6588</v>
      </c>
      <c r="B895" s="5" t="s">
        <v>3292</v>
      </c>
      <c r="C895" s="5" t="s">
        <v>1776</v>
      </c>
      <c r="D895" s="5" t="s">
        <v>13</v>
      </c>
      <c r="E895" s="6">
        <v>1589</v>
      </c>
      <c r="F895" s="5" t="str">
        <f>HYPERLINK("https://www.google.com/maps/search/?api=1&amp;query=24.69105104,46.60085528", "View Map")</f>
        <v>View Map</v>
      </c>
    </row>
    <row r="896" spans="1:6" x14ac:dyDescent="0.35">
      <c r="A896" s="4" t="s">
        <v>5974</v>
      </c>
      <c r="B896" s="5" t="s">
        <v>3293</v>
      </c>
      <c r="C896" s="5" t="s">
        <v>1776</v>
      </c>
      <c r="D896" s="5" t="s">
        <v>13</v>
      </c>
      <c r="E896" s="6">
        <v>1588</v>
      </c>
      <c r="F896" s="5" t="str">
        <f>HYPERLINK("https://www.google.com/maps/search/?api=1&amp;query=24.82820974,46.58653605", "View Map")</f>
        <v>View Map</v>
      </c>
    </row>
    <row r="897" spans="1:6" x14ac:dyDescent="0.35">
      <c r="A897" s="4" t="s">
        <v>5974</v>
      </c>
      <c r="B897" s="5" t="s">
        <v>3294</v>
      </c>
      <c r="C897" s="5" t="s">
        <v>1776</v>
      </c>
      <c r="D897" s="5" t="s">
        <v>13</v>
      </c>
      <c r="E897" s="6">
        <v>1588</v>
      </c>
      <c r="F897" s="5" t="str">
        <f>HYPERLINK("https://www.google.com/maps/search/?api=1&amp;query=24.6494479,46.76635901", "View Map")</f>
        <v>View Map</v>
      </c>
    </row>
    <row r="898" spans="1:6" x14ac:dyDescent="0.35">
      <c r="A898" s="4" t="s">
        <v>3295</v>
      </c>
      <c r="B898" s="5" t="s">
        <v>3296</v>
      </c>
      <c r="C898" s="5" t="s">
        <v>1776</v>
      </c>
      <c r="D898" s="5" t="s">
        <v>13</v>
      </c>
      <c r="E898" s="6">
        <v>1584</v>
      </c>
      <c r="F898" s="5" t="str">
        <f>HYPERLINK("https://www.google.com/maps/search/?api=1&amp;query=24.6729878,46.75500375", "View Map")</f>
        <v>View Map</v>
      </c>
    </row>
    <row r="899" spans="1:6" x14ac:dyDescent="0.35">
      <c r="A899" s="4" t="s">
        <v>6589</v>
      </c>
      <c r="B899" s="5" t="s">
        <v>3297</v>
      </c>
      <c r="C899" s="5" t="s">
        <v>1776</v>
      </c>
      <c r="D899" s="5" t="s">
        <v>13</v>
      </c>
      <c r="E899" s="6">
        <v>1583</v>
      </c>
      <c r="F899" s="5" t="str">
        <f>HYPERLINK("https://www.google.com/maps/search/?api=1&amp;query=24.70482385,46.74874615", "View Map")</f>
        <v>View Map</v>
      </c>
    </row>
    <row r="900" spans="1:6" x14ac:dyDescent="0.35">
      <c r="A900" s="4" t="s">
        <v>6590</v>
      </c>
      <c r="B900" s="5" t="s">
        <v>3298</v>
      </c>
      <c r="C900" s="5" t="s">
        <v>1776</v>
      </c>
      <c r="D900" s="5" t="s">
        <v>13</v>
      </c>
      <c r="E900" s="6">
        <v>1583</v>
      </c>
      <c r="F900" s="5" t="str">
        <f>HYPERLINK("https://www.google.com/maps/search/?api=1&amp;query=0.0,0.0", "View Map")</f>
        <v>View Map</v>
      </c>
    </row>
    <row r="901" spans="1:6" x14ac:dyDescent="0.35">
      <c r="A901" s="4" t="s">
        <v>6591</v>
      </c>
      <c r="B901" s="5" t="s">
        <v>3300</v>
      </c>
      <c r="C901" s="5" t="s">
        <v>1776</v>
      </c>
      <c r="D901" s="5" t="s">
        <v>9</v>
      </c>
      <c r="E901" s="6">
        <v>1578</v>
      </c>
      <c r="F901" s="5" t="str">
        <f>HYPERLINK("https://www.google.com/maps/search/?api=1&amp;query=24.64139568,46.84214511", "View Map")</f>
        <v>View Map</v>
      </c>
    </row>
    <row r="902" spans="1:6" x14ac:dyDescent="0.35">
      <c r="A902" s="4" t="s">
        <v>5974</v>
      </c>
      <c r="B902" s="5" t="s">
        <v>3301</v>
      </c>
      <c r="C902" s="5" t="s">
        <v>1776</v>
      </c>
      <c r="D902" s="5" t="s">
        <v>13</v>
      </c>
      <c r="E902" s="6">
        <v>1577</v>
      </c>
      <c r="F902" s="5" t="str">
        <f>HYPERLINK("https://www.google.com/maps/search/?api=1&amp;query=24.81797816,46.72120351", "View Map")</f>
        <v>View Map</v>
      </c>
    </row>
    <row r="903" spans="1:6" x14ac:dyDescent="0.35">
      <c r="A903" s="4" t="s">
        <v>6592</v>
      </c>
      <c r="B903" s="5" t="s">
        <v>3303</v>
      </c>
      <c r="C903" s="5" t="s">
        <v>1776</v>
      </c>
      <c r="D903" s="5" t="s">
        <v>13</v>
      </c>
      <c r="E903" s="6">
        <v>1576</v>
      </c>
      <c r="F903" s="5" t="str">
        <f>HYPERLINK("https://www.google.com/maps/search/?api=1&amp;query=24.63504009,46.71130222", "View Map")</f>
        <v>View Map</v>
      </c>
    </row>
    <row r="904" spans="1:6" x14ac:dyDescent="0.35">
      <c r="A904" s="4" t="s">
        <v>6593</v>
      </c>
      <c r="B904" s="5" t="s">
        <v>3305</v>
      </c>
      <c r="C904" s="5" t="s">
        <v>1776</v>
      </c>
      <c r="D904" s="5" t="s">
        <v>13</v>
      </c>
      <c r="E904" s="6">
        <v>1574</v>
      </c>
      <c r="F904" s="5" t="str">
        <f>HYPERLINK("https://www.google.com/maps/search/?api=1&amp;query=24.81886849,46.62444331", "View Map")</f>
        <v>View Map</v>
      </c>
    </row>
    <row r="905" spans="1:6" x14ac:dyDescent="0.35">
      <c r="A905" s="4" t="s">
        <v>6594</v>
      </c>
      <c r="B905" s="5" t="s">
        <v>3307</v>
      </c>
      <c r="C905" s="5" t="s">
        <v>1776</v>
      </c>
      <c r="D905" s="5" t="s">
        <v>13</v>
      </c>
      <c r="E905" s="6">
        <v>1574</v>
      </c>
      <c r="F905" s="5" t="str">
        <f>HYPERLINK("https://www.google.com/maps/search/?api=1&amp;query=24.67323691,46.58947592", "View Map")</f>
        <v>View Map</v>
      </c>
    </row>
    <row r="906" spans="1:6" x14ac:dyDescent="0.35">
      <c r="A906" s="4" t="s">
        <v>6121</v>
      </c>
      <c r="B906" s="5" t="s">
        <v>3308</v>
      </c>
      <c r="C906" s="5" t="s">
        <v>1776</v>
      </c>
      <c r="D906" s="5" t="s">
        <v>13</v>
      </c>
      <c r="E906" s="6">
        <v>1572</v>
      </c>
      <c r="F906" s="5" t="str">
        <f>HYPERLINK("https://www.google.com/maps/search/?api=1&amp;query=24.77706843,46.78446967", "View Map")</f>
        <v>View Map</v>
      </c>
    </row>
    <row r="907" spans="1:6" x14ac:dyDescent="0.35">
      <c r="A907" s="4" t="s">
        <v>6595</v>
      </c>
      <c r="B907" s="5" t="s">
        <v>3310</v>
      </c>
      <c r="C907" s="5" t="s">
        <v>1776</v>
      </c>
      <c r="D907" s="5" t="s">
        <v>13</v>
      </c>
      <c r="E907" s="6">
        <v>1570</v>
      </c>
      <c r="F907" s="5" t="str">
        <f>HYPERLINK("https://www.google.com/maps/search/?api=1&amp;query=24.80313311,46.81063206", "View Map")</f>
        <v>View Map</v>
      </c>
    </row>
    <row r="908" spans="1:6" x14ac:dyDescent="0.35">
      <c r="A908" s="4" t="s">
        <v>6596</v>
      </c>
      <c r="B908" s="5" t="s">
        <v>3312</v>
      </c>
      <c r="C908" s="5" t="s">
        <v>1776</v>
      </c>
      <c r="D908" s="5" t="s">
        <v>13</v>
      </c>
      <c r="E908" s="6">
        <v>1570</v>
      </c>
      <c r="F908" s="5" t="str">
        <f>HYPERLINK("https://www.google.com/maps/search/?api=1&amp;query=24.76065,46.73701", "View Map")</f>
        <v>View Map</v>
      </c>
    </row>
    <row r="909" spans="1:6" x14ac:dyDescent="0.35">
      <c r="A909" s="4" t="s">
        <v>6597</v>
      </c>
      <c r="B909" s="5" t="s">
        <v>3314</v>
      </c>
      <c r="C909" s="5" t="s">
        <v>1776</v>
      </c>
      <c r="D909" s="5" t="s">
        <v>9</v>
      </c>
      <c r="E909" s="6">
        <v>1569</v>
      </c>
      <c r="F909" s="5" t="str">
        <f>HYPERLINK("https://www.google.com/maps/search/?api=1&amp;query=24.66450296,46.70559509", "View Map")</f>
        <v>View Map</v>
      </c>
    </row>
    <row r="910" spans="1:6" x14ac:dyDescent="0.35">
      <c r="A910" s="4" t="s">
        <v>6538</v>
      </c>
      <c r="B910" s="5" t="s">
        <v>3315</v>
      </c>
      <c r="C910" s="5" t="s">
        <v>1776</v>
      </c>
      <c r="D910" s="5" t="s">
        <v>13</v>
      </c>
      <c r="E910" s="6">
        <v>1567</v>
      </c>
      <c r="F910" s="5" t="str">
        <f>HYPERLINK("https://www.google.com/maps/search/?api=1&amp;query=24.69238976,46.75732329", "View Map")</f>
        <v>View Map</v>
      </c>
    </row>
    <row r="911" spans="1:6" x14ac:dyDescent="0.35">
      <c r="A911" s="4" t="s">
        <v>5974</v>
      </c>
      <c r="B911" s="5" t="s">
        <v>3316</v>
      </c>
      <c r="C911" s="5" t="s">
        <v>1776</v>
      </c>
      <c r="D911" s="5" t="s">
        <v>13</v>
      </c>
      <c r="E911" s="6">
        <v>1567</v>
      </c>
      <c r="F911" s="5" t="str">
        <f>HYPERLINK("https://www.google.com/maps/search/?api=1&amp;query=24.8795,46.6381", "View Map")</f>
        <v>View Map</v>
      </c>
    </row>
    <row r="912" spans="1:6" x14ac:dyDescent="0.35">
      <c r="A912" s="4" t="s">
        <v>6598</v>
      </c>
      <c r="B912" s="5" t="s">
        <v>3318</v>
      </c>
      <c r="C912" s="5" t="s">
        <v>1776</v>
      </c>
      <c r="D912" s="5" t="s">
        <v>13</v>
      </c>
      <c r="E912" s="6">
        <v>1567</v>
      </c>
      <c r="F912" s="5" t="str">
        <f>HYPERLINK("https://www.google.com/maps/search/?api=1&amp;query=24.55190546,46.65689037", "View Map")</f>
        <v>View Map</v>
      </c>
    </row>
    <row r="913" spans="1:6" x14ac:dyDescent="0.35">
      <c r="A913" s="4" t="s">
        <v>5972</v>
      </c>
      <c r="B913" s="5" t="s">
        <v>3319</v>
      </c>
      <c r="C913" s="5" t="s">
        <v>1776</v>
      </c>
      <c r="D913" s="5" t="s">
        <v>13</v>
      </c>
      <c r="E913" s="6">
        <v>1565</v>
      </c>
      <c r="F913" s="5" t="str">
        <f>HYPERLINK("https://www.google.com/maps/search/?api=1&amp;query=24.80736,46.60096", "View Map")</f>
        <v>View Map</v>
      </c>
    </row>
    <row r="914" spans="1:6" x14ac:dyDescent="0.35">
      <c r="A914" s="4" t="s">
        <v>5974</v>
      </c>
      <c r="B914" s="5" t="s">
        <v>3320</v>
      </c>
      <c r="C914" s="5" t="s">
        <v>1776</v>
      </c>
      <c r="D914" s="5" t="s">
        <v>13</v>
      </c>
      <c r="E914" s="6">
        <v>1562</v>
      </c>
      <c r="F914" s="5" t="str">
        <f>HYPERLINK("https://www.google.com/maps/search/?api=1&amp;query=24.61595565,46.81474386", "View Map")</f>
        <v>View Map</v>
      </c>
    </row>
    <row r="915" spans="1:6" x14ac:dyDescent="0.35">
      <c r="A915" s="4" t="s">
        <v>6285</v>
      </c>
      <c r="B915" s="5" t="s">
        <v>3321</v>
      </c>
      <c r="C915" s="5" t="s">
        <v>1776</v>
      </c>
      <c r="D915" s="5" t="s">
        <v>13</v>
      </c>
      <c r="E915" s="6">
        <v>1562</v>
      </c>
      <c r="F915" s="5" t="str">
        <f>HYPERLINK("https://www.google.com/maps/search/?api=1&amp;query=24.69798989,46.71405306", "View Map")</f>
        <v>View Map</v>
      </c>
    </row>
    <row r="916" spans="1:6" x14ac:dyDescent="0.35">
      <c r="A916" s="4" t="s">
        <v>6599</v>
      </c>
      <c r="B916" s="5" t="s">
        <v>3323</v>
      </c>
      <c r="C916" s="5" t="s">
        <v>1776</v>
      </c>
      <c r="D916" s="5" t="s">
        <v>13</v>
      </c>
      <c r="E916" s="6">
        <v>1561</v>
      </c>
      <c r="F916" s="5" t="str">
        <f>HYPERLINK("https://www.google.com/maps/search/?api=1&amp;query=24.58311375,46.67311891", "View Map")</f>
        <v>View Map</v>
      </c>
    </row>
    <row r="917" spans="1:6" x14ac:dyDescent="0.35">
      <c r="A917" s="4" t="s">
        <v>6600</v>
      </c>
      <c r="B917" s="5" t="s">
        <v>3325</v>
      </c>
      <c r="C917" s="5" t="s">
        <v>1776</v>
      </c>
      <c r="D917" s="5" t="s">
        <v>13</v>
      </c>
      <c r="E917" s="6">
        <v>1560</v>
      </c>
      <c r="F917" s="5" t="str">
        <f>HYPERLINK("https://www.google.com/maps/search/?api=1&amp;query=24.62634393,46.79037156", "View Map")</f>
        <v>View Map</v>
      </c>
    </row>
    <row r="918" spans="1:6" x14ac:dyDescent="0.35">
      <c r="A918" s="4" t="s">
        <v>6601</v>
      </c>
      <c r="B918" s="5" t="s">
        <v>3327</v>
      </c>
      <c r="C918" s="5" t="s">
        <v>1776</v>
      </c>
      <c r="D918" s="5" t="s">
        <v>13</v>
      </c>
      <c r="E918" s="6">
        <v>1560</v>
      </c>
      <c r="F918" s="5" t="str">
        <f>HYPERLINK("https://www.google.com/maps/search/?api=1&amp;query=24.77294,46.71946", "View Map")</f>
        <v>View Map</v>
      </c>
    </row>
    <row r="919" spans="1:6" x14ac:dyDescent="0.35">
      <c r="A919" s="4" t="s">
        <v>6602</v>
      </c>
      <c r="B919" s="5" t="s">
        <v>3329</v>
      </c>
      <c r="C919" s="5" t="s">
        <v>1776</v>
      </c>
      <c r="D919" s="5" t="s">
        <v>13</v>
      </c>
      <c r="E919" s="6">
        <v>1560</v>
      </c>
      <c r="F919" s="5" t="str">
        <f>HYPERLINK("https://www.google.com/maps/search/?api=1&amp;query=24.710044,46.61807074", "View Map")</f>
        <v>View Map</v>
      </c>
    </row>
    <row r="920" spans="1:6" x14ac:dyDescent="0.35">
      <c r="A920" s="4" t="s">
        <v>6603</v>
      </c>
      <c r="B920" s="5" t="s">
        <v>3331</v>
      </c>
      <c r="C920" s="5" t="s">
        <v>1776</v>
      </c>
      <c r="D920" s="5" t="s">
        <v>13</v>
      </c>
      <c r="E920" s="6">
        <v>1559</v>
      </c>
      <c r="F920" s="5" t="str">
        <f>HYPERLINK("https://www.google.com/maps/search/?api=1&amp;query=24.81254218,46.77939426", "View Map")</f>
        <v>View Map</v>
      </c>
    </row>
    <row r="921" spans="1:6" x14ac:dyDescent="0.35">
      <c r="A921" s="4" t="s">
        <v>5974</v>
      </c>
      <c r="B921" s="5" t="s">
        <v>3332</v>
      </c>
      <c r="C921" s="5" t="s">
        <v>1776</v>
      </c>
      <c r="D921" s="5" t="s">
        <v>13</v>
      </c>
      <c r="E921" s="6">
        <v>1556</v>
      </c>
      <c r="F921" s="5" t="str">
        <f>HYPERLINK("https://www.google.com/maps/search/?api=1&amp;query=24.92525789,46.82341566", "View Map")</f>
        <v>View Map</v>
      </c>
    </row>
    <row r="922" spans="1:6" x14ac:dyDescent="0.35">
      <c r="A922" s="4" t="s">
        <v>6604</v>
      </c>
      <c r="B922" s="5" t="s">
        <v>3334</v>
      </c>
      <c r="C922" s="5" t="s">
        <v>1776</v>
      </c>
      <c r="D922" s="5" t="s">
        <v>13</v>
      </c>
      <c r="E922" s="6">
        <v>1555</v>
      </c>
      <c r="F922" s="5" t="str">
        <f>HYPERLINK("https://www.google.com/maps/search/?api=1&amp;query=24.73579043,46.85265709", "View Map")</f>
        <v>View Map</v>
      </c>
    </row>
    <row r="923" spans="1:6" x14ac:dyDescent="0.35">
      <c r="A923" s="4" t="s">
        <v>6605</v>
      </c>
      <c r="B923" s="5" t="s">
        <v>3336</v>
      </c>
      <c r="C923" s="5" t="s">
        <v>1776</v>
      </c>
      <c r="D923" s="5" t="s">
        <v>13</v>
      </c>
      <c r="E923" s="6">
        <v>1552</v>
      </c>
      <c r="F923" s="5" t="str">
        <f>HYPERLINK("https://www.google.com/maps/search/?api=1&amp;query=24.76800114,46.65045529", "View Map")</f>
        <v>View Map</v>
      </c>
    </row>
    <row r="924" spans="1:6" x14ac:dyDescent="0.35">
      <c r="A924" s="4" t="s">
        <v>6606</v>
      </c>
      <c r="B924" s="5" t="s">
        <v>3338</v>
      </c>
      <c r="C924" s="5" t="s">
        <v>1776</v>
      </c>
      <c r="D924" s="5" t="s">
        <v>13</v>
      </c>
      <c r="E924" s="6">
        <v>1550</v>
      </c>
      <c r="F924" s="5" t="str">
        <f>HYPERLINK("https://www.google.com/maps/search/?api=1&amp;query=24.6197,46.59", "View Map")</f>
        <v>View Map</v>
      </c>
    </row>
    <row r="925" spans="1:6" x14ac:dyDescent="0.35">
      <c r="A925" s="4" t="s">
        <v>6607</v>
      </c>
      <c r="B925" s="5" t="s">
        <v>3340</v>
      </c>
      <c r="C925" s="5" t="s">
        <v>1776</v>
      </c>
      <c r="D925" s="5" t="s">
        <v>13</v>
      </c>
      <c r="E925" s="6">
        <v>1550</v>
      </c>
      <c r="F925" s="5" t="str">
        <f>HYPERLINK("https://www.google.com/maps/search/?api=1&amp;query=24.79262182,46.62509763", "View Map")</f>
        <v>View Map</v>
      </c>
    </row>
    <row r="926" spans="1:6" x14ac:dyDescent="0.35">
      <c r="A926" s="4" t="s">
        <v>6608</v>
      </c>
      <c r="B926" s="5" t="s">
        <v>3342</v>
      </c>
      <c r="C926" s="5" t="s">
        <v>1776</v>
      </c>
      <c r="D926" s="5" t="s">
        <v>13</v>
      </c>
      <c r="E926" s="6">
        <v>1548</v>
      </c>
      <c r="F926" s="5" t="str">
        <f>HYPERLINK("https://www.google.com/maps/search/?api=1&amp;query=24.72195266,46.81280705", "View Map")</f>
        <v>View Map</v>
      </c>
    </row>
    <row r="927" spans="1:6" x14ac:dyDescent="0.35">
      <c r="A927" s="4" t="s">
        <v>6609</v>
      </c>
      <c r="B927" s="5" t="s">
        <v>3344</v>
      </c>
      <c r="C927" s="5" t="s">
        <v>1776</v>
      </c>
      <c r="D927" s="5" t="s">
        <v>13</v>
      </c>
      <c r="E927" s="6">
        <v>1547</v>
      </c>
      <c r="F927" s="5" t="str">
        <f>HYPERLINK("https://www.google.com/maps/search/?api=1&amp;query=24.75305819,46.8368532", "View Map")</f>
        <v>View Map</v>
      </c>
    </row>
    <row r="928" spans="1:6" x14ac:dyDescent="0.35">
      <c r="A928" s="4" t="s">
        <v>6215</v>
      </c>
      <c r="B928" s="5" t="s">
        <v>3345</v>
      </c>
      <c r="C928" s="5" t="s">
        <v>1776</v>
      </c>
      <c r="D928" s="5" t="s">
        <v>13</v>
      </c>
      <c r="E928" s="6">
        <v>1546</v>
      </c>
      <c r="F928" s="5" t="str">
        <f>HYPERLINK("https://www.google.com/maps/search/?api=1&amp;query=24.75402241,46.8084702", "View Map")</f>
        <v>View Map</v>
      </c>
    </row>
    <row r="929" spans="1:6" x14ac:dyDescent="0.35">
      <c r="A929" s="4" t="s">
        <v>6610</v>
      </c>
      <c r="B929" s="5" t="s">
        <v>3347</v>
      </c>
      <c r="C929" s="5" t="s">
        <v>1776</v>
      </c>
      <c r="D929" s="5" t="s">
        <v>13</v>
      </c>
      <c r="E929" s="6">
        <v>1546</v>
      </c>
      <c r="F929" s="5" t="str">
        <f>HYPERLINK("https://www.google.com/maps/search/?api=1&amp;query=24.79472957,46.87509731", "View Map")</f>
        <v>View Map</v>
      </c>
    </row>
    <row r="930" spans="1:6" x14ac:dyDescent="0.35">
      <c r="A930" s="4" t="s">
        <v>6611</v>
      </c>
      <c r="B930" s="5" t="s">
        <v>3349</v>
      </c>
      <c r="C930" s="5" t="s">
        <v>1776</v>
      </c>
      <c r="D930" s="5" t="s">
        <v>9</v>
      </c>
      <c r="E930" s="6">
        <v>1542</v>
      </c>
      <c r="F930" s="5" t="str">
        <f>HYPERLINK("https://www.google.com/maps/search/?api=1&amp;query=24.56885442,46.61709099", "View Map")</f>
        <v>View Map</v>
      </c>
    </row>
    <row r="931" spans="1:6" x14ac:dyDescent="0.35">
      <c r="A931" s="4" t="s">
        <v>5974</v>
      </c>
      <c r="B931" s="5" t="s">
        <v>3350</v>
      </c>
      <c r="C931" s="5" t="s">
        <v>1776</v>
      </c>
      <c r="D931" s="5" t="s">
        <v>13</v>
      </c>
      <c r="E931" s="6">
        <v>1541</v>
      </c>
      <c r="F931" s="5" t="str">
        <f>HYPERLINK("https://www.google.com/maps/search/?api=1&amp;query=24.88638,46.60249", "View Map")</f>
        <v>View Map</v>
      </c>
    </row>
    <row r="932" spans="1:6" x14ac:dyDescent="0.35">
      <c r="A932" s="4" t="s">
        <v>5972</v>
      </c>
      <c r="B932" s="5" t="s">
        <v>3351</v>
      </c>
      <c r="C932" s="5" t="s">
        <v>1776</v>
      </c>
      <c r="D932" s="5" t="s">
        <v>13</v>
      </c>
      <c r="E932" s="6">
        <v>1539</v>
      </c>
      <c r="F932" s="5" t="str">
        <f>HYPERLINK("https://www.google.com/maps/search/?api=1&amp;query=24.76508484,46.6821018", "View Map")</f>
        <v>View Map</v>
      </c>
    </row>
    <row r="933" spans="1:6" x14ac:dyDescent="0.35">
      <c r="A933" s="4" t="s">
        <v>6612</v>
      </c>
      <c r="B933" s="5" t="s">
        <v>3353</v>
      </c>
      <c r="C933" s="5" t="s">
        <v>1776</v>
      </c>
      <c r="D933" s="5" t="s">
        <v>13</v>
      </c>
      <c r="E933" s="6">
        <v>1537</v>
      </c>
      <c r="F933" s="5" t="str">
        <f>HYPERLINK("https://www.google.com/maps/search/?api=1&amp;query=24.6494479,46.76635901", "View Map")</f>
        <v>View Map</v>
      </c>
    </row>
    <row r="934" spans="1:6" x14ac:dyDescent="0.35">
      <c r="A934" s="4" t="s">
        <v>6052</v>
      </c>
      <c r="B934" s="5" t="s">
        <v>3354</v>
      </c>
      <c r="C934" s="5" t="s">
        <v>1776</v>
      </c>
      <c r="D934" s="5" t="s">
        <v>13</v>
      </c>
      <c r="E934" s="6">
        <v>1536</v>
      </c>
      <c r="F934" s="5" t="str">
        <f>HYPERLINK("https://www.google.com/maps/search/?api=1&amp;query=24.74873106,46.80280011", "View Map")</f>
        <v>View Map</v>
      </c>
    </row>
    <row r="935" spans="1:6" x14ac:dyDescent="0.35">
      <c r="A935" s="4" t="s">
        <v>6613</v>
      </c>
      <c r="B935" s="5" t="s">
        <v>3356</v>
      </c>
      <c r="C935" s="5" t="s">
        <v>1776</v>
      </c>
      <c r="D935" s="5" t="s">
        <v>13</v>
      </c>
      <c r="E935" s="6">
        <v>1535</v>
      </c>
      <c r="F935" s="5" t="str">
        <f>HYPERLINK("https://www.google.com/maps/search/?api=1&amp;query=24.79910457,46.76993008", "View Map")</f>
        <v>View Map</v>
      </c>
    </row>
    <row r="936" spans="1:6" x14ac:dyDescent="0.35">
      <c r="A936" s="4" t="s">
        <v>6184</v>
      </c>
      <c r="B936" s="5" t="s">
        <v>3357</v>
      </c>
      <c r="C936" s="5" t="s">
        <v>1776</v>
      </c>
      <c r="D936" s="5" t="s">
        <v>13</v>
      </c>
      <c r="E936" s="6">
        <v>1534</v>
      </c>
      <c r="F936" s="5" t="str">
        <f>HYPERLINK("https://www.google.com/maps/search/?api=1&amp;query=24.80761151,46.76343591", "View Map")</f>
        <v>View Map</v>
      </c>
    </row>
    <row r="937" spans="1:6" x14ac:dyDescent="0.35">
      <c r="A937" s="4" t="s">
        <v>6614</v>
      </c>
      <c r="B937" s="5" t="s">
        <v>3359</v>
      </c>
      <c r="C937" s="5" t="s">
        <v>1776</v>
      </c>
      <c r="D937" s="5" t="s">
        <v>13</v>
      </c>
      <c r="E937" s="6">
        <v>1530</v>
      </c>
      <c r="F937" s="5" t="str">
        <f>HYPERLINK("https://www.google.com/maps/search/?api=1&amp;query=24.57216899,46.66021177", "View Map")</f>
        <v>View Map</v>
      </c>
    </row>
    <row r="938" spans="1:6" x14ac:dyDescent="0.35">
      <c r="A938" s="4" t="s">
        <v>5974</v>
      </c>
      <c r="B938" s="5" t="s">
        <v>3360</v>
      </c>
      <c r="C938" s="5" t="s">
        <v>1776</v>
      </c>
      <c r="D938" s="5" t="s">
        <v>13</v>
      </c>
      <c r="E938" s="6">
        <v>1529</v>
      </c>
      <c r="F938" s="5" t="str">
        <f>HYPERLINK("https://www.google.com/maps/search/?api=1&amp;query=24.83368578,46.78245431", "View Map")</f>
        <v>View Map</v>
      </c>
    </row>
    <row r="939" spans="1:6" x14ac:dyDescent="0.35">
      <c r="A939" s="4" t="s">
        <v>6615</v>
      </c>
      <c r="B939" s="5" t="s">
        <v>3362</v>
      </c>
      <c r="C939" s="5" t="s">
        <v>1776</v>
      </c>
      <c r="D939" s="5" t="s">
        <v>13</v>
      </c>
      <c r="E939" s="6">
        <v>1527</v>
      </c>
      <c r="F939" s="5" t="str">
        <f>HYPERLINK("https://www.google.com/maps/search/?api=1&amp;query=24.6398036,46.71630179", "View Map")</f>
        <v>View Map</v>
      </c>
    </row>
    <row r="940" spans="1:6" x14ac:dyDescent="0.35">
      <c r="A940" s="4" t="s">
        <v>5972</v>
      </c>
      <c r="B940" s="5" t="s">
        <v>3363</v>
      </c>
      <c r="C940" s="5" t="s">
        <v>1776</v>
      </c>
      <c r="D940" s="5" t="s">
        <v>13</v>
      </c>
      <c r="E940" s="6">
        <v>1527</v>
      </c>
      <c r="F940" s="5" t="str">
        <f>HYPERLINK("https://www.google.com/maps/search/?api=1&amp;query=24.81286174,46.68884191", "View Map")</f>
        <v>View Map</v>
      </c>
    </row>
    <row r="941" spans="1:6" x14ac:dyDescent="0.35">
      <c r="A941" s="4" t="s">
        <v>6616</v>
      </c>
      <c r="B941" s="5" t="s">
        <v>3365</v>
      </c>
      <c r="C941" s="5" t="s">
        <v>1776</v>
      </c>
      <c r="D941" s="5" t="s">
        <v>13</v>
      </c>
      <c r="E941" s="6">
        <v>1526</v>
      </c>
      <c r="F941" s="5" t="str">
        <f>HYPERLINK("https://www.google.com/maps/search/?api=1&amp;query=24.54508074,46.6916449", "View Map")</f>
        <v>View Map</v>
      </c>
    </row>
    <row r="942" spans="1:6" x14ac:dyDescent="0.35">
      <c r="A942" s="4" t="s">
        <v>5974</v>
      </c>
      <c r="B942" s="5" t="s">
        <v>3366</v>
      </c>
      <c r="C942" s="5" t="s">
        <v>1776</v>
      </c>
      <c r="D942" s="5" t="s">
        <v>13</v>
      </c>
      <c r="E942" s="6">
        <v>1525</v>
      </c>
      <c r="F942" s="5" t="str">
        <f>HYPERLINK("https://www.google.com/maps/search/?api=1&amp;query=24.86567163,46.65031705", "View Map")</f>
        <v>View Map</v>
      </c>
    </row>
    <row r="943" spans="1:6" x14ac:dyDescent="0.35">
      <c r="A943" s="4" t="s">
        <v>5974</v>
      </c>
      <c r="B943" s="5" t="s">
        <v>3367</v>
      </c>
      <c r="C943" s="5" t="s">
        <v>1776</v>
      </c>
      <c r="D943" s="5" t="s">
        <v>13</v>
      </c>
      <c r="E943" s="6">
        <v>1519</v>
      </c>
      <c r="F943" s="5" t="str">
        <f>HYPERLINK("https://www.google.com/maps/search/?api=1&amp;query=24.83465468,46.66039893", "View Map")</f>
        <v>View Map</v>
      </c>
    </row>
    <row r="944" spans="1:6" x14ac:dyDescent="0.35">
      <c r="A944" s="4" t="s">
        <v>6617</v>
      </c>
      <c r="B944" s="5" t="s">
        <v>3369</v>
      </c>
      <c r="C944" s="5" t="s">
        <v>1776</v>
      </c>
      <c r="D944" s="5" t="s">
        <v>13</v>
      </c>
      <c r="E944" s="6">
        <v>1518</v>
      </c>
      <c r="F944" s="5" t="str">
        <f>HYPERLINK("https://www.google.com/maps/search/?api=1&amp;query=24.71551367,46.67279954", "View Map")</f>
        <v>View Map</v>
      </c>
    </row>
    <row r="945" spans="1:6" x14ac:dyDescent="0.35">
      <c r="A945" s="4" t="s">
        <v>6618</v>
      </c>
      <c r="B945" s="5" t="s">
        <v>3371</v>
      </c>
      <c r="C945" s="5" t="s">
        <v>1776</v>
      </c>
      <c r="D945" s="5" t="s">
        <v>13</v>
      </c>
      <c r="E945" s="6">
        <v>1517</v>
      </c>
      <c r="F945" s="5" t="str">
        <f>HYPERLINK("https://www.google.com/maps/search/?api=1&amp;query=24.75260202,46.63650499", "View Map")</f>
        <v>View Map</v>
      </c>
    </row>
    <row r="946" spans="1:6" x14ac:dyDescent="0.35">
      <c r="A946" s="4" t="s">
        <v>6619</v>
      </c>
      <c r="B946" s="5" t="s">
        <v>3373</v>
      </c>
      <c r="C946" s="5" t="s">
        <v>1776</v>
      </c>
      <c r="D946" s="5" t="s">
        <v>9</v>
      </c>
      <c r="E946" s="6">
        <v>1516</v>
      </c>
      <c r="F946" s="5" t="str">
        <f>HYPERLINK("https://www.google.com/maps/search/?api=1&amp;query=24.63406108,46.55279791", "View Map")</f>
        <v>View Map</v>
      </c>
    </row>
    <row r="947" spans="1:6" x14ac:dyDescent="0.35">
      <c r="A947" s="4" t="s">
        <v>5974</v>
      </c>
      <c r="B947" s="5" t="s">
        <v>3374</v>
      </c>
      <c r="C947" s="5" t="s">
        <v>1776</v>
      </c>
      <c r="D947" s="5" t="s">
        <v>13</v>
      </c>
      <c r="E947" s="6">
        <v>1513</v>
      </c>
      <c r="F947" s="5" t="str">
        <f>HYPERLINK("https://www.google.com/maps/search/?api=1&amp;query=24.80921122,46.67418771", "View Map")</f>
        <v>View Map</v>
      </c>
    </row>
    <row r="948" spans="1:6" x14ac:dyDescent="0.35">
      <c r="A948" s="4" t="s">
        <v>6620</v>
      </c>
      <c r="B948" s="5" t="s">
        <v>3376</v>
      </c>
      <c r="C948" s="5" t="s">
        <v>1776</v>
      </c>
      <c r="D948" s="5" t="s">
        <v>13</v>
      </c>
      <c r="E948" s="6">
        <v>1513</v>
      </c>
      <c r="F948" s="5" t="str">
        <f>HYPERLINK("https://www.google.com/maps/search/?api=1&amp;query=24.81733812,46.88340268", "View Map")</f>
        <v>View Map</v>
      </c>
    </row>
    <row r="949" spans="1:6" x14ac:dyDescent="0.35">
      <c r="A949" s="4" t="s">
        <v>6621</v>
      </c>
      <c r="B949" s="5" t="s">
        <v>3378</v>
      </c>
      <c r="C949" s="5" t="s">
        <v>1776</v>
      </c>
      <c r="D949" s="5" t="s">
        <v>13</v>
      </c>
      <c r="E949" s="6">
        <v>1512</v>
      </c>
      <c r="F949" s="5" t="str">
        <f>HYPERLINK("https://www.google.com/maps/search/?api=1&amp;query=24.5901523,46.77267602", "View Map")</f>
        <v>View Map</v>
      </c>
    </row>
    <row r="950" spans="1:6" x14ac:dyDescent="0.35">
      <c r="A950" s="4" t="s">
        <v>5974</v>
      </c>
      <c r="B950" s="5" t="s">
        <v>3379</v>
      </c>
      <c r="C950" s="5" t="s">
        <v>1776</v>
      </c>
      <c r="D950" s="5" t="s">
        <v>13</v>
      </c>
      <c r="E950" s="6">
        <v>1509</v>
      </c>
      <c r="F950" s="5" t="str">
        <f>HYPERLINK("https://www.google.com/maps/search/?api=1&amp;query=24.73900405,46.85128239", "View Map")</f>
        <v>View Map</v>
      </c>
    </row>
    <row r="951" spans="1:6" x14ac:dyDescent="0.35">
      <c r="A951" s="4" t="s">
        <v>5978</v>
      </c>
      <c r="B951" s="5" t="s">
        <v>3380</v>
      </c>
      <c r="C951" s="5" t="s">
        <v>1776</v>
      </c>
      <c r="D951" s="5" t="s">
        <v>13</v>
      </c>
      <c r="E951" s="6">
        <v>1509</v>
      </c>
      <c r="F951" s="5" t="str">
        <f>HYPERLINK("https://www.google.com/maps/search/?api=1&amp;query=24.81519369,46.74698505", "View Map")</f>
        <v>View Map</v>
      </c>
    </row>
    <row r="952" spans="1:6" x14ac:dyDescent="0.35">
      <c r="A952" s="4" t="s">
        <v>6622</v>
      </c>
      <c r="B952" s="5" t="s">
        <v>3382</v>
      </c>
      <c r="C952" s="5" t="s">
        <v>1776</v>
      </c>
      <c r="D952" s="5" t="s">
        <v>13</v>
      </c>
      <c r="E952" s="6">
        <v>1509</v>
      </c>
      <c r="F952" s="5" t="str">
        <f>HYPERLINK("https://www.google.com/maps/search/?api=1&amp;query=24.62391126,46.54828732", "View Map")</f>
        <v>View Map</v>
      </c>
    </row>
    <row r="953" spans="1:6" x14ac:dyDescent="0.35">
      <c r="A953" s="4" t="s">
        <v>6623</v>
      </c>
      <c r="B953" s="5" t="s">
        <v>3384</v>
      </c>
      <c r="C953" s="5" t="s">
        <v>1776</v>
      </c>
      <c r="D953" s="5" t="s">
        <v>13</v>
      </c>
      <c r="E953" s="6">
        <v>1509</v>
      </c>
      <c r="F953" s="5" t="str">
        <f>HYPERLINK("https://www.google.com/maps/search/?api=1&amp;query=24.69896691,46.8388006", "View Map")</f>
        <v>View Map</v>
      </c>
    </row>
    <row r="954" spans="1:6" x14ac:dyDescent="0.35">
      <c r="A954" s="4" t="s">
        <v>6624</v>
      </c>
      <c r="B954" s="5" t="s">
        <v>3386</v>
      </c>
      <c r="C954" s="5" t="s">
        <v>1776</v>
      </c>
      <c r="D954" s="5" t="s">
        <v>13</v>
      </c>
      <c r="E954" s="6">
        <v>1506</v>
      </c>
      <c r="F954" s="5" t="str">
        <f>HYPERLINK("https://www.google.com/maps/search/?api=1&amp;query=24.74253944,46.68709447", "View Map")</f>
        <v>View Map</v>
      </c>
    </row>
    <row r="955" spans="1:6" x14ac:dyDescent="0.35">
      <c r="A955" s="4" t="s">
        <v>6625</v>
      </c>
      <c r="B955" s="5" t="s">
        <v>3388</v>
      </c>
      <c r="C955" s="5" t="s">
        <v>1776</v>
      </c>
      <c r="D955" s="5" t="s">
        <v>13</v>
      </c>
      <c r="E955" s="6">
        <v>1503</v>
      </c>
      <c r="F955" s="5" t="str">
        <f>HYPERLINK("https://www.google.com/maps/search/?api=1&amp;query=24.73394748,46.76699091", "View Map")</f>
        <v>View Map</v>
      </c>
    </row>
    <row r="956" spans="1:6" x14ac:dyDescent="0.35">
      <c r="A956" s="4" t="s">
        <v>6626</v>
      </c>
      <c r="B956" s="5" t="s">
        <v>3390</v>
      </c>
      <c r="C956" s="5" t="s">
        <v>1776</v>
      </c>
      <c r="D956" s="5" t="s">
        <v>13</v>
      </c>
      <c r="E956" s="6">
        <v>1502</v>
      </c>
      <c r="F956" s="5" t="str">
        <f>HYPERLINK("https://www.google.com/maps/search/?api=1&amp;query=24.6896367,46.76720152", "View Map")</f>
        <v>View Map</v>
      </c>
    </row>
    <row r="957" spans="1:6" x14ac:dyDescent="0.35">
      <c r="A957" s="4" t="s">
        <v>6432</v>
      </c>
      <c r="B957" s="5" t="s">
        <v>3391</v>
      </c>
      <c r="C957" s="5" t="s">
        <v>1776</v>
      </c>
      <c r="D957" s="5" t="s">
        <v>13</v>
      </c>
      <c r="E957" s="6">
        <v>1501</v>
      </c>
      <c r="F957" s="5" t="str">
        <f>HYPERLINK("https://www.google.com/maps/search/?api=1&amp;query=24.74676686,46.77699915", "View Map")</f>
        <v>View Map</v>
      </c>
    </row>
    <row r="958" spans="1:6" x14ac:dyDescent="0.35">
      <c r="A958" s="4" t="s">
        <v>6039</v>
      </c>
      <c r="B958" s="5" t="s">
        <v>3392</v>
      </c>
      <c r="C958" s="5" t="s">
        <v>1776</v>
      </c>
      <c r="D958" s="5" t="s">
        <v>9</v>
      </c>
      <c r="E958" s="6">
        <v>1498</v>
      </c>
      <c r="F958" s="5" t="str">
        <f>HYPERLINK("https://www.google.com/maps/search/?api=1&amp;query=24.5736,46.5356", "View Map")</f>
        <v>View Map</v>
      </c>
    </row>
    <row r="959" spans="1:6" x14ac:dyDescent="0.35">
      <c r="A959" s="4" t="s">
        <v>6627</v>
      </c>
      <c r="B959" s="5" t="s">
        <v>3394</v>
      </c>
      <c r="C959" s="5" t="s">
        <v>1776</v>
      </c>
      <c r="D959" s="5" t="s">
        <v>13</v>
      </c>
      <c r="E959" s="6">
        <v>1498</v>
      </c>
      <c r="F959" s="5" t="str">
        <f>HYPERLINK("https://www.google.com/maps/search/?api=1&amp;query=24.69494106,46.78543914", "View Map")</f>
        <v>View Map</v>
      </c>
    </row>
    <row r="960" spans="1:6" x14ac:dyDescent="0.35">
      <c r="A960" s="4" t="s">
        <v>6628</v>
      </c>
      <c r="B960" s="5" t="s">
        <v>3396</v>
      </c>
      <c r="C960" s="5" t="s">
        <v>1776</v>
      </c>
      <c r="D960" s="5" t="s">
        <v>13</v>
      </c>
      <c r="E960" s="6">
        <v>1498</v>
      </c>
      <c r="F960" s="5" t="str">
        <f>HYPERLINK("https://www.google.com/maps/search/?api=1&amp;query=24.7912034,46.68409053", "View Map")</f>
        <v>View Map</v>
      </c>
    </row>
    <row r="961" spans="1:6" x14ac:dyDescent="0.35">
      <c r="A961" s="4" t="s">
        <v>6629</v>
      </c>
      <c r="B961" s="5" t="s">
        <v>3398</v>
      </c>
      <c r="C961" s="5" t="s">
        <v>1776</v>
      </c>
      <c r="D961" s="5" t="s">
        <v>13</v>
      </c>
      <c r="E961" s="6">
        <v>1497</v>
      </c>
      <c r="F961" s="5" t="str">
        <f>HYPERLINK("https://www.google.com/maps/search/?api=1&amp;query=24.76962761,46.76587473", "View Map")</f>
        <v>View Map</v>
      </c>
    </row>
    <row r="962" spans="1:6" x14ac:dyDescent="0.35">
      <c r="A962" s="4" t="s">
        <v>6630</v>
      </c>
      <c r="B962" s="5" t="s">
        <v>3400</v>
      </c>
      <c r="C962" s="5" t="s">
        <v>1776</v>
      </c>
      <c r="D962" s="5" t="s">
        <v>13</v>
      </c>
      <c r="E962" s="6">
        <v>1496</v>
      </c>
      <c r="F962" s="5" t="str">
        <f>HYPERLINK("https://www.google.com/maps/search/?api=1&amp;query=24.56863421,46.80182417", "View Map")</f>
        <v>View Map</v>
      </c>
    </row>
    <row r="963" spans="1:6" x14ac:dyDescent="0.35">
      <c r="A963" s="4" t="s">
        <v>5972</v>
      </c>
      <c r="B963" s="5" t="s">
        <v>3401</v>
      </c>
      <c r="C963" s="5" t="s">
        <v>1776</v>
      </c>
      <c r="D963" s="5" t="s">
        <v>13</v>
      </c>
      <c r="E963" s="6">
        <v>1496</v>
      </c>
      <c r="F963" s="5" t="str">
        <f>HYPERLINK("https://www.google.com/maps/search/?api=1&amp;query=24.82283085,46.59988485", "View Map")</f>
        <v>View Map</v>
      </c>
    </row>
    <row r="964" spans="1:6" x14ac:dyDescent="0.35">
      <c r="A964" s="4" t="s">
        <v>5974</v>
      </c>
      <c r="B964" s="5" t="s">
        <v>3402</v>
      </c>
      <c r="C964" s="5" t="s">
        <v>1776</v>
      </c>
      <c r="D964" s="5" t="s">
        <v>13</v>
      </c>
      <c r="E964" s="6">
        <v>1496</v>
      </c>
      <c r="F964" s="5" t="str">
        <f>HYPERLINK("https://www.google.com/maps/search/?api=1&amp;query=24.64724593,46.49726664", "View Map")</f>
        <v>View Map</v>
      </c>
    </row>
    <row r="965" spans="1:6" x14ac:dyDescent="0.35">
      <c r="A965" s="4" t="s">
        <v>6162</v>
      </c>
      <c r="B965" s="5" t="s">
        <v>3403</v>
      </c>
      <c r="C965" s="5" t="s">
        <v>1776</v>
      </c>
      <c r="D965" s="5" t="s">
        <v>13</v>
      </c>
      <c r="E965" s="6">
        <v>1495</v>
      </c>
      <c r="F965" s="5" t="str">
        <f>HYPERLINK("https://www.google.com/maps/search/?api=1&amp;query=24.71234783,46.77045046", "View Map")</f>
        <v>View Map</v>
      </c>
    </row>
    <row r="966" spans="1:6" x14ac:dyDescent="0.35">
      <c r="A966" s="4" t="s">
        <v>6631</v>
      </c>
      <c r="B966" s="5" t="s">
        <v>3405</v>
      </c>
      <c r="C966" s="5" t="s">
        <v>1776</v>
      </c>
      <c r="D966" s="5" t="s">
        <v>13</v>
      </c>
      <c r="E966" s="6">
        <v>1493</v>
      </c>
      <c r="F966" s="5" t="str">
        <f>HYPERLINK("https://www.google.com/maps/search/?api=1&amp;query=24.6907496,46.79423356", "View Map")</f>
        <v>View Map</v>
      </c>
    </row>
    <row r="967" spans="1:6" x14ac:dyDescent="0.35">
      <c r="A967" s="4" t="s">
        <v>6632</v>
      </c>
      <c r="B967" s="5" t="s">
        <v>3407</v>
      </c>
      <c r="C967" s="5" t="s">
        <v>1776</v>
      </c>
      <c r="D967" s="5" t="s">
        <v>13</v>
      </c>
      <c r="E967" s="6">
        <v>1492</v>
      </c>
      <c r="F967" s="5" t="str">
        <f>HYPERLINK("https://www.google.com/maps/search/?api=1&amp;query=24.6269,46.6867", "View Map")</f>
        <v>View Map</v>
      </c>
    </row>
    <row r="968" spans="1:6" x14ac:dyDescent="0.35">
      <c r="A968" s="4" t="s">
        <v>6633</v>
      </c>
      <c r="B968" s="5" t="s">
        <v>3409</v>
      </c>
      <c r="C968" s="5" t="s">
        <v>1776</v>
      </c>
      <c r="D968" s="5" t="s">
        <v>13</v>
      </c>
      <c r="E968" s="6">
        <v>1492</v>
      </c>
      <c r="F968" s="5" t="str">
        <f>HYPERLINK("https://www.google.com/maps/search/?api=1&amp;query=24.7328067,46.82586604", "View Map")</f>
        <v>View Map</v>
      </c>
    </row>
    <row r="969" spans="1:6" x14ac:dyDescent="0.35">
      <c r="A969" s="4" t="s">
        <v>6634</v>
      </c>
      <c r="B969" s="5" t="s">
        <v>3411</v>
      </c>
      <c r="C969" s="5" t="s">
        <v>1776</v>
      </c>
      <c r="D969" s="5" t="s">
        <v>13</v>
      </c>
      <c r="E969" s="6">
        <v>1489</v>
      </c>
      <c r="F969" s="5" t="str">
        <f>HYPERLINK("https://www.google.com/maps/search/?api=1&amp;query=24.58434024,46.63381265", "View Map")</f>
        <v>View Map</v>
      </c>
    </row>
    <row r="970" spans="1:6" x14ac:dyDescent="0.35">
      <c r="A970" s="4" t="s">
        <v>6635</v>
      </c>
      <c r="B970" s="5" t="s">
        <v>3413</v>
      </c>
      <c r="C970" s="5" t="s">
        <v>1843</v>
      </c>
      <c r="D970" s="5" t="s">
        <v>13</v>
      </c>
      <c r="E970" s="6">
        <v>1487</v>
      </c>
      <c r="F970" s="5" t="str">
        <f>HYPERLINK("https://www.google.com/maps/search/?api=1&amp;query=24.90454,46.38851", "View Map")</f>
        <v>View Map</v>
      </c>
    </row>
    <row r="971" spans="1:6" x14ac:dyDescent="0.35">
      <c r="A971" s="4" t="s">
        <v>5974</v>
      </c>
      <c r="B971" s="5" t="s">
        <v>3414</v>
      </c>
      <c r="C971" s="5" t="s">
        <v>1776</v>
      </c>
      <c r="D971" s="5" t="s">
        <v>13</v>
      </c>
      <c r="E971" s="6">
        <v>1487</v>
      </c>
      <c r="F971" s="5" t="str">
        <f>HYPERLINK("https://www.google.com/maps/search/?api=1&amp;query=24.59832019,46.77224332", "View Map")</f>
        <v>View Map</v>
      </c>
    </row>
    <row r="972" spans="1:6" x14ac:dyDescent="0.35">
      <c r="A972" s="4" t="s">
        <v>6636</v>
      </c>
      <c r="B972" s="5" t="s">
        <v>3416</v>
      </c>
      <c r="C972" s="5" t="s">
        <v>1776</v>
      </c>
      <c r="D972" s="5" t="s">
        <v>13</v>
      </c>
      <c r="E972" s="6">
        <v>1486</v>
      </c>
      <c r="F972" s="5" t="str">
        <f>HYPERLINK("https://www.google.com/maps/search/?api=1&amp;query=24.7248084,46.80294878", "View Map")</f>
        <v>View Map</v>
      </c>
    </row>
    <row r="973" spans="1:6" x14ac:dyDescent="0.35">
      <c r="A973" s="4" t="s">
        <v>6637</v>
      </c>
      <c r="B973" s="5" t="s">
        <v>3418</v>
      </c>
      <c r="C973" s="5" t="s">
        <v>1776</v>
      </c>
      <c r="D973" s="5" t="s">
        <v>13</v>
      </c>
      <c r="E973" s="6">
        <v>1485</v>
      </c>
      <c r="F973" s="5" t="str">
        <f>HYPERLINK("https://www.google.com/maps/search/?api=1&amp;query=24.7644474,46.67268185", "View Map")</f>
        <v>View Map</v>
      </c>
    </row>
    <row r="974" spans="1:6" x14ac:dyDescent="0.35">
      <c r="A974" s="4" t="s">
        <v>6638</v>
      </c>
      <c r="B974" s="5" t="s">
        <v>3420</v>
      </c>
      <c r="C974" s="5" t="s">
        <v>1776</v>
      </c>
      <c r="D974" s="5" t="s">
        <v>13</v>
      </c>
      <c r="E974" s="6">
        <v>1484</v>
      </c>
      <c r="F974" s="5" t="str">
        <f>HYPERLINK("https://www.google.com/maps/search/?api=1&amp;query=24.63137862,46.57013132", "View Map")</f>
        <v>View Map</v>
      </c>
    </row>
    <row r="975" spans="1:6" x14ac:dyDescent="0.35">
      <c r="A975" s="4" t="s">
        <v>6639</v>
      </c>
      <c r="B975" s="5" t="s">
        <v>3422</v>
      </c>
      <c r="C975" s="5" t="s">
        <v>1776</v>
      </c>
      <c r="D975" s="5" t="s">
        <v>13</v>
      </c>
      <c r="E975" s="6">
        <v>1484</v>
      </c>
      <c r="F975" s="5" t="str">
        <f>HYPERLINK("https://www.google.com/maps/search/?api=1&amp;query=24.720383,46.767455", "View Map")</f>
        <v>View Map</v>
      </c>
    </row>
    <row r="976" spans="1:6" x14ac:dyDescent="0.35">
      <c r="A976" s="4" t="s">
        <v>6640</v>
      </c>
      <c r="B976" s="5" t="s">
        <v>3424</v>
      </c>
      <c r="C976" s="5" t="s">
        <v>1843</v>
      </c>
      <c r="D976" s="5" t="s">
        <v>13</v>
      </c>
      <c r="E976" s="6">
        <v>1483</v>
      </c>
      <c r="F976" s="5" t="str">
        <f>HYPERLINK("https://www.google.com/maps/search/?api=1&amp;query=24.7567641,46.5746134", "View Map")</f>
        <v>View Map</v>
      </c>
    </row>
    <row r="977" spans="1:6" x14ac:dyDescent="0.35">
      <c r="A977" s="4" t="s">
        <v>6641</v>
      </c>
      <c r="B977" s="5" t="s">
        <v>3426</v>
      </c>
      <c r="C977" s="5" t="s">
        <v>1776</v>
      </c>
      <c r="D977" s="5" t="s">
        <v>13</v>
      </c>
      <c r="E977" s="6">
        <v>1483</v>
      </c>
      <c r="F977" s="5" t="str">
        <f>HYPERLINK("https://www.google.com/maps/search/?api=1&amp;query=24.66404451,46.78965257", "View Map")</f>
        <v>View Map</v>
      </c>
    </row>
    <row r="978" spans="1:6" x14ac:dyDescent="0.35">
      <c r="A978" s="4" t="s">
        <v>6642</v>
      </c>
      <c r="B978" s="5" t="s">
        <v>3428</v>
      </c>
      <c r="C978" s="5" t="s">
        <v>1776</v>
      </c>
      <c r="D978" s="5" t="s">
        <v>13</v>
      </c>
      <c r="E978" s="6">
        <v>1481</v>
      </c>
      <c r="F978" s="5" t="str">
        <f>HYPERLINK("https://www.google.com/maps/search/?api=1&amp;query=24.65742346,46.72664967", "View Map")</f>
        <v>View Map</v>
      </c>
    </row>
    <row r="979" spans="1:6" x14ac:dyDescent="0.35">
      <c r="A979" s="4" t="s">
        <v>6643</v>
      </c>
      <c r="B979" s="5" t="s">
        <v>3430</v>
      </c>
      <c r="C979" s="5" t="s">
        <v>1776</v>
      </c>
      <c r="D979" s="5" t="s">
        <v>13</v>
      </c>
      <c r="E979" s="6">
        <v>1481</v>
      </c>
      <c r="F979" s="5" t="str">
        <f>HYPERLINK("https://www.google.com/maps/search/?api=1&amp;query=24.66192178,46.79476876", "View Map")</f>
        <v>View Map</v>
      </c>
    </row>
    <row r="980" spans="1:6" x14ac:dyDescent="0.35">
      <c r="A980" s="4" t="s">
        <v>6644</v>
      </c>
      <c r="B980" s="5" t="s">
        <v>3432</v>
      </c>
      <c r="C980" s="5" t="s">
        <v>1776</v>
      </c>
      <c r="D980" s="5" t="s">
        <v>13</v>
      </c>
      <c r="E980" s="6">
        <v>1480</v>
      </c>
      <c r="F980" s="5" t="str">
        <f>HYPERLINK("https://www.google.com/maps/search/?api=1&amp;query=24.56846012,46.76360115", "View Map")</f>
        <v>View Map</v>
      </c>
    </row>
    <row r="981" spans="1:6" x14ac:dyDescent="0.35">
      <c r="A981" s="4" t="s">
        <v>6645</v>
      </c>
      <c r="B981" s="5" t="s">
        <v>3434</v>
      </c>
      <c r="C981" s="5" t="s">
        <v>1776</v>
      </c>
      <c r="D981" s="5" t="s">
        <v>13</v>
      </c>
      <c r="E981" s="6">
        <v>1479</v>
      </c>
      <c r="F981" s="5" t="str">
        <f>HYPERLINK("https://www.google.com/maps/search/?api=1&amp;query=24.6388695,46.79192884", "View Map")</f>
        <v>View Map</v>
      </c>
    </row>
    <row r="982" spans="1:6" x14ac:dyDescent="0.35">
      <c r="A982" s="4" t="s">
        <v>6262</v>
      </c>
      <c r="B982" s="5" t="s">
        <v>3435</v>
      </c>
      <c r="C982" s="5" t="s">
        <v>1776</v>
      </c>
      <c r="D982" s="5" t="s">
        <v>13</v>
      </c>
      <c r="E982" s="6">
        <v>1479</v>
      </c>
      <c r="F982" s="5" t="str">
        <f>HYPERLINK("https://www.google.com/maps/search/?api=1&amp;query=24.75684631,46.65556172", "View Map")</f>
        <v>View Map</v>
      </c>
    </row>
    <row r="983" spans="1:6" x14ac:dyDescent="0.35">
      <c r="A983" s="4" t="s">
        <v>6646</v>
      </c>
      <c r="B983" s="5" t="s">
        <v>3437</v>
      </c>
      <c r="C983" s="5" t="s">
        <v>1776</v>
      </c>
      <c r="D983" s="5" t="s">
        <v>13</v>
      </c>
      <c r="E983" s="6">
        <v>1477</v>
      </c>
      <c r="F983" s="5" t="str">
        <f>HYPERLINK("https://www.google.com/maps/search/?api=1&amp;query=24.76235781,46.70546629", "View Map")</f>
        <v>View Map</v>
      </c>
    </row>
    <row r="984" spans="1:6" x14ac:dyDescent="0.35">
      <c r="A984" s="4" t="s">
        <v>6647</v>
      </c>
      <c r="B984" s="5" t="s">
        <v>3439</v>
      </c>
      <c r="C984" s="5" t="s">
        <v>1776</v>
      </c>
      <c r="D984" s="5" t="s">
        <v>13</v>
      </c>
      <c r="E984" s="6">
        <v>1476</v>
      </c>
      <c r="F984" s="5" t="str">
        <f>HYPERLINK("https://www.google.com/maps/search/?api=1&amp;query=24.56681704,46.68363232", "View Map")</f>
        <v>View Map</v>
      </c>
    </row>
    <row r="985" spans="1:6" x14ac:dyDescent="0.35">
      <c r="A985" s="4" t="s">
        <v>5978</v>
      </c>
      <c r="B985" s="5" t="s">
        <v>3440</v>
      </c>
      <c r="C985" s="5" t="s">
        <v>1776</v>
      </c>
      <c r="D985" s="5" t="s">
        <v>13</v>
      </c>
      <c r="E985" s="6">
        <v>1474</v>
      </c>
      <c r="F985" s="5" t="str">
        <f>HYPERLINK("https://www.google.com/maps/search/?api=1&amp;query=24.68923446,46.57416266", "View Map")</f>
        <v>View Map</v>
      </c>
    </row>
    <row r="986" spans="1:6" x14ac:dyDescent="0.35">
      <c r="A986" s="4" t="s">
        <v>6648</v>
      </c>
      <c r="B986" s="5" t="s">
        <v>3442</v>
      </c>
      <c r="C986" s="5" t="s">
        <v>1776</v>
      </c>
      <c r="D986" s="5" t="s">
        <v>13</v>
      </c>
      <c r="E986" s="6">
        <v>1473</v>
      </c>
      <c r="F986" s="5" t="str">
        <f>HYPERLINK("https://www.google.com/maps/search/?api=1&amp;query=24.59675519,46.77607832", "View Map")</f>
        <v>View Map</v>
      </c>
    </row>
    <row r="987" spans="1:6" x14ac:dyDescent="0.35">
      <c r="A987" s="4" t="s">
        <v>6349</v>
      </c>
      <c r="B987" s="5" t="s">
        <v>3443</v>
      </c>
      <c r="C987" s="5" t="s">
        <v>1776</v>
      </c>
      <c r="D987" s="5" t="s">
        <v>13</v>
      </c>
      <c r="E987" s="6">
        <v>1473</v>
      </c>
      <c r="F987" s="5" t="str">
        <f>HYPERLINK("https://www.google.com/maps/search/?api=1&amp;query=24.73369854,46.78811198", "View Map")</f>
        <v>View Map</v>
      </c>
    </row>
    <row r="988" spans="1:6" x14ac:dyDescent="0.35">
      <c r="A988" s="4" t="s">
        <v>5974</v>
      </c>
      <c r="B988" s="5" t="s">
        <v>3444</v>
      </c>
      <c r="C988" s="5" t="s">
        <v>1776</v>
      </c>
      <c r="D988" s="5" t="s">
        <v>13</v>
      </c>
      <c r="E988" s="6">
        <v>1472</v>
      </c>
      <c r="F988" s="5" t="str">
        <f>HYPERLINK("https://www.google.com/maps/search/?api=1&amp;query=24.62140919,46.51406057", "View Map")</f>
        <v>View Map</v>
      </c>
    </row>
    <row r="989" spans="1:6" x14ac:dyDescent="0.35">
      <c r="A989" s="4" t="s">
        <v>6649</v>
      </c>
      <c r="B989" s="5" t="s">
        <v>3446</v>
      </c>
      <c r="C989" s="5" t="s">
        <v>1776</v>
      </c>
      <c r="D989" s="5" t="s">
        <v>13</v>
      </c>
      <c r="E989" s="6">
        <v>1472</v>
      </c>
      <c r="F989" s="5" t="str">
        <f>HYPERLINK("https://www.google.com/maps/search/?api=1&amp;query=24.68146447,46.72423429", "View Map")</f>
        <v>View Map</v>
      </c>
    </row>
    <row r="990" spans="1:6" x14ac:dyDescent="0.35">
      <c r="A990" s="4" t="s">
        <v>6650</v>
      </c>
      <c r="B990" s="5" t="s">
        <v>3448</v>
      </c>
      <c r="C990" s="5" t="s">
        <v>1776</v>
      </c>
      <c r="D990" s="5" t="s">
        <v>13</v>
      </c>
      <c r="E990" s="6">
        <v>1472</v>
      </c>
      <c r="F990" s="5" t="str">
        <f>HYPERLINK("https://www.google.com/maps/search/?api=1&amp;query=24.50393854,46.62759254", "View Map")</f>
        <v>View Map</v>
      </c>
    </row>
    <row r="991" spans="1:6" x14ac:dyDescent="0.35">
      <c r="A991" s="4" t="s">
        <v>6651</v>
      </c>
      <c r="B991" s="5" t="s">
        <v>3450</v>
      </c>
      <c r="C991" s="5" t="s">
        <v>1776</v>
      </c>
      <c r="D991" s="5" t="s">
        <v>13</v>
      </c>
      <c r="E991" s="6">
        <v>1472</v>
      </c>
      <c r="F991" s="5" t="str">
        <f>HYPERLINK("https://www.google.com/maps/search/?api=1&amp;query=24.71509161,46.78822783", "View Map")</f>
        <v>View Map</v>
      </c>
    </row>
    <row r="992" spans="1:6" x14ac:dyDescent="0.35">
      <c r="A992" s="4" t="s">
        <v>6134</v>
      </c>
      <c r="B992" s="5" t="s">
        <v>3451</v>
      </c>
      <c r="C992" s="5" t="s">
        <v>1776</v>
      </c>
      <c r="D992" s="5" t="s">
        <v>13</v>
      </c>
      <c r="E992" s="6">
        <v>1471</v>
      </c>
      <c r="F992" s="5" t="str">
        <f>HYPERLINK("https://www.google.com/maps/search/?api=1&amp;query=24.62884491,46.5406288", "View Map")</f>
        <v>View Map</v>
      </c>
    </row>
    <row r="993" spans="1:6" x14ac:dyDescent="0.35">
      <c r="A993" s="4" t="s">
        <v>6166</v>
      </c>
      <c r="B993" s="5" t="s">
        <v>3452</v>
      </c>
      <c r="C993" s="5" t="s">
        <v>1776</v>
      </c>
      <c r="D993" s="5" t="s">
        <v>13</v>
      </c>
      <c r="E993" s="6">
        <v>1469</v>
      </c>
      <c r="F993" s="5" t="str">
        <f>HYPERLINK("https://www.google.com/maps/search/?api=1&amp;query=24.71878225,46.7552068", "View Map")</f>
        <v>View Map</v>
      </c>
    </row>
    <row r="994" spans="1:6" x14ac:dyDescent="0.35">
      <c r="A994" s="4" t="s">
        <v>6652</v>
      </c>
      <c r="B994" s="5" t="s">
        <v>3454</v>
      </c>
      <c r="C994" s="5" t="s">
        <v>1776</v>
      </c>
      <c r="D994" s="5" t="s">
        <v>13</v>
      </c>
      <c r="E994" s="6">
        <v>1467</v>
      </c>
      <c r="F994" s="5" t="str">
        <f>HYPERLINK("https://www.google.com/maps/search/?api=1&amp;query=24.78786,46.75252646", "View Map")</f>
        <v>View Map</v>
      </c>
    </row>
    <row r="995" spans="1:6" x14ac:dyDescent="0.35">
      <c r="A995" s="4" t="s">
        <v>6653</v>
      </c>
      <c r="B995" s="5" t="s">
        <v>3456</v>
      </c>
      <c r="C995" s="5" t="s">
        <v>1776</v>
      </c>
      <c r="D995" s="5" t="s">
        <v>13</v>
      </c>
      <c r="E995" s="6">
        <v>1465</v>
      </c>
      <c r="F995" s="5" t="str">
        <f>HYPERLINK("https://www.google.com/maps/search/?api=1&amp;query=24.61892393,46.65474334", "View Map")</f>
        <v>View Map</v>
      </c>
    </row>
    <row r="996" spans="1:6" x14ac:dyDescent="0.35">
      <c r="A996" s="4" t="s">
        <v>6654</v>
      </c>
      <c r="B996" s="5" t="s">
        <v>3458</v>
      </c>
      <c r="C996" s="5" t="s">
        <v>1843</v>
      </c>
      <c r="D996" s="5" t="s">
        <v>13</v>
      </c>
      <c r="E996" s="6">
        <v>1465</v>
      </c>
      <c r="F996" s="5" t="str">
        <f>HYPERLINK("https://www.google.com/maps/search/?api=1&amp;query=24.75831558,46.57840631", "View Map")</f>
        <v>View Map</v>
      </c>
    </row>
    <row r="997" spans="1:6" x14ac:dyDescent="0.35">
      <c r="A997" s="4" t="s">
        <v>6655</v>
      </c>
      <c r="B997" s="5" t="s">
        <v>3460</v>
      </c>
      <c r="C997" s="5" t="s">
        <v>1776</v>
      </c>
      <c r="D997" s="5" t="s">
        <v>13</v>
      </c>
      <c r="E997" s="6">
        <v>1463</v>
      </c>
      <c r="F997" s="5" t="str">
        <f>HYPERLINK("https://www.google.com/maps/search/?api=1&amp;query=24.59554867,46.67081579", "View Map")</f>
        <v>View Map</v>
      </c>
    </row>
    <row r="998" spans="1:6" x14ac:dyDescent="0.35">
      <c r="A998" s="4" t="s">
        <v>6656</v>
      </c>
      <c r="B998" s="5" t="s">
        <v>3462</v>
      </c>
      <c r="C998" s="5" t="s">
        <v>1776</v>
      </c>
      <c r="D998" s="5" t="s">
        <v>13</v>
      </c>
      <c r="E998" s="6">
        <v>1463</v>
      </c>
      <c r="F998" s="5" t="str">
        <f>HYPERLINK("https://www.google.com/maps/search/?api=1&amp;query=24.70087307,46.79353336", "View Map")</f>
        <v>View Map</v>
      </c>
    </row>
    <row r="999" spans="1:6" x14ac:dyDescent="0.35">
      <c r="A999" s="4" t="s">
        <v>6657</v>
      </c>
      <c r="B999" s="5" t="s">
        <v>3464</v>
      </c>
      <c r="C999" s="5" t="s">
        <v>1776</v>
      </c>
      <c r="D999" s="5" t="s">
        <v>13</v>
      </c>
      <c r="E999" s="6">
        <v>1463</v>
      </c>
      <c r="F999" s="5" t="str">
        <f>HYPERLINK("https://www.google.com/maps/search/?api=1&amp;query=24.76462421,46.74507395", "View Map")</f>
        <v>View Map</v>
      </c>
    </row>
    <row r="1000" spans="1:6" x14ac:dyDescent="0.35">
      <c r="A1000" s="4" t="s">
        <v>6225</v>
      </c>
      <c r="B1000" s="5" t="s">
        <v>3465</v>
      </c>
      <c r="C1000" s="5" t="s">
        <v>1776</v>
      </c>
      <c r="D1000" s="5" t="s">
        <v>13</v>
      </c>
      <c r="E1000" s="6">
        <v>1462</v>
      </c>
      <c r="F1000" s="5" t="str">
        <f>HYPERLINK("https://www.google.com/maps/search/?api=1&amp;query=24.61662277,46.75131974", "View Map")</f>
        <v>View Map</v>
      </c>
    </row>
    <row r="1001" spans="1:6" x14ac:dyDescent="0.35">
      <c r="A1001" s="4" t="s">
        <v>6658</v>
      </c>
      <c r="B1001" s="5" t="s">
        <v>3467</v>
      </c>
      <c r="C1001" s="5" t="s">
        <v>1776</v>
      </c>
      <c r="D1001" s="5" t="s">
        <v>13</v>
      </c>
      <c r="E1001" s="6">
        <v>1462</v>
      </c>
      <c r="F1001" s="5" t="str">
        <f>HYPERLINK("https://www.google.com/maps/search/?api=1&amp;query=24.74786077,46.64960265", "View Map")</f>
        <v>View Map</v>
      </c>
    </row>
    <row r="1002" spans="1:6" x14ac:dyDescent="0.35">
      <c r="A1002" s="4" t="s">
        <v>6039</v>
      </c>
      <c r="B1002" s="5" t="s">
        <v>3468</v>
      </c>
      <c r="C1002" s="5" t="s">
        <v>1843</v>
      </c>
      <c r="D1002" s="5" t="s">
        <v>13</v>
      </c>
      <c r="E1002" s="6">
        <v>1460</v>
      </c>
      <c r="F1002" s="5" t="str">
        <f>HYPERLINK("https://www.google.com/maps/search/?api=1&amp;query=24.90602576,46.42934811", "View Map")</f>
        <v>View Map</v>
      </c>
    </row>
    <row r="1003" spans="1:6" x14ac:dyDescent="0.35">
      <c r="A1003" s="4" t="s">
        <v>6659</v>
      </c>
      <c r="B1003" s="5" t="s">
        <v>3470</v>
      </c>
      <c r="C1003" s="5" t="s">
        <v>1776</v>
      </c>
      <c r="D1003" s="5" t="s">
        <v>13</v>
      </c>
      <c r="E1003" s="6">
        <v>1460</v>
      </c>
      <c r="F1003" s="5" t="str">
        <f>HYPERLINK("https://www.google.com/maps/search/?api=1&amp;query=24.62056377,46.54295943", "View Map")</f>
        <v>View Map</v>
      </c>
    </row>
    <row r="1004" spans="1:6" x14ac:dyDescent="0.35">
      <c r="A1004" s="4" t="s">
        <v>5974</v>
      </c>
      <c r="B1004" s="5" t="s">
        <v>3471</v>
      </c>
      <c r="C1004" s="5" t="s">
        <v>1776</v>
      </c>
      <c r="D1004" s="5" t="s">
        <v>13</v>
      </c>
      <c r="E1004" s="6">
        <v>1457</v>
      </c>
      <c r="F1004" s="5" t="str">
        <f>HYPERLINK("https://www.google.com/maps/search/?api=1&amp;query=24.87142205,46.62866069", "View Map")</f>
        <v>View Map</v>
      </c>
    </row>
    <row r="1005" spans="1:6" x14ac:dyDescent="0.35">
      <c r="A1005" s="4" t="s">
        <v>6660</v>
      </c>
      <c r="B1005" s="5" t="s">
        <v>3473</v>
      </c>
      <c r="C1005" s="5" t="s">
        <v>1776</v>
      </c>
      <c r="D1005" s="5" t="s">
        <v>13</v>
      </c>
      <c r="E1005" s="6">
        <v>1456</v>
      </c>
      <c r="F1005" s="5" t="str">
        <f>HYPERLINK("https://www.google.com/maps/search/?api=1&amp;query=24.58844824,46.68656278", "View Map")</f>
        <v>View Map</v>
      </c>
    </row>
    <row r="1006" spans="1:6" x14ac:dyDescent="0.35">
      <c r="A1006" s="4" t="s">
        <v>6661</v>
      </c>
      <c r="B1006" s="5" t="s">
        <v>3475</v>
      </c>
      <c r="C1006" s="5" t="s">
        <v>1776</v>
      </c>
      <c r="D1006" s="5" t="s">
        <v>9</v>
      </c>
      <c r="E1006" s="6">
        <v>1456</v>
      </c>
      <c r="F1006" s="5" t="str">
        <f>HYPERLINK("https://www.google.com/maps/search/?api=1&amp;query=24.7786849,46.77117956", "View Map")</f>
        <v>View Map</v>
      </c>
    </row>
    <row r="1007" spans="1:6" x14ac:dyDescent="0.35">
      <c r="A1007" s="4" t="s">
        <v>6662</v>
      </c>
      <c r="B1007" s="5" t="s">
        <v>3477</v>
      </c>
      <c r="C1007" s="5" t="s">
        <v>1776</v>
      </c>
      <c r="D1007" s="5" t="s">
        <v>13</v>
      </c>
      <c r="E1007" s="6">
        <v>1455</v>
      </c>
      <c r="F1007" s="5" t="str">
        <f>HYPERLINK("https://www.google.com/maps/search/?api=1&amp;query=24.53702639,46.65281047", "View Map")</f>
        <v>View Map</v>
      </c>
    </row>
    <row r="1008" spans="1:6" x14ac:dyDescent="0.35">
      <c r="A1008" s="4" t="s">
        <v>6663</v>
      </c>
      <c r="B1008" s="5" t="s">
        <v>3479</v>
      </c>
      <c r="C1008" s="5" t="s">
        <v>1776</v>
      </c>
      <c r="D1008" s="5" t="s">
        <v>13</v>
      </c>
      <c r="E1008" s="6">
        <v>1454</v>
      </c>
      <c r="F1008" s="5" t="str">
        <f>HYPERLINK("https://www.google.com/maps/search/?api=1&amp;query=24.81616492,46.64085398", "View Map")</f>
        <v>View Map</v>
      </c>
    </row>
    <row r="1009" spans="1:6" x14ac:dyDescent="0.35">
      <c r="A1009" s="4" t="s">
        <v>6664</v>
      </c>
      <c r="B1009" s="5" t="s">
        <v>3481</v>
      </c>
      <c r="C1009" s="5" t="s">
        <v>1776</v>
      </c>
      <c r="D1009" s="5" t="s">
        <v>13</v>
      </c>
      <c r="E1009" s="6">
        <v>1453</v>
      </c>
      <c r="F1009" s="5" t="str">
        <f>HYPERLINK("https://www.google.com/maps/search/?api=1&amp;query=24.77974236,46.79705114", "View Map")</f>
        <v>View Map</v>
      </c>
    </row>
    <row r="1010" spans="1:6" x14ac:dyDescent="0.35">
      <c r="A1010" s="4" t="s">
        <v>6665</v>
      </c>
      <c r="B1010" s="5" t="s">
        <v>3483</v>
      </c>
      <c r="C1010" s="5" t="s">
        <v>1776</v>
      </c>
      <c r="D1010" s="5" t="s">
        <v>13</v>
      </c>
      <c r="E1010" s="6">
        <v>1453</v>
      </c>
      <c r="F1010" s="5" t="str">
        <f>HYPERLINK("https://www.google.com/maps/search/?api=1&amp;query=24.78347449,46.75415077", "View Map")</f>
        <v>View Map</v>
      </c>
    </row>
    <row r="1011" spans="1:6" x14ac:dyDescent="0.35">
      <c r="A1011" s="4" t="s">
        <v>6039</v>
      </c>
      <c r="B1011" s="5" t="s">
        <v>3484</v>
      </c>
      <c r="C1011" s="5" t="s">
        <v>1776</v>
      </c>
      <c r="D1011" s="5" t="s">
        <v>9</v>
      </c>
      <c r="E1011" s="6">
        <v>1452</v>
      </c>
      <c r="F1011" s="5" t="str">
        <f>HYPERLINK("https://www.google.com/maps/search/?api=1&amp;query=24.5575,46.625", "View Map")</f>
        <v>View Map</v>
      </c>
    </row>
    <row r="1012" spans="1:6" x14ac:dyDescent="0.35">
      <c r="A1012" s="4" t="s">
        <v>6666</v>
      </c>
      <c r="B1012" s="5" t="s">
        <v>3486</v>
      </c>
      <c r="C1012" s="5" t="s">
        <v>1776</v>
      </c>
      <c r="D1012" s="5" t="s">
        <v>13</v>
      </c>
      <c r="E1012" s="6">
        <v>1452</v>
      </c>
      <c r="F1012" s="5" t="str">
        <f>HYPERLINK("https://www.google.com/maps/search/?api=1&amp;query=24.69581022,46.64611761", "View Map")</f>
        <v>View Map</v>
      </c>
    </row>
    <row r="1013" spans="1:6" x14ac:dyDescent="0.35">
      <c r="A1013" s="4" t="s">
        <v>6496</v>
      </c>
      <c r="B1013" s="5" t="s">
        <v>3487</v>
      </c>
      <c r="C1013" s="5" t="s">
        <v>1776</v>
      </c>
      <c r="D1013" s="5" t="s">
        <v>13</v>
      </c>
      <c r="E1013" s="6">
        <v>1452</v>
      </c>
      <c r="F1013" s="5" t="str">
        <f>HYPERLINK("https://www.google.com/maps/search/?api=1&amp;query=24.77286418,46.75116341", "View Map")</f>
        <v>View Map</v>
      </c>
    </row>
    <row r="1014" spans="1:6" x14ac:dyDescent="0.35">
      <c r="A1014" s="4" t="s">
        <v>6667</v>
      </c>
      <c r="B1014" s="5" t="s">
        <v>3489</v>
      </c>
      <c r="C1014" s="5" t="s">
        <v>1776</v>
      </c>
      <c r="D1014" s="5" t="s">
        <v>13</v>
      </c>
      <c r="E1014" s="6">
        <v>1452</v>
      </c>
      <c r="F1014" s="5" t="str">
        <f>HYPERLINK("https://www.google.com/maps/search/?api=1&amp;query=24.62408399,46.7153048", "View Map")</f>
        <v>View Map</v>
      </c>
    </row>
    <row r="1015" spans="1:6" x14ac:dyDescent="0.35">
      <c r="A1015" s="4" t="s">
        <v>6668</v>
      </c>
      <c r="B1015" s="5" t="s">
        <v>3491</v>
      </c>
      <c r="C1015" s="5" t="s">
        <v>1776</v>
      </c>
      <c r="D1015" s="5" t="s">
        <v>13</v>
      </c>
      <c r="E1015" s="6">
        <v>1450</v>
      </c>
      <c r="F1015" s="5" t="str">
        <f>HYPERLINK("https://www.google.com/maps/search/?api=1&amp;query=24.81930483,46.79105116", "View Map")</f>
        <v>View Map</v>
      </c>
    </row>
    <row r="1016" spans="1:6" x14ac:dyDescent="0.35">
      <c r="A1016" s="4" t="s">
        <v>6180</v>
      </c>
      <c r="B1016" s="5" t="s">
        <v>3492</v>
      </c>
      <c r="C1016" s="5" t="s">
        <v>1776</v>
      </c>
      <c r="D1016" s="5" t="s">
        <v>13</v>
      </c>
      <c r="E1016" s="6">
        <v>1450</v>
      </c>
      <c r="F1016" s="5" t="str">
        <f>HYPERLINK("https://www.google.com/maps/search/?api=1&amp;query=24.75797935,46.63136185", "View Map")</f>
        <v>View Map</v>
      </c>
    </row>
    <row r="1017" spans="1:6" x14ac:dyDescent="0.35">
      <c r="A1017" s="4" t="s">
        <v>5974</v>
      </c>
      <c r="B1017" s="5" t="s">
        <v>3493</v>
      </c>
      <c r="C1017" s="5" t="s">
        <v>1776</v>
      </c>
      <c r="D1017" s="5" t="s">
        <v>13</v>
      </c>
      <c r="E1017" s="6">
        <v>1449</v>
      </c>
      <c r="F1017" s="5" t="str">
        <f>HYPERLINK("https://www.google.com/maps/search/?api=1&amp;query=24.89167,46.61803", "View Map")</f>
        <v>View Map</v>
      </c>
    </row>
    <row r="1018" spans="1:6" x14ac:dyDescent="0.35">
      <c r="A1018" s="4" t="s">
        <v>6669</v>
      </c>
      <c r="B1018" s="5" t="s">
        <v>3495</v>
      </c>
      <c r="C1018" s="5" t="s">
        <v>1776</v>
      </c>
      <c r="D1018" s="5" t="s">
        <v>13</v>
      </c>
      <c r="E1018" s="6">
        <v>1447</v>
      </c>
      <c r="F1018" s="5" t="str">
        <f>HYPERLINK("https://www.google.com/maps/search/?api=1&amp;query=24.79017132,46.78155278", "View Map")</f>
        <v>View Map</v>
      </c>
    </row>
    <row r="1019" spans="1:6" x14ac:dyDescent="0.35">
      <c r="A1019" s="4" t="s">
        <v>6670</v>
      </c>
      <c r="B1019" s="5" t="s">
        <v>3497</v>
      </c>
      <c r="C1019" s="5" t="s">
        <v>1776</v>
      </c>
      <c r="D1019" s="5" t="s">
        <v>13</v>
      </c>
      <c r="E1019" s="6">
        <v>1446</v>
      </c>
      <c r="F1019" s="5" t="str">
        <f>HYPERLINK("https://www.google.com/maps/search/?api=1&amp;query=24.78343952,46.73346747", "View Map")</f>
        <v>View Map</v>
      </c>
    </row>
    <row r="1020" spans="1:6" x14ac:dyDescent="0.35">
      <c r="A1020" s="4" t="s">
        <v>6671</v>
      </c>
      <c r="B1020" s="5" t="s">
        <v>3499</v>
      </c>
      <c r="C1020" s="5" t="s">
        <v>1776</v>
      </c>
      <c r="D1020" s="5" t="s">
        <v>13</v>
      </c>
      <c r="E1020" s="6">
        <v>1446</v>
      </c>
      <c r="F1020" s="5" t="str">
        <f>HYPERLINK("https://www.google.com/maps/search/?api=1&amp;query=24.69711241,46.78146253", "View Map")</f>
        <v>View Map</v>
      </c>
    </row>
    <row r="1021" spans="1:6" x14ac:dyDescent="0.35">
      <c r="A1021" s="4" t="s">
        <v>6672</v>
      </c>
      <c r="B1021" s="5" t="s">
        <v>3501</v>
      </c>
      <c r="C1021" s="5" t="s">
        <v>1776</v>
      </c>
      <c r="D1021" s="5" t="s">
        <v>13</v>
      </c>
      <c r="E1021" s="6">
        <v>1445</v>
      </c>
      <c r="F1021" s="5" t="str">
        <f>HYPERLINK("https://www.google.com/maps/search/?api=1&amp;query=24.62549501,46.69035341", "View Map")</f>
        <v>View Map</v>
      </c>
    </row>
    <row r="1022" spans="1:6" x14ac:dyDescent="0.35">
      <c r="A1022" s="4" t="s">
        <v>6673</v>
      </c>
      <c r="B1022" s="5" t="s">
        <v>3503</v>
      </c>
      <c r="C1022" s="5" t="s">
        <v>1776</v>
      </c>
      <c r="D1022" s="5" t="s">
        <v>13</v>
      </c>
      <c r="E1022" s="6">
        <v>1443</v>
      </c>
      <c r="F1022" s="5" t="str">
        <f>HYPERLINK("https://www.google.com/maps/search/?api=1&amp;query=24.78423236,46.77885377", "View Map")</f>
        <v>View Map</v>
      </c>
    </row>
    <row r="1023" spans="1:6" x14ac:dyDescent="0.35">
      <c r="A1023" s="4" t="s">
        <v>6674</v>
      </c>
      <c r="B1023" s="5" t="s">
        <v>3505</v>
      </c>
      <c r="C1023" s="5" t="s">
        <v>1776</v>
      </c>
      <c r="D1023" s="5" t="s">
        <v>13</v>
      </c>
      <c r="E1023" s="6">
        <v>1440</v>
      </c>
      <c r="F1023" s="5" t="str">
        <f>HYPERLINK("https://www.google.com/maps/search/?api=1&amp;query=24.75329868,46.79574182", "View Map")</f>
        <v>View Map</v>
      </c>
    </row>
    <row r="1024" spans="1:6" x14ac:dyDescent="0.35">
      <c r="A1024" s="4" t="s">
        <v>6162</v>
      </c>
      <c r="B1024" s="5" t="s">
        <v>3506</v>
      </c>
      <c r="C1024" s="5" t="s">
        <v>1776</v>
      </c>
      <c r="D1024" s="5" t="s">
        <v>13</v>
      </c>
      <c r="E1024" s="6">
        <v>1440</v>
      </c>
      <c r="F1024" s="5" t="str">
        <f>HYPERLINK("https://www.google.com/maps/search/?api=1&amp;query=24.70732799,46.77285643", "View Map")</f>
        <v>View Map</v>
      </c>
    </row>
    <row r="1025" spans="1:6" x14ac:dyDescent="0.35">
      <c r="A1025" s="4" t="s">
        <v>6675</v>
      </c>
      <c r="B1025" s="5" t="s">
        <v>3508</v>
      </c>
      <c r="C1025" s="5" t="s">
        <v>1776</v>
      </c>
      <c r="D1025" s="5" t="s">
        <v>13</v>
      </c>
      <c r="E1025" s="6">
        <v>1440</v>
      </c>
      <c r="F1025" s="5" t="str">
        <f>HYPERLINK("https://www.google.com/maps/search/?api=1&amp;query=24.57716248,46.52478901", "View Map")</f>
        <v>View Map</v>
      </c>
    </row>
    <row r="1026" spans="1:6" x14ac:dyDescent="0.35">
      <c r="A1026" s="4" t="s">
        <v>6676</v>
      </c>
      <c r="B1026" s="5" t="s">
        <v>3510</v>
      </c>
      <c r="C1026" s="5" t="s">
        <v>1776</v>
      </c>
      <c r="D1026" s="5" t="s">
        <v>13</v>
      </c>
      <c r="E1026" s="6">
        <v>1438</v>
      </c>
      <c r="F1026" s="5" t="str">
        <f>HYPERLINK("https://www.google.com/maps/search/?api=1&amp;query=24.78883732,46.68569906", "View Map")</f>
        <v>View Map</v>
      </c>
    </row>
    <row r="1027" spans="1:6" x14ac:dyDescent="0.35">
      <c r="A1027" s="4" t="s">
        <v>6677</v>
      </c>
      <c r="B1027" s="5" t="s">
        <v>3512</v>
      </c>
      <c r="C1027" s="5" t="s">
        <v>1776</v>
      </c>
      <c r="D1027" s="5" t="s">
        <v>9</v>
      </c>
      <c r="E1027" s="6">
        <v>1437</v>
      </c>
      <c r="F1027" s="5" t="str">
        <f>HYPERLINK("https://www.google.com/maps/search/?api=1&amp;query=24.61781262,46.73282348", "View Map")</f>
        <v>View Map</v>
      </c>
    </row>
    <row r="1028" spans="1:6" x14ac:dyDescent="0.35">
      <c r="A1028" s="4" t="s">
        <v>6225</v>
      </c>
      <c r="B1028" s="5" t="s">
        <v>3513</v>
      </c>
      <c r="C1028" s="5" t="s">
        <v>1776</v>
      </c>
      <c r="D1028" s="5" t="s">
        <v>13</v>
      </c>
      <c r="E1028" s="6">
        <v>1437</v>
      </c>
      <c r="F1028" s="5" t="str">
        <f>HYPERLINK("https://www.google.com/maps/search/?api=1&amp;query=24.61213759,46.74080914", "View Map")</f>
        <v>View Map</v>
      </c>
    </row>
    <row r="1029" spans="1:6" x14ac:dyDescent="0.35">
      <c r="A1029" s="4" t="s">
        <v>6678</v>
      </c>
      <c r="B1029" s="5" t="s">
        <v>3515</v>
      </c>
      <c r="C1029" s="5" t="s">
        <v>1776</v>
      </c>
      <c r="D1029" s="5" t="s">
        <v>13</v>
      </c>
      <c r="E1029" s="6">
        <v>1435</v>
      </c>
      <c r="F1029" s="5" t="str">
        <f>HYPERLINK("https://www.google.com/maps/search/?api=1&amp;query=24.63109463,46.69367426", "View Map")</f>
        <v>View Map</v>
      </c>
    </row>
    <row r="1030" spans="1:6" x14ac:dyDescent="0.35">
      <c r="A1030" s="4" t="s">
        <v>5978</v>
      </c>
      <c r="B1030" s="5" t="s">
        <v>3516</v>
      </c>
      <c r="C1030" s="5" t="s">
        <v>1776</v>
      </c>
      <c r="D1030" s="5" t="s">
        <v>13</v>
      </c>
      <c r="E1030" s="6">
        <v>1435</v>
      </c>
      <c r="F1030" s="5" t="str">
        <f>HYPERLINK("https://www.google.com/maps/search/?api=1&amp;query=24.82020088,46.81169296", "View Map")</f>
        <v>View Map</v>
      </c>
    </row>
    <row r="1031" spans="1:6" x14ac:dyDescent="0.35">
      <c r="A1031" s="4" t="s">
        <v>5978</v>
      </c>
      <c r="B1031" s="5" t="s">
        <v>3517</v>
      </c>
      <c r="C1031" s="5" t="s">
        <v>1776</v>
      </c>
      <c r="D1031" s="5" t="s">
        <v>13</v>
      </c>
      <c r="E1031" s="6">
        <v>1431</v>
      </c>
      <c r="F1031" s="5" t="str">
        <f>HYPERLINK("https://www.google.com/maps/search/?api=1&amp;query=24.81753844,46.8770442", "View Map")</f>
        <v>View Map</v>
      </c>
    </row>
    <row r="1032" spans="1:6" x14ac:dyDescent="0.35">
      <c r="A1032" s="4" t="s">
        <v>6679</v>
      </c>
      <c r="B1032" s="5" t="s">
        <v>3519</v>
      </c>
      <c r="C1032" s="5" t="s">
        <v>1776</v>
      </c>
      <c r="D1032" s="5" t="s">
        <v>13</v>
      </c>
      <c r="E1032" s="6">
        <v>1431</v>
      </c>
      <c r="F1032" s="5" t="str">
        <f>HYPERLINK("https://www.google.com/maps/search/?api=1&amp;query=24.79632194,46.70051198", "View Map")</f>
        <v>View Map</v>
      </c>
    </row>
    <row r="1033" spans="1:6" x14ac:dyDescent="0.35">
      <c r="A1033" s="4" t="s">
        <v>6680</v>
      </c>
      <c r="B1033" s="5" t="s">
        <v>3521</v>
      </c>
      <c r="C1033" s="5" t="s">
        <v>1776</v>
      </c>
      <c r="D1033" s="5" t="s">
        <v>13</v>
      </c>
      <c r="E1033" s="6">
        <v>1431</v>
      </c>
      <c r="F1033" s="5" t="str">
        <f>HYPERLINK("https://www.google.com/maps/search/?api=1&amp;query=24.65423286,46.72382132", "View Map")</f>
        <v>View Map</v>
      </c>
    </row>
    <row r="1034" spans="1:6" x14ac:dyDescent="0.35">
      <c r="A1034" s="4" t="s">
        <v>6681</v>
      </c>
      <c r="B1034" s="5" t="s">
        <v>3523</v>
      </c>
      <c r="C1034" s="5" t="s">
        <v>1776</v>
      </c>
      <c r="D1034" s="5" t="s">
        <v>13</v>
      </c>
      <c r="E1034" s="6">
        <v>1430</v>
      </c>
      <c r="F1034" s="5" t="str">
        <f>HYPERLINK("https://www.google.com/maps/search/?api=1&amp;query=24.57704057,46.84532887", "View Map")</f>
        <v>View Map</v>
      </c>
    </row>
    <row r="1035" spans="1:6" x14ac:dyDescent="0.35">
      <c r="A1035" s="4" t="s">
        <v>6682</v>
      </c>
      <c r="B1035" s="5" t="s">
        <v>3525</v>
      </c>
      <c r="C1035" s="5" t="s">
        <v>1776</v>
      </c>
      <c r="D1035" s="5" t="s">
        <v>13</v>
      </c>
      <c r="E1035" s="6">
        <v>1430</v>
      </c>
      <c r="F1035" s="5" t="str">
        <f>HYPERLINK("https://www.google.com/maps/search/?api=1&amp;query=24.7639598,46.68871681", "View Map")</f>
        <v>View Map</v>
      </c>
    </row>
    <row r="1036" spans="1:6" x14ac:dyDescent="0.35">
      <c r="A1036" s="4" t="s">
        <v>6683</v>
      </c>
      <c r="B1036" s="5" t="s">
        <v>3527</v>
      </c>
      <c r="C1036" s="5" t="s">
        <v>1776</v>
      </c>
      <c r="D1036" s="5" t="s">
        <v>13</v>
      </c>
      <c r="E1036" s="6">
        <v>1429</v>
      </c>
      <c r="F1036" s="5" t="str">
        <f>HYPERLINK("https://www.google.com/maps/search/?api=1&amp;query=24.67108266,46.81242773", "View Map")</f>
        <v>View Map</v>
      </c>
    </row>
    <row r="1037" spans="1:6" x14ac:dyDescent="0.35">
      <c r="A1037" s="4" t="s">
        <v>6684</v>
      </c>
      <c r="B1037" s="5" t="s">
        <v>3529</v>
      </c>
      <c r="C1037" s="5" t="s">
        <v>1776</v>
      </c>
      <c r="D1037" s="5" t="s">
        <v>13</v>
      </c>
      <c r="E1037" s="6">
        <v>1429</v>
      </c>
      <c r="F1037" s="5" t="str">
        <f>HYPERLINK("https://www.google.com/maps/search/?api=1&amp;query=24.55258167,46.6535492", "View Map")</f>
        <v>View Map</v>
      </c>
    </row>
    <row r="1038" spans="1:6" x14ac:dyDescent="0.35">
      <c r="A1038" s="4" t="s">
        <v>6685</v>
      </c>
      <c r="B1038" s="5" t="s">
        <v>3531</v>
      </c>
      <c r="C1038" s="5" t="s">
        <v>1776</v>
      </c>
      <c r="D1038" s="5" t="s">
        <v>13</v>
      </c>
      <c r="E1038" s="6">
        <v>1427</v>
      </c>
      <c r="F1038" s="5" t="str">
        <f>HYPERLINK("https://www.google.com/maps/search/?api=1&amp;query=24.72949646,46.77480097", "View Map")</f>
        <v>View Map</v>
      </c>
    </row>
    <row r="1039" spans="1:6" x14ac:dyDescent="0.35">
      <c r="A1039" s="4" t="s">
        <v>6686</v>
      </c>
      <c r="B1039" s="5" t="s">
        <v>3533</v>
      </c>
      <c r="C1039" s="5" t="s">
        <v>1776</v>
      </c>
      <c r="D1039" s="5" t="s">
        <v>13</v>
      </c>
      <c r="E1039" s="6">
        <v>1427</v>
      </c>
      <c r="F1039" s="5" t="str">
        <f>HYPERLINK("https://www.google.com/maps/search/?api=1&amp;query=24.77313,46.68023", "View Map")</f>
        <v>View Map</v>
      </c>
    </row>
    <row r="1040" spans="1:6" x14ac:dyDescent="0.35">
      <c r="A1040" s="4" t="s">
        <v>5974</v>
      </c>
      <c r="B1040" s="5" t="s">
        <v>3534</v>
      </c>
      <c r="C1040" s="5" t="s">
        <v>1776</v>
      </c>
      <c r="D1040" s="5" t="s">
        <v>13</v>
      </c>
      <c r="E1040" s="6">
        <v>1426</v>
      </c>
      <c r="F1040" s="5" t="str">
        <f>HYPERLINK("https://www.google.com/maps/search/?api=1&amp;query=24.64740864,46.79714669", "View Map")</f>
        <v>View Map</v>
      </c>
    </row>
    <row r="1041" spans="1:6" x14ac:dyDescent="0.35">
      <c r="A1041" s="4" t="s">
        <v>6687</v>
      </c>
      <c r="B1041" s="5" t="s">
        <v>3536</v>
      </c>
      <c r="C1041" s="5" t="s">
        <v>1776</v>
      </c>
      <c r="D1041" s="5" t="s">
        <v>13</v>
      </c>
      <c r="E1041" s="6">
        <v>1425</v>
      </c>
      <c r="F1041" s="5" t="str">
        <f>HYPERLINK("https://www.google.com/maps/search/?api=1&amp;query=24.59104233,46.5864018", "View Map")</f>
        <v>View Map</v>
      </c>
    </row>
    <row r="1042" spans="1:6" x14ac:dyDescent="0.35">
      <c r="A1042" s="4" t="s">
        <v>6688</v>
      </c>
      <c r="B1042" s="5" t="s">
        <v>3538</v>
      </c>
      <c r="C1042" s="5" t="s">
        <v>1776</v>
      </c>
      <c r="D1042" s="5" t="s">
        <v>13</v>
      </c>
      <c r="E1042" s="6">
        <v>1424</v>
      </c>
      <c r="F1042" s="5" t="str">
        <f>HYPERLINK("https://www.google.com/maps/search/?api=1&amp;query=24.66795984,46.70400926", "View Map")</f>
        <v>View Map</v>
      </c>
    </row>
    <row r="1043" spans="1:6" x14ac:dyDescent="0.35">
      <c r="A1043" s="4" t="s">
        <v>6689</v>
      </c>
      <c r="B1043" s="5" t="s">
        <v>3540</v>
      </c>
      <c r="C1043" s="5" t="s">
        <v>1776</v>
      </c>
      <c r="D1043" s="5" t="s">
        <v>13</v>
      </c>
      <c r="E1043" s="6">
        <v>1420</v>
      </c>
      <c r="F1043" s="5" t="str">
        <f>HYPERLINK("https://www.google.com/maps/search/?api=1&amp;query=24.64167992,46.68568093", "View Map")</f>
        <v>View Map</v>
      </c>
    </row>
    <row r="1044" spans="1:6" x14ac:dyDescent="0.35">
      <c r="A1044" s="4" t="s">
        <v>6690</v>
      </c>
      <c r="B1044" s="5" t="s">
        <v>3542</v>
      </c>
      <c r="C1044" s="5" t="s">
        <v>1776</v>
      </c>
      <c r="D1044" s="5" t="s">
        <v>13</v>
      </c>
      <c r="E1044" s="6">
        <v>1420</v>
      </c>
      <c r="F1044" s="5" t="str">
        <f>HYPERLINK("https://www.google.com/maps/search/?api=1&amp;query=24.60851882,46.7603353", "View Map")</f>
        <v>View Map</v>
      </c>
    </row>
    <row r="1045" spans="1:6" x14ac:dyDescent="0.35">
      <c r="A1045" s="4" t="s">
        <v>6691</v>
      </c>
      <c r="B1045" s="5" t="s">
        <v>3544</v>
      </c>
      <c r="C1045" s="5" t="s">
        <v>1776</v>
      </c>
      <c r="D1045" s="5" t="s">
        <v>13</v>
      </c>
      <c r="E1045" s="6">
        <v>1418</v>
      </c>
      <c r="F1045" s="5" t="str">
        <f>HYPERLINK("https://www.google.com/maps/search/?api=1&amp;query=24.79833816,46.70643161", "View Map")</f>
        <v>View Map</v>
      </c>
    </row>
    <row r="1046" spans="1:6" x14ac:dyDescent="0.35">
      <c r="A1046" s="4" t="s">
        <v>6692</v>
      </c>
      <c r="B1046" s="5" t="s">
        <v>3546</v>
      </c>
      <c r="C1046" s="5" t="s">
        <v>1776</v>
      </c>
      <c r="D1046" s="5" t="s">
        <v>9</v>
      </c>
      <c r="E1046" s="6">
        <v>1418</v>
      </c>
      <c r="F1046" s="5" t="str">
        <f>HYPERLINK("https://www.google.com/maps/search/?api=1&amp;query=24.5683,46.6019", "View Map")</f>
        <v>View Map</v>
      </c>
    </row>
    <row r="1047" spans="1:6" x14ac:dyDescent="0.35">
      <c r="A1047" s="4" t="s">
        <v>5974</v>
      </c>
      <c r="B1047" s="5" t="s">
        <v>3547</v>
      </c>
      <c r="C1047" s="5" t="s">
        <v>1776</v>
      </c>
      <c r="D1047" s="5" t="s">
        <v>13</v>
      </c>
      <c r="E1047" s="6">
        <v>1416</v>
      </c>
      <c r="F1047" s="5" t="str">
        <f>HYPERLINK("https://www.google.com/maps/search/?api=1&amp;query=24.78781431,46.60127892", "View Map")</f>
        <v>View Map</v>
      </c>
    </row>
    <row r="1048" spans="1:6" x14ac:dyDescent="0.35">
      <c r="A1048" s="4" t="s">
        <v>6693</v>
      </c>
      <c r="B1048" s="5" t="s">
        <v>3549</v>
      </c>
      <c r="C1048" s="5" t="s">
        <v>1776</v>
      </c>
      <c r="D1048" s="5" t="s">
        <v>13</v>
      </c>
      <c r="E1048" s="6">
        <v>1415</v>
      </c>
      <c r="F1048" s="5" t="str">
        <f>HYPERLINK("https://www.google.com/maps/search/?api=1&amp;query=24.78322693,46.76769617", "View Map")</f>
        <v>View Map</v>
      </c>
    </row>
    <row r="1049" spans="1:6" x14ac:dyDescent="0.35">
      <c r="A1049" s="4" t="s">
        <v>6694</v>
      </c>
      <c r="B1049" s="5" t="s">
        <v>3551</v>
      </c>
      <c r="C1049" s="5" t="s">
        <v>1776</v>
      </c>
      <c r="D1049" s="5" t="s">
        <v>13</v>
      </c>
      <c r="E1049" s="6">
        <v>1411</v>
      </c>
      <c r="F1049" s="5" t="str">
        <f>HYPERLINK("https://www.google.com/maps/search/?api=1&amp;query=24.56370406,46.77201019", "View Map")</f>
        <v>View Map</v>
      </c>
    </row>
    <row r="1050" spans="1:6" x14ac:dyDescent="0.35">
      <c r="A1050" s="4" t="s">
        <v>6695</v>
      </c>
      <c r="B1050" s="5" t="s">
        <v>3553</v>
      </c>
      <c r="C1050" s="5" t="s">
        <v>1776</v>
      </c>
      <c r="D1050" s="5" t="s">
        <v>13</v>
      </c>
      <c r="E1050" s="6">
        <v>1409</v>
      </c>
      <c r="F1050" s="5" t="str">
        <f>HYPERLINK("https://www.google.com/maps/search/?api=1&amp;query=24.78139443,46.75686147", "View Map")</f>
        <v>View Map</v>
      </c>
    </row>
    <row r="1051" spans="1:6" x14ac:dyDescent="0.35">
      <c r="A1051" s="4" t="s">
        <v>6696</v>
      </c>
      <c r="B1051" s="5" t="s">
        <v>3555</v>
      </c>
      <c r="C1051" s="5" t="s">
        <v>1776</v>
      </c>
      <c r="D1051" s="5" t="s">
        <v>13</v>
      </c>
      <c r="E1051" s="6">
        <v>1407</v>
      </c>
      <c r="F1051" s="5" t="str">
        <f>HYPERLINK("https://www.google.com/maps/search/?api=1&amp;query=24.62082927,46.68125453", "View Map")</f>
        <v>View Map</v>
      </c>
    </row>
    <row r="1052" spans="1:6" x14ac:dyDescent="0.35">
      <c r="A1052" s="4" t="s">
        <v>6697</v>
      </c>
      <c r="B1052" s="5" t="s">
        <v>3557</v>
      </c>
      <c r="C1052" s="5" t="s">
        <v>1776</v>
      </c>
      <c r="D1052" s="5" t="s">
        <v>13</v>
      </c>
      <c r="E1052" s="6">
        <v>1405</v>
      </c>
      <c r="F1052" s="5" t="str">
        <f>HYPERLINK("https://www.google.com/maps/search/?api=1&amp;query=24.74466858,46.64722074", "View Map")</f>
        <v>View Map</v>
      </c>
    </row>
    <row r="1053" spans="1:6" x14ac:dyDescent="0.35">
      <c r="A1053" s="4" t="s">
        <v>6698</v>
      </c>
      <c r="B1053" s="5" t="s">
        <v>3559</v>
      </c>
      <c r="C1053" s="5" t="s">
        <v>1776</v>
      </c>
      <c r="D1053" s="5" t="s">
        <v>13</v>
      </c>
      <c r="E1053" s="6">
        <v>1405</v>
      </c>
      <c r="F1053" s="5" t="str">
        <f>HYPERLINK("https://www.google.com/maps/search/?api=1&amp;query=24.80815684,46.64779408", "View Map")</f>
        <v>View Map</v>
      </c>
    </row>
    <row r="1054" spans="1:6" x14ac:dyDescent="0.35">
      <c r="A1054" s="4" t="s">
        <v>6699</v>
      </c>
      <c r="B1054" s="5" t="s">
        <v>3561</v>
      </c>
      <c r="C1054" s="5" t="s">
        <v>1776</v>
      </c>
      <c r="D1054" s="5" t="s">
        <v>13</v>
      </c>
      <c r="E1054" s="6">
        <v>1404</v>
      </c>
      <c r="F1054" s="5" t="str">
        <f>HYPERLINK("https://www.google.com/maps/search/?api=1&amp;query=24.79165838,46.79803889", "View Map")</f>
        <v>View Map</v>
      </c>
    </row>
    <row r="1055" spans="1:6" x14ac:dyDescent="0.35">
      <c r="A1055" s="4" t="s">
        <v>6700</v>
      </c>
      <c r="B1055" s="5" t="s">
        <v>3563</v>
      </c>
      <c r="C1055" s="5" t="s">
        <v>1776</v>
      </c>
      <c r="D1055" s="5" t="s">
        <v>13</v>
      </c>
      <c r="E1055" s="6">
        <v>1402</v>
      </c>
      <c r="F1055" s="5" t="str">
        <f>HYPERLINK("https://www.google.com/maps/search/?api=1&amp;query=24.55822512,46.78889101", "View Map")</f>
        <v>View Map</v>
      </c>
    </row>
    <row r="1056" spans="1:6" x14ac:dyDescent="0.35">
      <c r="A1056" s="4" t="s">
        <v>6701</v>
      </c>
      <c r="B1056" s="5" t="s">
        <v>3565</v>
      </c>
      <c r="C1056" s="5" t="s">
        <v>1776</v>
      </c>
      <c r="D1056" s="5" t="s">
        <v>13</v>
      </c>
      <c r="E1056" s="6">
        <v>1401</v>
      </c>
      <c r="F1056" s="5" t="str">
        <f>HYPERLINK("https://www.google.com/maps/search/?api=1&amp;query=24.73137056,46.85275576", "View Map")</f>
        <v>View Map</v>
      </c>
    </row>
    <row r="1057" spans="1:6" x14ac:dyDescent="0.35">
      <c r="A1057" s="4" t="s">
        <v>6702</v>
      </c>
      <c r="B1057" s="5" t="s">
        <v>3567</v>
      </c>
      <c r="C1057" s="5" t="s">
        <v>1776</v>
      </c>
      <c r="D1057" s="5" t="s">
        <v>13</v>
      </c>
      <c r="E1057" s="6">
        <v>1400</v>
      </c>
      <c r="F1057" s="5" t="str">
        <f>HYPERLINK("https://www.google.com/maps/search/?api=1&amp;query=24.77764025,46.70036209", "View Map")</f>
        <v>View Map</v>
      </c>
    </row>
    <row r="1058" spans="1:6" x14ac:dyDescent="0.35">
      <c r="A1058" s="4" t="s">
        <v>6703</v>
      </c>
      <c r="B1058" s="5" t="s">
        <v>3569</v>
      </c>
      <c r="C1058" s="5" t="s">
        <v>1776</v>
      </c>
      <c r="D1058" s="5" t="s">
        <v>13</v>
      </c>
      <c r="E1058" s="6">
        <v>1399</v>
      </c>
      <c r="F1058" s="5" t="str">
        <f>HYPERLINK("https://www.google.com/maps/search/?api=1&amp;query=24.71145632,46.77691234", "View Map")</f>
        <v>View Map</v>
      </c>
    </row>
    <row r="1059" spans="1:6" x14ac:dyDescent="0.35">
      <c r="A1059" s="4" t="s">
        <v>6599</v>
      </c>
      <c r="B1059" s="5" t="s">
        <v>3570</v>
      </c>
      <c r="C1059" s="5" t="s">
        <v>1776</v>
      </c>
      <c r="D1059" s="5" t="s">
        <v>13</v>
      </c>
      <c r="E1059" s="6">
        <v>1398</v>
      </c>
      <c r="F1059" s="5" t="str">
        <f>HYPERLINK("https://www.google.com/maps/search/?api=1&amp;query=24.56821711,46.64846579", "View Map")</f>
        <v>View Map</v>
      </c>
    </row>
    <row r="1060" spans="1:6" x14ac:dyDescent="0.35">
      <c r="A1060" s="4" t="s">
        <v>6704</v>
      </c>
      <c r="B1060" s="5" t="s">
        <v>3572</v>
      </c>
      <c r="C1060" s="5" t="s">
        <v>1843</v>
      </c>
      <c r="D1060" s="5" t="s">
        <v>13</v>
      </c>
      <c r="E1060" s="6">
        <v>1398</v>
      </c>
      <c r="F1060" s="5" t="str">
        <f>HYPERLINK("https://www.google.com/maps/search/?api=1&amp;query=24.7462698,46.58998719", "View Map")</f>
        <v>View Map</v>
      </c>
    </row>
    <row r="1061" spans="1:6" x14ac:dyDescent="0.35">
      <c r="A1061" s="4" t="s">
        <v>6705</v>
      </c>
      <c r="B1061" s="5" t="s">
        <v>3574</v>
      </c>
      <c r="C1061" s="5" t="s">
        <v>1776</v>
      </c>
      <c r="D1061" s="5" t="s">
        <v>13</v>
      </c>
      <c r="E1061" s="6">
        <v>1395</v>
      </c>
      <c r="F1061" s="5" t="str">
        <f>HYPERLINK("https://www.google.com/maps/search/?api=1&amp;query=24.6929258,46.66634433", "View Map")</f>
        <v>View Map</v>
      </c>
    </row>
    <row r="1062" spans="1:6" x14ac:dyDescent="0.35">
      <c r="A1062" s="4" t="s">
        <v>6706</v>
      </c>
      <c r="B1062" s="5" t="s">
        <v>3576</v>
      </c>
      <c r="C1062" s="5" t="s">
        <v>1776</v>
      </c>
      <c r="D1062" s="5" t="s">
        <v>13</v>
      </c>
      <c r="E1062" s="6">
        <v>1393</v>
      </c>
      <c r="F1062" s="5" t="str">
        <f>HYPERLINK("https://www.google.com/maps/search/?api=1&amp;query=24.7340109,46.6118178", "View Map")</f>
        <v>View Map</v>
      </c>
    </row>
    <row r="1063" spans="1:6" x14ac:dyDescent="0.35">
      <c r="A1063" s="4" t="s">
        <v>5974</v>
      </c>
      <c r="B1063" s="5" t="s">
        <v>3577</v>
      </c>
      <c r="C1063" s="5" t="s">
        <v>1776</v>
      </c>
      <c r="D1063" s="5" t="s">
        <v>13</v>
      </c>
      <c r="E1063" s="6">
        <v>1392</v>
      </c>
      <c r="F1063" s="5" t="str">
        <f>HYPERLINK("https://www.google.com/maps/search/?api=1&amp;query=24.63814347,46.73476715", "View Map")</f>
        <v>View Map</v>
      </c>
    </row>
    <row r="1064" spans="1:6" x14ac:dyDescent="0.35">
      <c r="A1064" s="4" t="s">
        <v>6707</v>
      </c>
      <c r="B1064" s="5" t="s">
        <v>3579</v>
      </c>
      <c r="C1064" s="5" t="s">
        <v>1776</v>
      </c>
      <c r="D1064" s="5" t="s">
        <v>13</v>
      </c>
      <c r="E1064" s="6">
        <v>1390</v>
      </c>
      <c r="F1064" s="5" t="str">
        <f>HYPERLINK("https://www.google.com/maps/search/?api=1&amp;query=24.7488239,46.78776709", "View Map")</f>
        <v>View Map</v>
      </c>
    </row>
    <row r="1065" spans="1:6" x14ac:dyDescent="0.35">
      <c r="A1065" s="4" t="s">
        <v>6708</v>
      </c>
      <c r="B1065" s="5" t="s">
        <v>3581</v>
      </c>
      <c r="C1065" s="5" t="s">
        <v>1776</v>
      </c>
      <c r="D1065" s="5" t="s">
        <v>13</v>
      </c>
      <c r="E1065" s="6">
        <v>1390</v>
      </c>
      <c r="F1065" s="5" t="str">
        <f>HYPERLINK("https://www.google.com/maps/search/?api=1&amp;query=24.63730564,46.73632813", "View Map")</f>
        <v>View Map</v>
      </c>
    </row>
    <row r="1066" spans="1:6" x14ac:dyDescent="0.35">
      <c r="A1066" s="4" t="s">
        <v>6709</v>
      </c>
      <c r="B1066" s="5" t="s">
        <v>3583</v>
      </c>
      <c r="C1066" s="5" t="s">
        <v>1776</v>
      </c>
      <c r="D1066" s="5" t="s">
        <v>13</v>
      </c>
      <c r="E1066" s="6">
        <v>1390</v>
      </c>
      <c r="F1066" s="5" t="str">
        <f>HYPERLINK("https://www.google.com/maps/search/?api=1&amp;query=24.63639813,46.73641514", "View Map")</f>
        <v>View Map</v>
      </c>
    </row>
    <row r="1067" spans="1:6" x14ac:dyDescent="0.35">
      <c r="A1067" s="4" t="s">
        <v>5974</v>
      </c>
      <c r="B1067" s="5" t="s">
        <v>3584</v>
      </c>
      <c r="C1067" s="5" t="s">
        <v>1776</v>
      </c>
      <c r="D1067" s="5" t="s">
        <v>13</v>
      </c>
      <c r="E1067" s="6">
        <v>1389</v>
      </c>
      <c r="F1067" s="5" t="str">
        <f>HYPERLINK("https://www.google.com/maps/search/?api=1&amp;query=24.7949643,46.6001964", "View Map")</f>
        <v>View Map</v>
      </c>
    </row>
    <row r="1068" spans="1:6" x14ac:dyDescent="0.35">
      <c r="A1068" s="4" t="s">
        <v>6107</v>
      </c>
      <c r="B1068" s="5" t="s">
        <v>3585</v>
      </c>
      <c r="C1068" s="5" t="s">
        <v>1776</v>
      </c>
      <c r="D1068" s="5" t="s">
        <v>13</v>
      </c>
      <c r="E1068" s="6">
        <v>1388</v>
      </c>
      <c r="F1068" s="5" t="str">
        <f>HYPERLINK("https://www.google.com/maps/search/?api=1&amp;query=24.75411,46.71576", "View Map")</f>
        <v>View Map</v>
      </c>
    </row>
    <row r="1069" spans="1:6" x14ac:dyDescent="0.35">
      <c r="A1069" s="4" t="s">
        <v>6710</v>
      </c>
      <c r="B1069" s="5" t="s">
        <v>3587</v>
      </c>
      <c r="C1069" s="5" t="s">
        <v>1776</v>
      </c>
      <c r="D1069" s="5" t="s">
        <v>13</v>
      </c>
      <c r="E1069" s="6">
        <v>1388</v>
      </c>
      <c r="F1069" s="5" t="str">
        <f>HYPERLINK("https://www.google.com/maps/search/?api=1&amp;query=24.79960344,46.67065048", "View Map")</f>
        <v>View Map</v>
      </c>
    </row>
    <row r="1070" spans="1:6" x14ac:dyDescent="0.35">
      <c r="A1070" s="4" t="s">
        <v>6711</v>
      </c>
      <c r="B1070" s="5" t="s">
        <v>3589</v>
      </c>
      <c r="C1070" s="5" t="s">
        <v>1776</v>
      </c>
      <c r="D1070" s="5" t="s">
        <v>13</v>
      </c>
      <c r="E1070" s="6">
        <v>1388</v>
      </c>
      <c r="F1070" s="5" t="str">
        <f>HYPERLINK("https://www.google.com/maps/search/?api=1&amp;query=24.70066703,46.752692", "View Map")</f>
        <v>View Map</v>
      </c>
    </row>
    <row r="1071" spans="1:6" x14ac:dyDescent="0.35">
      <c r="A1071" s="4" t="s">
        <v>5974</v>
      </c>
      <c r="B1071" s="5" t="s">
        <v>3590</v>
      </c>
      <c r="C1071" s="5" t="s">
        <v>1776</v>
      </c>
      <c r="D1071" s="5" t="s">
        <v>13</v>
      </c>
      <c r="E1071" s="6">
        <v>1387</v>
      </c>
      <c r="F1071" s="5" t="str">
        <f>HYPERLINK("https://www.google.com/maps/search/?api=1&amp;query=24.83744612,46.88558924", "View Map")</f>
        <v>View Map</v>
      </c>
    </row>
    <row r="1072" spans="1:6" x14ac:dyDescent="0.35">
      <c r="A1072" s="4" t="s">
        <v>6364</v>
      </c>
      <c r="B1072" s="5" t="s">
        <v>3591</v>
      </c>
      <c r="C1072" s="5" t="s">
        <v>1776</v>
      </c>
      <c r="D1072" s="5" t="s">
        <v>13</v>
      </c>
      <c r="E1072" s="6">
        <v>1385</v>
      </c>
      <c r="F1072" s="5" t="str">
        <f>HYPERLINK("https://www.google.com/maps/search/?api=1&amp;query=24.76727367,46.78654093", "View Map")</f>
        <v>View Map</v>
      </c>
    </row>
    <row r="1073" spans="1:6" x14ac:dyDescent="0.35">
      <c r="A1073" s="4" t="s">
        <v>5974</v>
      </c>
      <c r="B1073" s="5" t="s">
        <v>3592</v>
      </c>
      <c r="C1073" s="5" t="s">
        <v>1776</v>
      </c>
      <c r="D1073" s="5" t="s">
        <v>13</v>
      </c>
      <c r="E1073" s="6">
        <v>1384</v>
      </c>
      <c r="F1073" s="5" t="str">
        <f>HYPERLINK("https://www.google.com/maps/search/?api=1&amp;query=24.86428164,46.64696819", "View Map")</f>
        <v>View Map</v>
      </c>
    </row>
    <row r="1074" spans="1:6" x14ac:dyDescent="0.35">
      <c r="A1074" s="4" t="s">
        <v>6342</v>
      </c>
      <c r="B1074" s="5" t="s">
        <v>3593</v>
      </c>
      <c r="C1074" s="5" t="s">
        <v>1776</v>
      </c>
      <c r="D1074" s="5" t="s">
        <v>9</v>
      </c>
      <c r="E1074" s="6">
        <v>1384</v>
      </c>
      <c r="F1074" s="5" t="str">
        <f>HYPERLINK("https://www.google.com/maps/search/?api=1&amp;query=24.57611727,46.57332223", "View Map")</f>
        <v>View Map</v>
      </c>
    </row>
    <row r="1075" spans="1:6" x14ac:dyDescent="0.35">
      <c r="A1075" s="4" t="s">
        <v>5974</v>
      </c>
      <c r="B1075" s="5" t="s">
        <v>3594</v>
      </c>
      <c r="C1075" s="5" t="s">
        <v>1776</v>
      </c>
      <c r="D1075" s="5" t="s">
        <v>13</v>
      </c>
      <c r="E1075" s="6">
        <v>1383</v>
      </c>
      <c r="F1075" s="5" t="str">
        <f>HYPERLINK("https://www.google.com/maps/search/?api=1&amp;query=24.88673753,46.63400258", "View Map")</f>
        <v>View Map</v>
      </c>
    </row>
    <row r="1076" spans="1:6" x14ac:dyDescent="0.35">
      <c r="A1076" s="4" t="s">
        <v>6712</v>
      </c>
      <c r="B1076" s="5" t="s">
        <v>3596</v>
      </c>
      <c r="C1076" s="5" t="s">
        <v>1776</v>
      </c>
      <c r="D1076" s="5" t="s">
        <v>13</v>
      </c>
      <c r="E1076" s="6">
        <v>1382</v>
      </c>
      <c r="F1076" s="5" t="str">
        <f>HYPERLINK("https://www.google.com/maps/search/?api=1&amp;query=24.60298522,46.61640474", "View Map")</f>
        <v>View Map</v>
      </c>
    </row>
    <row r="1077" spans="1:6" x14ac:dyDescent="0.35">
      <c r="A1077" s="4" t="s">
        <v>6713</v>
      </c>
      <c r="B1077" s="5" t="s">
        <v>3598</v>
      </c>
      <c r="C1077" s="5" t="s">
        <v>1776</v>
      </c>
      <c r="D1077" s="5" t="s">
        <v>13</v>
      </c>
      <c r="E1077" s="6">
        <v>1382</v>
      </c>
      <c r="F1077" s="5" t="str">
        <f>HYPERLINK("https://www.google.com/maps/search/?api=1&amp;query=24.59689984,46.72986151", "View Map")</f>
        <v>View Map</v>
      </c>
    </row>
    <row r="1078" spans="1:6" x14ac:dyDescent="0.35">
      <c r="A1078" s="4" t="s">
        <v>6714</v>
      </c>
      <c r="B1078" s="5" t="s">
        <v>3600</v>
      </c>
      <c r="C1078" s="5" t="s">
        <v>1776</v>
      </c>
      <c r="D1078" s="5" t="s">
        <v>13</v>
      </c>
      <c r="E1078" s="6">
        <v>1381</v>
      </c>
      <c r="F1078" s="5" t="str">
        <f>HYPERLINK("https://www.google.com/maps/search/?api=1&amp;query=24.7959913,46.79859628", "View Map")</f>
        <v>View Map</v>
      </c>
    </row>
    <row r="1079" spans="1:6" x14ac:dyDescent="0.35">
      <c r="A1079" s="4" t="s">
        <v>6715</v>
      </c>
      <c r="B1079" s="5" t="s">
        <v>3602</v>
      </c>
      <c r="C1079" s="5" t="s">
        <v>1776</v>
      </c>
      <c r="D1079" s="5" t="s">
        <v>13</v>
      </c>
      <c r="E1079" s="6">
        <v>1378</v>
      </c>
      <c r="F1079" s="5" t="str">
        <f>HYPERLINK("https://www.google.com/maps/search/?api=1&amp;query=24.7475353,46.80367648", "View Map")</f>
        <v>View Map</v>
      </c>
    </row>
    <row r="1080" spans="1:6" x14ac:dyDescent="0.35">
      <c r="A1080" s="4" t="s">
        <v>6716</v>
      </c>
      <c r="B1080" s="5" t="s">
        <v>3604</v>
      </c>
      <c r="C1080" s="5" t="s">
        <v>1776</v>
      </c>
      <c r="D1080" s="5" t="s">
        <v>9</v>
      </c>
      <c r="E1080" s="6">
        <v>1377</v>
      </c>
      <c r="F1080" s="5" t="str">
        <f>HYPERLINK("https://www.google.com/maps/search/?api=1&amp;query=24.56874677,46.8361548", "View Map")</f>
        <v>View Map</v>
      </c>
    </row>
    <row r="1081" spans="1:6" x14ac:dyDescent="0.35">
      <c r="A1081" s="4" t="s">
        <v>6717</v>
      </c>
      <c r="B1081" s="5" t="s">
        <v>3606</v>
      </c>
      <c r="C1081" s="5" t="s">
        <v>1776</v>
      </c>
      <c r="D1081" s="5" t="s">
        <v>13</v>
      </c>
      <c r="E1081" s="6">
        <v>1377</v>
      </c>
      <c r="F1081" s="5" t="str">
        <f>HYPERLINK("https://www.google.com/maps/search/?api=1&amp;query=24.5630388,46.69254617", "View Map")</f>
        <v>View Map</v>
      </c>
    </row>
    <row r="1082" spans="1:6" x14ac:dyDescent="0.35">
      <c r="A1082" s="4" t="s">
        <v>6718</v>
      </c>
      <c r="B1082" s="5" t="s">
        <v>3608</v>
      </c>
      <c r="C1082" s="5" t="s">
        <v>1776</v>
      </c>
      <c r="D1082" s="5" t="s">
        <v>13</v>
      </c>
      <c r="E1082" s="6">
        <v>1375</v>
      </c>
      <c r="F1082" s="5" t="str">
        <f>HYPERLINK("https://www.google.com/maps/search/?api=1&amp;query=24.59597271,46.76104792", "View Map")</f>
        <v>View Map</v>
      </c>
    </row>
    <row r="1083" spans="1:6" x14ac:dyDescent="0.35">
      <c r="A1083" s="4" t="s">
        <v>5978</v>
      </c>
      <c r="B1083" s="5" t="s">
        <v>3609</v>
      </c>
      <c r="C1083" s="5" t="s">
        <v>1776</v>
      </c>
      <c r="D1083" s="5" t="s">
        <v>13</v>
      </c>
      <c r="E1083" s="6">
        <v>1374</v>
      </c>
      <c r="F1083" s="5" t="str">
        <f>HYPERLINK("https://www.google.com/maps/search/?api=1&amp;query=24.8235384,46.83610754", "View Map")</f>
        <v>View Map</v>
      </c>
    </row>
    <row r="1084" spans="1:6" x14ac:dyDescent="0.35">
      <c r="A1084" s="4" t="s">
        <v>6052</v>
      </c>
      <c r="B1084" s="5" t="s">
        <v>3610</v>
      </c>
      <c r="C1084" s="5" t="s">
        <v>1776</v>
      </c>
      <c r="D1084" s="5" t="s">
        <v>13</v>
      </c>
      <c r="E1084" s="6">
        <v>1373</v>
      </c>
      <c r="F1084" s="5" t="str">
        <f>HYPERLINK("https://www.google.com/maps/search/?api=1&amp;query=24.75252973,46.78885689", "View Map")</f>
        <v>View Map</v>
      </c>
    </row>
    <row r="1085" spans="1:6" x14ac:dyDescent="0.35">
      <c r="A1085" s="4" t="s">
        <v>6719</v>
      </c>
      <c r="B1085" s="5" t="s">
        <v>3612</v>
      </c>
      <c r="C1085" s="5" t="s">
        <v>1776</v>
      </c>
      <c r="D1085" s="5" t="s">
        <v>13</v>
      </c>
      <c r="E1085" s="6">
        <v>1373</v>
      </c>
      <c r="F1085" s="5" t="str">
        <f>HYPERLINK("https://www.google.com/maps/search/?api=1&amp;query=24.69095082,46.65804247", "View Map")</f>
        <v>View Map</v>
      </c>
    </row>
    <row r="1086" spans="1:6" x14ac:dyDescent="0.35">
      <c r="A1086" s="4" t="s">
        <v>6720</v>
      </c>
      <c r="B1086" s="5" t="s">
        <v>3614</v>
      </c>
      <c r="C1086" s="5" t="s">
        <v>1776</v>
      </c>
      <c r="D1086" s="5" t="s">
        <v>13</v>
      </c>
      <c r="E1086" s="6">
        <v>1372</v>
      </c>
      <c r="F1086" s="5" t="str">
        <f>HYPERLINK("https://www.google.com/maps/search/?api=1&amp;query=24.74849,46.63606", "View Map")</f>
        <v>View Map</v>
      </c>
    </row>
    <row r="1087" spans="1:6" x14ac:dyDescent="0.35">
      <c r="A1087" s="4" t="s">
        <v>5972</v>
      </c>
      <c r="B1087" s="5" t="s">
        <v>3615</v>
      </c>
      <c r="C1087" s="5" t="s">
        <v>1776</v>
      </c>
      <c r="D1087" s="5" t="s">
        <v>13</v>
      </c>
      <c r="E1087" s="6">
        <v>1368</v>
      </c>
      <c r="F1087" s="5" t="str">
        <f>HYPERLINK("https://www.google.com/maps/search/?api=1&amp;query=24.82997886,46.65481204", "View Map")</f>
        <v>View Map</v>
      </c>
    </row>
    <row r="1088" spans="1:6" x14ac:dyDescent="0.35">
      <c r="A1088" s="4" t="s">
        <v>6721</v>
      </c>
      <c r="B1088" s="5" t="s">
        <v>3617</v>
      </c>
      <c r="C1088" s="5" t="s">
        <v>1776</v>
      </c>
      <c r="D1088" s="5" t="s">
        <v>318</v>
      </c>
      <c r="E1088" s="6">
        <v>1368</v>
      </c>
      <c r="F1088" s="5" t="str">
        <f>HYPERLINK("https://www.google.com/maps/search/?api=1&amp;query=24.81350778,46.81228237", "View Map")</f>
        <v>View Map</v>
      </c>
    </row>
    <row r="1089" spans="1:6" x14ac:dyDescent="0.35">
      <c r="A1089" s="4" t="s">
        <v>5974</v>
      </c>
      <c r="B1089" s="5" t="s">
        <v>3618</v>
      </c>
      <c r="C1089" s="5" t="s">
        <v>1776</v>
      </c>
      <c r="D1089" s="5" t="s">
        <v>13</v>
      </c>
      <c r="E1089" s="6">
        <v>1367</v>
      </c>
      <c r="F1089" s="5" t="str">
        <f>HYPERLINK("https://www.google.com/maps/search/?api=1&amp;query=24.87035104,46.65307017", "View Map")</f>
        <v>View Map</v>
      </c>
    </row>
    <row r="1090" spans="1:6" x14ac:dyDescent="0.35">
      <c r="A1090" s="4" t="s">
        <v>5970</v>
      </c>
      <c r="B1090" s="5" t="s">
        <v>3619</v>
      </c>
      <c r="C1090" s="5" t="s">
        <v>1776</v>
      </c>
      <c r="D1090" s="5" t="s">
        <v>13</v>
      </c>
      <c r="E1090" s="6">
        <v>1367</v>
      </c>
      <c r="F1090" s="5" t="str">
        <f>HYPERLINK("https://www.google.com/maps/search/?api=1&amp;query=24.72351589,46.64698108", "View Map")</f>
        <v>View Map</v>
      </c>
    </row>
    <row r="1091" spans="1:6" x14ac:dyDescent="0.35">
      <c r="A1091" s="4" t="s">
        <v>6364</v>
      </c>
      <c r="B1091" s="5" t="s">
        <v>3620</v>
      </c>
      <c r="C1091" s="5" t="s">
        <v>1776</v>
      </c>
      <c r="D1091" s="5" t="s">
        <v>13</v>
      </c>
      <c r="E1091" s="6">
        <v>1367</v>
      </c>
      <c r="F1091" s="5" t="str">
        <f>HYPERLINK("https://www.google.com/maps/search/?api=1&amp;query=24.78583374,46.8171458", "View Map")</f>
        <v>View Map</v>
      </c>
    </row>
    <row r="1092" spans="1:6" x14ac:dyDescent="0.35">
      <c r="A1092" s="4" t="s">
        <v>6722</v>
      </c>
      <c r="B1092" s="5" t="s">
        <v>3622</v>
      </c>
      <c r="C1092" s="5" t="s">
        <v>1776</v>
      </c>
      <c r="D1092" s="5" t="s">
        <v>13</v>
      </c>
      <c r="E1092" s="6">
        <v>1366</v>
      </c>
      <c r="F1092" s="5" t="str">
        <f>HYPERLINK("https://www.google.com/maps/search/?api=1&amp;query=24.56372838,46.78322256", "View Map")</f>
        <v>View Map</v>
      </c>
    </row>
    <row r="1093" spans="1:6" x14ac:dyDescent="0.35">
      <c r="A1093" s="4" t="s">
        <v>6723</v>
      </c>
      <c r="B1093" s="5" t="s">
        <v>3624</v>
      </c>
      <c r="C1093" s="5" t="s">
        <v>1776</v>
      </c>
      <c r="D1093" s="5" t="s">
        <v>9</v>
      </c>
      <c r="E1093" s="6">
        <v>1366</v>
      </c>
      <c r="F1093" s="5" t="str">
        <f>HYPERLINK("https://www.google.com/maps/search/?api=1&amp;query=24.67778147,46.79428715", "View Map")</f>
        <v>View Map</v>
      </c>
    </row>
    <row r="1094" spans="1:6" x14ac:dyDescent="0.35">
      <c r="A1094" s="4" t="s">
        <v>6073</v>
      </c>
      <c r="B1094" s="5" t="s">
        <v>3625</v>
      </c>
      <c r="C1094" s="5" t="s">
        <v>1776</v>
      </c>
      <c r="D1094" s="5" t="s">
        <v>13</v>
      </c>
      <c r="E1094" s="6">
        <v>1366</v>
      </c>
      <c r="F1094" s="5" t="str">
        <f>HYPERLINK("https://www.google.com/maps/search/?api=1&amp;query=24.80523134,46.79547907", "View Map")</f>
        <v>View Map</v>
      </c>
    </row>
    <row r="1095" spans="1:6" x14ac:dyDescent="0.35">
      <c r="A1095" s="4" t="s">
        <v>5978</v>
      </c>
      <c r="B1095" s="5" t="s">
        <v>3626</v>
      </c>
      <c r="C1095" s="5" t="s">
        <v>1776</v>
      </c>
      <c r="D1095" s="5" t="s">
        <v>13</v>
      </c>
      <c r="E1095" s="6">
        <v>1366</v>
      </c>
      <c r="F1095" s="5" t="str">
        <f>HYPERLINK("https://www.google.com/maps/search/?api=1&amp;query=24.77494973,46.785964", "View Map")</f>
        <v>View Map</v>
      </c>
    </row>
    <row r="1096" spans="1:6" x14ac:dyDescent="0.35">
      <c r="A1096" s="4" t="s">
        <v>5974</v>
      </c>
      <c r="B1096" s="5" t="s">
        <v>3627</v>
      </c>
      <c r="C1096" s="5" t="s">
        <v>1776</v>
      </c>
      <c r="D1096" s="5" t="s">
        <v>13</v>
      </c>
      <c r="E1096" s="6">
        <v>1364</v>
      </c>
      <c r="F1096" s="5" t="str">
        <f>HYPERLINK("https://www.google.com/maps/search/?api=1&amp;query=24.82316485,46.66212999", "View Map")</f>
        <v>View Map</v>
      </c>
    </row>
    <row r="1097" spans="1:6" x14ac:dyDescent="0.35">
      <c r="A1097" s="4" t="s">
        <v>6724</v>
      </c>
      <c r="B1097" s="5" t="s">
        <v>3629</v>
      </c>
      <c r="C1097" s="5" t="s">
        <v>1776</v>
      </c>
      <c r="D1097" s="5" t="s">
        <v>13</v>
      </c>
      <c r="E1097" s="6">
        <v>1362</v>
      </c>
      <c r="F1097" s="5" t="str">
        <f>HYPERLINK("https://www.google.com/maps/search/?api=1&amp;query=24.58412341,46.55240009", "View Map")</f>
        <v>View Map</v>
      </c>
    </row>
    <row r="1098" spans="1:6" x14ac:dyDescent="0.35">
      <c r="A1098" s="4" t="s">
        <v>6344</v>
      </c>
      <c r="B1098" s="5" t="s">
        <v>3630</v>
      </c>
      <c r="C1098" s="5" t="s">
        <v>1776</v>
      </c>
      <c r="D1098" s="5" t="s">
        <v>13</v>
      </c>
      <c r="E1098" s="6">
        <v>1355</v>
      </c>
      <c r="F1098" s="5" t="str">
        <f>HYPERLINK("https://www.google.com/maps/search/?api=1&amp;query=24.83112837,46.6431487", "View Map")</f>
        <v>View Map</v>
      </c>
    </row>
    <row r="1099" spans="1:6" x14ac:dyDescent="0.35">
      <c r="A1099" s="4" t="s">
        <v>6725</v>
      </c>
      <c r="B1099" s="5" t="s">
        <v>3632</v>
      </c>
      <c r="C1099" s="5" t="s">
        <v>1776</v>
      </c>
      <c r="D1099" s="5" t="s">
        <v>13</v>
      </c>
      <c r="E1099" s="6">
        <v>1354</v>
      </c>
      <c r="F1099" s="5" t="str">
        <f>HYPERLINK("https://www.google.com/maps/search/?api=1&amp;query=24.61602621,46.73136835", "View Map")</f>
        <v>View Map</v>
      </c>
    </row>
    <row r="1100" spans="1:6" x14ac:dyDescent="0.35">
      <c r="A1100" s="4" t="s">
        <v>6726</v>
      </c>
      <c r="B1100" s="5" t="s">
        <v>3634</v>
      </c>
      <c r="C1100" s="5" t="s">
        <v>1776</v>
      </c>
      <c r="D1100" s="5" t="s">
        <v>13</v>
      </c>
      <c r="E1100" s="6">
        <v>1353</v>
      </c>
      <c r="F1100" s="5" t="str">
        <f>HYPERLINK("https://www.google.com/maps/search/?api=1&amp;query=24.79599211,46.78337301", "View Map")</f>
        <v>View Map</v>
      </c>
    </row>
    <row r="1101" spans="1:6" x14ac:dyDescent="0.35">
      <c r="A1101" s="4" t="s">
        <v>6727</v>
      </c>
      <c r="B1101" s="5" t="s">
        <v>3636</v>
      </c>
      <c r="C1101" s="5" t="s">
        <v>1776</v>
      </c>
      <c r="D1101" s="5" t="s">
        <v>13</v>
      </c>
      <c r="E1101" s="6">
        <v>1353</v>
      </c>
      <c r="F1101" s="5" t="str">
        <f>HYPERLINK("https://www.google.com/maps/search/?api=1&amp;query=24.7977096,46.88642291", "View Map")</f>
        <v>View Map</v>
      </c>
    </row>
    <row r="1102" spans="1:6" x14ac:dyDescent="0.35">
      <c r="A1102" s="4" t="s">
        <v>6543</v>
      </c>
      <c r="B1102" s="5" t="s">
        <v>3637</v>
      </c>
      <c r="C1102" s="5" t="s">
        <v>1776</v>
      </c>
      <c r="D1102" s="5" t="s">
        <v>13</v>
      </c>
      <c r="E1102" s="6">
        <v>1351</v>
      </c>
      <c r="F1102" s="5" t="str">
        <f>HYPERLINK("https://www.google.com/maps/search/?api=1&amp;query=24.68834519,46.68858984", "View Map")</f>
        <v>View Map</v>
      </c>
    </row>
    <row r="1103" spans="1:6" x14ac:dyDescent="0.35">
      <c r="A1103" s="4" t="s">
        <v>5978</v>
      </c>
      <c r="B1103" s="5" t="s">
        <v>3638</v>
      </c>
      <c r="C1103" s="5" t="s">
        <v>1776</v>
      </c>
      <c r="D1103" s="5" t="s">
        <v>13</v>
      </c>
      <c r="E1103" s="6">
        <v>1351</v>
      </c>
      <c r="F1103" s="5" t="str">
        <f>HYPERLINK("https://www.google.com/maps/search/?api=1&amp;query=24.78080606,46.90159083", "View Map")</f>
        <v>View Map</v>
      </c>
    </row>
    <row r="1104" spans="1:6" x14ac:dyDescent="0.35">
      <c r="A1104" s="4" t="s">
        <v>6728</v>
      </c>
      <c r="B1104" s="5" t="s">
        <v>3640</v>
      </c>
      <c r="C1104" s="5" t="s">
        <v>1776</v>
      </c>
      <c r="D1104" s="5" t="s">
        <v>13</v>
      </c>
      <c r="E1104" s="6">
        <v>1351</v>
      </c>
      <c r="F1104" s="5" t="str">
        <f>HYPERLINK("https://www.google.com/maps/search/?api=1&amp;query=24.67754261,46.5914872", "View Map")</f>
        <v>View Map</v>
      </c>
    </row>
    <row r="1105" spans="1:6" x14ac:dyDescent="0.35">
      <c r="A1105" s="4" t="s">
        <v>6084</v>
      </c>
      <c r="B1105" s="5" t="s">
        <v>3641</v>
      </c>
      <c r="C1105" s="5" t="s">
        <v>1776</v>
      </c>
      <c r="D1105" s="5" t="s">
        <v>13</v>
      </c>
      <c r="E1105" s="6">
        <v>1350</v>
      </c>
      <c r="F1105" s="5" t="str">
        <f>HYPERLINK("https://www.google.com/maps/search/?api=1&amp;query=24.7703171,46.73542049", "View Map")</f>
        <v>View Map</v>
      </c>
    </row>
    <row r="1106" spans="1:6" x14ac:dyDescent="0.35">
      <c r="A1106" s="4" t="s">
        <v>6060</v>
      </c>
      <c r="B1106" s="5" t="s">
        <v>3642</v>
      </c>
      <c r="C1106" s="5" t="s">
        <v>1776</v>
      </c>
      <c r="D1106" s="5" t="s">
        <v>13</v>
      </c>
      <c r="E1106" s="6">
        <v>1350</v>
      </c>
      <c r="F1106" s="5" t="str">
        <f>HYPERLINK("https://www.google.com/maps/search/?api=1&amp;query=24.75253842,46.77390533", "View Map")</f>
        <v>View Map</v>
      </c>
    </row>
    <row r="1107" spans="1:6" x14ac:dyDescent="0.35">
      <c r="A1107" s="4" t="s">
        <v>6729</v>
      </c>
      <c r="B1107" s="5" t="s">
        <v>3644</v>
      </c>
      <c r="C1107" s="5" t="s">
        <v>1776</v>
      </c>
      <c r="D1107" s="5" t="s">
        <v>13</v>
      </c>
      <c r="E1107" s="6">
        <v>1349</v>
      </c>
      <c r="F1107" s="5" t="str">
        <f>HYPERLINK("https://www.google.com/maps/search/?api=1&amp;query=24.77233472,46.76407745", "View Map")</f>
        <v>View Map</v>
      </c>
    </row>
    <row r="1108" spans="1:6" x14ac:dyDescent="0.35">
      <c r="A1108" s="4" t="s">
        <v>6730</v>
      </c>
      <c r="B1108" s="5" t="s">
        <v>3646</v>
      </c>
      <c r="C1108" s="5" t="s">
        <v>1776</v>
      </c>
      <c r="D1108" s="5" t="s">
        <v>13</v>
      </c>
      <c r="E1108" s="6">
        <v>1348</v>
      </c>
      <c r="F1108" s="5" t="str">
        <f>HYPERLINK("https://www.google.com/maps/search/?api=1&amp;query=24.7559137,46.69511064", "View Map")</f>
        <v>View Map</v>
      </c>
    </row>
    <row r="1109" spans="1:6" x14ac:dyDescent="0.35">
      <c r="A1109" s="4" t="s">
        <v>6039</v>
      </c>
      <c r="B1109" s="5" t="s">
        <v>3647</v>
      </c>
      <c r="C1109" s="5" t="s">
        <v>1776</v>
      </c>
      <c r="D1109" s="5" t="s">
        <v>13</v>
      </c>
      <c r="E1109" s="6">
        <v>1348</v>
      </c>
      <c r="F1109" s="5" t="str">
        <f>HYPERLINK("https://www.google.com/maps/search/?api=1&amp;query=24.54953302,46.51187358", "View Map")</f>
        <v>View Map</v>
      </c>
    </row>
    <row r="1110" spans="1:6" x14ac:dyDescent="0.35">
      <c r="A1110" s="4" t="s">
        <v>6731</v>
      </c>
      <c r="B1110" s="5" t="s">
        <v>3649</v>
      </c>
      <c r="C1110" s="5" t="s">
        <v>1776</v>
      </c>
      <c r="D1110" s="5" t="s">
        <v>13</v>
      </c>
      <c r="E1110" s="6">
        <v>1347</v>
      </c>
      <c r="F1110" s="5" t="str">
        <f>HYPERLINK("https://www.google.com/maps/search/?api=1&amp;query=24.63808177,46.68976008", "View Map")</f>
        <v>View Map</v>
      </c>
    </row>
    <row r="1111" spans="1:6" x14ac:dyDescent="0.35">
      <c r="A1111" s="4" t="s">
        <v>6732</v>
      </c>
      <c r="B1111" s="5" t="s">
        <v>3651</v>
      </c>
      <c r="C1111" s="5" t="s">
        <v>1776</v>
      </c>
      <c r="D1111" s="5" t="s">
        <v>13</v>
      </c>
      <c r="E1111" s="6">
        <v>1346</v>
      </c>
      <c r="F1111" s="5" t="str">
        <f>HYPERLINK("https://www.google.com/maps/search/?api=1&amp;query=24.5967444,46.77607166", "View Map")</f>
        <v>View Map</v>
      </c>
    </row>
    <row r="1112" spans="1:6" x14ac:dyDescent="0.35">
      <c r="A1112" s="4" t="s">
        <v>6733</v>
      </c>
      <c r="B1112" s="5" t="s">
        <v>3653</v>
      </c>
      <c r="C1112" s="5" t="s">
        <v>1843</v>
      </c>
      <c r="D1112" s="5" t="s">
        <v>13</v>
      </c>
      <c r="E1112" s="6">
        <v>1344</v>
      </c>
      <c r="F1112" s="5" t="str">
        <f>HYPERLINK("https://www.google.com/maps/search/?api=1&amp;query=24.89695548,46.29572851", "View Map")</f>
        <v>View Map</v>
      </c>
    </row>
    <row r="1113" spans="1:6" x14ac:dyDescent="0.35">
      <c r="A1113" s="4" t="s">
        <v>5974</v>
      </c>
      <c r="B1113" s="5" t="s">
        <v>3654</v>
      </c>
      <c r="C1113" s="5" t="s">
        <v>1776</v>
      </c>
      <c r="D1113" s="5" t="s">
        <v>13</v>
      </c>
      <c r="E1113" s="6">
        <v>1342</v>
      </c>
      <c r="F1113" s="5" t="str">
        <f>HYPERLINK("https://www.google.com/maps/search/?api=1&amp;query=24.75990983,46.80886356", "View Map")</f>
        <v>View Map</v>
      </c>
    </row>
    <row r="1114" spans="1:6" x14ac:dyDescent="0.35">
      <c r="A1114" s="4" t="s">
        <v>6734</v>
      </c>
      <c r="B1114" s="5" t="s">
        <v>3656</v>
      </c>
      <c r="C1114" s="5" t="s">
        <v>1776</v>
      </c>
      <c r="D1114" s="5" t="s">
        <v>13</v>
      </c>
      <c r="E1114" s="6">
        <v>1342</v>
      </c>
      <c r="F1114" s="5" t="str">
        <f>HYPERLINK("https://www.google.com/maps/search/?api=1&amp;query=24.80533717,46.88850322", "View Map")</f>
        <v>View Map</v>
      </c>
    </row>
    <row r="1115" spans="1:6" x14ac:dyDescent="0.35">
      <c r="A1115" s="4" t="s">
        <v>5974</v>
      </c>
      <c r="B1115" s="5" t="s">
        <v>3657</v>
      </c>
      <c r="C1115" s="5" t="s">
        <v>1776</v>
      </c>
      <c r="D1115" s="5" t="s">
        <v>13</v>
      </c>
      <c r="E1115" s="6">
        <v>1341</v>
      </c>
      <c r="F1115" s="5" t="str">
        <f>HYPERLINK("https://www.google.com/maps/search/?api=1&amp;query=24.83516737,46.67086883", "View Map")</f>
        <v>View Map</v>
      </c>
    </row>
    <row r="1116" spans="1:6" x14ac:dyDescent="0.35">
      <c r="A1116" s="4" t="s">
        <v>6735</v>
      </c>
      <c r="B1116" s="5" t="s">
        <v>3659</v>
      </c>
      <c r="C1116" s="5" t="s">
        <v>1776</v>
      </c>
      <c r="D1116" s="5" t="s">
        <v>13</v>
      </c>
      <c r="E1116" s="6">
        <v>1340</v>
      </c>
      <c r="F1116" s="5" t="str">
        <f>HYPERLINK("https://www.google.com/maps/search/?api=1&amp;query=24.57815744,46.69922591", "View Map")</f>
        <v>View Map</v>
      </c>
    </row>
    <row r="1117" spans="1:6" x14ac:dyDescent="0.35">
      <c r="A1117" s="4" t="s">
        <v>6178</v>
      </c>
      <c r="B1117" s="5" t="s">
        <v>3660</v>
      </c>
      <c r="C1117" s="5" t="s">
        <v>1776</v>
      </c>
      <c r="D1117" s="5" t="s">
        <v>13</v>
      </c>
      <c r="E1117" s="6">
        <v>1340</v>
      </c>
      <c r="F1117" s="5" t="str">
        <f>HYPERLINK("https://www.google.com/maps/search/?api=1&amp;query=24.75101427,46.80759035", "View Map")</f>
        <v>View Map</v>
      </c>
    </row>
    <row r="1118" spans="1:6" x14ac:dyDescent="0.35">
      <c r="A1118" s="4" t="s">
        <v>6736</v>
      </c>
      <c r="B1118" s="5" t="s">
        <v>3662</v>
      </c>
      <c r="C1118" s="5" t="s">
        <v>1776</v>
      </c>
      <c r="D1118" s="5" t="s">
        <v>13</v>
      </c>
      <c r="E1118" s="6">
        <v>1340</v>
      </c>
      <c r="F1118" s="5" t="str">
        <f>HYPERLINK("https://www.google.com/maps/search/?api=1&amp;query=24.53392485,46.6891485", "View Map")</f>
        <v>View Map</v>
      </c>
    </row>
    <row r="1119" spans="1:6" x14ac:dyDescent="0.35">
      <c r="A1119" s="4" t="s">
        <v>6737</v>
      </c>
      <c r="B1119" s="5" t="s">
        <v>3664</v>
      </c>
      <c r="C1119" s="5" t="s">
        <v>1776</v>
      </c>
      <c r="D1119" s="5" t="s">
        <v>9</v>
      </c>
      <c r="E1119" s="6">
        <v>1339</v>
      </c>
      <c r="F1119" s="5" t="str">
        <f>HYPERLINK("https://www.google.com/maps/search/?api=1&amp;query=24.78050639,46.63293172", "View Map")</f>
        <v>View Map</v>
      </c>
    </row>
    <row r="1120" spans="1:6" x14ac:dyDescent="0.35">
      <c r="A1120" s="4" t="s">
        <v>6738</v>
      </c>
      <c r="B1120" s="5" t="s">
        <v>3666</v>
      </c>
      <c r="C1120" s="5" t="s">
        <v>1776</v>
      </c>
      <c r="D1120" s="5" t="s">
        <v>13</v>
      </c>
      <c r="E1120" s="6">
        <v>1338</v>
      </c>
      <c r="F1120" s="5" t="str">
        <f>HYPERLINK("https://www.google.com/maps/search/?api=1&amp;query=24.78614356,46.69842723", "View Map")</f>
        <v>View Map</v>
      </c>
    </row>
    <row r="1121" spans="1:6" x14ac:dyDescent="0.35">
      <c r="A1121" s="4" t="s">
        <v>5974</v>
      </c>
      <c r="B1121" s="5" t="s">
        <v>3667</v>
      </c>
      <c r="C1121" s="5" t="s">
        <v>1776</v>
      </c>
      <c r="D1121" s="5" t="s">
        <v>13</v>
      </c>
      <c r="E1121" s="6">
        <v>1338</v>
      </c>
      <c r="F1121" s="5" t="str">
        <f>HYPERLINK("https://www.google.com/maps/search/?api=1&amp;query=24.83921676,46.67400011", "View Map")</f>
        <v>View Map</v>
      </c>
    </row>
    <row r="1122" spans="1:6" x14ac:dyDescent="0.35">
      <c r="A1122" s="4" t="s">
        <v>6739</v>
      </c>
      <c r="B1122" s="5" t="s">
        <v>3669</v>
      </c>
      <c r="C1122" s="5" t="s">
        <v>1776</v>
      </c>
      <c r="D1122" s="5" t="s">
        <v>13</v>
      </c>
      <c r="E1122" s="6">
        <v>1337</v>
      </c>
      <c r="F1122" s="5" t="str">
        <f>HYPERLINK("https://www.google.com/maps/search/?api=1&amp;query=24.70598691,46.8031689", "View Map")</f>
        <v>View Map</v>
      </c>
    </row>
    <row r="1123" spans="1:6" x14ac:dyDescent="0.35">
      <c r="A1123" s="4" t="s">
        <v>5974</v>
      </c>
      <c r="B1123" s="5" t="s">
        <v>3670</v>
      </c>
      <c r="C1123" s="5" t="s">
        <v>1776</v>
      </c>
      <c r="D1123" s="5" t="s">
        <v>13</v>
      </c>
      <c r="E1123" s="6">
        <v>1335</v>
      </c>
      <c r="F1123" s="5" t="str">
        <f>HYPERLINK("https://www.google.com/maps/search/?api=1&amp;query=24.83112837,46.6431487", "View Map")</f>
        <v>View Map</v>
      </c>
    </row>
    <row r="1124" spans="1:6" x14ac:dyDescent="0.35">
      <c r="A1124" s="4" t="s">
        <v>5974</v>
      </c>
      <c r="B1124" s="5" t="s">
        <v>3671</v>
      </c>
      <c r="C1124" s="5" t="s">
        <v>1776</v>
      </c>
      <c r="D1124" s="5" t="s">
        <v>13</v>
      </c>
      <c r="E1124" s="6">
        <v>1333</v>
      </c>
      <c r="F1124" s="5" t="str">
        <f>HYPERLINK("https://www.google.com/maps/search/?api=1&amp;query=24.69686076,46.59503573", "View Map")</f>
        <v>View Map</v>
      </c>
    </row>
    <row r="1125" spans="1:6" x14ac:dyDescent="0.35">
      <c r="A1125" s="4" t="s">
        <v>6740</v>
      </c>
      <c r="B1125" s="5" t="s">
        <v>3673</v>
      </c>
      <c r="C1125" s="5" t="s">
        <v>1776</v>
      </c>
      <c r="D1125" s="5" t="s">
        <v>13</v>
      </c>
      <c r="E1125" s="6">
        <v>1333</v>
      </c>
      <c r="F1125" s="5" t="str">
        <f>HYPERLINK("https://www.google.com/maps/search/?api=1&amp;query=24.56969289,46.77974741", "View Map")</f>
        <v>View Map</v>
      </c>
    </row>
    <row r="1126" spans="1:6" x14ac:dyDescent="0.35">
      <c r="A1126" s="4" t="s">
        <v>6741</v>
      </c>
      <c r="B1126" s="5" t="s">
        <v>3675</v>
      </c>
      <c r="C1126" s="5" t="s">
        <v>1776</v>
      </c>
      <c r="D1126" s="5" t="s">
        <v>9</v>
      </c>
      <c r="E1126" s="6">
        <v>1332</v>
      </c>
      <c r="F1126" s="5" t="str">
        <f>HYPERLINK("https://www.google.com/maps/search/?api=1&amp;query=24.6351631,46.70024726", "View Map")</f>
        <v>View Map</v>
      </c>
    </row>
    <row r="1127" spans="1:6" x14ac:dyDescent="0.35">
      <c r="A1127" s="4" t="s">
        <v>5974</v>
      </c>
      <c r="B1127" s="5" t="s">
        <v>3676</v>
      </c>
      <c r="C1127" s="5" t="s">
        <v>1776</v>
      </c>
      <c r="D1127" s="5" t="s">
        <v>13</v>
      </c>
      <c r="E1127" s="6">
        <v>1328</v>
      </c>
      <c r="F1127" s="5" t="str">
        <f>HYPERLINK("https://www.google.com/maps/search/?api=1&amp;query=24.83819136,46.64715421", "View Map")</f>
        <v>View Map</v>
      </c>
    </row>
    <row r="1128" spans="1:6" x14ac:dyDescent="0.35">
      <c r="A1128" s="4" t="s">
        <v>6742</v>
      </c>
      <c r="B1128" s="5" t="s">
        <v>3678</v>
      </c>
      <c r="C1128" s="5" t="s">
        <v>1776</v>
      </c>
      <c r="D1128" s="5" t="s">
        <v>9</v>
      </c>
      <c r="E1128" s="6">
        <v>1327</v>
      </c>
      <c r="F1128" s="5" t="str">
        <f>HYPERLINK("https://www.google.com/maps/search/?api=1&amp;query=24.69657684,46.79283871", "View Map")</f>
        <v>View Map</v>
      </c>
    </row>
    <row r="1129" spans="1:6" x14ac:dyDescent="0.35">
      <c r="A1129" s="4" t="s">
        <v>6399</v>
      </c>
      <c r="B1129" s="5" t="s">
        <v>3679</v>
      </c>
      <c r="C1129" s="5" t="s">
        <v>1776</v>
      </c>
      <c r="D1129" s="5" t="s">
        <v>13</v>
      </c>
      <c r="E1129" s="6">
        <v>1324</v>
      </c>
      <c r="F1129" s="5" t="str">
        <f>HYPERLINK("https://www.google.com/maps/search/?api=1&amp;query=24.72069939,46.78038202", "View Map")</f>
        <v>View Map</v>
      </c>
    </row>
    <row r="1130" spans="1:6" x14ac:dyDescent="0.35">
      <c r="A1130" s="4" t="s">
        <v>6743</v>
      </c>
      <c r="B1130" s="5" t="s">
        <v>3681</v>
      </c>
      <c r="C1130" s="5" t="s">
        <v>1776</v>
      </c>
      <c r="D1130" s="5" t="s">
        <v>13</v>
      </c>
      <c r="E1130" s="6">
        <v>1322</v>
      </c>
      <c r="F1130" s="5" t="str">
        <f>HYPERLINK("https://www.google.com/maps/search/?api=1&amp;query=24.71793968,46.65749159", "View Map")</f>
        <v>View Map</v>
      </c>
    </row>
    <row r="1131" spans="1:6" x14ac:dyDescent="0.35">
      <c r="A1131" s="4" t="s">
        <v>6744</v>
      </c>
      <c r="B1131" s="5" t="s">
        <v>3683</v>
      </c>
      <c r="C1131" s="5" t="s">
        <v>1776</v>
      </c>
      <c r="D1131" s="5" t="s">
        <v>13</v>
      </c>
      <c r="E1131" s="6">
        <v>1319</v>
      </c>
      <c r="F1131" s="5" t="str">
        <f>HYPERLINK("https://www.google.com/maps/search/?api=1&amp;query=24.72529694,46.66042227", "View Map")</f>
        <v>View Map</v>
      </c>
    </row>
    <row r="1132" spans="1:6" x14ac:dyDescent="0.35">
      <c r="A1132" s="4" t="s">
        <v>6745</v>
      </c>
      <c r="B1132" s="5" t="s">
        <v>3685</v>
      </c>
      <c r="C1132" s="5" t="s">
        <v>1776</v>
      </c>
      <c r="D1132" s="5" t="s">
        <v>13</v>
      </c>
      <c r="E1132" s="6">
        <v>1316</v>
      </c>
      <c r="F1132" s="5" t="str">
        <f>HYPERLINK("https://www.google.com/maps/search/?api=1&amp;query=24.81758851,46.62703273", "View Map")</f>
        <v>View Map</v>
      </c>
    </row>
    <row r="1133" spans="1:6" x14ac:dyDescent="0.35">
      <c r="A1133" s="4" t="s">
        <v>6746</v>
      </c>
      <c r="B1133" s="5" t="s">
        <v>3687</v>
      </c>
      <c r="C1133" s="5" t="s">
        <v>1776</v>
      </c>
      <c r="D1133" s="5" t="s">
        <v>13</v>
      </c>
      <c r="E1133" s="6">
        <v>1316</v>
      </c>
      <c r="F1133" s="5" t="str">
        <f>HYPERLINK("https://www.google.com/maps/search/?api=1&amp;query=24.5689183,46.70834998", "View Map")</f>
        <v>View Map</v>
      </c>
    </row>
    <row r="1134" spans="1:6" x14ac:dyDescent="0.35">
      <c r="A1134" s="4" t="s">
        <v>6747</v>
      </c>
      <c r="B1134" s="5" t="s">
        <v>3689</v>
      </c>
      <c r="C1134" s="5" t="s">
        <v>1776</v>
      </c>
      <c r="D1134" s="5" t="s">
        <v>13</v>
      </c>
      <c r="E1134" s="6">
        <v>1314</v>
      </c>
      <c r="F1134" s="5" t="str">
        <f>HYPERLINK("https://www.google.com/maps/search/?api=1&amp;query=24.78442,46.6849", "View Map")</f>
        <v>View Map</v>
      </c>
    </row>
    <row r="1135" spans="1:6" x14ac:dyDescent="0.35">
      <c r="A1135" s="4" t="s">
        <v>5974</v>
      </c>
      <c r="B1135" s="5" t="s">
        <v>3690</v>
      </c>
      <c r="C1135" s="5" t="s">
        <v>1776</v>
      </c>
      <c r="D1135" s="5" t="s">
        <v>9</v>
      </c>
      <c r="E1135" s="6">
        <v>1314</v>
      </c>
      <c r="F1135" s="5" t="str">
        <f>HYPERLINK("https://www.google.com/maps/search/?api=1&amp;query=24.74720507,46.62626778", "View Map")</f>
        <v>View Map</v>
      </c>
    </row>
    <row r="1136" spans="1:6" x14ac:dyDescent="0.35">
      <c r="A1136" s="4" t="s">
        <v>6748</v>
      </c>
      <c r="B1136" s="5" t="s">
        <v>3692</v>
      </c>
      <c r="C1136" s="5" t="s">
        <v>1776</v>
      </c>
      <c r="D1136" s="5" t="s">
        <v>9</v>
      </c>
      <c r="E1136" s="6">
        <v>1313</v>
      </c>
      <c r="F1136" s="5" t="str">
        <f>HYPERLINK("https://www.google.com/maps/search/?api=1&amp;query=24.62594388,46.69826527", "View Map")</f>
        <v>View Map</v>
      </c>
    </row>
    <row r="1137" spans="1:6" x14ac:dyDescent="0.35">
      <c r="A1137" s="4" t="s">
        <v>6317</v>
      </c>
      <c r="B1137" s="5" t="s">
        <v>3693</v>
      </c>
      <c r="C1137" s="5" t="s">
        <v>1776</v>
      </c>
      <c r="D1137" s="5" t="s">
        <v>13</v>
      </c>
      <c r="E1137" s="6">
        <v>1312</v>
      </c>
      <c r="F1137" s="5" t="str">
        <f>HYPERLINK("https://www.google.com/maps/search/?api=1&amp;query=24.66250716,46.72494639", "View Map")</f>
        <v>View Map</v>
      </c>
    </row>
    <row r="1138" spans="1:6" x14ac:dyDescent="0.35">
      <c r="A1138" s="4" t="s">
        <v>6749</v>
      </c>
      <c r="B1138" s="5" t="s">
        <v>3695</v>
      </c>
      <c r="C1138" s="5" t="s">
        <v>1776</v>
      </c>
      <c r="D1138" s="5" t="s">
        <v>13</v>
      </c>
      <c r="E1138" s="6">
        <v>1311</v>
      </c>
      <c r="F1138" s="5" t="str">
        <f>HYPERLINK("https://www.google.com/maps/search/?api=1&amp;query=24.78109607,46.68228071", "View Map")</f>
        <v>View Map</v>
      </c>
    </row>
    <row r="1139" spans="1:6" x14ac:dyDescent="0.35">
      <c r="A1139" s="4" t="s">
        <v>6750</v>
      </c>
      <c r="B1139" s="5" t="s">
        <v>3697</v>
      </c>
      <c r="C1139" s="5" t="s">
        <v>1776</v>
      </c>
      <c r="D1139" s="5" t="s">
        <v>13</v>
      </c>
      <c r="E1139" s="6">
        <v>1311</v>
      </c>
      <c r="F1139" s="5" t="str">
        <f>HYPERLINK("https://www.google.com/maps/search/?api=1&amp;query=24.71854783,46.81383625", "View Map")</f>
        <v>View Map</v>
      </c>
    </row>
    <row r="1140" spans="1:6" x14ac:dyDescent="0.35">
      <c r="A1140" s="4" t="s">
        <v>6039</v>
      </c>
      <c r="B1140" s="5" t="s">
        <v>3698</v>
      </c>
      <c r="C1140" s="5" t="s">
        <v>1776</v>
      </c>
      <c r="D1140" s="5" t="s">
        <v>9</v>
      </c>
      <c r="E1140" s="6">
        <v>1310</v>
      </c>
      <c r="F1140" s="5" t="str">
        <f>HYPERLINK("https://www.google.com/maps/search/?api=1&amp;query=24.557567,46.55944384", "View Map")</f>
        <v>View Map</v>
      </c>
    </row>
    <row r="1141" spans="1:6" x14ac:dyDescent="0.35">
      <c r="A1141" s="4" t="s">
        <v>6751</v>
      </c>
      <c r="B1141" s="5" t="s">
        <v>3700</v>
      </c>
      <c r="C1141" s="5" t="s">
        <v>1776</v>
      </c>
      <c r="D1141" s="5" t="s">
        <v>13</v>
      </c>
      <c r="E1141" s="6">
        <v>1309</v>
      </c>
      <c r="F1141" s="5" t="str">
        <f>HYPERLINK("https://www.google.com/maps/search/?api=1&amp;query=24.71556644,46.6618734", "View Map")</f>
        <v>View Map</v>
      </c>
    </row>
    <row r="1142" spans="1:6" x14ac:dyDescent="0.35">
      <c r="A1142" s="4" t="s">
        <v>6752</v>
      </c>
      <c r="B1142" s="5" t="s">
        <v>3702</v>
      </c>
      <c r="C1142" s="5" t="s">
        <v>1776</v>
      </c>
      <c r="D1142" s="5" t="s">
        <v>13</v>
      </c>
      <c r="E1142" s="6">
        <v>1308</v>
      </c>
      <c r="F1142" s="5" t="str">
        <f>HYPERLINK("https://www.google.com/maps/search/?api=1&amp;query=24.58192621,46.74366794", "View Map")</f>
        <v>View Map</v>
      </c>
    </row>
    <row r="1143" spans="1:6" x14ac:dyDescent="0.35">
      <c r="A1143" s="4" t="s">
        <v>6679</v>
      </c>
      <c r="B1143" s="5" t="s">
        <v>3703</v>
      </c>
      <c r="C1143" s="5" t="s">
        <v>1776</v>
      </c>
      <c r="D1143" s="5" t="s">
        <v>13</v>
      </c>
      <c r="E1143" s="6">
        <v>1308</v>
      </c>
      <c r="F1143" s="5" t="str">
        <f>HYPERLINK("https://www.google.com/maps/search/?api=1&amp;query=24.79597795,46.70048079", "View Map")</f>
        <v>View Map</v>
      </c>
    </row>
    <row r="1144" spans="1:6" x14ac:dyDescent="0.35">
      <c r="A1144" s="4" t="s">
        <v>6753</v>
      </c>
      <c r="B1144" s="5" t="s">
        <v>3705</v>
      </c>
      <c r="C1144" s="5" t="s">
        <v>1776</v>
      </c>
      <c r="D1144" s="5" t="s">
        <v>13</v>
      </c>
      <c r="E1144" s="6">
        <v>1306</v>
      </c>
      <c r="F1144" s="5" t="str">
        <f>HYPERLINK("https://www.google.com/maps/search/?api=1&amp;query=24.78099291,46.7864211", "View Map")</f>
        <v>View Map</v>
      </c>
    </row>
    <row r="1145" spans="1:6" x14ac:dyDescent="0.35">
      <c r="A1145" s="4" t="s">
        <v>6754</v>
      </c>
      <c r="B1145" s="5" t="s">
        <v>3707</v>
      </c>
      <c r="C1145" s="5" t="s">
        <v>1776</v>
      </c>
      <c r="D1145" s="5" t="s">
        <v>13</v>
      </c>
      <c r="E1145" s="6">
        <v>1305</v>
      </c>
      <c r="F1145" s="5" t="str">
        <f>HYPERLINK("https://www.google.com/maps/search/?api=1&amp;query=24.8139523,46.79696303", "View Map")</f>
        <v>View Map</v>
      </c>
    </row>
    <row r="1146" spans="1:6" x14ac:dyDescent="0.35">
      <c r="A1146" s="4" t="s">
        <v>6755</v>
      </c>
      <c r="B1146" s="5" t="s">
        <v>3709</v>
      </c>
      <c r="C1146" s="5" t="s">
        <v>1776</v>
      </c>
      <c r="D1146" s="5" t="s">
        <v>13</v>
      </c>
      <c r="E1146" s="6">
        <v>1305</v>
      </c>
      <c r="F1146" s="5" t="str">
        <f>HYPERLINK("https://www.google.com/maps/search/?api=1&amp;query=24.69888548,46.81699186", "View Map")</f>
        <v>View Map</v>
      </c>
    </row>
    <row r="1147" spans="1:6" x14ac:dyDescent="0.35">
      <c r="A1147" s="4" t="s">
        <v>6756</v>
      </c>
      <c r="B1147" s="5" t="s">
        <v>3711</v>
      </c>
      <c r="C1147" s="5" t="s">
        <v>1776</v>
      </c>
      <c r="D1147" s="5" t="s">
        <v>13</v>
      </c>
      <c r="E1147" s="6">
        <v>1305</v>
      </c>
      <c r="F1147" s="5" t="str">
        <f>HYPERLINK("https://www.google.com/maps/search/?api=1&amp;query=24.76598521,46.74771817", "View Map")</f>
        <v>View Map</v>
      </c>
    </row>
    <row r="1148" spans="1:6" x14ac:dyDescent="0.35">
      <c r="A1148" s="4" t="s">
        <v>6757</v>
      </c>
      <c r="B1148" s="5" t="s">
        <v>3713</v>
      </c>
      <c r="C1148" s="5" t="s">
        <v>1776</v>
      </c>
      <c r="D1148" s="5" t="s">
        <v>9</v>
      </c>
      <c r="E1148" s="6">
        <v>1305</v>
      </c>
      <c r="F1148" s="5" t="str">
        <f>HYPERLINK("https://www.google.com/maps/search/?api=1&amp;query=24.79445521,46.69715011", "View Map")</f>
        <v>View Map</v>
      </c>
    </row>
    <row r="1149" spans="1:6" x14ac:dyDescent="0.35">
      <c r="A1149" s="4" t="s">
        <v>6758</v>
      </c>
      <c r="B1149" s="5" t="s">
        <v>3715</v>
      </c>
      <c r="C1149" s="5" t="s">
        <v>1776</v>
      </c>
      <c r="D1149" s="5" t="s">
        <v>13</v>
      </c>
      <c r="E1149" s="6">
        <v>1304</v>
      </c>
      <c r="F1149" s="5" t="str">
        <f>HYPERLINK("https://www.google.com/maps/search/?api=1&amp;query=24.82287554,46.8130742", "View Map")</f>
        <v>View Map</v>
      </c>
    </row>
    <row r="1150" spans="1:6" x14ac:dyDescent="0.35">
      <c r="A1150" s="4" t="s">
        <v>6759</v>
      </c>
      <c r="B1150" s="5" t="s">
        <v>3717</v>
      </c>
      <c r="C1150" s="5" t="s">
        <v>1776</v>
      </c>
      <c r="D1150" s="5" t="s">
        <v>13</v>
      </c>
      <c r="E1150" s="6">
        <v>1304</v>
      </c>
      <c r="F1150" s="5" t="str">
        <f>HYPERLINK("https://www.google.com/maps/search/?api=1&amp;query=24.78738884,46.62578337", "View Map")</f>
        <v>View Map</v>
      </c>
    </row>
    <row r="1151" spans="1:6" x14ac:dyDescent="0.35">
      <c r="A1151" s="4" t="s">
        <v>6760</v>
      </c>
      <c r="B1151" s="5" t="s">
        <v>3719</v>
      </c>
      <c r="C1151" s="5" t="s">
        <v>1776</v>
      </c>
      <c r="D1151" s="5" t="s">
        <v>13</v>
      </c>
      <c r="E1151" s="6">
        <v>1304</v>
      </c>
      <c r="F1151" s="5" t="str">
        <f>HYPERLINK("https://www.google.com/maps/search/?api=1&amp;query=24.81095782,46.66806303", "View Map")</f>
        <v>View Map</v>
      </c>
    </row>
    <row r="1152" spans="1:6" x14ac:dyDescent="0.35">
      <c r="A1152" s="4" t="s">
        <v>6039</v>
      </c>
      <c r="B1152" s="5" t="s">
        <v>3720</v>
      </c>
      <c r="C1152" s="5" t="s">
        <v>1776</v>
      </c>
      <c r="D1152" s="5" t="s">
        <v>13</v>
      </c>
      <c r="E1152" s="6">
        <v>1302</v>
      </c>
      <c r="F1152" s="5" t="str">
        <f>HYPERLINK("https://www.google.com/maps/search/?api=1&amp;query=24.67050962,46.57164983", "View Map")</f>
        <v>View Map</v>
      </c>
    </row>
    <row r="1153" spans="1:6" x14ac:dyDescent="0.35">
      <c r="A1153" s="4" t="s">
        <v>6039</v>
      </c>
      <c r="B1153" s="5" t="s">
        <v>3721</v>
      </c>
      <c r="C1153" s="5" t="s">
        <v>1776</v>
      </c>
      <c r="D1153" s="5" t="s">
        <v>13</v>
      </c>
      <c r="E1153" s="6">
        <v>1302</v>
      </c>
      <c r="F1153" s="5" t="str">
        <f>HYPERLINK("https://www.google.com/maps/search/?api=1&amp;query=24.57820144,46.51800233", "View Map")</f>
        <v>View Map</v>
      </c>
    </row>
    <row r="1154" spans="1:6" x14ac:dyDescent="0.35">
      <c r="A1154" s="4" t="s">
        <v>6761</v>
      </c>
      <c r="B1154" s="5" t="s">
        <v>3723</v>
      </c>
      <c r="C1154" s="5" t="s">
        <v>1776</v>
      </c>
      <c r="D1154" s="5" t="s">
        <v>13</v>
      </c>
      <c r="E1154" s="6">
        <v>1301</v>
      </c>
      <c r="F1154" s="5" t="str">
        <f>HYPERLINK("https://www.google.com/maps/search/?api=1&amp;query=24.79302535,46.88215924", "View Map")</f>
        <v>View Map</v>
      </c>
    </row>
    <row r="1155" spans="1:6" x14ac:dyDescent="0.35">
      <c r="A1155" s="4" t="s">
        <v>6762</v>
      </c>
      <c r="B1155" s="5" t="s">
        <v>3725</v>
      </c>
      <c r="C1155" s="5" t="s">
        <v>1776</v>
      </c>
      <c r="D1155" s="5" t="s">
        <v>9</v>
      </c>
      <c r="E1155" s="6">
        <v>1300</v>
      </c>
      <c r="F1155" s="5" t="str">
        <f>HYPERLINK("https://www.google.com/maps/search/?api=1&amp;query=24.73708335,46.78969606", "View Map")</f>
        <v>View Map</v>
      </c>
    </row>
    <row r="1156" spans="1:6" x14ac:dyDescent="0.35">
      <c r="A1156" s="4" t="s">
        <v>5970</v>
      </c>
      <c r="B1156" s="5" t="s">
        <v>3726</v>
      </c>
      <c r="C1156" s="5" t="s">
        <v>1776</v>
      </c>
      <c r="D1156" s="5" t="s">
        <v>9</v>
      </c>
      <c r="E1156" s="6">
        <v>1299</v>
      </c>
      <c r="F1156" s="5" t="str">
        <f>HYPERLINK("https://www.google.com/maps/search/?api=1&amp;query=24.62634079,46.55282724", "View Map")</f>
        <v>View Map</v>
      </c>
    </row>
    <row r="1157" spans="1:6" x14ac:dyDescent="0.35">
      <c r="A1157" s="4" t="s">
        <v>6763</v>
      </c>
      <c r="B1157" s="5" t="s">
        <v>3728</v>
      </c>
      <c r="C1157" s="5" t="s">
        <v>1776</v>
      </c>
      <c r="D1157" s="5" t="s">
        <v>13</v>
      </c>
      <c r="E1157" s="6">
        <v>1298</v>
      </c>
      <c r="F1157" s="5" t="str">
        <f>HYPERLINK("https://www.google.com/maps/search/?api=1&amp;query=24.67307386,46.81517151", "View Map")</f>
        <v>View Map</v>
      </c>
    </row>
    <row r="1158" spans="1:6" x14ac:dyDescent="0.35">
      <c r="A1158" s="4" t="s">
        <v>6764</v>
      </c>
      <c r="B1158" s="5" t="s">
        <v>3730</v>
      </c>
      <c r="C1158" s="5" t="s">
        <v>1776</v>
      </c>
      <c r="D1158" s="5" t="s">
        <v>13</v>
      </c>
      <c r="E1158" s="6">
        <v>1297</v>
      </c>
      <c r="F1158" s="5" t="str">
        <f>HYPERLINK("https://www.google.com/maps/search/?api=1&amp;query=24.69238149,46.78632073", "View Map")</f>
        <v>View Map</v>
      </c>
    </row>
    <row r="1159" spans="1:6" x14ac:dyDescent="0.35">
      <c r="A1159" s="4" t="s">
        <v>6765</v>
      </c>
      <c r="B1159" s="5" t="s">
        <v>3732</v>
      </c>
      <c r="C1159" s="5" t="s">
        <v>1776</v>
      </c>
      <c r="D1159" s="5" t="s">
        <v>13</v>
      </c>
      <c r="E1159" s="6">
        <v>1297</v>
      </c>
      <c r="F1159" s="5" t="str">
        <f>HYPERLINK("https://www.google.com/maps/search/?api=1&amp;query=24.79970292,46.80872302", "View Map")</f>
        <v>View Map</v>
      </c>
    </row>
    <row r="1160" spans="1:6" x14ac:dyDescent="0.35">
      <c r="A1160" s="4" t="s">
        <v>5974</v>
      </c>
      <c r="B1160" s="5" t="s">
        <v>3733</v>
      </c>
      <c r="C1160" s="5" t="s">
        <v>1776</v>
      </c>
      <c r="D1160" s="5" t="s">
        <v>13</v>
      </c>
      <c r="E1160" s="6">
        <v>1297</v>
      </c>
      <c r="F1160" s="5" t="str">
        <f>HYPERLINK("https://www.google.com/maps/search/?api=1&amp;query=24.63015591,46.74005455", "View Map")</f>
        <v>View Map</v>
      </c>
    </row>
    <row r="1161" spans="1:6" x14ac:dyDescent="0.35">
      <c r="A1161" s="4" t="s">
        <v>6766</v>
      </c>
      <c r="B1161" s="5" t="s">
        <v>3735</v>
      </c>
      <c r="C1161" s="5" t="s">
        <v>1776</v>
      </c>
      <c r="D1161" s="5" t="s">
        <v>13</v>
      </c>
      <c r="E1161" s="6">
        <v>1296</v>
      </c>
      <c r="F1161" s="5" t="str">
        <f>HYPERLINK("https://www.google.com/maps/search/?api=1&amp;query=24.70905937,46.69910084", "View Map")</f>
        <v>View Map</v>
      </c>
    </row>
    <row r="1162" spans="1:6" x14ac:dyDescent="0.35">
      <c r="A1162" s="4" t="s">
        <v>6767</v>
      </c>
      <c r="B1162" s="5" t="s">
        <v>3737</v>
      </c>
      <c r="C1162" s="5" t="s">
        <v>1776</v>
      </c>
      <c r="D1162" s="5" t="s">
        <v>13</v>
      </c>
      <c r="E1162" s="6">
        <v>1295</v>
      </c>
      <c r="F1162" s="5" t="str">
        <f>HYPERLINK("https://www.google.com/maps/search/?api=1&amp;query=24.74180542,46.67161672", "View Map")</f>
        <v>View Map</v>
      </c>
    </row>
    <row r="1163" spans="1:6" x14ac:dyDescent="0.35">
      <c r="A1163" s="4" t="s">
        <v>6768</v>
      </c>
      <c r="B1163" s="5" t="s">
        <v>3739</v>
      </c>
      <c r="C1163" s="5" t="s">
        <v>1776</v>
      </c>
      <c r="D1163" s="5" t="s">
        <v>13</v>
      </c>
      <c r="E1163" s="6">
        <v>1295</v>
      </c>
      <c r="F1163" s="5" t="str">
        <f>HYPERLINK("https://www.google.com/maps/search/?api=1&amp;query=24.77088626,46.78336067", "View Map")</f>
        <v>View Map</v>
      </c>
    </row>
    <row r="1164" spans="1:6" x14ac:dyDescent="0.35">
      <c r="A1164" s="4" t="s">
        <v>6039</v>
      </c>
      <c r="B1164" s="5" t="s">
        <v>3740</v>
      </c>
      <c r="C1164" s="5" t="s">
        <v>1776</v>
      </c>
      <c r="D1164" s="5" t="s">
        <v>13</v>
      </c>
      <c r="E1164" s="6">
        <v>1295</v>
      </c>
      <c r="F1164" s="5" t="str">
        <f>HYPERLINK("https://www.google.com/maps/search/?api=1&amp;query=24.50511626,46.63291877", "View Map")</f>
        <v>View Map</v>
      </c>
    </row>
    <row r="1165" spans="1:6" x14ac:dyDescent="0.35">
      <c r="A1165" s="4" t="s">
        <v>5974</v>
      </c>
      <c r="B1165" s="5" t="s">
        <v>3741</v>
      </c>
      <c r="C1165" s="5" t="s">
        <v>1776</v>
      </c>
      <c r="D1165" s="5" t="s">
        <v>13</v>
      </c>
      <c r="E1165" s="6">
        <v>1295</v>
      </c>
      <c r="F1165" s="5" t="str">
        <f>HYPERLINK("https://www.google.com/maps/search/?api=1&amp;query=24.92241907,46.81864276", "View Map")</f>
        <v>View Map</v>
      </c>
    </row>
    <row r="1166" spans="1:6" x14ac:dyDescent="0.35">
      <c r="A1166" s="4" t="s">
        <v>6769</v>
      </c>
      <c r="B1166" s="5" t="s">
        <v>3743</v>
      </c>
      <c r="C1166" s="5" t="s">
        <v>1776</v>
      </c>
      <c r="D1166" s="5" t="s">
        <v>13</v>
      </c>
      <c r="E1166" s="6">
        <v>1294</v>
      </c>
      <c r="F1166" s="5" t="str">
        <f>HYPERLINK("https://www.google.com/maps/search/?api=1&amp;query=24.76056813,46.60082157", "View Map")</f>
        <v>View Map</v>
      </c>
    </row>
    <row r="1167" spans="1:6" x14ac:dyDescent="0.35">
      <c r="A1167" s="4" t="s">
        <v>5972</v>
      </c>
      <c r="B1167" s="5" t="s">
        <v>3744</v>
      </c>
      <c r="C1167" s="5" t="s">
        <v>1776</v>
      </c>
      <c r="D1167" s="5" t="s">
        <v>9</v>
      </c>
      <c r="E1167" s="6">
        <v>1292</v>
      </c>
      <c r="F1167" s="5" t="str">
        <f>HYPERLINK("https://www.google.com/maps/search/?api=1&amp;query=24.86015672,46.62968782", "View Map")</f>
        <v>View Map</v>
      </c>
    </row>
    <row r="1168" spans="1:6" x14ac:dyDescent="0.35">
      <c r="A1168" s="4" t="s">
        <v>6770</v>
      </c>
      <c r="B1168" s="5" t="s">
        <v>3746</v>
      </c>
      <c r="C1168" s="5" t="s">
        <v>1776</v>
      </c>
      <c r="D1168" s="5" t="s">
        <v>13</v>
      </c>
      <c r="E1168" s="6">
        <v>1292</v>
      </c>
      <c r="F1168" s="5" t="str">
        <f>HYPERLINK("https://www.google.com/maps/search/?api=1&amp;query=24.56843608,46.62294978", "View Map")</f>
        <v>View Map</v>
      </c>
    </row>
    <row r="1169" spans="1:6" x14ac:dyDescent="0.35">
      <c r="A1169" s="4" t="s">
        <v>6771</v>
      </c>
      <c r="B1169" s="5" t="s">
        <v>3748</v>
      </c>
      <c r="C1169" s="5" t="s">
        <v>1776</v>
      </c>
      <c r="D1169" s="5" t="s">
        <v>9</v>
      </c>
      <c r="E1169" s="6">
        <v>1290</v>
      </c>
      <c r="F1169" s="5" t="str">
        <f>HYPERLINK("https://www.google.com/maps/search/?api=1&amp;query=24.74268216,46.84643578", "View Map")</f>
        <v>View Map</v>
      </c>
    </row>
    <row r="1170" spans="1:6" x14ac:dyDescent="0.35">
      <c r="A1170" s="4" t="s">
        <v>5974</v>
      </c>
      <c r="B1170" s="5" t="s">
        <v>3749</v>
      </c>
      <c r="C1170" s="5" t="s">
        <v>1776</v>
      </c>
      <c r="D1170" s="5" t="s">
        <v>13</v>
      </c>
      <c r="E1170" s="6">
        <v>1288</v>
      </c>
      <c r="F1170" s="5" t="str">
        <f>HYPERLINK("https://www.google.com/maps/search/?api=1&amp;query=24.6058,46.5139", "View Map")</f>
        <v>View Map</v>
      </c>
    </row>
    <row r="1171" spans="1:6" x14ac:dyDescent="0.35">
      <c r="A1171" s="4" t="s">
        <v>6772</v>
      </c>
      <c r="B1171" s="5" t="s">
        <v>3751</v>
      </c>
      <c r="C1171" s="5" t="s">
        <v>1776</v>
      </c>
      <c r="D1171" s="5" t="s">
        <v>13</v>
      </c>
      <c r="E1171" s="6">
        <v>1287</v>
      </c>
      <c r="F1171" s="5" t="str">
        <f>HYPERLINK("https://www.google.com/maps/search/?api=1&amp;query=24.73437013,46.82422422", "View Map")</f>
        <v>View Map</v>
      </c>
    </row>
    <row r="1172" spans="1:6" x14ac:dyDescent="0.35">
      <c r="A1172" s="4" t="s">
        <v>6773</v>
      </c>
      <c r="B1172" s="5" t="s">
        <v>3753</v>
      </c>
      <c r="C1172" s="5" t="s">
        <v>1776</v>
      </c>
      <c r="D1172" s="5" t="s">
        <v>13</v>
      </c>
      <c r="E1172" s="6">
        <v>1286</v>
      </c>
      <c r="F1172" s="5" t="str">
        <f>HYPERLINK("https://www.google.com/maps/search/?api=1&amp;query=24.71517356,46.68629492", "View Map")</f>
        <v>View Map</v>
      </c>
    </row>
    <row r="1173" spans="1:6" x14ac:dyDescent="0.35">
      <c r="A1173" s="4" t="s">
        <v>5974</v>
      </c>
      <c r="B1173" s="5" t="s">
        <v>3754</v>
      </c>
      <c r="C1173" s="5" t="s">
        <v>1776</v>
      </c>
      <c r="D1173" s="5" t="s">
        <v>9</v>
      </c>
      <c r="E1173" s="6">
        <v>1286</v>
      </c>
      <c r="F1173" s="5" t="str">
        <f>HYPERLINK("https://www.google.com/maps/search/?api=1&amp;query=24.92525789,46.82341566", "View Map")</f>
        <v>View Map</v>
      </c>
    </row>
    <row r="1174" spans="1:6" x14ac:dyDescent="0.35">
      <c r="A1174" s="4" t="s">
        <v>6774</v>
      </c>
      <c r="B1174" s="5" t="s">
        <v>3756</v>
      </c>
      <c r="C1174" s="5" t="s">
        <v>1776</v>
      </c>
      <c r="D1174" s="5" t="s">
        <v>13</v>
      </c>
      <c r="E1174" s="6">
        <v>1285</v>
      </c>
      <c r="F1174" s="5" t="str">
        <f>HYPERLINK("https://www.google.com/maps/search/?api=1&amp;query=24.63845505,46.71939834", "View Map")</f>
        <v>View Map</v>
      </c>
    </row>
    <row r="1175" spans="1:6" x14ac:dyDescent="0.35">
      <c r="A1175" s="4" t="s">
        <v>6775</v>
      </c>
      <c r="B1175" s="5" t="s">
        <v>3758</v>
      </c>
      <c r="C1175" s="5" t="s">
        <v>1776</v>
      </c>
      <c r="D1175" s="5" t="s">
        <v>13</v>
      </c>
      <c r="E1175" s="6">
        <v>1284</v>
      </c>
      <c r="F1175" s="5" t="str">
        <f>HYPERLINK("https://www.google.com/maps/search/?api=1&amp;query=24.55279457,46.67561901", "View Map")</f>
        <v>View Map</v>
      </c>
    </row>
    <row r="1176" spans="1:6" x14ac:dyDescent="0.35">
      <c r="A1176" s="4" t="s">
        <v>5974</v>
      </c>
      <c r="B1176" s="5" t="s">
        <v>3759</v>
      </c>
      <c r="C1176" s="5" t="s">
        <v>1776</v>
      </c>
      <c r="D1176" s="5" t="s">
        <v>13</v>
      </c>
      <c r="E1176" s="6">
        <v>1284</v>
      </c>
      <c r="F1176" s="5" t="str">
        <f>HYPERLINK("https://www.google.com/maps/search/?api=1&amp;query=24.64848249,46.7927488", "View Map")</f>
        <v>View Map</v>
      </c>
    </row>
    <row r="1177" spans="1:6" x14ac:dyDescent="0.35">
      <c r="A1177" s="4" t="s">
        <v>5978</v>
      </c>
      <c r="B1177" s="5" t="s">
        <v>3760</v>
      </c>
      <c r="C1177" s="5" t="s">
        <v>1776</v>
      </c>
      <c r="D1177" s="5" t="s">
        <v>13</v>
      </c>
      <c r="E1177" s="6">
        <v>1283</v>
      </c>
      <c r="F1177" s="5" t="str">
        <f>HYPERLINK("https://www.google.com/maps/search/?api=1&amp;query=24.81463592,46.9093383", "View Map")</f>
        <v>View Map</v>
      </c>
    </row>
    <row r="1178" spans="1:6" x14ac:dyDescent="0.35">
      <c r="A1178" s="4" t="s">
        <v>6776</v>
      </c>
      <c r="B1178" s="5" t="s">
        <v>3762</v>
      </c>
      <c r="C1178" s="5" t="s">
        <v>1776</v>
      </c>
      <c r="D1178" s="5" t="s">
        <v>13</v>
      </c>
      <c r="E1178" s="6">
        <v>1283</v>
      </c>
      <c r="F1178" s="5" t="str">
        <f>HYPERLINK("https://www.google.com/maps/search/?api=1&amp;query=24.75824694,46.60633316", "View Map")</f>
        <v>View Map</v>
      </c>
    </row>
    <row r="1179" spans="1:6" x14ac:dyDescent="0.35">
      <c r="A1179" s="4" t="s">
        <v>6777</v>
      </c>
      <c r="B1179" s="5" t="s">
        <v>3764</v>
      </c>
      <c r="C1179" s="5" t="s">
        <v>1776</v>
      </c>
      <c r="D1179" s="5" t="s">
        <v>13</v>
      </c>
      <c r="E1179" s="6">
        <v>1282</v>
      </c>
      <c r="F1179" s="5" t="str">
        <f>HYPERLINK("https://www.google.com/maps/search/?api=1&amp;query=24.64057863,46.5964005", "View Map")</f>
        <v>View Map</v>
      </c>
    </row>
    <row r="1180" spans="1:6" x14ac:dyDescent="0.35">
      <c r="A1180" s="4" t="s">
        <v>6778</v>
      </c>
      <c r="B1180" s="5" t="s">
        <v>3766</v>
      </c>
      <c r="C1180" s="5" t="s">
        <v>1776</v>
      </c>
      <c r="D1180" s="5" t="s">
        <v>13</v>
      </c>
      <c r="E1180" s="6">
        <v>1281</v>
      </c>
      <c r="F1180" s="5" t="str">
        <f>HYPERLINK("https://www.google.com/maps/search/?api=1&amp;query=24.59767698,46.58657051", "View Map")</f>
        <v>View Map</v>
      </c>
    </row>
    <row r="1181" spans="1:6" x14ac:dyDescent="0.35">
      <c r="A1181" s="4" t="s">
        <v>5978</v>
      </c>
      <c r="B1181" s="5" t="s">
        <v>3767</v>
      </c>
      <c r="C1181" s="5" t="s">
        <v>1776</v>
      </c>
      <c r="D1181" s="5" t="s">
        <v>13</v>
      </c>
      <c r="E1181" s="6">
        <v>1281</v>
      </c>
      <c r="F1181" s="5" t="str">
        <f>HYPERLINK("https://www.google.com/maps/search/?api=1&amp;query=24.82038687,46.60498046", "View Map")</f>
        <v>View Map</v>
      </c>
    </row>
    <row r="1182" spans="1:6" x14ac:dyDescent="0.35">
      <c r="A1182" s="4" t="s">
        <v>5974</v>
      </c>
      <c r="B1182" s="5" t="s">
        <v>3768</v>
      </c>
      <c r="C1182" s="5" t="s">
        <v>1843</v>
      </c>
      <c r="D1182" s="5" t="s">
        <v>13</v>
      </c>
      <c r="E1182" s="6">
        <v>1280</v>
      </c>
      <c r="F1182" s="5" t="str">
        <f>HYPERLINK("https://www.google.com/maps/search/?api=1&amp;query=24.755,46.5667", "View Map")</f>
        <v>View Map</v>
      </c>
    </row>
    <row r="1183" spans="1:6" x14ac:dyDescent="0.35">
      <c r="A1183" s="4" t="s">
        <v>6779</v>
      </c>
      <c r="B1183" s="5" t="s">
        <v>3770</v>
      </c>
      <c r="C1183" s="5" t="s">
        <v>1776</v>
      </c>
      <c r="D1183" s="5" t="s">
        <v>13</v>
      </c>
      <c r="E1183" s="6">
        <v>1278</v>
      </c>
      <c r="F1183" s="5" t="str">
        <f>HYPERLINK("https://www.google.com/maps/search/?api=1&amp;query=24.80429228,46.77294503", "View Map")</f>
        <v>View Map</v>
      </c>
    </row>
    <row r="1184" spans="1:6" x14ac:dyDescent="0.35">
      <c r="A1184" s="4" t="s">
        <v>5974</v>
      </c>
      <c r="B1184" s="5" t="s">
        <v>3771</v>
      </c>
      <c r="C1184" s="5" t="s">
        <v>1776</v>
      </c>
      <c r="D1184" s="5" t="s">
        <v>13</v>
      </c>
      <c r="E1184" s="6">
        <v>1276</v>
      </c>
      <c r="F1184" s="5" t="str">
        <f>HYPERLINK("https://www.google.com/maps/search/?api=1&amp;query=24.8855096,46.61893581", "View Map")</f>
        <v>View Map</v>
      </c>
    </row>
    <row r="1185" spans="1:6" x14ac:dyDescent="0.35">
      <c r="A1185" s="4" t="s">
        <v>6780</v>
      </c>
      <c r="B1185" s="5" t="s">
        <v>3773</v>
      </c>
      <c r="C1185" s="5" t="s">
        <v>1776</v>
      </c>
      <c r="D1185" s="5" t="s">
        <v>13</v>
      </c>
      <c r="E1185" s="6">
        <v>1275</v>
      </c>
      <c r="F1185" s="5" t="str">
        <f>HYPERLINK("https://www.google.com/maps/search/?api=1&amp;query=24.75299174,46.83199376", "View Map")</f>
        <v>View Map</v>
      </c>
    </row>
    <row r="1186" spans="1:6" x14ac:dyDescent="0.35">
      <c r="A1186" s="4" t="s">
        <v>6781</v>
      </c>
      <c r="B1186" s="5" t="s">
        <v>3775</v>
      </c>
      <c r="C1186" s="5" t="s">
        <v>1776</v>
      </c>
      <c r="D1186" s="5" t="s">
        <v>13</v>
      </c>
      <c r="E1186" s="6">
        <v>1275</v>
      </c>
      <c r="F1186" s="5" t="str">
        <f>HYPERLINK("https://www.google.com/maps/search/?api=1&amp;query=24.66255947,46.62024682", "View Map")</f>
        <v>View Map</v>
      </c>
    </row>
    <row r="1187" spans="1:6" x14ac:dyDescent="0.35">
      <c r="A1187" s="4" t="s">
        <v>5978</v>
      </c>
      <c r="B1187" s="5" t="s">
        <v>3776</v>
      </c>
      <c r="C1187" s="5" t="s">
        <v>1776</v>
      </c>
      <c r="D1187" s="5" t="s">
        <v>13</v>
      </c>
      <c r="E1187" s="6">
        <v>1274</v>
      </c>
      <c r="F1187" s="5" t="str">
        <f>HYPERLINK("https://www.google.com/maps/search/?api=1&amp;query=24.66535291,46.72518773", "View Map")</f>
        <v>View Map</v>
      </c>
    </row>
    <row r="1188" spans="1:6" x14ac:dyDescent="0.35">
      <c r="A1188" s="4" t="s">
        <v>6782</v>
      </c>
      <c r="B1188" s="5" t="s">
        <v>3778</v>
      </c>
      <c r="C1188" s="5" t="s">
        <v>1776</v>
      </c>
      <c r="D1188" s="5" t="s">
        <v>13</v>
      </c>
      <c r="E1188" s="6">
        <v>1274</v>
      </c>
      <c r="F1188" s="5" t="str">
        <f>HYPERLINK("https://www.google.com/maps/search/?api=1&amp;query=24.65299869,46.67011321", "View Map")</f>
        <v>View Map</v>
      </c>
    </row>
    <row r="1189" spans="1:6" x14ac:dyDescent="0.35">
      <c r="A1189" s="4" t="s">
        <v>6783</v>
      </c>
      <c r="B1189" s="5" t="s">
        <v>3780</v>
      </c>
      <c r="C1189" s="5" t="s">
        <v>1776</v>
      </c>
      <c r="D1189" s="5" t="s">
        <v>13</v>
      </c>
      <c r="E1189" s="6">
        <v>1273</v>
      </c>
      <c r="F1189" s="5" t="str">
        <f>HYPERLINK("https://www.google.com/maps/search/?api=1&amp;query=24.78376069,46.64279419", "View Map")</f>
        <v>View Map</v>
      </c>
    </row>
    <row r="1190" spans="1:6" x14ac:dyDescent="0.35">
      <c r="A1190" s="4" t="s">
        <v>6052</v>
      </c>
      <c r="B1190" s="5" t="s">
        <v>3781</v>
      </c>
      <c r="C1190" s="5" t="s">
        <v>1776</v>
      </c>
      <c r="D1190" s="5" t="s">
        <v>13</v>
      </c>
      <c r="E1190" s="6">
        <v>1273</v>
      </c>
      <c r="F1190" s="5" t="str">
        <f>HYPERLINK("https://www.google.com/maps/search/?api=1&amp;query=24.75987601,46.77954643", "View Map")</f>
        <v>View Map</v>
      </c>
    </row>
    <row r="1191" spans="1:6" x14ac:dyDescent="0.35">
      <c r="A1191" s="4" t="s">
        <v>6784</v>
      </c>
      <c r="B1191" s="5" t="s">
        <v>3782</v>
      </c>
      <c r="C1191" s="5" t="s">
        <v>1776</v>
      </c>
      <c r="D1191" s="5" t="s">
        <v>13</v>
      </c>
      <c r="E1191" s="6">
        <v>1273</v>
      </c>
      <c r="F1191" s="5" t="str">
        <f>HYPERLINK("https://www.google.com/maps/search/?api=1&amp;query=24.76315013,46.62212029", "View Map")</f>
        <v>View Map</v>
      </c>
    </row>
    <row r="1192" spans="1:6" x14ac:dyDescent="0.35">
      <c r="A1192" s="4" t="s">
        <v>6785</v>
      </c>
      <c r="B1192" s="5" t="s">
        <v>3784</v>
      </c>
      <c r="C1192" s="5" t="s">
        <v>1776</v>
      </c>
      <c r="D1192" s="5" t="s">
        <v>13</v>
      </c>
      <c r="E1192" s="6">
        <v>1272</v>
      </c>
      <c r="F1192" s="5" t="str">
        <f>HYPERLINK("https://www.google.com/maps/search/?api=1&amp;query=24.78637907,46.77580592", "View Map")</f>
        <v>View Map</v>
      </c>
    </row>
    <row r="1193" spans="1:6" x14ac:dyDescent="0.35">
      <c r="A1193" s="4" t="s">
        <v>6039</v>
      </c>
      <c r="B1193" s="5" t="s">
        <v>3785</v>
      </c>
      <c r="C1193" s="5" t="s">
        <v>1776</v>
      </c>
      <c r="D1193" s="5" t="s">
        <v>13</v>
      </c>
      <c r="E1193" s="6">
        <v>1270</v>
      </c>
      <c r="F1193" s="5" t="str">
        <f>HYPERLINK("https://www.google.com/maps/search/?api=1&amp;query=24.57827001,46.67196013", "View Map")</f>
        <v>View Map</v>
      </c>
    </row>
    <row r="1194" spans="1:6" x14ac:dyDescent="0.35">
      <c r="A1194" s="4" t="s">
        <v>6786</v>
      </c>
      <c r="B1194" s="5" t="s">
        <v>3787</v>
      </c>
      <c r="C1194" s="5" t="s">
        <v>1776</v>
      </c>
      <c r="D1194" s="5" t="s">
        <v>13</v>
      </c>
      <c r="E1194" s="6">
        <v>1269</v>
      </c>
      <c r="F1194" s="5" t="str">
        <f>HYPERLINK("https://www.google.com/maps/search/?api=1&amp;query=24.68006763,46.66975152", "View Map")</f>
        <v>View Map</v>
      </c>
    </row>
    <row r="1195" spans="1:6" x14ac:dyDescent="0.35">
      <c r="A1195" s="4" t="s">
        <v>6787</v>
      </c>
      <c r="B1195" s="5" t="s">
        <v>3789</v>
      </c>
      <c r="C1195" s="5" t="s">
        <v>1776</v>
      </c>
      <c r="D1195" s="5" t="s">
        <v>9</v>
      </c>
      <c r="E1195" s="6">
        <v>1268</v>
      </c>
      <c r="F1195" s="5" t="str">
        <f>HYPERLINK("https://www.google.com/maps/search/?api=1&amp;query=24.79991039,46.74318327", "View Map")</f>
        <v>View Map</v>
      </c>
    </row>
    <row r="1196" spans="1:6" x14ac:dyDescent="0.35">
      <c r="A1196" s="4" t="s">
        <v>6039</v>
      </c>
      <c r="B1196" s="5" t="s">
        <v>3790</v>
      </c>
      <c r="C1196" s="5" t="s">
        <v>1776</v>
      </c>
      <c r="D1196" s="5" t="s">
        <v>13</v>
      </c>
      <c r="E1196" s="6">
        <v>1267</v>
      </c>
      <c r="F1196" s="5" t="str">
        <f>HYPERLINK("https://www.google.com/maps/search/?api=1&amp;query=24.64706997,46.69197153", "View Map")</f>
        <v>View Map</v>
      </c>
    </row>
    <row r="1197" spans="1:6" x14ac:dyDescent="0.35">
      <c r="A1197" s="4" t="s">
        <v>6788</v>
      </c>
      <c r="B1197" s="5" t="s">
        <v>3792</v>
      </c>
      <c r="C1197" s="5" t="s">
        <v>1776</v>
      </c>
      <c r="D1197" s="5" t="s">
        <v>9</v>
      </c>
      <c r="E1197" s="6">
        <v>1266</v>
      </c>
      <c r="F1197" s="5" t="str">
        <f>HYPERLINK("https://www.google.com/maps/search/?api=1&amp;query=24.53758782,46.70258996", "View Map")</f>
        <v>View Map</v>
      </c>
    </row>
    <row r="1198" spans="1:6" x14ac:dyDescent="0.35">
      <c r="A1198" s="4" t="s">
        <v>6789</v>
      </c>
      <c r="B1198" s="5" t="s">
        <v>3794</v>
      </c>
      <c r="C1198" s="5" t="s">
        <v>1776</v>
      </c>
      <c r="D1198" s="5" t="s">
        <v>13</v>
      </c>
      <c r="E1198" s="6">
        <v>1266</v>
      </c>
      <c r="F1198" s="5" t="str">
        <f>HYPERLINK("https://www.google.com/maps/search/?api=1&amp;query=24.6036,46.7025", "View Map")</f>
        <v>View Map</v>
      </c>
    </row>
    <row r="1199" spans="1:6" x14ac:dyDescent="0.35">
      <c r="A1199" s="4" t="s">
        <v>6039</v>
      </c>
      <c r="B1199" s="5" t="s">
        <v>3795</v>
      </c>
      <c r="C1199" s="5" t="s">
        <v>1776</v>
      </c>
      <c r="D1199" s="5" t="s">
        <v>13</v>
      </c>
      <c r="E1199" s="6">
        <v>1265</v>
      </c>
      <c r="F1199" s="5" t="str">
        <f>HYPERLINK("https://www.google.com/maps/search/?api=1&amp;query=24.55322867,46.62017845", "View Map")</f>
        <v>View Map</v>
      </c>
    </row>
    <row r="1200" spans="1:6" x14ac:dyDescent="0.35">
      <c r="A1200" s="4" t="s">
        <v>6790</v>
      </c>
      <c r="B1200" s="5" t="s">
        <v>3797</v>
      </c>
      <c r="C1200" s="5" t="s">
        <v>1776</v>
      </c>
      <c r="D1200" s="5" t="s">
        <v>13</v>
      </c>
      <c r="E1200" s="6">
        <v>1264</v>
      </c>
      <c r="F1200" s="5" t="str">
        <f>HYPERLINK("https://www.google.com/maps/search/?api=1&amp;query=24.78899029,46.82223183", "View Map")</f>
        <v>View Map</v>
      </c>
    </row>
    <row r="1201" spans="1:6" x14ac:dyDescent="0.35">
      <c r="A1201" s="4" t="s">
        <v>6134</v>
      </c>
      <c r="B1201" s="5" t="s">
        <v>3798</v>
      </c>
      <c r="C1201" s="5" t="s">
        <v>1776</v>
      </c>
      <c r="D1201" s="5" t="s">
        <v>9</v>
      </c>
      <c r="E1201" s="6">
        <v>1264</v>
      </c>
      <c r="F1201" s="5" t="str">
        <f>HYPERLINK("https://www.google.com/maps/search/?api=1&amp;query=24.81006836,46.61501193", "View Map")</f>
        <v>View Map</v>
      </c>
    </row>
    <row r="1202" spans="1:6" x14ac:dyDescent="0.35">
      <c r="A1202" s="4" t="s">
        <v>6791</v>
      </c>
      <c r="B1202" s="5" t="s">
        <v>3800</v>
      </c>
      <c r="C1202" s="5" t="s">
        <v>1776</v>
      </c>
      <c r="D1202" s="5" t="s">
        <v>9</v>
      </c>
      <c r="E1202" s="6">
        <v>1263</v>
      </c>
      <c r="F1202" s="5" t="str">
        <f>HYPERLINK("https://www.google.com/maps/search/?api=1&amp;query=24.65238291,46.5725955", "View Map")</f>
        <v>View Map</v>
      </c>
    </row>
    <row r="1203" spans="1:6" x14ac:dyDescent="0.35">
      <c r="A1203" s="4" t="s">
        <v>5978</v>
      </c>
      <c r="B1203" s="5" t="s">
        <v>3801</v>
      </c>
      <c r="C1203" s="5" t="s">
        <v>1776</v>
      </c>
      <c r="D1203" s="5" t="s">
        <v>9</v>
      </c>
      <c r="E1203" s="6">
        <v>1262</v>
      </c>
      <c r="F1203" s="5" t="str">
        <f>HYPERLINK("https://www.google.com/maps/search/?api=1&amp;query=24.73644933,46.79378428", "View Map")</f>
        <v>View Map</v>
      </c>
    </row>
    <row r="1204" spans="1:6" x14ac:dyDescent="0.35">
      <c r="A1204" s="4" t="s">
        <v>6792</v>
      </c>
      <c r="B1204" s="5" t="s">
        <v>3803</v>
      </c>
      <c r="C1204" s="5" t="s">
        <v>1776</v>
      </c>
      <c r="D1204" s="5" t="s">
        <v>13</v>
      </c>
      <c r="E1204" s="6">
        <v>1261</v>
      </c>
      <c r="F1204" s="5" t="str">
        <f>HYPERLINK("https://www.google.com/maps/search/?api=1&amp;query=24.6030049,46.74012515", "View Map")</f>
        <v>View Map</v>
      </c>
    </row>
    <row r="1205" spans="1:6" x14ac:dyDescent="0.35">
      <c r="A1205" s="4" t="s">
        <v>6793</v>
      </c>
      <c r="B1205" s="5" t="s">
        <v>3805</v>
      </c>
      <c r="C1205" s="5" t="s">
        <v>1776</v>
      </c>
      <c r="D1205" s="5" t="s">
        <v>13</v>
      </c>
      <c r="E1205" s="6">
        <v>1259</v>
      </c>
      <c r="F1205" s="5" t="str">
        <f>HYPERLINK("https://www.google.com/maps/search/?api=1&amp;query=24.69252727,46.69934526", "View Map")</f>
        <v>View Map</v>
      </c>
    </row>
    <row r="1206" spans="1:6" x14ac:dyDescent="0.35">
      <c r="A1206" s="4" t="s">
        <v>6794</v>
      </c>
      <c r="B1206" s="5" t="s">
        <v>3807</v>
      </c>
      <c r="C1206" s="5" t="s">
        <v>1776</v>
      </c>
      <c r="D1206" s="5" t="s">
        <v>13</v>
      </c>
      <c r="E1206" s="6">
        <v>1259</v>
      </c>
      <c r="F1206" s="5" t="str">
        <f>HYPERLINK("https://www.google.com/maps/search/?api=1&amp;query=24.78967807,46.77506996", "View Map")</f>
        <v>View Map</v>
      </c>
    </row>
    <row r="1207" spans="1:6" x14ac:dyDescent="0.35">
      <c r="A1207" s="4" t="s">
        <v>6039</v>
      </c>
      <c r="B1207" s="5" t="s">
        <v>3808</v>
      </c>
      <c r="C1207" s="5" t="s">
        <v>1776</v>
      </c>
      <c r="D1207" s="5" t="s">
        <v>9</v>
      </c>
      <c r="E1207" s="6">
        <v>1257</v>
      </c>
      <c r="F1207" s="5" t="str">
        <f>HYPERLINK("https://www.google.com/maps/search/?api=1&amp;query=24.55363955,46.6674507", "View Map")</f>
        <v>View Map</v>
      </c>
    </row>
    <row r="1208" spans="1:6" x14ac:dyDescent="0.35">
      <c r="A1208" s="4" t="s">
        <v>6795</v>
      </c>
      <c r="B1208" s="5" t="s">
        <v>3810</v>
      </c>
      <c r="C1208" s="5" t="s">
        <v>1776</v>
      </c>
      <c r="D1208" s="5" t="s">
        <v>13</v>
      </c>
      <c r="E1208" s="6">
        <v>1257</v>
      </c>
      <c r="F1208" s="5" t="str">
        <f>HYPERLINK("https://www.google.com/maps/search/?api=1&amp;query=24.78601768,46.66993738", "View Map")</f>
        <v>View Map</v>
      </c>
    </row>
    <row r="1209" spans="1:6" x14ac:dyDescent="0.35">
      <c r="A1209" s="4" t="s">
        <v>6796</v>
      </c>
      <c r="B1209" s="5" t="s">
        <v>3812</v>
      </c>
      <c r="C1209" s="5" t="s">
        <v>1776</v>
      </c>
      <c r="D1209" s="5" t="s">
        <v>13</v>
      </c>
      <c r="E1209" s="6">
        <v>1256</v>
      </c>
      <c r="F1209" s="5" t="str">
        <f>HYPERLINK("https://www.google.com/maps/search/?api=1&amp;query=24.78801414,46.62810331", "View Map")</f>
        <v>View Map</v>
      </c>
    </row>
    <row r="1210" spans="1:6" x14ac:dyDescent="0.35">
      <c r="A1210" s="4" t="s">
        <v>6134</v>
      </c>
      <c r="B1210" s="5" t="s">
        <v>3813</v>
      </c>
      <c r="C1210" s="5" t="s">
        <v>1776</v>
      </c>
      <c r="D1210" s="5" t="s">
        <v>13</v>
      </c>
      <c r="E1210" s="6">
        <v>1256</v>
      </c>
      <c r="F1210" s="5" t="str">
        <f>HYPERLINK("https://www.google.com/maps/search/?api=1&amp;query=24.62043141,46.53928568", "View Map")</f>
        <v>View Map</v>
      </c>
    </row>
    <row r="1211" spans="1:6" x14ac:dyDescent="0.35">
      <c r="A1211" s="4" t="s">
        <v>6039</v>
      </c>
      <c r="B1211" s="5" t="s">
        <v>3814</v>
      </c>
      <c r="C1211" s="5" t="s">
        <v>1776</v>
      </c>
      <c r="D1211" s="5" t="s">
        <v>9</v>
      </c>
      <c r="E1211" s="6">
        <v>1255</v>
      </c>
      <c r="F1211" s="5" t="str">
        <f>HYPERLINK("https://www.google.com/maps/search/?api=1&amp;query=24.57209052,46.55457131", "View Map")</f>
        <v>View Map</v>
      </c>
    </row>
    <row r="1212" spans="1:6" x14ac:dyDescent="0.35">
      <c r="A1212" s="4" t="s">
        <v>6797</v>
      </c>
      <c r="B1212" s="5" t="s">
        <v>3816</v>
      </c>
      <c r="C1212" s="5" t="s">
        <v>1776</v>
      </c>
      <c r="D1212" s="5" t="s">
        <v>13</v>
      </c>
      <c r="E1212" s="6">
        <v>1255</v>
      </c>
      <c r="F1212" s="5" t="str">
        <f>HYPERLINK("https://www.google.com/maps/search/?api=1&amp;query=24.80458154,46.69120757", "View Map")</f>
        <v>View Map</v>
      </c>
    </row>
    <row r="1213" spans="1:6" x14ac:dyDescent="0.35">
      <c r="A1213" s="4" t="s">
        <v>6134</v>
      </c>
      <c r="B1213" s="5" t="s">
        <v>3817</v>
      </c>
      <c r="C1213" s="5" t="s">
        <v>1776</v>
      </c>
      <c r="D1213" s="5" t="s">
        <v>13</v>
      </c>
      <c r="E1213" s="6">
        <v>1255</v>
      </c>
      <c r="F1213" s="5" t="str">
        <f>HYPERLINK("https://www.google.com/maps/search/?api=1&amp;query=24.64007616,46.54326218", "View Map")</f>
        <v>View Map</v>
      </c>
    </row>
    <row r="1214" spans="1:6" x14ac:dyDescent="0.35">
      <c r="A1214" s="4" t="s">
        <v>6798</v>
      </c>
      <c r="B1214" s="5" t="s">
        <v>3819</v>
      </c>
      <c r="C1214" s="5" t="s">
        <v>1776</v>
      </c>
      <c r="D1214" s="5" t="s">
        <v>13</v>
      </c>
      <c r="E1214" s="6">
        <v>1254</v>
      </c>
      <c r="F1214" s="5" t="str">
        <f>HYPERLINK("https://www.google.com/maps/search/?api=1&amp;query=24.73015142,46.79506593", "View Map")</f>
        <v>View Map</v>
      </c>
    </row>
    <row r="1215" spans="1:6" x14ac:dyDescent="0.35">
      <c r="A1215" s="4" t="s">
        <v>6799</v>
      </c>
      <c r="B1215" s="5" t="s">
        <v>3821</v>
      </c>
      <c r="C1215" s="5" t="s">
        <v>1776</v>
      </c>
      <c r="D1215" s="5" t="s">
        <v>9</v>
      </c>
      <c r="E1215" s="6">
        <v>1254</v>
      </c>
      <c r="F1215" s="5" t="str">
        <f>HYPERLINK("https://www.google.com/maps/search/?api=1&amp;query=24.58993157,46.65970334", "View Map")</f>
        <v>View Map</v>
      </c>
    </row>
    <row r="1216" spans="1:6" x14ac:dyDescent="0.35">
      <c r="A1216" s="4" t="s">
        <v>6800</v>
      </c>
      <c r="B1216" s="5" t="s">
        <v>3823</v>
      </c>
      <c r="C1216" s="5" t="s">
        <v>1776</v>
      </c>
      <c r="D1216" s="5" t="s">
        <v>13</v>
      </c>
      <c r="E1216" s="6">
        <v>1253</v>
      </c>
      <c r="F1216" s="5" t="str">
        <f>HYPERLINK("https://www.google.com/maps/search/?api=1&amp;query=24.83693473,46.75207377", "View Map")</f>
        <v>View Map</v>
      </c>
    </row>
    <row r="1217" spans="1:6" x14ac:dyDescent="0.35">
      <c r="A1217" s="4" t="s">
        <v>6801</v>
      </c>
      <c r="B1217" s="5" t="s">
        <v>3825</v>
      </c>
      <c r="C1217" s="5" t="s">
        <v>1776</v>
      </c>
      <c r="D1217" s="5" t="s">
        <v>13</v>
      </c>
      <c r="E1217" s="6">
        <v>1253</v>
      </c>
      <c r="F1217" s="5" t="str">
        <f>HYPERLINK("https://www.google.com/maps/search/?api=1&amp;query=24.56232098,46.69868457", "View Map")</f>
        <v>View Map</v>
      </c>
    </row>
    <row r="1218" spans="1:6" x14ac:dyDescent="0.35">
      <c r="A1218" s="4" t="s">
        <v>6802</v>
      </c>
      <c r="B1218" s="5" t="s">
        <v>3827</v>
      </c>
      <c r="C1218" s="5" t="s">
        <v>1776</v>
      </c>
      <c r="D1218" s="5" t="s">
        <v>13</v>
      </c>
      <c r="E1218" s="6">
        <v>1253</v>
      </c>
      <c r="F1218" s="5" t="str">
        <f>HYPERLINK("https://www.google.com/maps/search/?api=1&amp;query=24.67200042,46.85038169", "View Map")</f>
        <v>View Map</v>
      </c>
    </row>
    <row r="1219" spans="1:6" x14ac:dyDescent="0.35">
      <c r="A1219" s="4" t="s">
        <v>5974</v>
      </c>
      <c r="B1219" s="5" t="s">
        <v>3828</v>
      </c>
      <c r="C1219" s="5" t="s">
        <v>1776</v>
      </c>
      <c r="D1219" s="5" t="s">
        <v>9</v>
      </c>
      <c r="E1219" s="6">
        <v>1252</v>
      </c>
      <c r="F1219" s="5" t="str">
        <f>HYPERLINK("https://www.google.com/maps/search/?api=1&amp;query=24.8476377,46.79006813", "View Map")</f>
        <v>View Map</v>
      </c>
    </row>
    <row r="1220" spans="1:6" x14ac:dyDescent="0.35">
      <c r="A1220" s="4" t="s">
        <v>6506</v>
      </c>
      <c r="B1220" s="5" t="s">
        <v>3829</v>
      </c>
      <c r="C1220" s="5" t="s">
        <v>1776</v>
      </c>
      <c r="D1220" s="5" t="s">
        <v>13</v>
      </c>
      <c r="E1220" s="6">
        <v>1252</v>
      </c>
      <c r="F1220" s="5" t="str">
        <f>HYPERLINK("https://www.google.com/maps/search/?api=1&amp;query=24.77802,46.81731", "View Map")</f>
        <v>View Map</v>
      </c>
    </row>
    <row r="1221" spans="1:6" x14ac:dyDescent="0.35">
      <c r="A1221" s="4" t="s">
        <v>6803</v>
      </c>
      <c r="B1221" s="5" t="s">
        <v>3831</v>
      </c>
      <c r="C1221" s="5" t="s">
        <v>1776</v>
      </c>
      <c r="D1221" s="5" t="s">
        <v>13</v>
      </c>
      <c r="E1221" s="6">
        <v>1252</v>
      </c>
      <c r="F1221" s="5" t="str">
        <f>HYPERLINK("https://www.google.com/maps/search/?api=1&amp;query=24.56704379,46.76661186", "View Map")</f>
        <v>View Map</v>
      </c>
    </row>
    <row r="1222" spans="1:6" x14ac:dyDescent="0.35">
      <c r="A1222" s="4" t="s">
        <v>5978</v>
      </c>
      <c r="B1222" s="5" t="s">
        <v>3832</v>
      </c>
      <c r="C1222" s="5" t="s">
        <v>1776</v>
      </c>
      <c r="D1222" s="5" t="s">
        <v>13</v>
      </c>
      <c r="E1222" s="6">
        <v>1251</v>
      </c>
      <c r="F1222" s="5" t="str">
        <f>HYPERLINK("https://www.google.com/maps/search/?api=1&amp;query=24.82137947,46.75631389", "View Map")</f>
        <v>View Map</v>
      </c>
    </row>
    <row r="1223" spans="1:6" x14ac:dyDescent="0.35">
      <c r="A1223" s="4" t="s">
        <v>6804</v>
      </c>
      <c r="B1223" s="5" t="s">
        <v>3834</v>
      </c>
      <c r="C1223" s="5" t="s">
        <v>1776</v>
      </c>
      <c r="D1223" s="5" t="s">
        <v>13</v>
      </c>
      <c r="E1223" s="6">
        <v>1251</v>
      </c>
      <c r="F1223" s="5" t="str">
        <f>HYPERLINK("https://www.google.com/maps/search/?api=1&amp;query=24.70282583,46.82400919", "View Map")</f>
        <v>View Map</v>
      </c>
    </row>
    <row r="1224" spans="1:6" x14ac:dyDescent="0.35">
      <c r="A1224" s="4" t="s">
        <v>6805</v>
      </c>
      <c r="B1224" s="5" t="s">
        <v>3836</v>
      </c>
      <c r="C1224" s="5" t="s">
        <v>1776</v>
      </c>
      <c r="D1224" s="5" t="s">
        <v>13</v>
      </c>
      <c r="E1224" s="6">
        <v>1250</v>
      </c>
      <c r="F1224" s="5" t="str">
        <f>HYPERLINK("https://www.google.com/maps/search/?api=1&amp;query=24.60070906,46.64569344", "View Map")</f>
        <v>View Map</v>
      </c>
    </row>
    <row r="1225" spans="1:6" x14ac:dyDescent="0.35">
      <c r="A1225" s="4" t="s">
        <v>6806</v>
      </c>
      <c r="B1225" s="5" t="s">
        <v>3838</v>
      </c>
      <c r="C1225" s="5" t="s">
        <v>1776</v>
      </c>
      <c r="D1225" s="5" t="s">
        <v>13</v>
      </c>
      <c r="E1225" s="6">
        <v>1249</v>
      </c>
      <c r="F1225" s="5" t="str">
        <f>HYPERLINK("https://www.google.com/maps/search/?api=1&amp;query=24.61747763,46.68053083", "View Map")</f>
        <v>View Map</v>
      </c>
    </row>
    <row r="1226" spans="1:6" x14ac:dyDescent="0.35">
      <c r="A1226" s="4" t="s">
        <v>6225</v>
      </c>
      <c r="B1226" s="5" t="s">
        <v>3839</v>
      </c>
      <c r="C1226" s="5" t="s">
        <v>1776</v>
      </c>
      <c r="D1226" s="5" t="s">
        <v>13</v>
      </c>
      <c r="E1226" s="6">
        <v>1249</v>
      </c>
      <c r="F1226" s="5" t="str">
        <f>HYPERLINK("https://www.google.com/maps/search/?api=1&amp;query=24.61205914,46.73509434", "View Map")</f>
        <v>View Map</v>
      </c>
    </row>
    <row r="1227" spans="1:6" x14ac:dyDescent="0.35">
      <c r="A1227" s="4" t="s">
        <v>6452</v>
      </c>
      <c r="B1227" s="5" t="s">
        <v>3840</v>
      </c>
      <c r="C1227" s="5" t="s">
        <v>1776</v>
      </c>
      <c r="D1227" s="5" t="s">
        <v>9</v>
      </c>
      <c r="E1227" s="6">
        <v>1248</v>
      </c>
      <c r="F1227" s="5" t="str">
        <f>HYPERLINK("https://www.google.com/maps/search/?api=1&amp;query=24.74587652,46.74722447", "View Map")</f>
        <v>View Map</v>
      </c>
    </row>
    <row r="1228" spans="1:6" x14ac:dyDescent="0.35">
      <c r="A1228" s="4" t="s">
        <v>6134</v>
      </c>
      <c r="B1228" s="5" t="s">
        <v>3841</v>
      </c>
      <c r="C1228" s="5" t="s">
        <v>1776</v>
      </c>
      <c r="D1228" s="5" t="s">
        <v>9</v>
      </c>
      <c r="E1228" s="6">
        <v>1248</v>
      </c>
      <c r="F1228" s="5" t="str">
        <f>HYPERLINK("https://www.google.com/maps/search/?api=1&amp;query=24.644476,46.57954125", "View Map")</f>
        <v>View Map</v>
      </c>
    </row>
    <row r="1229" spans="1:6" x14ac:dyDescent="0.35">
      <c r="A1229" s="4" t="s">
        <v>5974</v>
      </c>
      <c r="B1229" s="5" t="s">
        <v>3842</v>
      </c>
      <c r="C1229" s="5" t="s">
        <v>1776</v>
      </c>
      <c r="D1229" s="5" t="s">
        <v>13</v>
      </c>
      <c r="E1229" s="6">
        <v>1247</v>
      </c>
      <c r="F1229" s="5" t="str">
        <f>HYPERLINK("https://www.google.com/maps/search/?api=1&amp;query=24.57921565,46.76080623", "View Map")</f>
        <v>View Map</v>
      </c>
    </row>
    <row r="1230" spans="1:6" x14ac:dyDescent="0.35">
      <c r="A1230" s="4" t="s">
        <v>5974</v>
      </c>
      <c r="B1230" s="5" t="s">
        <v>3843</v>
      </c>
      <c r="C1230" s="5" t="s">
        <v>1776</v>
      </c>
      <c r="D1230" s="5" t="s">
        <v>13</v>
      </c>
      <c r="E1230" s="6">
        <v>1244</v>
      </c>
      <c r="F1230" s="5" t="str">
        <f>HYPERLINK("https://www.google.com/maps/search/?api=1&amp;query=24.82437239,46.59852622", "View Map")</f>
        <v>View Map</v>
      </c>
    </row>
    <row r="1231" spans="1:6" x14ac:dyDescent="0.35">
      <c r="A1231" s="4" t="s">
        <v>6342</v>
      </c>
      <c r="B1231" s="5" t="s">
        <v>3844</v>
      </c>
      <c r="C1231" s="5" t="s">
        <v>1776</v>
      </c>
      <c r="D1231" s="5" t="s">
        <v>9</v>
      </c>
      <c r="E1231" s="6">
        <v>1243</v>
      </c>
      <c r="F1231" s="5" t="str">
        <f>HYPERLINK("https://www.google.com/maps/search/?api=1&amp;query=24.59557975,46.60421244", "View Map")</f>
        <v>View Map</v>
      </c>
    </row>
    <row r="1232" spans="1:6" x14ac:dyDescent="0.35">
      <c r="A1232" s="4" t="s">
        <v>6807</v>
      </c>
      <c r="B1232" s="5" t="s">
        <v>3846</v>
      </c>
      <c r="C1232" s="5" t="s">
        <v>1776</v>
      </c>
      <c r="D1232" s="5" t="s">
        <v>13</v>
      </c>
      <c r="E1232" s="6">
        <v>1243</v>
      </c>
      <c r="F1232" s="5" t="str">
        <f>HYPERLINK("https://www.google.com/maps/search/?api=1&amp;query=24.59470148,46.67763248", "View Map")</f>
        <v>View Map</v>
      </c>
    </row>
    <row r="1233" spans="1:6" x14ac:dyDescent="0.35">
      <c r="A1233" s="4" t="s">
        <v>6808</v>
      </c>
      <c r="B1233" s="5" t="s">
        <v>3848</v>
      </c>
      <c r="C1233" s="5" t="s">
        <v>1776</v>
      </c>
      <c r="D1233" s="5" t="s">
        <v>9</v>
      </c>
      <c r="E1233" s="6">
        <v>1243</v>
      </c>
      <c r="F1233" s="5" t="str">
        <f>HYPERLINK("https://www.google.com/maps/search/?api=1&amp;query=24.6397,46.7139", "View Map")</f>
        <v>View Map</v>
      </c>
    </row>
    <row r="1234" spans="1:6" x14ac:dyDescent="0.35">
      <c r="A1234" s="4" t="s">
        <v>6052</v>
      </c>
      <c r="B1234" s="5" t="s">
        <v>3849</v>
      </c>
      <c r="C1234" s="5" t="s">
        <v>1776</v>
      </c>
      <c r="D1234" s="5" t="s">
        <v>13</v>
      </c>
      <c r="E1234" s="6">
        <v>1241</v>
      </c>
      <c r="F1234" s="5" t="str">
        <f>HYPERLINK("https://www.google.com/maps/search/?api=1&amp;query=24.76956795,46.77294623", "View Map")</f>
        <v>View Map</v>
      </c>
    </row>
    <row r="1235" spans="1:6" x14ac:dyDescent="0.35">
      <c r="A1235" s="4" t="s">
        <v>6809</v>
      </c>
      <c r="B1235" s="5" t="s">
        <v>3851</v>
      </c>
      <c r="C1235" s="5" t="s">
        <v>1776</v>
      </c>
      <c r="D1235" s="5" t="s">
        <v>9</v>
      </c>
      <c r="E1235" s="6">
        <v>1241</v>
      </c>
      <c r="F1235" s="5" t="str">
        <f>HYPERLINK("https://www.google.com/maps/search/?api=1&amp;query=24.71256,46.74539", "View Map")</f>
        <v>View Map</v>
      </c>
    </row>
    <row r="1236" spans="1:6" x14ac:dyDescent="0.35">
      <c r="A1236" s="4" t="s">
        <v>6810</v>
      </c>
      <c r="B1236" s="5" t="s">
        <v>3853</v>
      </c>
      <c r="C1236" s="5" t="s">
        <v>1776</v>
      </c>
      <c r="D1236" s="5" t="s">
        <v>9</v>
      </c>
      <c r="E1236" s="6">
        <v>1240</v>
      </c>
      <c r="F1236" s="5" t="str">
        <f>HYPERLINK("https://www.google.com/maps/search/?api=1&amp;query=24.63539422,46.72565958", "View Map")</f>
        <v>View Map</v>
      </c>
    </row>
    <row r="1237" spans="1:6" x14ac:dyDescent="0.35">
      <c r="A1237" s="4" t="s">
        <v>6039</v>
      </c>
      <c r="B1237" s="5" t="s">
        <v>3854</v>
      </c>
      <c r="C1237" s="5" t="s">
        <v>1776</v>
      </c>
      <c r="D1237" s="5" t="s">
        <v>13</v>
      </c>
      <c r="E1237" s="6">
        <v>1238</v>
      </c>
      <c r="F1237" s="5" t="str">
        <f>HYPERLINK("https://www.google.com/maps/search/?api=1&amp;query=24.57471172,46.71625806", "View Map")</f>
        <v>View Map</v>
      </c>
    </row>
    <row r="1238" spans="1:6" x14ac:dyDescent="0.35">
      <c r="A1238" s="4" t="s">
        <v>6811</v>
      </c>
      <c r="B1238" s="5" t="s">
        <v>3856</v>
      </c>
      <c r="C1238" s="5" t="s">
        <v>1776</v>
      </c>
      <c r="D1238" s="5" t="s">
        <v>13</v>
      </c>
      <c r="E1238" s="6">
        <v>1237</v>
      </c>
      <c r="F1238" s="5" t="str">
        <f>HYPERLINK("https://www.google.com/maps/search/?api=1&amp;query=24.6267,46.7072", "View Map")</f>
        <v>View Map</v>
      </c>
    </row>
    <row r="1239" spans="1:6" x14ac:dyDescent="0.35">
      <c r="A1239" s="4" t="s">
        <v>5974</v>
      </c>
      <c r="B1239" s="5" t="s">
        <v>3857</v>
      </c>
      <c r="C1239" s="5" t="s">
        <v>1776</v>
      </c>
      <c r="D1239" s="5" t="s">
        <v>9</v>
      </c>
      <c r="E1239" s="6">
        <v>1236</v>
      </c>
      <c r="F1239" s="5" t="str">
        <f>HYPERLINK("https://www.google.com/maps/search/?api=1&amp;query=24.82635582,46.60725652", "View Map")</f>
        <v>View Map</v>
      </c>
    </row>
    <row r="1240" spans="1:6" x14ac:dyDescent="0.35">
      <c r="A1240" s="4" t="s">
        <v>6812</v>
      </c>
      <c r="B1240" s="5" t="s">
        <v>3859</v>
      </c>
      <c r="C1240" s="5" t="s">
        <v>1776</v>
      </c>
      <c r="D1240" s="5" t="s">
        <v>13</v>
      </c>
      <c r="E1240" s="6">
        <v>1236</v>
      </c>
      <c r="F1240" s="5" t="str">
        <f>HYPERLINK("https://www.google.com/maps/search/?api=1&amp;query=24.67514376,46.80769179", "View Map")</f>
        <v>View Map</v>
      </c>
    </row>
    <row r="1241" spans="1:6" x14ac:dyDescent="0.35">
      <c r="A1241" s="4" t="s">
        <v>5978</v>
      </c>
      <c r="B1241" s="5" t="s">
        <v>3860</v>
      </c>
      <c r="C1241" s="5" t="s">
        <v>1776</v>
      </c>
      <c r="D1241" s="5" t="s">
        <v>9</v>
      </c>
      <c r="E1241" s="6">
        <v>1235</v>
      </c>
      <c r="F1241" s="5" t="str">
        <f>HYPERLINK("https://www.google.com/maps/search/?api=1&amp;query=24.81411014,46.61353973", "View Map")</f>
        <v>View Map</v>
      </c>
    </row>
    <row r="1242" spans="1:6" x14ac:dyDescent="0.35">
      <c r="A1242" s="4" t="s">
        <v>6813</v>
      </c>
      <c r="B1242" s="5" t="s">
        <v>3862</v>
      </c>
      <c r="C1242" s="5" t="s">
        <v>1776</v>
      </c>
      <c r="D1242" s="5" t="s">
        <v>9</v>
      </c>
      <c r="E1242" s="6">
        <v>1235</v>
      </c>
      <c r="F1242" s="5" t="str">
        <f>HYPERLINK("https://www.google.com/maps/search/?api=1&amp;query=24.75983333,46.82809271", "View Map")</f>
        <v>View Map</v>
      </c>
    </row>
    <row r="1243" spans="1:6" x14ac:dyDescent="0.35">
      <c r="A1243" s="4" t="s">
        <v>6814</v>
      </c>
      <c r="B1243" s="5" t="s">
        <v>3864</v>
      </c>
      <c r="C1243" s="5" t="s">
        <v>1776</v>
      </c>
      <c r="D1243" s="5" t="s">
        <v>9</v>
      </c>
      <c r="E1243" s="6">
        <v>1234</v>
      </c>
      <c r="F1243" s="5" t="str">
        <f>HYPERLINK("https://www.google.com/maps/search/?api=1&amp;query=24.57519491,46.5990841", "View Map")</f>
        <v>View Map</v>
      </c>
    </row>
    <row r="1244" spans="1:6" x14ac:dyDescent="0.35">
      <c r="A1244" s="4" t="s">
        <v>6815</v>
      </c>
      <c r="B1244" s="5" t="s">
        <v>3866</v>
      </c>
      <c r="C1244" s="5" t="s">
        <v>1843</v>
      </c>
      <c r="D1244" s="5" t="s">
        <v>13</v>
      </c>
      <c r="E1244" s="6">
        <v>1233</v>
      </c>
      <c r="F1244" s="5" t="str">
        <f>HYPERLINK("https://www.google.com/maps/search/?api=1&amp;query=24.73165303,46.60699195", "View Map")</f>
        <v>View Map</v>
      </c>
    </row>
    <row r="1245" spans="1:6" x14ac:dyDescent="0.35">
      <c r="A1245" s="4" t="s">
        <v>6816</v>
      </c>
      <c r="B1245" s="5" t="s">
        <v>3868</v>
      </c>
      <c r="C1245" s="5" t="s">
        <v>1776</v>
      </c>
      <c r="D1245" s="5" t="s">
        <v>9</v>
      </c>
      <c r="E1245" s="6">
        <v>1233</v>
      </c>
      <c r="F1245" s="5" t="str">
        <f>HYPERLINK("https://www.google.com/maps/search/?api=1&amp;query=24.55238324,46.51014576", "View Map")</f>
        <v>View Map</v>
      </c>
    </row>
    <row r="1246" spans="1:6" x14ac:dyDescent="0.35">
      <c r="A1246" s="4" t="s">
        <v>6414</v>
      </c>
      <c r="B1246" s="5" t="s">
        <v>3869</v>
      </c>
      <c r="C1246" s="5" t="s">
        <v>1776</v>
      </c>
      <c r="D1246" s="5" t="s">
        <v>13</v>
      </c>
      <c r="E1246" s="6">
        <v>1231</v>
      </c>
      <c r="F1246" s="5" t="str">
        <f>HYPERLINK("https://www.google.com/maps/search/?api=1&amp;query=24.70369435,46.80415082", "View Map")</f>
        <v>View Map</v>
      </c>
    </row>
    <row r="1247" spans="1:6" x14ac:dyDescent="0.35">
      <c r="A1247" s="4" t="s">
        <v>6817</v>
      </c>
      <c r="B1247" s="5" t="s">
        <v>3871</v>
      </c>
      <c r="C1247" s="5" t="s">
        <v>1776</v>
      </c>
      <c r="D1247" s="5" t="s">
        <v>13</v>
      </c>
      <c r="E1247" s="6">
        <v>1231</v>
      </c>
      <c r="F1247" s="5" t="str">
        <f>HYPERLINK("https://www.google.com/maps/search/?api=1&amp;query=24.61923434,46.73555924", "View Map")</f>
        <v>View Map</v>
      </c>
    </row>
    <row r="1248" spans="1:6" x14ac:dyDescent="0.35">
      <c r="A1248" s="4" t="s">
        <v>6818</v>
      </c>
      <c r="B1248" s="5" t="s">
        <v>3873</v>
      </c>
      <c r="C1248" s="5" t="s">
        <v>1776</v>
      </c>
      <c r="D1248" s="5" t="s">
        <v>13</v>
      </c>
      <c r="E1248" s="6">
        <v>1230</v>
      </c>
      <c r="F1248" s="5" t="str">
        <f>HYPERLINK("https://www.google.com/maps/search/?api=1&amp;query=24.55261447,46.49174604", "View Map")</f>
        <v>View Map</v>
      </c>
    </row>
    <row r="1249" spans="1:6" x14ac:dyDescent="0.35">
      <c r="A1249" s="4" t="s">
        <v>6819</v>
      </c>
      <c r="B1249" s="5" t="s">
        <v>3875</v>
      </c>
      <c r="C1249" s="5" t="s">
        <v>1776</v>
      </c>
      <c r="D1249" s="5" t="s">
        <v>13</v>
      </c>
      <c r="E1249" s="6">
        <v>1229</v>
      </c>
      <c r="F1249" s="5" t="str">
        <f>HYPERLINK("https://www.google.com/maps/search/?api=1&amp;query=24.60861776,46.75208462", "View Map")</f>
        <v>View Map</v>
      </c>
    </row>
    <row r="1250" spans="1:6" x14ac:dyDescent="0.35">
      <c r="A1250" s="4" t="s">
        <v>6820</v>
      </c>
      <c r="B1250" s="5" t="s">
        <v>3877</v>
      </c>
      <c r="C1250" s="5" t="s">
        <v>1776</v>
      </c>
      <c r="D1250" s="5" t="s">
        <v>13</v>
      </c>
      <c r="E1250" s="6">
        <v>1228</v>
      </c>
      <c r="F1250" s="5" t="str">
        <f>HYPERLINK("https://www.google.com/maps/search/?api=1&amp;query=24.6122,46.7019", "View Map")</f>
        <v>View Map</v>
      </c>
    </row>
    <row r="1251" spans="1:6" x14ac:dyDescent="0.35">
      <c r="A1251" s="4" t="s">
        <v>5974</v>
      </c>
      <c r="B1251" s="5" t="s">
        <v>3878</v>
      </c>
      <c r="C1251" s="5" t="s">
        <v>1776</v>
      </c>
      <c r="D1251" s="5" t="s">
        <v>13</v>
      </c>
      <c r="E1251" s="6">
        <v>1228</v>
      </c>
      <c r="F1251" s="5" t="str">
        <f>HYPERLINK("https://www.google.com/maps/search/?api=1&amp;query=24.8482008,46.81758944", "View Map")</f>
        <v>View Map</v>
      </c>
    </row>
    <row r="1252" spans="1:6" x14ac:dyDescent="0.35">
      <c r="A1252" s="4" t="s">
        <v>6821</v>
      </c>
      <c r="B1252" s="5" t="s">
        <v>3880</v>
      </c>
      <c r="C1252" s="5" t="s">
        <v>1776</v>
      </c>
      <c r="D1252" s="5" t="s">
        <v>13</v>
      </c>
      <c r="E1252" s="6">
        <v>1228</v>
      </c>
      <c r="F1252" s="5" t="str">
        <f>HYPERLINK("https://www.google.com/maps/search/?api=1&amp;query=24.55163773,46.65317337", "View Map")</f>
        <v>View Map</v>
      </c>
    </row>
    <row r="1253" spans="1:6" x14ac:dyDescent="0.35">
      <c r="A1253" s="4" t="s">
        <v>6039</v>
      </c>
      <c r="B1253" s="5" t="s">
        <v>3881</v>
      </c>
      <c r="C1253" s="5" t="s">
        <v>1776</v>
      </c>
      <c r="D1253" s="5" t="s">
        <v>13</v>
      </c>
      <c r="E1253" s="6">
        <v>1227</v>
      </c>
      <c r="F1253" s="5" t="str">
        <f>HYPERLINK("https://www.google.com/maps/search/?api=1&amp;query=24.67075781,46.74287983", "View Map")</f>
        <v>View Map</v>
      </c>
    </row>
    <row r="1254" spans="1:6" x14ac:dyDescent="0.35">
      <c r="A1254" s="4" t="s">
        <v>5978</v>
      </c>
      <c r="B1254" s="5" t="s">
        <v>3882</v>
      </c>
      <c r="C1254" s="5" t="s">
        <v>1776</v>
      </c>
      <c r="D1254" s="5" t="s">
        <v>13</v>
      </c>
      <c r="E1254" s="6">
        <v>1226</v>
      </c>
      <c r="F1254" s="5" t="str">
        <f>HYPERLINK("https://www.google.com/maps/search/?api=1&amp;query=24.80272639,46.87163955", "View Map")</f>
        <v>View Map</v>
      </c>
    </row>
    <row r="1255" spans="1:6" x14ac:dyDescent="0.35">
      <c r="A1255" s="4" t="s">
        <v>6822</v>
      </c>
      <c r="B1255" s="5" t="s">
        <v>3884</v>
      </c>
      <c r="C1255" s="5" t="s">
        <v>1776</v>
      </c>
      <c r="D1255" s="5" t="s">
        <v>13</v>
      </c>
      <c r="E1255" s="6">
        <v>1226</v>
      </c>
      <c r="F1255" s="5" t="str">
        <f>HYPERLINK("https://www.google.com/maps/search/?api=1&amp;query=24.61484005,46.71801665", "View Map")</f>
        <v>View Map</v>
      </c>
    </row>
    <row r="1256" spans="1:6" x14ac:dyDescent="0.35">
      <c r="A1256" s="4" t="s">
        <v>5978</v>
      </c>
      <c r="B1256" s="5" t="s">
        <v>3885</v>
      </c>
      <c r="C1256" s="5" t="s">
        <v>1776</v>
      </c>
      <c r="D1256" s="5" t="s">
        <v>13</v>
      </c>
      <c r="E1256" s="6">
        <v>1225</v>
      </c>
      <c r="F1256" s="5" t="str">
        <f>HYPERLINK("https://www.google.com/maps/search/?api=1&amp;query=24.83158964,46.76052856", "View Map")</f>
        <v>View Map</v>
      </c>
    </row>
    <row r="1257" spans="1:6" x14ac:dyDescent="0.35">
      <c r="A1257" s="4" t="s">
        <v>5974</v>
      </c>
      <c r="B1257" s="5" t="s">
        <v>3886</v>
      </c>
      <c r="C1257" s="5" t="s">
        <v>1776</v>
      </c>
      <c r="D1257" s="5" t="s">
        <v>13</v>
      </c>
      <c r="E1257" s="6">
        <v>1225</v>
      </c>
      <c r="F1257" s="5" t="str">
        <f>HYPERLINK("https://www.google.com/maps/search/?api=1&amp;query=24.84402774,46.82158765", "View Map")</f>
        <v>View Map</v>
      </c>
    </row>
    <row r="1258" spans="1:6" x14ac:dyDescent="0.35">
      <c r="A1258" s="4" t="s">
        <v>6823</v>
      </c>
      <c r="B1258" s="5" t="s">
        <v>3888</v>
      </c>
      <c r="C1258" s="5" t="s">
        <v>1776</v>
      </c>
      <c r="D1258" s="5" t="s">
        <v>9</v>
      </c>
      <c r="E1258" s="6">
        <v>1222</v>
      </c>
      <c r="F1258" s="5" t="str">
        <f>HYPERLINK("https://www.google.com/maps/search/?api=1&amp;query=24.71866892,46.78548782", "View Map")</f>
        <v>View Map</v>
      </c>
    </row>
    <row r="1259" spans="1:6" x14ac:dyDescent="0.35">
      <c r="A1259" s="4" t="s">
        <v>6824</v>
      </c>
      <c r="B1259" s="5" t="s">
        <v>3890</v>
      </c>
      <c r="C1259" s="5" t="s">
        <v>1776</v>
      </c>
      <c r="D1259" s="5" t="s">
        <v>13</v>
      </c>
      <c r="E1259" s="6">
        <v>1222</v>
      </c>
      <c r="F1259" s="5" t="str">
        <f>HYPERLINK("https://www.google.com/maps/search/?api=1&amp;query=24.76462182,46.76403247", "View Map")</f>
        <v>View Map</v>
      </c>
    </row>
    <row r="1260" spans="1:6" x14ac:dyDescent="0.35">
      <c r="A1260" s="4" t="s">
        <v>6825</v>
      </c>
      <c r="B1260" s="5" t="s">
        <v>3892</v>
      </c>
      <c r="C1260" s="5" t="s">
        <v>1776</v>
      </c>
      <c r="D1260" s="5" t="s">
        <v>13</v>
      </c>
      <c r="E1260" s="6">
        <v>1219</v>
      </c>
      <c r="F1260" s="5" t="str">
        <f>HYPERLINK("https://www.google.com/maps/search/?api=1&amp;query=24.5807133,46.63335888", "View Map")</f>
        <v>View Map</v>
      </c>
    </row>
    <row r="1261" spans="1:6" x14ac:dyDescent="0.35">
      <c r="A1261" s="4" t="s">
        <v>6826</v>
      </c>
      <c r="B1261" s="5" t="s">
        <v>3894</v>
      </c>
      <c r="C1261" s="5" t="s">
        <v>1776</v>
      </c>
      <c r="D1261" s="5" t="s">
        <v>13</v>
      </c>
      <c r="E1261" s="6">
        <v>1217</v>
      </c>
      <c r="F1261" s="5" t="str">
        <f>HYPERLINK("https://www.google.com/maps/search/?api=1&amp;query=24.79925151,46.75696958", "View Map")</f>
        <v>View Map</v>
      </c>
    </row>
    <row r="1262" spans="1:6" x14ac:dyDescent="0.35">
      <c r="A1262" s="4" t="s">
        <v>5974</v>
      </c>
      <c r="B1262" s="5" t="s">
        <v>3895</v>
      </c>
      <c r="C1262" s="5" t="s">
        <v>1776</v>
      </c>
      <c r="D1262" s="5" t="s">
        <v>13</v>
      </c>
      <c r="E1262" s="6">
        <v>1216</v>
      </c>
      <c r="F1262" s="5" t="str">
        <f>HYPERLINK("https://www.google.com/maps/search/?api=1&amp;query=24.78988799,46.69180053", "View Map")</f>
        <v>View Map</v>
      </c>
    </row>
    <row r="1263" spans="1:6" x14ac:dyDescent="0.35">
      <c r="A1263" s="4" t="s">
        <v>6827</v>
      </c>
      <c r="B1263" s="5" t="s">
        <v>3897</v>
      </c>
      <c r="C1263" s="5" t="s">
        <v>1776</v>
      </c>
      <c r="D1263" s="5" t="s">
        <v>13</v>
      </c>
      <c r="E1263" s="6">
        <v>1216</v>
      </c>
      <c r="F1263" s="5" t="str">
        <f>HYPERLINK("https://www.google.com/maps/search/?api=1&amp;query=24.60857789,46.73029463", "View Map")</f>
        <v>View Map</v>
      </c>
    </row>
    <row r="1264" spans="1:6" x14ac:dyDescent="0.35">
      <c r="A1264" s="4" t="s">
        <v>5974</v>
      </c>
      <c r="B1264" s="5" t="s">
        <v>3898</v>
      </c>
      <c r="C1264" s="5" t="s">
        <v>1776</v>
      </c>
      <c r="D1264" s="5" t="s">
        <v>9</v>
      </c>
      <c r="E1264" s="6">
        <v>1215</v>
      </c>
      <c r="F1264" s="5" t="str">
        <f>HYPERLINK("https://www.google.com/maps/search/?api=1&amp;query=24.92525789,46.82341566", "View Map")</f>
        <v>View Map</v>
      </c>
    </row>
    <row r="1265" spans="1:6" x14ac:dyDescent="0.35">
      <c r="A1265" s="4" t="s">
        <v>6828</v>
      </c>
      <c r="B1265" s="5" t="s">
        <v>3900</v>
      </c>
      <c r="C1265" s="5" t="s">
        <v>1776</v>
      </c>
      <c r="D1265" s="5" t="s">
        <v>13</v>
      </c>
      <c r="E1265" s="6">
        <v>1215</v>
      </c>
      <c r="F1265" s="5" t="str">
        <f>HYPERLINK("https://www.google.com/maps/search/?api=1&amp;query=24.78410917,46.82237605", "View Map")</f>
        <v>View Map</v>
      </c>
    </row>
    <row r="1266" spans="1:6" x14ac:dyDescent="0.35">
      <c r="A1266" s="4" t="s">
        <v>3901</v>
      </c>
      <c r="B1266" s="5" t="s">
        <v>3902</v>
      </c>
      <c r="C1266" s="5" t="s">
        <v>1776</v>
      </c>
      <c r="D1266" s="5" t="s">
        <v>13</v>
      </c>
      <c r="E1266" s="6">
        <v>1215</v>
      </c>
      <c r="F1266" s="5" t="str">
        <f>HYPERLINK("https://www.google.com/maps/search/?api=1&amp;query=24.62866987,46.72821145", "View Map")</f>
        <v>View Map</v>
      </c>
    </row>
    <row r="1267" spans="1:6" x14ac:dyDescent="0.35">
      <c r="A1267" s="4" t="s">
        <v>6829</v>
      </c>
      <c r="B1267" s="5" t="s">
        <v>3904</v>
      </c>
      <c r="C1267" s="5" t="s">
        <v>1776</v>
      </c>
      <c r="D1267" s="5" t="s">
        <v>13</v>
      </c>
      <c r="E1267" s="6">
        <v>1214</v>
      </c>
      <c r="F1267" s="5" t="str">
        <f>HYPERLINK("https://www.google.com/maps/search/?api=1&amp;query=24.59860619,46.60744027", "View Map")</f>
        <v>View Map</v>
      </c>
    </row>
    <row r="1268" spans="1:6" x14ac:dyDescent="0.35">
      <c r="A1268" s="4" t="s">
        <v>6830</v>
      </c>
      <c r="B1268" s="5" t="s">
        <v>3906</v>
      </c>
      <c r="C1268" s="5" t="s">
        <v>1776</v>
      </c>
      <c r="D1268" s="5" t="s">
        <v>13</v>
      </c>
      <c r="E1268" s="6">
        <v>1213</v>
      </c>
      <c r="F1268" s="5" t="str">
        <f>HYPERLINK("https://www.google.com/maps/search/?api=1&amp;query=24.7297,46.8114", "View Map")</f>
        <v>View Map</v>
      </c>
    </row>
    <row r="1269" spans="1:6" x14ac:dyDescent="0.35">
      <c r="A1269" s="4" t="s">
        <v>6831</v>
      </c>
      <c r="B1269" s="5" t="s">
        <v>3908</v>
      </c>
      <c r="C1269" s="5" t="s">
        <v>1776</v>
      </c>
      <c r="D1269" s="5" t="s">
        <v>13</v>
      </c>
      <c r="E1269" s="6">
        <v>1212</v>
      </c>
      <c r="F1269" s="5" t="str">
        <f>HYPERLINK("https://www.google.com/maps/search/?api=1&amp;query=24.69999857,46.80127742", "View Map")</f>
        <v>View Map</v>
      </c>
    </row>
    <row r="1270" spans="1:6" x14ac:dyDescent="0.35">
      <c r="A1270" s="4" t="s">
        <v>6832</v>
      </c>
      <c r="B1270" s="5" t="s">
        <v>3910</v>
      </c>
      <c r="C1270" s="5" t="s">
        <v>1776</v>
      </c>
      <c r="D1270" s="5" t="s">
        <v>13</v>
      </c>
      <c r="E1270" s="6">
        <v>1211</v>
      </c>
      <c r="F1270" s="5" t="str">
        <f>HYPERLINK("https://www.google.com/maps/search/?api=1&amp;query=24.57561083,46.70002752", "View Map")</f>
        <v>View Map</v>
      </c>
    </row>
    <row r="1271" spans="1:6" x14ac:dyDescent="0.35">
      <c r="A1271" s="4" t="s">
        <v>6833</v>
      </c>
      <c r="B1271" s="5" t="s">
        <v>3912</v>
      </c>
      <c r="C1271" s="5" t="s">
        <v>1776</v>
      </c>
      <c r="D1271" s="5" t="s">
        <v>13</v>
      </c>
      <c r="E1271" s="6">
        <v>1210</v>
      </c>
      <c r="F1271" s="5" t="str">
        <f>HYPERLINK("https://www.google.com/maps/search/?api=1&amp;query=24.56765304,46.75370021", "View Map")</f>
        <v>View Map</v>
      </c>
    </row>
    <row r="1272" spans="1:6" x14ac:dyDescent="0.35">
      <c r="A1272" s="4" t="s">
        <v>5978</v>
      </c>
      <c r="B1272" s="5" t="s">
        <v>3913</v>
      </c>
      <c r="C1272" s="5" t="s">
        <v>1776</v>
      </c>
      <c r="D1272" s="5" t="s">
        <v>9</v>
      </c>
      <c r="E1272" s="6">
        <v>1210</v>
      </c>
      <c r="F1272" s="5" t="str">
        <f>HYPERLINK("https://www.google.com/maps/search/?api=1&amp;query=24.84352026,46.76454994", "View Map")</f>
        <v>View Map</v>
      </c>
    </row>
    <row r="1273" spans="1:6" x14ac:dyDescent="0.35">
      <c r="A1273" s="4" t="s">
        <v>6834</v>
      </c>
      <c r="B1273" s="5" t="s">
        <v>3915</v>
      </c>
      <c r="C1273" s="5" t="s">
        <v>1776</v>
      </c>
      <c r="D1273" s="5" t="s">
        <v>13</v>
      </c>
      <c r="E1273" s="6">
        <v>1209</v>
      </c>
      <c r="F1273" s="5" t="str">
        <f>HYPERLINK("https://www.google.com/maps/search/?api=1&amp;query=24.62314321,46.55773407", "View Map")</f>
        <v>View Map</v>
      </c>
    </row>
    <row r="1274" spans="1:6" x14ac:dyDescent="0.35">
      <c r="A1274" s="4" t="s">
        <v>6134</v>
      </c>
      <c r="B1274" s="5" t="s">
        <v>3916</v>
      </c>
      <c r="C1274" s="5" t="s">
        <v>1776</v>
      </c>
      <c r="D1274" s="5" t="s">
        <v>9</v>
      </c>
      <c r="E1274" s="6">
        <v>1208</v>
      </c>
      <c r="F1274" s="5" t="str">
        <f>HYPERLINK("https://www.google.com/maps/search/?api=1&amp;query=24.79928671,46.67671869", "View Map")</f>
        <v>View Map</v>
      </c>
    </row>
    <row r="1275" spans="1:6" x14ac:dyDescent="0.35">
      <c r="A1275" s="4" t="s">
        <v>6835</v>
      </c>
      <c r="B1275" s="5" t="s">
        <v>3917</v>
      </c>
      <c r="C1275" s="5" t="s">
        <v>1776</v>
      </c>
      <c r="D1275" s="5" t="s">
        <v>13</v>
      </c>
      <c r="E1275" s="6">
        <v>1207</v>
      </c>
      <c r="F1275" s="5" t="str">
        <f>HYPERLINK("https://www.google.com/maps/search/?api=1&amp;query=24.7043586,46.81605043", "View Map")</f>
        <v>View Map</v>
      </c>
    </row>
    <row r="1276" spans="1:6" x14ac:dyDescent="0.35">
      <c r="A1276" s="4" t="s">
        <v>6039</v>
      </c>
      <c r="B1276" s="5" t="s">
        <v>3918</v>
      </c>
      <c r="C1276" s="5" t="s">
        <v>1776</v>
      </c>
      <c r="D1276" s="5" t="s">
        <v>9</v>
      </c>
      <c r="E1276" s="6">
        <v>1207</v>
      </c>
      <c r="F1276" s="5" t="str">
        <f>HYPERLINK("https://www.google.com/maps/search/?api=1&amp;query=24.55866422,46.51565287", "View Map")</f>
        <v>View Map</v>
      </c>
    </row>
    <row r="1277" spans="1:6" x14ac:dyDescent="0.35">
      <c r="A1277" s="4" t="s">
        <v>6836</v>
      </c>
      <c r="B1277" s="5" t="s">
        <v>3920</v>
      </c>
      <c r="C1277" s="5" t="s">
        <v>1776</v>
      </c>
      <c r="D1277" s="5" t="s">
        <v>13</v>
      </c>
      <c r="E1277" s="6">
        <v>1207</v>
      </c>
      <c r="F1277" s="5" t="str">
        <f>HYPERLINK("https://www.google.com/maps/search/?api=1&amp;query=24.57631085,46.66646059", "View Map")</f>
        <v>View Map</v>
      </c>
    </row>
    <row r="1278" spans="1:6" x14ac:dyDescent="0.35">
      <c r="A1278" s="4" t="s">
        <v>6039</v>
      </c>
      <c r="B1278" s="5" t="s">
        <v>3921</v>
      </c>
      <c r="C1278" s="5" t="s">
        <v>1776</v>
      </c>
      <c r="D1278" s="5" t="s">
        <v>13</v>
      </c>
      <c r="E1278" s="6">
        <v>1206</v>
      </c>
      <c r="F1278" s="5" t="str">
        <f>HYPERLINK("https://www.google.com/maps/search/?api=1&amp;query=24.69169,46.57999", "View Map")</f>
        <v>View Map</v>
      </c>
    </row>
    <row r="1279" spans="1:6" x14ac:dyDescent="0.35">
      <c r="A1279" s="4" t="s">
        <v>6837</v>
      </c>
      <c r="B1279" s="5" t="s">
        <v>3923</v>
      </c>
      <c r="C1279" s="5" t="s">
        <v>1776</v>
      </c>
      <c r="D1279" s="5" t="s">
        <v>13</v>
      </c>
      <c r="E1279" s="6">
        <v>1205</v>
      </c>
      <c r="F1279" s="5" t="str">
        <f>HYPERLINK("https://www.google.com/maps/search/?api=1&amp;query=24.74972807,46.81182744", "View Map")</f>
        <v>View Map</v>
      </c>
    </row>
    <row r="1280" spans="1:6" x14ac:dyDescent="0.35">
      <c r="A1280" s="4" t="s">
        <v>6380</v>
      </c>
      <c r="B1280" s="5" t="s">
        <v>3924</v>
      </c>
      <c r="C1280" s="5" t="s">
        <v>1776</v>
      </c>
      <c r="D1280" s="5" t="s">
        <v>9</v>
      </c>
      <c r="E1280" s="6">
        <v>1205</v>
      </c>
      <c r="F1280" s="5" t="str">
        <f>HYPERLINK("https://www.google.com/maps/search/?api=1&amp;query=24.69604829,46.76894689", "View Map")</f>
        <v>View Map</v>
      </c>
    </row>
    <row r="1281" spans="1:6" x14ac:dyDescent="0.35">
      <c r="A1281" s="4" t="s">
        <v>3925</v>
      </c>
      <c r="B1281" s="5" t="s">
        <v>3926</v>
      </c>
      <c r="C1281" s="5" t="s">
        <v>1776</v>
      </c>
      <c r="D1281" s="5" t="s">
        <v>13</v>
      </c>
      <c r="E1281" s="6">
        <v>1205</v>
      </c>
      <c r="F1281" s="5" t="str">
        <f>HYPERLINK("https://www.google.com/maps/search/?api=1&amp;query=24.65445903,46.73400105", "View Map")</f>
        <v>View Map</v>
      </c>
    </row>
    <row r="1282" spans="1:6" x14ac:dyDescent="0.35">
      <c r="A1282" s="4" t="s">
        <v>6838</v>
      </c>
      <c r="B1282" s="5" t="s">
        <v>3928</v>
      </c>
      <c r="C1282" s="5" t="s">
        <v>1776</v>
      </c>
      <c r="D1282" s="5" t="s">
        <v>13</v>
      </c>
      <c r="E1282" s="6">
        <v>1203</v>
      </c>
      <c r="F1282" s="5" t="str">
        <f>HYPERLINK("https://www.google.com/maps/search/?api=1&amp;query=24.76137489,46.81414004", "View Map")</f>
        <v>View Map</v>
      </c>
    </row>
    <row r="1283" spans="1:6" x14ac:dyDescent="0.35">
      <c r="A1283" s="4" t="s">
        <v>6839</v>
      </c>
      <c r="B1283" s="5" t="s">
        <v>3930</v>
      </c>
      <c r="C1283" s="5" t="s">
        <v>1776</v>
      </c>
      <c r="D1283" s="5" t="s">
        <v>13</v>
      </c>
      <c r="E1283" s="6">
        <v>1203</v>
      </c>
      <c r="F1283" s="5" t="str">
        <f>HYPERLINK("https://www.google.com/maps/search/?api=1&amp;query=24.66092715,46.79239513", "View Map")</f>
        <v>View Map</v>
      </c>
    </row>
    <row r="1284" spans="1:6" x14ac:dyDescent="0.35">
      <c r="A1284" s="4" t="s">
        <v>6840</v>
      </c>
      <c r="B1284" s="5" t="s">
        <v>3932</v>
      </c>
      <c r="C1284" s="5" t="s">
        <v>1776</v>
      </c>
      <c r="D1284" s="5" t="s">
        <v>13</v>
      </c>
      <c r="E1284" s="6">
        <v>1202</v>
      </c>
      <c r="F1284" s="5" t="str">
        <f>HYPERLINK("https://www.google.com/maps/search/?api=1&amp;query=24.59807471,46.66745211", "View Map")</f>
        <v>View Map</v>
      </c>
    </row>
    <row r="1285" spans="1:6" x14ac:dyDescent="0.35">
      <c r="A1285" s="4" t="s">
        <v>6841</v>
      </c>
      <c r="B1285" s="5" t="s">
        <v>3934</v>
      </c>
      <c r="C1285" s="5" t="s">
        <v>1776</v>
      </c>
      <c r="D1285" s="5" t="s">
        <v>13</v>
      </c>
      <c r="E1285" s="6">
        <v>1202</v>
      </c>
      <c r="F1285" s="5" t="str">
        <f>HYPERLINK("https://www.google.com/maps/search/?api=1&amp;query=24.77325101,46.62159992", "View Map")</f>
        <v>View Map</v>
      </c>
    </row>
    <row r="1286" spans="1:6" x14ac:dyDescent="0.35">
      <c r="A1286" s="4" t="s">
        <v>6842</v>
      </c>
      <c r="B1286" s="5" t="s">
        <v>3936</v>
      </c>
      <c r="C1286" s="5" t="s">
        <v>1776</v>
      </c>
      <c r="D1286" s="5" t="s">
        <v>13</v>
      </c>
      <c r="E1286" s="6">
        <v>1201</v>
      </c>
      <c r="F1286" s="5" t="str">
        <f>HYPERLINK("https://www.google.com/maps/search/?api=1&amp;query=24.67828205,46.74011348", "View Map")</f>
        <v>View Map</v>
      </c>
    </row>
    <row r="1287" spans="1:6" x14ac:dyDescent="0.35">
      <c r="A1287" s="4" t="s">
        <v>6843</v>
      </c>
      <c r="B1287" s="5" t="s">
        <v>3938</v>
      </c>
      <c r="C1287" s="5" t="s">
        <v>1776</v>
      </c>
      <c r="D1287" s="5" t="s">
        <v>9</v>
      </c>
      <c r="E1287" s="6">
        <v>1197</v>
      </c>
      <c r="F1287" s="5" t="str">
        <f>HYPERLINK("https://www.google.com/maps/search/?api=1&amp;query=24.60648419,46.65019651", "View Map")</f>
        <v>View Map</v>
      </c>
    </row>
    <row r="1288" spans="1:6" x14ac:dyDescent="0.35">
      <c r="A1288" s="4" t="s">
        <v>6844</v>
      </c>
      <c r="B1288" s="5" t="s">
        <v>3940</v>
      </c>
      <c r="C1288" s="5" t="s">
        <v>1776</v>
      </c>
      <c r="D1288" s="5" t="s">
        <v>13</v>
      </c>
      <c r="E1288" s="6">
        <v>1197</v>
      </c>
      <c r="F1288" s="5" t="str">
        <f>HYPERLINK("https://www.google.com/maps/search/?api=1&amp;query=24.63417627,46.71832189", "View Map")</f>
        <v>View Map</v>
      </c>
    </row>
    <row r="1289" spans="1:6" x14ac:dyDescent="0.35">
      <c r="A1289" s="4" t="s">
        <v>5974</v>
      </c>
      <c r="B1289" s="5" t="s">
        <v>3941</v>
      </c>
      <c r="C1289" s="5" t="s">
        <v>1776</v>
      </c>
      <c r="D1289" s="5" t="s">
        <v>13</v>
      </c>
      <c r="E1289" s="6">
        <v>1196</v>
      </c>
      <c r="F1289" s="5" t="str">
        <f>HYPERLINK("https://www.google.com/maps/search/?api=1&amp;query=24.89074023,46.60977969", "View Map")</f>
        <v>View Map</v>
      </c>
    </row>
    <row r="1290" spans="1:6" x14ac:dyDescent="0.35">
      <c r="A1290" s="4" t="s">
        <v>6845</v>
      </c>
      <c r="B1290" s="5" t="s">
        <v>3943</v>
      </c>
      <c r="C1290" s="5" t="s">
        <v>1776</v>
      </c>
      <c r="D1290" s="5" t="s">
        <v>13</v>
      </c>
      <c r="E1290" s="6">
        <v>1195</v>
      </c>
      <c r="F1290" s="5" t="str">
        <f>HYPERLINK("https://www.google.com/maps/search/?api=1&amp;query=24.55218905,46.78653029", "View Map")</f>
        <v>View Map</v>
      </c>
    </row>
    <row r="1291" spans="1:6" x14ac:dyDescent="0.35">
      <c r="A1291" s="4" t="s">
        <v>6846</v>
      </c>
      <c r="B1291" s="5" t="s">
        <v>3945</v>
      </c>
      <c r="C1291" s="5" t="s">
        <v>1776</v>
      </c>
      <c r="D1291" s="5" t="s">
        <v>13</v>
      </c>
      <c r="E1291" s="6">
        <v>1193</v>
      </c>
      <c r="F1291" s="5" t="str">
        <f>HYPERLINK("https://www.google.com/maps/search/?api=1&amp;query=24.59685742,46.65816017", "View Map")</f>
        <v>View Map</v>
      </c>
    </row>
    <row r="1292" spans="1:6" x14ac:dyDescent="0.35">
      <c r="A1292" s="4" t="s">
        <v>6847</v>
      </c>
      <c r="B1292" s="5" t="s">
        <v>3947</v>
      </c>
      <c r="C1292" s="5" t="s">
        <v>1776</v>
      </c>
      <c r="D1292" s="5" t="s">
        <v>13</v>
      </c>
      <c r="E1292" s="6">
        <v>1192</v>
      </c>
      <c r="F1292" s="5" t="str">
        <f>HYPERLINK("https://www.google.com/maps/search/?api=1&amp;query=24.78433462,46.79192822", "View Map")</f>
        <v>View Map</v>
      </c>
    </row>
    <row r="1293" spans="1:6" x14ac:dyDescent="0.35">
      <c r="A1293" s="4" t="s">
        <v>6848</v>
      </c>
      <c r="B1293" s="5" t="s">
        <v>3949</v>
      </c>
      <c r="C1293" s="5" t="s">
        <v>1776</v>
      </c>
      <c r="D1293" s="5" t="s">
        <v>9</v>
      </c>
      <c r="E1293" s="6">
        <v>1191</v>
      </c>
      <c r="F1293" s="5" t="str">
        <f>HYPERLINK("https://www.google.com/maps/search/?api=1&amp;query=24.73544912,46.83330853", "View Map")</f>
        <v>View Map</v>
      </c>
    </row>
    <row r="1294" spans="1:6" x14ac:dyDescent="0.35">
      <c r="A1294" s="4" t="s">
        <v>6849</v>
      </c>
      <c r="B1294" s="5" t="s">
        <v>3951</v>
      </c>
      <c r="C1294" s="5" t="s">
        <v>1776</v>
      </c>
      <c r="D1294" s="5" t="s">
        <v>13</v>
      </c>
      <c r="E1294" s="6">
        <v>1191</v>
      </c>
      <c r="F1294" s="5" t="str">
        <f>HYPERLINK("https://www.google.com/maps/search/?api=1&amp;query=24.68684513,46.78518232", "View Map")</f>
        <v>View Map</v>
      </c>
    </row>
    <row r="1295" spans="1:6" x14ac:dyDescent="0.35">
      <c r="A1295" s="4" t="s">
        <v>6850</v>
      </c>
      <c r="B1295" s="5" t="s">
        <v>3953</v>
      </c>
      <c r="C1295" s="5" t="s">
        <v>1776</v>
      </c>
      <c r="D1295" s="5" t="s">
        <v>13</v>
      </c>
      <c r="E1295" s="6">
        <v>1190</v>
      </c>
      <c r="F1295" s="5" t="str">
        <f>HYPERLINK("https://www.google.com/maps/search/?api=1&amp;query=24.60780761,46.59942933", "View Map")</f>
        <v>View Map</v>
      </c>
    </row>
    <row r="1296" spans="1:6" x14ac:dyDescent="0.35">
      <c r="A1296" s="4" t="s">
        <v>6851</v>
      </c>
      <c r="B1296" s="5" t="s">
        <v>3955</v>
      </c>
      <c r="C1296" s="5" t="s">
        <v>1776</v>
      </c>
      <c r="D1296" s="5" t="s">
        <v>13</v>
      </c>
      <c r="E1296" s="6">
        <v>1190</v>
      </c>
      <c r="F1296" s="5" t="str">
        <f>HYPERLINK("https://www.google.com/maps/search/?api=1&amp;query=24.8150759,46.79136976", "View Map")</f>
        <v>View Map</v>
      </c>
    </row>
    <row r="1297" spans="1:6" x14ac:dyDescent="0.35">
      <c r="A1297" s="4" t="s">
        <v>6852</v>
      </c>
      <c r="B1297" s="5" t="s">
        <v>3957</v>
      </c>
      <c r="C1297" s="5" t="s">
        <v>1776</v>
      </c>
      <c r="D1297" s="5" t="s">
        <v>13</v>
      </c>
      <c r="E1297" s="6">
        <v>1189</v>
      </c>
      <c r="F1297" s="5" t="str">
        <f>HYPERLINK("https://www.google.com/maps/search/?api=1&amp;query=24.78314284,46.8099122", "View Map")</f>
        <v>View Map</v>
      </c>
    </row>
    <row r="1298" spans="1:6" x14ac:dyDescent="0.35">
      <c r="A1298" s="4" t="s">
        <v>5974</v>
      </c>
      <c r="B1298" s="5" t="s">
        <v>3958</v>
      </c>
      <c r="C1298" s="5" t="s">
        <v>1843</v>
      </c>
      <c r="D1298" s="5" t="s">
        <v>13</v>
      </c>
      <c r="E1298" s="6">
        <v>1188</v>
      </c>
      <c r="F1298" s="5" t="str">
        <f>HYPERLINK("https://www.google.com/maps/search/?api=1&amp;query=24.77772577,46.56393009", "View Map")</f>
        <v>View Map</v>
      </c>
    </row>
    <row r="1299" spans="1:6" x14ac:dyDescent="0.35">
      <c r="A1299" s="4" t="s">
        <v>6568</v>
      </c>
      <c r="B1299" s="5" t="s">
        <v>3959</v>
      </c>
      <c r="C1299" s="5" t="s">
        <v>1776</v>
      </c>
      <c r="D1299" s="5" t="s">
        <v>13</v>
      </c>
      <c r="E1299" s="6">
        <v>1188</v>
      </c>
      <c r="F1299" s="5" t="str">
        <f>HYPERLINK("https://www.google.com/maps/search/?api=1&amp;query=24.52613511,46.70057587", "View Map")</f>
        <v>View Map</v>
      </c>
    </row>
    <row r="1300" spans="1:6" x14ac:dyDescent="0.35">
      <c r="A1300" s="4" t="s">
        <v>6853</v>
      </c>
      <c r="B1300" s="5" t="s">
        <v>3961</v>
      </c>
      <c r="C1300" s="5" t="s">
        <v>1776</v>
      </c>
      <c r="D1300" s="5" t="s">
        <v>9</v>
      </c>
      <c r="E1300" s="6">
        <v>1187</v>
      </c>
      <c r="F1300" s="5" t="str">
        <f>HYPERLINK("https://www.google.com/maps/search/?api=1&amp;query=24.69286185,46.76104565", "View Map")</f>
        <v>View Map</v>
      </c>
    </row>
    <row r="1301" spans="1:6" x14ac:dyDescent="0.35">
      <c r="A1301" s="4" t="s">
        <v>5974</v>
      </c>
      <c r="B1301" s="5" t="s">
        <v>3962</v>
      </c>
      <c r="C1301" s="5" t="s">
        <v>1776</v>
      </c>
      <c r="D1301" s="5" t="s">
        <v>9</v>
      </c>
      <c r="E1301" s="6">
        <v>1187</v>
      </c>
      <c r="F1301" s="5" t="str">
        <f>HYPERLINK("https://www.google.com/maps/search/?api=1&amp;query=24.84628117,46.7715538", "View Map")</f>
        <v>View Map</v>
      </c>
    </row>
    <row r="1302" spans="1:6" x14ac:dyDescent="0.35">
      <c r="A1302" s="4" t="s">
        <v>5974</v>
      </c>
      <c r="B1302" s="5" t="s">
        <v>3963</v>
      </c>
      <c r="C1302" s="5" t="s">
        <v>1776</v>
      </c>
      <c r="D1302" s="5" t="s">
        <v>9</v>
      </c>
      <c r="E1302" s="6">
        <v>1187</v>
      </c>
      <c r="F1302" s="5" t="str">
        <f>HYPERLINK("https://www.google.com/maps/search/?api=1&amp;query=24.8099882,46.59869175", "View Map")</f>
        <v>View Map</v>
      </c>
    </row>
    <row r="1303" spans="1:6" x14ac:dyDescent="0.35">
      <c r="A1303" s="4" t="s">
        <v>5974</v>
      </c>
      <c r="B1303" s="5" t="s">
        <v>3964</v>
      </c>
      <c r="C1303" s="5" t="s">
        <v>1776</v>
      </c>
      <c r="D1303" s="5" t="s">
        <v>13</v>
      </c>
      <c r="E1303" s="6">
        <v>1187</v>
      </c>
      <c r="F1303" s="5" t="str">
        <f>HYPERLINK("https://www.google.com/maps/search/?api=1&amp;query=24.8822,46.6197", "View Map")</f>
        <v>View Map</v>
      </c>
    </row>
    <row r="1304" spans="1:6" x14ac:dyDescent="0.35">
      <c r="A1304" s="4" t="s">
        <v>6854</v>
      </c>
      <c r="B1304" s="5" t="s">
        <v>3966</v>
      </c>
      <c r="C1304" s="5" t="s">
        <v>1776</v>
      </c>
      <c r="D1304" s="5" t="s">
        <v>13</v>
      </c>
      <c r="E1304" s="6">
        <v>1185</v>
      </c>
      <c r="F1304" s="5" t="str">
        <f>HYPERLINK("https://www.google.com/maps/search/?api=1&amp;query=24.68702498,46.78192438", "View Map")</f>
        <v>View Map</v>
      </c>
    </row>
    <row r="1305" spans="1:6" x14ac:dyDescent="0.35">
      <c r="A1305" s="4" t="s">
        <v>6855</v>
      </c>
      <c r="B1305" s="5" t="s">
        <v>3968</v>
      </c>
      <c r="C1305" s="5" t="s">
        <v>1776</v>
      </c>
      <c r="D1305" s="5" t="s">
        <v>13</v>
      </c>
      <c r="E1305" s="6">
        <v>1185</v>
      </c>
      <c r="F1305" s="5" t="str">
        <f>HYPERLINK("https://www.google.com/maps/search/?api=1&amp;query=24.56641178,46.84331573", "View Map")</f>
        <v>View Map</v>
      </c>
    </row>
    <row r="1306" spans="1:6" x14ac:dyDescent="0.35">
      <c r="A1306" s="4" t="s">
        <v>6856</v>
      </c>
      <c r="B1306" s="5" t="s">
        <v>3970</v>
      </c>
      <c r="C1306" s="5" t="s">
        <v>1776</v>
      </c>
      <c r="D1306" s="5" t="s">
        <v>9</v>
      </c>
      <c r="E1306" s="6">
        <v>1184</v>
      </c>
      <c r="F1306" s="5" t="str">
        <f>HYPERLINK("https://www.google.com/maps/search/?api=1&amp;query=24.56065423,46.68798093", "View Map")</f>
        <v>View Map</v>
      </c>
    </row>
    <row r="1307" spans="1:6" x14ac:dyDescent="0.35">
      <c r="A1307" s="4" t="s">
        <v>6857</v>
      </c>
      <c r="B1307" s="5" t="s">
        <v>3972</v>
      </c>
      <c r="C1307" s="5" t="s">
        <v>1776</v>
      </c>
      <c r="D1307" s="5" t="s">
        <v>13</v>
      </c>
      <c r="E1307" s="6">
        <v>1184</v>
      </c>
      <c r="F1307" s="5" t="str">
        <f>HYPERLINK("https://www.google.com/maps/search/?api=1&amp;query=24.77143772,46.74776391", "View Map")</f>
        <v>View Map</v>
      </c>
    </row>
    <row r="1308" spans="1:6" x14ac:dyDescent="0.35">
      <c r="A1308" s="4" t="s">
        <v>6858</v>
      </c>
      <c r="B1308" s="5" t="s">
        <v>3974</v>
      </c>
      <c r="C1308" s="5" t="s">
        <v>1776</v>
      </c>
      <c r="D1308" s="5" t="s">
        <v>13</v>
      </c>
      <c r="E1308" s="6">
        <v>1183</v>
      </c>
      <c r="F1308" s="5" t="str">
        <f>HYPERLINK("https://www.google.com/maps/search/?api=1&amp;query=24.77201105,46.71580526", "View Map")</f>
        <v>View Map</v>
      </c>
    </row>
    <row r="1309" spans="1:6" x14ac:dyDescent="0.35">
      <c r="A1309" s="4" t="s">
        <v>5974</v>
      </c>
      <c r="B1309" s="5" t="s">
        <v>3975</v>
      </c>
      <c r="C1309" s="5" t="s">
        <v>1776</v>
      </c>
      <c r="D1309" s="5" t="s">
        <v>13</v>
      </c>
      <c r="E1309" s="6">
        <v>1183</v>
      </c>
      <c r="F1309" s="5" t="str">
        <f>HYPERLINK("https://www.google.com/maps/search/?api=1&amp;query=24.6067,46.5183", "View Map")</f>
        <v>View Map</v>
      </c>
    </row>
    <row r="1310" spans="1:6" x14ac:dyDescent="0.35">
      <c r="A1310" s="4" t="s">
        <v>6297</v>
      </c>
      <c r="B1310" s="5" t="s">
        <v>3976</v>
      </c>
      <c r="C1310" s="5" t="s">
        <v>1776</v>
      </c>
      <c r="D1310" s="5" t="s">
        <v>13</v>
      </c>
      <c r="E1310" s="6">
        <v>1183</v>
      </c>
      <c r="F1310" s="5" t="str">
        <f>HYPERLINK("https://www.google.com/maps/search/?api=1&amp;query=24.79855301,46.61681285", "View Map")</f>
        <v>View Map</v>
      </c>
    </row>
    <row r="1311" spans="1:6" x14ac:dyDescent="0.35">
      <c r="A1311" s="4" t="s">
        <v>6497</v>
      </c>
      <c r="B1311" s="5" t="s">
        <v>3977</v>
      </c>
      <c r="C1311" s="5" t="s">
        <v>1776</v>
      </c>
      <c r="D1311" s="5" t="s">
        <v>13</v>
      </c>
      <c r="E1311" s="6">
        <v>1183</v>
      </c>
      <c r="F1311" s="5" t="str">
        <f>HYPERLINK("https://www.google.com/maps/search/?api=1&amp;query=24.72752671,46.84777358", "View Map")</f>
        <v>View Map</v>
      </c>
    </row>
    <row r="1312" spans="1:6" x14ac:dyDescent="0.35">
      <c r="A1312" s="4" t="s">
        <v>6859</v>
      </c>
      <c r="B1312" s="5" t="s">
        <v>3979</v>
      </c>
      <c r="C1312" s="5" t="s">
        <v>1776</v>
      </c>
      <c r="D1312" s="5" t="s">
        <v>9</v>
      </c>
      <c r="E1312" s="6">
        <v>1183</v>
      </c>
      <c r="F1312" s="5" t="str">
        <f>HYPERLINK("https://www.google.com/maps/search/?api=1&amp;query=24.63013063,46.69867179", "View Map")</f>
        <v>View Map</v>
      </c>
    </row>
    <row r="1313" spans="1:6" x14ac:dyDescent="0.35">
      <c r="A1313" s="4" t="s">
        <v>5974</v>
      </c>
      <c r="B1313" s="5" t="s">
        <v>3980</v>
      </c>
      <c r="C1313" s="5" t="s">
        <v>1776</v>
      </c>
      <c r="D1313" s="5" t="s">
        <v>13</v>
      </c>
      <c r="E1313" s="6">
        <v>1179</v>
      </c>
      <c r="F1313" s="5" t="str">
        <f>HYPERLINK("https://www.google.com/maps/search/?api=1&amp;query=24.8756,46.6261", "View Map")</f>
        <v>View Map</v>
      </c>
    </row>
    <row r="1314" spans="1:6" x14ac:dyDescent="0.35">
      <c r="A1314" s="4" t="s">
        <v>6860</v>
      </c>
      <c r="B1314" s="5" t="s">
        <v>3982</v>
      </c>
      <c r="C1314" s="5" t="s">
        <v>1776</v>
      </c>
      <c r="D1314" s="5" t="s">
        <v>13</v>
      </c>
      <c r="E1314" s="6">
        <v>1178</v>
      </c>
      <c r="F1314" s="5" t="str">
        <f>HYPERLINK("https://www.google.com/maps/search/?api=1&amp;query=24.64266918,46.72813691", "View Map")</f>
        <v>View Map</v>
      </c>
    </row>
    <row r="1315" spans="1:6" x14ac:dyDescent="0.35">
      <c r="A1315" s="4" t="s">
        <v>6861</v>
      </c>
      <c r="B1315" s="5" t="s">
        <v>3984</v>
      </c>
      <c r="C1315" s="5" t="s">
        <v>1776</v>
      </c>
      <c r="D1315" s="5" t="s">
        <v>13</v>
      </c>
      <c r="E1315" s="6">
        <v>1178</v>
      </c>
      <c r="F1315" s="5" t="str">
        <f>HYPERLINK("https://www.google.com/maps/search/?api=1&amp;query=24.68448551,46.74623529", "View Map")</f>
        <v>View Map</v>
      </c>
    </row>
    <row r="1316" spans="1:6" x14ac:dyDescent="0.35">
      <c r="A1316" s="4" t="s">
        <v>6862</v>
      </c>
      <c r="B1316" s="5" t="s">
        <v>3986</v>
      </c>
      <c r="C1316" s="5" t="s">
        <v>1776</v>
      </c>
      <c r="D1316" s="5" t="s">
        <v>13</v>
      </c>
      <c r="E1316" s="6">
        <v>1178</v>
      </c>
      <c r="F1316" s="5" t="str">
        <f>HYPERLINK("https://www.google.com/maps/search/?api=1&amp;query=24.77573178,46.75846052", "View Map")</f>
        <v>View Map</v>
      </c>
    </row>
    <row r="1317" spans="1:6" x14ac:dyDescent="0.35">
      <c r="A1317" s="4" t="s">
        <v>5978</v>
      </c>
      <c r="B1317" s="5" t="s">
        <v>3987</v>
      </c>
      <c r="C1317" s="5" t="s">
        <v>1776</v>
      </c>
      <c r="D1317" s="5" t="s">
        <v>13</v>
      </c>
      <c r="E1317" s="6">
        <v>1176</v>
      </c>
      <c r="F1317" s="5" t="str">
        <f>HYPERLINK("https://www.google.com/maps/search/?api=1&amp;query=24.8436,46.8181", "View Map")</f>
        <v>View Map</v>
      </c>
    </row>
    <row r="1318" spans="1:6" x14ac:dyDescent="0.35">
      <c r="A1318" s="4" t="s">
        <v>5974</v>
      </c>
      <c r="B1318" s="5" t="s">
        <v>3988</v>
      </c>
      <c r="C1318" s="5" t="s">
        <v>1776</v>
      </c>
      <c r="D1318" s="5" t="s">
        <v>13</v>
      </c>
      <c r="E1318" s="6">
        <v>1175</v>
      </c>
      <c r="F1318" s="5" t="str">
        <f>HYPERLINK("https://www.google.com/maps/search/?api=1&amp;query=24.62084447,46.77477463", "View Map")</f>
        <v>View Map</v>
      </c>
    </row>
    <row r="1319" spans="1:6" x14ac:dyDescent="0.35">
      <c r="A1319" s="4" t="s">
        <v>6863</v>
      </c>
      <c r="B1319" s="5" t="s">
        <v>3990</v>
      </c>
      <c r="C1319" s="5" t="s">
        <v>1776</v>
      </c>
      <c r="D1319" s="5" t="s">
        <v>13</v>
      </c>
      <c r="E1319" s="6">
        <v>1175</v>
      </c>
      <c r="F1319" s="5" t="str">
        <f>HYPERLINK("https://www.google.com/maps/search/?api=1&amp;query=24.66839484,46.72540828", "View Map")</f>
        <v>View Map</v>
      </c>
    </row>
    <row r="1320" spans="1:6" x14ac:dyDescent="0.35">
      <c r="A1320" s="4" t="s">
        <v>5974</v>
      </c>
      <c r="B1320" s="5" t="s">
        <v>3991</v>
      </c>
      <c r="C1320" s="5" t="s">
        <v>1776</v>
      </c>
      <c r="D1320" s="5" t="s">
        <v>9</v>
      </c>
      <c r="E1320" s="6">
        <v>1174</v>
      </c>
      <c r="F1320" s="5" t="str">
        <f>HYPERLINK("https://www.google.com/maps/search/?api=1&amp;query=24.81066695,46.8276515", "View Map")</f>
        <v>View Map</v>
      </c>
    </row>
    <row r="1321" spans="1:6" x14ac:dyDescent="0.35">
      <c r="A1321" s="4" t="s">
        <v>6864</v>
      </c>
      <c r="B1321" s="5" t="s">
        <v>3993</v>
      </c>
      <c r="C1321" s="5" t="s">
        <v>1776</v>
      </c>
      <c r="D1321" s="5" t="s">
        <v>13</v>
      </c>
      <c r="E1321" s="6">
        <v>1174</v>
      </c>
      <c r="F1321" s="5" t="str">
        <f>HYPERLINK("https://www.google.com/maps/search/?api=1&amp;query=24.59800797,46.59650878", "View Map")</f>
        <v>View Map</v>
      </c>
    </row>
    <row r="1322" spans="1:6" x14ac:dyDescent="0.35">
      <c r="A1322" s="4" t="s">
        <v>6865</v>
      </c>
      <c r="B1322" s="5" t="s">
        <v>3995</v>
      </c>
      <c r="C1322" s="5" t="s">
        <v>1776</v>
      </c>
      <c r="D1322" s="5" t="s">
        <v>13</v>
      </c>
      <c r="E1322" s="6">
        <v>1174</v>
      </c>
      <c r="F1322" s="5" t="str">
        <f>HYPERLINK("https://www.google.com/maps/search/?api=1&amp;query=24.60505422,46.72086313", "View Map")</f>
        <v>View Map</v>
      </c>
    </row>
    <row r="1323" spans="1:6" x14ac:dyDescent="0.35">
      <c r="A1323" s="4" t="s">
        <v>6866</v>
      </c>
      <c r="B1323" s="5" t="s">
        <v>3997</v>
      </c>
      <c r="C1323" s="5" t="s">
        <v>1776</v>
      </c>
      <c r="D1323" s="5" t="s">
        <v>9</v>
      </c>
      <c r="E1323" s="6">
        <v>1173</v>
      </c>
      <c r="F1323" s="5" t="str">
        <f>HYPERLINK("https://www.google.com/maps/search/?api=1&amp;query=24.5419,46.7028", "View Map")</f>
        <v>View Map</v>
      </c>
    </row>
    <row r="1324" spans="1:6" x14ac:dyDescent="0.35">
      <c r="A1324" s="4" t="s">
        <v>6867</v>
      </c>
      <c r="B1324" s="5" t="s">
        <v>3999</v>
      </c>
      <c r="C1324" s="5" t="s">
        <v>1776</v>
      </c>
      <c r="D1324" s="5" t="s">
        <v>13</v>
      </c>
      <c r="E1324" s="6">
        <v>1173</v>
      </c>
      <c r="F1324" s="5" t="str">
        <f>HYPERLINK("https://www.google.com/maps/search/?api=1&amp;query=24.52648685,46.70435573", "View Map")</f>
        <v>View Map</v>
      </c>
    </row>
    <row r="1325" spans="1:6" x14ac:dyDescent="0.35">
      <c r="A1325" s="4" t="s">
        <v>6868</v>
      </c>
      <c r="B1325" s="5" t="s">
        <v>4001</v>
      </c>
      <c r="C1325" s="5" t="s">
        <v>1776</v>
      </c>
      <c r="D1325" s="5" t="s">
        <v>9</v>
      </c>
      <c r="E1325" s="6">
        <v>1172</v>
      </c>
      <c r="F1325" s="5" t="str">
        <f>HYPERLINK("https://www.google.com/maps/search/?api=1&amp;query=24.62797559,46.70421321", "View Map")</f>
        <v>View Map</v>
      </c>
    </row>
    <row r="1326" spans="1:6" x14ac:dyDescent="0.35">
      <c r="A1326" s="4" t="s">
        <v>5974</v>
      </c>
      <c r="B1326" s="5" t="s">
        <v>4002</v>
      </c>
      <c r="C1326" s="5" t="s">
        <v>1776</v>
      </c>
      <c r="D1326" s="5" t="s">
        <v>9</v>
      </c>
      <c r="E1326" s="6">
        <v>1171</v>
      </c>
      <c r="F1326" s="5" t="str">
        <f>HYPERLINK("https://www.google.com/maps/search/?api=1&amp;query=24.83805597,46.73961521", "View Map")</f>
        <v>View Map</v>
      </c>
    </row>
    <row r="1327" spans="1:6" x14ac:dyDescent="0.35">
      <c r="A1327" s="4" t="s">
        <v>6869</v>
      </c>
      <c r="B1327" s="5" t="s">
        <v>4004</v>
      </c>
      <c r="C1327" s="5" t="s">
        <v>1776</v>
      </c>
      <c r="D1327" s="5" t="s">
        <v>13</v>
      </c>
      <c r="E1327" s="6">
        <v>1171</v>
      </c>
      <c r="F1327" s="5" t="str">
        <f>HYPERLINK("https://www.google.com/maps/search/?api=1&amp;query=24.56298908,46.5635717", "View Map")</f>
        <v>View Map</v>
      </c>
    </row>
    <row r="1328" spans="1:6" x14ac:dyDescent="0.35">
      <c r="A1328" s="4" t="s">
        <v>5974</v>
      </c>
      <c r="B1328" s="5" t="s">
        <v>4005</v>
      </c>
      <c r="C1328" s="5" t="s">
        <v>1776</v>
      </c>
      <c r="D1328" s="5" t="s">
        <v>9</v>
      </c>
      <c r="E1328" s="6">
        <v>1170</v>
      </c>
      <c r="F1328" s="5" t="str">
        <f>HYPERLINK("https://www.google.com/maps/search/?api=1&amp;query=24.82015369,46.83870204", "View Map")</f>
        <v>View Map</v>
      </c>
    </row>
    <row r="1329" spans="1:6" x14ac:dyDescent="0.35">
      <c r="A1329" s="4" t="s">
        <v>5974</v>
      </c>
      <c r="B1329" s="5" t="s">
        <v>4006</v>
      </c>
      <c r="C1329" s="5" t="s">
        <v>1776</v>
      </c>
      <c r="D1329" s="5" t="s">
        <v>9</v>
      </c>
      <c r="E1329" s="6">
        <v>1170</v>
      </c>
      <c r="F1329" s="5" t="str">
        <f>HYPERLINK("https://www.google.com/maps/search/?api=1&amp;query=24.58815505,46.78042521", "View Map")</f>
        <v>View Map</v>
      </c>
    </row>
    <row r="1330" spans="1:6" x14ac:dyDescent="0.35">
      <c r="A1330" s="4" t="s">
        <v>6870</v>
      </c>
      <c r="B1330" s="5" t="s">
        <v>4008</v>
      </c>
      <c r="C1330" s="5" t="s">
        <v>1776</v>
      </c>
      <c r="D1330" s="5" t="s">
        <v>9</v>
      </c>
      <c r="E1330" s="6">
        <v>1168</v>
      </c>
      <c r="F1330" s="5" t="str">
        <f>HYPERLINK("https://www.google.com/maps/search/?api=1&amp;query=24.61305081,46.65314077", "View Map")</f>
        <v>View Map</v>
      </c>
    </row>
    <row r="1331" spans="1:6" x14ac:dyDescent="0.35">
      <c r="A1331" s="4" t="s">
        <v>5974</v>
      </c>
      <c r="B1331" s="5" t="s">
        <v>4009</v>
      </c>
      <c r="C1331" s="5" t="s">
        <v>1776</v>
      </c>
      <c r="D1331" s="5" t="s">
        <v>13</v>
      </c>
      <c r="E1331" s="6">
        <v>1167</v>
      </c>
      <c r="F1331" s="5" t="str">
        <f>HYPERLINK("https://www.google.com/maps/search/?api=1&amp;query=24.90174301,46.64012698", "View Map")</f>
        <v>View Map</v>
      </c>
    </row>
    <row r="1332" spans="1:6" x14ac:dyDescent="0.35">
      <c r="A1332" s="4" t="s">
        <v>6871</v>
      </c>
      <c r="B1332" s="5" t="s">
        <v>4011</v>
      </c>
      <c r="C1332" s="5" t="s">
        <v>1776</v>
      </c>
      <c r="D1332" s="5" t="s">
        <v>13</v>
      </c>
      <c r="E1332" s="6">
        <v>1166</v>
      </c>
      <c r="F1332" s="5" t="str">
        <f>HYPERLINK("https://www.google.com/maps/search/?api=1&amp;query=24.63750331,46.7302158", "View Map")</f>
        <v>View Map</v>
      </c>
    </row>
    <row r="1333" spans="1:6" x14ac:dyDescent="0.35">
      <c r="A1333" s="4" t="s">
        <v>6872</v>
      </c>
      <c r="B1333" s="5" t="s">
        <v>4013</v>
      </c>
      <c r="C1333" s="5" t="s">
        <v>1776</v>
      </c>
      <c r="D1333" s="5" t="s">
        <v>13</v>
      </c>
      <c r="E1333" s="6">
        <v>1166</v>
      </c>
      <c r="F1333" s="5" t="str">
        <f>HYPERLINK("https://www.google.com/maps/search/?api=1&amp;query=24.56964938,46.79819056", "View Map")</f>
        <v>View Map</v>
      </c>
    </row>
    <row r="1334" spans="1:6" x14ac:dyDescent="0.35">
      <c r="A1334" s="4" t="s">
        <v>6873</v>
      </c>
      <c r="B1334" s="5" t="s">
        <v>4015</v>
      </c>
      <c r="C1334" s="5" t="s">
        <v>1776</v>
      </c>
      <c r="D1334" s="5" t="s">
        <v>13</v>
      </c>
      <c r="E1334" s="6">
        <v>1166</v>
      </c>
      <c r="F1334" s="5" t="str">
        <f>HYPERLINK("https://www.google.com/maps/search/?api=1&amp;query=24.6094,46.7206", "View Map")</f>
        <v>View Map</v>
      </c>
    </row>
    <row r="1335" spans="1:6" x14ac:dyDescent="0.35">
      <c r="A1335" s="4" t="s">
        <v>5974</v>
      </c>
      <c r="B1335" s="5" t="s">
        <v>4016</v>
      </c>
      <c r="C1335" s="5" t="s">
        <v>1776</v>
      </c>
      <c r="D1335" s="5" t="s">
        <v>9</v>
      </c>
      <c r="E1335" s="6">
        <v>1166</v>
      </c>
      <c r="F1335" s="5" t="str">
        <f>HYPERLINK("https://www.google.com/maps/search/?api=1&amp;query=24.79167228,46.6115861", "View Map")</f>
        <v>View Map</v>
      </c>
    </row>
    <row r="1336" spans="1:6" x14ac:dyDescent="0.35">
      <c r="A1336" s="4" t="s">
        <v>6874</v>
      </c>
      <c r="B1336" s="5" t="s">
        <v>4018</v>
      </c>
      <c r="C1336" s="5" t="s">
        <v>1776</v>
      </c>
      <c r="D1336" s="5" t="s">
        <v>9</v>
      </c>
      <c r="E1336" s="6">
        <v>1166</v>
      </c>
      <c r="F1336" s="5" t="str">
        <f>HYPERLINK("https://www.google.com/maps/search/?api=1&amp;query=24.63661924,46.74131099", "View Map")</f>
        <v>View Map</v>
      </c>
    </row>
    <row r="1337" spans="1:6" x14ac:dyDescent="0.35">
      <c r="A1337" s="4" t="s">
        <v>6039</v>
      </c>
      <c r="B1337" s="5" t="s">
        <v>4019</v>
      </c>
      <c r="C1337" s="5" t="s">
        <v>1776</v>
      </c>
      <c r="D1337" s="5" t="s">
        <v>9</v>
      </c>
      <c r="E1337" s="6">
        <v>1164</v>
      </c>
      <c r="F1337" s="5" t="str">
        <f>HYPERLINK("https://www.google.com/maps/search/?api=1&amp;query=24.56355666,46.57525674", "View Map")</f>
        <v>View Map</v>
      </c>
    </row>
    <row r="1338" spans="1:6" x14ac:dyDescent="0.35">
      <c r="A1338" s="4" t="s">
        <v>6760</v>
      </c>
      <c r="B1338" s="5" t="s">
        <v>4020</v>
      </c>
      <c r="C1338" s="5" t="s">
        <v>1776</v>
      </c>
      <c r="D1338" s="5" t="s">
        <v>13</v>
      </c>
      <c r="E1338" s="6">
        <v>1164</v>
      </c>
      <c r="F1338" s="5" t="str">
        <f>HYPERLINK("https://www.google.com/maps/search/?api=1&amp;query=24.80888281,46.65732768", "View Map")</f>
        <v>View Map</v>
      </c>
    </row>
    <row r="1339" spans="1:6" x14ac:dyDescent="0.35">
      <c r="A1339" s="4" t="s">
        <v>5978</v>
      </c>
      <c r="B1339" s="5" t="s">
        <v>4021</v>
      </c>
      <c r="C1339" s="5" t="s">
        <v>1776</v>
      </c>
      <c r="D1339" s="5" t="s">
        <v>13</v>
      </c>
      <c r="E1339" s="6">
        <v>1161</v>
      </c>
      <c r="F1339" s="5" t="str">
        <f>HYPERLINK("https://www.google.com/maps/search/?api=1&amp;query=24.92253463,46.82486407", "View Map")</f>
        <v>View Map</v>
      </c>
    </row>
    <row r="1340" spans="1:6" x14ac:dyDescent="0.35">
      <c r="A1340" s="4" t="s">
        <v>6875</v>
      </c>
      <c r="B1340" s="5" t="s">
        <v>4023</v>
      </c>
      <c r="C1340" s="5" t="s">
        <v>1776</v>
      </c>
      <c r="D1340" s="5" t="s">
        <v>13</v>
      </c>
      <c r="E1340" s="6">
        <v>1161</v>
      </c>
      <c r="F1340" s="5" t="str">
        <f>HYPERLINK("https://www.google.com/maps/search/?api=1&amp;query=24.80381167,46.79835328", "View Map")</f>
        <v>View Map</v>
      </c>
    </row>
    <row r="1341" spans="1:6" x14ac:dyDescent="0.35">
      <c r="A1341" s="4" t="s">
        <v>5972</v>
      </c>
      <c r="B1341" s="5" t="s">
        <v>4024</v>
      </c>
      <c r="C1341" s="5" t="s">
        <v>1776</v>
      </c>
      <c r="D1341" s="5" t="s">
        <v>13</v>
      </c>
      <c r="E1341" s="6">
        <v>1160</v>
      </c>
      <c r="F1341" s="5" t="str">
        <f>HYPERLINK("https://www.google.com/maps/search/?api=1&amp;query=24.84151273,46.6844907", "View Map")</f>
        <v>View Map</v>
      </c>
    </row>
    <row r="1342" spans="1:6" x14ac:dyDescent="0.35">
      <c r="A1342" s="4" t="s">
        <v>6876</v>
      </c>
      <c r="B1342" s="5" t="s">
        <v>4026</v>
      </c>
      <c r="C1342" s="5" t="s">
        <v>1776</v>
      </c>
      <c r="D1342" s="5" t="s">
        <v>13</v>
      </c>
      <c r="E1342" s="6">
        <v>1159</v>
      </c>
      <c r="F1342" s="5" t="str">
        <f>HYPERLINK("https://www.google.com/maps/search/?api=1&amp;query=24.78472701,46.71993151", "View Map")</f>
        <v>View Map</v>
      </c>
    </row>
    <row r="1343" spans="1:6" x14ac:dyDescent="0.35">
      <c r="A1343" s="4" t="s">
        <v>5974</v>
      </c>
      <c r="B1343" s="5" t="s">
        <v>4027</v>
      </c>
      <c r="C1343" s="5" t="s">
        <v>1776</v>
      </c>
      <c r="D1343" s="5" t="s">
        <v>13</v>
      </c>
      <c r="E1343" s="6">
        <v>1159</v>
      </c>
      <c r="F1343" s="5" t="str">
        <f>HYPERLINK("https://www.google.com/maps/search/?api=1&amp;query=24.85791676,46.64793352", "View Map")</f>
        <v>View Map</v>
      </c>
    </row>
    <row r="1344" spans="1:6" x14ac:dyDescent="0.35">
      <c r="A1344" s="4" t="s">
        <v>5974</v>
      </c>
      <c r="B1344" s="5" t="s">
        <v>4028</v>
      </c>
      <c r="C1344" s="5" t="s">
        <v>1776</v>
      </c>
      <c r="D1344" s="5" t="s">
        <v>9</v>
      </c>
      <c r="E1344" s="6">
        <v>1159</v>
      </c>
      <c r="F1344" s="5" t="str">
        <f>HYPERLINK("https://www.google.com/maps/search/?api=1&amp;query=24.62517551,46.53833924", "View Map")</f>
        <v>View Map</v>
      </c>
    </row>
    <row r="1345" spans="1:6" x14ac:dyDescent="0.35">
      <c r="A1345" s="4" t="s">
        <v>5974</v>
      </c>
      <c r="B1345" s="5" t="s">
        <v>4029</v>
      </c>
      <c r="C1345" s="5" t="s">
        <v>1776</v>
      </c>
      <c r="D1345" s="5" t="s">
        <v>13</v>
      </c>
      <c r="E1345" s="6">
        <v>1158</v>
      </c>
      <c r="F1345" s="5" t="str">
        <f>HYPERLINK("https://www.google.com/maps/search/?api=1&amp;query=24.82853691,46.64812559", "View Map")</f>
        <v>View Map</v>
      </c>
    </row>
    <row r="1346" spans="1:6" x14ac:dyDescent="0.35">
      <c r="A1346" s="4" t="s">
        <v>6877</v>
      </c>
      <c r="B1346" s="5" t="s">
        <v>4031</v>
      </c>
      <c r="C1346" s="5" t="s">
        <v>1776</v>
      </c>
      <c r="D1346" s="5" t="s">
        <v>13</v>
      </c>
      <c r="E1346" s="6">
        <v>1158</v>
      </c>
      <c r="F1346" s="5" t="str">
        <f>HYPERLINK("https://www.google.com/maps/search/?api=1&amp;query=24.41027743,46.84188136", "View Map")</f>
        <v>View Map</v>
      </c>
    </row>
    <row r="1347" spans="1:6" x14ac:dyDescent="0.35">
      <c r="A1347" s="4" t="s">
        <v>6493</v>
      </c>
      <c r="B1347" s="5" t="s">
        <v>4032</v>
      </c>
      <c r="C1347" s="5" t="s">
        <v>1776</v>
      </c>
      <c r="D1347" s="5" t="s">
        <v>13</v>
      </c>
      <c r="E1347" s="6">
        <v>1157</v>
      </c>
      <c r="F1347" s="5" t="str">
        <f>HYPERLINK("https://www.google.com/maps/search/?api=1&amp;query=24.55837181,46.68229848", "View Map")</f>
        <v>View Map</v>
      </c>
    </row>
    <row r="1348" spans="1:6" x14ac:dyDescent="0.35">
      <c r="A1348" s="4" t="s">
        <v>6878</v>
      </c>
      <c r="B1348" s="5" t="s">
        <v>4034</v>
      </c>
      <c r="C1348" s="5" t="s">
        <v>1776</v>
      </c>
      <c r="D1348" s="5" t="s">
        <v>9</v>
      </c>
      <c r="E1348" s="6">
        <v>1156</v>
      </c>
      <c r="F1348" s="5" t="str">
        <f>HYPERLINK("https://www.google.com/maps/search/?api=1&amp;query=24.65812398,46.73017836", "View Map")</f>
        <v>View Map</v>
      </c>
    </row>
    <row r="1349" spans="1:6" x14ac:dyDescent="0.35">
      <c r="A1349" s="4" t="s">
        <v>6879</v>
      </c>
      <c r="B1349" s="5" t="s">
        <v>4036</v>
      </c>
      <c r="C1349" s="5" t="s">
        <v>1776</v>
      </c>
      <c r="D1349" s="5" t="s">
        <v>13</v>
      </c>
      <c r="E1349" s="6">
        <v>1154</v>
      </c>
      <c r="F1349" s="5" t="str">
        <f>HYPERLINK("https://www.google.com/maps/search/?api=1&amp;query=24.58771465,46.64476095", "View Map")</f>
        <v>View Map</v>
      </c>
    </row>
    <row r="1350" spans="1:6" x14ac:dyDescent="0.35">
      <c r="A1350" s="4" t="s">
        <v>6493</v>
      </c>
      <c r="B1350" s="5" t="s">
        <v>4037</v>
      </c>
      <c r="C1350" s="5" t="s">
        <v>1776</v>
      </c>
      <c r="D1350" s="5" t="s">
        <v>13</v>
      </c>
      <c r="E1350" s="6">
        <v>1154</v>
      </c>
      <c r="F1350" s="5" t="str">
        <f>HYPERLINK("https://www.google.com/maps/search/?api=1&amp;query=24.5652924,46.70181754", "View Map")</f>
        <v>View Map</v>
      </c>
    </row>
    <row r="1351" spans="1:6" x14ac:dyDescent="0.35">
      <c r="A1351" s="4" t="s">
        <v>6880</v>
      </c>
      <c r="B1351" s="5" t="s">
        <v>4039</v>
      </c>
      <c r="C1351" s="5" t="s">
        <v>1776</v>
      </c>
      <c r="D1351" s="5" t="s">
        <v>13</v>
      </c>
      <c r="E1351" s="6">
        <v>1154</v>
      </c>
      <c r="F1351" s="5" t="str">
        <f>HYPERLINK("https://www.google.com/maps/search/?api=1&amp;query=24.60949749,46.71273225", "View Map")</f>
        <v>View Map</v>
      </c>
    </row>
    <row r="1352" spans="1:6" x14ac:dyDescent="0.35">
      <c r="A1352" s="4" t="s">
        <v>6881</v>
      </c>
      <c r="B1352" s="5" t="s">
        <v>4041</v>
      </c>
      <c r="C1352" s="5" t="s">
        <v>1776</v>
      </c>
      <c r="D1352" s="5" t="s">
        <v>13</v>
      </c>
      <c r="E1352" s="6">
        <v>1153</v>
      </c>
      <c r="F1352" s="5" t="str">
        <f>HYPERLINK("https://www.google.com/maps/search/?api=1&amp;query=24.70761085,46.81183148", "View Map")</f>
        <v>View Map</v>
      </c>
    </row>
    <row r="1353" spans="1:6" x14ac:dyDescent="0.35">
      <c r="A1353" s="4" t="s">
        <v>6882</v>
      </c>
      <c r="B1353" s="5" t="s">
        <v>4043</v>
      </c>
      <c r="C1353" s="5" t="s">
        <v>1776</v>
      </c>
      <c r="D1353" s="5" t="s">
        <v>13</v>
      </c>
      <c r="E1353" s="6">
        <v>1153</v>
      </c>
      <c r="F1353" s="5" t="str">
        <f>HYPERLINK("https://www.google.com/maps/search/?api=1&amp;query=24.78851025,46.78542207", "View Map")</f>
        <v>View Map</v>
      </c>
    </row>
    <row r="1354" spans="1:6" x14ac:dyDescent="0.35">
      <c r="A1354" s="4" t="s">
        <v>5974</v>
      </c>
      <c r="B1354" s="5" t="s">
        <v>4044</v>
      </c>
      <c r="C1354" s="5" t="s">
        <v>1776</v>
      </c>
      <c r="D1354" s="5" t="s">
        <v>13</v>
      </c>
      <c r="E1354" s="6">
        <v>1152</v>
      </c>
      <c r="F1354" s="5" t="str">
        <f>HYPERLINK("https://www.google.com/maps/search/?api=1&amp;query=24.74464487,46.67888783", "View Map")</f>
        <v>View Map</v>
      </c>
    </row>
    <row r="1355" spans="1:6" x14ac:dyDescent="0.35">
      <c r="A1355" s="4" t="s">
        <v>6883</v>
      </c>
      <c r="B1355" s="5" t="s">
        <v>4046</v>
      </c>
      <c r="C1355" s="5" t="s">
        <v>1776</v>
      </c>
      <c r="D1355" s="5" t="s">
        <v>13</v>
      </c>
      <c r="E1355" s="6">
        <v>1152</v>
      </c>
      <c r="F1355" s="5" t="str">
        <f>HYPERLINK("https://www.google.com/maps/search/?api=1&amp;query=24.62848236,46.68284861", "View Map")</f>
        <v>View Map</v>
      </c>
    </row>
    <row r="1356" spans="1:6" x14ac:dyDescent="0.35">
      <c r="A1356" s="4" t="s">
        <v>5978</v>
      </c>
      <c r="B1356" s="5" t="s">
        <v>4047</v>
      </c>
      <c r="C1356" s="5" t="s">
        <v>1776</v>
      </c>
      <c r="D1356" s="5" t="s">
        <v>13</v>
      </c>
      <c r="E1356" s="6">
        <v>1151</v>
      </c>
      <c r="F1356" s="5" t="str">
        <f>HYPERLINK("https://www.google.com/maps/search/?api=1&amp;query=24.81350778,46.81228237", "View Map")</f>
        <v>View Map</v>
      </c>
    </row>
    <row r="1357" spans="1:6" x14ac:dyDescent="0.35">
      <c r="A1357" s="4" t="s">
        <v>6884</v>
      </c>
      <c r="B1357" s="5" t="s">
        <v>4049</v>
      </c>
      <c r="C1357" s="5" t="s">
        <v>1776</v>
      </c>
      <c r="D1357" s="5" t="s">
        <v>13</v>
      </c>
      <c r="E1357" s="6">
        <v>1151</v>
      </c>
      <c r="F1357" s="5" t="str">
        <f>HYPERLINK("https://www.google.com/maps/search/?api=1&amp;query=24.73224884,46.82499009", "View Map")</f>
        <v>View Map</v>
      </c>
    </row>
    <row r="1358" spans="1:6" x14ac:dyDescent="0.35">
      <c r="A1358" s="4" t="s">
        <v>6582</v>
      </c>
      <c r="B1358" s="5" t="s">
        <v>4050</v>
      </c>
      <c r="C1358" s="5" t="s">
        <v>1843</v>
      </c>
      <c r="D1358" s="5" t="s">
        <v>9</v>
      </c>
      <c r="E1358" s="6">
        <v>1150</v>
      </c>
      <c r="F1358" s="5" t="str">
        <f>HYPERLINK("https://www.google.com/maps/search/?api=1&amp;query=24.75535609,46.54448737", "View Map")</f>
        <v>View Map</v>
      </c>
    </row>
    <row r="1359" spans="1:6" x14ac:dyDescent="0.35">
      <c r="A1359" s="4" t="s">
        <v>5974</v>
      </c>
      <c r="B1359" s="5" t="s">
        <v>4051</v>
      </c>
      <c r="C1359" s="5" t="s">
        <v>1776</v>
      </c>
      <c r="D1359" s="5" t="s">
        <v>9</v>
      </c>
      <c r="E1359" s="6">
        <v>1150</v>
      </c>
      <c r="F1359" s="5" t="str">
        <f>HYPERLINK("https://www.google.com/maps/search/?api=1&amp;query=24.85478018,46.62643913", "View Map")</f>
        <v>View Map</v>
      </c>
    </row>
    <row r="1360" spans="1:6" x14ac:dyDescent="0.35">
      <c r="A1360" s="4" t="s">
        <v>6885</v>
      </c>
      <c r="B1360" s="5" t="s">
        <v>4053</v>
      </c>
      <c r="C1360" s="5" t="s">
        <v>1776</v>
      </c>
      <c r="D1360" s="5" t="s">
        <v>13</v>
      </c>
      <c r="E1360" s="6">
        <v>1149</v>
      </c>
      <c r="F1360" s="5" t="str">
        <f>HYPERLINK("https://www.google.com/maps/search/?api=1&amp;query=24.78285317,46.63830256", "View Map")</f>
        <v>View Map</v>
      </c>
    </row>
    <row r="1361" spans="1:6" x14ac:dyDescent="0.35">
      <c r="A1361" s="4" t="s">
        <v>6886</v>
      </c>
      <c r="B1361" s="5" t="s">
        <v>4055</v>
      </c>
      <c r="C1361" s="5" t="s">
        <v>1776</v>
      </c>
      <c r="D1361" s="5" t="s">
        <v>13</v>
      </c>
      <c r="E1361" s="6">
        <v>1149</v>
      </c>
      <c r="F1361" s="5" t="str">
        <f>HYPERLINK("https://www.google.com/maps/search/?api=1&amp;query=24.79453383,46.65273936", "View Map")</f>
        <v>View Map</v>
      </c>
    </row>
    <row r="1362" spans="1:6" x14ac:dyDescent="0.35">
      <c r="A1362" s="4" t="s">
        <v>5974</v>
      </c>
      <c r="B1362" s="5" t="s">
        <v>4056</v>
      </c>
      <c r="C1362" s="5" t="s">
        <v>1776</v>
      </c>
      <c r="D1362" s="5" t="s">
        <v>13</v>
      </c>
      <c r="E1362" s="6">
        <v>1146</v>
      </c>
      <c r="F1362" s="5" t="str">
        <f>HYPERLINK("https://www.google.com/maps/search/?api=1&amp;query=24.79224368,46.59500959", "View Map")</f>
        <v>View Map</v>
      </c>
    </row>
    <row r="1363" spans="1:6" x14ac:dyDescent="0.35">
      <c r="A1363" s="4" t="s">
        <v>5974</v>
      </c>
      <c r="B1363" s="5" t="s">
        <v>4057</v>
      </c>
      <c r="C1363" s="5" t="s">
        <v>1776</v>
      </c>
      <c r="D1363" s="5" t="s">
        <v>9</v>
      </c>
      <c r="E1363" s="6">
        <v>1146</v>
      </c>
      <c r="F1363" s="5" t="str">
        <f>HYPERLINK("https://www.google.com/maps/search/?api=1&amp;query=24.92334319,46.82037301", "View Map")</f>
        <v>View Map</v>
      </c>
    </row>
    <row r="1364" spans="1:6" x14ac:dyDescent="0.35">
      <c r="A1364" s="4" t="s">
        <v>6887</v>
      </c>
      <c r="B1364" s="5" t="s">
        <v>4059</v>
      </c>
      <c r="C1364" s="5" t="s">
        <v>1776</v>
      </c>
      <c r="D1364" s="5" t="s">
        <v>13</v>
      </c>
      <c r="E1364" s="6">
        <v>1143</v>
      </c>
      <c r="F1364" s="5" t="str">
        <f>HYPERLINK("https://www.google.com/maps/search/?api=1&amp;query=24.61904927,46.71494535", "View Map")</f>
        <v>View Map</v>
      </c>
    </row>
    <row r="1365" spans="1:6" x14ac:dyDescent="0.35">
      <c r="A1365" s="4" t="s">
        <v>6888</v>
      </c>
      <c r="B1365" s="5" t="s">
        <v>4061</v>
      </c>
      <c r="C1365" s="5" t="s">
        <v>1776</v>
      </c>
      <c r="D1365" s="5" t="s">
        <v>13</v>
      </c>
      <c r="E1365" s="6">
        <v>1142</v>
      </c>
      <c r="F1365" s="5" t="str">
        <f>HYPERLINK("https://www.google.com/maps/search/?api=1&amp;query=24.58751513,46.66182911", "View Map")</f>
        <v>View Map</v>
      </c>
    </row>
    <row r="1366" spans="1:6" x14ac:dyDescent="0.35">
      <c r="A1366" s="4" t="s">
        <v>6039</v>
      </c>
      <c r="B1366" s="5" t="s">
        <v>4062</v>
      </c>
      <c r="C1366" s="5" t="s">
        <v>1776</v>
      </c>
      <c r="D1366" s="5" t="s">
        <v>13</v>
      </c>
      <c r="E1366" s="6">
        <v>1142</v>
      </c>
      <c r="F1366" s="5" t="str">
        <f>HYPERLINK("https://www.google.com/maps/search/?api=1&amp;query=24.5667,46.5228", "View Map")</f>
        <v>View Map</v>
      </c>
    </row>
    <row r="1367" spans="1:6" x14ac:dyDescent="0.35">
      <c r="A1367" s="4" t="s">
        <v>6823</v>
      </c>
      <c r="B1367" s="5" t="s">
        <v>4063</v>
      </c>
      <c r="C1367" s="5" t="s">
        <v>1776</v>
      </c>
      <c r="D1367" s="5" t="s">
        <v>13</v>
      </c>
      <c r="E1367" s="6">
        <v>1141</v>
      </c>
      <c r="F1367" s="5" t="str">
        <f>HYPERLINK("https://www.google.com/maps/search/?api=1&amp;query=24.66986897,46.74473075", "View Map")</f>
        <v>View Map</v>
      </c>
    </row>
    <row r="1368" spans="1:6" x14ac:dyDescent="0.35">
      <c r="A1368" s="4" t="s">
        <v>5974</v>
      </c>
      <c r="B1368" s="5" t="s">
        <v>4064</v>
      </c>
      <c r="C1368" s="5" t="s">
        <v>1776</v>
      </c>
      <c r="D1368" s="5" t="s">
        <v>9</v>
      </c>
      <c r="E1368" s="6">
        <v>1141</v>
      </c>
      <c r="F1368" s="5" t="str">
        <f>HYPERLINK("https://www.google.com/maps/search/?api=1&amp;query=24.8766636,46.63321108", "View Map")</f>
        <v>View Map</v>
      </c>
    </row>
    <row r="1369" spans="1:6" x14ac:dyDescent="0.35">
      <c r="A1369" s="4" t="s">
        <v>6039</v>
      </c>
      <c r="B1369" s="5" t="s">
        <v>4065</v>
      </c>
      <c r="C1369" s="5" t="s">
        <v>1776</v>
      </c>
      <c r="D1369" s="5" t="s">
        <v>13</v>
      </c>
      <c r="E1369" s="6">
        <v>1141</v>
      </c>
      <c r="F1369" s="5" t="str">
        <f>HYPERLINK("https://www.google.com/maps/search/?api=1&amp;query=24.55827063,46.55290224", "View Map")</f>
        <v>View Map</v>
      </c>
    </row>
    <row r="1370" spans="1:6" x14ac:dyDescent="0.35">
      <c r="A1370" s="4" t="s">
        <v>6889</v>
      </c>
      <c r="B1370" s="5" t="s">
        <v>4067</v>
      </c>
      <c r="C1370" s="5" t="s">
        <v>1776</v>
      </c>
      <c r="D1370" s="5" t="s">
        <v>13</v>
      </c>
      <c r="E1370" s="6">
        <v>1139</v>
      </c>
      <c r="F1370" s="5" t="str">
        <f>HYPERLINK("https://www.google.com/maps/search/?api=1&amp;query=24.6342636,46.61424206", "View Map")</f>
        <v>View Map</v>
      </c>
    </row>
    <row r="1371" spans="1:6" x14ac:dyDescent="0.35">
      <c r="A1371" s="4" t="s">
        <v>6890</v>
      </c>
      <c r="B1371" s="5" t="s">
        <v>4069</v>
      </c>
      <c r="C1371" s="5" t="s">
        <v>1776</v>
      </c>
      <c r="D1371" s="5" t="s">
        <v>9</v>
      </c>
      <c r="E1371" s="6">
        <v>1139</v>
      </c>
      <c r="F1371" s="5" t="str">
        <f>HYPERLINK("https://www.google.com/maps/search/?api=1&amp;query=24.7306116,46.69007696", "View Map")</f>
        <v>View Map</v>
      </c>
    </row>
    <row r="1372" spans="1:6" x14ac:dyDescent="0.35">
      <c r="A1372" s="4" t="s">
        <v>6891</v>
      </c>
      <c r="B1372" s="5" t="s">
        <v>4071</v>
      </c>
      <c r="C1372" s="5" t="s">
        <v>1776</v>
      </c>
      <c r="D1372" s="5" t="s">
        <v>13</v>
      </c>
      <c r="E1372" s="6">
        <v>1138</v>
      </c>
      <c r="F1372" s="5" t="str">
        <f>HYPERLINK("https://www.google.com/maps/search/?api=1&amp;query=24.80981262,46.74898654", "View Map")</f>
        <v>View Map</v>
      </c>
    </row>
    <row r="1373" spans="1:6" x14ac:dyDescent="0.35">
      <c r="A1373" s="4" t="s">
        <v>6892</v>
      </c>
      <c r="B1373" s="5" t="s">
        <v>4073</v>
      </c>
      <c r="C1373" s="5" t="s">
        <v>1776</v>
      </c>
      <c r="D1373" s="5" t="s">
        <v>13</v>
      </c>
      <c r="E1373" s="6">
        <v>1136</v>
      </c>
      <c r="F1373" s="5" t="str">
        <f>HYPERLINK("https://www.google.com/maps/search/?api=1&amp;query=24.73947482,46.67952217", "View Map")</f>
        <v>View Map</v>
      </c>
    </row>
    <row r="1374" spans="1:6" x14ac:dyDescent="0.35">
      <c r="A1374" s="4" t="s">
        <v>6893</v>
      </c>
      <c r="B1374" s="5" t="s">
        <v>4075</v>
      </c>
      <c r="C1374" s="5" t="s">
        <v>1776</v>
      </c>
      <c r="D1374" s="5" t="s">
        <v>9</v>
      </c>
      <c r="E1374" s="6">
        <v>1136</v>
      </c>
      <c r="F1374" s="5" t="str">
        <f>HYPERLINK("https://www.google.com/maps/search/?api=1&amp;query=24.58228554,46.78926149", "View Map")</f>
        <v>View Map</v>
      </c>
    </row>
    <row r="1375" spans="1:6" x14ac:dyDescent="0.35">
      <c r="A1375" s="4" t="s">
        <v>5972</v>
      </c>
      <c r="B1375" s="5" t="s">
        <v>4076</v>
      </c>
      <c r="C1375" s="5" t="s">
        <v>1776</v>
      </c>
      <c r="D1375" s="5" t="s">
        <v>9</v>
      </c>
      <c r="E1375" s="6">
        <v>1135</v>
      </c>
      <c r="F1375" s="5" t="str">
        <f>HYPERLINK("https://www.google.com/maps/search/?api=1&amp;query=24.81767629,46.65090162", "View Map")</f>
        <v>View Map</v>
      </c>
    </row>
    <row r="1376" spans="1:6" x14ac:dyDescent="0.35">
      <c r="A1376" s="4" t="s">
        <v>6894</v>
      </c>
      <c r="B1376" s="5" t="s">
        <v>4078</v>
      </c>
      <c r="C1376" s="5" t="s">
        <v>1776</v>
      </c>
      <c r="D1376" s="5" t="s">
        <v>13</v>
      </c>
      <c r="E1376" s="6">
        <v>1135</v>
      </c>
      <c r="F1376" s="5" t="str">
        <f>HYPERLINK("https://www.google.com/maps/search/?api=1&amp;query=24.40276508,46.84022507", "View Map")</f>
        <v>View Map</v>
      </c>
    </row>
    <row r="1377" spans="1:6" x14ac:dyDescent="0.35">
      <c r="A1377" s="4" t="s">
        <v>6895</v>
      </c>
      <c r="B1377" s="5" t="s">
        <v>4080</v>
      </c>
      <c r="C1377" s="5" t="s">
        <v>1776</v>
      </c>
      <c r="D1377" s="5" t="s">
        <v>13</v>
      </c>
      <c r="E1377" s="6">
        <v>1135</v>
      </c>
      <c r="F1377" s="5" t="str">
        <f>HYPERLINK("https://www.google.com/maps/search/?api=1&amp;query=24.81720172,46.75195524", "View Map")</f>
        <v>View Map</v>
      </c>
    </row>
    <row r="1378" spans="1:6" x14ac:dyDescent="0.35">
      <c r="A1378" s="4" t="s">
        <v>5974</v>
      </c>
      <c r="B1378" s="5" t="s">
        <v>4081</v>
      </c>
      <c r="C1378" s="5" t="s">
        <v>1776</v>
      </c>
      <c r="D1378" s="5" t="s">
        <v>9</v>
      </c>
      <c r="E1378" s="6">
        <v>1135</v>
      </c>
      <c r="F1378" s="5" t="str">
        <f>HYPERLINK("https://www.google.com/maps/search/?api=1&amp;query=24.74511633,46.75445286", "View Map")</f>
        <v>View Map</v>
      </c>
    </row>
    <row r="1379" spans="1:6" x14ac:dyDescent="0.35">
      <c r="A1379" s="4" t="s">
        <v>6896</v>
      </c>
      <c r="B1379" s="5" t="s">
        <v>4083</v>
      </c>
      <c r="C1379" s="5" t="s">
        <v>1776</v>
      </c>
      <c r="D1379" s="5" t="s">
        <v>9</v>
      </c>
      <c r="E1379" s="6">
        <v>1134</v>
      </c>
      <c r="F1379" s="5" t="str">
        <f>HYPERLINK("https://www.google.com/maps/search/?api=1&amp;query=24.69067085,46.81740514", "View Map")</f>
        <v>View Map</v>
      </c>
    </row>
    <row r="1380" spans="1:6" x14ac:dyDescent="0.35">
      <c r="A1380" s="4" t="s">
        <v>5974</v>
      </c>
      <c r="B1380" s="5" t="s">
        <v>4084</v>
      </c>
      <c r="C1380" s="5" t="s">
        <v>1776</v>
      </c>
      <c r="D1380" s="5" t="s">
        <v>13</v>
      </c>
      <c r="E1380" s="6">
        <v>1133</v>
      </c>
      <c r="F1380" s="5" t="str">
        <f>HYPERLINK("https://www.google.com/maps/search/?api=1&amp;query=24.90322617,46.64243701", "View Map")</f>
        <v>View Map</v>
      </c>
    </row>
    <row r="1381" spans="1:6" x14ac:dyDescent="0.35">
      <c r="A1381" s="4" t="s">
        <v>6052</v>
      </c>
      <c r="B1381" s="5" t="s">
        <v>4085</v>
      </c>
      <c r="C1381" s="5" t="s">
        <v>1776</v>
      </c>
      <c r="D1381" s="5" t="s">
        <v>13</v>
      </c>
      <c r="E1381" s="6">
        <v>1133</v>
      </c>
      <c r="F1381" s="5" t="str">
        <f>HYPERLINK("https://www.google.com/maps/search/?api=1&amp;query=24.7437355,46.77996039", "View Map")</f>
        <v>View Map</v>
      </c>
    </row>
    <row r="1382" spans="1:6" x14ac:dyDescent="0.35">
      <c r="A1382" s="4" t="s">
        <v>6897</v>
      </c>
      <c r="B1382" s="5" t="s">
        <v>4087</v>
      </c>
      <c r="C1382" s="5" t="s">
        <v>1776</v>
      </c>
      <c r="D1382" s="5" t="s">
        <v>9</v>
      </c>
      <c r="E1382" s="6">
        <v>1133</v>
      </c>
      <c r="F1382" s="5" t="str">
        <f>HYPERLINK("https://www.google.com/maps/search/?api=1&amp;query=24.71824532,46.81024832", "View Map")</f>
        <v>View Map</v>
      </c>
    </row>
    <row r="1383" spans="1:6" x14ac:dyDescent="0.35">
      <c r="A1383" s="4" t="s">
        <v>5974</v>
      </c>
      <c r="B1383" s="5" t="s">
        <v>4088</v>
      </c>
      <c r="C1383" s="5" t="s">
        <v>1776</v>
      </c>
      <c r="D1383" s="5" t="s">
        <v>13</v>
      </c>
      <c r="E1383" s="6">
        <v>1132</v>
      </c>
      <c r="F1383" s="5" t="str">
        <f>HYPERLINK("https://www.google.com/maps/search/?api=1&amp;query=24.88587464,46.62777758", "View Map")</f>
        <v>View Map</v>
      </c>
    </row>
    <row r="1384" spans="1:6" x14ac:dyDescent="0.35">
      <c r="A1384" s="4" t="s">
        <v>6898</v>
      </c>
      <c r="B1384" s="5" t="s">
        <v>4090</v>
      </c>
      <c r="C1384" s="5" t="s">
        <v>1776</v>
      </c>
      <c r="D1384" s="5" t="s">
        <v>13</v>
      </c>
      <c r="E1384" s="6">
        <v>1132</v>
      </c>
      <c r="F1384" s="5" t="str">
        <f>HYPERLINK("https://www.google.com/maps/search/?api=1&amp;query=24.78473086,46.80780761", "View Map")</f>
        <v>View Map</v>
      </c>
    </row>
    <row r="1385" spans="1:6" x14ac:dyDescent="0.35">
      <c r="A1385" s="4" t="s">
        <v>6899</v>
      </c>
      <c r="B1385" s="5" t="s">
        <v>4092</v>
      </c>
      <c r="C1385" s="5" t="s">
        <v>1776</v>
      </c>
      <c r="D1385" s="5" t="s">
        <v>13</v>
      </c>
      <c r="E1385" s="6">
        <v>1131</v>
      </c>
      <c r="F1385" s="5" t="str">
        <f>HYPERLINK("https://www.google.com/maps/search/?api=1&amp;query=24.76304,46.72238", "View Map")</f>
        <v>View Map</v>
      </c>
    </row>
    <row r="1386" spans="1:6" x14ac:dyDescent="0.35">
      <c r="A1386" s="4" t="s">
        <v>6900</v>
      </c>
      <c r="B1386" s="5" t="s">
        <v>4094</v>
      </c>
      <c r="C1386" s="5" t="s">
        <v>1776</v>
      </c>
      <c r="D1386" s="5" t="s">
        <v>9</v>
      </c>
      <c r="E1386" s="6">
        <v>1129</v>
      </c>
      <c r="F1386" s="5" t="str">
        <f>HYPERLINK("https://www.google.com/maps/search/?api=1&amp;query=24.57428046,46.66244564", "View Map")</f>
        <v>View Map</v>
      </c>
    </row>
    <row r="1387" spans="1:6" x14ac:dyDescent="0.35">
      <c r="A1387" s="4" t="s">
        <v>6901</v>
      </c>
      <c r="B1387" s="5" t="s">
        <v>4096</v>
      </c>
      <c r="C1387" s="5" t="s">
        <v>1776</v>
      </c>
      <c r="D1387" s="5" t="s">
        <v>13</v>
      </c>
      <c r="E1387" s="6">
        <v>1129</v>
      </c>
      <c r="F1387" s="5" t="str">
        <f>HYPERLINK("https://www.google.com/maps/search/?api=1&amp;query=24.62678108,46.69682321", "View Map")</f>
        <v>View Map</v>
      </c>
    </row>
    <row r="1388" spans="1:6" x14ac:dyDescent="0.35">
      <c r="A1388" s="4" t="s">
        <v>6902</v>
      </c>
      <c r="B1388" s="5" t="s">
        <v>4098</v>
      </c>
      <c r="C1388" s="5" t="s">
        <v>1776</v>
      </c>
      <c r="D1388" s="5" t="s">
        <v>13</v>
      </c>
      <c r="E1388" s="6">
        <v>1128</v>
      </c>
      <c r="F1388" s="5" t="str">
        <f>HYPERLINK("https://www.google.com/maps/search/?api=1&amp;query=24.73636058,46.78950131", "View Map")</f>
        <v>View Map</v>
      </c>
    </row>
    <row r="1389" spans="1:6" x14ac:dyDescent="0.35">
      <c r="A1389" s="4" t="s">
        <v>5972</v>
      </c>
      <c r="B1389" s="5" t="s">
        <v>4099</v>
      </c>
      <c r="C1389" s="5" t="s">
        <v>1776</v>
      </c>
      <c r="D1389" s="5" t="s">
        <v>13</v>
      </c>
      <c r="E1389" s="6">
        <v>1128</v>
      </c>
      <c r="F1389" s="5" t="str">
        <f>HYPERLINK("https://www.google.com/maps/search/?api=1&amp;query=24.79599343,46.60470606", "View Map")</f>
        <v>View Map</v>
      </c>
    </row>
    <row r="1390" spans="1:6" x14ac:dyDescent="0.35">
      <c r="A1390" s="4" t="s">
        <v>5974</v>
      </c>
      <c r="B1390" s="5" t="s">
        <v>4100</v>
      </c>
      <c r="C1390" s="5" t="s">
        <v>1776</v>
      </c>
      <c r="D1390" s="5" t="s">
        <v>13</v>
      </c>
      <c r="E1390" s="6">
        <v>1127</v>
      </c>
      <c r="F1390" s="5" t="str">
        <f>HYPERLINK("https://www.google.com/maps/search/?api=1&amp;query=24.86492007,46.62385124", "View Map")</f>
        <v>View Map</v>
      </c>
    </row>
    <row r="1391" spans="1:6" x14ac:dyDescent="0.35">
      <c r="A1391" s="4" t="s">
        <v>6903</v>
      </c>
      <c r="B1391" s="5" t="s">
        <v>4102</v>
      </c>
      <c r="C1391" s="5" t="s">
        <v>1776</v>
      </c>
      <c r="D1391" s="5" t="s">
        <v>13</v>
      </c>
      <c r="E1391" s="6">
        <v>1127</v>
      </c>
      <c r="F1391" s="5" t="str">
        <f>HYPERLINK("https://www.google.com/maps/search/?api=1&amp;query=24.74237798,46.77347398", "View Map")</f>
        <v>View Map</v>
      </c>
    </row>
    <row r="1392" spans="1:6" x14ac:dyDescent="0.35">
      <c r="A1392" s="4" t="s">
        <v>6904</v>
      </c>
      <c r="B1392" s="5" t="s">
        <v>4104</v>
      </c>
      <c r="C1392" s="5" t="s">
        <v>1776</v>
      </c>
      <c r="D1392" s="5" t="s">
        <v>13</v>
      </c>
      <c r="E1392" s="6">
        <v>1126</v>
      </c>
      <c r="F1392" s="5" t="str">
        <f>HYPERLINK("https://www.google.com/maps/search/?api=1&amp;query=24.56774478,46.65163705", "View Map")</f>
        <v>View Map</v>
      </c>
    </row>
    <row r="1393" spans="1:6" x14ac:dyDescent="0.35">
      <c r="A1393" s="4" t="s">
        <v>6349</v>
      </c>
      <c r="B1393" s="5" t="s">
        <v>4105</v>
      </c>
      <c r="C1393" s="5" t="s">
        <v>1776</v>
      </c>
      <c r="D1393" s="5" t="s">
        <v>9</v>
      </c>
      <c r="E1393" s="6">
        <v>1125</v>
      </c>
      <c r="F1393" s="5" t="str">
        <f>HYPERLINK("https://www.google.com/maps/search/?api=1&amp;query=24.67815997,46.78595487", "View Map")</f>
        <v>View Map</v>
      </c>
    </row>
    <row r="1394" spans="1:6" x14ac:dyDescent="0.35">
      <c r="A1394" s="4" t="s">
        <v>6905</v>
      </c>
      <c r="B1394" s="5" t="s">
        <v>4107</v>
      </c>
      <c r="C1394" s="5" t="s">
        <v>1776</v>
      </c>
      <c r="D1394" s="5" t="s">
        <v>9</v>
      </c>
      <c r="E1394" s="6">
        <v>1125</v>
      </c>
      <c r="F1394" s="5" t="str">
        <f>HYPERLINK("https://www.google.com/maps/search/?api=1&amp;query=24.70001617,46.7772752", "View Map")</f>
        <v>View Map</v>
      </c>
    </row>
    <row r="1395" spans="1:6" x14ac:dyDescent="0.35">
      <c r="A1395" s="4" t="s">
        <v>5974</v>
      </c>
      <c r="B1395" s="5" t="s">
        <v>4108</v>
      </c>
      <c r="C1395" s="5" t="s">
        <v>1776</v>
      </c>
      <c r="D1395" s="5" t="s">
        <v>9</v>
      </c>
      <c r="E1395" s="6">
        <v>1124</v>
      </c>
      <c r="F1395" s="5" t="str">
        <f>HYPERLINK("https://www.google.com/maps/search/?api=1&amp;query=0.0,0.0", "View Map")</f>
        <v>View Map</v>
      </c>
    </row>
    <row r="1396" spans="1:6" x14ac:dyDescent="0.35">
      <c r="A1396" s="4" t="s">
        <v>6906</v>
      </c>
      <c r="B1396" s="5" t="s">
        <v>4109</v>
      </c>
      <c r="C1396" s="5" t="s">
        <v>1776</v>
      </c>
      <c r="D1396" s="5" t="s">
        <v>9</v>
      </c>
      <c r="E1396" s="6">
        <v>1124</v>
      </c>
      <c r="F1396" s="5" t="str">
        <f>HYPERLINK("https://www.google.com/maps/search/?api=1&amp;query=24.79404111,46.74193226", "View Map")</f>
        <v>View Map</v>
      </c>
    </row>
    <row r="1397" spans="1:6" x14ac:dyDescent="0.35">
      <c r="A1397" s="4" t="s">
        <v>6907</v>
      </c>
      <c r="B1397" s="5" t="s">
        <v>4111</v>
      </c>
      <c r="C1397" s="5" t="s">
        <v>1776</v>
      </c>
      <c r="D1397" s="5" t="s">
        <v>13</v>
      </c>
      <c r="E1397" s="6">
        <v>1123</v>
      </c>
      <c r="F1397" s="5" t="str">
        <f>HYPERLINK("https://www.google.com/maps/search/?api=1&amp;query=24.65552959,46.58225583", "View Map")</f>
        <v>View Map</v>
      </c>
    </row>
    <row r="1398" spans="1:6" x14ac:dyDescent="0.35">
      <c r="A1398" s="4" t="s">
        <v>6908</v>
      </c>
      <c r="B1398" s="5" t="s">
        <v>4113</v>
      </c>
      <c r="C1398" s="5" t="s">
        <v>1776</v>
      </c>
      <c r="D1398" s="5" t="s">
        <v>9</v>
      </c>
      <c r="E1398" s="6">
        <v>1123</v>
      </c>
      <c r="F1398" s="5" t="str">
        <f>HYPERLINK("https://www.google.com/maps/search/?api=1&amp;query=24.54654235,46.70081307", "View Map")</f>
        <v>View Map</v>
      </c>
    </row>
    <row r="1399" spans="1:6" x14ac:dyDescent="0.35">
      <c r="A1399" s="4" t="s">
        <v>6039</v>
      </c>
      <c r="B1399" s="5" t="s">
        <v>4114</v>
      </c>
      <c r="C1399" s="5" t="s">
        <v>1776</v>
      </c>
      <c r="D1399" s="5" t="s">
        <v>9</v>
      </c>
      <c r="E1399" s="6">
        <v>1121</v>
      </c>
      <c r="F1399" s="5" t="str">
        <f>HYPERLINK("https://www.google.com/maps/search/?api=1&amp;query=24.55621171,46.51615519", "View Map")</f>
        <v>View Map</v>
      </c>
    </row>
    <row r="1400" spans="1:6" x14ac:dyDescent="0.35">
      <c r="A1400" s="4" t="s">
        <v>6176</v>
      </c>
      <c r="B1400" s="5" t="s">
        <v>4115</v>
      </c>
      <c r="C1400" s="5" t="s">
        <v>1776</v>
      </c>
      <c r="D1400" s="5" t="s">
        <v>13</v>
      </c>
      <c r="E1400" s="6">
        <v>1120</v>
      </c>
      <c r="F1400" s="5" t="str">
        <f>HYPERLINK("https://www.google.com/maps/search/?api=1&amp;query=24.69129537,46.6507574", "View Map")</f>
        <v>View Map</v>
      </c>
    </row>
    <row r="1401" spans="1:6" x14ac:dyDescent="0.35">
      <c r="A1401" s="4" t="s">
        <v>6909</v>
      </c>
      <c r="B1401" s="5" t="s">
        <v>4117</v>
      </c>
      <c r="C1401" s="5" t="s">
        <v>1843</v>
      </c>
      <c r="D1401" s="5" t="s">
        <v>13</v>
      </c>
      <c r="E1401" s="6">
        <v>1120</v>
      </c>
      <c r="F1401" s="5" t="str">
        <f>HYPERLINK("https://www.google.com/maps/search/?api=1&amp;query=24.7532337,46.57687528", "View Map")</f>
        <v>View Map</v>
      </c>
    </row>
    <row r="1402" spans="1:6" x14ac:dyDescent="0.35">
      <c r="A1402" s="4" t="s">
        <v>5974</v>
      </c>
      <c r="B1402" s="5" t="s">
        <v>4118</v>
      </c>
      <c r="C1402" s="5" t="s">
        <v>1843</v>
      </c>
      <c r="D1402" s="5" t="s">
        <v>13</v>
      </c>
      <c r="E1402" s="6">
        <v>1120</v>
      </c>
      <c r="F1402" s="5" t="str">
        <f>HYPERLINK("https://www.google.com/maps/search/?api=1&amp;query=24.7453,46.5272", "View Map")</f>
        <v>View Map</v>
      </c>
    </row>
    <row r="1403" spans="1:6" x14ac:dyDescent="0.35">
      <c r="A1403" s="4" t="s">
        <v>5974</v>
      </c>
      <c r="B1403" s="5" t="s">
        <v>4119</v>
      </c>
      <c r="C1403" s="5" t="s">
        <v>1776</v>
      </c>
      <c r="D1403" s="5" t="s">
        <v>13</v>
      </c>
      <c r="E1403" s="6">
        <v>1120</v>
      </c>
      <c r="F1403" s="5" t="str">
        <f>HYPERLINK("https://www.google.com/maps/search/?api=1&amp;query=24.8446098,46.76920555", "View Map")</f>
        <v>View Map</v>
      </c>
    </row>
    <row r="1404" spans="1:6" x14ac:dyDescent="0.35">
      <c r="A1404" s="4" t="s">
        <v>6910</v>
      </c>
      <c r="B1404" s="5" t="s">
        <v>4121</v>
      </c>
      <c r="C1404" s="5" t="s">
        <v>1776</v>
      </c>
      <c r="D1404" s="5" t="s">
        <v>13</v>
      </c>
      <c r="E1404" s="6">
        <v>1119</v>
      </c>
      <c r="F1404" s="5" t="str">
        <f>HYPERLINK("https://www.google.com/maps/search/?api=1&amp;query=24.7740432,46.6345697", "View Map")</f>
        <v>View Map</v>
      </c>
    </row>
    <row r="1405" spans="1:6" x14ac:dyDescent="0.35">
      <c r="A1405" s="4" t="s">
        <v>5974</v>
      </c>
      <c r="B1405" s="5" t="s">
        <v>4122</v>
      </c>
      <c r="C1405" s="5" t="s">
        <v>1776</v>
      </c>
      <c r="D1405" s="5" t="s">
        <v>13</v>
      </c>
      <c r="E1405" s="6">
        <v>1119</v>
      </c>
      <c r="F1405" s="5" t="str">
        <f>HYPERLINK("https://www.google.com/maps/search/?api=1&amp;query=24.69772,46.67663", "View Map")</f>
        <v>View Map</v>
      </c>
    </row>
    <row r="1406" spans="1:6" x14ac:dyDescent="0.35">
      <c r="A1406" s="4" t="s">
        <v>6911</v>
      </c>
      <c r="B1406" s="5" t="s">
        <v>4124</v>
      </c>
      <c r="C1406" s="5" t="s">
        <v>1776</v>
      </c>
      <c r="D1406" s="5" t="s">
        <v>13</v>
      </c>
      <c r="E1406" s="6">
        <v>1118</v>
      </c>
      <c r="F1406" s="5" t="str">
        <f>HYPERLINK("https://www.google.com/maps/search/?api=1&amp;query=24.80796988,46.85509319", "View Map")</f>
        <v>View Map</v>
      </c>
    </row>
    <row r="1407" spans="1:6" x14ac:dyDescent="0.35">
      <c r="A1407" s="4" t="s">
        <v>6039</v>
      </c>
      <c r="B1407" s="5" t="s">
        <v>4125</v>
      </c>
      <c r="C1407" s="5" t="s">
        <v>1776</v>
      </c>
      <c r="D1407" s="5" t="s">
        <v>13</v>
      </c>
      <c r="E1407" s="6">
        <v>1118</v>
      </c>
      <c r="F1407" s="5" t="str">
        <f>HYPERLINK("https://www.google.com/maps/search/?api=1&amp;query=24.57499557,46.57905643", "View Map")</f>
        <v>View Map</v>
      </c>
    </row>
    <row r="1408" spans="1:6" x14ac:dyDescent="0.35">
      <c r="A1408" s="4" t="s">
        <v>6039</v>
      </c>
      <c r="B1408" s="5" t="s">
        <v>4126</v>
      </c>
      <c r="C1408" s="5" t="s">
        <v>1776</v>
      </c>
      <c r="D1408" s="5" t="s">
        <v>13</v>
      </c>
      <c r="E1408" s="6">
        <v>1117</v>
      </c>
      <c r="F1408" s="5" t="str">
        <f>HYPERLINK("https://www.google.com/maps/search/?api=1&amp;query=24.625613,46.697227", "View Map")</f>
        <v>View Map</v>
      </c>
    </row>
    <row r="1409" spans="1:6" x14ac:dyDescent="0.35">
      <c r="A1409" s="4" t="s">
        <v>5974</v>
      </c>
      <c r="B1409" s="5" t="s">
        <v>4127</v>
      </c>
      <c r="C1409" s="5" t="s">
        <v>1776</v>
      </c>
      <c r="D1409" s="5" t="s">
        <v>13</v>
      </c>
      <c r="E1409" s="6">
        <v>1116</v>
      </c>
      <c r="F1409" s="5" t="str">
        <f>HYPERLINK("https://www.google.com/maps/search/?api=1&amp;query=24.74721727,46.62628386", "View Map")</f>
        <v>View Map</v>
      </c>
    </row>
    <row r="1410" spans="1:6" x14ac:dyDescent="0.35">
      <c r="A1410" s="4" t="s">
        <v>6912</v>
      </c>
      <c r="B1410" s="5" t="s">
        <v>4129</v>
      </c>
      <c r="C1410" s="5" t="s">
        <v>1776</v>
      </c>
      <c r="D1410" s="5" t="s">
        <v>13</v>
      </c>
      <c r="E1410" s="6">
        <v>1115</v>
      </c>
      <c r="F1410" s="5" t="str">
        <f>HYPERLINK("https://www.google.com/maps/search/?api=1&amp;query=24.57897636,46.75765783", "View Map")</f>
        <v>View Map</v>
      </c>
    </row>
    <row r="1411" spans="1:6" x14ac:dyDescent="0.35">
      <c r="A1411" s="4" t="s">
        <v>6913</v>
      </c>
      <c r="B1411" s="5" t="s">
        <v>4131</v>
      </c>
      <c r="C1411" s="5" t="s">
        <v>1776</v>
      </c>
      <c r="D1411" s="5" t="s">
        <v>13</v>
      </c>
      <c r="E1411" s="6">
        <v>1115</v>
      </c>
      <c r="F1411" s="5" t="str">
        <f>HYPERLINK("https://www.google.com/maps/search/?api=1&amp;query=24.76411792,46.7708659", "View Map")</f>
        <v>View Map</v>
      </c>
    </row>
    <row r="1412" spans="1:6" x14ac:dyDescent="0.35">
      <c r="A1412" s="4" t="s">
        <v>5974</v>
      </c>
      <c r="B1412" s="5" t="s">
        <v>4132</v>
      </c>
      <c r="C1412" s="5" t="s">
        <v>1776</v>
      </c>
      <c r="D1412" s="5" t="s">
        <v>9</v>
      </c>
      <c r="E1412" s="6">
        <v>1115</v>
      </c>
      <c r="F1412" s="5" t="str">
        <f>HYPERLINK("https://www.google.com/maps/search/?api=1&amp;query=24.80897062,46.82532211", "View Map")</f>
        <v>View Map</v>
      </c>
    </row>
    <row r="1413" spans="1:6" x14ac:dyDescent="0.35">
      <c r="A1413" s="4" t="s">
        <v>6914</v>
      </c>
      <c r="B1413" s="5" t="s">
        <v>4134</v>
      </c>
      <c r="C1413" s="5" t="s">
        <v>1776</v>
      </c>
      <c r="D1413" s="5" t="s">
        <v>9</v>
      </c>
      <c r="E1413" s="6">
        <v>1113</v>
      </c>
      <c r="F1413" s="5" t="str">
        <f>HYPERLINK("https://www.google.com/maps/search/?api=1&amp;query=24.77589205,46.80915846", "View Map")</f>
        <v>View Map</v>
      </c>
    </row>
    <row r="1414" spans="1:6" x14ac:dyDescent="0.35">
      <c r="A1414" s="4" t="s">
        <v>5974</v>
      </c>
      <c r="B1414" s="5" t="s">
        <v>4135</v>
      </c>
      <c r="C1414" s="5" t="s">
        <v>1776</v>
      </c>
      <c r="D1414" s="5" t="s">
        <v>13</v>
      </c>
      <c r="E1414" s="6">
        <v>1113</v>
      </c>
      <c r="F1414" s="5" t="str">
        <f>HYPERLINK("https://www.google.com/maps/search/?api=1&amp;query=24.79748,46.59821", "View Map")</f>
        <v>View Map</v>
      </c>
    </row>
    <row r="1415" spans="1:6" x14ac:dyDescent="0.35">
      <c r="A1415" s="4" t="s">
        <v>6915</v>
      </c>
      <c r="B1415" s="5" t="s">
        <v>4137</v>
      </c>
      <c r="C1415" s="5" t="s">
        <v>1776</v>
      </c>
      <c r="D1415" s="5" t="s">
        <v>9</v>
      </c>
      <c r="E1415" s="6">
        <v>1113</v>
      </c>
      <c r="F1415" s="5" t="str">
        <f>HYPERLINK("https://www.google.com/maps/search/?api=1&amp;query=24.8054749,46.86762852", "View Map")</f>
        <v>View Map</v>
      </c>
    </row>
    <row r="1416" spans="1:6" x14ac:dyDescent="0.35">
      <c r="A1416" s="4" t="s">
        <v>5972</v>
      </c>
      <c r="B1416" s="5" t="s">
        <v>4138</v>
      </c>
      <c r="C1416" s="5" t="s">
        <v>1776</v>
      </c>
      <c r="D1416" s="5" t="s">
        <v>13</v>
      </c>
      <c r="E1416" s="6">
        <v>1112</v>
      </c>
      <c r="F1416" s="5" t="str">
        <f>HYPERLINK("https://www.google.com/maps/search/?api=1&amp;query=24.62372231,46.51273174", "View Map")</f>
        <v>View Map</v>
      </c>
    </row>
    <row r="1417" spans="1:6" x14ac:dyDescent="0.35">
      <c r="A1417" s="4" t="s">
        <v>6916</v>
      </c>
      <c r="B1417" s="5" t="s">
        <v>4140</v>
      </c>
      <c r="C1417" s="5" t="s">
        <v>1776</v>
      </c>
      <c r="D1417" s="5" t="s">
        <v>13</v>
      </c>
      <c r="E1417" s="6">
        <v>1112</v>
      </c>
      <c r="F1417" s="5" t="str">
        <f>HYPERLINK("https://www.google.com/maps/search/?api=1&amp;query=24.63186336,46.56191313", "View Map")</f>
        <v>View Map</v>
      </c>
    </row>
    <row r="1418" spans="1:6" x14ac:dyDescent="0.35">
      <c r="A1418" s="4" t="s">
        <v>6917</v>
      </c>
      <c r="B1418" s="5" t="s">
        <v>4142</v>
      </c>
      <c r="C1418" s="5" t="s">
        <v>1776</v>
      </c>
      <c r="D1418" s="5" t="s">
        <v>13</v>
      </c>
      <c r="E1418" s="6">
        <v>1111</v>
      </c>
      <c r="F1418" s="5" t="str">
        <f>HYPERLINK("https://www.google.com/maps/search/?api=1&amp;query=24.67620514,46.82159739", "View Map")</f>
        <v>View Map</v>
      </c>
    </row>
    <row r="1419" spans="1:6" x14ac:dyDescent="0.35">
      <c r="A1419" s="4" t="s">
        <v>6918</v>
      </c>
      <c r="B1419" s="5" t="s">
        <v>4144</v>
      </c>
      <c r="C1419" s="5" t="s">
        <v>1776</v>
      </c>
      <c r="D1419" s="5" t="s">
        <v>13</v>
      </c>
      <c r="E1419" s="6">
        <v>1110</v>
      </c>
      <c r="F1419" s="5" t="str">
        <f>HYPERLINK("https://www.google.com/maps/search/?api=1&amp;query=24.65797704,46.73843886", "View Map")</f>
        <v>View Map</v>
      </c>
    </row>
    <row r="1420" spans="1:6" x14ac:dyDescent="0.35">
      <c r="A1420" s="4" t="s">
        <v>6919</v>
      </c>
      <c r="B1420" s="5" t="s">
        <v>4146</v>
      </c>
      <c r="C1420" s="5" t="s">
        <v>1776</v>
      </c>
      <c r="D1420" s="5" t="s">
        <v>13</v>
      </c>
      <c r="E1420" s="6">
        <v>1109</v>
      </c>
      <c r="F1420" s="5" t="str">
        <f>HYPERLINK("https://www.google.com/maps/search/?api=1&amp;query=24.68243401,46.58809885", "View Map")</f>
        <v>View Map</v>
      </c>
    </row>
    <row r="1421" spans="1:6" x14ac:dyDescent="0.35">
      <c r="A1421" s="4" t="s">
        <v>6920</v>
      </c>
      <c r="B1421" s="5" t="s">
        <v>4148</v>
      </c>
      <c r="C1421" s="5" t="s">
        <v>1776</v>
      </c>
      <c r="D1421" s="5" t="s">
        <v>13</v>
      </c>
      <c r="E1421" s="6">
        <v>1109</v>
      </c>
      <c r="F1421" s="5" t="str">
        <f>HYPERLINK("https://www.google.com/maps/search/?api=1&amp;query=24.79055915,46.79616398", "View Map")</f>
        <v>View Map</v>
      </c>
    </row>
    <row r="1422" spans="1:6" x14ac:dyDescent="0.35">
      <c r="A1422" s="4" t="s">
        <v>6921</v>
      </c>
      <c r="B1422" s="5" t="s">
        <v>4150</v>
      </c>
      <c r="C1422" s="5" t="s">
        <v>1776</v>
      </c>
      <c r="D1422" s="5" t="s">
        <v>13</v>
      </c>
      <c r="E1422" s="6">
        <v>1107</v>
      </c>
      <c r="F1422" s="5" t="str">
        <f>HYPERLINK("https://www.google.com/maps/search/?api=1&amp;query=24.68195724,46.80076332", "View Map")</f>
        <v>View Map</v>
      </c>
    </row>
    <row r="1423" spans="1:6" x14ac:dyDescent="0.35">
      <c r="A1423" s="4" t="s">
        <v>6922</v>
      </c>
      <c r="B1423" s="5" t="s">
        <v>4152</v>
      </c>
      <c r="C1423" s="5" t="s">
        <v>1776</v>
      </c>
      <c r="D1423" s="5" t="s">
        <v>13</v>
      </c>
      <c r="E1423" s="6">
        <v>1106</v>
      </c>
      <c r="F1423" s="5" t="str">
        <f>HYPERLINK("https://www.google.com/maps/search/?api=1&amp;query=24.60927207,46.70991522", "View Map")</f>
        <v>View Map</v>
      </c>
    </row>
    <row r="1424" spans="1:6" x14ac:dyDescent="0.35">
      <c r="A1424" s="4" t="s">
        <v>5974</v>
      </c>
      <c r="B1424" s="5" t="s">
        <v>4153</v>
      </c>
      <c r="C1424" s="5" t="s">
        <v>1843</v>
      </c>
      <c r="D1424" s="5" t="s">
        <v>9</v>
      </c>
      <c r="E1424" s="6">
        <v>1106</v>
      </c>
      <c r="F1424" s="5" t="str">
        <f>HYPERLINK("https://www.google.com/maps/search/?api=1&amp;query=24.89832022,46.4406564", "View Map")</f>
        <v>View Map</v>
      </c>
    </row>
    <row r="1425" spans="1:6" x14ac:dyDescent="0.35">
      <c r="A1425" s="4" t="s">
        <v>5974</v>
      </c>
      <c r="B1425" s="5" t="s">
        <v>4154</v>
      </c>
      <c r="C1425" s="5" t="s">
        <v>1776</v>
      </c>
      <c r="D1425" s="5" t="s">
        <v>9</v>
      </c>
      <c r="E1425" s="6">
        <v>1105</v>
      </c>
      <c r="F1425" s="5" t="str">
        <f>HYPERLINK("https://www.google.com/maps/search/?api=1&amp;query=24.65252,46.52495", "View Map")</f>
        <v>View Map</v>
      </c>
    </row>
    <row r="1426" spans="1:6" x14ac:dyDescent="0.35">
      <c r="A1426" s="4" t="s">
        <v>6923</v>
      </c>
      <c r="B1426" s="5" t="s">
        <v>4156</v>
      </c>
      <c r="C1426" s="5" t="s">
        <v>1776</v>
      </c>
      <c r="D1426" s="5" t="s">
        <v>13</v>
      </c>
      <c r="E1426" s="6">
        <v>1103</v>
      </c>
      <c r="F1426" s="5" t="str">
        <f>HYPERLINK("https://www.google.com/maps/search/?api=1&amp;query=24.66200276,46.8076914", "View Map")</f>
        <v>View Map</v>
      </c>
    </row>
    <row r="1427" spans="1:6" x14ac:dyDescent="0.35">
      <c r="A1427" s="4" t="s">
        <v>6924</v>
      </c>
      <c r="B1427" s="5" t="s">
        <v>4158</v>
      </c>
      <c r="C1427" s="5" t="s">
        <v>1776</v>
      </c>
      <c r="D1427" s="5" t="s">
        <v>9</v>
      </c>
      <c r="E1427" s="6">
        <v>1103</v>
      </c>
      <c r="F1427" s="5" t="str">
        <f>HYPERLINK("https://www.google.com/maps/search/?api=1&amp;query=24.54813471,46.73042738", "View Map")</f>
        <v>View Map</v>
      </c>
    </row>
    <row r="1428" spans="1:6" x14ac:dyDescent="0.35">
      <c r="A1428" s="4" t="s">
        <v>6925</v>
      </c>
      <c r="B1428" s="5" t="s">
        <v>4160</v>
      </c>
      <c r="C1428" s="5" t="s">
        <v>1776</v>
      </c>
      <c r="D1428" s="5" t="s">
        <v>9</v>
      </c>
      <c r="E1428" s="6">
        <v>1102</v>
      </c>
      <c r="F1428" s="5" t="str">
        <f>HYPERLINK("https://www.google.com/maps/search/?api=1&amp;query=24.70567047,46.797484", "View Map")</f>
        <v>View Map</v>
      </c>
    </row>
    <row r="1429" spans="1:6" x14ac:dyDescent="0.35">
      <c r="A1429" s="4" t="s">
        <v>6926</v>
      </c>
      <c r="B1429" s="5" t="s">
        <v>4162</v>
      </c>
      <c r="C1429" s="5" t="s">
        <v>1776</v>
      </c>
      <c r="D1429" s="5" t="s">
        <v>13</v>
      </c>
      <c r="E1429" s="6">
        <v>1102</v>
      </c>
      <c r="F1429" s="5" t="str">
        <f>HYPERLINK("https://www.google.com/maps/search/?api=1&amp;query=24.60253779,46.68690294", "View Map")</f>
        <v>View Map</v>
      </c>
    </row>
    <row r="1430" spans="1:6" x14ac:dyDescent="0.35">
      <c r="A1430" s="4" t="s">
        <v>6134</v>
      </c>
      <c r="B1430" s="5" t="s">
        <v>4163</v>
      </c>
      <c r="C1430" s="5" t="s">
        <v>1776</v>
      </c>
      <c r="D1430" s="5" t="s">
        <v>13</v>
      </c>
      <c r="E1430" s="6">
        <v>1099</v>
      </c>
      <c r="F1430" s="5" t="str">
        <f>HYPERLINK("https://www.google.com/maps/search/?api=1&amp;query=24.79641343,46.65581817", "View Map")</f>
        <v>View Map</v>
      </c>
    </row>
    <row r="1431" spans="1:6" x14ac:dyDescent="0.35">
      <c r="A1431" s="4" t="s">
        <v>6927</v>
      </c>
      <c r="B1431" s="5" t="s">
        <v>4165</v>
      </c>
      <c r="C1431" s="5" t="s">
        <v>1776</v>
      </c>
      <c r="D1431" s="5" t="s">
        <v>13</v>
      </c>
      <c r="E1431" s="6">
        <v>1099</v>
      </c>
      <c r="F1431" s="5" t="str">
        <f>HYPERLINK("https://www.google.com/maps/search/?api=1&amp;query=24.80235704,46.68640744", "View Map")</f>
        <v>View Map</v>
      </c>
    </row>
    <row r="1432" spans="1:6" x14ac:dyDescent="0.35">
      <c r="A1432" s="4" t="s">
        <v>6928</v>
      </c>
      <c r="B1432" s="5" t="s">
        <v>4167</v>
      </c>
      <c r="C1432" s="5" t="s">
        <v>1776</v>
      </c>
      <c r="D1432" s="5" t="s">
        <v>9</v>
      </c>
      <c r="E1432" s="6">
        <v>1098</v>
      </c>
      <c r="F1432" s="5" t="str">
        <f>HYPERLINK("https://www.google.com/maps/search/?api=1&amp;query=24.73106364,46.8076619", "View Map")</f>
        <v>View Map</v>
      </c>
    </row>
    <row r="1433" spans="1:6" x14ac:dyDescent="0.35">
      <c r="A1433" s="4" t="s">
        <v>6929</v>
      </c>
      <c r="B1433" s="5" t="s">
        <v>4169</v>
      </c>
      <c r="C1433" s="5" t="s">
        <v>1776</v>
      </c>
      <c r="D1433" s="5" t="s">
        <v>13</v>
      </c>
      <c r="E1433" s="6">
        <v>1098</v>
      </c>
      <c r="F1433" s="5" t="str">
        <f>HYPERLINK("https://www.google.com/maps/search/?api=1&amp;query=24.72040999,46.76083426", "View Map")</f>
        <v>View Map</v>
      </c>
    </row>
    <row r="1434" spans="1:6" x14ac:dyDescent="0.35">
      <c r="A1434" s="4" t="s">
        <v>6930</v>
      </c>
      <c r="B1434" s="5" t="s">
        <v>4171</v>
      </c>
      <c r="C1434" s="5" t="s">
        <v>1776</v>
      </c>
      <c r="D1434" s="5" t="s">
        <v>13</v>
      </c>
      <c r="E1434" s="6">
        <v>1098</v>
      </c>
      <c r="F1434" s="5" t="str">
        <f>HYPERLINK("https://www.google.com/maps/search/?api=1&amp;query=24.57053949,46.76688472", "View Map")</f>
        <v>View Map</v>
      </c>
    </row>
    <row r="1435" spans="1:6" x14ac:dyDescent="0.35">
      <c r="A1435" s="4" t="s">
        <v>5974</v>
      </c>
      <c r="B1435" s="5" t="s">
        <v>4172</v>
      </c>
      <c r="C1435" s="5" t="s">
        <v>1776</v>
      </c>
      <c r="D1435" s="5" t="s">
        <v>13</v>
      </c>
      <c r="E1435" s="6">
        <v>1097</v>
      </c>
      <c r="F1435" s="5" t="str">
        <f>HYPERLINK("https://www.google.com/maps/search/?api=1&amp;query=24.77526334,46.8374993", "View Map")</f>
        <v>View Map</v>
      </c>
    </row>
    <row r="1436" spans="1:6" x14ac:dyDescent="0.35">
      <c r="A1436" s="4" t="s">
        <v>6931</v>
      </c>
      <c r="B1436" s="5" t="s">
        <v>4174</v>
      </c>
      <c r="C1436" s="5" t="s">
        <v>1776</v>
      </c>
      <c r="D1436" s="5" t="s">
        <v>13</v>
      </c>
      <c r="E1436" s="6">
        <v>1095</v>
      </c>
      <c r="F1436" s="5" t="str">
        <f>HYPERLINK("https://www.google.com/maps/search/?api=1&amp;query=24.70246352,46.83920778", "View Map")</f>
        <v>View Map</v>
      </c>
    </row>
    <row r="1437" spans="1:6" x14ac:dyDescent="0.35">
      <c r="A1437" s="4" t="s">
        <v>6413</v>
      </c>
      <c r="B1437" s="5" t="s">
        <v>4175</v>
      </c>
      <c r="C1437" s="5" t="s">
        <v>1776</v>
      </c>
      <c r="D1437" s="5" t="s">
        <v>13</v>
      </c>
      <c r="E1437" s="6">
        <v>1093</v>
      </c>
      <c r="F1437" s="5" t="str">
        <f>HYPERLINK("https://www.google.com/maps/search/?api=1&amp;query=24.79240461,46.7713202", "View Map")</f>
        <v>View Map</v>
      </c>
    </row>
    <row r="1438" spans="1:6" x14ac:dyDescent="0.35">
      <c r="A1438" s="4" t="s">
        <v>5974</v>
      </c>
      <c r="B1438" s="5" t="s">
        <v>4176</v>
      </c>
      <c r="C1438" s="5" t="s">
        <v>1776</v>
      </c>
      <c r="D1438" s="5" t="s">
        <v>9</v>
      </c>
      <c r="E1438" s="6">
        <v>1093</v>
      </c>
      <c r="F1438" s="5" t="str">
        <f>HYPERLINK("https://www.google.com/maps/search/?api=1&amp;query=24.84074605,46.75160164", "View Map")</f>
        <v>View Map</v>
      </c>
    </row>
    <row r="1439" spans="1:6" x14ac:dyDescent="0.35">
      <c r="A1439" s="4" t="s">
        <v>5974</v>
      </c>
      <c r="B1439" s="5" t="s">
        <v>4177</v>
      </c>
      <c r="C1439" s="5" t="s">
        <v>1776</v>
      </c>
      <c r="D1439" s="5" t="s">
        <v>13</v>
      </c>
      <c r="E1439" s="6">
        <v>1091</v>
      </c>
      <c r="F1439" s="5" t="str">
        <f>HYPERLINK("https://www.google.com/maps/search/?api=1&amp;query=24.80303666,46.83873329", "View Map")</f>
        <v>View Map</v>
      </c>
    </row>
    <row r="1440" spans="1:6" x14ac:dyDescent="0.35">
      <c r="A1440" s="4" t="s">
        <v>6932</v>
      </c>
      <c r="B1440" s="5" t="s">
        <v>4178</v>
      </c>
      <c r="C1440" s="5" t="s">
        <v>1776</v>
      </c>
      <c r="D1440" s="5" t="s">
        <v>13</v>
      </c>
      <c r="E1440" s="6">
        <v>1090</v>
      </c>
      <c r="F1440" s="5" t="str">
        <f>HYPERLINK("https://www.google.com/maps/search/?api=1&amp;query=0.0,0.0", "View Map")</f>
        <v>View Map</v>
      </c>
    </row>
    <row r="1441" spans="1:6" x14ac:dyDescent="0.35">
      <c r="A1441" s="4" t="s">
        <v>5974</v>
      </c>
      <c r="B1441" s="5" t="s">
        <v>4179</v>
      </c>
      <c r="C1441" s="5" t="s">
        <v>1776</v>
      </c>
      <c r="D1441" s="5" t="s">
        <v>13</v>
      </c>
      <c r="E1441" s="6">
        <v>1090</v>
      </c>
      <c r="F1441" s="5" t="str">
        <f>HYPERLINK("https://www.google.com/maps/search/?api=1&amp;query=24.622656,46.52221324", "View Map")</f>
        <v>View Map</v>
      </c>
    </row>
    <row r="1442" spans="1:6" x14ac:dyDescent="0.35">
      <c r="A1442" s="4" t="s">
        <v>6933</v>
      </c>
      <c r="B1442" s="5" t="s">
        <v>4181</v>
      </c>
      <c r="C1442" s="5" t="s">
        <v>1776</v>
      </c>
      <c r="D1442" s="5" t="s">
        <v>9</v>
      </c>
      <c r="E1442" s="6">
        <v>1089</v>
      </c>
      <c r="F1442" s="5" t="str">
        <f>HYPERLINK("https://www.google.com/maps/search/?api=1&amp;query=24.6261388,46.65293838", "View Map")</f>
        <v>View Map</v>
      </c>
    </row>
    <row r="1443" spans="1:6" x14ac:dyDescent="0.35">
      <c r="A1443" s="4" t="s">
        <v>5974</v>
      </c>
      <c r="B1443" s="5" t="s">
        <v>4182</v>
      </c>
      <c r="C1443" s="5" t="s">
        <v>1776</v>
      </c>
      <c r="D1443" s="5" t="s">
        <v>13</v>
      </c>
      <c r="E1443" s="6">
        <v>1087</v>
      </c>
      <c r="F1443" s="5" t="str">
        <f>HYPERLINK("https://www.google.com/maps/search/?api=1&amp;query=24.7794697,46.8378725", "View Map")</f>
        <v>View Map</v>
      </c>
    </row>
    <row r="1444" spans="1:6" x14ac:dyDescent="0.35">
      <c r="A1444" s="4" t="s">
        <v>6934</v>
      </c>
      <c r="B1444" s="5" t="s">
        <v>4184</v>
      </c>
      <c r="C1444" s="5" t="s">
        <v>1776</v>
      </c>
      <c r="D1444" s="5" t="s">
        <v>13</v>
      </c>
      <c r="E1444" s="6">
        <v>1087</v>
      </c>
      <c r="F1444" s="5" t="str">
        <f>HYPERLINK("https://www.google.com/maps/search/?api=1&amp;query=24.70086,46.66201", "View Map")</f>
        <v>View Map</v>
      </c>
    </row>
    <row r="1445" spans="1:6" x14ac:dyDescent="0.35">
      <c r="A1445" s="4" t="s">
        <v>6935</v>
      </c>
      <c r="B1445" s="5" t="s">
        <v>4186</v>
      </c>
      <c r="C1445" s="5" t="s">
        <v>1776</v>
      </c>
      <c r="D1445" s="5" t="s">
        <v>13</v>
      </c>
      <c r="E1445" s="6">
        <v>1087</v>
      </c>
      <c r="F1445" s="5" t="str">
        <f>HYPERLINK("https://www.google.com/maps/search/?api=1&amp;query=24.66033855,46.73400261", "View Map")</f>
        <v>View Map</v>
      </c>
    </row>
    <row r="1446" spans="1:6" x14ac:dyDescent="0.35">
      <c r="A1446" s="4" t="s">
        <v>6936</v>
      </c>
      <c r="B1446" s="5" t="s">
        <v>4188</v>
      </c>
      <c r="C1446" s="5" t="s">
        <v>1776</v>
      </c>
      <c r="D1446" s="5" t="s">
        <v>13</v>
      </c>
      <c r="E1446" s="6">
        <v>1086</v>
      </c>
      <c r="F1446" s="5" t="str">
        <f>HYPERLINK("https://www.google.com/maps/search/?api=1&amp;query=24.77552941,46.72267279", "View Map")</f>
        <v>View Map</v>
      </c>
    </row>
    <row r="1447" spans="1:6" x14ac:dyDescent="0.35">
      <c r="A1447" s="4" t="s">
        <v>6937</v>
      </c>
      <c r="B1447" s="5" t="s">
        <v>4190</v>
      </c>
      <c r="C1447" s="5" t="s">
        <v>1776</v>
      </c>
      <c r="D1447" s="5" t="s">
        <v>9</v>
      </c>
      <c r="E1447" s="6">
        <v>1086</v>
      </c>
      <c r="F1447" s="5" t="str">
        <f>HYPERLINK("https://www.google.com/maps/search/?api=1&amp;query=24.7181423,46.80661594", "View Map")</f>
        <v>View Map</v>
      </c>
    </row>
    <row r="1448" spans="1:6" x14ac:dyDescent="0.35">
      <c r="A1448" s="4" t="s">
        <v>6938</v>
      </c>
      <c r="B1448" s="5" t="s">
        <v>4192</v>
      </c>
      <c r="C1448" s="5" t="s">
        <v>1776</v>
      </c>
      <c r="D1448" s="5" t="s">
        <v>13</v>
      </c>
      <c r="E1448" s="6">
        <v>1085</v>
      </c>
      <c r="F1448" s="5" t="str">
        <f>HYPERLINK("https://www.google.com/maps/search/?api=1&amp;query=24.57460467,46.66938705", "View Map")</f>
        <v>View Map</v>
      </c>
    </row>
    <row r="1449" spans="1:6" x14ac:dyDescent="0.35">
      <c r="A1449" s="4" t="s">
        <v>5974</v>
      </c>
      <c r="B1449" s="5" t="s">
        <v>4193</v>
      </c>
      <c r="C1449" s="5" t="s">
        <v>1776</v>
      </c>
      <c r="D1449" s="5" t="s">
        <v>9</v>
      </c>
      <c r="E1449" s="6">
        <v>1085</v>
      </c>
      <c r="F1449" s="5" t="str">
        <f>HYPERLINK("https://www.google.com/maps/search/?api=1&amp;query=24.92651732,46.81035049", "View Map")</f>
        <v>View Map</v>
      </c>
    </row>
    <row r="1450" spans="1:6" x14ac:dyDescent="0.35">
      <c r="A1450" s="4" t="s">
        <v>6939</v>
      </c>
      <c r="B1450" s="5" t="s">
        <v>4195</v>
      </c>
      <c r="C1450" s="5" t="s">
        <v>1776</v>
      </c>
      <c r="D1450" s="5" t="s">
        <v>13</v>
      </c>
      <c r="E1450" s="6">
        <v>1084</v>
      </c>
      <c r="F1450" s="5" t="str">
        <f>HYPERLINK("https://www.google.com/maps/search/?api=1&amp;query=24.56253719,46.80417442", "View Map")</f>
        <v>View Map</v>
      </c>
    </row>
    <row r="1451" spans="1:6" x14ac:dyDescent="0.35">
      <c r="A1451" s="4" t="s">
        <v>6940</v>
      </c>
      <c r="B1451" s="5" t="s">
        <v>4197</v>
      </c>
      <c r="C1451" s="5" t="s">
        <v>1776</v>
      </c>
      <c r="D1451" s="5" t="s">
        <v>13</v>
      </c>
      <c r="E1451" s="6">
        <v>1084</v>
      </c>
      <c r="F1451" s="5" t="str">
        <f>HYPERLINK("https://www.google.com/maps/search/?api=1&amp;query=24.75665385,46.75256631", "View Map")</f>
        <v>View Map</v>
      </c>
    </row>
    <row r="1452" spans="1:6" x14ac:dyDescent="0.35">
      <c r="A1452" s="4" t="s">
        <v>5974</v>
      </c>
      <c r="B1452" s="5" t="s">
        <v>4198</v>
      </c>
      <c r="C1452" s="5" t="s">
        <v>1776</v>
      </c>
      <c r="D1452" s="5" t="s">
        <v>13</v>
      </c>
      <c r="E1452" s="6">
        <v>1084</v>
      </c>
      <c r="F1452" s="5" t="str">
        <f>HYPERLINK("https://www.google.com/maps/search/?api=1&amp;query=24.85543332,46.80627792", "View Map")</f>
        <v>View Map</v>
      </c>
    </row>
    <row r="1453" spans="1:6" x14ac:dyDescent="0.35">
      <c r="A1453" s="4" t="s">
        <v>6941</v>
      </c>
      <c r="B1453" s="5" t="s">
        <v>4200</v>
      </c>
      <c r="C1453" s="5" t="s">
        <v>1776</v>
      </c>
      <c r="D1453" s="5" t="s">
        <v>13</v>
      </c>
      <c r="E1453" s="6">
        <v>1082</v>
      </c>
      <c r="F1453" s="5" t="str">
        <f>HYPERLINK("https://www.google.com/maps/search/?api=1&amp;query=24.75281494,46.8119573", "View Map")</f>
        <v>View Map</v>
      </c>
    </row>
    <row r="1454" spans="1:6" x14ac:dyDescent="0.35">
      <c r="A1454" s="4" t="s">
        <v>5974</v>
      </c>
      <c r="B1454" s="5" t="s">
        <v>4201</v>
      </c>
      <c r="C1454" s="5" t="s">
        <v>1776</v>
      </c>
      <c r="D1454" s="5" t="s">
        <v>9</v>
      </c>
      <c r="E1454" s="6">
        <v>1082</v>
      </c>
      <c r="F1454" s="5" t="str">
        <f>HYPERLINK("https://www.google.com/maps/search/?api=1&amp;query=24.79557939,46.61727517", "View Map")</f>
        <v>View Map</v>
      </c>
    </row>
    <row r="1455" spans="1:6" x14ac:dyDescent="0.35">
      <c r="A1455" s="4" t="s">
        <v>6039</v>
      </c>
      <c r="B1455" s="5" t="s">
        <v>4202</v>
      </c>
      <c r="C1455" s="5" t="s">
        <v>1776</v>
      </c>
      <c r="D1455" s="5" t="s">
        <v>9</v>
      </c>
      <c r="E1455" s="6">
        <v>1081</v>
      </c>
      <c r="F1455" s="5" t="str">
        <f>HYPERLINK("https://www.google.com/maps/search/?api=1&amp;query=24.55363955,46.6674507", "View Map")</f>
        <v>View Map</v>
      </c>
    </row>
    <row r="1456" spans="1:6" x14ac:dyDescent="0.35">
      <c r="A1456" s="4" t="s">
        <v>6942</v>
      </c>
      <c r="B1456" s="5" t="s">
        <v>4204</v>
      </c>
      <c r="C1456" s="5" t="s">
        <v>1776</v>
      </c>
      <c r="D1456" s="5" t="s">
        <v>9</v>
      </c>
      <c r="E1456" s="6">
        <v>1081</v>
      </c>
      <c r="F1456" s="5" t="str">
        <f>HYPERLINK("https://www.google.com/maps/search/?api=1&amp;query=24.74558011,46.76686643", "View Map")</f>
        <v>View Map</v>
      </c>
    </row>
    <row r="1457" spans="1:6" x14ac:dyDescent="0.35">
      <c r="A1457" s="4" t="s">
        <v>6943</v>
      </c>
      <c r="B1457" s="5" t="s">
        <v>4206</v>
      </c>
      <c r="C1457" s="5" t="s">
        <v>1776</v>
      </c>
      <c r="D1457" s="5" t="s">
        <v>13</v>
      </c>
      <c r="E1457" s="6">
        <v>1079</v>
      </c>
      <c r="F1457" s="5" t="str">
        <f>HYPERLINK("https://www.google.com/maps/search/?api=1&amp;query=24.59628553,46.68027523", "View Map")</f>
        <v>View Map</v>
      </c>
    </row>
    <row r="1458" spans="1:6" x14ac:dyDescent="0.35">
      <c r="A1458" s="4" t="s">
        <v>6944</v>
      </c>
      <c r="B1458" s="5" t="s">
        <v>4208</v>
      </c>
      <c r="C1458" s="5" t="s">
        <v>1776</v>
      </c>
      <c r="D1458" s="5" t="s">
        <v>9</v>
      </c>
      <c r="E1458" s="6">
        <v>1079</v>
      </c>
      <c r="F1458" s="5" t="str">
        <f>HYPERLINK("https://www.google.com/maps/search/?api=1&amp;query=24.57122094,46.69226542", "View Map")</f>
        <v>View Map</v>
      </c>
    </row>
    <row r="1459" spans="1:6" x14ac:dyDescent="0.35">
      <c r="A1459" s="4" t="s">
        <v>6945</v>
      </c>
      <c r="B1459" s="5" t="s">
        <v>4210</v>
      </c>
      <c r="C1459" s="5" t="s">
        <v>1776</v>
      </c>
      <c r="D1459" s="5" t="s">
        <v>13</v>
      </c>
      <c r="E1459" s="6">
        <v>1078</v>
      </c>
      <c r="F1459" s="5" t="str">
        <f>HYPERLINK("https://www.google.com/maps/search/?api=1&amp;query=24.54254289,46.70998253", "View Map")</f>
        <v>View Map</v>
      </c>
    </row>
    <row r="1460" spans="1:6" x14ac:dyDescent="0.35">
      <c r="A1460" s="4" t="s">
        <v>5974</v>
      </c>
      <c r="B1460" s="5" t="s">
        <v>4211</v>
      </c>
      <c r="C1460" s="5" t="s">
        <v>1776</v>
      </c>
      <c r="D1460" s="5" t="s">
        <v>13</v>
      </c>
      <c r="E1460" s="6">
        <v>1078</v>
      </c>
      <c r="F1460" s="5" t="str">
        <f>HYPERLINK("https://www.google.com/maps/search/?api=1&amp;query=24.81972881,46.75291477", "View Map")</f>
        <v>View Map</v>
      </c>
    </row>
    <row r="1461" spans="1:6" x14ac:dyDescent="0.35">
      <c r="A1461" s="4" t="s">
        <v>6946</v>
      </c>
      <c r="B1461" s="5" t="s">
        <v>4213</v>
      </c>
      <c r="C1461" s="5" t="s">
        <v>1776</v>
      </c>
      <c r="D1461" s="5" t="s">
        <v>318</v>
      </c>
      <c r="E1461" s="6">
        <v>1078</v>
      </c>
      <c r="F1461" s="5" t="str">
        <f>HYPERLINK("https://www.google.com/maps/search/?api=1&amp;query=24.78220565,46.75037573", "View Map")</f>
        <v>View Map</v>
      </c>
    </row>
    <row r="1462" spans="1:6" x14ac:dyDescent="0.35">
      <c r="A1462" s="4" t="s">
        <v>6947</v>
      </c>
      <c r="B1462" s="5" t="s">
        <v>4215</v>
      </c>
      <c r="C1462" s="5" t="s">
        <v>1776</v>
      </c>
      <c r="D1462" s="5" t="s">
        <v>13</v>
      </c>
      <c r="E1462" s="6">
        <v>1078</v>
      </c>
      <c r="F1462" s="5" t="str">
        <f>HYPERLINK("https://www.google.com/maps/search/?api=1&amp;query=24.60901286,46.60862451", "View Map")</f>
        <v>View Map</v>
      </c>
    </row>
    <row r="1463" spans="1:6" x14ac:dyDescent="0.35">
      <c r="A1463" s="4" t="s">
        <v>6948</v>
      </c>
      <c r="B1463" s="5" t="s">
        <v>4217</v>
      </c>
      <c r="C1463" s="5" t="s">
        <v>1776</v>
      </c>
      <c r="D1463" s="5" t="s">
        <v>9</v>
      </c>
      <c r="E1463" s="6">
        <v>1078</v>
      </c>
      <c r="F1463" s="5" t="str">
        <f>HYPERLINK("https://www.google.com/maps/search/?api=1&amp;query=24.73437324,46.75474847", "View Map")</f>
        <v>View Map</v>
      </c>
    </row>
    <row r="1464" spans="1:6" x14ac:dyDescent="0.35">
      <c r="A1464" s="4" t="s">
        <v>6949</v>
      </c>
      <c r="B1464" s="5" t="s">
        <v>4219</v>
      </c>
      <c r="C1464" s="5" t="s">
        <v>1776</v>
      </c>
      <c r="D1464" s="5" t="s">
        <v>9</v>
      </c>
      <c r="E1464" s="6">
        <v>1077</v>
      </c>
      <c r="F1464" s="5" t="str">
        <f>HYPERLINK("https://www.google.com/maps/search/?api=1&amp;query=24.65797652,46.73842717", "View Map")</f>
        <v>View Map</v>
      </c>
    </row>
    <row r="1465" spans="1:6" x14ac:dyDescent="0.35">
      <c r="A1465" s="4" t="s">
        <v>6950</v>
      </c>
      <c r="B1465" s="5" t="s">
        <v>4221</v>
      </c>
      <c r="C1465" s="5" t="s">
        <v>1776</v>
      </c>
      <c r="D1465" s="5" t="s">
        <v>9</v>
      </c>
      <c r="E1465" s="6">
        <v>1077</v>
      </c>
      <c r="F1465" s="5" t="str">
        <f>HYPERLINK("https://www.google.com/maps/search/?api=1&amp;query=24.57997846,46.83406915", "View Map")</f>
        <v>View Map</v>
      </c>
    </row>
    <row r="1466" spans="1:6" x14ac:dyDescent="0.35">
      <c r="A1466" s="4" t="s">
        <v>6627</v>
      </c>
      <c r="B1466" s="5" t="s">
        <v>4222</v>
      </c>
      <c r="C1466" s="5" t="s">
        <v>1776</v>
      </c>
      <c r="D1466" s="5" t="s">
        <v>13</v>
      </c>
      <c r="E1466" s="6">
        <v>1076</v>
      </c>
      <c r="F1466" s="5" t="str">
        <f>HYPERLINK("https://www.google.com/maps/search/?api=1&amp;query=24.68816397,46.79045601", "View Map")</f>
        <v>View Map</v>
      </c>
    </row>
    <row r="1467" spans="1:6" x14ac:dyDescent="0.35">
      <c r="A1467" s="4" t="s">
        <v>6951</v>
      </c>
      <c r="B1467" s="5" t="s">
        <v>4224</v>
      </c>
      <c r="C1467" s="5" t="s">
        <v>1776</v>
      </c>
      <c r="D1467" s="5" t="s">
        <v>13</v>
      </c>
      <c r="E1467" s="6">
        <v>1075</v>
      </c>
      <c r="F1467" s="5" t="str">
        <f>HYPERLINK("https://www.google.com/maps/search/?api=1&amp;query=24.70497222,46.69325261", "View Map")</f>
        <v>View Map</v>
      </c>
    </row>
    <row r="1468" spans="1:6" x14ac:dyDescent="0.35">
      <c r="A1468" s="4" t="s">
        <v>6802</v>
      </c>
      <c r="B1468" s="5" t="s">
        <v>4225</v>
      </c>
      <c r="C1468" s="5" t="s">
        <v>1776</v>
      </c>
      <c r="D1468" s="5" t="s">
        <v>9</v>
      </c>
      <c r="E1468" s="6">
        <v>1073</v>
      </c>
      <c r="F1468" s="5" t="str">
        <f>HYPERLINK("https://www.google.com/maps/search/?api=1&amp;query=24.67533,46.85330097", "View Map")</f>
        <v>View Map</v>
      </c>
    </row>
    <row r="1469" spans="1:6" x14ac:dyDescent="0.35">
      <c r="A1469" s="4" t="s">
        <v>5974</v>
      </c>
      <c r="B1469" s="5" t="s">
        <v>4226</v>
      </c>
      <c r="C1469" s="5" t="s">
        <v>1776</v>
      </c>
      <c r="D1469" s="5" t="s">
        <v>9</v>
      </c>
      <c r="E1469" s="6">
        <v>1073</v>
      </c>
      <c r="F1469" s="5" t="str">
        <f>HYPERLINK("https://www.google.com/maps/search/?api=1&amp;query=24.61097928,46.50976842", "View Map")</f>
        <v>View Map</v>
      </c>
    </row>
    <row r="1470" spans="1:6" x14ac:dyDescent="0.35">
      <c r="A1470" s="4" t="s">
        <v>6952</v>
      </c>
      <c r="B1470" s="5" t="s">
        <v>4228</v>
      </c>
      <c r="C1470" s="5" t="s">
        <v>1776</v>
      </c>
      <c r="D1470" s="5" t="s">
        <v>13</v>
      </c>
      <c r="E1470" s="6">
        <v>1073</v>
      </c>
      <c r="F1470" s="5" t="str">
        <f>HYPERLINK("https://www.google.com/maps/search/?api=1&amp;query=24.66503208,46.72114448", "View Map")</f>
        <v>View Map</v>
      </c>
    </row>
    <row r="1471" spans="1:6" x14ac:dyDescent="0.35">
      <c r="A1471" s="4" t="s">
        <v>6953</v>
      </c>
      <c r="B1471" s="5" t="s">
        <v>4230</v>
      </c>
      <c r="C1471" s="5" t="s">
        <v>1776</v>
      </c>
      <c r="D1471" s="5" t="s">
        <v>13</v>
      </c>
      <c r="E1471" s="6">
        <v>1073</v>
      </c>
      <c r="F1471" s="5" t="str">
        <f>HYPERLINK("https://www.google.com/maps/search/?api=1&amp;query=24.53823545,46.63657867", "View Map")</f>
        <v>View Map</v>
      </c>
    </row>
    <row r="1472" spans="1:6" x14ac:dyDescent="0.35">
      <c r="A1472" s="4" t="s">
        <v>6627</v>
      </c>
      <c r="B1472" s="5" t="s">
        <v>4231</v>
      </c>
      <c r="C1472" s="5" t="s">
        <v>1776</v>
      </c>
      <c r="D1472" s="5" t="s">
        <v>13</v>
      </c>
      <c r="E1472" s="6">
        <v>1072</v>
      </c>
      <c r="F1472" s="5" t="str">
        <f>HYPERLINK("https://www.google.com/maps/search/?api=1&amp;query=24.69013529,46.78902388", "View Map")</f>
        <v>View Map</v>
      </c>
    </row>
    <row r="1473" spans="1:6" x14ac:dyDescent="0.35">
      <c r="A1473" s="4" t="s">
        <v>5974</v>
      </c>
      <c r="B1473" s="5" t="s">
        <v>4232</v>
      </c>
      <c r="C1473" s="5" t="s">
        <v>1776</v>
      </c>
      <c r="D1473" s="5" t="s">
        <v>13</v>
      </c>
      <c r="E1473" s="6">
        <v>1072</v>
      </c>
      <c r="F1473" s="5" t="str">
        <f>HYPERLINK("https://www.google.com/maps/search/?api=1&amp;query=24.60634539,46.76231214", "View Map")</f>
        <v>View Map</v>
      </c>
    </row>
    <row r="1474" spans="1:6" x14ac:dyDescent="0.35">
      <c r="A1474" s="4" t="s">
        <v>6954</v>
      </c>
      <c r="B1474" s="5" t="s">
        <v>4234</v>
      </c>
      <c r="C1474" s="5" t="s">
        <v>1776</v>
      </c>
      <c r="D1474" s="5" t="s">
        <v>9</v>
      </c>
      <c r="E1474" s="6">
        <v>1071</v>
      </c>
      <c r="F1474" s="5" t="str">
        <f>HYPERLINK("https://www.google.com/maps/search/?api=1&amp;query=24.69487303,46.80547083", "View Map")</f>
        <v>View Map</v>
      </c>
    </row>
    <row r="1475" spans="1:6" x14ac:dyDescent="0.35">
      <c r="A1475" s="4" t="s">
        <v>6955</v>
      </c>
      <c r="B1475" s="5" t="s">
        <v>4236</v>
      </c>
      <c r="C1475" s="5" t="s">
        <v>1776</v>
      </c>
      <c r="D1475" s="5" t="s">
        <v>13</v>
      </c>
      <c r="E1475" s="6">
        <v>1071</v>
      </c>
      <c r="F1475" s="5" t="str">
        <f>HYPERLINK("https://www.google.com/maps/search/?api=1&amp;query=24.71511969,46.84495574", "View Map")</f>
        <v>View Map</v>
      </c>
    </row>
    <row r="1476" spans="1:6" x14ac:dyDescent="0.35">
      <c r="A1476" s="4" t="s">
        <v>6956</v>
      </c>
      <c r="B1476" s="5" t="s">
        <v>4238</v>
      </c>
      <c r="C1476" s="5" t="s">
        <v>1776</v>
      </c>
      <c r="D1476" s="5" t="s">
        <v>9</v>
      </c>
      <c r="E1476" s="6">
        <v>1071</v>
      </c>
      <c r="F1476" s="5" t="str">
        <f>HYPERLINK("https://www.google.com/maps/search/?api=1&amp;query=24.76765253,46.74998904", "View Map")</f>
        <v>View Map</v>
      </c>
    </row>
    <row r="1477" spans="1:6" x14ac:dyDescent="0.35">
      <c r="A1477" s="4" t="s">
        <v>5974</v>
      </c>
      <c r="B1477" s="5" t="s">
        <v>4239</v>
      </c>
      <c r="C1477" s="5" t="s">
        <v>1776</v>
      </c>
      <c r="D1477" s="5" t="s">
        <v>13</v>
      </c>
      <c r="E1477" s="6">
        <v>1071</v>
      </c>
      <c r="F1477" s="5" t="str">
        <f>HYPERLINK("https://www.google.com/maps/search/?api=1&amp;query=24.87410778,46.61739178", "View Map")</f>
        <v>View Map</v>
      </c>
    </row>
    <row r="1478" spans="1:6" x14ac:dyDescent="0.35">
      <c r="A1478" s="4" t="s">
        <v>6957</v>
      </c>
      <c r="B1478" s="5" t="s">
        <v>4241</v>
      </c>
      <c r="C1478" s="5" t="s">
        <v>1776</v>
      </c>
      <c r="D1478" s="5" t="s">
        <v>13</v>
      </c>
      <c r="E1478" s="6">
        <v>1069</v>
      </c>
      <c r="F1478" s="5" t="str">
        <f>HYPERLINK("https://www.google.com/maps/search/?api=1&amp;query=24.56304492,46.75907001", "View Map")</f>
        <v>View Map</v>
      </c>
    </row>
    <row r="1479" spans="1:6" x14ac:dyDescent="0.35">
      <c r="A1479" s="4" t="s">
        <v>6958</v>
      </c>
      <c r="B1479" s="5" t="s">
        <v>4243</v>
      </c>
      <c r="C1479" s="5" t="s">
        <v>1776</v>
      </c>
      <c r="D1479" s="5" t="s">
        <v>9</v>
      </c>
      <c r="E1479" s="6">
        <v>1068</v>
      </c>
      <c r="F1479" s="5" t="str">
        <f>HYPERLINK("https://www.google.com/maps/search/?api=1&amp;query=24.79361874,46.71214831", "View Map")</f>
        <v>View Map</v>
      </c>
    </row>
    <row r="1480" spans="1:6" x14ac:dyDescent="0.35">
      <c r="A1480" s="4" t="s">
        <v>6959</v>
      </c>
      <c r="B1480" s="5" t="s">
        <v>4245</v>
      </c>
      <c r="C1480" s="5" t="s">
        <v>1776</v>
      </c>
      <c r="D1480" s="5" t="s">
        <v>13</v>
      </c>
      <c r="E1480" s="6">
        <v>1067</v>
      </c>
      <c r="F1480" s="5" t="str">
        <f>HYPERLINK("https://www.google.com/maps/search/?api=1&amp;query=24.68479353,46.68288632", "View Map")</f>
        <v>View Map</v>
      </c>
    </row>
    <row r="1481" spans="1:6" x14ac:dyDescent="0.35">
      <c r="A1481" s="4" t="s">
        <v>5974</v>
      </c>
      <c r="B1481" s="5" t="s">
        <v>4246</v>
      </c>
      <c r="C1481" s="5" t="s">
        <v>1776</v>
      </c>
      <c r="D1481" s="5" t="s">
        <v>13</v>
      </c>
      <c r="E1481" s="6">
        <v>1067</v>
      </c>
      <c r="F1481" s="5" t="str">
        <f>HYPERLINK("https://www.google.com/maps/search/?api=1&amp;query=24.89492274,46.60397661", "View Map")</f>
        <v>View Map</v>
      </c>
    </row>
    <row r="1482" spans="1:6" x14ac:dyDescent="0.35">
      <c r="A1482" s="4" t="s">
        <v>5978</v>
      </c>
      <c r="B1482" s="5" t="s">
        <v>4247</v>
      </c>
      <c r="C1482" s="5" t="s">
        <v>1776</v>
      </c>
      <c r="D1482" s="5" t="s">
        <v>9</v>
      </c>
      <c r="E1482" s="6">
        <v>1066</v>
      </c>
      <c r="F1482" s="5" t="str">
        <f>HYPERLINK("https://www.google.com/maps/search/?api=1&amp;query=24.7578456,46.84093192", "View Map")</f>
        <v>View Map</v>
      </c>
    </row>
    <row r="1483" spans="1:6" x14ac:dyDescent="0.35">
      <c r="A1483" s="4" t="s">
        <v>5974</v>
      </c>
      <c r="B1483" s="5" t="s">
        <v>4248</v>
      </c>
      <c r="C1483" s="5" t="s">
        <v>1776</v>
      </c>
      <c r="D1483" s="5" t="s">
        <v>13</v>
      </c>
      <c r="E1483" s="6">
        <v>1066</v>
      </c>
      <c r="F1483" s="5" t="str">
        <f>HYPERLINK("https://www.google.com/maps/search/?api=1&amp;query=24.84240754,46.79025005", "View Map")</f>
        <v>View Map</v>
      </c>
    </row>
    <row r="1484" spans="1:6" x14ac:dyDescent="0.35">
      <c r="A1484" s="4" t="s">
        <v>5974</v>
      </c>
      <c r="B1484" s="5" t="s">
        <v>4249</v>
      </c>
      <c r="C1484" s="5" t="s">
        <v>1776</v>
      </c>
      <c r="D1484" s="5" t="s">
        <v>9</v>
      </c>
      <c r="E1484" s="6">
        <v>1064</v>
      </c>
      <c r="F1484" s="5" t="str">
        <f>HYPERLINK("https://www.google.com/maps/search/?api=1&amp;query=24.81858521,46.89459462", "View Map")</f>
        <v>View Map</v>
      </c>
    </row>
    <row r="1485" spans="1:6" x14ac:dyDescent="0.35">
      <c r="A1485" s="4" t="s">
        <v>6960</v>
      </c>
      <c r="B1485" s="5" t="s">
        <v>4251</v>
      </c>
      <c r="C1485" s="5" t="s">
        <v>1776</v>
      </c>
      <c r="D1485" s="5" t="s">
        <v>9</v>
      </c>
      <c r="E1485" s="6">
        <v>1064</v>
      </c>
      <c r="F1485" s="5" t="str">
        <f>HYPERLINK("https://www.google.com/maps/search/?api=1&amp;query=24.6075,46.6644", "View Map")</f>
        <v>View Map</v>
      </c>
    </row>
    <row r="1486" spans="1:6" x14ac:dyDescent="0.35">
      <c r="A1486" s="4" t="s">
        <v>5974</v>
      </c>
      <c r="B1486" s="5" t="s">
        <v>4252</v>
      </c>
      <c r="C1486" s="5" t="s">
        <v>1776</v>
      </c>
      <c r="D1486" s="5" t="s">
        <v>9</v>
      </c>
      <c r="E1486" s="6">
        <v>1063</v>
      </c>
      <c r="F1486" s="5" t="str">
        <f>HYPERLINK("https://www.google.com/maps/search/?api=1&amp;query=24.80633147,46.8144621", "View Map")</f>
        <v>View Map</v>
      </c>
    </row>
    <row r="1487" spans="1:6" x14ac:dyDescent="0.35">
      <c r="A1487" s="4" t="s">
        <v>6961</v>
      </c>
      <c r="B1487" s="5" t="s">
        <v>4254</v>
      </c>
      <c r="C1487" s="5" t="s">
        <v>1776</v>
      </c>
      <c r="D1487" s="5" t="s">
        <v>9</v>
      </c>
      <c r="E1487" s="6">
        <v>1062</v>
      </c>
      <c r="F1487" s="5" t="str">
        <f>HYPERLINK("https://www.google.com/maps/search/?api=1&amp;query=24.76601997,46.75354432", "View Map")</f>
        <v>View Map</v>
      </c>
    </row>
    <row r="1488" spans="1:6" x14ac:dyDescent="0.35">
      <c r="A1488" s="4" t="s">
        <v>6039</v>
      </c>
      <c r="B1488" s="5" t="s">
        <v>4255</v>
      </c>
      <c r="C1488" s="5" t="s">
        <v>1843</v>
      </c>
      <c r="D1488" s="5" t="s">
        <v>9</v>
      </c>
      <c r="E1488" s="6">
        <v>1062</v>
      </c>
      <c r="F1488" s="5" t="str">
        <f>HYPERLINK("https://www.google.com/maps/search/?api=1&amp;query=24.907252,46.429526", "View Map")</f>
        <v>View Map</v>
      </c>
    </row>
    <row r="1489" spans="1:6" x14ac:dyDescent="0.35">
      <c r="A1489" s="4" t="s">
        <v>5974</v>
      </c>
      <c r="B1489" s="5" t="s">
        <v>4256</v>
      </c>
      <c r="C1489" s="5" t="s">
        <v>1776</v>
      </c>
      <c r="D1489" s="5" t="s">
        <v>13</v>
      </c>
      <c r="E1489" s="6">
        <v>1062</v>
      </c>
      <c r="F1489" s="5" t="str">
        <f>HYPERLINK("https://www.google.com/maps/search/?api=1&amp;query=24.6192,46.5272", "View Map")</f>
        <v>View Map</v>
      </c>
    </row>
    <row r="1490" spans="1:6" x14ac:dyDescent="0.35">
      <c r="A1490" s="4" t="s">
        <v>6962</v>
      </c>
      <c r="B1490" s="5" t="s">
        <v>4258</v>
      </c>
      <c r="C1490" s="5" t="s">
        <v>1776</v>
      </c>
      <c r="D1490" s="5" t="s">
        <v>13</v>
      </c>
      <c r="E1490" s="6">
        <v>1061</v>
      </c>
      <c r="F1490" s="5" t="str">
        <f>HYPERLINK("https://www.google.com/maps/search/?api=1&amp;query=24.81731042,46.61145176", "View Map")</f>
        <v>View Map</v>
      </c>
    </row>
    <row r="1491" spans="1:6" x14ac:dyDescent="0.35">
      <c r="A1491" s="4" t="s">
        <v>6963</v>
      </c>
      <c r="B1491" s="5" t="s">
        <v>4260</v>
      </c>
      <c r="C1491" s="5" t="s">
        <v>1776</v>
      </c>
      <c r="D1491" s="5" t="s">
        <v>13</v>
      </c>
      <c r="E1491" s="6">
        <v>1061</v>
      </c>
      <c r="F1491" s="5" t="str">
        <f>HYPERLINK("https://www.google.com/maps/search/?api=1&amp;query=24.71750582,46.66675272", "View Map")</f>
        <v>View Map</v>
      </c>
    </row>
    <row r="1492" spans="1:6" x14ac:dyDescent="0.35">
      <c r="A1492" s="4" t="s">
        <v>5974</v>
      </c>
      <c r="B1492" s="5" t="s">
        <v>4261</v>
      </c>
      <c r="C1492" s="5" t="s">
        <v>1776</v>
      </c>
      <c r="D1492" s="5" t="s">
        <v>13</v>
      </c>
      <c r="E1492" s="6">
        <v>1060</v>
      </c>
      <c r="F1492" s="5" t="str">
        <f>HYPERLINK("https://www.google.com/maps/search/?api=1&amp;query=24.83222163,46.88963968", "View Map")</f>
        <v>View Map</v>
      </c>
    </row>
    <row r="1493" spans="1:6" x14ac:dyDescent="0.35">
      <c r="A1493" s="4" t="s">
        <v>5974</v>
      </c>
      <c r="B1493" s="5" t="s">
        <v>4262</v>
      </c>
      <c r="C1493" s="5" t="s">
        <v>1776</v>
      </c>
      <c r="D1493" s="5" t="s">
        <v>9</v>
      </c>
      <c r="E1493" s="6">
        <v>1059</v>
      </c>
      <c r="F1493" s="5" t="str">
        <f>HYPERLINK("https://www.google.com/maps/search/?api=1&amp;query=24.69704578,46.6245803", "View Map")</f>
        <v>View Map</v>
      </c>
    </row>
    <row r="1494" spans="1:6" x14ac:dyDescent="0.35">
      <c r="A1494" s="4" t="s">
        <v>6964</v>
      </c>
      <c r="B1494" s="5" t="s">
        <v>4264</v>
      </c>
      <c r="C1494" s="5" t="s">
        <v>1776</v>
      </c>
      <c r="D1494" s="5" t="s">
        <v>9</v>
      </c>
      <c r="E1494" s="6">
        <v>1059</v>
      </c>
      <c r="F1494" s="5" t="str">
        <f>HYPERLINK("https://www.google.com/maps/search/?api=1&amp;query=24.6325,46.7125", "View Map")</f>
        <v>View Map</v>
      </c>
    </row>
    <row r="1495" spans="1:6" x14ac:dyDescent="0.35">
      <c r="A1495" s="4" t="s">
        <v>6906</v>
      </c>
      <c r="B1495" s="5" t="s">
        <v>4265</v>
      </c>
      <c r="C1495" s="5" t="s">
        <v>1776</v>
      </c>
      <c r="D1495" s="5" t="s">
        <v>9</v>
      </c>
      <c r="E1495" s="6">
        <v>1058</v>
      </c>
      <c r="F1495" s="5" t="str">
        <f>HYPERLINK("https://www.google.com/maps/search/?api=1&amp;query=24.5773279,46.78669752", "View Map")</f>
        <v>View Map</v>
      </c>
    </row>
    <row r="1496" spans="1:6" x14ac:dyDescent="0.35">
      <c r="A1496" s="4" t="s">
        <v>5974</v>
      </c>
      <c r="B1496" s="5" t="s">
        <v>4266</v>
      </c>
      <c r="C1496" s="5" t="s">
        <v>1776</v>
      </c>
      <c r="D1496" s="5" t="s">
        <v>9</v>
      </c>
      <c r="E1496" s="6">
        <v>1058</v>
      </c>
      <c r="F1496" s="5" t="str">
        <f>HYPERLINK("https://www.google.com/maps/search/?api=1&amp;query=24.8856,46.6236", "View Map")</f>
        <v>View Map</v>
      </c>
    </row>
    <row r="1497" spans="1:6" x14ac:dyDescent="0.35">
      <c r="A1497" s="4" t="s">
        <v>6965</v>
      </c>
      <c r="B1497" s="5" t="s">
        <v>4268</v>
      </c>
      <c r="C1497" s="5" t="s">
        <v>1776</v>
      </c>
      <c r="D1497" s="5" t="s">
        <v>9</v>
      </c>
      <c r="E1497" s="6">
        <v>1058</v>
      </c>
      <c r="F1497" s="5" t="str">
        <f>HYPERLINK("https://www.google.com/maps/search/?api=1&amp;query=24.7720249,46.70346379", "View Map")</f>
        <v>View Map</v>
      </c>
    </row>
    <row r="1498" spans="1:6" x14ac:dyDescent="0.35">
      <c r="A1498" s="4" t="s">
        <v>6113</v>
      </c>
      <c r="B1498" s="5" t="s">
        <v>4269</v>
      </c>
      <c r="C1498" s="5" t="s">
        <v>1776</v>
      </c>
      <c r="D1498" s="5" t="s">
        <v>9</v>
      </c>
      <c r="E1498" s="6">
        <v>1058</v>
      </c>
      <c r="F1498" s="5" t="str">
        <f>HYPERLINK("https://www.google.com/maps/search/?api=1&amp;query=24.60020806,46.7691024", "View Map")</f>
        <v>View Map</v>
      </c>
    </row>
    <row r="1499" spans="1:6" x14ac:dyDescent="0.35">
      <c r="A1499" s="4" t="s">
        <v>5974</v>
      </c>
      <c r="B1499" s="5" t="s">
        <v>4270</v>
      </c>
      <c r="C1499" s="5" t="s">
        <v>1843</v>
      </c>
      <c r="D1499" s="5" t="s">
        <v>13</v>
      </c>
      <c r="E1499" s="6">
        <v>1057</v>
      </c>
      <c r="F1499" s="5" t="str">
        <f>HYPERLINK("https://www.google.com/maps/search/?api=1&amp;query=24.77969,46.56469", "View Map")</f>
        <v>View Map</v>
      </c>
    </row>
    <row r="1500" spans="1:6" x14ac:dyDescent="0.35">
      <c r="A1500" s="4" t="s">
        <v>6966</v>
      </c>
      <c r="B1500" s="5" t="s">
        <v>4272</v>
      </c>
      <c r="C1500" s="5" t="s">
        <v>1776</v>
      </c>
      <c r="D1500" s="5" t="s">
        <v>13</v>
      </c>
      <c r="E1500" s="6">
        <v>1057</v>
      </c>
      <c r="F1500" s="5" t="str">
        <f>HYPERLINK("https://www.google.com/maps/search/?api=1&amp;query=24.70416107,46.61735232", "View Map")</f>
        <v>View Map</v>
      </c>
    </row>
    <row r="1501" spans="1:6" x14ac:dyDescent="0.35">
      <c r="A1501" s="4" t="s">
        <v>6039</v>
      </c>
      <c r="B1501" s="5" t="s">
        <v>4273</v>
      </c>
      <c r="C1501" s="5" t="s">
        <v>1776</v>
      </c>
      <c r="D1501" s="5" t="s">
        <v>9</v>
      </c>
      <c r="E1501" s="6">
        <v>1057</v>
      </c>
      <c r="F1501" s="5" t="str">
        <f>HYPERLINK("https://www.google.com/maps/search/?api=1&amp;query=24.55673478,46.61292399", "View Map")</f>
        <v>View Map</v>
      </c>
    </row>
    <row r="1502" spans="1:6" x14ac:dyDescent="0.35">
      <c r="A1502" s="4" t="s">
        <v>5978</v>
      </c>
      <c r="B1502" s="5" t="s">
        <v>4274</v>
      </c>
      <c r="C1502" s="5" t="s">
        <v>1776</v>
      </c>
      <c r="D1502" s="5" t="s">
        <v>9</v>
      </c>
      <c r="E1502" s="6">
        <v>1057</v>
      </c>
      <c r="F1502" s="5" t="str">
        <f>HYPERLINK("https://www.google.com/maps/search/?api=1&amp;query=24.82796432,46.76651492", "View Map")</f>
        <v>View Map</v>
      </c>
    </row>
    <row r="1503" spans="1:6" x14ac:dyDescent="0.35">
      <c r="A1503" s="4" t="s">
        <v>6009</v>
      </c>
      <c r="B1503" s="5" t="s">
        <v>4275</v>
      </c>
      <c r="C1503" s="5" t="s">
        <v>1776</v>
      </c>
      <c r="D1503" s="5" t="s">
        <v>13</v>
      </c>
      <c r="E1503" s="6">
        <v>1057</v>
      </c>
      <c r="F1503" s="5" t="str">
        <f>HYPERLINK("https://www.google.com/maps/search/?api=1&amp;query=24.76075102,46.76860071", "View Map")</f>
        <v>View Map</v>
      </c>
    </row>
    <row r="1504" spans="1:6" x14ac:dyDescent="0.35">
      <c r="A1504" s="4" t="s">
        <v>6967</v>
      </c>
      <c r="B1504" s="5" t="s">
        <v>4277</v>
      </c>
      <c r="C1504" s="5" t="s">
        <v>1776</v>
      </c>
      <c r="D1504" s="5" t="s">
        <v>13</v>
      </c>
      <c r="E1504" s="6">
        <v>1056</v>
      </c>
      <c r="F1504" s="5" t="str">
        <f>HYPERLINK("https://www.google.com/maps/search/?api=1&amp;query=24.64139843,46.72323201", "View Map")</f>
        <v>View Map</v>
      </c>
    </row>
    <row r="1505" spans="1:6" x14ac:dyDescent="0.35">
      <c r="A1505" s="4" t="s">
        <v>6968</v>
      </c>
      <c r="B1505" s="5" t="s">
        <v>4279</v>
      </c>
      <c r="C1505" s="5" t="s">
        <v>1776</v>
      </c>
      <c r="D1505" s="5" t="s">
        <v>9</v>
      </c>
      <c r="E1505" s="6">
        <v>1055</v>
      </c>
      <c r="F1505" s="5" t="str">
        <f>HYPERLINK("https://www.google.com/maps/search/?api=1&amp;query=24.81540608,46.63750237", "View Map")</f>
        <v>View Map</v>
      </c>
    </row>
    <row r="1506" spans="1:6" x14ac:dyDescent="0.35">
      <c r="A1506" s="4" t="s">
        <v>6969</v>
      </c>
      <c r="B1506" s="5" t="s">
        <v>4281</v>
      </c>
      <c r="C1506" s="5" t="s">
        <v>1776</v>
      </c>
      <c r="D1506" s="5" t="s">
        <v>13</v>
      </c>
      <c r="E1506" s="6">
        <v>1055</v>
      </c>
      <c r="F1506" s="5" t="str">
        <f>HYPERLINK("https://www.google.com/maps/search/?api=1&amp;query=24.82374455,46.8053947", "View Map")</f>
        <v>View Map</v>
      </c>
    </row>
    <row r="1507" spans="1:6" x14ac:dyDescent="0.35">
      <c r="A1507" s="4" t="s">
        <v>6970</v>
      </c>
      <c r="B1507" s="5" t="s">
        <v>4283</v>
      </c>
      <c r="C1507" s="5" t="s">
        <v>1776</v>
      </c>
      <c r="D1507" s="5" t="s">
        <v>13</v>
      </c>
      <c r="E1507" s="6">
        <v>1054</v>
      </c>
      <c r="F1507" s="5" t="str">
        <f>HYPERLINK("https://www.google.com/maps/search/?api=1&amp;query=24.5803236,46.84041839", "View Map")</f>
        <v>View Map</v>
      </c>
    </row>
    <row r="1508" spans="1:6" x14ac:dyDescent="0.35">
      <c r="A1508" s="4" t="s">
        <v>6971</v>
      </c>
      <c r="B1508" s="5" t="s">
        <v>4285</v>
      </c>
      <c r="C1508" s="5" t="s">
        <v>1776</v>
      </c>
      <c r="D1508" s="5" t="s">
        <v>9</v>
      </c>
      <c r="E1508" s="6">
        <v>1053</v>
      </c>
      <c r="F1508" s="5" t="str">
        <f>HYPERLINK("https://www.google.com/maps/search/?api=1&amp;query=24.62607858,46.84918722", "View Map")</f>
        <v>View Map</v>
      </c>
    </row>
    <row r="1509" spans="1:6" x14ac:dyDescent="0.35">
      <c r="A1509" s="4" t="s">
        <v>5974</v>
      </c>
      <c r="B1509" s="5" t="s">
        <v>4286</v>
      </c>
      <c r="C1509" s="5" t="s">
        <v>1776</v>
      </c>
      <c r="D1509" s="5" t="s">
        <v>13</v>
      </c>
      <c r="E1509" s="6">
        <v>1052</v>
      </c>
      <c r="F1509" s="5" t="str">
        <f>HYPERLINK("https://www.google.com/maps/search/?api=1&amp;query=24.70948604,46.84672797", "View Map")</f>
        <v>View Map</v>
      </c>
    </row>
    <row r="1510" spans="1:6" x14ac:dyDescent="0.35">
      <c r="A1510" s="4" t="s">
        <v>6972</v>
      </c>
      <c r="B1510" s="5" t="s">
        <v>4288</v>
      </c>
      <c r="C1510" s="5" t="s">
        <v>1776</v>
      </c>
      <c r="D1510" s="5" t="s">
        <v>13</v>
      </c>
      <c r="E1510" s="6">
        <v>1051</v>
      </c>
      <c r="F1510" s="5" t="str">
        <f>HYPERLINK("https://www.google.com/maps/search/?api=1&amp;query=24.5558,46.5514", "View Map")</f>
        <v>View Map</v>
      </c>
    </row>
    <row r="1511" spans="1:6" x14ac:dyDescent="0.35">
      <c r="A1511" s="4" t="s">
        <v>6973</v>
      </c>
      <c r="B1511" s="5" t="s">
        <v>4290</v>
      </c>
      <c r="C1511" s="5" t="s">
        <v>1776</v>
      </c>
      <c r="D1511" s="5" t="s">
        <v>13</v>
      </c>
      <c r="E1511" s="6">
        <v>1051</v>
      </c>
      <c r="F1511" s="5" t="str">
        <f>HYPERLINK("https://www.google.com/maps/search/?api=1&amp;query=24.63484656,46.73278558", "View Map")</f>
        <v>View Map</v>
      </c>
    </row>
    <row r="1512" spans="1:6" x14ac:dyDescent="0.35">
      <c r="A1512" s="4" t="s">
        <v>6974</v>
      </c>
      <c r="B1512" s="5" t="s">
        <v>4292</v>
      </c>
      <c r="C1512" s="5" t="s">
        <v>1776</v>
      </c>
      <c r="D1512" s="5" t="s">
        <v>9</v>
      </c>
      <c r="E1512" s="6">
        <v>1049</v>
      </c>
      <c r="F1512" s="5" t="str">
        <f>HYPERLINK("https://www.google.com/maps/search/?api=1&amp;query=24.56685625,46.77121183", "View Map")</f>
        <v>View Map</v>
      </c>
    </row>
    <row r="1513" spans="1:6" x14ac:dyDescent="0.35">
      <c r="A1513" s="4" t="s">
        <v>6039</v>
      </c>
      <c r="B1513" s="5" t="s">
        <v>4293</v>
      </c>
      <c r="C1513" s="5" t="s">
        <v>1776</v>
      </c>
      <c r="D1513" s="5" t="s">
        <v>9</v>
      </c>
      <c r="E1513" s="6">
        <v>1049</v>
      </c>
      <c r="F1513" s="5" t="str">
        <f>HYPERLINK("https://www.google.com/maps/search/?api=1&amp;query=24.56172337,46.57817441", "View Map")</f>
        <v>View Map</v>
      </c>
    </row>
    <row r="1514" spans="1:6" x14ac:dyDescent="0.35">
      <c r="A1514" s="4" t="s">
        <v>6975</v>
      </c>
      <c r="B1514" s="5" t="s">
        <v>4295</v>
      </c>
      <c r="C1514" s="5" t="s">
        <v>1776</v>
      </c>
      <c r="D1514" s="5" t="s">
        <v>9</v>
      </c>
      <c r="E1514" s="6">
        <v>1048</v>
      </c>
      <c r="F1514" s="5" t="str">
        <f>HYPERLINK("https://www.google.com/maps/search/?api=1&amp;query=24.80278674,46.73232398", "View Map")</f>
        <v>View Map</v>
      </c>
    </row>
    <row r="1515" spans="1:6" x14ac:dyDescent="0.35">
      <c r="A1515" s="4" t="s">
        <v>6976</v>
      </c>
      <c r="B1515" s="5" t="s">
        <v>4297</v>
      </c>
      <c r="C1515" s="5" t="s">
        <v>1776</v>
      </c>
      <c r="D1515" s="5" t="s">
        <v>9</v>
      </c>
      <c r="E1515" s="6">
        <v>1048</v>
      </c>
      <c r="F1515" s="5" t="str">
        <f>HYPERLINK("https://www.google.com/maps/search/?api=1&amp;query=24.6637176,46.80484601", "View Map")</f>
        <v>View Map</v>
      </c>
    </row>
    <row r="1516" spans="1:6" x14ac:dyDescent="0.35">
      <c r="A1516" s="4" t="s">
        <v>6977</v>
      </c>
      <c r="B1516" s="5" t="s">
        <v>4299</v>
      </c>
      <c r="C1516" s="5" t="s">
        <v>1776</v>
      </c>
      <c r="D1516" s="5" t="s">
        <v>13</v>
      </c>
      <c r="E1516" s="6">
        <v>1047</v>
      </c>
      <c r="F1516" s="5" t="str">
        <f>HYPERLINK("https://www.google.com/maps/search/?api=1&amp;query=24.75299068,46.80209584", "View Map")</f>
        <v>View Map</v>
      </c>
    </row>
    <row r="1517" spans="1:6" x14ac:dyDescent="0.35">
      <c r="A1517" s="4" t="s">
        <v>5974</v>
      </c>
      <c r="B1517" s="5" t="s">
        <v>4300</v>
      </c>
      <c r="C1517" s="5" t="s">
        <v>1776</v>
      </c>
      <c r="D1517" s="5" t="s">
        <v>13</v>
      </c>
      <c r="E1517" s="6">
        <v>1047</v>
      </c>
      <c r="F1517" s="5" t="str">
        <f>HYPERLINK("https://www.google.com/maps/search/?api=1&amp;query=24.83315314,46.78689177", "View Map")</f>
        <v>View Map</v>
      </c>
    </row>
    <row r="1518" spans="1:6" x14ac:dyDescent="0.35">
      <c r="A1518" s="4" t="s">
        <v>6978</v>
      </c>
      <c r="B1518" s="5" t="s">
        <v>4302</v>
      </c>
      <c r="C1518" s="5" t="s">
        <v>1776</v>
      </c>
      <c r="D1518" s="5" t="s">
        <v>13</v>
      </c>
      <c r="E1518" s="6">
        <v>1047</v>
      </c>
      <c r="F1518" s="5" t="str">
        <f>HYPERLINK("https://www.google.com/maps/search/?api=1&amp;query=24.82214281,46.63325997", "View Map")</f>
        <v>View Map</v>
      </c>
    </row>
    <row r="1519" spans="1:6" x14ac:dyDescent="0.35">
      <c r="A1519" s="4" t="s">
        <v>6979</v>
      </c>
      <c r="B1519" s="5" t="s">
        <v>4304</v>
      </c>
      <c r="C1519" s="5" t="s">
        <v>1776</v>
      </c>
      <c r="D1519" s="5" t="s">
        <v>9</v>
      </c>
      <c r="E1519" s="6">
        <v>1047</v>
      </c>
      <c r="F1519" s="5" t="str">
        <f>HYPERLINK("https://www.google.com/maps/search/?api=1&amp;query=24.58993496,46.78168271", "View Map")</f>
        <v>View Map</v>
      </c>
    </row>
    <row r="1520" spans="1:6" x14ac:dyDescent="0.35">
      <c r="A1520" s="4" t="s">
        <v>6980</v>
      </c>
      <c r="B1520" s="5" t="s">
        <v>4306</v>
      </c>
      <c r="C1520" s="5" t="s">
        <v>1776</v>
      </c>
      <c r="D1520" s="5" t="s">
        <v>9</v>
      </c>
      <c r="E1520" s="6">
        <v>1046</v>
      </c>
      <c r="F1520" s="5" t="str">
        <f>HYPERLINK("https://www.google.com/maps/search/?api=1&amp;query=24.74905368,46.62230801", "View Map")</f>
        <v>View Map</v>
      </c>
    </row>
    <row r="1521" spans="1:6" x14ac:dyDescent="0.35">
      <c r="A1521" s="4" t="s">
        <v>6981</v>
      </c>
      <c r="B1521" s="5" t="s">
        <v>4308</v>
      </c>
      <c r="C1521" s="5" t="s">
        <v>1776</v>
      </c>
      <c r="D1521" s="5" t="s">
        <v>9</v>
      </c>
      <c r="E1521" s="6">
        <v>1046</v>
      </c>
      <c r="F1521" s="5" t="str">
        <f>HYPERLINK("https://www.google.com/maps/search/?api=1&amp;query=24.76015784,46.61615019", "View Map")</f>
        <v>View Map</v>
      </c>
    </row>
    <row r="1522" spans="1:6" x14ac:dyDescent="0.35">
      <c r="A1522" s="4" t="s">
        <v>6982</v>
      </c>
      <c r="B1522" s="5" t="s">
        <v>4310</v>
      </c>
      <c r="C1522" s="5" t="s">
        <v>1776</v>
      </c>
      <c r="D1522" s="5" t="s">
        <v>9</v>
      </c>
      <c r="E1522" s="6">
        <v>1043</v>
      </c>
      <c r="F1522" s="5" t="str">
        <f>HYPERLINK("https://www.google.com/maps/search/?api=1&amp;query=24.60208314,46.76333598", "View Map")</f>
        <v>View Map</v>
      </c>
    </row>
    <row r="1523" spans="1:6" x14ac:dyDescent="0.35">
      <c r="A1523" s="4" t="s">
        <v>6983</v>
      </c>
      <c r="B1523" s="5" t="s">
        <v>4312</v>
      </c>
      <c r="C1523" s="5" t="s">
        <v>1776</v>
      </c>
      <c r="D1523" s="5" t="s">
        <v>9</v>
      </c>
      <c r="E1523" s="6">
        <v>1038</v>
      </c>
      <c r="F1523" s="5" t="str">
        <f>HYPERLINK("https://www.google.com/maps/search/?api=1&amp;query=24.6637176,46.80484601", "View Map")</f>
        <v>View Map</v>
      </c>
    </row>
    <row r="1524" spans="1:6" x14ac:dyDescent="0.35">
      <c r="A1524" s="4" t="s">
        <v>6039</v>
      </c>
      <c r="B1524" s="5" t="s">
        <v>4313</v>
      </c>
      <c r="C1524" s="5" t="s">
        <v>1776</v>
      </c>
      <c r="D1524" s="5" t="s">
        <v>9</v>
      </c>
      <c r="E1524" s="6">
        <v>1038</v>
      </c>
      <c r="F1524" s="5" t="str">
        <f>HYPERLINK("https://www.google.com/maps/search/?api=1&amp;query=24.5603,46.5975", "View Map")</f>
        <v>View Map</v>
      </c>
    </row>
    <row r="1525" spans="1:6" x14ac:dyDescent="0.35">
      <c r="A1525" s="4" t="s">
        <v>6984</v>
      </c>
      <c r="B1525" s="5" t="s">
        <v>4315</v>
      </c>
      <c r="C1525" s="5" t="s">
        <v>1776</v>
      </c>
      <c r="D1525" s="5" t="s">
        <v>13</v>
      </c>
      <c r="E1525" s="6">
        <v>1037</v>
      </c>
      <c r="F1525" s="5" t="str">
        <f>HYPERLINK("https://www.google.com/maps/search/?api=1&amp;query=24.75131436,46.59576032", "View Map")</f>
        <v>View Map</v>
      </c>
    </row>
    <row r="1526" spans="1:6" x14ac:dyDescent="0.35">
      <c r="A1526" s="4" t="s">
        <v>5974</v>
      </c>
      <c r="B1526" s="5" t="s">
        <v>4316</v>
      </c>
      <c r="C1526" s="5" t="s">
        <v>1843</v>
      </c>
      <c r="D1526" s="5" t="s">
        <v>9</v>
      </c>
      <c r="E1526" s="6">
        <v>1036</v>
      </c>
      <c r="F1526" s="5" t="str">
        <f>HYPERLINK("https://www.google.com/maps/search/?api=1&amp;query=24.8227849,46.56191974", "View Map")</f>
        <v>View Map</v>
      </c>
    </row>
    <row r="1527" spans="1:6" x14ac:dyDescent="0.35">
      <c r="A1527" s="4" t="s">
        <v>5974</v>
      </c>
      <c r="B1527" s="5" t="s">
        <v>4317</v>
      </c>
      <c r="C1527" s="5" t="s">
        <v>1776</v>
      </c>
      <c r="D1527" s="5" t="s">
        <v>13</v>
      </c>
      <c r="E1527" s="6">
        <v>1035</v>
      </c>
      <c r="F1527" s="5" t="str">
        <f>HYPERLINK("https://www.google.com/maps/search/?api=1&amp;query=24.84495221,46.81090646", "View Map")</f>
        <v>View Map</v>
      </c>
    </row>
    <row r="1528" spans="1:6" x14ac:dyDescent="0.35">
      <c r="A1528" s="4" t="s">
        <v>6985</v>
      </c>
      <c r="B1528" s="5" t="s">
        <v>4319</v>
      </c>
      <c r="C1528" s="5" t="s">
        <v>1776</v>
      </c>
      <c r="D1528" s="5" t="s">
        <v>13</v>
      </c>
      <c r="E1528" s="6">
        <v>1035</v>
      </c>
      <c r="F1528" s="5" t="str">
        <f>HYPERLINK("https://www.google.com/maps/search/?api=1&amp;query=24.62418346,46.74383133", "View Map")</f>
        <v>View Map</v>
      </c>
    </row>
    <row r="1529" spans="1:6" x14ac:dyDescent="0.35">
      <c r="A1529" s="4" t="s">
        <v>6986</v>
      </c>
      <c r="B1529" s="5" t="s">
        <v>4321</v>
      </c>
      <c r="C1529" s="5" t="s">
        <v>1776</v>
      </c>
      <c r="D1529" s="5" t="s">
        <v>9</v>
      </c>
      <c r="E1529" s="6">
        <v>1034</v>
      </c>
      <c r="F1529" s="5" t="str">
        <f>HYPERLINK("https://www.google.com/maps/search/?api=1&amp;query=24.67619409,46.7902534", "View Map")</f>
        <v>View Map</v>
      </c>
    </row>
    <row r="1530" spans="1:6" x14ac:dyDescent="0.35">
      <c r="A1530" s="4" t="s">
        <v>6987</v>
      </c>
      <c r="B1530" s="5" t="s">
        <v>4323</v>
      </c>
      <c r="C1530" s="5" t="s">
        <v>1776</v>
      </c>
      <c r="D1530" s="5" t="s">
        <v>9</v>
      </c>
      <c r="E1530" s="6">
        <v>1034</v>
      </c>
      <c r="F1530" s="5" t="str">
        <f>HYPERLINK("https://www.google.com/maps/search/?api=1&amp;query=24.65014502,46.55361744", "View Map")</f>
        <v>View Map</v>
      </c>
    </row>
    <row r="1531" spans="1:6" x14ac:dyDescent="0.35">
      <c r="A1531" s="4" t="s">
        <v>6988</v>
      </c>
      <c r="B1531" s="5" t="s">
        <v>4325</v>
      </c>
      <c r="C1531" s="5" t="s">
        <v>1776</v>
      </c>
      <c r="D1531" s="5" t="s">
        <v>13</v>
      </c>
      <c r="E1531" s="6">
        <v>1034</v>
      </c>
      <c r="F1531" s="5" t="str">
        <f>HYPERLINK("https://www.google.com/maps/search/?api=1&amp;query=24.7204502,46.84371582", "View Map")</f>
        <v>View Map</v>
      </c>
    </row>
    <row r="1532" spans="1:6" x14ac:dyDescent="0.35">
      <c r="A1532" s="4" t="s">
        <v>6989</v>
      </c>
      <c r="B1532" s="5" t="s">
        <v>4327</v>
      </c>
      <c r="C1532" s="5" t="s">
        <v>1776</v>
      </c>
      <c r="D1532" s="5" t="s">
        <v>13</v>
      </c>
      <c r="E1532" s="6">
        <v>1033</v>
      </c>
      <c r="F1532" s="5" t="str">
        <f>HYPERLINK("https://www.google.com/maps/search/?api=1&amp;query=24.68418988,46.83977357", "View Map")</f>
        <v>View Map</v>
      </c>
    </row>
    <row r="1533" spans="1:6" x14ac:dyDescent="0.35">
      <c r="A1533" s="4" t="s">
        <v>6990</v>
      </c>
      <c r="B1533" s="5" t="s">
        <v>4329</v>
      </c>
      <c r="C1533" s="5" t="s">
        <v>1776</v>
      </c>
      <c r="D1533" s="5" t="s">
        <v>9</v>
      </c>
      <c r="E1533" s="6">
        <v>1032</v>
      </c>
      <c r="F1533" s="5" t="str">
        <f>HYPERLINK("https://www.google.com/maps/search/?api=1&amp;query=24.82671916,46.65332571", "View Map")</f>
        <v>View Map</v>
      </c>
    </row>
    <row r="1534" spans="1:6" x14ac:dyDescent="0.35">
      <c r="A1534" s="4" t="s">
        <v>6991</v>
      </c>
      <c r="B1534" s="5" t="s">
        <v>4331</v>
      </c>
      <c r="C1534" s="5" t="s">
        <v>1776</v>
      </c>
      <c r="D1534" s="5" t="s">
        <v>9</v>
      </c>
      <c r="E1534" s="6">
        <v>1032</v>
      </c>
      <c r="F1534" s="5" t="str">
        <f>HYPERLINK("https://www.google.com/maps/search/?api=1&amp;query=24.57908343,46.59316279", "View Map")</f>
        <v>View Map</v>
      </c>
    </row>
    <row r="1535" spans="1:6" x14ac:dyDescent="0.35">
      <c r="A1535" s="4" t="s">
        <v>5974</v>
      </c>
      <c r="B1535" s="5" t="s">
        <v>4332</v>
      </c>
      <c r="C1535" s="5" t="s">
        <v>1776</v>
      </c>
      <c r="D1535" s="5" t="s">
        <v>9</v>
      </c>
      <c r="E1535" s="6">
        <v>1031</v>
      </c>
      <c r="F1535" s="5" t="str">
        <f>HYPERLINK("https://www.google.com/maps/search/?api=1&amp;query=24.82068267,46.80123932", "View Map")</f>
        <v>View Map</v>
      </c>
    </row>
    <row r="1536" spans="1:6" x14ac:dyDescent="0.35">
      <c r="A1536" s="4" t="s">
        <v>6992</v>
      </c>
      <c r="B1536" s="5" t="s">
        <v>4334</v>
      </c>
      <c r="C1536" s="5" t="s">
        <v>1776</v>
      </c>
      <c r="D1536" s="5" t="s">
        <v>9</v>
      </c>
      <c r="E1536" s="6">
        <v>1031</v>
      </c>
      <c r="F1536" s="5" t="str">
        <f>HYPERLINK("https://www.google.com/maps/search/?api=1&amp;query=24.76929878,46.83061247", "View Map")</f>
        <v>View Map</v>
      </c>
    </row>
    <row r="1537" spans="1:6" x14ac:dyDescent="0.35">
      <c r="A1537" s="4" t="s">
        <v>6993</v>
      </c>
      <c r="B1537" s="5" t="s">
        <v>4336</v>
      </c>
      <c r="C1537" s="5" t="s">
        <v>1776</v>
      </c>
      <c r="D1537" s="5" t="s">
        <v>13</v>
      </c>
      <c r="E1537" s="6">
        <v>1030</v>
      </c>
      <c r="F1537" s="5" t="str">
        <f>HYPERLINK("https://www.google.com/maps/search/?api=1&amp;query=24.69021976,46.60102555", "View Map")</f>
        <v>View Map</v>
      </c>
    </row>
    <row r="1538" spans="1:6" x14ac:dyDescent="0.35">
      <c r="A1538" s="4" t="s">
        <v>6994</v>
      </c>
      <c r="B1538" s="5" t="s">
        <v>4338</v>
      </c>
      <c r="C1538" s="5" t="s">
        <v>1776</v>
      </c>
      <c r="D1538" s="5" t="s">
        <v>13</v>
      </c>
      <c r="E1538" s="6">
        <v>1030</v>
      </c>
      <c r="F1538" s="5" t="str">
        <f>HYPERLINK("https://www.google.com/maps/search/?api=1&amp;query=24.69591433,46.74797927", "View Map")</f>
        <v>View Map</v>
      </c>
    </row>
    <row r="1539" spans="1:6" x14ac:dyDescent="0.35">
      <c r="A1539" s="4" t="s">
        <v>5972</v>
      </c>
      <c r="B1539" s="5" t="s">
        <v>4339</v>
      </c>
      <c r="C1539" s="5" t="s">
        <v>1776</v>
      </c>
      <c r="D1539" s="5" t="s">
        <v>9</v>
      </c>
      <c r="E1539" s="6">
        <v>1029</v>
      </c>
      <c r="F1539" s="5" t="str">
        <f>HYPERLINK("https://www.google.com/maps/search/?api=1&amp;query=24.8443878,46.66892788", "View Map")</f>
        <v>View Map</v>
      </c>
    </row>
    <row r="1540" spans="1:6" x14ac:dyDescent="0.35">
      <c r="A1540" s="4" t="s">
        <v>6270</v>
      </c>
      <c r="B1540" s="5" t="s">
        <v>4340</v>
      </c>
      <c r="C1540" s="5" t="s">
        <v>1776</v>
      </c>
      <c r="D1540" s="5" t="s">
        <v>9</v>
      </c>
      <c r="E1540" s="6">
        <v>1028</v>
      </c>
      <c r="F1540" s="5" t="str">
        <f>HYPERLINK("https://www.google.com/maps/search/?api=1&amp;query=24.84124936,46.8070651", "View Map")</f>
        <v>View Map</v>
      </c>
    </row>
    <row r="1541" spans="1:6" x14ac:dyDescent="0.35">
      <c r="A1541" s="4" t="s">
        <v>5974</v>
      </c>
      <c r="B1541" s="5" t="s">
        <v>4341</v>
      </c>
      <c r="C1541" s="5" t="s">
        <v>1776</v>
      </c>
      <c r="D1541" s="5" t="s">
        <v>9</v>
      </c>
      <c r="E1541" s="6">
        <v>1028</v>
      </c>
      <c r="F1541" s="5" t="str">
        <f>HYPERLINK("https://www.google.com/maps/search/?api=1&amp;query=24.83664801,46.66750039", "View Map")</f>
        <v>View Map</v>
      </c>
    </row>
    <row r="1542" spans="1:6" x14ac:dyDescent="0.35">
      <c r="A1542" s="4" t="s">
        <v>6995</v>
      </c>
      <c r="B1542" s="5" t="s">
        <v>4343</v>
      </c>
      <c r="C1542" s="5" t="s">
        <v>1776</v>
      </c>
      <c r="D1542" s="5" t="s">
        <v>13</v>
      </c>
      <c r="E1542" s="6">
        <v>1028</v>
      </c>
      <c r="F1542" s="5" t="str">
        <f>HYPERLINK("https://www.google.com/maps/search/?api=1&amp;query=24.77883873,46.62993097", "View Map")</f>
        <v>View Map</v>
      </c>
    </row>
    <row r="1543" spans="1:6" x14ac:dyDescent="0.35">
      <c r="A1543" s="4" t="s">
        <v>5974</v>
      </c>
      <c r="B1543" s="5" t="s">
        <v>4344</v>
      </c>
      <c r="C1543" s="5" t="s">
        <v>1776</v>
      </c>
      <c r="D1543" s="5" t="s">
        <v>9</v>
      </c>
      <c r="E1543" s="6">
        <v>1024</v>
      </c>
      <c r="F1543" s="5" t="str">
        <f>HYPERLINK("https://www.google.com/maps/search/?api=1&amp;query=24.64422334,46.71817887", "View Map")</f>
        <v>View Map</v>
      </c>
    </row>
    <row r="1544" spans="1:6" x14ac:dyDescent="0.35">
      <c r="A1544" s="4" t="s">
        <v>5974</v>
      </c>
      <c r="B1544" s="5" t="s">
        <v>4345</v>
      </c>
      <c r="C1544" s="5" t="s">
        <v>1776</v>
      </c>
      <c r="D1544" s="5" t="s">
        <v>13</v>
      </c>
      <c r="E1544" s="6">
        <v>1021</v>
      </c>
      <c r="F1544" s="5" t="str">
        <f>HYPERLINK("https://www.google.com/maps/search/?api=1&amp;query=24.80967674,46.75223609", "View Map")</f>
        <v>View Map</v>
      </c>
    </row>
    <row r="1545" spans="1:6" x14ac:dyDescent="0.35">
      <c r="A1545" s="4" t="s">
        <v>6996</v>
      </c>
      <c r="B1545" s="5" t="s">
        <v>4347</v>
      </c>
      <c r="C1545" s="5" t="s">
        <v>1776</v>
      </c>
      <c r="D1545" s="5" t="s">
        <v>9</v>
      </c>
      <c r="E1545" s="6">
        <v>1021</v>
      </c>
      <c r="F1545" s="5" t="str">
        <f>HYPERLINK("https://www.google.com/maps/search/?api=1&amp;query=24.77679296,46.76421406", "View Map")</f>
        <v>View Map</v>
      </c>
    </row>
    <row r="1546" spans="1:6" x14ac:dyDescent="0.35">
      <c r="A1546" s="4" t="s">
        <v>5974</v>
      </c>
      <c r="B1546" s="5" t="s">
        <v>4348</v>
      </c>
      <c r="C1546" s="5" t="s">
        <v>1776</v>
      </c>
      <c r="D1546" s="5" t="s">
        <v>13</v>
      </c>
      <c r="E1546" s="6">
        <v>1021</v>
      </c>
      <c r="F1546" s="5" t="str">
        <f>HYPERLINK("https://www.google.com/maps/search/?api=1&amp;query=24.60699733,46.52597876", "View Map")</f>
        <v>View Map</v>
      </c>
    </row>
    <row r="1547" spans="1:6" x14ac:dyDescent="0.35">
      <c r="A1547" s="4" t="s">
        <v>6627</v>
      </c>
      <c r="B1547" s="5" t="s">
        <v>4349</v>
      </c>
      <c r="C1547" s="5" t="s">
        <v>1776</v>
      </c>
      <c r="D1547" s="5" t="s">
        <v>13</v>
      </c>
      <c r="E1547" s="6">
        <v>1021</v>
      </c>
      <c r="F1547" s="5" t="str">
        <f>HYPERLINK("https://www.google.com/maps/search/?api=1&amp;query=24.69406624,46.79645886", "View Map")</f>
        <v>View Map</v>
      </c>
    </row>
    <row r="1548" spans="1:6" x14ac:dyDescent="0.35">
      <c r="A1548" s="4" t="s">
        <v>6418</v>
      </c>
      <c r="B1548" s="5" t="s">
        <v>4350</v>
      </c>
      <c r="C1548" s="5" t="s">
        <v>1776</v>
      </c>
      <c r="D1548" s="5" t="s">
        <v>9</v>
      </c>
      <c r="E1548" s="6">
        <v>1020</v>
      </c>
      <c r="F1548" s="5" t="str">
        <f>HYPERLINK("https://www.google.com/maps/search/?api=1&amp;query=24.64885868,46.80072088", "View Map")</f>
        <v>View Map</v>
      </c>
    </row>
    <row r="1549" spans="1:6" x14ac:dyDescent="0.35">
      <c r="A1549" s="4" t="s">
        <v>6039</v>
      </c>
      <c r="B1549" s="5" t="s">
        <v>4351</v>
      </c>
      <c r="C1549" s="5" t="s">
        <v>1776</v>
      </c>
      <c r="D1549" s="5" t="s">
        <v>9</v>
      </c>
      <c r="E1549" s="6">
        <v>1018</v>
      </c>
      <c r="F1549" s="5" t="str">
        <f>HYPERLINK("https://www.google.com/maps/search/?api=1&amp;query=24.61499848,46.65565514", "View Map")</f>
        <v>View Map</v>
      </c>
    </row>
    <row r="1550" spans="1:6" x14ac:dyDescent="0.35">
      <c r="A1550" s="4" t="s">
        <v>6997</v>
      </c>
      <c r="B1550" s="5" t="s">
        <v>4353</v>
      </c>
      <c r="C1550" s="5" t="s">
        <v>1776</v>
      </c>
      <c r="D1550" s="5" t="s">
        <v>13</v>
      </c>
      <c r="E1550" s="6">
        <v>1017</v>
      </c>
      <c r="F1550" s="5" t="str">
        <f>HYPERLINK("https://www.google.com/maps/search/?api=1&amp;query=24.71571067,46.82345801", "View Map")</f>
        <v>View Map</v>
      </c>
    </row>
    <row r="1551" spans="1:6" x14ac:dyDescent="0.35">
      <c r="A1551" s="4" t="s">
        <v>6998</v>
      </c>
      <c r="B1551" s="5" t="s">
        <v>4355</v>
      </c>
      <c r="C1551" s="5" t="s">
        <v>1776</v>
      </c>
      <c r="D1551" s="5" t="s">
        <v>9</v>
      </c>
      <c r="E1551" s="6">
        <v>1017</v>
      </c>
      <c r="F1551" s="5" t="str">
        <f>HYPERLINK("https://www.google.com/maps/search/?api=1&amp;query=24.58369751,46.53002834", "View Map")</f>
        <v>View Map</v>
      </c>
    </row>
    <row r="1552" spans="1:6" x14ac:dyDescent="0.35">
      <c r="A1552" s="4" t="s">
        <v>6999</v>
      </c>
      <c r="B1552" s="5" t="s">
        <v>4357</v>
      </c>
      <c r="C1552" s="5" t="s">
        <v>1776</v>
      </c>
      <c r="D1552" s="5" t="s">
        <v>13</v>
      </c>
      <c r="E1552" s="6">
        <v>1017</v>
      </c>
      <c r="F1552" s="5" t="str">
        <f>HYPERLINK("https://www.google.com/maps/search/?api=1&amp;query=24.75081973,46.84537714", "View Map")</f>
        <v>View Map</v>
      </c>
    </row>
    <row r="1553" spans="1:6" x14ac:dyDescent="0.35">
      <c r="A1553" s="4" t="s">
        <v>7000</v>
      </c>
      <c r="B1553" s="5" t="s">
        <v>4359</v>
      </c>
      <c r="C1553" s="5" t="s">
        <v>1776</v>
      </c>
      <c r="D1553" s="5" t="s">
        <v>9</v>
      </c>
      <c r="E1553" s="6">
        <v>1017</v>
      </c>
      <c r="F1553" s="5" t="str">
        <f>HYPERLINK("https://www.google.com/maps/search/?api=1&amp;query=24.84015919,46.80501704", "View Map")</f>
        <v>View Map</v>
      </c>
    </row>
    <row r="1554" spans="1:6" x14ac:dyDescent="0.35">
      <c r="A1554" s="4" t="s">
        <v>7001</v>
      </c>
      <c r="B1554" s="5" t="s">
        <v>4361</v>
      </c>
      <c r="C1554" s="5" t="s">
        <v>1776</v>
      </c>
      <c r="D1554" s="5" t="s">
        <v>9</v>
      </c>
      <c r="E1554" s="6">
        <v>1016</v>
      </c>
      <c r="F1554" s="5" t="str">
        <f>HYPERLINK("https://www.google.com/maps/search/?api=1&amp;query=24.6318401,46.54951442", "View Map")</f>
        <v>View Map</v>
      </c>
    </row>
    <row r="1555" spans="1:6" x14ac:dyDescent="0.35">
      <c r="A1555" s="4" t="s">
        <v>5972</v>
      </c>
      <c r="B1555" s="5" t="s">
        <v>4362</v>
      </c>
      <c r="C1555" s="5" t="s">
        <v>1776</v>
      </c>
      <c r="D1555" s="5" t="s">
        <v>13</v>
      </c>
      <c r="E1555" s="6">
        <v>1014</v>
      </c>
      <c r="F1555" s="5" t="str">
        <f>HYPERLINK("https://www.google.com/maps/search/?api=1&amp;query=24.59180147,46.76817156", "View Map")</f>
        <v>View Map</v>
      </c>
    </row>
    <row r="1556" spans="1:6" x14ac:dyDescent="0.35">
      <c r="A1556" s="4" t="s">
        <v>7002</v>
      </c>
      <c r="B1556" s="5" t="s">
        <v>4364</v>
      </c>
      <c r="C1556" s="5" t="s">
        <v>1776</v>
      </c>
      <c r="D1556" s="5" t="s">
        <v>13</v>
      </c>
      <c r="E1556" s="6">
        <v>1013</v>
      </c>
      <c r="F1556" s="5" t="str">
        <f>HYPERLINK("https://www.google.com/maps/search/?api=1&amp;query=24.79935376,46.79059894", "View Map")</f>
        <v>View Map</v>
      </c>
    </row>
    <row r="1557" spans="1:6" x14ac:dyDescent="0.35">
      <c r="A1557" s="4" t="s">
        <v>6797</v>
      </c>
      <c r="B1557" s="5" t="s">
        <v>4365</v>
      </c>
      <c r="C1557" s="5" t="s">
        <v>1776</v>
      </c>
      <c r="D1557" s="5" t="s">
        <v>13</v>
      </c>
      <c r="E1557" s="6">
        <v>1012</v>
      </c>
      <c r="F1557" s="5" t="str">
        <f>HYPERLINK("https://www.google.com/maps/search/?api=1&amp;query=24.8117612,46.68612283", "View Map")</f>
        <v>View Map</v>
      </c>
    </row>
    <row r="1558" spans="1:6" x14ac:dyDescent="0.35">
      <c r="A1558" s="4" t="s">
        <v>7003</v>
      </c>
      <c r="B1558" s="5" t="s">
        <v>4367</v>
      </c>
      <c r="C1558" s="5" t="s">
        <v>1776</v>
      </c>
      <c r="D1558" s="5" t="s">
        <v>9</v>
      </c>
      <c r="E1558" s="6">
        <v>1011</v>
      </c>
      <c r="F1558" s="5" t="str">
        <f>HYPERLINK("https://www.google.com/maps/search/?api=1&amp;query=24.77048453,46.76972831", "View Map")</f>
        <v>View Map</v>
      </c>
    </row>
    <row r="1559" spans="1:6" x14ac:dyDescent="0.35">
      <c r="A1559" s="4" t="s">
        <v>7004</v>
      </c>
      <c r="B1559" s="5" t="s">
        <v>4369</v>
      </c>
      <c r="C1559" s="5" t="s">
        <v>1776</v>
      </c>
      <c r="D1559" s="5" t="s">
        <v>318</v>
      </c>
      <c r="E1559" s="6">
        <v>1010</v>
      </c>
      <c r="F1559" s="5" t="str">
        <f>HYPERLINK("https://www.google.com/maps/search/?api=1&amp;query=24.70036,46.65296", "View Map")</f>
        <v>View Map</v>
      </c>
    </row>
    <row r="1560" spans="1:6" x14ac:dyDescent="0.35">
      <c r="A1560" s="4" t="s">
        <v>7005</v>
      </c>
      <c r="B1560" s="5" t="s">
        <v>4371</v>
      </c>
      <c r="C1560" s="5" t="s">
        <v>1776</v>
      </c>
      <c r="D1560" s="5" t="s">
        <v>9</v>
      </c>
      <c r="E1560" s="6">
        <v>1010</v>
      </c>
      <c r="F1560" s="5" t="str">
        <f>HYPERLINK("https://www.google.com/maps/search/?api=1&amp;query=24.54825086,46.66671335", "View Map")</f>
        <v>View Map</v>
      </c>
    </row>
    <row r="1561" spans="1:6" x14ac:dyDescent="0.35">
      <c r="A1561" s="4" t="s">
        <v>5974</v>
      </c>
      <c r="B1561" s="5" t="s">
        <v>4372</v>
      </c>
      <c r="C1561" s="5" t="s">
        <v>1776</v>
      </c>
      <c r="D1561" s="5" t="s">
        <v>9</v>
      </c>
      <c r="E1561" s="6">
        <v>1008</v>
      </c>
      <c r="F1561" s="5" t="str">
        <f>HYPERLINK("https://www.google.com/maps/search/?api=1&amp;query=24.864137,46.625524", "View Map")</f>
        <v>View Map</v>
      </c>
    </row>
    <row r="1562" spans="1:6" x14ac:dyDescent="0.35">
      <c r="A1562" s="4" t="s">
        <v>7006</v>
      </c>
      <c r="B1562" s="5" t="s">
        <v>4374</v>
      </c>
      <c r="C1562" s="5" t="s">
        <v>1776</v>
      </c>
      <c r="D1562" s="5" t="s">
        <v>13</v>
      </c>
      <c r="E1562" s="6">
        <v>1008</v>
      </c>
      <c r="F1562" s="5" t="str">
        <f>HYPERLINK("https://www.google.com/maps/search/?api=1&amp;query=24.79528635,46.69282761", "View Map")</f>
        <v>View Map</v>
      </c>
    </row>
    <row r="1563" spans="1:6" x14ac:dyDescent="0.35">
      <c r="A1563" s="4" t="s">
        <v>5974</v>
      </c>
      <c r="B1563" s="5" t="s">
        <v>4375</v>
      </c>
      <c r="C1563" s="5" t="s">
        <v>1776</v>
      </c>
      <c r="D1563" s="5" t="s">
        <v>9</v>
      </c>
      <c r="E1563" s="6">
        <v>1007</v>
      </c>
      <c r="F1563" s="5" t="str">
        <f>HYPERLINK("https://www.google.com/maps/search/?api=1&amp;query=24.82558304,46.65672149", "View Map")</f>
        <v>View Map</v>
      </c>
    </row>
    <row r="1564" spans="1:6" x14ac:dyDescent="0.35">
      <c r="A1564" s="4" t="s">
        <v>7007</v>
      </c>
      <c r="B1564" s="5" t="s">
        <v>4377</v>
      </c>
      <c r="C1564" s="5" t="s">
        <v>1776</v>
      </c>
      <c r="D1564" s="5" t="s">
        <v>9</v>
      </c>
      <c r="E1564" s="6">
        <v>1006</v>
      </c>
      <c r="F1564" s="5" t="str">
        <f>HYPERLINK("https://www.google.com/maps/search/?api=1&amp;query=24.57560634,46.68328169", "View Map")</f>
        <v>View Map</v>
      </c>
    </row>
    <row r="1565" spans="1:6" x14ac:dyDescent="0.35">
      <c r="A1565" s="4" t="s">
        <v>7008</v>
      </c>
      <c r="B1565" s="5" t="s">
        <v>4379</v>
      </c>
      <c r="C1565" s="5" t="s">
        <v>1776</v>
      </c>
      <c r="D1565" s="5" t="s">
        <v>9</v>
      </c>
      <c r="E1565" s="6">
        <v>1004</v>
      </c>
      <c r="F1565" s="5" t="str">
        <f>HYPERLINK("https://www.google.com/maps/search/?api=1&amp;query=24.64226278,46.54672361", "View Map")</f>
        <v>View Map</v>
      </c>
    </row>
    <row r="1566" spans="1:6" x14ac:dyDescent="0.35">
      <c r="A1566" s="4" t="s">
        <v>7009</v>
      </c>
      <c r="B1566" s="5" t="s">
        <v>4381</v>
      </c>
      <c r="C1566" s="5" t="s">
        <v>1776</v>
      </c>
      <c r="D1566" s="5" t="s">
        <v>9</v>
      </c>
      <c r="E1566" s="6">
        <v>1003</v>
      </c>
      <c r="F1566" s="5" t="str">
        <f>HYPERLINK("https://www.google.com/maps/search/?api=1&amp;query=24.821878,46.88706206", "View Map")</f>
        <v>View Map</v>
      </c>
    </row>
    <row r="1567" spans="1:6" x14ac:dyDescent="0.35">
      <c r="A1567" s="4" t="s">
        <v>6355</v>
      </c>
      <c r="B1567" s="5" t="s">
        <v>4382</v>
      </c>
      <c r="C1567" s="5" t="s">
        <v>1776</v>
      </c>
      <c r="D1567" s="5" t="s">
        <v>9</v>
      </c>
      <c r="E1567" s="6">
        <v>1002</v>
      </c>
      <c r="F1567" s="5" t="str">
        <f>HYPERLINK("https://www.google.com/maps/search/?api=1&amp;query=24.67908754,46.59760152", "View Map")</f>
        <v>View Map</v>
      </c>
    </row>
    <row r="1568" spans="1:6" x14ac:dyDescent="0.35">
      <c r="A1568" s="4" t="s">
        <v>6884</v>
      </c>
      <c r="B1568" s="5" t="s">
        <v>4383</v>
      </c>
      <c r="C1568" s="5" t="s">
        <v>1776</v>
      </c>
      <c r="D1568" s="5" t="s">
        <v>9</v>
      </c>
      <c r="E1568" s="6">
        <v>1001</v>
      </c>
      <c r="F1568" s="5" t="str">
        <f>HYPERLINK("https://www.google.com/maps/search/?api=1&amp;query=24.7093965,46.83008694", "View Map")</f>
        <v>View Map</v>
      </c>
    </row>
    <row r="1569" spans="1:6" x14ac:dyDescent="0.35">
      <c r="A1569" s="4" t="s">
        <v>7010</v>
      </c>
      <c r="B1569" s="5" t="s">
        <v>4385</v>
      </c>
      <c r="C1569" s="5" t="s">
        <v>1776</v>
      </c>
      <c r="D1569" s="5" t="s">
        <v>9</v>
      </c>
      <c r="E1569" s="6">
        <v>1000</v>
      </c>
      <c r="F1569" s="5" t="str">
        <f>HYPERLINK("https://www.google.com/maps/search/?api=1&amp;query=24.79320934,46.8664439", "View Map")</f>
        <v>View Map</v>
      </c>
    </row>
    <row r="1570" spans="1:6" x14ac:dyDescent="0.35">
      <c r="A1570" s="4" t="s">
        <v>6051</v>
      </c>
      <c r="B1570" s="5" t="s">
        <v>4386</v>
      </c>
      <c r="C1570" s="5" t="s">
        <v>1843</v>
      </c>
      <c r="D1570" s="5" t="s">
        <v>13</v>
      </c>
      <c r="E1570" s="6">
        <v>999</v>
      </c>
      <c r="F1570" s="5" t="str">
        <f>HYPERLINK("https://www.google.com/maps/search/?api=1&amp;query=24.74338814,46.51367712", "View Map")</f>
        <v>View Map</v>
      </c>
    </row>
    <row r="1571" spans="1:6" x14ac:dyDescent="0.35">
      <c r="A1571" s="4" t="s">
        <v>5978</v>
      </c>
      <c r="B1571" s="5" t="s">
        <v>4387</v>
      </c>
      <c r="C1571" s="5" t="s">
        <v>1776</v>
      </c>
      <c r="D1571" s="5" t="s">
        <v>9</v>
      </c>
      <c r="E1571" s="6">
        <v>998</v>
      </c>
      <c r="F1571" s="5" t="str">
        <f>HYPERLINK("https://www.google.com/maps/search/?api=1&amp;query=24.83418982,46.74371809", "View Map")</f>
        <v>View Map</v>
      </c>
    </row>
    <row r="1572" spans="1:6" x14ac:dyDescent="0.35">
      <c r="A1572" s="4" t="s">
        <v>7011</v>
      </c>
      <c r="B1572" s="5" t="s">
        <v>4389</v>
      </c>
      <c r="C1572" s="5" t="s">
        <v>1776</v>
      </c>
      <c r="D1572" s="5" t="s">
        <v>13</v>
      </c>
      <c r="E1572" s="6">
        <v>997</v>
      </c>
      <c r="F1572" s="5" t="str">
        <f>HYPERLINK("https://www.google.com/maps/search/?api=1&amp;query=24.60513594,46.74396006", "View Map")</f>
        <v>View Map</v>
      </c>
    </row>
    <row r="1573" spans="1:6" x14ac:dyDescent="0.35">
      <c r="A1573" s="4" t="s">
        <v>7012</v>
      </c>
      <c r="B1573" s="5" t="s">
        <v>4391</v>
      </c>
      <c r="C1573" s="5" t="s">
        <v>1776</v>
      </c>
      <c r="D1573" s="5" t="s">
        <v>9</v>
      </c>
      <c r="E1573" s="6">
        <v>997</v>
      </c>
      <c r="F1573" s="5" t="str">
        <f>HYPERLINK("https://www.google.com/maps/search/?api=1&amp;query=24.71890152,46.79571922", "View Map")</f>
        <v>View Map</v>
      </c>
    </row>
    <row r="1574" spans="1:6" x14ac:dyDescent="0.35">
      <c r="A1574" s="4" t="s">
        <v>6039</v>
      </c>
      <c r="B1574" s="5" t="s">
        <v>4392</v>
      </c>
      <c r="C1574" s="5" t="s">
        <v>1776</v>
      </c>
      <c r="D1574" s="5" t="s">
        <v>9</v>
      </c>
      <c r="E1574" s="6">
        <v>997</v>
      </c>
      <c r="F1574" s="5" t="str">
        <f>HYPERLINK("https://www.google.com/maps/search/?api=1&amp;query=24.59,46.7", "View Map")</f>
        <v>View Map</v>
      </c>
    </row>
    <row r="1575" spans="1:6" x14ac:dyDescent="0.35">
      <c r="A1575" s="4" t="s">
        <v>7013</v>
      </c>
      <c r="B1575" s="5" t="s">
        <v>4394</v>
      </c>
      <c r="C1575" s="5" t="s">
        <v>1776</v>
      </c>
      <c r="D1575" s="5" t="s">
        <v>13</v>
      </c>
      <c r="E1575" s="6">
        <v>997</v>
      </c>
      <c r="F1575" s="5" t="str">
        <f>HYPERLINK("https://www.google.com/maps/search/?api=1&amp;query=24.74173517,46.65476912", "View Map")</f>
        <v>View Map</v>
      </c>
    </row>
    <row r="1576" spans="1:6" x14ac:dyDescent="0.35">
      <c r="A1576" s="4" t="s">
        <v>7014</v>
      </c>
      <c r="B1576" s="5" t="s">
        <v>4396</v>
      </c>
      <c r="C1576" s="5" t="s">
        <v>1776</v>
      </c>
      <c r="D1576" s="5" t="s">
        <v>9</v>
      </c>
      <c r="E1576" s="6">
        <v>996</v>
      </c>
      <c r="F1576" s="5" t="str">
        <f>HYPERLINK("https://www.google.com/maps/search/?api=1&amp;query=24.63267259,46.59960982", "View Map")</f>
        <v>View Map</v>
      </c>
    </row>
    <row r="1577" spans="1:6" x14ac:dyDescent="0.35">
      <c r="A1577" s="4" t="s">
        <v>5974</v>
      </c>
      <c r="B1577" s="5" t="s">
        <v>4397</v>
      </c>
      <c r="C1577" s="5" t="s">
        <v>1776</v>
      </c>
      <c r="D1577" s="5" t="s">
        <v>9</v>
      </c>
      <c r="E1577" s="6">
        <v>996</v>
      </c>
      <c r="F1577" s="5" t="str">
        <f>HYPERLINK("https://www.google.com/maps/search/?api=1&amp;query=24.57526456,46.75556312", "View Map")</f>
        <v>View Map</v>
      </c>
    </row>
    <row r="1578" spans="1:6" x14ac:dyDescent="0.35">
      <c r="A1578" s="4" t="s">
        <v>7015</v>
      </c>
      <c r="B1578" s="5" t="s">
        <v>4399</v>
      </c>
      <c r="C1578" s="5" t="s">
        <v>1843</v>
      </c>
      <c r="D1578" s="5" t="s">
        <v>13</v>
      </c>
      <c r="E1578" s="6">
        <v>996</v>
      </c>
      <c r="F1578" s="5" t="str">
        <f>HYPERLINK("https://www.google.com/maps/search/?api=1&amp;query=24.71563031,46.60558442", "View Map")</f>
        <v>View Map</v>
      </c>
    </row>
    <row r="1579" spans="1:6" x14ac:dyDescent="0.35">
      <c r="A1579" s="4" t="s">
        <v>7016</v>
      </c>
      <c r="B1579" s="5" t="s">
        <v>4401</v>
      </c>
      <c r="C1579" s="5" t="s">
        <v>1776</v>
      </c>
      <c r="D1579" s="5" t="s">
        <v>13</v>
      </c>
      <c r="E1579" s="6">
        <v>996</v>
      </c>
      <c r="F1579" s="5" t="str">
        <f>HYPERLINK("https://www.google.com/maps/search/?api=1&amp;query=24.54079401,46.64107926", "View Map")</f>
        <v>View Map</v>
      </c>
    </row>
    <row r="1580" spans="1:6" x14ac:dyDescent="0.35">
      <c r="A1580" s="4" t="s">
        <v>5974</v>
      </c>
      <c r="B1580" s="5" t="s">
        <v>4402</v>
      </c>
      <c r="C1580" s="5" t="s">
        <v>1843</v>
      </c>
      <c r="D1580" s="5" t="s">
        <v>9</v>
      </c>
      <c r="E1580" s="6">
        <v>995</v>
      </c>
      <c r="F1580" s="5" t="str">
        <f>HYPERLINK("https://www.google.com/maps/search/?api=1&amp;query=24.90629364,46.42993658", "View Map")</f>
        <v>View Map</v>
      </c>
    </row>
    <row r="1581" spans="1:6" x14ac:dyDescent="0.35">
      <c r="A1581" s="4" t="s">
        <v>7017</v>
      </c>
      <c r="B1581" s="5" t="s">
        <v>4404</v>
      </c>
      <c r="C1581" s="5" t="s">
        <v>1776</v>
      </c>
      <c r="D1581" s="5" t="s">
        <v>13</v>
      </c>
      <c r="E1581" s="6">
        <v>995</v>
      </c>
      <c r="F1581" s="5" t="str">
        <f>HYPERLINK("https://www.google.com/maps/search/?api=1&amp;query=24.67312695,46.72081699", "View Map")</f>
        <v>View Map</v>
      </c>
    </row>
    <row r="1582" spans="1:6" x14ac:dyDescent="0.35">
      <c r="A1582" s="4" t="s">
        <v>7018</v>
      </c>
      <c r="B1582" s="5" t="s">
        <v>4406</v>
      </c>
      <c r="C1582" s="5" t="s">
        <v>1776</v>
      </c>
      <c r="D1582" s="5" t="s">
        <v>9</v>
      </c>
      <c r="E1582" s="6">
        <v>994</v>
      </c>
      <c r="F1582" s="5" t="str">
        <f>HYPERLINK("https://www.google.com/maps/search/?api=1&amp;query=24.77542057,46.74452977", "View Map")</f>
        <v>View Map</v>
      </c>
    </row>
    <row r="1583" spans="1:6" x14ac:dyDescent="0.35">
      <c r="A1583" s="4" t="s">
        <v>7019</v>
      </c>
      <c r="B1583" s="5" t="s">
        <v>4408</v>
      </c>
      <c r="C1583" s="5" t="s">
        <v>1776</v>
      </c>
      <c r="D1583" s="5" t="s">
        <v>9</v>
      </c>
      <c r="E1583" s="6">
        <v>993</v>
      </c>
      <c r="F1583" s="5" t="str">
        <f>HYPERLINK("https://www.google.com/maps/search/?api=1&amp;query=24.53020796,46.7136984", "View Map")</f>
        <v>View Map</v>
      </c>
    </row>
    <row r="1584" spans="1:6" x14ac:dyDescent="0.35">
      <c r="A1584" s="4" t="s">
        <v>5970</v>
      </c>
      <c r="B1584" s="5" t="s">
        <v>4409</v>
      </c>
      <c r="C1584" s="5" t="s">
        <v>1776</v>
      </c>
      <c r="D1584" s="5" t="s">
        <v>13</v>
      </c>
      <c r="E1584" s="6">
        <v>993</v>
      </c>
      <c r="F1584" s="5" t="str">
        <f>HYPERLINK("https://www.google.com/maps/search/?api=1&amp;query=24.7639438,46.8178028", "View Map")</f>
        <v>View Map</v>
      </c>
    </row>
    <row r="1585" spans="1:6" x14ac:dyDescent="0.35">
      <c r="A1585" s="4" t="s">
        <v>7020</v>
      </c>
      <c r="B1585" s="5" t="s">
        <v>4411</v>
      </c>
      <c r="C1585" s="5" t="s">
        <v>1776</v>
      </c>
      <c r="D1585" s="5" t="s">
        <v>9</v>
      </c>
      <c r="E1585" s="6">
        <v>993</v>
      </c>
      <c r="F1585" s="5" t="str">
        <f>HYPERLINK("https://www.google.com/maps/search/?api=1&amp;query=24.63814052,46.55946536", "View Map")</f>
        <v>View Map</v>
      </c>
    </row>
    <row r="1586" spans="1:6" x14ac:dyDescent="0.35">
      <c r="A1586" s="4" t="s">
        <v>7021</v>
      </c>
      <c r="B1586" s="5" t="s">
        <v>4413</v>
      </c>
      <c r="C1586" s="5" t="s">
        <v>1776</v>
      </c>
      <c r="D1586" s="5" t="s">
        <v>9</v>
      </c>
      <c r="E1586" s="6">
        <v>993</v>
      </c>
      <c r="F1586" s="5" t="str">
        <f>HYPERLINK("https://www.google.com/maps/search/?api=1&amp;query=24.5996097,46.68403518", "View Map")</f>
        <v>View Map</v>
      </c>
    </row>
    <row r="1587" spans="1:6" x14ac:dyDescent="0.35">
      <c r="A1587" s="4" t="s">
        <v>6039</v>
      </c>
      <c r="B1587" s="5" t="s">
        <v>4414</v>
      </c>
      <c r="C1587" s="5" t="s">
        <v>1776</v>
      </c>
      <c r="D1587" s="5" t="s">
        <v>9</v>
      </c>
      <c r="E1587" s="6">
        <v>993</v>
      </c>
      <c r="F1587" s="5" t="str">
        <f>HYPERLINK("https://www.google.com/maps/search/?api=1&amp;query=24.52131839,46.65888569", "View Map")</f>
        <v>View Map</v>
      </c>
    </row>
    <row r="1588" spans="1:6" x14ac:dyDescent="0.35">
      <c r="A1588" s="4" t="s">
        <v>6215</v>
      </c>
      <c r="B1588" s="5" t="s">
        <v>4415</v>
      </c>
      <c r="C1588" s="5" t="s">
        <v>1776</v>
      </c>
      <c r="D1588" s="5" t="s">
        <v>13</v>
      </c>
      <c r="E1588" s="6">
        <v>992</v>
      </c>
      <c r="F1588" s="5" t="str">
        <f>HYPERLINK("https://www.google.com/maps/search/?api=1&amp;query=24.76147681,46.82496094", "View Map")</f>
        <v>View Map</v>
      </c>
    </row>
    <row r="1589" spans="1:6" x14ac:dyDescent="0.35">
      <c r="A1589" s="4" t="s">
        <v>5974</v>
      </c>
      <c r="B1589" s="5" t="s">
        <v>4416</v>
      </c>
      <c r="C1589" s="5" t="s">
        <v>1776</v>
      </c>
      <c r="D1589" s="5" t="s">
        <v>9</v>
      </c>
      <c r="E1589" s="6">
        <v>991</v>
      </c>
      <c r="F1589" s="5" t="str">
        <f>HYPERLINK("https://www.google.com/maps/search/?api=1&amp;query=24.80490542,46.61386904", "View Map")</f>
        <v>View Map</v>
      </c>
    </row>
    <row r="1590" spans="1:6" x14ac:dyDescent="0.35">
      <c r="A1590" s="4" t="s">
        <v>7022</v>
      </c>
      <c r="B1590" s="5" t="s">
        <v>4418</v>
      </c>
      <c r="C1590" s="5" t="s">
        <v>1776</v>
      </c>
      <c r="D1590" s="5" t="s">
        <v>9</v>
      </c>
      <c r="E1590" s="6">
        <v>990</v>
      </c>
      <c r="F1590" s="5" t="str">
        <f>HYPERLINK("https://www.google.com/maps/search/?api=1&amp;query=24.56236108,46.74887174", "View Map")</f>
        <v>View Map</v>
      </c>
    </row>
    <row r="1591" spans="1:6" x14ac:dyDescent="0.35">
      <c r="A1591" s="4" t="s">
        <v>5972</v>
      </c>
      <c r="B1591" s="5" t="s">
        <v>4419</v>
      </c>
      <c r="C1591" s="5" t="s">
        <v>1776</v>
      </c>
      <c r="D1591" s="5" t="s">
        <v>9</v>
      </c>
      <c r="E1591" s="6">
        <v>990</v>
      </c>
      <c r="F1591" s="5" t="str">
        <f>HYPERLINK("https://www.google.com/maps/search/?api=1&amp;query=24.61656146,46.50009838", "View Map")</f>
        <v>View Map</v>
      </c>
    </row>
    <row r="1592" spans="1:6" x14ac:dyDescent="0.35">
      <c r="A1592" s="4" t="s">
        <v>5972</v>
      </c>
      <c r="B1592" s="5" t="s">
        <v>4420</v>
      </c>
      <c r="C1592" s="5" t="s">
        <v>1776</v>
      </c>
      <c r="D1592" s="5" t="s">
        <v>9</v>
      </c>
      <c r="E1592" s="6">
        <v>988</v>
      </c>
      <c r="F1592" s="5" t="str">
        <f>HYPERLINK("https://www.google.com/maps/search/?api=1&amp;query=24.82972943,46.67907707", "View Map")</f>
        <v>View Map</v>
      </c>
    </row>
    <row r="1593" spans="1:6" x14ac:dyDescent="0.35">
      <c r="A1593" s="4" t="s">
        <v>7023</v>
      </c>
      <c r="B1593" s="5" t="s">
        <v>4422</v>
      </c>
      <c r="C1593" s="5" t="s">
        <v>1776</v>
      </c>
      <c r="D1593" s="5" t="s">
        <v>9</v>
      </c>
      <c r="E1593" s="6">
        <v>988</v>
      </c>
      <c r="F1593" s="5" t="str">
        <f>HYPERLINK("https://www.google.com/maps/search/?api=1&amp;query=24.80766089,46.7991815", "View Map")</f>
        <v>View Map</v>
      </c>
    </row>
    <row r="1594" spans="1:6" x14ac:dyDescent="0.35">
      <c r="A1594" s="4" t="s">
        <v>7024</v>
      </c>
      <c r="B1594" s="5" t="s">
        <v>4424</v>
      </c>
      <c r="C1594" s="5" t="s">
        <v>1776</v>
      </c>
      <c r="D1594" s="5" t="s">
        <v>13</v>
      </c>
      <c r="E1594" s="6">
        <v>988</v>
      </c>
      <c r="F1594" s="5" t="str">
        <f>HYPERLINK("https://www.google.com/maps/search/?api=1&amp;query=24.57241211,46.64518043", "View Map")</f>
        <v>View Map</v>
      </c>
    </row>
    <row r="1595" spans="1:6" x14ac:dyDescent="0.35">
      <c r="A1595" s="4" t="s">
        <v>5974</v>
      </c>
      <c r="B1595" s="5" t="s">
        <v>4425</v>
      </c>
      <c r="C1595" s="5" t="s">
        <v>1776</v>
      </c>
      <c r="D1595" s="5" t="s">
        <v>9</v>
      </c>
      <c r="E1595" s="6">
        <v>986</v>
      </c>
      <c r="F1595" s="5" t="str">
        <f>HYPERLINK("https://www.google.com/maps/search/?api=1&amp;query=24.59666058,46.62223485", "View Map")</f>
        <v>View Map</v>
      </c>
    </row>
    <row r="1596" spans="1:6" x14ac:dyDescent="0.35">
      <c r="A1596" s="4" t="s">
        <v>5974</v>
      </c>
      <c r="B1596" s="5" t="s">
        <v>4426</v>
      </c>
      <c r="C1596" s="5" t="s">
        <v>1776</v>
      </c>
      <c r="D1596" s="5" t="s">
        <v>13</v>
      </c>
      <c r="E1596" s="6">
        <v>986</v>
      </c>
      <c r="F1596" s="5" t="str">
        <f>HYPERLINK("https://www.google.com/maps/search/?api=1&amp;query=24.89404675,46.63021478", "View Map")</f>
        <v>View Map</v>
      </c>
    </row>
    <row r="1597" spans="1:6" x14ac:dyDescent="0.35">
      <c r="A1597" s="4" t="s">
        <v>7025</v>
      </c>
      <c r="B1597" s="5" t="s">
        <v>4428</v>
      </c>
      <c r="C1597" s="5" t="s">
        <v>1776</v>
      </c>
      <c r="D1597" s="5" t="s">
        <v>9</v>
      </c>
      <c r="E1597" s="6">
        <v>986</v>
      </c>
      <c r="F1597" s="5" t="str">
        <f>HYPERLINK("https://www.google.com/maps/search/?api=1&amp;query=24.53802594,46.64991827", "View Map")</f>
        <v>View Map</v>
      </c>
    </row>
    <row r="1598" spans="1:6" x14ac:dyDescent="0.35">
      <c r="A1598" s="4" t="s">
        <v>7026</v>
      </c>
      <c r="B1598" s="5" t="s">
        <v>4430</v>
      </c>
      <c r="C1598" s="5" t="s">
        <v>1776</v>
      </c>
      <c r="D1598" s="5" t="s">
        <v>13</v>
      </c>
      <c r="E1598" s="6">
        <v>985</v>
      </c>
      <c r="F1598" s="5" t="str">
        <f>HYPERLINK("https://www.google.com/maps/search/?api=1&amp;query=24.79262448,46.74572087", "View Map")</f>
        <v>View Map</v>
      </c>
    </row>
    <row r="1599" spans="1:6" x14ac:dyDescent="0.35">
      <c r="A1599" s="4" t="s">
        <v>6568</v>
      </c>
      <c r="B1599" s="5" t="s">
        <v>4431</v>
      </c>
      <c r="C1599" s="5" t="s">
        <v>1776</v>
      </c>
      <c r="D1599" s="5" t="s">
        <v>9</v>
      </c>
      <c r="E1599" s="6">
        <v>984</v>
      </c>
      <c r="F1599" s="5" t="str">
        <f>HYPERLINK("https://www.google.com/maps/search/?api=1&amp;query=24.52801392,46.69378168", "View Map")</f>
        <v>View Map</v>
      </c>
    </row>
    <row r="1600" spans="1:6" x14ac:dyDescent="0.35">
      <c r="A1600" s="4" t="s">
        <v>7027</v>
      </c>
      <c r="B1600" s="5" t="s">
        <v>4433</v>
      </c>
      <c r="C1600" s="5" t="s">
        <v>1776</v>
      </c>
      <c r="D1600" s="5" t="s">
        <v>13</v>
      </c>
      <c r="E1600" s="6">
        <v>984</v>
      </c>
      <c r="F1600" s="5" t="str">
        <f>HYPERLINK("https://www.google.com/maps/search/?api=1&amp;query=24.79765983,46.80032423", "View Map")</f>
        <v>View Map</v>
      </c>
    </row>
    <row r="1601" spans="1:6" x14ac:dyDescent="0.35">
      <c r="A1601" s="4" t="s">
        <v>6039</v>
      </c>
      <c r="B1601" s="5" t="s">
        <v>4434</v>
      </c>
      <c r="C1601" s="5" t="s">
        <v>1776</v>
      </c>
      <c r="D1601" s="5" t="s">
        <v>9</v>
      </c>
      <c r="E1601" s="6">
        <v>984</v>
      </c>
      <c r="F1601" s="5" t="str">
        <f>HYPERLINK("https://www.google.com/maps/search/?api=1&amp;query=24.5733,46.6092", "View Map")</f>
        <v>View Map</v>
      </c>
    </row>
    <row r="1602" spans="1:6" x14ac:dyDescent="0.35">
      <c r="A1602" s="4" t="s">
        <v>7028</v>
      </c>
      <c r="B1602" s="5" t="s">
        <v>4436</v>
      </c>
      <c r="C1602" s="5" t="s">
        <v>1776</v>
      </c>
      <c r="D1602" s="5" t="s">
        <v>13</v>
      </c>
      <c r="E1602" s="6">
        <v>984</v>
      </c>
      <c r="F1602" s="5" t="str">
        <f>HYPERLINK("https://www.google.com/maps/search/?api=1&amp;query=24.57398727,46.70811659", "View Map")</f>
        <v>View Map</v>
      </c>
    </row>
    <row r="1603" spans="1:6" x14ac:dyDescent="0.35">
      <c r="A1603" s="4" t="s">
        <v>7029</v>
      </c>
      <c r="B1603" s="5" t="s">
        <v>4438</v>
      </c>
      <c r="C1603" s="5" t="s">
        <v>1776</v>
      </c>
      <c r="D1603" s="5" t="s">
        <v>9</v>
      </c>
      <c r="E1603" s="6">
        <v>984</v>
      </c>
      <c r="F1603" s="5" t="str">
        <f>HYPERLINK("https://www.google.com/maps/search/?api=1&amp;query=24.60056404,46.75534812", "View Map")</f>
        <v>View Map</v>
      </c>
    </row>
    <row r="1604" spans="1:6" x14ac:dyDescent="0.35">
      <c r="A1604" s="4" t="s">
        <v>7030</v>
      </c>
      <c r="B1604" s="5" t="s">
        <v>4440</v>
      </c>
      <c r="C1604" s="5" t="s">
        <v>1776</v>
      </c>
      <c r="D1604" s="5" t="s">
        <v>9</v>
      </c>
      <c r="E1604" s="6">
        <v>984</v>
      </c>
      <c r="F1604" s="5" t="str">
        <f>HYPERLINK("https://www.google.com/maps/search/?api=1&amp;query=24.57823074,46.6923062", "View Map")</f>
        <v>View Map</v>
      </c>
    </row>
    <row r="1605" spans="1:6" x14ac:dyDescent="0.35">
      <c r="A1605" s="4" t="s">
        <v>5974</v>
      </c>
      <c r="B1605" s="5" t="s">
        <v>4441</v>
      </c>
      <c r="C1605" s="5" t="s">
        <v>1776</v>
      </c>
      <c r="D1605" s="5" t="s">
        <v>9</v>
      </c>
      <c r="E1605" s="6">
        <v>984</v>
      </c>
      <c r="F1605" s="5" t="str">
        <f>HYPERLINK("https://www.google.com/maps/search/?api=1&amp;query=24.82792087,46.57841053", "View Map")</f>
        <v>View Map</v>
      </c>
    </row>
    <row r="1606" spans="1:6" x14ac:dyDescent="0.35">
      <c r="A1606" s="4" t="s">
        <v>7031</v>
      </c>
      <c r="B1606" s="5" t="s">
        <v>4443</v>
      </c>
      <c r="C1606" s="5" t="s">
        <v>1776</v>
      </c>
      <c r="D1606" s="5" t="s">
        <v>318</v>
      </c>
      <c r="E1606" s="6">
        <v>982</v>
      </c>
      <c r="F1606" s="5" t="str">
        <f>HYPERLINK("https://www.google.com/maps/search/?api=1&amp;query=24.7259181,46.77115791", "View Map")</f>
        <v>View Map</v>
      </c>
    </row>
    <row r="1607" spans="1:6" x14ac:dyDescent="0.35">
      <c r="A1607" s="4" t="s">
        <v>7032</v>
      </c>
      <c r="B1607" s="5" t="s">
        <v>4445</v>
      </c>
      <c r="C1607" s="5" t="s">
        <v>1776</v>
      </c>
      <c r="D1607" s="5" t="s">
        <v>9</v>
      </c>
      <c r="E1607" s="6">
        <v>982</v>
      </c>
      <c r="F1607" s="5" t="str">
        <f>HYPERLINK("https://www.google.com/maps/search/?api=1&amp;query=24.575306,46.582452", "View Map")</f>
        <v>View Map</v>
      </c>
    </row>
    <row r="1608" spans="1:6" x14ac:dyDescent="0.35">
      <c r="A1608" s="4" t="s">
        <v>6497</v>
      </c>
      <c r="B1608" s="5" t="s">
        <v>4446</v>
      </c>
      <c r="C1608" s="5" t="s">
        <v>1776</v>
      </c>
      <c r="D1608" s="5" t="s">
        <v>9</v>
      </c>
      <c r="E1608" s="6">
        <v>982</v>
      </c>
      <c r="F1608" s="5" t="str">
        <f>HYPERLINK("https://www.google.com/maps/search/?api=1&amp;query=24.7297,46.8486", "View Map")</f>
        <v>View Map</v>
      </c>
    </row>
    <row r="1609" spans="1:6" x14ac:dyDescent="0.35">
      <c r="A1609" s="4" t="s">
        <v>7033</v>
      </c>
      <c r="B1609" s="5" t="s">
        <v>4448</v>
      </c>
      <c r="C1609" s="5" t="s">
        <v>1776</v>
      </c>
      <c r="D1609" s="5" t="s">
        <v>9</v>
      </c>
      <c r="E1609" s="6">
        <v>980</v>
      </c>
      <c r="F1609" s="5" t="str">
        <f>HYPERLINK("https://www.google.com/maps/search/?api=1&amp;query=24.54926874,46.70853761", "View Map")</f>
        <v>View Map</v>
      </c>
    </row>
    <row r="1610" spans="1:6" x14ac:dyDescent="0.35">
      <c r="A1610" s="4" t="s">
        <v>7034</v>
      </c>
      <c r="B1610" s="5" t="s">
        <v>4450</v>
      </c>
      <c r="C1610" s="5" t="s">
        <v>1776</v>
      </c>
      <c r="D1610" s="5" t="s">
        <v>13</v>
      </c>
      <c r="E1610" s="6">
        <v>980</v>
      </c>
      <c r="F1610" s="5" t="str">
        <f>HYPERLINK("https://www.google.com/maps/search/?api=1&amp;query=24.57816014,46.64125817", "View Map")</f>
        <v>View Map</v>
      </c>
    </row>
    <row r="1611" spans="1:6" x14ac:dyDescent="0.35">
      <c r="A1611" s="4" t="s">
        <v>6350</v>
      </c>
      <c r="B1611" s="5" t="s">
        <v>4451</v>
      </c>
      <c r="C1611" s="5" t="s">
        <v>1776</v>
      </c>
      <c r="D1611" s="5" t="s">
        <v>9</v>
      </c>
      <c r="E1611" s="6">
        <v>978</v>
      </c>
      <c r="F1611" s="5" t="str">
        <f>HYPERLINK("https://www.google.com/maps/search/?api=1&amp;query=24.70747689,46.77644849", "View Map")</f>
        <v>View Map</v>
      </c>
    </row>
    <row r="1612" spans="1:6" x14ac:dyDescent="0.35">
      <c r="A1612" s="4" t="s">
        <v>5974</v>
      </c>
      <c r="B1612" s="5" t="s">
        <v>4452</v>
      </c>
      <c r="C1612" s="5" t="s">
        <v>1776</v>
      </c>
      <c r="D1612" s="5" t="s">
        <v>9</v>
      </c>
      <c r="E1612" s="6">
        <v>977</v>
      </c>
      <c r="F1612" s="5" t="str">
        <f>HYPERLINK("https://www.google.com/maps/search/?api=1&amp;query=24.7919,46.6094", "View Map")</f>
        <v>View Map</v>
      </c>
    </row>
    <row r="1613" spans="1:6" x14ac:dyDescent="0.35">
      <c r="A1613" s="4" t="s">
        <v>7035</v>
      </c>
      <c r="B1613" s="5" t="s">
        <v>4454</v>
      </c>
      <c r="C1613" s="5" t="s">
        <v>1776</v>
      </c>
      <c r="D1613" s="5" t="s">
        <v>9</v>
      </c>
      <c r="E1613" s="6">
        <v>976</v>
      </c>
      <c r="F1613" s="5" t="str">
        <f>HYPERLINK("https://www.google.com/maps/search/?api=1&amp;query=24.55442151,46.7069751", "View Map")</f>
        <v>View Map</v>
      </c>
    </row>
    <row r="1614" spans="1:6" x14ac:dyDescent="0.35">
      <c r="A1614" s="4" t="s">
        <v>7036</v>
      </c>
      <c r="B1614" s="5" t="s">
        <v>4456</v>
      </c>
      <c r="C1614" s="5" t="s">
        <v>1776</v>
      </c>
      <c r="D1614" s="5" t="s">
        <v>13</v>
      </c>
      <c r="E1614" s="6">
        <v>976</v>
      </c>
      <c r="F1614" s="5" t="str">
        <f>HYPERLINK("https://www.google.com/maps/search/?api=1&amp;query=24.77998574,46.70175442", "View Map")</f>
        <v>View Map</v>
      </c>
    </row>
    <row r="1615" spans="1:6" x14ac:dyDescent="0.35">
      <c r="A1615" s="4" t="s">
        <v>7037</v>
      </c>
      <c r="B1615" s="5" t="s">
        <v>4457</v>
      </c>
      <c r="C1615" s="5" t="s">
        <v>1776</v>
      </c>
      <c r="D1615" s="5" t="s">
        <v>9</v>
      </c>
      <c r="E1615" s="6">
        <v>976</v>
      </c>
      <c r="F1615" s="5" t="str">
        <f>HYPERLINK("https://www.google.com/maps/search/?api=1&amp;query=0.0,0.0", "View Map")</f>
        <v>View Map</v>
      </c>
    </row>
    <row r="1616" spans="1:6" x14ac:dyDescent="0.35">
      <c r="A1616" s="4" t="s">
        <v>5974</v>
      </c>
      <c r="B1616" s="5" t="s">
        <v>4458</v>
      </c>
      <c r="C1616" s="5" t="s">
        <v>1776</v>
      </c>
      <c r="D1616" s="5" t="s">
        <v>9</v>
      </c>
      <c r="E1616" s="6">
        <v>975</v>
      </c>
      <c r="F1616" s="5" t="str">
        <f>HYPERLINK("https://www.google.com/maps/search/?api=1&amp;query=24.6628,46.5247", "View Map")</f>
        <v>View Map</v>
      </c>
    </row>
    <row r="1617" spans="1:6" x14ac:dyDescent="0.35">
      <c r="A1617" s="4" t="s">
        <v>5970</v>
      </c>
      <c r="B1617" s="5" t="s">
        <v>4459</v>
      </c>
      <c r="C1617" s="5" t="s">
        <v>1776</v>
      </c>
      <c r="D1617" s="5" t="s">
        <v>9</v>
      </c>
      <c r="E1617" s="6">
        <v>973</v>
      </c>
      <c r="F1617" s="5" t="str">
        <f>HYPERLINK("https://www.google.com/maps/search/?api=1&amp;query=24.80795647,46.86424322", "View Map")</f>
        <v>View Map</v>
      </c>
    </row>
    <row r="1618" spans="1:6" x14ac:dyDescent="0.35">
      <c r="A1618" s="4" t="s">
        <v>7038</v>
      </c>
      <c r="B1618" s="5" t="s">
        <v>4461</v>
      </c>
      <c r="C1618" s="5" t="s">
        <v>1776</v>
      </c>
      <c r="D1618" s="5" t="s">
        <v>9</v>
      </c>
      <c r="E1618" s="6">
        <v>973</v>
      </c>
      <c r="F1618" s="5" t="str">
        <f>HYPERLINK("https://www.google.com/maps/search/?api=1&amp;query=24.62948346,46.55079822", "View Map")</f>
        <v>View Map</v>
      </c>
    </row>
    <row r="1619" spans="1:6" x14ac:dyDescent="0.35">
      <c r="A1619" s="4" t="s">
        <v>7039</v>
      </c>
      <c r="B1619" s="5" t="s">
        <v>4463</v>
      </c>
      <c r="C1619" s="5" t="s">
        <v>1776</v>
      </c>
      <c r="D1619" s="5" t="s">
        <v>13</v>
      </c>
      <c r="E1619" s="6">
        <v>973</v>
      </c>
      <c r="F1619" s="5" t="str">
        <f>HYPERLINK("https://www.google.com/maps/search/?api=1&amp;query=24.78286639,46.6186074", "View Map")</f>
        <v>View Map</v>
      </c>
    </row>
    <row r="1620" spans="1:6" x14ac:dyDescent="0.35">
      <c r="A1620" s="4" t="s">
        <v>6180</v>
      </c>
      <c r="B1620" s="5" t="s">
        <v>4464</v>
      </c>
      <c r="C1620" s="5" t="s">
        <v>1776</v>
      </c>
      <c r="D1620" s="5" t="s">
        <v>9</v>
      </c>
      <c r="E1620" s="6">
        <v>972</v>
      </c>
      <c r="F1620" s="5" t="str">
        <f>HYPERLINK("https://www.google.com/maps/search/?api=1&amp;query=24.77325432,46.63898777", "View Map")</f>
        <v>View Map</v>
      </c>
    </row>
    <row r="1621" spans="1:6" x14ac:dyDescent="0.35">
      <c r="A1621" s="4" t="s">
        <v>7040</v>
      </c>
      <c r="B1621" s="5" t="s">
        <v>4466</v>
      </c>
      <c r="C1621" s="5" t="s">
        <v>1776</v>
      </c>
      <c r="D1621" s="5" t="s">
        <v>9</v>
      </c>
      <c r="E1621" s="6">
        <v>972</v>
      </c>
      <c r="F1621" s="5" t="str">
        <f>HYPERLINK("https://www.google.com/maps/search/?api=1&amp;query=24.75648514,46.66023933", "View Map")</f>
        <v>View Map</v>
      </c>
    </row>
    <row r="1622" spans="1:6" x14ac:dyDescent="0.35">
      <c r="A1622" s="4" t="s">
        <v>7041</v>
      </c>
      <c r="B1622" s="5" t="s">
        <v>4468</v>
      </c>
      <c r="C1622" s="5" t="s">
        <v>1776</v>
      </c>
      <c r="D1622" s="5" t="s">
        <v>13</v>
      </c>
      <c r="E1622" s="6">
        <v>971</v>
      </c>
      <c r="F1622" s="5" t="str">
        <f>HYPERLINK("https://www.google.com/maps/search/?api=1&amp;query=24.58295174,46.69785351", "View Map")</f>
        <v>View Map</v>
      </c>
    </row>
    <row r="1623" spans="1:6" x14ac:dyDescent="0.35">
      <c r="A1623" s="4" t="s">
        <v>7042</v>
      </c>
      <c r="B1623" s="5" t="s">
        <v>4470</v>
      </c>
      <c r="C1623" s="5" t="s">
        <v>1776</v>
      </c>
      <c r="D1623" s="5" t="s">
        <v>9</v>
      </c>
      <c r="E1623" s="6">
        <v>969</v>
      </c>
      <c r="F1623" s="5" t="str">
        <f>HYPERLINK("https://www.google.com/maps/search/?api=1&amp;query=24.5755028,46.83939399", "View Map")</f>
        <v>View Map</v>
      </c>
    </row>
    <row r="1624" spans="1:6" x14ac:dyDescent="0.35">
      <c r="A1624" s="4" t="s">
        <v>7043</v>
      </c>
      <c r="B1624" s="5" t="s">
        <v>4472</v>
      </c>
      <c r="C1624" s="5" t="s">
        <v>1776</v>
      </c>
      <c r="D1624" s="5" t="s">
        <v>9</v>
      </c>
      <c r="E1624" s="6">
        <v>968</v>
      </c>
      <c r="F1624" s="5" t="str">
        <f>HYPERLINK("https://www.google.com/maps/search/?api=1&amp;query=24.79519104,46.85067337", "View Map")</f>
        <v>View Map</v>
      </c>
    </row>
    <row r="1625" spans="1:6" x14ac:dyDescent="0.35">
      <c r="A1625" s="4" t="s">
        <v>7044</v>
      </c>
      <c r="B1625" s="5" t="s">
        <v>4474</v>
      </c>
      <c r="C1625" s="5" t="s">
        <v>1776</v>
      </c>
      <c r="D1625" s="5" t="s">
        <v>9</v>
      </c>
      <c r="E1625" s="6">
        <v>967</v>
      </c>
      <c r="F1625" s="5" t="str">
        <f>HYPERLINK("https://www.google.com/maps/search/?api=1&amp;query=24.81905692,46.61572325", "View Map")</f>
        <v>View Map</v>
      </c>
    </row>
    <row r="1626" spans="1:6" x14ac:dyDescent="0.35">
      <c r="A1626" s="4" t="s">
        <v>7045</v>
      </c>
      <c r="B1626" s="5" t="s">
        <v>4476</v>
      </c>
      <c r="C1626" s="5" t="s">
        <v>1776</v>
      </c>
      <c r="D1626" s="5" t="s">
        <v>9</v>
      </c>
      <c r="E1626" s="6">
        <v>966</v>
      </c>
      <c r="F1626" s="5" t="str">
        <f>HYPERLINK("https://www.google.com/maps/search/?api=1&amp;query=24.77707811,46.78082179", "View Map")</f>
        <v>View Map</v>
      </c>
    </row>
    <row r="1627" spans="1:6" x14ac:dyDescent="0.35">
      <c r="A1627" s="4" t="s">
        <v>6210</v>
      </c>
      <c r="B1627" s="5" t="s">
        <v>4477</v>
      </c>
      <c r="C1627" s="5" t="s">
        <v>1776</v>
      </c>
      <c r="D1627" s="5" t="s">
        <v>13</v>
      </c>
      <c r="E1627" s="6">
        <v>966</v>
      </c>
      <c r="F1627" s="5" t="str">
        <f>HYPERLINK("https://www.google.com/maps/search/?api=1&amp;query=24.606186,46.63687266", "View Map")</f>
        <v>View Map</v>
      </c>
    </row>
    <row r="1628" spans="1:6" x14ac:dyDescent="0.35">
      <c r="A1628" s="4" t="s">
        <v>5974</v>
      </c>
      <c r="B1628" s="5" t="s">
        <v>4478</v>
      </c>
      <c r="C1628" s="5" t="s">
        <v>1776</v>
      </c>
      <c r="D1628" s="5" t="s">
        <v>9</v>
      </c>
      <c r="E1628" s="6">
        <v>965</v>
      </c>
      <c r="F1628" s="5" t="str">
        <f>HYPERLINK("https://www.google.com/maps/search/?api=1&amp;query=24.92570141,46.81880472", "View Map")</f>
        <v>View Map</v>
      </c>
    </row>
    <row r="1629" spans="1:6" x14ac:dyDescent="0.35">
      <c r="A1629" s="4" t="s">
        <v>5970</v>
      </c>
      <c r="B1629" s="5" t="s">
        <v>4479</v>
      </c>
      <c r="C1629" s="5" t="s">
        <v>1776</v>
      </c>
      <c r="D1629" s="5" t="s">
        <v>13</v>
      </c>
      <c r="E1629" s="6">
        <v>965</v>
      </c>
      <c r="F1629" s="5" t="str">
        <f>HYPERLINK("https://www.google.com/maps/search/?api=1&amp;query=24.76691639,46.76630882", "View Map")</f>
        <v>View Map</v>
      </c>
    </row>
    <row r="1630" spans="1:6" x14ac:dyDescent="0.35">
      <c r="A1630" s="4" t="s">
        <v>7046</v>
      </c>
      <c r="B1630" s="5" t="s">
        <v>4481</v>
      </c>
      <c r="C1630" s="5" t="s">
        <v>1776</v>
      </c>
      <c r="D1630" s="5" t="s">
        <v>13</v>
      </c>
      <c r="E1630" s="6">
        <v>964</v>
      </c>
      <c r="F1630" s="5" t="str">
        <f>HYPERLINK("https://www.google.com/maps/search/?api=1&amp;query=24.665809,46.71244387", "View Map")</f>
        <v>View Map</v>
      </c>
    </row>
    <row r="1631" spans="1:6" x14ac:dyDescent="0.35">
      <c r="A1631" s="4" t="s">
        <v>5974</v>
      </c>
      <c r="B1631" s="5" t="s">
        <v>4482</v>
      </c>
      <c r="C1631" s="5" t="s">
        <v>1776</v>
      </c>
      <c r="D1631" s="5" t="s">
        <v>9</v>
      </c>
      <c r="E1631" s="6">
        <v>962</v>
      </c>
      <c r="F1631" s="5" t="str">
        <f>HYPERLINK("https://www.google.com/maps/search/?api=1&amp;query=24.68199808,46.56583415", "View Map")</f>
        <v>View Map</v>
      </c>
    </row>
    <row r="1632" spans="1:6" x14ac:dyDescent="0.35">
      <c r="A1632" s="4" t="s">
        <v>7047</v>
      </c>
      <c r="B1632" s="5" t="s">
        <v>4484</v>
      </c>
      <c r="C1632" s="5" t="s">
        <v>1776</v>
      </c>
      <c r="D1632" s="5" t="s">
        <v>9</v>
      </c>
      <c r="E1632" s="6">
        <v>961</v>
      </c>
      <c r="F1632" s="5" t="str">
        <f>HYPERLINK("https://www.google.com/maps/search/?api=1&amp;query=24.58747526,46.76039766", "View Map")</f>
        <v>View Map</v>
      </c>
    </row>
    <row r="1633" spans="1:6" x14ac:dyDescent="0.35">
      <c r="A1633" s="4" t="s">
        <v>7048</v>
      </c>
      <c r="B1633" s="5" t="s">
        <v>4486</v>
      </c>
      <c r="C1633" s="5" t="s">
        <v>1776</v>
      </c>
      <c r="D1633" s="5" t="s">
        <v>9</v>
      </c>
      <c r="E1633" s="6">
        <v>960</v>
      </c>
      <c r="F1633" s="5" t="str">
        <f>HYPERLINK("https://www.google.com/maps/search/?api=1&amp;query=24.65496873,46.57665986", "View Map")</f>
        <v>View Map</v>
      </c>
    </row>
    <row r="1634" spans="1:6" x14ac:dyDescent="0.35">
      <c r="A1634" s="4" t="s">
        <v>7049</v>
      </c>
      <c r="B1634" s="5" t="s">
        <v>4488</v>
      </c>
      <c r="C1634" s="5" t="s">
        <v>1776</v>
      </c>
      <c r="D1634" s="5" t="s">
        <v>13</v>
      </c>
      <c r="E1634" s="6">
        <v>960</v>
      </c>
      <c r="F1634" s="5" t="str">
        <f>HYPERLINK("https://www.google.com/maps/search/?api=1&amp;query=24.62987998,46.72607133", "View Map")</f>
        <v>View Map</v>
      </c>
    </row>
    <row r="1635" spans="1:6" x14ac:dyDescent="0.35">
      <c r="A1635" s="4" t="s">
        <v>7050</v>
      </c>
      <c r="B1635" s="5" t="s">
        <v>4490</v>
      </c>
      <c r="C1635" s="5" t="s">
        <v>1776</v>
      </c>
      <c r="D1635" s="5" t="s">
        <v>318</v>
      </c>
      <c r="E1635" s="6">
        <v>960</v>
      </c>
      <c r="F1635" s="5" t="str">
        <f>HYPERLINK("https://www.google.com/maps/search/?api=1&amp;query=24.80897569,46.88102771", "View Map")</f>
        <v>View Map</v>
      </c>
    </row>
    <row r="1636" spans="1:6" x14ac:dyDescent="0.35">
      <c r="A1636" s="4" t="s">
        <v>7051</v>
      </c>
      <c r="B1636" s="5" t="s">
        <v>4492</v>
      </c>
      <c r="C1636" s="5" t="s">
        <v>1776</v>
      </c>
      <c r="D1636" s="5" t="s">
        <v>13</v>
      </c>
      <c r="E1636" s="6">
        <v>959</v>
      </c>
      <c r="F1636" s="5" t="str">
        <f>HYPERLINK("https://www.google.com/maps/search/?api=1&amp;query=24.62071313,46.76037453", "View Map")</f>
        <v>View Map</v>
      </c>
    </row>
    <row r="1637" spans="1:6" x14ac:dyDescent="0.35">
      <c r="A1637" s="4" t="s">
        <v>7052</v>
      </c>
      <c r="B1637" s="5" t="s">
        <v>4494</v>
      </c>
      <c r="C1637" s="5" t="s">
        <v>1776</v>
      </c>
      <c r="D1637" s="5" t="s">
        <v>13</v>
      </c>
      <c r="E1637" s="6">
        <v>959</v>
      </c>
      <c r="F1637" s="5" t="str">
        <f>HYPERLINK("https://www.google.com/maps/search/?api=1&amp;query=24.74005821,46.84410149", "View Map")</f>
        <v>View Map</v>
      </c>
    </row>
    <row r="1638" spans="1:6" x14ac:dyDescent="0.35">
      <c r="A1638" s="4" t="s">
        <v>7053</v>
      </c>
      <c r="B1638" s="5" t="s">
        <v>4496</v>
      </c>
      <c r="C1638" s="5" t="s">
        <v>1776</v>
      </c>
      <c r="D1638" s="5" t="s">
        <v>9</v>
      </c>
      <c r="E1638" s="6">
        <v>957</v>
      </c>
      <c r="F1638" s="5" t="str">
        <f>HYPERLINK("https://www.google.com/maps/search/?api=1&amp;query=24.57384886,46.71337917", "View Map")</f>
        <v>View Map</v>
      </c>
    </row>
    <row r="1639" spans="1:6" x14ac:dyDescent="0.35">
      <c r="A1639" s="4" t="s">
        <v>6039</v>
      </c>
      <c r="B1639" s="5" t="s">
        <v>4497</v>
      </c>
      <c r="C1639" s="5" t="s">
        <v>1776</v>
      </c>
      <c r="D1639" s="5" t="s">
        <v>9</v>
      </c>
      <c r="E1639" s="6">
        <v>957</v>
      </c>
      <c r="F1639" s="5" t="str">
        <f>HYPERLINK("https://www.google.com/maps/search/?api=1&amp;query=24.52301129,46.64291644", "View Map")</f>
        <v>View Map</v>
      </c>
    </row>
    <row r="1640" spans="1:6" x14ac:dyDescent="0.35">
      <c r="A1640" s="4" t="s">
        <v>7054</v>
      </c>
      <c r="B1640" s="5" t="s">
        <v>4499</v>
      </c>
      <c r="C1640" s="5" t="s">
        <v>1776</v>
      </c>
      <c r="D1640" s="5" t="s">
        <v>13</v>
      </c>
      <c r="E1640" s="6">
        <v>956</v>
      </c>
      <c r="F1640" s="5" t="str">
        <f>HYPERLINK("https://www.google.com/maps/search/?api=1&amp;query=24.81871042,46.74988871", "View Map")</f>
        <v>View Map</v>
      </c>
    </row>
    <row r="1641" spans="1:6" x14ac:dyDescent="0.35">
      <c r="A1641" s="4" t="s">
        <v>6676</v>
      </c>
      <c r="B1641" s="5" t="s">
        <v>4500</v>
      </c>
      <c r="C1641" s="5" t="s">
        <v>1776</v>
      </c>
      <c r="D1641" s="5" t="s">
        <v>13</v>
      </c>
      <c r="E1641" s="6">
        <v>956</v>
      </c>
      <c r="F1641" s="5" t="str">
        <f>HYPERLINK("https://www.google.com/maps/search/?api=1&amp;query=24.78884288,46.68571218", "View Map")</f>
        <v>View Map</v>
      </c>
    </row>
    <row r="1642" spans="1:6" x14ac:dyDescent="0.35">
      <c r="A1642" s="4" t="s">
        <v>6039</v>
      </c>
      <c r="B1642" s="5" t="s">
        <v>4501</v>
      </c>
      <c r="C1642" s="5" t="s">
        <v>1776</v>
      </c>
      <c r="D1642" s="5" t="s">
        <v>9</v>
      </c>
      <c r="E1642" s="6">
        <v>955</v>
      </c>
      <c r="F1642" s="5" t="str">
        <f>HYPERLINK("https://www.google.com/maps/search/?api=1&amp;query=24.55938506,46.59043477", "View Map")</f>
        <v>View Map</v>
      </c>
    </row>
    <row r="1643" spans="1:6" x14ac:dyDescent="0.35">
      <c r="A1643" s="4" t="s">
        <v>7055</v>
      </c>
      <c r="B1643" s="5" t="s">
        <v>4503</v>
      </c>
      <c r="C1643" s="5" t="s">
        <v>1776</v>
      </c>
      <c r="D1643" s="5" t="s">
        <v>9</v>
      </c>
      <c r="E1643" s="6">
        <v>955</v>
      </c>
      <c r="F1643" s="5" t="str">
        <f>HYPERLINK("https://www.google.com/maps/search/?api=1&amp;query=24.59149671,46.72615141", "View Map")</f>
        <v>View Map</v>
      </c>
    </row>
    <row r="1644" spans="1:6" x14ac:dyDescent="0.35">
      <c r="A1644" s="4" t="s">
        <v>7056</v>
      </c>
      <c r="B1644" s="5" t="s">
        <v>4505</v>
      </c>
      <c r="C1644" s="5" t="s">
        <v>1776</v>
      </c>
      <c r="D1644" s="5" t="s">
        <v>9</v>
      </c>
      <c r="E1644" s="6">
        <v>953</v>
      </c>
      <c r="F1644" s="5" t="str">
        <f>HYPERLINK("https://www.google.com/maps/search/?api=1&amp;query=24.64131627,46.72210545", "View Map")</f>
        <v>View Map</v>
      </c>
    </row>
    <row r="1645" spans="1:6" x14ac:dyDescent="0.35">
      <c r="A1645" s="4" t="s">
        <v>5974</v>
      </c>
      <c r="B1645" s="5" t="s">
        <v>4506</v>
      </c>
      <c r="C1645" s="5" t="s">
        <v>1776</v>
      </c>
      <c r="D1645" s="5" t="s">
        <v>9</v>
      </c>
      <c r="E1645" s="6">
        <v>953</v>
      </c>
      <c r="F1645" s="5" t="str">
        <f>HYPERLINK("https://www.google.com/maps/search/?api=1&amp;query=24.89909243,46.86152296", "View Map")</f>
        <v>View Map</v>
      </c>
    </row>
    <row r="1646" spans="1:6" x14ac:dyDescent="0.35">
      <c r="A1646" s="4" t="s">
        <v>7057</v>
      </c>
      <c r="B1646" s="5" t="s">
        <v>4508</v>
      </c>
      <c r="C1646" s="5" t="s">
        <v>1776</v>
      </c>
      <c r="D1646" s="5" t="s">
        <v>13</v>
      </c>
      <c r="E1646" s="6">
        <v>952</v>
      </c>
      <c r="F1646" s="5" t="str">
        <f>HYPERLINK("https://www.google.com/maps/search/?api=1&amp;query=24.68752239,46.81156908", "View Map")</f>
        <v>View Map</v>
      </c>
    </row>
    <row r="1647" spans="1:6" x14ac:dyDescent="0.35">
      <c r="A1647" s="4" t="s">
        <v>7058</v>
      </c>
      <c r="B1647" s="5" t="s">
        <v>4510</v>
      </c>
      <c r="C1647" s="5" t="s">
        <v>1776</v>
      </c>
      <c r="D1647" s="5" t="s">
        <v>13</v>
      </c>
      <c r="E1647" s="6">
        <v>952</v>
      </c>
      <c r="F1647" s="5" t="str">
        <f>HYPERLINK("https://www.google.com/maps/search/?api=1&amp;query=24.79984265,46.80466108", "View Map")</f>
        <v>View Map</v>
      </c>
    </row>
    <row r="1648" spans="1:6" x14ac:dyDescent="0.35">
      <c r="A1648" s="4" t="s">
        <v>7059</v>
      </c>
      <c r="B1648" s="5" t="s">
        <v>4512</v>
      </c>
      <c r="C1648" s="5" t="s">
        <v>1776</v>
      </c>
      <c r="D1648" s="5" t="s">
        <v>9</v>
      </c>
      <c r="E1648" s="6">
        <v>952</v>
      </c>
      <c r="F1648" s="5" t="str">
        <f>HYPERLINK("https://www.google.com/maps/search/?api=1&amp;query=24.78744643,46.89643378", "View Map")</f>
        <v>View Map</v>
      </c>
    </row>
    <row r="1649" spans="1:6" x14ac:dyDescent="0.35">
      <c r="A1649" s="4" t="s">
        <v>7060</v>
      </c>
      <c r="B1649" s="5" t="s">
        <v>4514</v>
      </c>
      <c r="C1649" s="5" t="s">
        <v>1776</v>
      </c>
      <c r="D1649" s="5" t="s">
        <v>9</v>
      </c>
      <c r="E1649" s="6">
        <v>950</v>
      </c>
      <c r="F1649" s="5" t="str">
        <f>HYPERLINK("https://www.google.com/maps/search/?api=1&amp;query=24.63805306,46.75003848", "View Map")</f>
        <v>View Map</v>
      </c>
    </row>
    <row r="1650" spans="1:6" x14ac:dyDescent="0.35">
      <c r="A1650" s="4" t="s">
        <v>7061</v>
      </c>
      <c r="B1650" s="5" t="s">
        <v>4516</v>
      </c>
      <c r="C1650" s="5" t="s">
        <v>1776</v>
      </c>
      <c r="D1650" s="5" t="s">
        <v>13</v>
      </c>
      <c r="E1650" s="6">
        <v>950</v>
      </c>
      <c r="F1650" s="5" t="str">
        <f>HYPERLINK("https://www.google.com/maps/search/?api=1&amp;query=24.58118257,46.64172567", "View Map")</f>
        <v>View Map</v>
      </c>
    </row>
    <row r="1651" spans="1:6" x14ac:dyDescent="0.35">
      <c r="A1651" s="4" t="s">
        <v>7062</v>
      </c>
      <c r="B1651" s="5" t="s">
        <v>4518</v>
      </c>
      <c r="C1651" s="5" t="s">
        <v>1776</v>
      </c>
      <c r="D1651" s="5" t="s">
        <v>13</v>
      </c>
      <c r="E1651" s="6">
        <v>945</v>
      </c>
      <c r="F1651" s="5" t="str">
        <f>HYPERLINK("https://www.google.com/maps/search/?api=1&amp;query=24.58181362,46.60334269", "View Map")</f>
        <v>View Map</v>
      </c>
    </row>
    <row r="1652" spans="1:6" x14ac:dyDescent="0.35">
      <c r="A1652" s="4" t="s">
        <v>5978</v>
      </c>
      <c r="B1652" s="5" t="s">
        <v>4519</v>
      </c>
      <c r="C1652" s="5" t="s">
        <v>1776</v>
      </c>
      <c r="D1652" s="5" t="s">
        <v>13</v>
      </c>
      <c r="E1652" s="6">
        <v>945</v>
      </c>
      <c r="F1652" s="5" t="str">
        <f>HYPERLINK("https://www.google.com/maps/search/?api=1&amp;query=24.76382962,46.82501521", "View Map")</f>
        <v>View Map</v>
      </c>
    </row>
    <row r="1653" spans="1:6" x14ac:dyDescent="0.35">
      <c r="A1653" s="4" t="s">
        <v>4520</v>
      </c>
      <c r="B1653" s="5" t="s">
        <v>4521</v>
      </c>
      <c r="C1653" s="5" t="s">
        <v>1776</v>
      </c>
      <c r="D1653" s="5" t="s">
        <v>9</v>
      </c>
      <c r="E1653" s="6">
        <v>943</v>
      </c>
      <c r="F1653" s="5" t="str">
        <f>HYPERLINK("https://www.google.com/maps/search/?api=1&amp;query=24.62625505,46.79530678", "View Map")</f>
        <v>View Map</v>
      </c>
    </row>
    <row r="1654" spans="1:6" x14ac:dyDescent="0.35">
      <c r="A1654" s="4" t="s">
        <v>7063</v>
      </c>
      <c r="B1654" s="5" t="s">
        <v>4523</v>
      </c>
      <c r="C1654" s="5" t="s">
        <v>1776</v>
      </c>
      <c r="D1654" s="5" t="s">
        <v>9</v>
      </c>
      <c r="E1654" s="6">
        <v>943</v>
      </c>
      <c r="F1654" s="5" t="str">
        <f>HYPERLINK("https://www.google.com/maps/search/?api=1&amp;query=24.63588831,46.71842114", "View Map")</f>
        <v>View Map</v>
      </c>
    </row>
    <row r="1655" spans="1:6" x14ac:dyDescent="0.35">
      <c r="A1655" s="4" t="s">
        <v>5972</v>
      </c>
      <c r="B1655" s="5" t="s">
        <v>4524</v>
      </c>
      <c r="C1655" s="5" t="s">
        <v>1843</v>
      </c>
      <c r="D1655" s="5" t="s">
        <v>9</v>
      </c>
      <c r="E1655" s="6">
        <v>942</v>
      </c>
      <c r="F1655" s="5" t="str">
        <f>HYPERLINK("https://www.google.com/maps/search/?api=1&amp;query=24.74604704,46.53269361", "View Map")</f>
        <v>View Map</v>
      </c>
    </row>
    <row r="1656" spans="1:6" x14ac:dyDescent="0.35">
      <c r="A1656" s="4" t="s">
        <v>6775</v>
      </c>
      <c r="B1656" s="5" t="s">
        <v>4525</v>
      </c>
      <c r="C1656" s="5" t="s">
        <v>1776</v>
      </c>
      <c r="D1656" s="5" t="s">
        <v>9</v>
      </c>
      <c r="E1656" s="6">
        <v>938</v>
      </c>
      <c r="F1656" s="5" t="str">
        <f>HYPERLINK("https://www.google.com/maps/search/?api=1&amp;query=24.52815283,46.66129411", "View Map")</f>
        <v>View Map</v>
      </c>
    </row>
    <row r="1657" spans="1:6" x14ac:dyDescent="0.35">
      <c r="A1657" s="4" t="s">
        <v>7064</v>
      </c>
      <c r="B1657" s="5" t="s">
        <v>4527</v>
      </c>
      <c r="C1657" s="5" t="s">
        <v>1776</v>
      </c>
      <c r="D1657" s="5" t="s">
        <v>9</v>
      </c>
      <c r="E1657" s="6">
        <v>937</v>
      </c>
      <c r="F1657" s="5" t="str">
        <f>HYPERLINK("https://www.google.com/maps/search/?api=1&amp;query=24.58634703,46.67322838", "View Map")</f>
        <v>View Map</v>
      </c>
    </row>
    <row r="1658" spans="1:6" x14ac:dyDescent="0.35">
      <c r="A1658" s="4" t="s">
        <v>7065</v>
      </c>
      <c r="B1658" s="5" t="s">
        <v>4529</v>
      </c>
      <c r="C1658" s="5" t="s">
        <v>1776</v>
      </c>
      <c r="D1658" s="5" t="s">
        <v>9</v>
      </c>
      <c r="E1658" s="6">
        <v>937</v>
      </c>
      <c r="F1658" s="5" t="str">
        <f>HYPERLINK("https://www.google.com/maps/search/?api=1&amp;query=24.57996283,46.61966684", "View Map")</f>
        <v>View Map</v>
      </c>
    </row>
    <row r="1659" spans="1:6" x14ac:dyDescent="0.35">
      <c r="A1659" s="4" t="s">
        <v>6362</v>
      </c>
      <c r="B1659" s="5" t="s">
        <v>4530</v>
      </c>
      <c r="C1659" s="5" t="s">
        <v>1776</v>
      </c>
      <c r="D1659" s="5" t="s">
        <v>13</v>
      </c>
      <c r="E1659" s="6">
        <v>936</v>
      </c>
      <c r="F1659" s="5" t="str">
        <f>HYPERLINK("https://www.google.com/maps/search/?api=1&amp;query=24.56237813,46.68986147", "View Map")</f>
        <v>View Map</v>
      </c>
    </row>
    <row r="1660" spans="1:6" x14ac:dyDescent="0.35">
      <c r="A1660" s="4" t="s">
        <v>6712</v>
      </c>
      <c r="B1660" s="5" t="s">
        <v>4531</v>
      </c>
      <c r="C1660" s="5" t="s">
        <v>1776</v>
      </c>
      <c r="D1660" s="5" t="s">
        <v>9</v>
      </c>
      <c r="E1660" s="6">
        <v>936</v>
      </c>
      <c r="F1660" s="5" t="str">
        <f>HYPERLINK("https://www.google.com/maps/search/?api=1&amp;query=24.57459988,46.58496426", "View Map")</f>
        <v>View Map</v>
      </c>
    </row>
    <row r="1661" spans="1:6" x14ac:dyDescent="0.35">
      <c r="A1661" s="4" t="s">
        <v>6039</v>
      </c>
      <c r="B1661" s="5" t="s">
        <v>4532</v>
      </c>
      <c r="C1661" s="5" t="s">
        <v>1776</v>
      </c>
      <c r="D1661" s="5" t="s">
        <v>9</v>
      </c>
      <c r="E1661" s="6">
        <v>936</v>
      </c>
      <c r="F1661" s="5" t="str">
        <f>HYPERLINK("https://www.google.com/maps/search/?api=1&amp;query=24.51271581,46.62850998", "View Map")</f>
        <v>View Map</v>
      </c>
    </row>
    <row r="1662" spans="1:6" x14ac:dyDescent="0.35">
      <c r="A1662" s="4" t="s">
        <v>5974</v>
      </c>
      <c r="B1662" s="5" t="s">
        <v>4533</v>
      </c>
      <c r="C1662" s="5" t="s">
        <v>1776</v>
      </c>
      <c r="D1662" s="5" t="s">
        <v>13</v>
      </c>
      <c r="E1662" s="6">
        <v>934</v>
      </c>
      <c r="F1662" s="5" t="str">
        <f>HYPERLINK("https://www.google.com/maps/search/?api=1&amp;query=0.0,0.0", "View Map")</f>
        <v>View Map</v>
      </c>
    </row>
    <row r="1663" spans="1:6" x14ac:dyDescent="0.35">
      <c r="A1663" s="4" t="s">
        <v>5972</v>
      </c>
      <c r="B1663" s="5" t="s">
        <v>4534</v>
      </c>
      <c r="C1663" s="5" t="s">
        <v>1776</v>
      </c>
      <c r="D1663" s="5" t="s">
        <v>13</v>
      </c>
      <c r="E1663" s="6">
        <v>934</v>
      </c>
      <c r="F1663" s="5" t="str">
        <f>HYPERLINK("https://www.google.com/maps/search/?api=1&amp;query=24.68259062,46.66727132", "View Map")</f>
        <v>View Map</v>
      </c>
    </row>
    <row r="1664" spans="1:6" x14ac:dyDescent="0.35">
      <c r="A1664" s="4" t="s">
        <v>7066</v>
      </c>
      <c r="B1664" s="5" t="s">
        <v>4536</v>
      </c>
      <c r="C1664" s="5" t="s">
        <v>1776</v>
      </c>
      <c r="D1664" s="5" t="s">
        <v>9</v>
      </c>
      <c r="E1664" s="6">
        <v>933</v>
      </c>
      <c r="F1664" s="5" t="str">
        <f>HYPERLINK("https://www.google.com/maps/search/?api=1&amp;query=24.69966945,46.76617788", "View Map")</f>
        <v>View Map</v>
      </c>
    </row>
    <row r="1665" spans="1:6" x14ac:dyDescent="0.35">
      <c r="A1665" s="4" t="s">
        <v>5974</v>
      </c>
      <c r="B1665" s="5" t="s">
        <v>4537</v>
      </c>
      <c r="C1665" s="5" t="s">
        <v>1776</v>
      </c>
      <c r="D1665" s="5" t="s">
        <v>9</v>
      </c>
      <c r="E1665" s="6">
        <v>933</v>
      </c>
      <c r="F1665" s="5" t="str">
        <f>HYPERLINK("https://www.google.com/maps/search/?api=1&amp;query=24.70610104,46.82965481", "View Map")</f>
        <v>View Map</v>
      </c>
    </row>
    <row r="1666" spans="1:6" x14ac:dyDescent="0.35">
      <c r="A1666" s="4" t="s">
        <v>7067</v>
      </c>
      <c r="B1666" s="5" t="s">
        <v>4539</v>
      </c>
      <c r="C1666" s="5" t="s">
        <v>1776</v>
      </c>
      <c r="D1666" s="5" t="s">
        <v>9</v>
      </c>
      <c r="E1666" s="6">
        <v>933</v>
      </c>
      <c r="F1666" s="5" t="str">
        <f>HYPERLINK("https://www.google.com/maps/search/?api=1&amp;query=24.72555095,46.83721331", "View Map")</f>
        <v>View Map</v>
      </c>
    </row>
    <row r="1667" spans="1:6" x14ac:dyDescent="0.35">
      <c r="A1667" s="4" t="s">
        <v>6415</v>
      </c>
      <c r="B1667" s="5" t="s">
        <v>4540</v>
      </c>
      <c r="C1667" s="5" t="s">
        <v>1776</v>
      </c>
      <c r="D1667" s="5" t="s">
        <v>9</v>
      </c>
      <c r="E1667" s="6">
        <v>932</v>
      </c>
      <c r="F1667" s="5" t="str">
        <f>HYPERLINK("https://www.google.com/maps/search/?api=1&amp;query=24.51929804,46.66862652", "View Map")</f>
        <v>View Map</v>
      </c>
    </row>
    <row r="1668" spans="1:6" x14ac:dyDescent="0.35">
      <c r="A1668" s="4" t="s">
        <v>7068</v>
      </c>
      <c r="B1668" s="5" t="s">
        <v>4542</v>
      </c>
      <c r="C1668" s="5" t="s">
        <v>1776</v>
      </c>
      <c r="D1668" s="5" t="s">
        <v>9</v>
      </c>
      <c r="E1668" s="6">
        <v>930</v>
      </c>
      <c r="F1668" s="5" t="str">
        <f>HYPERLINK("https://www.google.com/maps/search/?api=1&amp;query=24.57107711,46.85112133", "View Map")</f>
        <v>View Map</v>
      </c>
    </row>
    <row r="1669" spans="1:6" x14ac:dyDescent="0.35">
      <c r="A1669" s="4" t="s">
        <v>7069</v>
      </c>
      <c r="B1669" s="5" t="s">
        <v>4544</v>
      </c>
      <c r="C1669" s="5" t="s">
        <v>1776</v>
      </c>
      <c r="D1669" s="5" t="s">
        <v>9</v>
      </c>
      <c r="E1669" s="6">
        <v>929</v>
      </c>
      <c r="F1669" s="5" t="str">
        <f>HYPERLINK("https://www.google.com/maps/search/?api=1&amp;query=24.52476539,46.70703789", "View Map")</f>
        <v>View Map</v>
      </c>
    </row>
    <row r="1670" spans="1:6" x14ac:dyDescent="0.35">
      <c r="A1670" s="4" t="s">
        <v>7070</v>
      </c>
      <c r="B1670" s="5" t="s">
        <v>4546</v>
      </c>
      <c r="C1670" s="5" t="s">
        <v>1776</v>
      </c>
      <c r="D1670" s="5" t="s">
        <v>9</v>
      </c>
      <c r="E1670" s="6">
        <v>928</v>
      </c>
      <c r="F1670" s="5" t="str">
        <f>HYPERLINK("https://www.google.com/maps/search/?api=1&amp;query=24.71110268,46.60522311", "View Map")</f>
        <v>View Map</v>
      </c>
    </row>
    <row r="1671" spans="1:6" x14ac:dyDescent="0.35">
      <c r="A1671" s="4" t="s">
        <v>5974</v>
      </c>
      <c r="B1671" s="5" t="s">
        <v>4547</v>
      </c>
      <c r="C1671" s="5" t="s">
        <v>1776</v>
      </c>
      <c r="D1671" s="5" t="s">
        <v>9</v>
      </c>
      <c r="E1671" s="6">
        <v>927</v>
      </c>
      <c r="F1671" s="5" t="str">
        <f>HYPERLINK("https://www.google.com/maps/search/?api=1&amp;query=24.8501347,46.8425871", "View Map")</f>
        <v>View Map</v>
      </c>
    </row>
    <row r="1672" spans="1:6" x14ac:dyDescent="0.35">
      <c r="A1672" s="4" t="s">
        <v>7071</v>
      </c>
      <c r="B1672" s="5" t="s">
        <v>4549</v>
      </c>
      <c r="C1672" s="5" t="s">
        <v>1776</v>
      </c>
      <c r="D1672" s="5" t="s">
        <v>9</v>
      </c>
      <c r="E1672" s="6">
        <v>926</v>
      </c>
      <c r="F1672" s="5" t="str">
        <f>HYPERLINK("https://www.google.com/maps/search/?api=1&amp;query=24.82222788,46.79064717", "View Map")</f>
        <v>View Map</v>
      </c>
    </row>
    <row r="1673" spans="1:6" x14ac:dyDescent="0.35">
      <c r="A1673" s="4" t="s">
        <v>5974</v>
      </c>
      <c r="B1673" s="5" t="s">
        <v>4550</v>
      </c>
      <c r="C1673" s="5" t="s">
        <v>1776</v>
      </c>
      <c r="D1673" s="5" t="s">
        <v>9</v>
      </c>
      <c r="E1673" s="6">
        <v>926</v>
      </c>
      <c r="F1673" s="5" t="str">
        <f>HYPERLINK("https://www.google.com/maps/search/?api=1&amp;query=24.74720507,46.62626778", "View Map")</f>
        <v>View Map</v>
      </c>
    </row>
    <row r="1674" spans="1:6" x14ac:dyDescent="0.35">
      <c r="A1674" s="4" t="s">
        <v>6039</v>
      </c>
      <c r="B1674" s="5" t="s">
        <v>4551</v>
      </c>
      <c r="C1674" s="5" t="s">
        <v>1776</v>
      </c>
      <c r="D1674" s="5" t="s">
        <v>9</v>
      </c>
      <c r="E1674" s="6">
        <v>925</v>
      </c>
      <c r="F1674" s="5" t="str">
        <f>HYPERLINK("https://www.google.com/maps/search/?api=1&amp;query=24.5508,46.5658", "View Map")</f>
        <v>View Map</v>
      </c>
    </row>
    <row r="1675" spans="1:6" x14ac:dyDescent="0.35">
      <c r="A1675" s="4" t="s">
        <v>7072</v>
      </c>
      <c r="B1675" s="5" t="s">
        <v>4553</v>
      </c>
      <c r="C1675" s="5" t="s">
        <v>1776</v>
      </c>
      <c r="D1675" s="5" t="s">
        <v>9</v>
      </c>
      <c r="E1675" s="6">
        <v>925</v>
      </c>
      <c r="F1675" s="5" t="str">
        <f>HYPERLINK("https://www.google.com/maps/search/?api=1&amp;query=24.62424211,46.75374976", "View Map")</f>
        <v>View Map</v>
      </c>
    </row>
    <row r="1676" spans="1:6" x14ac:dyDescent="0.35">
      <c r="A1676" s="4" t="s">
        <v>7073</v>
      </c>
      <c r="B1676" s="5" t="s">
        <v>4555</v>
      </c>
      <c r="C1676" s="5" t="s">
        <v>1776</v>
      </c>
      <c r="D1676" s="5" t="s">
        <v>9</v>
      </c>
      <c r="E1676" s="6">
        <v>925</v>
      </c>
      <c r="F1676" s="5" t="str">
        <f>HYPERLINK("https://www.google.com/maps/search/?api=1&amp;query=24.6036851,46.62268977", "View Map")</f>
        <v>View Map</v>
      </c>
    </row>
    <row r="1677" spans="1:6" x14ac:dyDescent="0.35">
      <c r="A1677" s="4" t="s">
        <v>6522</v>
      </c>
      <c r="B1677" s="5" t="s">
        <v>4556</v>
      </c>
      <c r="C1677" s="5" t="s">
        <v>1776</v>
      </c>
      <c r="D1677" s="5" t="s">
        <v>9</v>
      </c>
      <c r="E1677" s="6">
        <v>924</v>
      </c>
      <c r="F1677" s="5" t="str">
        <f>HYPERLINK("https://www.google.com/maps/search/?api=1&amp;query=24.70655661,46.77345662", "View Map")</f>
        <v>View Map</v>
      </c>
    </row>
    <row r="1678" spans="1:6" x14ac:dyDescent="0.35">
      <c r="A1678" s="4" t="s">
        <v>7074</v>
      </c>
      <c r="B1678" s="5" t="s">
        <v>4558</v>
      </c>
      <c r="C1678" s="5" t="s">
        <v>1776</v>
      </c>
      <c r="D1678" s="5" t="s">
        <v>9</v>
      </c>
      <c r="E1678" s="6">
        <v>923</v>
      </c>
      <c r="F1678" s="5" t="str">
        <f>HYPERLINK("https://www.google.com/maps/search/?api=1&amp;query=24.78537893,46.65196584", "View Map")</f>
        <v>View Map</v>
      </c>
    </row>
    <row r="1679" spans="1:6" x14ac:dyDescent="0.35">
      <c r="A1679" s="4" t="s">
        <v>5974</v>
      </c>
      <c r="B1679" s="5" t="s">
        <v>4559</v>
      </c>
      <c r="C1679" s="5" t="s">
        <v>1776</v>
      </c>
      <c r="D1679" s="5" t="s">
        <v>9</v>
      </c>
      <c r="E1679" s="6">
        <v>922</v>
      </c>
      <c r="F1679" s="5" t="str">
        <f>HYPERLINK("https://www.google.com/maps/search/?api=1&amp;query=24.85912035,46.65934211", "View Map")</f>
        <v>View Map</v>
      </c>
    </row>
    <row r="1680" spans="1:6" x14ac:dyDescent="0.35">
      <c r="A1680" s="4" t="s">
        <v>7075</v>
      </c>
      <c r="B1680" s="5" t="s">
        <v>4561</v>
      </c>
      <c r="C1680" s="5" t="s">
        <v>1776</v>
      </c>
      <c r="D1680" s="5" t="s">
        <v>9</v>
      </c>
      <c r="E1680" s="6">
        <v>922</v>
      </c>
      <c r="F1680" s="5" t="str">
        <f>HYPERLINK("https://www.google.com/maps/search/?api=1&amp;query=24.7322082,46.71941962", "View Map")</f>
        <v>View Map</v>
      </c>
    </row>
    <row r="1681" spans="1:6" x14ac:dyDescent="0.35">
      <c r="A1681" s="4" t="s">
        <v>7076</v>
      </c>
      <c r="B1681" s="5" t="s">
        <v>4563</v>
      </c>
      <c r="C1681" s="5" t="s">
        <v>1776</v>
      </c>
      <c r="D1681" s="5" t="s">
        <v>9</v>
      </c>
      <c r="E1681" s="6">
        <v>922</v>
      </c>
      <c r="F1681" s="5" t="str">
        <f>HYPERLINK("https://www.google.com/maps/search/?api=1&amp;query=24.54293969,46.72050705", "View Map")</f>
        <v>View Map</v>
      </c>
    </row>
    <row r="1682" spans="1:6" x14ac:dyDescent="0.35">
      <c r="A1682" s="4" t="s">
        <v>6134</v>
      </c>
      <c r="B1682" s="5" t="s">
        <v>4564</v>
      </c>
      <c r="C1682" s="5" t="s">
        <v>1776</v>
      </c>
      <c r="D1682" s="5" t="s">
        <v>9</v>
      </c>
      <c r="E1682" s="6">
        <v>920</v>
      </c>
      <c r="F1682" s="5" t="str">
        <f>HYPERLINK("https://www.google.com/maps/search/?api=1&amp;query=24.64007348,46.54325791", "View Map")</f>
        <v>View Map</v>
      </c>
    </row>
    <row r="1683" spans="1:6" x14ac:dyDescent="0.35">
      <c r="A1683" s="4" t="s">
        <v>5974</v>
      </c>
      <c r="B1683" s="5" t="s">
        <v>4565</v>
      </c>
      <c r="C1683" s="5" t="s">
        <v>1776</v>
      </c>
      <c r="D1683" s="5" t="s">
        <v>9</v>
      </c>
      <c r="E1683" s="6">
        <v>919</v>
      </c>
      <c r="F1683" s="5" t="str">
        <f>HYPERLINK("https://www.google.com/maps/search/?api=1&amp;query=24.68382281,46.58055853", "View Map")</f>
        <v>View Map</v>
      </c>
    </row>
    <row r="1684" spans="1:6" x14ac:dyDescent="0.35">
      <c r="A1684" s="4" t="s">
        <v>7077</v>
      </c>
      <c r="B1684" s="5" t="s">
        <v>4567</v>
      </c>
      <c r="C1684" s="5" t="s">
        <v>1776</v>
      </c>
      <c r="D1684" s="5" t="s">
        <v>9</v>
      </c>
      <c r="E1684" s="6">
        <v>919</v>
      </c>
      <c r="F1684" s="5" t="str">
        <f>HYPERLINK("https://www.google.com/maps/search/?api=1&amp;query=24.5931513,46.61558166", "View Map")</f>
        <v>View Map</v>
      </c>
    </row>
    <row r="1685" spans="1:6" x14ac:dyDescent="0.35">
      <c r="A1685" s="4" t="s">
        <v>7078</v>
      </c>
      <c r="B1685" s="5" t="s">
        <v>4569</v>
      </c>
      <c r="C1685" s="5" t="s">
        <v>1776</v>
      </c>
      <c r="D1685" s="5" t="s">
        <v>9</v>
      </c>
      <c r="E1685" s="6">
        <v>919</v>
      </c>
      <c r="F1685" s="5" t="str">
        <f>HYPERLINK("https://www.google.com/maps/search/?api=1&amp;query=24.75511331,46.72560344", "View Map")</f>
        <v>View Map</v>
      </c>
    </row>
    <row r="1686" spans="1:6" x14ac:dyDescent="0.35">
      <c r="A1686" s="4" t="s">
        <v>7079</v>
      </c>
      <c r="B1686" s="5" t="s">
        <v>4571</v>
      </c>
      <c r="C1686" s="5" t="s">
        <v>1776</v>
      </c>
      <c r="D1686" s="5" t="s">
        <v>9</v>
      </c>
      <c r="E1686" s="6">
        <v>919</v>
      </c>
      <c r="F1686" s="5" t="str">
        <f>HYPERLINK("https://www.google.com/maps/search/?api=1&amp;query=24.53241447,46.65107593", "View Map")</f>
        <v>View Map</v>
      </c>
    </row>
    <row r="1687" spans="1:6" x14ac:dyDescent="0.35">
      <c r="A1687" s="4" t="s">
        <v>6039</v>
      </c>
      <c r="B1687" s="5" t="s">
        <v>4572</v>
      </c>
      <c r="C1687" s="5" t="s">
        <v>1776</v>
      </c>
      <c r="D1687" s="5" t="s">
        <v>9</v>
      </c>
      <c r="E1687" s="6">
        <v>918</v>
      </c>
      <c r="F1687" s="5" t="str">
        <f>HYPERLINK("https://www.google.com/maps/search/?api=1&amp;query=24.6219,46.6989", "View Map")</f>
        <v>View Map</v>
      </c>
    </row>
    <row r="1688" spans="1:6" x14ac:dyDescent="0.35">
      <c r="A1688" s="4" t="s">
        <v>6039</v>
      </c>
      <c r="B1688" s="5" t="s">
        <v>4573</v>
      </c>
      <c r="C1688" s="5" t="s">
        <v>1776</v>
      </c>
      <c r="D1688" s="5" t="s">
        <v>9</v>
      </c>
      <c r="E1688" s="6">
        <v>916</v>
      </c>
      <c r="F1688" s="5" t="str">
        <f>HYPERLINK("https://www.google.com/maps/search/?api=1&amp;query=24.6125,46.7017", "View Map")</f>
        <v>View Map</v>
      </c>
    </row>
    <row r="1689" spans="1:6" x14ac:dyDescent="0.35">
      <c r="A1689" s="4" t="s">
        <v>6415</v>
      </c>
      <c r="B1689" s="5" t="s">
        <v>4574</v>
      </c>
      <c r="C1689" s="5" t="s">
        <v>1776</v>
      </c>
      <c r="D1689" s="5" t="s">
        <v>9</v>
      </c>
      <c r="E1689" s="6">
        <v>915</v>
      </c>
      <c r="F1689" s="5" t="str">
        <f>HYPERLINK("https://www.google.com/maps/search/?api=1&amp;query=24.51572816,46.66250828", "View Map")</f>
        <v>View Map</v>
      </c>
    </row>
    <row r="1690" spans="1:6" x14ac:dyDescent="0.35">
      <c r="A1690" s="4" t="s">
        <v>6272</v>
      </c>
      <c r="B1690" s="5" t="s">
        <v>4575</v>
      </c>
      <c r="C1690" s="5" t="s">
        <v>1776</v>
      </c>
      <c r="D1690" s="5" t="s">
        <v>9</v>
      </c>
      <c r="E1690" s="6">
        <v>914</v>
      </c>
      <c r="F1690" s="5" t="str">
        <f>HYPERLINK("https://www.google.com/maps/search/?api=1&amp;query=24.70929126,46.81763592", "View Map")</f>
        <v>View Map</v>
      </c>
    </row>
    <row r="1691" spans="1:6" x14ac:dyDescent="0.35">
      <c r="A1691" s="4" t="s">
        <v>7080</v>
      </c>
      <c r="B1691" s="5" t="s">
        <v>4577</v>
      </c>
      <c r="C1691" s="5" t="s">
        <v>1776</v>
      </c>
      <c r="D1691" s="5" t="s">
        <v>9</v>
      </c>
      <c r="E1691" s="6">
        <v>914</v>
      </c>
      <c r="F1691" s="5" t="str">
        <f>HYPERLINK("https://www.google.com/maps/search/?api=1&amp;query=24.55658705,46.78032038", "View Map")</f>
        <v>View Map</v>
      </c>
    </row>
    <row r="1692" spans="1:6" x14ac:dyDescent="0.35">
      <c r="A1692" s="4" t="s">
        <v>7081</v>
      </c>
      <c r="B1692" s="5" t="s">
        <v>4579</v>
      </c>
      <c r="C1692" s="5" t="s">
        <v>1776</v>
      </c>
      <c r="D1692" s="5" t="s">
        <v>9</v>
      </c>
      <c r="E1692" s="6">
        <v>913</v>
      </c>
      <c r="F1692" s="5" t="str">
        <f>HYPERLINK("https://www.google.com/maps/search/?api=1&amp;query=24.62234533,46.71892535", "View Map")</f>
        <v>View Map</v>
      </c>
    </row>
    <row r="1693" spans="1:6" x14ac:dyDescent="0.35">
      <c r="A1693" s="4" t="s">
        <v>7082</v>
      </c>
      <c r="B1693" s="5" t="s">
        <v>4581</v>
      </c>
      <c r="C1693" s="5" t="s">
        <v>1776</v>
      </c>
      <c r="D1693" s="5" t="s">
        <v>9</v>
      </c>
      <c r="E1693" s="6">
        <v>913</v>
      </c>
      <c r="F1693" s="5" t="str">
        <f>HYPERLINK("https://www.google.com/maps/search/?api=1&amp;query=24.60662201,46.6698177", "View Map")</f>
        <v>View Map</v>
      </c>
    </row>
    <row r="1694" spans="1:6" x14ac:dyDescent="0.35">
      <c r="A1694" s="4" t="s">
        <v>7083</v>
      </c>
      <c r="B1694" s="5" t="s">
        <v>4583</v>
      </c>
      <c r="C1694" s="5" t="s">
        <v>1776</v>
      </c>
      <c r="D1694" s="5" t="s">
        <v>9</v>
      </c>
      <c r="E1694" s="6">
        <v>910</v>
      </c>
      <c r="F1694" s="5" t="str">
        <f>HYPERLINK("https://www.google.com/maps/search/?api=1&amp;query=24.57250535,46.65660856", "View Map")</f>
        <v>View Map</v>
      </c>
    </row>
    <row r="1695" spans="1:6" x14ac:dyDescent="0.35">
      <c r="A1695" s="4" t="s">
        <v>7084</v>
      </c>
      <c r="B1695" s="5" t="s">
        <v>4585</v>
      </c>
      <c r="C1695" s="5" t="s">
        <v>1776</v>
      </c>
      <c r="D1695" s="5" t="s">
        <v>9</v>
      </c>
      <c r="E1695" s="6">
        <v>910</v>
      </c>
      <c r="F1695" s="5" t="str">
        <f>HYPERLINK("https://www.google.com/maps/search/?api=1&amp;query=24.74024189,46.81734478", "View Map")</f>
        <v>View Map</v>
      </c>
    </row>
    <row r="1696" spans="1:6" x14ac:dyDescent="0.35">
      <c r="A1696" s="4" t="s">
        <v>7085</v>
      </c>
      <c r="B1696" s="5" t="s">
        <v>4587</v>
      </c>
      <c r="C1696" s="5" t="s">
        <v>1776</v>
      </c>
      <c r="D1696" s="5" t="s">
        <v>9</v>
      </c>
      <c r="E1696" s="6">
        <v>910</v>
      </c>
      <c r="F1696" s="5" t="str">
        <f>HYPERLINK("https://www.google.com/maps/search/?api=1&amp;query=24.57958915,46.61910479", "View Map")</f>
        <v>View Map</v>
      </c>
    </row>
    <row r="1697" spans="1:6" x14ac:dyDescent="0.35">
      <c r="A1697" s="4" t="s">
        <v>5974</v>
      </c>
      <c r="B1697" s="5" t="s">
        <v>4588</v>
      </c>
      <c r="C1697" s="5" t="s">
        <v>1776</v>
      </c>
      <c r="D1697" s="5" t="s">
        <v>9</v>
      </c>
      <c r="E1697" s="6">
        <v>910</v>
      </c>
      <c r="F1697" s="5" t="str">
        <f>HYPERLINK("https://www.google.com/maps/search/?api=1&amp;query=24.85394456,46.83470267", "View Map")</f>
        <v>View Map</v>
      </c>
    </row>
    <row r="1698" spans="1:6" x14ac:dyDescent="0.35">
      <c r="A1698" s="4" t="s">
        <v>7086</v>
      </c>
      <c r="B1698" s="5" t="s">
        <v>4590</v>
      </c>
      <c r="C1698" s="5" t="s">
        <v>1776</v>
      </c>
      <c r="D1698" s="5" t="s">
        <v>9</v>
      </c>
      <c r="E1698" s="6">
        <v>908</v>
      </c>
      <c r="F1698" s="5" t="str">
        <f>HYPERLINK("https://www.google.com/maps/search/?api=1&amp;query=24.58842846,46.62775371", "View Map")</f>
        <v>View Map</v>
      </c>
    </row>
    <row r="1699" spans="1:6" x14ac:dyDescent="0.35">
      <c r="A1699" s="4" t="s">
        <v>5978</v>
      </c>
      <c r="B1699" s="5" t="s">
        <v>4591</v>
      </c>
      <c r="C1699" s="5" t="s">
        <v>1776</v>
      </c>
      <c r="D1699" s="5" t="s">
        <v>9</v>
      </c>
      <c r="E1699" s="6">
        <v>905</v>
      </c>
      <c r="F1699" s="5" t="str">
        <f>HYPERLINK("https://www.google.com/maps/search/?api=1&amp;query=24.79704184,46.88365533", "View Map")</f>
        <v>View Map</v>
      </c>
    </row>
    <row r="1700" spans="1:6" x14ac:dyDescent="0.35">
      <c r="A1700" s="4" t="s">
        <v>6039</v>
      </c>
      <c r="B1700" s="5" t="s">
        <v>4592</v>
      </c>
      <c r="C1700" s="5" t="s">
        <v>1776</v>
      </c>
      <c r="D1700" s="5" t="s">
        <v>9</v>
      </c>
      <c r="E1700" s="6">
        <v>905</v>
      </c>
      <c r="F1700" s="5" t="str">
        <f>HYPERLINK("https://www.google.com/maps/search/?api=1&amp;query=24.56043057,46.72315106", "View Map")</f>
        <v>View Map</v>
      </c>
    </row>
    <row r="1701" spans="1:6" x14ac:dyDescent="0.35">
      <c r="A1701" s="4" t="s">
        <v>7087</v>
      </c>
      <c r="B1701" s="5" t="s">
        <v>4594</v>
      </c>
      <c r="C1701" s="5" t="s">
        <v>1776</v>
      </c>
      <c r="D1701" s="5" t="s">
        <v>9</v>
      </c>
      <c r="E1701" s="6">
        <v>904</v>
      </c>
      <c r="F1701" s="5" t="str">
        <f>HYPERLINK("https://www.google.com/maps/search/?api=1&amp;query=24.70187815,46.85983424", "View Map")</f>
        <v>View Map</v>
      </c>
    </row>
    <row r="1702" spans="1:6" x14ac:dyDescent="0.35">
      <c r="A1702" s="4" t="s">
        <v>6039</v>
      </c>
      <c r="B1702" s="5" t="s">
        <v>4595</v>
      </c>
      <c r="C1702" s="5" t="s">
        <v>1776</v>
      </c>
      <c r="D1702" s="5" t="s">
        <v>9</v>
      </c>
      <c r="E1702" s="6">
        <v>903</v>
      </c>
      <c r="F1702" s="5" t="str">
        <f>HYPERLINK("https://www.google.com/maps/search/?api=1&amp;query=24.5475,46.5019", "View Map")</f>
        <v>View Map</v>
      </c>
    </row>
    <row r="1703" spans="1:6" x14ac:dyDescent="0.35">
      <c r="A1703" s="4" t="s">
        <v>7088</v>
      </c>
      <c r="B1703" s="5" t="s">
        <v>4597</v>
      </c>
      <c r="C1703" s="5" t="s">
        <v>1776</v>
      </c>
      <c r="D1703" s="5" t="s">
        <v>9</v>
      </c>
      <c r="E1703" s="6">
        <v>903</v>
      </c>
      <c r="F1703" s="5" t="str">
        <f>HYPERLINK("https://www.google.com/maps/search/?api=1&amp;query=24.57269015,46.54711981", "View Map")</f>
        <v>View Map</v>
      </c>
    </row>
    <row r="1704" spans="1:6" x14ac:dyDescent="0.35">
      <c r="A1704" s="4" t="s">
        <v>5974</v>
      </c>
      <c r="B1704" s="5" t="s">
        <v>4598</v>
      </c>
      <c r="C1704" s="5" t="s">
        <v>1776</v>
      </c>
      <c r="D1704" s="5" t="s">
        <v>9</v>
      </c>
      <c r="E1704" s="6">
        <v>903</v>
      </c>
      <c r="F1704" s="5" t="str">
        <f>HYPERLINK("https://www.google.com/maps/search/?api=1&amp;query=24.8714,46.6583", "View Map")</f>
        <v>View Map</v>
      </c>
    </row>
    <row r="1705" spans="1:6" x14ac:dyDescent="0.35">
      <c r="A1705" s="4" t="s">
        <v>5978</v>
      </c>
      <c r="B1705" s="5" t="s">
        <v>4599</v>
      </c>
      <c r="C1705" s="5" t="s">
        <v>1776</v>
      </c>
      <c r="D1705" s="5" t="s">
        <v>9</v>
      </c>
      <c r="E1705" s="6">
        <v>903</v>
      </c>
      <c r="F1705" s="5" t="str">
        <f>HYPERLINK("https://www.google.com/maps/search/?api=1&amp;query=24.65120375,46.58584585", "View Map")</f>
        <v>View Map</v>
      </c>
    </row>
    <row r="1706" spans="1:6" x14ac:dyDescent="0.35">
      <c r="A1706" s="4" t="s">
        <v>7089</v>
      </c>
      <c r="B1706" s="5" t="s">
        <v>4601</v>
      </c>
      <c r="C1706" s="5" t="s">
        <v>1776</v>
      </c>
      <c r="D1706" s="5" t="s">
        <v>318</v>
      </c>
      <c r="E1706" s="6">
        <v>902</v>
      </c>
      <c r="F1706" s="5" t="str">
        <f>HYPERLINK("https://www.google.com/maps/search/?api=1&amp;query=24.67720409,46.72228396", "View Map")</f>
        <v>View Map</v>
      </c>
    </row>
    <row r="1707" spans="1:6" x14ac:dyDescent="0.35">
      <c r="A1707" s="4" t="s">
        <v>7090</v>
      </c>
      <c r="B1707" s="5" t="s">
        <v>4603</v>
      </c>
      <c r="C1707" s="5" t="s">
        <v>1776</v>
      </c>
      <c r="D1707" s="5" t="s">
        <v>9</v>
      </c>
      <c r="E1707" s="6">
        <v>901</v>
      </c>
      <c r="F1707" s="5" t="str">
        <f>HYPERLINK("https://www.google.com/maps/search/?api=1&amp;query=24.74364401,46.77466416", "View Map")</f>
        <v>View Map</v>
      </c>
    </row>
    <row r="1708" spans="1:6" x14ac:dyDescent="0.35">
      <c r="A1708" s="4" t="s">
        <v>5974</v>
      </c>
      <c r="B1708" s="5" t="s">
        <v>4604</v>
      </c>
      <c r="C1708" s="5" t="s">
        <v>1843</v>
      </c>
      <c r="D1708" s="5" t="s">
        <v>9</v>
      </c>
      <c r="E1708" s="6">
        <v>900</v>
      </c>
      <c r="F1708" s="5" t="str">
        <f>HYPERLINK("https://www.google.com/maps/search/?api=1&amp;query=24.7814,46.5739", "View Map")</f>
        <v>View Map</v>
      </c>
    </row>
    <row r="1709" spans="1:6" x14ac:dyDescent="0.35">
      <c r="A1709" s="4" t="s">
        <v>7091</v>
      </c>
      <c r="B1709" s="5" t="s">
        <v>4606</v>
      </c>
      <c r="C1709" s="5" t="s">
        <v>1776</v>
      </c>
      <c r="D1709" s="5" t="s">
        <v>9</v>
      </c>
      <c r="E1709" s="6">
        <v>900</v>
      </c>
      <c r="F1709" s="5" t="str">
        <f>HYPERLINK("https://www.google.com/maps/search/?api=1&amp;query=24.56011764,46.78177022", "View Map")</f>
        <v>View Map</v>
      </c>
    </row>
    <row r="1710" spans="1:6" x14ac:dyDescent="0.35">
      <c r="A1710" s="4" t="s">
        <v>5974</v>
      </c>
      <c r="B1710" s="5" t="s">
        <v>4607</v>
      </c>
      <c r="C1710" s="5" t="s">
        <v>1776</v>
      </c>
      <c r="D1710" s="5" t="s">
        <v>9</v>
      </c>
      <c r="E1710" s="6">
        <v>900</v>
      </c>
      <c r="F1710" s="5" t="str">
        <f>HYPERLINK("https://www.google.com/maps/search/?api=1&amp;query=24.63065981,46.52829146", "View Map")</f>
        <v>View Map</v>
      </c>
    </row>
    <row r="1711" spans="1:6" x14ac:dyDescent="0.35">
      <c r="A1711" s="4" t="s">
        <v>7092</v>
      </c>
      <c r="B1711" s="5" t="s">
        <v>4609</v>
      </c>
      <c r="C1711" s="5" t="s">
        <v>1776</v>
      </c>
      <c r="D1711" s="5" t="s">
        <v>9</v>
      </c>
      <c r="E1711" s="6">
        <v>899</v>
      </c>
      <c r="F1711" s="5" t="str">
        <f>HYPERLINK("https://www.google.com/maps/search/?api=1&amp;query=24.75820738,46.6703758", "View Map")</f>
        <v>View Map</v>
      </c>
    </row>
    <row r="1712" spans="1:6" x14ac:dyDescent="0.35">
      <c r="A1712" s="4" t="s">
        <v>6039</v>
      </c>
      <c r="B1712" s="5" t="s">
        <v>4610</v>
      </c>
      <c r="C1712" s="5" t="s">
        <v>1776</v>
      </c>
      <c r="D1712" s="5" t="s">
        <v>13</v>
      </c>
      <c r="E1712" s="6">
        <v>898</v>
      </c>
      <c r="F1712" s="5" t="str">
        <f>HYPERLINK("https://www.google.com/maps/search/?api=1&amp;query=24.58705242,46.71247986", "View Map")</f>
        <v>View Map</v>
      </c>
    </row>
    <row r="1713" spans="1:6" x14ac:dyDescent="0.35">
      <c r="A1713" s="4" t="s">
        <v>7093</v>
      </c>
      <c r="B1713" s="5" t="s">
        <v>4612</v>
      </c>
      <c r="C1713" s="5" t="s">
        <v>1776</v>
      </c>
      <c r="D1713" s="5" t="s">
        <v>9</v>
      </c>
      <c r="E1713" s="6">
        <v>896</v>
      </c>
      <c r="F1713" s="5" t="str">
        <f>HYPERLINK("https://www.google.com/maps/search/?api=1&amp;query=24.60680673,46.76526728", "View Map")</f>
        <v>View Map</v>
      </c>
    </row>
    <row r="1714" spans="1:6" x14ac:dyDescent="0.35">
      <c r="A1714" s="4" t="s">
        <v>7094</v>
      </c>
      <c r="B1714" s="5" t="s">
        <v>4614</v>
      </c>
      <c r="C1714" s="5" t="s">
        <v>1776</v>
      </c>
      <c r="D1714" s="5" t="s">
        <v>9</v>
      </c>
      <c r="E1714" s="6">
        <v>896</v>
      </c>
      <c r="F1714" s="5" t="str">
        <f>HYPERLINK("https://www.google.com/maps/search/?api=1&amp;query=24.61613761,46.69913729", "View Map")</f>
        <v>View Map</v>
      </c>
    </row>
    <row r="1715" spans="1:6" x14ac:dyDescent="0.35">
      <c r="A1715" s="4" t="s">
        <v>7095</v>
      </c>
      <c r="B1715" s="5" t="s">
        <v>4616</v>
      </c>
      <c r="C1715" s="5" t="s">
        <v>1776</v>
      </c>
      <c r="D1715" s="5" t="s">
        <v>9</v>
      </c>
      <c r="E1715" s="6">
        <v>895</v>
      </c>
      <c r="F1715" s="5" t="str">
        <f>HYPERLINK("https://www.google.com/maps/search/?api=1&amp;query=24.7878944,46.80593822", "View Map")</f>
        <v>View Map</v>
      </c>
    </row>
    <row r="1716" spans="1:6" x14ac:dyDescent="0.35">
      <c r="A1716" s="4" t="s">
        <v>7096</v>
      </c>
      <c r="B1716" s="5" t="s">
        <v>4618</v>
      </c>
      <c r="C1716" s="5" t="s">
        <v>1843</v>
      </c>
      <c r="D1716" s="5" t="s">
        <v>9</v>
      </c>
      <c r="E1716" s="6">
        <v>894</v>
      </c>
      <c r="F1716" s="5" t="str">
        <f>HYPERLINK("https://www.google.com/maps/search/?api=1&amp;query=24.76719441,46.58582488", "View Map")</f>
        <v>View Map</v>
      </c>
    </row>
    <row r="1717" spans="1:6" x14ac:dyDescent="0.35">
      <c r="A1717" s="4" t="s">
        <v>5974</v>
      </c>
      <c r="B1717" s="5" t="s">
        <v>4619</v>
      </c>
      <c r="C1717" s="5" t="s">
        <v>1776</v>
      </c>
      <c r="D1717" s="5" t="s">
        <v>9</v>
      </c>
      <c r="E1717" s="6">
        <v>894</v>
      </c>
      <c r="F1717" s="5" t="str">
        <f>HYPERLINK("https://www.google.com/maps/search/?api=1&amp;query=24.8132609,46.76532847", "View Map")</f>
        <v>View Map</v>
      </c>
    </row>
    <row r="1718" spans="1:6" x14ac:dyDescent="0.35">
      <c r="A1718" s="4" t="s">
        <v>7097</v>
      </c>
      <c r="B1718" s="5" t="s">
        <v>4621</v>
      </c>
      <c r="C1718" s="5" t="s">
        <v>1776</v>
      </c>
      <c r="D1718" s="5" t="s">
        <v>9</v>
      </c>
      <c r="E1718" s="6">
        <v>894</v>
      </c>
      <c r="F1718" s="5" t="str">
        <f>HYPERLINK("https://www.google.com/maps/search/?api=1&amp;query=24.67257506,46.78733377", "View Map")</f>
        <v>View Map</v>
      </c>
    </row>
    <row r="1719" spans="1:6" x14ac:dyDescent="0.35">
      <c r="A1719" s="4" t="s">
        <v>7098</v>
      </c>
      <c r="B1719" s="5" t="s">
        <v>4623</v>
      </c>
      <c r="C1719" s="5" t="s">
        <v>1776</v>
      </c>
      <c r="D1719" s="5" t="s">
        <v>9</v>
      </c>
      <c r="E1719" s="6">
        <v>894</v>
      </c>
      <c r="F1719" s="5" t="str">
        <f>HYPERLINK("https://www.google.com/maps/search/?api=1&amp;query=24.63898121,46.67516509", "View Map")</f>
        <v>View Map</v>
      </c>
    </row>
    <row r="1720" spans="1:6" x14ac:dyDescent="0.35">
      <c r="A1720" s="4" t="s">
        <v>5974</v>
      </c>
      <c r="B1720" s="5" t="s">
        <v>4624</v>
      </c>
      <c r="C1720" s="5" t="s">
        <v>1776</v>
      </c>
      <c r="D1720" s="5" t="s">
        <v>9</v>
      </c>
      <c r="E1720" s="6">
        <v>894</v>
      </c>
      <c r="F1720" s="5" t="str">
        <f>HYPERLINK("https://www.google.com/maps/search/?api=1&amp;query=24.93034518,46.78340554", "View Map")</f>
        <v>View Map</v>
      </c>
    </row>
    <row r="1721" spans="1:6" x14ac:dyDescent="0.35">
      <c r="A1721" s="4" t="s">
        <v>7099</v>
      </c>
      <c r="B1721" s="5" t="s">
        <v>4626</v>
      </c>
      <c r="C1721" s="5" t="s">
        <v>1776</v>
      </c>
      <c r="D1721" s="5" t="s">
        <v>9</v>
      </c>
      <c r="E1721" s="6">
        <v>890</v>
      </c>
      <c r="F1721" s="5" t="str">
        <f>HYPERLINK("https://www.google.com/maps/search/?api=1&amp;query=24.61126672,46.71976765", "View Map")</f>
        <v>View Map</v>
      </c>
    </row>
    <row r="1722" spans="1:6" x14ac:dyDescent="0.35">
      <c r="A1722" s="4" t="s">
        <v>5974</v>
      </c>
      <c r="B1722" s="5" t="s">
        <v>4627</v>
      </c>
      <c r="C1722" s="5" t="s">
        <v>1843</v>
      </c>
      <c r="D1722" s="5" t="s">
        <v>9</v>
      </c>
      <c r="E1722" s="6">
        <v>888</v>
      </c>
      <c r="F1722" s="5" t="str">
        <f>HYPERLINK("https://www.google.com/maps/search/?api=1&amp;query=24.7850055,46.56633954", "View Map")</f>
        <v>View Map</v>
      </c>
    </row>
    <row r="1723" spans="1:6" x14ac:dyDescent="0.35">
      <c r="A1723" s="4" t="s">
        <v>5974</v>
      </c>
      <c r="B1723" s="5" t="s">
        <v>4628</v>
      </c>
      <c r="C1723" s="5" t="s">
        <v>1776</v>
      </c>
      <c r="D1723" s="5" t="s">
        <v>9</v>
      </c>
      <c r="E1723" s="6">
        <v>888</v>
      </c>
      <c r="F1723" s="5" t="str">
        <f>HYPERLINK("https://www.google.com/maps/search/?api=1&amp;query=24.60646472,46.50887128", "View Map")</f>
        <v>View Map</v>
      </c>
    </row>
    <row r="1724" spans="1:6" x14ac:dyDescent="0.35">
      <c r="A1724" s="4" t="s">
        <v>6283</v>
      </c>
      <c r="B1724" s="5" t="s">
        <v>4629</v>
      </c>
      <c r="C1724" s="5" t="s">
        <v>1776</v>
      </c>
      <c r="D1724" s="5" t="s">
        <v>9</v>
      </c>
      <c r="E1724" s="6">
        <v>887</v>
      </c>
      <c r="F1724" s="5" t="str">
        <f>HYPERLINK("https://www.google.com/maps/search/?api=1&amp;query=24.59573145,46.75077188", "View Map")</f>
        <v>View Map</v>
      </c>
    </row>
    <row r="1725" spans="1:6" x14ac:dyDescent="0.35">
      <c r="A1725" s="4" t="s">
        <v>5978</v>
      </c>
      <c r="B1725" s="5" t="s">
        <v>4630</v>
      </c>
      <c r="C1725" s="5" t="s">
        <v>1776</v>
      </c>
      <c r="D1725" s="5" t="s">
        <v>9</v>
      </c>
      <c r="E1725" s="6">
        <v>886</v>
      </c>
      <c r="F1725" s="5" t="str">
        <f>HYPERLINK("https://www.google.com/maps/search/?api=1&amp;query=24.80864369,46.84182029", "View Map")</f>
        <v>View Map</v>
      </c>
    </row>
    <row r="1726" spans="1:6" x14ac:dyDescent="0.35">
      <c r="A1726" s="4" t="s">
        <v>5974</v>
      </c>
      <c r="B1726" s="5" t="s">
        <v>4631</v>
      </c>
      <c r="C1726" s="5" t="s">
        <v>1776</v>
      </c>
      <c r="D1726" s="5" t="s">
        <v>9</v>
      </c>
      <c r="E1726" s="6">
        <v>884</v>
      </c>
      <c r="F1726" s="5" t="str">
        <f>HYPERLINK("https://www.google.com/maps/search/?api=1&amp;query=24.80732227,46.73790035", "View Map")</f>
        <v>View Map</v>
      </c>
    </row>
    <row r="1727" spans="1:6" x14ac:dyDescent="0.35">
      <c r="A1727" s="4" t="s">
        <v>6039</v>
      </c>
      <c r="B1727" s="5" t="s">
        <v>4632</v>
      </c>
      <c r="C1727" s="5" t="s">
        <v>1776</v>
      </c>
      <c r="D1727" s="5" t="s">
        <v>9</v>
      </c>
      <c r="E1727" s="6">
        <v>884</v>
      </c>
      <c r="F1727" s="5" t="str">
        <f>HYPERLINK("https://www.google.com/maps/search/?api=1&amp;query=24.6239875,46.8026029", "View Map")</f>
        <v>View Map</v>
      </c>
    </row>
    <row r="1728" spans="1:6" x14ac:dyDescent="0.35">
      <c r="A1728" s="4" t="s">
        <v>5978</v>
      </c>
      <c r="B1728" s="5" t="s">
        <v>4633</v>
      </c>
      <c r="C1728" s="5" t="s">
        <v>1776</v>
      </c>
      <c r="D1728" s="5" t="s">
        <v>9</v>
      </c>
      <c r="E1728" s="6">
        <v>883</v>
      </c>
      <c r="F1728" s="5" t="str">
        <f>HYPERLINK("https://www.google.com/maps/search/?api=1&amp;query=24.82267215,46.78085607", "View Map")</f>
        <v>View Map</v>
      </c>
    </row>
    <row r="1729" spans="1:6" x14ac:dyDescent="0.35">
      <c r="A1729" s="4" t="s">
        <v>7100</v>
      </c>
      <c r="B1729" s="5" t="s">
        <v>4635</v>
      </c>
      <c r="C1729" s="5" t="s">
        <v>1776</v>
      </c>
      <c r="D1729" s="5" t="s">
        <v>9</v>
      </c>
      <c r="E1729" s="6">
        <v>883</v>
      </c>
      <c r="F1729" s="5" t="str">
        <f>HYPERLINK("https://www.google.com/maps/search/?api=1&amp;query=24.58642562,46.61800224", "View Map")</f>
        <v>View Map</v>
      </c>
    </row>
    <row r="1730" spans="1:6" x14ac:dyDescent="0.35">
      <c r="A1730" s="4" t="s">
        <v>6943</v>
      </c>
      <c r="B1730" s="5" t="s">
        <v>4636</v>
      </c>
      <c r="C1730" s="5" t="s">
        <v>1776</v>
      </c>
      <c r="D1730" s="5" t="s">
        <v>9</v>
      </c>
      <c r="E1730" s="6">
        <v>882</v>
      </c>
      <c r="F1730" s="5" t="str">
        <f>HYPERLINK("https://www.google.com/maps/search/?api=1&amp;query=24.60303417,46.6919254", "View Map")</f>
        <v>View Map</v>
      </c>
    </row>
    <row r="1731" spans="1:6" x14ac:dyDescent="0.35">
      <c r="A1731" s="4" t="s">
        <v>7101</v>
      </c>
      <c r="B1731" s="5" t="s">
        <v>4638</v>
      </c>
      <c r="C1731" s="5" t="s">
        <v>1776</v>
      </c>
      <c r="D1731" s="5" t="s">
        <v>9</v>
      </c>
      <c r="E1731" s="6">
        <v>882</v>
      </c>
      <c r="F1731" s="5" t="str">
        <f>HYPERLINK("https://www.google.com/maps/search/?api=1&amp;query=24.66087039,46.82038991", "View Map")</f>
        <v>View Map</v>
      </c>
    </row>
    <row r="1732" spans="1:6" x14ac:dyDescent="0.35">
      <c r="A1732" s="4" t="s">
        <v>7102</v>
      </c>
      <c r="B1732" s="5" t="s">
        <v>4640</v>
      </c>
      <c r="C1732" s="5" t="s">
        <v>1776</v>
      </c>
      <c r="D1732" s="5" t="s">
        <v>9</v>
      </c>
      <c r="E1732" s="6">
        <v>881</v>
      </c>
      <c r="F1732" s="5" t="str">
        <f>HYPERLINK("https://www.google.com/maps/search/?api=1&amp;query=24.58275977,46.64237807", "View Map")</f>
        <v>View Map</v>
      </c>
    </row>
    <row r="1733" spans="1:6" x14ac:dyDescent="0.35">
      <c r="A1733" s="4" t="s">
        <v>7103</v>
      </c>
      <c r="B1733" s="5" t="s">
        <v>4642</v>
      </c>
      <c r="C1733" s="5" t="s">
        <v>1776</v>
      </c>
      <c r="D1733" s="5" t="s">
        <v>9</v>
      </c>
      <c r="E1733" s="6">
        <v>881</v>
      </c>
      <c r="F1733" s="5" t="str">
        <f>HYPERLINK("https://www.google.com/maps/search/?api=1&amp;query=24.6486736,46.76319581", "View Map")</f>
        <v>View Map</v>
      </c>
    </row>
    <row r="1734" spans="1:6" x14ac:dyDescent="0.35">
      <c r="A1734" s="4" t="s">
        <v>7104</v>
      </c>
      <c r="B1734" s="5" t="s">
        <v>4644</v>
      </c>
      <c r="C1734" s="5" t="s">
        <v>1776</v>
      </c>
      <c r="D1734" s="5" t="s">
        <v>9</v>
      </c>
      <c r="E1734" s="6">
        <v>881</v>
      </c>
      <c r="F1734" s="5" t="str">
        <f>HYPERLINK("https://www.google.com/maps/search/?api=1&amp;query=24.5496813,46.72383562", "View Map")</f>
        <v>View Map</v>
      </c>
    </row>
    <row r="1735" spans="1:6" x14ac:dyDescent="0.35">
      <c r="A1735" s="4" t="s">
        <v>7105</v>
      </c>
      <c r="B1735" s="5" t="s">
        <v>4646</v>
      </c>
      <c r="C1735" s="5" t="s">
        <v>1776</v>
      </c>
      <c r="D1735" s="5" t="s">
        <v>9</v>
      </c>
      <c r="E1735" s="6">
        <v>881</v>
      </c>
      <c r="F1735" s="5" t="str">
        <f>HYPERLINK("https://www.google.com/maps/search/?api=1&amp;query=24.69898014,46.78955452", "View Map")</f>
        <v>View Map</v>
      </c>
    </row>
    <row r="1736" spans="1:6" x14ac:dyDescent="0.35">
      <c r="A1736" s="4" t="s">
        <v>5974</v>
      </c>
      <c r="B1736" s="5" t="s">
        <v>4647</v>
      </c>
      <c r="C1736" s="5" t="s">
        <v>1776</v>
      </c>
      <c r="D1736" s="5" t="s">
        <v>9</v>
      </c>
      <c r="E1736" s="6">
        <v>881</v>
      </c>
      <c r="F1736" s="5" t="str">
        <f>HYPERLINK("https://www.google.com/maps/search/?api=1&amp;query=24.82674918,46.76319077", "View Map")</f>
        <v>View Map</v>
      </c>
    </row>
    <row r="1737" spans="1:6" x14ac:dyDescent="0.35">
      <c r="A1737" s="4" t="s">
        <v>7106</v>
      </c>
      <c r="B1737" s="5" t="s">
        <v>4649</v>
      </c>
      <c r="C1737" s="5" t="s">
        <v>1776</v>
      </c>
      <c r="D1737" s="5" t="s">
        <v>9</v>
      </c>
      <c r="E1737" s="6">
        <v>881</v>
      </c>
      <c r="F1737" s="5" t="str">
        <f>HYPERLINK("https://www.google.com/maps/search/?api=1&amp;query=24.65905346,46.80447859", "View Map")</f>
        <v>View Map</v>
      </c>
    </row>
    <row r="1738" spans="1:6" x14ac:dyDescent="0.35">
      <c r="A1738" s="4" t="s">
        <v>5974</v>
      </c>
      <c r="B1738" s="5" t="s">
        <v>4650</v>
      </c>
      <c r="C1738" s="5" t="s">
        <v>1776</v>
      </c>
      <c r="D1738" s="5" t="s">
        <v>9</v>
      </c>
      <c r="E1738" s="6">
        <v>881</v>
      </c>
      <c r="F1738" s="5" t="str">
        <f>HYPERLINK("https://www.google.com/maps/search/?api=1&amp;query=24.84676895,46.87743294", "View Map")</f>
        <v>View Map</v>
      </c>
    </row>
    <row r="1739" spans="1:6" x14ac:dyDescent="0.35">
      <c r="A1739" s="4" t="s">
        <v>5974</v>
      </c>
      <c r="B1739" s="5" t="s">
        <v>4651</v>
      </c>
      <c r="C1739" s="5" t="s">
        <v>1776</v>
      </c>
      <c r="D1739" s="5" t="s">
        <v>9</v>
      </c>
      <c r="E1739" s="6">
        <v>880</v>
      </c>
      <c r="F1739" s="5" t="str">
        <f>HYPERLINK("https://www.google.com/maps/search/?api=1&amp;query=24.64745102,46.79711355", "View Map")</f>
        <v>View Map</v>
      </c>
    </row>
    <row r="1740" spans="1:6" x14ac:dyDescent="0.35">
      <c r="A1740" s="4" t="s">
        <v>7107</v>
      </c>
      <c r="B1740" s="5" t="s">
        <v>4653</v>
      </c>
      <c r="C1740" s="5" t="s">
        <v>1776</v>
      </c>
      <c r="D1740" s="5" t="s">
        <v>9</v>
      </c>
      <c r="E1740" s="6">
        <v>879</v>
      </c>
      <c r="F1740" s="5" t="str">
        <f>HYPERLINK("https://www.google.com/maps/search/?api=1&amp;query=24.74049902,46.68972122", "View Map")</f>
        <v>View Map</v>
      </c>
    </row>
    <row r="1741" spans="1:6" x14ac:dyDescent="0.35">
      <c r="A1741" s="4" t="s">
        <v>6039</v>
      </c>
      <c r="B1741" s="5" t="s">
        <v>4654</v>
      </c>
      <c r="C1741" s="5" t="s">
        <v>1776</v>
      </c>
      <c r="D1741" s="5" t="s">
        <v>9</v>
      </c>
      <c r="E1741" s="6">
        <v>877</v>
      </c>
      <c r="F1741" s="5" t="str">
        <f>HYPERLINK("https://www.google.com/maps/search/?api=1&amp;query=24.56030096,46.54348166", "View Map")</f>
        <v>View Map</v>
      </c>
    </row>
    <row r="1742" spans="1:6" x14ac:dyDescent="0.35">
      <c r="A1742" s="4" t="s">
        <v>7108</v>
      </c>
      <c r="B1742" s="5" t="s">
        <v>4656</v>
      </c>
      <c r="C1742" s="5" t="s">
        <v>1776</v>
      </c>
      <c r="D1742" s="5" t="s">
        <v>9</v>
      </c>
      <c r="E1742" s="6">
        <v>876</v>
      </c>
      <c r="F1742" s="5" t="str">
        <f>HYPERLINK("https://www.google.com/maps/search/?api=1&amp;query=24.55905408,46.72092626", "View Map")</f>
        <v>View Map</v>
      </c>
    </row>
    <row r="1743" spans="1:6" x14ac:dyDescent="0.35">
      <c r="A1743" s="4" t="s">
        <v>5972</v>
      </c>
      <c r="B1743" s="5" t="s">
        <v>4657</v>
      </c>
      <c r="C1743" s="5" t="s">
        <v>1776</v>
      </c>
      <c r="D1743" s="5" t="s">
        <v>9</v>
      </c>
      <c r="E1743" s="6">
        <v>874</v>
      </c>
      <c r="F1743" s="5" t="str">
        <f>HYPERLINK("https://www.google.com/maps/search/?api=1&amp;query=24.68268129,46.56311181", "View Map")</f>
        <v>View Map</v>
      </c>
    </row>
    <row r="1744" spans="1:6" x14ac:dyDescent="0.35">
      <c r="A1744" s="4" t="s">
        <v>7109</v>
      </c>
      <c r="B1744" s="5" t="s">
        <v>4659</v>
      </c>
      <c r="C1744" s="5" t="s">
        <v>1776</v>
      </c>
      <c r="D1744" s="5" t="s">
        <v>9</v>
      </c>
      <c r="E1744" s="6">
        <v>874</v>
      </c>
      <c r="F1744" s="5" t="str">
        <f>HYPERLINK("https://www.google.com/maps/search/?api=1&amp;query=24.75253842,46.77390533", "View Map")</f>
        <v>View Map</v>
      </c>
    </row>
    <row r="1745" spans="1:6" x14ac:dyDescent="0.35">
      <c r="A1745" s="4" t="s">
        <v>6039</v>
      </c>
      <c r="B1745" s="5" t="s">
        <v>4660</v>
      </c>
      <c r="C1745" s="5" t="s">
        <v>1776</v>
      </c>
      <c r="D1745" s="5" t="s">
        <v>9</v>
      </c>
      <c r="E1745" s="6">
        <v>873</v>
      </c>
      <c r="F1745" s="5" t="str">
        <f>HYPERLINK("https://www.google.com/maps/search/?api=1&amp;query=24.5567,46.5722", "View Map")</f>
        <v>View Map</v>
      </c>
    </row>
    <row r="1746" spans="1:6" x14ac:dyDescent="0.35">
      <c r="A1746" s="4" t="s">
        <v>7110</v>
      </c>
      <c r="B1746" s="5" t="s">
        <v>4662</v>
      </c>
      <c r="C1746" s="5" t="s">
        <v>1776</v>
      </c>
      <c r="D1746" s="5" t="s">
        <v>9</v>
      </c>
      <c r="E1746" s="6">
        <v>873</v>
      </c>
      <c r="F1746" s="5" t="str">
        <f>HYPERLINK("https://www.google.com/maps/search/?api=1&amp;query=24.73820711,46.8144656", "View Map")</f>
        <v>View Map</v>
      </c>
    </row>
    <row r="1747" spans="1:6" x14ac:dyDescent="0.35">
      <c r="A1747" s="4" t="s">
        <v>7111</v>
      </c>
      <c r="B1747" s="5" t="s">
        <v>4664</v>
      </c>
      <c r="C1747" s="5" t="s">
        <v>1776</v>
      </c>
      <c r="D1747" s="5" t="s">
        <v>9</v>
      </c>
      <c r="E1747" s="6">
        <v>871</v>
      </c>
      <c r="F1747" s="5" t="str">
        <f>HYPERLINK("https://www.google.com/maps/search/?api=1&amp;query=24.61379686,46.64277521", "View Map")</f>
        <v>View Map</v>
      </c>
    </row>
    <row r="1748" spans="1:6" x14ac:dyDescent="0.35">
      <c r="A1748" s="4" t="s">
        <v>7112</v>
      </c>
      <c r="B1748" s="5" t="s">
        <v>4666</v>
      </c>
      <c r="C1748" s="5" t="s">
        <v>1776</v>
      </c>
      <c r="D1748" s="5" t="s">
        <v>9</v>
      </c>
      <c r="E1748" s="6">
        <v>871</v>
      </c>
      <c r="F1748" s="5" t="str">
        <f>HYPERLINK("https://www.google.com/maps/search/?api=1&amp;query=24.48644743,46.61966642", "View Map")</f>
        <v>View Map</v>
      </c>
    </row>
    <row r="1749" spans="1:6" x14ac:dyDescent="0.35">
      <c r="A1749" s="4" t="s">
        <v>6519</v>
      </c>
      <c r="B1749" s="5" t="s">
        <v>4667</v>
      </c>
      <c r="C1749" s="5" t="s">
        <v>1776</v>
      </c>
      <c r="D1749" s="5" t="s">
        <v>9</v>
      </c>
      <c r="E1749" s="6">
        <v>871</v>
      </c>
      <c r="F1749" s="5" t="str">
        <f>HYPERLINK("https://www.google.com/maps/search/?api=1&amp;query=24.80307341,46.66421015", "View Map")</f>
        <v>View Map</v>
      </c>
    </row>
    <row r="1750" spans="1:6" x14ac:dyDescent="0.35">
      <c r="A1750" s="4" t="s">
        <v>5974</v>
      </c>
      <c r="B1750" s="5" t="s">
        <v>4668</v>
      </c>
      <c r="C1750" s="5" t="s">
        <v>1776</v>
      </c>
      <c r="D1750" s="5" t="s">
        <v>9</v>
      </c>
      <c r="E1750" s="6">
        <v>869</v>
      </c>
      <c r="F1750" s="5" t="str">
        <f>HYPERLINK("https://www.google.com/maps/search/?api=1&amp;query=24.66616094,46.5153889", "View Map")</f>
        <v>View Map</v>
      </c>
    </row>
    <row r="1751" spans="1:6" x14ac:dyDescent="0.35">
      <c r="A1751" s="4" t="s">
        <v>7113</v>
      </c>
      <c r="B1751" s="5" t="s">
        <v>4670</v>
      </c>
      <c r="C1751" s="5" t="s">
        <v>1776</v>
      </c>
      <c r="D1751" s="5" t="s">
        <v>9</v>
      </c>
      <c r="E1751" s="6">
        <v>868</v>
      </c>
      <c r="F1751" s="5" t="str">
        <f>HYPERLINK("https://www.google.com/maps/search/?api=1&amp;query=24.56690937,46.54187861", "View Map")</f>
        <v>View Map</v>
      </c>
    </row>
    <row r="1752" spans="1:6" x14ac:dyDescent="0.35">
      <c r="A1752" s="4" t="s">
        <v>7114</v>
      </c>
      <c r="B1752" s="5" t="s">
        <v>4672</v>
      </c>
      <c r="C1752" s="5" t="s">
        <v>1776</v>
      </c>
      <c r="D1752" s="5" t="s">
        <v>318</v>
      </c>
      <c r="E1752" s="6">
        <v>868</v>
      </c>
      <c r="F1752" s="5" t="str">
        <f>HYPERLINK("https://www.google.com/maps/search/?api=1&amp;query=24.76836736,46.68432541", "View Map")</f>
        <v>View Map</v>
      </c>
    </row>
    <row r="1753" spans="1:6" x14ac:dyDescent="0.35">
      <c r="A1753" s="4" t="s">
        <v>7115</v>
      </c>
      <c r="B1753" s="5" t="s">
        <v>4674</v>
      </c>
      <c r="C1753" s="5" t="s">
        <v>1776</v>
      </c>
      <c r="D1753" s="5" t="s">
        <v>9</v>
      </c>
      <c r="E1753" s="6">
        <v>867</v>
      </c>
      <c r="F1753" s="5" t="str">
        <f>HYPERLINK("https://www.google.com/maps/search/?api=1&amp;query=24.57131116,46.66407969", "View Map")</f>
        <v>View Map</v>
      </c>
    </row>
    <row r="1754" spans="1:6" x14ac:dyDescent="0.35">
      <c r="A1754" s="4" t="s">
        <v>7077</v>
      </c>
      <c r="B1754" s="5" t="s">
        <v>4675</v>
      </c>
      <c r="C1754" s="5" t="s">
        <v>1776</v>
      </c>
      <c r="D1754" s="5" t="s">
        <v>9</v>
      </c>
      <c r="E1754" s="6">
        <v>866</v>
      </c>
      <c r="F1754" s="5" t="str">
        <f>HYPERLINK("https://www.google.com/maps/search/?api=1&amp;query=24.58740203,46.56905075", "View Map")</f>
        <v>View Map</v>
      </c>
    </row>
    <row r="1755" spans="1:6" x14ac:dyDescent="0.35">
      <c r="A1755" s="4" t="s">
        <v>5974</v>
      </c>
      <c r="B1755" s="5" t="s">
        <v>4676</v>
      </c>
      <c r="C1755" s="5" t="s">
        <v>1776</v>
      </c>
      <c r="D1755" s="5" t="s">
        <v>9</v>
      </c>
      <c r="E1755" s="6">
        <v>866</v>
      </c>
      <c r="F1755" s="5" t="str">
        <f>HYPERLINK("https://www.google.com/maps/search/?api=1&amp;query=24.78529326,46.71730123", "View Map")</f>
        <v>View Map</v>
      </c>
    </row>
    <row r="1756" spans="1:6" x14ac:dyDescent="0.35">
      <c r="A1756" s="4" t="s">
        <v>7116</v>
      </c>
      <c r="B1756" s="5" t="s">
        <v>4677</v>
      </c>
      <c r="C1756" s="5" t="s">
        <v>1776</v>
      </c>
      <c r="D1756" s="5" t="s">
        <v>9</v>
      </c>
      <c r="E1756" s="6">
        <v>864</v>
      </c>
      <c r="F1756" s="5" t="str">
        <f>HYPERLINK("https://www.google.com/maps/search/?api=1&amp;query=24.3947425,46.66050342", "View Map")</f>
        <v>View Map</v>
      </c>
    </row>
    <row r="1757" spans="1:6" x14ac:dyDescent="0.35">
      <c r="A1757" s="4" t="s">
        <v>6627</v>
      </c>
      <c r="B1757" s="5" t="s">
        <v>4678</v>
      </c>
      <c r="C1757" s="5" t="s">
        <v>1776</v>
      </c>
      <c r="D1757" s="5" t="s">
        <v>9</v>
      </c>
      <c r="E1757" s="6">
        <v>863</v>
      </c>
      <c r="F1757" s="5" t="str">
        <f>HYPERLINK("https://www.google.com/maps/search/?api=1&amp;query=24.69278165,46.78913772", "View Map")</f>
        <v>View Map</v>
      </c>
    </row>
    <row r="1758" spans="1:6" x14ac:dyDescent="0.35">
      <c r="A1758" s="4" t="s">
        <v>7117</v>
      </c>
      <c r="B1758" s="5" t="s">
        <v>4680</v>
      </c>
      <c r="C1758" s="5" t="s">
        <v>1776</v>
      </c>
      <c r="D1758" s="5" t="s">
        <v>9</v>
      </c>
      <c r="E1758" s="6">
        <v>862</v>
      </c>
      <c r="F1758" s="5" t="str">
        <f>HYPERLINK("https://www.google.com/maps/search/?api=1&amp;query=24.74673111,46.6790529", "View Map")</f>
        <v>View Map</v>
      </c>
    </row>
    <row r="1759" spans="1:6" x14ac:dyDescent="0.35">
      <c r="A1759" s="4" t="s">
        <v>7118</v>
      </c>
      <c r="B1759" s="5" t="s">
        <v>4682</v>
      </c>
      <c r="C1759" s="5" t="s">
        <v>1776</v>
      </c>
      <c r="D1759" s="5" t="s">
        <v>9</v>
      </c>
      <c r="E1759" s="6">
        <v>862</v>
      </c>
      <c r="F1759" s="5" t="str">
        <f>HYPERLINK("https://www.google.com/maps/search/?api=1&amp;query=24.55224661,46.66793087", "View Map")</f>
        <v>View Map</v>
      </c>
    </row>
    <row r="1760" spans="1:6" x14ac:dyDescent="0.35">
      <c r="A1760" s="4" t="s">
        <v>7119</v>
      </c>
      <c r="B1760" s="5" t="s">
        <v>4684</v>
      </c>
      <c r="C1760" s="5" t="s">
        <v>1776</v>
      </c>
      <c r="D1760" s="5" t="s">
        <v>9</v>
      </c>
      <c r="E1760" s="6">
        <v>861</v>
      </c>
      <c r="F1760" s="5" t="str">
        <f>HYPERLINK("https://www.google.com/maps/search/?api=1&amp;query=24.5502942,46.67884709", "View Map")</f>
        <v>View Map</v>
      </c>
    </row>
    <row r="1761" spans="1:6" x14ac:dyDescent="0.35">
      <c r="A1761" s="4" t="s">
        <v>6415</v>
      </c>
      <c r="B1761" s="5" t="s">
        <v>4685</v>
      </c>
      <c r="C1761" s="5" t="s">
        <v>1776</v>
      </c>
      <c r="D1761" s="5" t="s">
        <v>9</v>
      </c>
      <c r="E1761" s="6">
        <v>861</v>
      </c>
      <c r="F1761" s="5" t="str">
        <f>HYPERLINK("https://www.google.com/maps/search/?api=1&amp;query=24.55604611,46.69934432", "View Map")</f>
        <v>View Map</v>
      </c>
    </row>
    <row r="1762" spans="1:6" x14ac:dyDescent="0.35">
      <c r="A1762" s="4" t="s">
        <v>5974</v>
      </c>
      <c r="B1762" s="5" t="s">
        <v>4686</v>
      </c>
      <c r="C1762" s="5" t="s">
        <v>1776</v>
      </c>
      <c r="D1762" s="5" t="s">
        <v>9</v>
      </c>
      <c r="E1762" s="6">
        <v>860</v>
      </c>
      <c r="F1762" s="5" t="str">
        <f>HYPERLINK("https://www.google.com/maps/search/?api=1&amp;query=24.80154106,46.67644332", "View Map")</f>
        <v>View Map</v>
      </c>
    </row>
    <row r="1763" spans="1:6" x14ac:dyDescent="0.35">
      <c r="A1763" s="4" t="s">
        <v>7120</v>
      </c>
      <c r="B1763" s="5" t="s">
        <v>4688</v>
      </c>
      <c r="C1763" s="5" t="s">
        <v>1776</v>
      </c>
      <c r="D1763" s="5" t="s">
        <v>9</v>
      </c>
      <c r="E1763" s="6">
        <v>860</v>
      </c>
      <c r="F1763" s="5" t="str">
        <f>HYPERLINK("https://www.google.com/maps/search/?api=1&amp;query=24.83245289,46.66595161", "View Map")</f>
        <v>View Map</v>
      </c>
    </row>
    <row r="1764" spans="1:6" x14ac:dyDescent="0.35">
      <c r="A1764" s="4" t="s">
        <v>5978</v>
      </c>
      <c r="B1764" s="5" t="s">
        <v>4689</v>
      </c>
      <c r="C1764" s="5" t="s">
        <v>1776</v>
      </c>
      <c r="D1764" s="5" t="s">
        <v>9</v>
      </c>
      <c r="E1764" s="6">
        <v>860</v>
      </c>
      <c r="F1764" s="5" t="str">
        <f>HYPERLINK("https://www.google.com/maps/search/?api=1&amp;query=24.63361025,46.53735388", "View Map")</f>
        <v>View Map</v>
      </c>
    </row>
    <row r="1765" spans="1:6" x14ac:dyDescent="0.35">
      <c r="A1765" s="4" t="s">
        <v>6065</v>
      </c>
      <c r="B1765" s="5" t="s">
        <v>4690</v>
      </c>
      <c r="C1765" s="5" t="s">
        <v>1776</v>
      </c>
      <c r="D1765" s="5" t="s">
        <v>9</v>
      </c>
      <c r="E1765" s="6">
        <v>859</v>
      </c>
      <c r="F1765" s="5" t="str">
        <f>HYPERLINK("https://www.google.com/maps/search/?api=1&amp;query=24.80712,46.74323", "View Map")</f>
        <v>View Map</v>
      </c>
    </row>
    <row r="1766" spans="1:6" x14ac:dyDescent="0.35">
      <c r="A1766" s="4" t="s">
        <v>5978</v>
      </c>
      <c r="B1766" s="5" t="s">
        <v>4691</v>
      </c>
      <c r="C1766" s="5" t="s">
        <v>1776</v>
      </c>
      <c r="D1766" s="5" t="s">
        <v>9</v>
      </c>
      <c r="E1766" s="6">
        <v>859</v>
      </c>
      <c r="F1766" s="5" t="str">
        <f>HYPERLINK("https://www.google.com/maps/search/?api=1&amp;query=24.77805939,46.7745381", "View Map")</f>
        <v>View Map</v>
      </c>
    </row>
    <row r="1767" spans="1:6" x14ac:dyDescent="0.35">
      <c r="A1767" s="4" t="s">
        <v>7121</v>
      </c>
      <c r="B1767" s="5" t="s">
        <v>4693</v>
      </c>
      <c r="C1767" s="5" t="s">
        <v>1776</v>
      </c>
      <c r="D1767" s="5" t="s">
        <v>9</v>
      </c>
      <c r="E1767" s="6">
        <v>857</v>
      </c>
      <c r="F1767" s="5" t="str">
        <f>HYPERLINK("https://www.google.com/maps/search/?api=1&amp;query=24.53569995,46.66798414", "View Map")</f>
        <v>View Map</v>
      </c>
    </row>
    <row r="1768" spans="1:6" x14ac:dyDescent="0.35">
      <c r="A1768" s="4" t="s">
        <v>7122</v>
      </c>
      <c r="B1768" s="5" t="s">
        <v>4695</v>
      </c>
      <c r="C1768" s="5" t="s">
        <v>1776</v>
      </c>
      <c r="D1768" s="5" t="s">
        <v>9</v>
      </c>
      <c r="E1768" s="6">
        <v>856</v>
      </c>
      <c r="F1768" s="5" t="str">
        <f>HYPERLINK("https://www.google.com/maps/search/?api=1&amp;query=24.63110158,46.56686122", "View Map")</f>
        <v>View Map</v>
      </c>
    </row>
    <row r="1769" spans="1:6" x14ac:dyDescent="0.35">
      <c r="A1769" s="4" t="s">
        <v>7123</v>
      </c>
      <c r="B1769" s="5" t="s">
        <v>4697</v>
      </c>
      <c r="C1769" s="5" t="s">
        <v>1776</v>
      </c>
      <c r="D1769" s="5" t="s">
        <v>9</v>
      </c>
      <c r="E1769" s="6">
        <v>855</v>
      </c>
      <c r="F1769" s="5" t="str">
        <f>HYPERLINK("https://www.google.com/maps/search/?api=1&amp;query=24.57743291,46.61506174", "View Map")</f>
        <v>View Map</v>
      </c>
    </row>
    <row r="1770" spans="1:6" x14ac:dyDescent="0.35">
      <c r="A1770" s="4" t="s">
        <v>7124</v>
      </c>
      <c r="B1770" s="5" t="s">
        <v>4699</v>
      </c>
      <c r="C1770" s="5" t="s">
        <v>1776</v>
      </c>
      <c r="D1770" s="5" t="s">
        <v>9</v>
      </c>
      <c r="E1770" s="6">
        <v>855</v>
      </c>
      <c r="F1770" s="5" t="str">
        <f>HYPERLINK("https://www.google.com/maps/search/?api=1&amp;query=24.636778,46.701024", "View Map")</f>
        <v>View Map</v>
      </c>
    </row>
    <row r="1771" spans="1:6" x14ac:dyDescent="0.35">
      <c r="A1771" s="4" t="s">
        <v>7125</v>
      </c>
      <c r="B1771" s="5" t="s">
        <v>4701</v>
      </c>
      <c r="C1771" s="5" t="s">
        <v>1776</v>
      </c>
      <c r="D1771" s="5" t="s">
        <v>9</v>
      </c>
      <c r="E1771" s="6">
        <v>854</v>
      </c>
      <c r="F1771" s="5" t="str">
        <f>HYPERLINK("https://www.google.com/maps/search/?api=1&amp;query=24.59750659,46.64263773", "View Map")</f>
        <v>View Map</v>
      </c>
    </row>
    <row r="1772" spans="1:6" x14ac:dyDescent="0.35">
      <c r="A1772" s="4" t="s">
        <v>5974</v>
      </c>
      <c r="B1772" s="5" t="s">
        <v>4702</v>
      </c>
      <c r="C1772" s="5" t="s">
        <v>1776</v>
      </c>
      <c r="D1772" s="5" t="s">
        <v>9</v>
      </c>
      <c r="E1772" s="6">
        <v>853</v>
      </c>
      <c r="F1772" s="5" t="str">
        <f>HYPERLINK("https://www.google.com/maps/search/?api=1&amp;query=24.85225717,46.77450288", "View Map")</f>
        <v>View Map</v>
      </c>
    </row>
    <row r="1773" spans="1:6" x14ac:dyDescent="0.35">
      <c r="A1773" s="4" t="s">
        <v>7126</v>
      </c>
      <c r="B1773" s="5" t="s">
        <v>4704</v>
      </c>
      <c r="C1773" s="5" t="s">
        <v>1776</v>
      </c>
      <c r="D1773" s="5" t="s">
        <v>9</v>
      </c>
      <c r="E1773" s="6">
        <v>853</v>
      </c>
      <c r="F1773" s="5" t="str">
        <f>HYPERLINK("https://www.google.com/maps/search/?api=1&amp;query=24.60888921,46.60308595", "View Map")</f>
        <v>View Map</v>
      </c>
    </row>
    <row r="1774" spans="1:6" x14ac:dyDescent="0.35">
      <c r="A1774" s="4" t="s">
        <v>7127</v>
      </c>
      <c r="B1774" s="5" t="s">
        <v>4706</v>
      </c>
      <c r="C1774" s="5" t="s">
        <v>1776</v>
      </c>
      <c r="D1774" s="5" t="s">
        <v>9</v>
      </c>
      <c r="E1774" s="6">
        <v>853</v>
      </c>
      <c r="F1774" s="5" t="str">
        <f>HYPERLINK("https://www.google.com/maps/search/?api=1&amp;query=24.59485371,46.65533906", "View Map")</f>
        <v>View Map</v>
      </c>
    </row>
    <row r="1775" spans="1:6" x14ac:dyDescent="0.35">
      <c r="A1775" s="4" t="s">
        <v>6574</v>
      </c>
      <c r="B1775" s="5" t="s">
        <v>4707</v>
      </c>
      <c r="C1775" s="5" t="s">
        <v>1776</v>
      </c>
      <c r="D1775" s="5" t="s">
        <v>9</v>
      </c>
      <c r="E1775" s="6">
        <v>852</v>
      </c>
      <c r="F1775" s="5" t="str">
        <f>HYPERLINK("https://www.google.com/maps/search/?api=1&amp;query=24.78118915,46.81058625", "View Map")</f>
        <v>View Map</v>
      </c>
    </row>
    <row r="1776" spans="1:6" x14ac:dyDescent="0.35">
      <c r="A1776" s="4" t="s">
        <v>7128</v>
      </c>
      <c r="B1776" s="5" t="s">
        <v>4709</v>
      </c>
      <c r="C1776" s="5" t="s">
        <v>1776</v>
      </c>
      <c r="D1776" s="5" t="s">
        <v>9</v>
      </c>
      <c r="E1776" s="6">
        <v>852</v>
      </c>
      <c r="F1776" s="5" t="str">
        <f>HYPERLINK("https://www.google.com/maps/search/?api=1&amp;query=24.57911872,46.60023553", "View Map")</f>
        <v>View Map</v>
      </c>
    </row>
    <row r="1777" spans="1:6" x14ac:dyDescent="0.35">
      <c r="A1777" s="4" t="s">
        <v>7129</v>
      </c>
      <c r="B1777" s="5" t="s">
        <v>4711</v>
      </c>
      <c r="C1777" s="5" t="s">
        <v>1776</v>
      </c>
      <c r="D1777" s="5" t="s">
        <v>9</v>
      </c>
      <c r="E1777" s="6">
        <v>849</v>
      </c>
      <c r="F1777" s="5" t="str">
        <f>HYPERLINK("https://www.google.com/maps/search/?api=1&amp;query=24.79706673,46.77418713", "View Map")</f>
        <v>View Map</v>
      </c>
    </row>
    <row r="1778" spans="1:6" x14ac:dyDescent="0.35">
      <c r="A1778" s="4" t="s">
        <v>7130</v>
      </c>
      <c r="B1778" s="5" t="s">
        <v>4713</v>
      </c>
      <c r="C1778" s="5" t="s">
        <v>1843</v>
      </c>
      <c r="D1778" s="5" t="s">
        <v>9</v>
      </c>
      <c r="E1778" s="6">
        <v>848</v>
      </c>
      <c r="F1778" s="5" t="str">
        <f>HYPERLINK("https://www.google.com/maps/search/?api=1&amp;query=24.74571002,46.35579148", "View Map")</f>
        <v>View Map</v>
      </c>
    </row>
    <row r="1779" spans="1:6" x14ac:dyDescent="0.35">
      <c r="A1779" s="4" t="s">
        <v>7131</v>
      </c>
      <c r="B1779" s="5" t="s">
        <v>4715</v>
      </c>
      <c r="C1779" s="5" t="s">
        <v>1776</v>
      </c>
      <c r="D1779" s="5" t="s">
        <v>9</v>
      </c>
      <c r="E1779" s="6">
        <v>848</v>
      </c>
      <c r="F1779" s="5" t="str">
        <f>HYPERLINK("https://www.google.com/maps/search/?api=1&amp;query=24.53692088,46.66324574", "View Map")</f>
        <v>View Map</v>
      </c>
    </row>
    <row r="1780" spans="1:6" x14ac:dyDescent="0.35">
      <c r="A1780" s="4" t="s">
        <v>7132</v>
      </c>
      <c r="B1780" s="5" t="s">
        <v>4717</v>
      </c>
      <c r="C1780" s="5" t="s">
        <v>1776</v>
      </c>
      <c r="D1780" s="5" t="s">
        <v>9</v>
      </c>
      <c r="E1780" s="6">
        <v>848</v>
      </c>
      <c r="F1780" s="5" t="str">
        <f>HYPERLINK("https://www.google.com/maps/search/?api=1&amp;query=24.57657698,46.55136564", "View Map")</f>
        <v>View Map</v>
      </c>
    </row>
    <row r="1781" spans="1:6" x14ac:dyDescent="0.35">
      <c r="A1781" s="4" t="s">
        <v>7133</v>
      </c>
      <c r="B1781" s="5" t="s">
        <v>4719</v>
      </c>
      <c r="C1781" s="5" t="s">
        <v>1776</v>
      </c>
      <c r="D1781" s="5" t="s">
        <v>9</v>
      </c>
      <c r="E1781" s="6">
        <v>848</v>
      </c>
      <c r="F1781" s="5" t="str">
        <f>HYPERLINK("https://www.google.com/maps/search/?api=1&amp;query=24.57606782,46.64729956", "View Map")</f>
        <v>View Map</v>
      </c>
    </row>
    <row r="1782" spans="1:6" x14ac:dyDescent="0.35">
      <c r="A1782" s="4" t="s">
        <v>7134</v>
      </c>
      <c r="B1782" s="5" t="s">
        <v>4721</v>
      </c>
      <c r="C1782" s="5" t="s">
        <v>1776</v>
      </c>
      <c r="D1782" s="5" t="s">
        <v>9</v>
      </c>
      <c r="E1782" s="6">
        <v>847</v>
      </c>
      <c r="F1782" s="5" t="str">
        <f>HYPERLINK("https://www.google.com/maps/search/?api=1&amp;query=24.58957426,46.56968774", "View Map")</f>
        <v>View Map</v>
      </c>
    </row>
    <row r="1783" spans="1:6" x14ac:dyDescent="0.35">
      <c r="A1783" s="4" t="s">
        <v>7135</v>
      </c>
      <c r="B1783" s="5" t="s">
        <v>4723</v>
      </c>
      <c r="C1783" s="5" t="s">
        <v>1776</v>
      </c>
      <c r="D1783" s="5" t="s">
        <v>9</v>
      </c>
      <c r="E1783" s="6">
        <v>847</v>
      </c>
      <c r="F1783" s="5" t="str">
        <f>HYPERLINK("https://www.google.com/maps/search/?api=1&amp;query=24.75934701,46.71452459", "View Map")</f>
        <v>View Map</v>
      </c>
    </row>
    <row r="1784" spans="1:6" x14ac:dyDescent="0.35">
      <c r="A1784" s="4" t="s">
        <v>5974</v>
      </c>
      <c r="B1784" s="5" t="s">
        <v>4724</v>
      </c>
      <c r="C1784" s="5" t="s">
        <v>1776</v>
      </c>
      <c r="D1784" s="5" t="s">
        <v>9</v>
      </c>
      <c r="E1784" s="6">
        <v>846</v>
      </c>
      <c r="F1784" s="5" t="str">
        <f>HYPERLINK("https://www.google.com/maps/search/?api=1&amp;query=24.79006225,46.60469117", "View Map")</f>
        <v>View Map</v>
      </c>
    </row>
    <row r="1785" spans="1:6" x14ac:dyDescent="0.35">
      <c r="A1785" s="4" t="s">
        <v>6206</v>
      </c>
      <c r="B1785" s="5" t="s">
        <v>4725</v>
      </c>
      <c r="C1785" s="5" t="s">
        <v>1776</v>
      </c>
      <c r="D1785" s="5" t="s">
        <v>9</v>
      </c>
      <c r="E1785" s="6">
        <v>846</v>
      </c>
      <c r="F1785" s="5" t="str">
        <f>HYPERLINK("https://www.google.com/maps/search/?api=1&amp;query=24.72942312,46.6485086", "View Map")</f>
        <v>View Map</v>
      </c>
    </row>
    <row r="1786" spans="1:6" x14ac:dyDescent="0.35">
      <c r="A1786" s="4" t="s">
        <v>6091</v>
      </c>
      <c r="B1786" s="5" t="s">
        <v>4726</v>
      </c>
      <c r="C1786" s="5" t="s">
        <v>1776</v>
      </c>
      <c r="D1786" s="5" t="s">
        <v>9</v>
      </c>
      <c r="E1786" s="6">
        <v>846</v>
      </c>
      <c r="F1786" s="5" t="str">
        <f>HYPERLINK("https://www.google.com/maps/search/?api=1&amp;query=24.5919537,46.7471375", "View Map")</f>
        <v>View Map</v>
      </c>
    </row>
    <row r="1787" spans="1:6" x14ac:dyDescent="0.35">
      <c r="A1787" s="4" t="s">
        <v>5974</v>
      </c>
      <c r="B1787" s="5" t="s">
        <v>4727</v>
      </c>
      <c r="C1787" s="5" t="s">
        <v>1843</v>
      </c>
      <c r="D1787" s="5" t="s">
        <v>9</v>
      </c>
      <c r="E1787" s="6">
        <v>844</v>
      </c>
      <c r="F1787" s="5" t="str">
        <f>HYPERLINK("https://www.google.com/maps/search/?api=1&amp;query=24.74007,46.51733", "View Map")</f>
        <v>View Map</v>
      </c>
    </row>
    <row r="1788" spans="1:6" x14ac:dyDescent="0.35">
      <c r="A1788" s="4" t="s">
        <v>7136</v>
      </c>
      <c r="B1788" s="5" t="s">
        <v>4729</v>
      </c>
      <c r="C1788" s="5" t="s">
        <v>1776</v>
      </c>
      <c r="D1788" s="5" t="s">
        <v>9</v>
      </c>
      <c r="E1788" s="6">
        <v>844</v>
      </c>
      <c r="F1788" s="5" t="str">
        <f>HYPERLINK("https://www.google.com/maps/search/?api=1&amp;query=24.70203218,46.70816552", "View Map")</f>
        <v>View Map</v>
      </c>
    </row>
    <row r="1789" spans="1:6" x14ac:dyDescent="0.35">
      <c r="A1789" s="4" t="s">
        <v>7137</v>
      </c>
      <c r="B1789" s="5" t="s">
        <v>4731</v>
      </c>
      <c r="C1789" s="5" t="s">
        <v>1776</v>
      </c>
      <c r="D1789" s="5" t="s">
        <v>9</v>
      </c>
      <c r="E1789" s="6">
        <v>844</v>
      </c>
      <c r="F1789" s="5" t="str">
        <f>HYPERLINK("https://www.google.com/maps/search/?api=1&amp;query=24.68988938,46.8142836", "View Map")</f>
        <v>View Map</v>
      </c>
    </row>
    <row r="1790" spans="1:6" x14ac:dyDescent="0.35">
      <c r="A1790" s="4" t="s">
        <v>5974</v>
      </c>
      <c r="B1790" s="5" t="s">
        <v>4732</v>
      </c>
      <c r="C1790" s="5" t="s">
        <v>1776</v>
      </c>
      <c r="D1790" s="5" t="s">
        <v>9</v>
      </c>
      <c r="E1790" s="6">
        <v>843</v>
      </c>
      <c r="F1790" s="5" t="str">
        <f>HYPERLINK("https://www.google.com/maps/search/?api=1&amp;query=24.80907716,46.60710124", "View Map")</f>
        <v>View Map</v>
      </c>
    </row>
    <row r="1791" spans="1:6" x14ac:dyDescent="0.35">
      <c r="A1791" s="4" t="s">
        <v>7138</v>
      </c>
      <c r="B1791" s="5" t="s">
        <v>4734</v>
      </c>
      <c r="C1791" s="5" t="s">
        <v>1776</v>
      </c>
      <c r="D1791" s="5" t="s">
        <v>9</v>
      </c>
      <c r="E1791" s="6">
        <v>843</v>
      </c>
      <c r="F1791" s="5" t="str">
        <f>HYPERLINK("https://www.google.com/maps/search/?api=1&amp;query=24.55673478,46.61292399", "View Map")</f>
        <v>View Map</v>
      </c>
    </row>
    <row r="1792" spans="1:6" x14ac:dyDescent="0.35">
      <c r="A1792" s="4" t="s">
        <v>7139</v>
      </c>
      <c r="B1792" s="5" t="s">
        <v>4736</v>
      </c>
      <c r="C1792" s="5" t="s">
        <v>1776</v>
      </c>
      <c r="D1792" s="5" t="s">
        <v>9</v>
      </c>
      <c r="E1792" s="6">
        <v>843</v>
      </c>
      <c r="F1792" s="5" t="str">
        <f>HYPERLINK("https://www.google.com/maps/search/?api=1&amp;query=24.59929334,46.60025905", "View Map")</f>
        <v>View Map</v>
      </c>
    </row>
    <row r="1793" spans="1:6" x14ac:dyDescent="0.35">
      <c r="A1793" s="4" t="s">
        <v>6039</v>
      </c>
      <c r="B1793" s="5" t="s">
        <v>4737</v>
      </c>
      <c r="C1793" s="5" t="s">
        <v>1776</v>
      </c>
      <c r="D1793" s="5" t="s">
        <v>9</v>
      </c>
      <c r="E1793" s="6">
        <v>841</v>
      </c>
      <c r="F1793" s="5" t="str">
        <f>HYPERLINK("https://www.google.com/maps/search/?api=1&amp;query=24.55393782,46.60335925", "View Map")</f>
        <v>View Map</v>
      </c>
    </row>
    <row r="1794" spans="1:6" x14ac:dyDescent="0.35">
      <c r="A1794" s="4" t="s">
        <v>7140</v>
      </c>
      <c r="B1794" s="5" t="s">
        <v>4739</v>
      </c>
      <c r="C1794" s="5" t="s">
        <v>1776</v>
      </c>
      <c r="D1794" s="5" t="s">
        <v>9</v>
      </c>
      <c r="E1794" s="6">
        <v>841</v>
      </c>
      <c r="F1794" s="5" t="str">
        <f>HYPERLINK("https://www.google.com/maps/search/?api=1&amp;query=24.53087995,46.69445532", "View Map")</f>
        <v>View Map</v>
      </c>
    </row>
    <row r="1795" spans="1:6" x14ac:dyDescent="0.35">
      <c r="A1795" s="4" t="s">
        <v>7141</v>
      </c>
      <c r="B1795" s="5" t="s">
        <v>4741</v>
      </c>
      <c r="C1795" s="5" t="s">
        <v>1776</v>
      </c>
      <c r="D1795" s="5" t="s">
        <v>9</v>
      </c>
      <c r="E1795" s="6">
        <v>840</v>
      </c>
      <c r="F1795" s="5" t="str">
        <f>HYPERLINK("https://www.google.com/maps/search/?api=1&amp;query=24.76834081,46.69345578", "View Map")</f>
        <v>View Map</v>
      </c>
    </row>
    <row r="1796" spans="1:6" x14ac:dyDescent="0.35">
      <c r="A1796" s="4" t="s">
        <v>7142</v>
      </c>
      <c r="B1796" s="5" t="s">
        <v>4743</v>
      </c>
      <c r="C1796" s="5" t="s">
        <v>1776</v>
      </c>
      <c r="D1796" s="5" t="s">
        <v>9</v>
      </c>
      <c r="E1796" s="6">
        <v>839</v>
      </c>
      <c r="F1796" s="5" t="str">
        <f>HYPERLINK("https://www.google.com/maps/search/?api=1&amp;query=24.62772558,46.78719619", "View Map")</f>
        <v>View Map</v>
      </c>
    </row>
    <row r="1797" spans="1:6" x14ac:dyDescent="0.35">
      <c r="A1797" s="4" t="s">
        <v>7143</v>
      </c>
      <c r="B1797" s="5" t="s">
        <v>4745</v>
      </c>
      <c r="C1797" s="5" t="s">
        <v>1776</v>
      </c>
      <c r="D1797" s="5" t="s">
        <v>9</v>
      </c>
      <c r="E1797" s="6">
        <v>839</v>
      </c>
      <c r="F1797" s="5" t="str">
        <f>HYPERLINK("https://www.google.com/maps/search/?api=1&amp;query=24.59708604,46.67724313", "View Map")</f>
        <v>View Map</v>
      </c>
    </row>
    <row r="1798" spans="1:6" x14ac:dyDescent="0.35">
      <c r="A1798" s="4" t="s">
        <v>7144</v>
      </c>
      <c r="B1798" s="5" t="s">
        <v>4747</v>
      </c>
      <c r="C1798" s="5" t="s">
        <v>1776</v>
      </c>
      <c r="D1798" s="5" t="s">
        <v>9</v>
      </c>
      <c r="E1798" s="6">
        <v>838</v>
      </c>
      <c r="F1798" s="5" t="str">
        <f>HYPERLINK("https://www.google.com/maps/search/?api=1&amp;query=24.58383602,46.69042245", "View Map")</f>
        <v>View Map</v>
      </c>
    </row>
    <row r="1799" spans="1:6" x14ac:dyDescent="0.35">
      <c r="A1799" s="4" t="s">
        <v>5974</v>
      </c>
      <c r="B1799" s="5" t="s">
        <v>4748</v>
      </c>
      <c r="C1799" s="5" t="s">
        <v>1776</v>
      </c>
      <c r="D1799" s="5" t="s">
        <v>9</v>
      </c>
      <c r="E1799" s="6">
        <v>838</v>
      </c>
      <c r="F1799" s="5" t="str">
        <f>HYPERLINK("https://www.google.com/maps/search/?api=1&amp;query=24.92334319,46.82037301", "View Map")</f>
        <v>View Map</v>
      </c>
    </row>
    <row r="1800" spans="1:6" x14ac:dyDescent="0.35">
      <c r="A1800" s="4" t="s">
        <v>6134</v>
      </c>
      <c r="B1800" s="5" t="s">
        <v>4749</v>
      </c>
      <c r="C1800" s="5" t="s">
        <v>1776</v>
      </c>
      <c r="D1800" s="5" t="s">
        <v>9</v>
      </c>
      <c r="E1800" s="6">
        <v>837</v>
      </c>
      <c r="F1800" s="5" t="str">
        <f>HYPERLINK("https://www.google.com/maps/search/?api=1&amp;query=24.82690155,46.64332979", "View Map")</f>
        <v>View Map</v>
      </c>
    </row>
    <row r="1801" spans="1:6" x14ac:dyDescent="0.35">
      <c r="A1801" s="4" t="s">
        <v>7145</v>
      </c>
      <c r="B1801" s="5" t="s">
        <v>4751</v>
      </c>
      <c r="C1801" s="5" t="s">
        <v>1776</v>
      </c>
      <c r="D1801" s="5" t="s">
        <v>9</v>
      </c>
      <c r="E1801" s="6">
        <v>837</v>
      </c>
      <c r="F1801" s="5" t="str">
        <f>HYPERLINK("https://www.google.com/maps/search/?api=1&amp;query=24.7006255,46.82128013", "View Map")</f>
        <v>View Map</v>
      </c>
    </row>
    <row r="1802" spans="1:6" x14ac:dyDescent="0.35">
      <c r="A1802" s="4" t="s">
        <v>7146</v>
      </c>
      <c r="B1802" s="5" t="s">
        <v>4753</v>
      </c>
      <c r="C1802" s="5" t="s">
        <v>1776</v>
      </c>
      <c r="D1802" s="5" t="s">
        <v>9</v>
      </c>
      <c r="E1802" s="6">
        <v>836</v>
      </c>
      <c r="F1802" s="5" t="str">
        <f>HYPERLINK("https://www.google.com/maps/search/?api=1&amp;query=24.78508555,46.7574838", "View Map")</f>
        <v>View Map</v>
      </c>
    </row>
    <row r="1803" spans="1:6" x14ac:dyDescent="0.35">
      <c r="A1803" s="4" t="s">
        <v>5972</v>
      </c>
      <c r="B1803" s="5" t="s">
        <v>4754</v>
      </c>
      <c r="C1803" s="5" t="s">
        <v>1776</v>
      </c>
      <c r="D1803" s="5" t="s">
        <v>9</v>
      </c>
      <c r="E1803" s="6">
        <v>835</v>
      </c>
      <c r="F1803" s="5" t="str">
        <f>HYPERLINK("https://www.google.com/maps/search/?api=1&amp;query=24.80023158,46.6833755", "View Map")</f>
        <v>View Map</v>
      </c>
    </row>
    <row r="1804" spans="1:6" x14ac:dyDescent="0.35">
      <c r="A1804" s="4" t="s">
        <v>7147</v>
      </c>
      <c r="B1804" s="5" t="s">
        <v>4756</v>
      </c>
      <c r="C1804" s="5" t="s">
        <v>1776</v>
      </c>
      <c r="D1804" s="5" t="s">
        <v>13</v>
      </c>
      <c r="E1804" s="6">
        <v>835</v>
      </c>
      <c r="F1804" s="5" t="str">
        <f>HYPERLINK("https://www.google.com/maps/search/?api=1&amp;query=24.57955107,46.76374026", "View Map")</f>
        <v>View Map</v>
      </c>
    </row>
    <row r="1805" spans="1:6" x14ac:dyDescent="0.35">
      <c r="A1805" s="4" t="s">
        <v>5978</v>
      </c>
      <c r="B1805" s="5" t="s">
        <v>4757</v>
      </c>
      <c r="C1805" s="5" t="s">
        <v>1843</v>
      </c>
      <c r="D1805" s="5" t="s">
        <v>9</v>
      </c>
      <c r="E1805" s="6">
        <v>833</v>
      </c>
      <c r="F1805" s="5" t="str">
        <f>HYPERLINK("https://www.google.com/maps/search/?api=1&amp;query=24.77341542,46.57789839", "View Map")</f>
        <v>View Map</v>
      </c>
    </row>
    <row r="1806" spans="1:6" x14ac:dyDescent="0.35">
      <c r="A1806" s="4" t="s">
        <v>7148</v>
      </c>
      <c r="B1806" s="5" t="s">
        <v>4759</v>
      </c>
      <c r="C1806" s="5" t="s">
        <v>1776</v>
      </c>
      <c r="D1806" s="5" t="s">
        <v>9</v>
      </c>
      <c r="E1806" s="6">
        <v>833</v>
      </c>
      <c r="F1806" s="5" t="str">
        <f>HYPERLINK("https://www.google.com/maps/search/?api=1&amp;query=24.58796828,46.6979127", "View Map")</f>
        <v>View Map</v>
      </c>
    </row>
    <row r="1807" spans="1:6" x14ac:dyDescent="0.35">
      <c r="A1807" s="4" t="s">
        <v>7149</v>
      </c>
      <c r="B1807" s="5" t="s">
        <v>4761</v>
      </c>
      <c r="C1807" s="5" t="s">
        <v>1776</v>
      </c>
      <c r="D1807" s="5" t="s">
        <v>9</v>
      </c>
      <c r="E1807" s="6">
        <v>831</v>
      </c>
      <c r="F1807" s="5" t="str">
        <f>HYPERLINK("https://www.google.com/maps/search/?api=1&amp;query=24.71129111,46.60995882", "View Map")</f>
        <v>View Map</v>
      </c>
    </row>
    <row r="1808" spans="1:6" x14ac:dyDescent="0.35">
      <c r="A1808" s="4" t="s">
        <v>6247</v>
      </c>
      <c r="B1808" s="5" t="s">
        <v>4762</v>
      </c>
      <c r="C1808" s="5" t="s">
        <v>1776</v>
      </c>
      <c r="D1808" s="5" t="s">
        <v>9</v>
      </c>
      <c r="E1808" s="6">
        <v>831</v>
      </c>
      <c r="F1808" s="5" t="str">
        <f>HYPERLINK("https://www.google.com/maps/search/?api=1&amp;query=24.61390532,46.86947896", "View Map")</f>
        <v>View Map</v>
      </c>
    </row>
    <row r="1809" spans="1:6" x14ac:dyDescent="0.35">
      <c r="A1809" s="4" t="s">
        <v>7150</v>
      </c>
      <c r="B1809" s="5" t="s">
        <v>4764</v>
      </c>
      <c r="C1809" s="5" t="s">
        <v>1776</v>
      </c>
      <c r="D1809" s="5" t="s">
        <v>9</v>
      </c>
      <c r="E1809" s="6">
        <v>830</v>
      </c>
      <c r="F1809" s="5" t="str">
        <f>HYPERLINK("https://www.google.com/maps/search/?api=1&amp;query=24.78753967,46.67607239", "View Map")</f>
        <v>View Map</v>
      </c>
    </row>
    <row r="1810" spans="1:6" x14ac:dyDescent="0.35">
      <c r="A1810" s="4" t="s">
        <v>7151</v>
      </c>
      <c r="B1810" s="5" t="s">
        <v>4766</v>
      </c>
      <c r="C1810" s="5" t="s">
        <v>1776</v>
      </c>
      <c r="D1810" s="5" t="s">
        <v>9</v>
      </c>
      <c r="E1810" s="6">
        <v>830</v>
      </c>
      <c r="F1810" s="5" t="str">
        <f>HYPERLINK("https://www.google.com/maps/search/?api=1&amp;query=24.71158805,46.81123478", "View Map")</f>
        <v>View Map</v>
      </c>
    </row>
    <row r="1811" spans="1:6" x14ac:dyDescent="0.35">
      <c r="A1811" s="4" t="s">
        <v>6788</v>
      </c>
      <c r="B1811" s="5" t="s">
        <v>4767</v>
      </c>
      <c r="C1811" s="5" t="s">
        <v>1776</v>
      </c>
      <c r="D1811" s="5" t="s">
        <v>9</v>
      </c>
      <c r="E1811" s="6">
        <v>829</v>
      </c>
      <c r="F1811" s="5" t="str">
        <f>HYPERLINK("https://www.google.com/maps/search/?api=1&amp;query=24.5344,46.6981", "View Map")</f>
        <v>View Map</v>
      </c>
    </row>
    <row r="1812" spans="1:6" x14ac:dyDescent="0.35">
      <c r="A1812" s="4" t="s">
        <v>7152</v>
      </c>
      <c r="B1812" s="5" t="s">
        <v>4769</v>
      </c>
      <c r="C1812" s="5" t="s">
        <v>1776</v>
      </c>
      <c r="D1812" s="5" t="s">
        <v>9</v>
      </c>
      <c r="E1812" s="6">
        <v>829</v>
      </c>
      <c r="F1812" s="5" t="str">
        <f>HYPERLINK("https://www.google.com/maps/search/?api=1&amp;query=24.82283934,46.74173806", "View Map")</f>
        <v>View Map</v>
      </c>
    </row>
    <row r="1813" spans="1:6" x14ac:dyDescent="0.35">
      <c r="A1813" s="4" t="s">
        <v>6039</v>
      </c>
      <c r="B1813" s="5" t="s">
        <v>4770</v>
      </c>
      <c r="C1813" s="5" t="s">
        <v>1776</v>
      </c>
      <c r="D1813" s="5" t="s">
        <v>9</v>
      </c>
      <c r="E1813" s="6">
        <v>829</v>
      </c>
      <c r="F1813" s="5" t="str">
        <f>HYPERLINK("https://www.google.com/maps/search/?api=1&amp;query=24.50563991,46.62900741", "View Map")</f>
        <v>View Map</v>
      </c>
    </row>
    <row r="1814" spans="1:6" x14ac:dyDescent="0.35">
      <c r="A1814" s="4" t="s">
        <v>6039</v>
      </c>
      <c r="B1814" s="5" t="s">
        <v>4771</v>
      </c>
      <c r="C1814" s="5" t="s">
        <v>1776</v>
      </c>
      <c r="D1814" s="5" t="s">
        <v>9</v>
      </c>
      <c r="E1814" s="6">
        <v>829</v>
      </c>
      <c r="F1814" s="5" t="str">
        <f>HYPERLINK("https://www.google.com/maps/search/?api=1&amp;query=24.56162455,46.70484907", "View Map")</f>
        <v>View Map</v>
      </c>
    </row>
    <row r="1815" spans="1:6" x14ac:dyDescent="0.35">
      <c r="A1815" s="4" t="s">
        <v>7153</v>
      </c>
      <c r="B1815" s="5" t="s">
        <v>4773</v>
      </c>
      <c r="C1815" s="5" t="s">
        <v>1776</v>
      </c>
      <c r="D1815" s="5" t="s">
        <v>9</v>
      </c>
      <c r="E1815" s="6">
        <v>829</v>
      </c>
      <c r="F1815" s="5" t="str">
        <f>HYPERLINK("https://www.google.com/maps/search/?api=1&amp;query=24.54613916,46.72204318", "View Map")</f>
        <v>View Map</v>
      </c>
    </row>
    <row r="1816" spans="1:6" x14ac:dyDescent="0.35">
      <c r="A1816" s="4" t="s">
        <v>7154</v>
      </c>
      <c r="B1816" s="5" t="s">
        <v>4775</v>
      </c>
      <c r="C1816" s="5" t="s">
        <v>1776</v>
      </c>
      <c r="D1816" s="5" t="s">
        <v>9</v>
      </c>
      <c r="E1816" s="6">
        <v>828</v>
      </c>
      <c r="F1816" s="5" t="str">
        <f>HYPERLINK("https://www.google.com/maps/search/?api=1&amp;query=24.61086386,46.7418818", "View Map")</f>
        <v>View Map</v>
      </c>
    </row>
    <row r="1817" spans="1:6" x14ac:dyDescent="0.35">
      <c r="A1817" s="4" t="s">
        <v>5974</v>
      </c>
      <c r="B1817" s="5" t="s">
        <v>4776</v>
      </c>
      <c r="C1817" s="5" t="s">
        <v>1776</v>
      </c>
      <c r="D1817" s="5" t="s">
        <v>9</v>
      </c>
      <c r="E1817" s="6">
        <v>828</v>
      </c>
      <c r="F1817" s="5" t="str">
        <f>HYPERLINK("https://www.google.com/maps/search/?api=1&amp;query=24.86500371,46.62250016", "View Map")</f>
        <v>View Map</v>
      </c>
    </row>
    <row r="1818" spans="1:6" x14ac:dyDescent="0.35">
      <c r="A1818" s="4" t="s">
        <v>7155</v>
      </c>
      <c r="B1818" s="5" t="s">
        <v>4778</v>
      </c>
      <c r="C1818" s="5" t="s">
        <v>1776</v>
      </c>
      <c r="D1818" s="5" t="s">
        <v>9</v>
      </c>
      <c r="E1818" s="6">
        <v>826</v>
      </c>
      <c r="F1818" s="5" t="str">
        <f>HYPERLINK("https://www.google.com/maps/search/?api=1&amp;query=24.54986692,46.69962082", "View Map")</f>
        <v>View Map</v>
      </c>
    </row>
    <row r="1819" spans="1:6" x14ac:dyDescent="0.35">
      <c r="A1819" s="4" t="s">
        <v>7156</v>
      </c>
      <c r="B1819" s="5" t="s">
        <v>4780</v>
      </c>
      <c r="C1819" s="5" t="s">
        <v>1776</v>
      </c>
      <c r="D1819" s="5" t="s">
        <v>9</v>
      </c>
      <c r="E1819" s="6">
        <v>825</v>
      </c>
      <c r="F1819" s="5" t="str">
        <f>HYPERLINK("https://www.google.com/maps/search/?api=1&amp;query=24.68791906,46.76304245", "View Map")</f>
        <v>View Map</v>
      </c>
    </row>
    <row r="1820" spans="1:6" x14ac:dyDescent="0.35">
      <c r="A1820" s="4" t="s">
        <v>7157</v>
      </c>
      <c r="B1820" s="5" t="s">
        <v>4782</v>
      </c>
      <c r="C1820" s="5" t="s">
        <v>1776</v>
      </c>
      <c r="D1820" s="5" t="s">
        <v>9</v>
      </c>
      <c r="E1820" s="6">
        <v>824</v>
      </c>
      <c r="F1820" s="5" t="str">
        <f>HYPERLINK("https://www.google.com/maps/search/?api=1&amp;query=24.77990345,46.77837668", "View Map")</f>
        <v>View Map</v>
      </c>
    </row>
    <row r="1821" spans="1:6" x14ac:dyDescent="0.35">
      <c r="A1821" s="4" t="s">
        <v>7158</v>
      </c>
      <c r="B1821" s="5" t="s">
        <v>4784</v>
      </c>
      <c r="C1821" s="5" t="s">
        <v>1776</v>
      </c>
      <c r="D1821" s="5" t="s">
        <v>9</v>
      </c>
      <c r="E1821" s="6">
        <v>824</v>
      </c>
      <c r="F1821" s="5" t="str">
        <f>HYPERLINK("https://www.google.com/maps/search/?api=1&amp;query=24.73880636,46.82314675", "View Map")</f>
        <v>View Map</v>
      </c>
    </row>
    <row r="1822" spans="1:6" x14ac:dyDescent="0.35">
      <c r="A1822" s="4" t="s">
        <v>7159</v>
      </c>
      <c r="B1822" s="5" t="s">
        <v>4786</v>
      </c>
      <c r="C1822" s="5" t="s">
        <v>1776</v>
      </c>
      <c r="D1822" s="5" t="s">
        <v>9</v>
      </c>
      <c r="E1822" s="6">
        <v>823</v>
      </c>
      <c r="F1822" s="5" t="str">
        <f>HYPERLINK("https://www.google.com/maps/search/?api=1&amp;query=24.75759672,46.78977717", "View Map")</f>
        <v>View Map</v>
      </c>
    </row>
    <row r="1823" spans="1:6" x14ac:dyDescent="0.35">
      <c r="A1823" s="4" t="s">
        <v>5978</v>
      </c>
      <c r="B1823" s="5" t="s">
        <v>4787</v>
      </c>
      <c r="C1823" s="5" t="s">
        <v>1776</v>
      </c>
      <c r="D1823" s="5" t="s">
        <v>9</v>
      </c>
      <c r="E1823" s="6">
        <v>823</v>
      </c>
      <c r="F1823" s="5" t="str">
        <f>HYPERLINK("https://www.google.com/maps/search/?api=1&amp;query=24.61707847,46.53316512", "View Map")</f>
        <v>View Map</v>
      </c>
    </row>
    <row r="1824" spans="1:6" x14ac:dyDescent="0.35">
      <c r="A1824" s="4" t="s">
        <v>5974</v>
      </c>
      <c r="B1824" s="5" t="s">
        <v>4788</v>
      </c>
      <c r="C1824" s="5" t="s">
        <v>1776</v>
      </c>
      <c r="D1824" s="5" t="s">
        <v>9</v>
      </c>
      <c r="E1824" s="6">
        <v>823</v>
      </c>
      <c r="F1824" s="5" t="str">
        <f>HYPERLINK("https://www.google.com/maps/search/?api=1&amp;query=24.83766159,46.80180738", "View Map")</f>
        <v>View Map</v>
      </c>
    </row>
    <row r="1825" spans="1:6" x14ac:dyDescent="0.35">
      <c r="A1825" s="4" t="s">
        <v>6039</v>
      </c>
      <c r="B1825" s="5" t="s">
        <v>4789</v>
      </c>
      <c r="C1825" s="5" t="s">
        <v>1776</v>
      </c>
      <c r="D1825" s="5" t="s">
        <v>9</v>
      </c>
      <c r="E1825" s="6">
        <v>821</v>
      </c>
      <c r="F1825" s="5" t="str">
        <f>HYPERLINK("https://www.google.com/maps/search/?api=1&amp;query=24.55363955,46.6674507", "View Map")</f>
        <v>View Map</v>
      </c>
    </row>
    <row r="1826" spans="1:6" x14ac:dyDescent="0.35">
      <c r="A1826" s="4" t="s">
        <v>6039</v>
      </c>
      <c r="B1826" s="5" t="s">
        <v>4790</v>
      </c>
      <c r="C1826" s="5" t="s">
        <v>1776</v>
      </c>
      <c r="D1826" s="5" t="s">
        <v>9</v>
      </c>
      <c r="E1826" s="6">
        <v>821</v>
      </c>
      <c r="F1826" s="5" t="str">
        <f>HYPERLINK("https://www.google.com/maps/search/?api=1&amp;query=24.52501901,46.64200133", "View Map")</f>
        <v>View Map</v>
      </c>
    </row>
    <row r="1827" spans="1:6" x14ac:dyDescent="0.35">
      <c r="A1827" s="4" t="s">
        <v>7160</v>
      </c>
      <c r="B1827" s="5" t="s">
        <v>4792</v>
      </c>
      <c r="C1827" s="5" t="s">
        <v>1776</v>
      </c>
      <c r="D1827" s="5" t="s">
        <v>9</v>
      </c>
      <c r="E1827" s="6">
        <v>821</v>
      </c>
      <c r="F1827" s="5" t="str">
        <f>HYPERLINK("https://www.google.com/maps/search/?api=1&amp;query=24.58322854,46.62525201", "View Map")</f>
        <v>View Map</v>
      </c>
    </row>
    <row r="1828" spans="1:6" x14ac:dyDescent="0.35">
      <c r="A1828" s="4" t="s">
        <v>5974</v>
      </c>
      <c r="B1828" s="5" t="s">
        <v>4793</v>
      </c>
      <c r="C1828" s="5" t="s">
        <v>1776</v>
      </c>
      <c r="D1828" s="5" t="s">
        <v>9</v>
      </c>
      <c r="E1828" s="6">
        <v>820</v>
      </c>
      <c r="F1828" s="5" t="str">
        <f>HYPERLINK("https://www.google.com/maps/search/?api=1&amp;query=24.63385237,46.5697945", "View Map")</f>
        <v>View Map</v>
      </c>
    </row>
    <row r="1829" spans="1:6" x14ac:dyDescent="0.35">
      <c r="A1829" s="4" t="s">
        <v>5974</v>
      </c>
      <c r="B1829" s="5" t="s">
        <v>4794</v>
      </c>
      <c r="C1829" s="5" t="s">
        <v>1776</v>
      </c>
      <c r="D1829" s="5" t="s">
        <v>9</v>
      </c>
      <c r="E1829" s="6">
        <v>818</v>
      </c>
      <c r="F1829" s="5" t="str">
        <f>HYPERLINK("https://www.google.com/maps/search/?api=1&amp;query=24.67529007,46.79620197", "View Map")</f>
        <v>View Map</v>
      </c>
    </row>
    <row r="1830" spans="1:6" x14ac:dyDescent="0.35">
      <c r="A1830" s="4" t="s">
        <v>7161</v>
      </c>
      <c r="B1830" s="5" t="s">
        <v>4796</v>
      </c>
      <c r="C1830" s="5" t="s">
        <v>1776</v>
      </c>
      <c r="D1830" s="5" t="s">
        <v>9</v>
      </c>
      <c r="E1830" s="6">
        <v>818</v>
      </c>
      <c r="F1830" s="5" t="str">
        <f>HYPERLINK("https://www.google.com/maps/search/?api=1&amp;query=24.57820219,46.58912509", "View Map")</f>
        <v>View Map</v>
      </c>
    </row>
    <row r="1831" spans="1:6" x14ac:dyDescent="0.35">
      <c r="A1831" s="4" t="s">
        <v>7162</v>
      </c>
      <c r="B1831" s="5" t="s">
        <v>4798</v>
      </c>
      <c r="C1831" s="5" t="s">
        <v>1776</v>
      </c>
      <c r="D1831" s="5" t="s">
        <v>9</v>
      </c>
      <c r="E1831" s="6">
        <v>817</v>
      </c>
      <c r="F1831" s="5" t="str">
        <f>HYPERLINK("https://www.google.com/maps/search/?api=1&amp;query=24.67468812,46.81850128", "View Map")</f>
        <v>View Map</v>
      </c>
    </row>
    <row r="1832" spans="1:6" x14ac:dyDescent="0.35">
      <c r="A1832" s="4" t="s">
        <v>7163</v>
      </c>
      <c r="B1832" s="5" t="s">
        <v>4800</v>
      </c>
      <c r="C1832" s="5" t="s">
        <v>1776</v>
      </c>
      <c r="D1832" s="5" t="s">
        <v>9</v>
      </c>
      <c r="E1832" s="6">
        <v>817</v>
      </c>
      <c r="F1832" s="5" t="str">
        <f>HYPERLINK("https://www.google.com/maps/search/?api=1&amp;query=24.55872124,46.70698581", "View Map")</f>
        <v>View Map</v>
      </c>
    </row>
    <row r="1833" spans="1:6" x14ac:dyDescent="0.35">
      <c r="A1833" s="4" t="s">
        <v>6614</v>
      </c>
      <c r="B1833" s="5" t="s">
        <v>4801</v>
      </c>
      <c r="C1833" s="5" t="s">
        <v>1776</v>
      </c>
      <c r="D1833" s="5" t="s">
        <v>9</v>
      </c>
      <c r="E1833" s="6">
        <v>816</v>
      </c>
      <c r="F1833" s="5" t="str">
        <f>HYPERLINK("https://www.google.com/maps/search/?api=1&amp;query=24.58300865,46.68434332", "View Map")</f>
        <v>View Map</v>
      </c>
    </row>
    <row r="1834" spans="1:6" x14ac:dyDescent="0.35">
      <c r="A1834" s="4" t="s">
        <v>7164</v>
      </c>
      <c r="B1834" s="5" t="s">
        <v>4803</v>
      </c>
      <c r="C1834" s="5" t="s">
        <v>1776</v>
      </c>
      <c r="D1834" s="5" t="s">
        <v>9</v>
      </c>
      <c r="E1834" s="6">
        <v>815</v>
      </c>
      <c r="F1834" s="5" t="str">
        <f>HYPERLINK("https://www.google.com/maps/search/?api=1&amp;query=24.73495996,46.82072804", "View Map")</f>
        <v>View Map</v>
      </c>
    </row>
    <row r="1835" spans="1:6" x14ac:dyDescent="0.35">
      <c r="A1835" s="4" t="s">
        <v>7165</v>
      </c>
      <c r="B1835" s="5" t="s">
        <v>4805</v>
      </c>
      <c r="C1835" s="5" t="s">
        <v>1776</v>
      </c>
      <c r="D1835" s="5" t="s">
        <v>9</v>
      </c>
      <c r="E1835" s="6">
        <v>814</v>
      </c>
      <c r="F1835" s="5" t="str">
        <f>HYPERLINK("https://www.google.com/maps/search/?api=1&amp;query=24.58173059,46.66104574", "View Map")</f>
        <v>View Map</v>
      </c>
    </row>
    <row r="1836" spans="1:6" x14ac:dyDescent="0.35">
      <c r="A1836" s="4" t="s">
        <v>7166</v>
      </c>
      <c r="B1836" s="5" t="s">
        <v>4807</v>
      </c>
      <c r="C1836" s="5" t="s">
        <v>1776</v>
      </c>
      <c r="D1836" s="5" t="s">
        <v>9</v>
      </c>
      <c r="E1836" s="6">
        <v>814</v>
      </c>
      <c r="F1836" s="5" t="str">
        <f>HYPERLINK("https://www.google.com/maps/search/?api=1&amp;query=24.78872338,46.81821817", "View Map")</f>
        <v>View Map</v>
      </c>
    </row>
    <row r="1837" spans="1:6" x14ac:dyDescent="0.35">
      <c r="A1837" s="4" t="s">
        <v>5974</v>
      </c>
      <c r="B1837" s="5" t="s">
        <v>4808</v>
      </c>
      <c r="C1837" s="5" t="s">
        <v>1776</v>
      </c>
      <c r="D1837" s="5" t="s">
        <v>9</v>
      </c>
      <c r="E1837" s="6">
        <v>814</v>
      </c>
      <c r="F1837" s="5" t="str">
        <f>HYPERLINK("https://www.google.com/maps/search/?api=1&amp;query=24.67053403,46.54612797", "View Map")</f>
        <v>View Map</v>
      </c>
    </row>
    <row r="1838" spans="1:6" x14ac:dyDescent="0.35">
      <c r="A1838" s="4" t="s">
        <v>7167</v>
      </c>
      <c r="B1838" s="5" t="s">
        <v>4810</v>
      </c>
      <c r="C1838" s="5" t="s">
        <v>1776</v>
      </c>
      <c r="D1838" s="5" t="s">
        <v>9</v>
      </c>
      <c r="E1838" s="6">
        <v>813</v>
      </c>
      <c r="F1838" s="5" t="str">
        <f>HYPERLINK("https://www.google.com/maps/search/?api=1&amp;query=24.8204805,46.65611957", "View Map")</f>
        <v>View Map</v>
      </c>
    </row>
    <row r="1839" spans="1:6" x14ac:dyDescent="0.35">
      <c r="A1839" s="4" t="s">
        <v>7168</v>
      </c>
      <c r="B1839" s="5" t="s">
        <v>4812</v>
      </c>
      <c r="C1839" s="5" t="s">
        <v>1843</v>
      </c>
      <c r="D1839" s="5" t="s">
        <v>9</v>
      </c>
      <c r="E1839" s="6">
        <v>813</v>
      </c>
      <c r="F1839" s="5" t="str">
        <f>HYPERLINK("https://www.google.com/maps/search/?api=1&amp;query=24.74346695,46.58836502", "View Map")</f>
        <v>View Map</v>
      </c>
    </row>
    <row r="1840" spans="1:6" x14ac:dyDescent="0.35">
      <c r="A1840" s="4" t="s">
        <v>6039</v>
      </c>
      <c r="B1840" s="5" t="s">
        <v>4813</v>
      </c>
      <c r="C1840" s="5" t="s">
        <v>1776</v>
      </c>
      <c r="D1840" s="5" t="s">
        <v>9</v>
      </c>
      <c r="E1840" s="6">
        <v>812</v>
      </c>
      <c r="F1840" s="5" t="str">
        <f>HYPERLINK("https://www.google.com/maps/search/?api=1&amp;query=24.55068893,46.63014862", "View Map")</f>
        <v>View Map</v>
      </c>
    </row>
    <row r="1841" spans="1:6" x14ac:dyDescent="0.35">
      <c r="A1841" s="4" t="s">
        <v>7169</v>
      </c>
      <c r="B1841" s="5" t="s">
        <v>4815</v>
      </c>
      <c r="C1841" s="5" t="s">
        <v>1776</v>
      </c>
      <c r="D1841" s="5" t="s">
        <v>318</v>
      </c>
      <c r="E1841" s="6">
        <v>812</v>
      </c>
      <c r="F1841" s="5" t="str">
        <f>HYPERLINK("https://www.google.com/maps/search/?api=1&amp;query=24.77888061,46.67934118", "View Map")</f>
        <v>View Map</v>
      </c>
    </row>
    <row r="1842" spans="1:6" x14ac:dyDescent="0.35">
      <c r="A1842" s="4" t="s">
        <v>7170</v>
      </c>
      <c r="B1842" s="5" t="s">
        <v>4817</v>
      </c>
      <c r="C1842" s="5" t="s">
        <v>1776</v>
      </c>
      <c r="D1842" s="5" t="s">
        <v>9</v>
      </c>
      <c r="E1842" s="6">
        <v>812</v>
      </c>
      <c r="F1842" s="5" t="str">
        <f>HYPERLINK("https://www.google.com/maps/search/?api=1&amp;query=24.55956174,46.76150347", "View Map")</f>
        <v>View Map</v>
      </c>
    </row>
    <row r="1843" spans="1:6" x14ac:dyDescent="0.35">
      <c r="A1843" s="4" t="s">
        <v>6039</v>
      </c>
      <c r="B1843" s="5" t="s">
        <v>4818</v>
      </c>
      <c r="C1843" s="5" t="s">
        <v>1776</v>
      </c>
      <c r="D1843" s="5" t="s">
        <v>9</v>
      </c>
      <c r="E1843" s="6">
        <v>810</v>
      </c>
      <c r="F1843" s="5" t="str">
        <f>HYPERLINK("https://www.google.com/maps/search/?api=1&amp;query=24.55363955,46.6674507", "View Map")</f>
        <v>View Map</v>
      </c>
    </row>
    <row r="1844" spans="1:6" x14ac:dyDescent="0.35">
      <c r="A1844" s="4" t="s">
        <v>6039</v>
      </c>
      <c r="B1844" s="5" t="s">
        <v>4819</v>
      </c>
      <c r="C1844" s="5" t="s">
        <v>1776</v>
      </c>
      <c r="D1844" s="5" t="s">
        <v>9</v>
      </c>
      <c r="E1844" s="6">
        <v>810</v>
      </c>
      <c r="F1844" s="5" t="str">
        <f>HYPERLINK("https://www.google.com/maps/search/?api=1&amp;query=24.55454811,46.63405477", "View Map")</f>
        <v>View Map</v>
      </c>
    </row>
    <row r="1845" spans="1:6" x14ac:dyDescent="0.35">
      <c r="A1845" s="4" t="s">
        <v>7171</v>
      </c>
      <c r="B1845" s="5" t="s">
        <v>4821</v>
      </c>
      <c r="C1845" s="5" t="s">
        <v>1776</v>
      </c>
      <c r="D1845" s="5" t="s">
        <v>9</v>
      </c>
      <c r="E1845" s="6">
        <v>809</v>
      </c>
      <c r="F1845" s="5" t="str">
        <f>HYPERLINK("https://www.google.com/maps/search/?api=1&amp;query=24.74515969,46.75285959", "View Map")</f>
        <v>View Map</v>
      </c>
    </row>
    <row r="1846" spans="1:6" x14ac:dyDescent="0.35">
      <c r="A1846" s="4" t="s">
        <v>6283</v>
      </c>
      <c r="B1846" s="5" t="s">
        <v>4822</v>
      </c>
      <c r="C1846" s="5" t="s">
        <v>1776</v>
      </c>
      <c r="D1846" s="5" t="s">
        <v>9</v>
      </c>
      <c r="E1846" s="6">
        <v>809</v>
      </c>
      <c r="F1846" s="5" t="str">
        <f>HYPERLINK("https://www.google.com/maps/search/?api=1&amp;query=24.58107035,46.7845072", "View Map")</f>
        <v>View Map</v>
      </c>
    </row>
    <row r="1847" spans="1:6" x14ac:dyDescent="0.35">
      <c r="A1847" s="4" t="s">
        <v>5974</v>
      </c>
      <c r="B1847" s="5" t="s">
        <v>4823</v>
      </c>
      <c r="C1847" s="5" t="s">
        <v>1776</v>
      </c>
      <c r="D1847" s="5" t="s">
        <v>9</v>
      </c>
      <c r="E1847" s="6">
        <v>808</v>
      </c>
      <c r="F1847" s="5" t="str">
        <f>HYPERLINK("https://www.google.com/maps/search/?api=1&amp;query=24.806819,46.82055937", "View Map")</f>
        <v>View Map</v>
      </c>
    </row>
    <row r="1848" spans="1:6" x14ac:dyDescent="0.35">
      <c r="A1848" s="4" t="s">
        <v>6039</v>
      </c>
      <c r="B1848" s="5" t="s">
        <v>4824</v>
      </c>
      <c r="C1848" s="5" t="s">
        <v>1776</v>
      </c>
      <c r="D1848" s="5" t="s">
        <v>9</v>
      </c>
      <c r="E1848" s="6">
        <v>808</v>
      </c>
      <c r="F1848" s="5" t="str">
        <f>HYPERLINK("https://www.google.com/maps/search/?api=1&amp;query=24.56347807,46.5287017", "View Map")</f>
        <v>View Map</v>
      </c>
    </row>
    <row r="1849" spans="1:6" x14ac:dyDescent="0.35">
      <c r="A1849" s="4" t="s">
        <v>7172</v>
      </c>
      <c r="B1849" s="5" t="s">
        <v>4826</v>
      </c>
      <c r="C1849" s="5" t="s">
        <v>1776</v>
      </c>
      <c r="D1849" s="5" t="s">
        <v>9</v>
      </c>
      <c r="E1849" s="6">
        <v>808</v>
      </c>
      <c r="F1849" s="5" t="str">
        <f>HYPERLINK("https://www.google.com/maps/search/?api=1&amp;query=24.58271887,46.62109676", "View Map")</f>
        <v>View Map</v>
      </c>
    </row>
    <row r="1850" spans="1:6" x14ac:dyDescent="0.35">
      <c r="A1850" s="4" t="s">
        <v>7173</v>
      </c>
      <c r="B1850" s="5" t="s">
        <v>4828</v>
      </c>
      <c r="C1850" s="5" t="s">
        <v>1776</v>
      </c>
      <c r="D1850" s="5" t="s">
        <v>9</v>
      </c>
      <c r="E1850" s="6">
        <v>808</v>
      </c>
      <c r="F1850" s="5" t="str">
        <f>HYPERLINK("https://www.google.com/maps/search/?api=1&amp;query=24.74898477,46.62586132", "View Map")</f>
        <v>View Map</v>
      </c>
    </row>
    <row r="1851" spans="1:6" x14ac:dyDescent="0.35">
      <c r="A1851" s="4" t="s">
        <v>6788</v>
      </c>
      <c r="B1851" s="5" t="s">
        <v>4829</v>
      </c>
      <c r="C1851" s="5" t="s">
        <v>1776</v>
      </c>
      <c r="D1851" s="5" t="s">
        <v>9</v>
      </c>
      <c r="E1851" s="6">
        <v>808</v>
      </c>
      <c r="F1851" s="5" t="str">
        <f>HYPERLINK("https://www.google.com/maps/search/?api=1&amp;query=24.54393524,46.70151236", "View Map")</f>
        <v>View Map</v>
      </c>
    </row>
    <row r="1852" spans="1:6" x14ac:dyDescent="0.35">
      <c r="A1852" s="4" t="s">
        <v>7174</v>
      </c>
      <c r="B1852" s="5" t="s">
        <v>4831</v>
      </c>
      <c r="C1852" s="5" t="s">
        <v>1776</v>
      </c>
      <c r="D1852" s="5" t="s">
        <v>9</v>
      </c>
      <c r="E1852" s="6">
        <v>807</v>
      </c>
      <c r="F1852" s="5" t="str">
        <f>HYPERLINK("https://www.google.com/maps/search/?api=1&amp;query=24.58693637,46.76576371", "View Map")</f>
        <v>View Map</v>
      </c>
    </row>
    <row r="1853" spans="1:6" x14ac:dyDescent="0.35">
      <c r="A1853" s="4" t="s">
        <v>6225</v>
      </c>
      <c r="B1853" s="5" t="s">
        <v>4832</v>
      </c>
      <c r="C1853" s="5" t="s">
        <v>1776</v>
      </c>
      <c r="D1853" s="5" t="s">
        <v>9</v>
      </c>
      <c r="E1853" s="6">
        <v>806</v>
      </c>
      <c r="F1853" s="5" t="str">
        <f>HYPERLINK("https://www.google.com/maps/search/?api=1&amp;query=24.60547967,46.74862502", "View Map")</f>
        <v>View Map</v>
      </c>
    </row>
    <row r="1854" spans="1:6" x14ac:dyDescent="0.35">
      <c r="A1854" s="4" t="s">
        <v>7175</v>
      </c>
      <c r="B1854" s="5" t="s">
        <v>4834</v>
      </c>
      <c r="C1854" s="5" t="s">
        <v>1776</v>
      </c>
      <c r="D1854" s="5" t="s">
        <v>9</v>
      </c>
      <c r="E1854" s="6">
        <v>806</v>
      </c>
      <c r="F1854" s="5" t="str">
        <f>HYPERLINK("https://www.google.com/maps/search/?api=1&amp;query=24.59439349,46.74620172", "View Map")</f>
        <v>View Map</v>
      </c>
    </row>
    <row r="1855" spans="1:6" x14ac:dyDescent="0.35">
      <c r="A1855" s="4" t="s">
        <v>7176</v>
      </c>
      <c r="B1855" s="5" t="s">
        <v>4836</v>
      </c>
      <c r="C1855" s="5" t="s">
        <v>1776</v>
      </c>
      <c r="D1855" s="5" t="s">
        <v>9</v>
      </c>
      <c r="E1855" s="6">
        <v>806</v>
      </c>
      <c r="F1855" s="5" t="str">
        <f>HYPERLINK("https://www.google.com/maps/search/?api=1&amp;query=24.5912307,46.54045824", "View Map")</f>
        <v>View Map</v>
      </c>
    </row>
    <row r="1856" spans="1:6" x14ac:dyDescent="0.35">
      <c r="A1856" s="4" t="s">
        <v>6486</v>
      </c>
      <c r="B1856" s="5" t="s">
        <v>4837</v>
      </c>
      <c r="C1856" s="5" t="s">
        <v>1776</v>
      </c>
      <c r="D1856" s="5" t="s">
        <v>9</v>
      </c>
      <c r="E1856" s="6">
        <v>806</v>
      </c>
      <c r="F1856" s="5" t="str">
        <f>HYPERLINK("https://www.google.com/maps/search/?api=1&amp;query=24.51514961,46.72642852", "View Map")</f>
        <v>View Map</v>
      </c>
    </row>
    <row r="1857" spans="1:6" x14ac:dyDescent="0.35">
      <c r="A1857" s="4" t="s">
        <v>7177</v>
      </c>
      <c r="B1857" s="5" t="s">
        <v>4839</v>
      </c>
      <c r="C1857" s="5" t="s">
        <v>1776</v>
      </c>
      <c r="D1857" s="5" t="s">
        <v>9</v>
      </c>
      <c r="E1857" s="6">
        <v>805</v>
      </c>
      <c r="F1857" s="5" t="str">
        <f>HYPERLINK("https://www.google.com/maps/search/?api=1&amp;query=24.5756853,46.76371107", "View Map")</f>
        <v>View Map</v>
      </c>
    </row>
    <row r="1858" spans="1:6" x14ac:dyDescent="0.35">
      <c r="A1858" s="4" t="s">
        <v>7178</v>
      </c>
      <c r="B1858" s="5" t="s">
        <v>4841</v>
      </c>
      <c r="C1858" s="5" t="s">
        <v>1776</v>
      </c>
      <c r="D1858" s="5" t="s">
        <v>9</v>
      </c>
      <c r="E1858" s="6">
        <v>805</v>
      </c>
      <c r="F1858" s="5" t="str">
        <f>HYPERLINK("https://www.google.com/maps/search/?api=1&amp;query=24.56231932,46.68050073", "View Map")</f>
        <v>View Map</v>
      </c>
    </row>
    <row r="1859" spans="1:6" x14ac:dyDescent="0.35">
      <c r="A1859" s="4" t="s">
        <v>7179</v>
      </c>
      <c r="B1859" s="5" t="s">
        <v>4843</v>
      </c>
      <c r="C1859" s="5" t="s">
        <v>1776</v>
      </c>
      <c r="D1859" s="5" t="s">
        <v>9</v>
      </c>
      <c r="E1859" s="6">
        <v>805</v>
      </c>
      <c r="F1859" s="5" t="str">
        <f>HYPERLINK("https://www.google.com/maps/search/?api=1&amp;query=24.63925396,46.74277525", "View Map")</f>
        <v>View Map</v>
      </c>
    </row>
    <row r="1860" spans="1:6" x14ac:dyDescent="0.35">
      <c r="A1860" s="4" t="s">
        <v>7180</v>
      </c>
      <c r="B1860" s="5" t="s">
        <v>4845</v>
      </c>
      <c r="C1860" s="5" t="s">
        <v>1776</v>
      </c>
      <c r="D1860" s="5" t="s">
        <v>9</v>
      </c>
      <c r="E1860" s="6">
        <v>804</v>
      </c>
      <c r="F1860" s="5" t="str">
        <f>HYPERLINK("https://www.google.com/maps/search/?api=1&amp;query=24.70235429,46.77728484", "View Map")</f>
        <v>View Map</v>
      </c>
    </row>
    <row r="1861" spans="1:6" x14ac:dyDescent="0.35">
      <c r="A1861" s="4" t="s">
        <v>6039</v>
      </c>
      <c r="B1861" s="5" t="s">
        <v>4846</v>
      </c>
      <c r="C1861" s="5" t="s">
        <v>1776</v>
      </c>
      <c r="D1861" s="5" t="s">
        <v>9</v>
      </c>
      <c r="E1861" s="6">
        <v>804</v>
      </c>
      <c r="F1861" s="5" t="str">
        <f>HYPERLINK("https://www.google.com/maps/search/?api=1&amp;query=24.5667,46.5528", "View Map")</f>
        <v>View Map</v>
      </c>
    </row>
    <row r="1862" spans="1:6" x14ac:dyDescent="0.35">
      <c r="A1862" s="4" t="s">
        <v>7181</v>
      </c>
      <c r="B1862" s="5" t="s">
        <v>4848</v>
      </c>
      <c r="C1862" s="5" t="s">
        <v>1776</v>
      </c>
      <c r="D1862" s="5" t="s">
        <v>9</v>
      </c>
      <c r="E1862" s="6">
        <v>803</v>
      </c>
      <c r="F1862" s="5" t="str">
        <f>HYPERLINK("https://www.google.com/maps/search/?api=1&amp;query=24.74764861,46.83726737", "View Map")</f>
        <v>View Map</v>
      </c>
    </row>
    <row r="1863" spans="1:6" x14ac:dyDescent="0.35">
      <c r="A1863" s="4" t="s">
        <v>7182</v>
      </c>
      <c r="B1863" s="5" t="s">
        <v>4850</v>
      </c>
      <c r="C1863" s="5" t="s">
        <v>1776</v>
      </c>
      <c r="D1863" s="5" t="s">
        <v>9</v>
      </c>
      <c r="E1863" s="6">
        <v>803</v>
      </c>
      <c r="F1863" s="5" t="str">
        <f>HYPERLINK("https://www.google.com/maps/search/?api=1&amp;query=24.65746489,46.82236998", "View Map")</f>
        <v>View Map</v>
      </c>
    </row>
    <row r="1864" spans="1:6" x14ac:dyDescent="0.35">
      <c r="A1864" s="4" t="s">
        <v>7183</v>
      </c>
      <c r="B1864" s="5" t="s">
        <v>4851</v>
      </c>
      <c r="C1864" s="5" t="s">
        <v>1776</v>
      </c>
      <c r="D1864" s="5" t="s">
        <v>9</v>
      </c>
      <c r="E1864" s="6">
        <v>802</v>
      </c>
      <c r="F1864" s="5" t="str">
        <f>HYPERLINK("https://www.google.com/maps/search/?api=1&amp;query=24.67718239,46.85305015", "View Map")</f>
        <v>View Map</v>
      </c>
    </row>
    <row r="1865" spans="1:6" x14ac:dyDescent="0.35">
      <c r="A1865" s="4" t="s">
        <v>7184</v>
      </c>
      <c r="B1865" s="5" t="s">
        <v>4853</v>
      </c>
      <c r="C1865" s="5" t="s">
        <v>1776</v>
      </c>
      <c r="D1865" s="5" t="s">
        <v>9</v>
      </c>
      <c r="E1865" s="6">
        <v>802</v>
      </c>
      <c r="F1865" s="5" t="str">
        <f>HYPERLINK("https://www.google.com/maps/search/?api=1&amp;query=24.76981515,46.78986917", "View Map")</f>
        <v>View Map</v>
      </c>
    </row>
    <row r="1866" spans="1:6" x14ac:dyDescent="0.35">
      <c r="A1866" s="4" t="s">
        <v>6272</v>
      </c>
      <c r="B1866" s="5" t="s">
        <v>4854</v>
      </c>
      <c r="C1866" s="5" t="s">
        <v>1776</v>
      </c>
      <c r="D1866" s="5" t="s">
        <v>9</v>
      </c>
      <c r="E1866" s="6">
        <v>802</v>
      </c>
      <c r="F1866" s="5" t="str">
        <f>HYPERLINK("https://www.google.com/maps/search/?api=1&amp;query=24.7160165,46.80830358", "View Map")</f>
        <v>View Map</v>
      </c>
    </row>
    <row r="1867" spans="1:6" x14ac:dyDescent="0.35">
      <c r="A1867" s="4" t="s">
        <v>6903</v>
      </c>
      <c r="B1867" s="5" t="s">
        <v>4855</v>
      </c>
      <c r="C1867" s="5" t="s">
        <v>1776</v>
      </c>
      <c r="D1867" s="5" t="s">
        <v>9</v>
      </c>
      <c r="E1867" s="6">
        <v>801</v>
      </c>
      <c r="F1867" s="5" t="str">
        <f>HYPERLINK("https://www.google.com/maps/search/?api=1&amp;query=24.75061858,46.78284778", "View Map")</f>
        <v>View Map</v>
      </c>
    </row>
    <row r="1868" spans="1:6" x14ac:dyDescent="0.35">
      <c r="A1868" s="4" t="s">
        <v>7185</v>
      </c>
      <c r="B1868" s="5" t="s">
        <v>4857</v>
      </c>
      <c r="C1868" s="5" t="s">
        <v>1776</v>
      </c>
      <c r="D1868" s="5" t="s">
        <v>9</v>
      </c>
      <c r="E1868" s="6">
        <v>800</v>
      </c>
      <c r="F1868" s="5" t="str">
        <f>HYPERLINK("https://www.google.com/maps/search/?api=1&amp;query=24.57175114,46.66794553", "View Map")</f>
        <v>View Map</v>
      </c>
    </row>
    <row r="1869" spans="1:6" x14ac:dyDescent="0.35">
      <c r="A1869" s="4" t="s">
        <v>5972</v>
      </c>
      <c r="B1869" s="5" t="s">
        <v>4858</v>
      </c>
      <c r="C1869" s="5" t="s">
        <v>1776</v>
      </c>
      <c r="D1869" s="5" t="s">
        <v>9</v>
      </c>
      <c r="E1869" s="6">
        <v>798</v>
      </c>
      <c r="F1869" s="5" t="str">
        <f>HYPERLINK("https://www.google.com/maps/search/?api=1&amp;query=24.64229549,46.55349158", "View Map")</f>
        <v>View Map</v>
      </c>
    </row>
    <row r="1870" spans="1:6" x14ac:dyDescent="0.35">
      <c r="A1870" s="4" t="s">
        <v>7186</v>
      </c>
      <c r="B1870" s="5" t="s">
        <v>4860</v>
      </c>
      <c r="C1870" s="5" t="s">
        <v>1776</v>
      </c>
      <c r="D1870" s="5" t="s">
        <v>9</v>
      </c>
      <c r="E1870" s="6">
        <v>797</v>
      </c>
      <c r="F1870" s="5" t="str">
        <f>HYPERLINK("https://www.google.com/maps/search/?api=1&amp;query=24.76235624,46.68537258", "View Map")</f>
        <v>View Map</v>
      </c>
    </row>
    <row r="1871" spans="1:6" x14ac:dyDescent="0.35">
      <c r="A1871" s="4" t="s">
        <v>7187</v>
      </c>
      <c r="B1871" s="5" t="s">
        <v>4862</v>
      </c>
      <c r="C1871" s="5" t="s">
        <v>1776</v>
      </c>
      <c r="D1871" s="5" t="s">
        <v>9</v>
      </c>
      <c r="E1871" s="6">
        <v>797</v>
      </c>
      <c r="F1871" s="5" t="str">
        <f>HYPERLINK("https://www.google.com/maps/search/?api=1&amp;query=24.80514492,46.77496815", "View Map")</f>
        <v>View Map</v>
      </c>
    </row>
    <row r="1872" spans="1:6" x14ac:dyDescent="0.35">
      <c r="A1872" s="4" t="s">
        <v>7188</v>
      </c>
      <c r="B1872" s="5" t="s">
        <v>4864</v>
      </c>
      <c r="C1872" s="5" t="s">
        <v>1776</v>
      </c>
      <c r="D1872" s="5" t="s">
        <v>9</v>
      </c>
      <c r="E1872" s="6">
        <v>797</v>
      </c>
      <c r="F1872" s="5" t="str">
        <f>HYPERLINK("https://www.google.com/maps/search/?api=1&amp;query=24.68369106,46.79342526", "View Map")</f>
        <v>View Map</v>
      </c>
    </row>
    <row r="1873" spans="1:6" x14ac:dyDescent="0.35">
      <c r="A1873" s="4" t="s">
        <v>6583</v>
      </c>
      <c r="B1873" s="5" t="s">
        <v>4865</v>
      </c>
      <c r="C1873" s="5" t="s">
        <v>1776</v>
      </c>
      <c r="D1873" s="5" t="s">
        <v>9</v>
      </c>
      <c r="E1873" s="6">
        <v>796</v>
      </c>
      <c r="F1873" s="5" t="str">
        <f>HYPERLINK("https://www.google.com/maps/search/?api=1&amp;query=24.65144175,46.57815229", "View Map")</f>
        <v>View Map</v>
      </c>
    </row>
    <row r="1874" spans="1:6" x14ac:dyDescent="0.35">
      <c r="A1874" s="4" t="s">
        <v>5974</v>
      </c>
      <c r="B1874" s="5" t="s">
        <v>4866</v>
      </c>
      <c r="C1874" s="5" t="s">
        <v>1776</v>
      </c>
      <c r="D1874" s="5" t="s">
        <v>9</v>
      </c>
      <c r="E1874" s="6">
        <v>796</v>
      </c>
      <c r="F1874" s="5" t="str">
        <f>HYPERLINK("https://www.google.com/maps/search/?api=1&amp;query=24.80220958,46.74242305", "View Map")</f>
        <v>View Map</v>
      </c>
    </row>
    <row r="1875" spans="1:6" x14ac:dyDescent="0.35">
      <c r="A1875" s="4" t="s">
        <v>6112</v>
      </c>
      <c r="B1875" s="5" t="s">
        <v>4867</v>
      </c>
      <c r="C1875" s="5" t="s">
        <v>1776</v>
      </c>
      <c r="D1875" s="5" t="s">
        <v>9</v>
      </c>
      <c r="E1875" s="6">
        <v>795</v>
      </c>
      <c r="F1875" s="5" t="str">
        <f>HYPERLINK("https://www.google.com/maps/search/?api=1&amp;query=24.78675534,46.69088504", "View Map")</f>
        <v>View Map</v>
      </c>
    </row>
    <row r="1876" spans="1:6" x14ac:dyDescent="0.35">
      <c r="A1876" s="4" t="s">
        <v>7189</v>
      </c>
      <c r="B1876" s="5" t="s">
        <v>4869</v>
      </c>
      <c r="C1876" s="5" t="s">
        <v>1776</v>
      </c>
      <c r="D1876" s="5" t="s">
        <v>9</v>
      </c>
      <c r="E1876" s="6">
        <v>795</v>
      </c>
      <c r="F1876" s="5" t="str">
        <f>HYPERLINK("https://www.google.com/maps/search/?api=1&amp;query=24.57467219,46.7800645", "View Map")</f>
        <v>View Map</v>
      </c>
    </row>
    <row r="1877" spans="1:6" x14ac:dyDescent="0.35">
      <c r="A1877" s="4" t="s">
        <v>7190</v>
      </c>
      <c r="B1877" s="5" t="s">
        <v>4871</v>
      </c>
      <c r="C1877" s="5" t="s">
        <v>1776</v>
      </c>
      <c r="D1877" s="5" t="s">
        <v>9</v>
      </c>
      <c r="E1877" s="6">
        <v>795</v>
      </c>
      <c r="F1877" s="5" t="str">
        <f>HYPERLINK("https://www.google.com/maps/search/?api=1&amp;query=24.70453736,46.74207678", "View Map")</f>
        <v>View Map</v>
      </c>
    </row>
    <row r="1878" spans="1:6" x14ac:dyDescent="0.35">
      <c r="A1878" s="4" t="s">
        <v>7191</v>
      </c>
      <c r="B1878" s="5" t="s">
        <v>4873</v>
      </c>
      <c r="C1878" s="5" t="s">
        <v>1843</v>
      </c>
      <c r="D1878" s="5" t="s">
        <v>9</v>
      </c>
      <c r="E1878" s="6">
        <v>795</v>
      </c>
      <c r="F1878" s="5" t="str">
        <f>HYPERLINK("https://www.google.com/maps/search/?api=1&amp;query=24.74012063,46.59488177", "View Map")</f>
        <v>View Map</v>
      </c>
    </row>
    <row r="1879" spans="1:6" x14ac:dyDescent="0.35">
      <c r="A1879" s="4" t="s">
        <v>7192</v>
      </c>
      <c r="B1879" s="5" t="s">
        <v>4875</v>
      </c>
      <c r="C1879" s="5" t="s">
        <v>1776</v>
      </c>
      <c r="D1879" s="5" t="s">
        <v>9</v>
      </c>
      <c r="E1879" s="6">
        <v>794</v>
      </c>
      <c r="F1879" s="5" t="str">
        <f>HYPERLINK("https://www.google.com/maps/search/?api=1&amp;query=24.74580397,46.66669321", "View Map")</f>
        <v>View Map</v>
      </c>
    </row>
    <row r="1880" spans="1:6" x14ac:dyDescent="0.35">
      <c r="A1880" s="4" t="s">
        <v>5978</v>
      </c>
      <c r="B1880" s="5" t="s">
        <v>4876</v>
      </c>
      <c r="C1880" s="5" t="s">
        <v>1776</v>
      </c>
      <c r="D1880" s="5" t="s">
        <v>9</v>
      </c>
      <c r="E1880" s="6">
        <v>794</v>
      </c>
      <c r="F1880" s="5" t="str">
        <f>HYPERLINK("https://www.google.com/maps/search/?api=1&amp;query=24.81624839,46.8341442", "View Map")</f>
        <v>View Map</v>
      </c>
    </row>
    <row r="1881" spans="1:6" x14ac:dyDescent="0.35">
      <c r="A1881" s="4" t="s">
        <v>7193</v>
      </c>
      <c r="B1881" s="5" t="s">
        <v>4878</v>
      </c>
      <c r="C1881" s="5" t="s">
        <v>1776</v>
      </c>
      <c r="D1881" s="5" t="s">
        <v>9</v>
      </c>
      <c r="E1881" s="6">
        <v>793</v>
      </c>
      <c r="F1881" s="5" t="str">
        <f>HYPERLINK("https://www.google.com/maps/search/?api=1&amp;query=24.74872362,46.76460672", "View Map")</f>
        <v>View Map</v>
      </c>
    </row>
    <row r="1882" spans="1:6" x14ac:dyDescent="0.35">
      <c r="A1882" s="4" t="s">
        <v>7194</v>
      </c>
      <c r="B1882" s="5" t="s">
        <v>4880</v>
      </c>
      <c r="C1882" s="5" t="s">
        <v>1776</v>
      </c>
      <c r="D1882" s="5" t="s">
        <v>9</v>
      </c>
      <c r="E1882" s="6">
        <v>793</v>
      </c>
      <c r="F1882" s="5" t="str">
        <f>HYPERLINK("https://www.google.com/maps/search/?api=1&amp;query=24.59538606,46.76029581", "View Map")</f>
        <v>View Map</v>
      </c>
    </row>
    <row r="1883" spans="1:6" x14ac:dyDescent="0.35">
      <c r="A1883" s="4" t="s">
        <v>7195</v>
      </c>
      <c r="B1883" s="5" t="s">
        <v>4882</v>
      </c>
      <c r="C1883" s="5" t="s">
        <v>1776</v>
      </c>
      <c r="D1883" s="5" t="s">
        <v>9</v>
      </c>
      <c r="E1883" s="6">
        <v>792</v>
      </c>
      <c r="F1883" s="5" t="str">
        <f>HYPERLINK("https://www.google.com/maps/search/?api=1&amp;query=24.59388837,46.59087851", "View Map")</f>
        <v>View Map</v>
      </c>
    </row>
    <row r="1884" spans="1:6" x14ac:dyDescent="0.35">
      <c r="A1884" s="4" t="s">
        <v>6368</v>
      </c>
      <c r="B1884" s="5" t="s">
        <v>4883</v>
      </c>
      <c r="C1884" s="5" t="s">
        <v>1776</v>
      </c>
      <c r="D1884" s="5" t="s">
        <v>9</v>
      </c>
      <c r="E1884" s="6">
        <v>792</v>
      </c>
      <c r="F1884" s="5" t="str">
        <f>HYPERLINK("https://www.google.com/maps/search/?api=1&amp;query=24.81721596,46.6321024", "View Map")</f>
        <v>View Map</v>
      </c>
    </row>
    <row r="1885" spans="1:6" x14ac:dyDescent="0.35">
      <c r="A1885" s="4" t="s">
        <v>7196</v>
      </c>
      <c r="B1885" s="5" t="s">
        <v>4885</v>
      </c>
      <c r="C1885" s="5" t="s">
        <v>1776</v>
      </c>
      <c r="D1885" s="5" t="s">
        <v>9</v>
      </c>
      <c r="E1885" s="6">
        <v>791</v>
      </c>
      <c r="F1885" s="5" t="str">
        <f>HYPERLINK("https://www.google.com/maps/search/?api=1&amp;query=24.61319567,46.52029142", "View Map")</f>
        <v>View Map</v>
      </c>
    </row>
    <row r="1886" spans="1:6" x14ac:dyDescent="0.35">
      <c r="A1886" s="4" t="s">
        <v>5974</v>
      </c>
      <c r="B1886" s="5" t="s">
        <v>4886</v>
      </c>
      <c r="C1886" s="5" t="s">
        <v>1776</v>
      </c>
      <c r="D1886" s="5" t="s">
        <v>9</v>
      </c>
      <c r="E1886" s="6">
        <v>787</v>
      </c>
      <c r="F1886" s="5" t="str">
        <f>HYPERLINK("https://www.google.com/maps/search/?api=1&amp;query=24.93037602,46.79306524", "View Map")</f>
        <v>View Map</v>
      </c>
    </row>
    <row r="1887" spans="1:6" x14ac:dyDescent="0.35">
      <c r="A1887" s="4" t="s">
        <v>7197</v>
      </c>
      <c r="B1887" s="5" t="s">
        <v>4888</v>
      </c>
      <c r="C1887" s="5" t="s">
        <v>1776</v>
      </c>
      <c r="D1887" s="5" t="s">
        <v>9</v>
      </c>
      <c r="E1887" s="6">
        <v>787</v>
      </c>
      <c r="F1887" s="5" t="str">
        <f>HYPERLINK("https://www.google.com/maps/search/?api=1&amp;query=24.5965079,46.74344273", "View Map")</f>
        <v>View Map</v>
      </c>
    </row>
    <row r="1888" spans="1:6" x14ac:dyDescent="0.35">
      <c r="A1888" s="4" t="s">
        <v>6161</v>
      </c>
      <c r="B1888" s="5" t="s">
        <v>4889</v>
      </c>
      <c r="C1888" s="5" t="s">
        <v>1776</v>
      </c>
      <c r="D1888" s="5" t="s">
        <v>9</v>
      </c>
      <c r="E1888" s="6">
        <v>786</v>
      </c>
      <c r="F1888" s="5" t="str">
        <f>HYPERLINK("https://www.google.com/maps/search/?api=1&amp;query=24.79579869,46.70471849", "View Map")</f>
        <v>View Map</v>
      </c>
    </row>
    <row r="1889" spans="1:6" x14ac:dyDescent="0.35">
      <c r="A1889" s="4" t="s">
        <v>7198</v>
      </c>
      <c r="B1889" s="5" t="s">
        <v>4891</v>
      </c>
      <c r="C1889" s="5" t="s">
        <v>1776</v>
      </c>
      <c r="D1889" s="5" t="s">
        <v>9</v>
      </c>
      <c r="E1889" s="6">
        <v>786</v>
      </c>
      <c r="F1889" s="5" t="str">
        <f>HYPERLINK("https://www.google.com/maps/search/?api=1&amp;query=24.64150331,46.75531957", "View Map")</f>
        <v>View Map</v>
      </c>
    </row>
    <row r="1890" spans="1:6" x14ac:dyDescent="0.35">
      <c r="A1890" s="4" t="s">
        <v>7199</v>
      </c>
      <c r="B1890" s="5" t="s">
        <v>4893</v>
      </c>
      <c r="C1890" s="5" t="s">
        <v>1776</v>
      </c>
      <c r="D1890" s="5" t="s">
        <v>9</v>
      </c>
      <c r="E1890" s="6">
        <v>786</v>
      </c>
      <c r="F1890" s="5" t="str">
        <f>HYPERLINK("https://www.google.com/maps/search/?api=1&amp;query=24.80334741,46.68383473", "View Map")</f>
        <v>View Map</v>
      </c>
    </row>
    <row r="1891" spans="1:6" x14ac:dyDescent="0.35">
      <c r="A1891" s="4" t="s">
        <v>5974</v>
      </c>
      <c r="B1891" s="5" t="s">
        <v>4894</v>
      </c>
      <c r="C1891" s="5" t="s">
        <v>1776</v>
      </c>
      <c r="D1891" s="5" t="s">
        <v>9</v>
      </c>
      <c r="E1891" s="6">
        <v>786</v>
      </c>
      <c r="F1891" s="5" t="str">
        <f>HYPERLINK("https://www.google.com/maps/search/?api=1&amp;query=24.84057362,46.88259005", "View Map")</f>
        <v>View Map</v>
      </c>
    </row>
    <row r="1892" spans="1:6" x14ac:dyDescent="0.35">
      <c r="A1892" s="4" t="s">
        <v>5974</v>
      </c>
      <c r="B1892" s="5" t="s">
        <v>4895</v>
      </c>
      <c r="C1892" s="5" t="s">
        <v>1843</v>
      </c>
      <c r="D1892" s="5" t="s">
        <v>9</v>
      </c>
      <c r="E1892" s="6">
        <v>785</v>
      </c>
      <c r="F1892" s="5" t="str">
        <f>HYPERLINK("https://www.google.com/maps/search/?api=1&amp;query=24.83085588,46.57274894", "View Map")</f>
        <v>View Map</v>
      </c>
    </row>
    <row r="1893" spans="1:6" x14ac:dyDescent="0.35">
      <c r="A1893" s="4" t="s">
        <v>7200</v>
      </c>
      <c r="B1893" s="5" t="s">
        <v>4897</v>
      </c>
      <c r="C1893" s="5" t="s">
        <v>1776</v>
      </c>
      <c r="D1893" s="5" t="s">
        <v>9</v>
      </c>
      <c r="E1893" s="6">
        <v>785</v>
      </c>
      <c r="F1893" s="5" t="str">
        <f>HYPERLINK("https://www.google.com/maps/search/?api=1&amp;query=24.57502104,46.83168619", "View Map")</f>
        <v>View Map</v>
      </c>
    </row>
    <row r="1894" spans="1:6" x14ac:dyDescent="0.35">
      <c r="A1894" s="4" t="s">
        <v>7201</v>
      </c>
      <c r="B1894" s="5" t="s">
        <v>4899</v>
      </c>
      <c r="C1894" s="5" t="s">
        <v>1776</v>
      </c>
      <c r="D1894" s="5" t="s">
        <v>9</v>
      </c>
      <c r="E1894" s="6">
        <v>785</v>
      </c>
      <c r="F1894" s="5" t="str">
        <f>HYPERLINK("https://www.google.com/maps/search/?api=1&amp;query=24.58809406,46.55910426", "View Map")</f>
        <v>View Map</v>
      </c>
    </row>
    <row r="1895" spans="1:6" x14ac:dyDescent="0.35">
      <c r="A1895" s="4" t="s">
        <v>5974</v>
      </c>
      <c r="B1895" s="5" t="s">
        <v>4900</v>
      </c>
      <c r="C1895" s="5" t="s">
        <v>1776</v>
      </c>
      <c r="D1895" s="5" t="s">
        <v>9</v>
      </c>
      <c r="E1895" s="6">
        <v>784</v>
      </c>
      <c r="F1895" s="5" t="str">
        <f>HYPERLINK("https://www.google.com/maps/search/?api=1&amp;query=24.8711394,46.66222365", "View Map")</f>
        <v>View Map</v>
      </c>
    </row>
    <row r="1896" spans="1:6" x14ac:dyDescent="0.35">
      <c r="A1896" s="4" t="s">
        <v>7202</v>
      </c>
      <c r="B1896" s="5" t="s">
        <v>4902</v>
      </c>
      <c r="C1896" s="5" t="s">
        <v>1776</v>
      </c>
      <c r="D1896" s="5" t="s">
        <v>9</v>
      </c>
      <c r="E1896" s="6">
        <v>784</v>
      </c>
      <c r="F1896" s="5" t="str">
        <f>HYPERLINK("https://www.google.com/maps/search/?api=1&amp;query=24.63527663,46.61824809", "View Map")</f>
        <v>View Map</v>
      </c>
    </row>
    <row r="1897" spans="1:6" x14ac:dyDescent="0.35">
      <c r="A1897" s="4" t="s">
        <v>7203</v>
      </c>
      <c r="B1897" s="5" t="s">
        <v>4904</v>
      </c>
      <c r="C1897" s="5" t="s">
        <v>1776</v>
      </c>
      <c r="D1897" s="5" t="s">
        <v>9</v>
      </c>
      <c r="E1897" s="6">
        <v>783</v>
      </c>
      <c r="F1897" s="5" t="str">
        <f>HYPERLINK("https://www.google.com/maps/search/?api=1&amp;query=24.61055679,46.67228234", "View Map")</f>
        <v>View Map</v>
      </c>
    </row>
    <row r="1898" spans="1:6" x14ac:dyDescent="0.35">
      <c r="A1898" s="4" t="s">
        <v>7204</v>
      </c>
      <c r="B1898" s="5" t="s">
        <v>4906</v>
      </c>
      <c r="C1898" s="5" t="s">
        <v>1776</v>
      </c>
      <c r="D1898" s="5" t="s">
        <v>9</v>
      </c>
      <c r="E1898" s="6">
        <v>782</v>
      </c>
      <c r="F1898" s="5" t="str">
        <f>HYPERLINK("https://www.google.com/maps/search/?api=1&amp;query=24.68233004,46.8225652", "View Map")</f>
        <v>View Map</v>
      </c>
    </row>
    <row r="1899" spans="1:6" x14ac:dyDescent="0.35">
      <c r="A1899" s="4" t="s">
        <v>7205</v>
      </c>
      <c r="B1899" s="5" t="s">
        <v>4908</v>
      </c>
      <c r="C1899" s="5" t="s">
        <v>1776</v>
      </c>
      <c r="D1899" s="5" t="s">
        <v>9</v>
      </c>
      <c r="E1899" s="6">
        <v>782</v>
      </c>
      <c r="F1899" s="5" t="str">
        <f>HYPERLINK("https://www.google.com/maps/search/?api=1&amp;query=24.65714737,46.70770269", "View Map")</f>
        <v>View Map</v>
      </c>
    </row>
    <row r="1900" spans="1:6" x14ac:dyDescent="0.35">
      <c r="A1900" s="4" t="s">
        <v>7206</v>
      </c>
      <c r="B1900" s="5" t="s">
        <v>4910</v>
      </c>
      <c r="C1900" s="5" t="s">
        <v>1776</v>
      </c>
      <c r="D1900" s="5" t="s">
        <v>9</v>
      </c>
      <c r="E1900" s="6">
        <v>782</v>
      </c>
      <c r="F1900" s="5" t="str">
        <f>HYPERLINK("https://www.google.com/maps/search/?api=1&amp;query=24.57494514,46.7129081", "View Map")</f>
        <v>View Map</v>
      </c>
    </row>
    <row r="1901" spans="1:6" x14ac:dyDescent="0.35">
      <c r="A1901" s="4" t="s">
        <v>6935</v>
      </c>
      <c r="B1901" s="5" t="s">
        <v>4911</v>
      </c>
      <c r="C1901" s="5" t="s">
        <v>1776</v>
      </c>
      <c r="D1901" s="5" t="s">
        <v>9</v>
      </c>
      <c r="E1901" s="6">
        <v>782</v>
      </c>
      <c r="F1901" s="5" t="str">
        <f>HYPERLINK("https://www.google.com/maps/search/?api=1&amp;query=24.68012154,46.74429679", "View Map")</f>
        <v>View Map</v>
      </c>
    </row>
    <row r="1902" spans="1:6" x14ac:dyDescent="0.35">
      <c r="A1902" s="4" t="s">
        <v>5974</v>
      </c>
      <c r="B1902" s="5" t="s">
        <v>4912</v>
      </c>
      <c r="C1902" s="5" t="s">
        <v>1843</v>
      </c>
      <c r="D1902" s="5" t="s">
        <v>9</v>
      </c>
      <c r="E1902" s="6">
        <v>781</v>
      </c>
      <c r="F1902" s="5" t="str">
        <f>HYPERLINK("https://www.google.com/maps/search/?api=1&amp;query=24.83083847,46.5580538", "View Map")</f>
        <v>View Map</v>
      </c>
    </row>
    <row r="1903" spans="1:6" x14ac:dyDescent="0.35">
      <c r="A1903" s="4" t="s">
        <v>7207</v>
      </c>
      <c r="B1903" s="5" t="s">
        <v>4914</v>
      </c>
      <c r="C1903" s="5" t="s">
        <v>1776</v>
      </c>
      <c r="D1903" s="5" t="s">
        <v>9</v>
      </c>
      <c r="E1903" s="6">
        <v>781</v>
      </c>
      <c r="F1903" s="5" t="str">
        <f>HYPERLINK("https://www.google.com/maps/search/?api=1&amp;query=24.62827066,46.70069355", "View Map")</f>
        <v>View Map</v>
      </c>
    </row>
    <row r="1904" spans="1:6" x14ac:dyDescent="0.35">
      <c r="A1904" s="4" t="s">
        <v>5974</v>
      </c>
      <c r="B1904" s="5" t="s">
        <v>4915</v>
      </c>
      <c r="C1904" s="5" t="s">
        <v>1776</v>
      </c>
      <c r="D1904" s="5" t="s">
        <v>9</v>
      </c>
      <c r="E1904" s="6">
        <v>781</v>
      </c>
      <c r="F1904" s="5" t="str">
        <f>HYPERLINK("https://www.google.com/maps/search/?api=1&amp;query=24.66966,46.55142", "View Map")</f>
        <v>View Map</v>
      </c>
    </row>
    <row r="1905" spans="1:6" x14ac:dyDescent="0.35">
      <c r="A1905" s="4" t="s">
        <v>6356</v>
      </c>
      <c r="B1905" s="5" t="s">
        <v>4916</v>
      </c>
      <c r="C1905" s="5" t="s">
        <v>1776</v>
      </c>
      <c r="D1905" s="5" t="s">
        <v>9</v>
      </c>
      <c r="E1905" s="6">
        <v>781</v>
      </c>
      <c r="F1905" s="5" t="str">
        <f>HYPERLINK("https://www.google.com/maps/search/?api=1&amp;query=24.57371662,46.83684181", "View Map")</f>
        <v>View Map</v>
      </c>
    </row>
    <row r="1906" spans="1:6" x14ac:dyDescent="0.35">
      <c r="A1906" s="4" t="s">
        <v>7208</v>
      </c>
      <c r="B1906" s="5" t="s">
        <v>4918</v>
      </c>
      <c r="C1906" s="5" t="s">
        <v>1776</v>
      </c>
      <c r="D1906" s="5" t="s">
        <v>9</v>
      </c>
      <c r="E1906" s="6">
        <v>781</v>
      </c>
      <c r="F1906" s="5" t="str">
        <f>HYPERLINK("https://www.google.com/maps/search/?api=1&amp;query=24.70920666,46.66952135", "View Map")</f>
        <v>View Map</v>
      </c>
    </row>
    <row r="1907" spans="1:6" x14ac:dyDescent="0.35">
      <c r="A1907" s="4" t="s">
        <v>7209</v>
      </c>
      <c r="B1907" s="5" t="s">
        <v>4920</v>
      </c>
      <c r="C1907" s="5" t="s">
        <v>1776</v>
      </c>
      <c r="D1907" s="5" t="s">
        <v>9</v>
      </c>
      <c r="E1907" s="6">
        <v>780</v>
      </c>
      <c r="F1907" s="5" t="str">
        <f>HYPERLINK("https://www.google.com/maps/search/?api=1&amp;query=24.63428583,46.74105194", "View Map")</f>
        <v>View Map</v>
      </c>
    </row>
    <row r="1908" spans="1:6" x14ac:dyDescent="0.35">
      <c r="A1908" s="4" t="s">
        <v>5974</v>
      </c>
      <c r="B1908" s="5" t="s">
        <v>4921</v>
      </c>
      <c r="C1908" s="5" t="s">
        <v>1776</v>
      </c>
      <c r="D1908" s="5" t="s">
        <v>9</v>
      </c>
      <c r="E1908" s="6">
        <v>780</v>
      </c>
      <c r="F1908" s="5" t="str">
        <f>HYPERLINK("https://www.google.com/maps/search/?api=1&amp;query=24.7822,46.5958", "View Map")</f>
        <v>View Map</v>
      </c>
    </row>
    <row r="1909" spans="1:6" x14ac:dyDescent="0.35">
      <c r="A1909" s="4" t="s">
        <v>7210</v>
      </c>
      <c r="B1909" s="5" t="s">
        <v>4923</v>
      </c>
      <c r="C1909" s="5" t="s">
        <v>1776</v>
      </c>
      <c r="D1909" s="5" t="s">
        <v>9</v>
      </c>
      <c r="E1909" s="6">
        <v>779</v>
      </c>
      <c r="F1909" s="5" t="str">
        <f>HYPERLINK("https://www.google.com/maps/search/?api=1&amp;query=24.67272393,46.79185437", "View Map")</f>
        <v>View Map</v>
      </c>
    </row>
    <row r="1910" spans="1:6" x14ac:dyDescent="0.35">
      <c r="A1910" s="4" t="s">
        <v>7211</v>
      </c>
      <c r="B1910" s="5" t="s">
        <v>4925</v>
      </c>
      <c r="C1910" s="5" t="s">
        <v>1776</v>
      </c>
      <c r="D1910" s="5" t="s">
        <v>9</v>
      </c>
      <c r="E1910" s="6">
        <v>779</v>
      </c>
      <c r="F1910" s="5" t="str">
        <f>HYPERLINK("https://www.google.com/maps/search/?api=1&amp;query=24.80910136,46.6500693", "View Map")</f>
        <v>View Map</v>
      </c>
    </row>
    <row r="1911" spans="1:6" x14ac:dyDescent="0.35">
      <c r="A1911" s="4" t="s">
        <v>5972</v>
      </c>
      <c r="B1911" s="5" t="s">
        <v>4926</v>
      </c>
      <c r="C1911" s="5" t="s">
        <v>1776</v>
      </c>
      <c r="D1911" s="5" t="s">
        <v>9</v>
      </c>
      <c r="E1911" s="6">
        <v>779</v>
      </c>
      <c r="F1911" s="5" t="str">
        <f>HYPERLINK("https://www.google.com/maps/search/?api=1&amp;query=24.86409161,46.63442743", "View Map")</f>
        <v>View Map</v>
      </c>
    </row>
    <row r="1912" spans="1:6" x14ac:dyDescent="0.35">
      <c r="A1912" s="4" t="s">
        <v>7212</v>
      </c>
      <c r="B1912" s="5" t="s">
        <v>4928</v>
      </c>
      <c r="C1912" s="5" t="s">
        <v>1776</v>
      </c>
      <c r="D1912" s="5" t="s">
        <v>9</v>
      </c>
      <c r="E1912" s="6">
        <v>779</v>
      </c>
      <c r="F1912" s="5" t="str">
        <f>HYPERLINK("https://www.google.com/maps/search/?api=1&amp;query=24.74872349,46.61258018", "View Map")</f>
        <v>View Map</v>
      </c>
    </row>
    <row r="1913" spans="1:6" x14ac:dyDescent="0.35">
      <c r="A1913" s="4" t="s">
        <v>6415</v>
      </c>
      <c r="B1913" s="5" t="s">
        <v>4929</v>
      </c>
      <c r="C1913" s="5" t="s">
        <v>1776</v>
      </c>
      <c r="D1913" s="5" t="s">
        <v>9</v>
      </c>
      <c r="E1913" s="6">
        <v>777</v>
      </c>
      <c r="F1913" s="5" t="str">
        <f>HYPERLINK("https://www.google.com/maps/search/?api=1&amp;query=24.52107792,46.66468675", "View Map")</f>
        <v>View Map</v>
      </c>
    </row>
    <row r="1914" spans="1:6" x14ac:dyDescent="0.35">
      <c r="A1914" s="4" t="s">
        <v>5974</v>
      </c>
      <c r="B1914" s="5" t="s">
        <v>4930</v>
      </c>
      <c r="C1914" s="5" t="s">
        <v>1776</v>
      </c>
      <c r="D1914" s="5" t="s">
        <v>9</v>
      </c>
      <c r="E1914" s="6">
        <v>777</v>
      </c>
      <c r="F1914" s="5" t="str">
        <f>HYPERLINK("https://www.google.com/maps/search/?api=1&amp;query=24.66901416,46.54254677", "View Map")</f>
        <v>View Map</v>
      </c>
    </row>
    <row r="1915" spans="1:6" x14ac:dyDescent="0.35">
      <c r="A1915" s="4" t="s">
        <v>6039</v>
      </c>
      <c r="B1915" s="5" t="s">
        <v>4931</v>
      </c>
      <c r="C1915" s="5" t="s">
        <v>1776</v>
      </c>
      <c r="D1915" s="5" t="s">
        <v>318</v>
      </c>
      <c r="E1915" s="6">
        <v>777</v>
      </c>
      <c r="F1915" s="5" t="str">
        <f>HYPERLINK("https://www.google.com/maps/search/?api=1&amp;query=24.5411,46.5192", "View Map")</f>
        <v>View Map</v>
      </c>
    </row>
    <row r="1916" spans="1:6" x14ac:dyDescent="0.35">
      <c r="A1916" s="4" t="s">
        <v>7213</v>
      </c>
      <c r="B1916" s="5" t="s">
        <v>4933</v>
      </c>
      <c r="C1916" s="5" t="s">
        <v>1776</v>
      </c>
      <c r="D1916" s="5" t="s">
        <v>9</v>
      </c>
      <c r="E1916" s="6">
        <v>777</v>
      </c>
      <c r="F1916" s="5" t="str">
        <f>HYPERLINK("https://www.google.com/maps/search/?api=1&amp;query=24.60519215,46.73549603", "View Map")</f>
        <v>View Map</v>
      </c>
    </row>
    <row r="1917" spans="1:6" x14ac:dyDescent="0.35">
      <c r="A1917" s="4" t="s">
        <v>6356</v>
      </c>
      <c r="B1917" s="5" t="s">
        <v>4934</v>
      </c>
      <c r="C1917" s="5" t="s">
        <v>1776</v>
      </c>
      <c r="D1917" s="5" t="s">
        <v>9</v>
      </c>
      <c r="E1917" s="6">
        <v>776</v>
      </c>
      <c r="F1917" s="5" t="str">
        <f>HYPERLINK("https://www.google.com/maps/search/?api=1&amp;query=24.65840714,46.79786341", "View Map")</f>
        <v>View Map</v>
      </c>
    </row>
    <row r="1918" spans="1:6" x14ac:dyDescent="0.35">
      <c r="A1918" s="4" t="s">
        <v>6884</v>
      </c>
      <c r="B1918" s="5" t="s">
        <v>4935</v>
      </c>
      <c r="C1918" s="5" t="s">
        <v>1776</v>
      </c>
      <c r="D1918" s="5" t="s">
        <v>9</v>
      </c>
      <c r="E1918" s="6">
        <v>776</v>
      </c>
      <c r="F1918" s="5" t="str">
        <f>HYPERLINK("https://www.google.com/maps/search/?api=1&amp;query=24.71985871,46.82554207", "View Map")</f>
        <v>View Map</v>
      </c>
    </row>
    <row r="1919" spans="1:6" x14ac:dyDescent="0.35">
      <c r="A1919" s="4" t="s">
        <v>7214</v>
      </c>
      <c r="B1919" s="5" t="s">
        <v>4937</v>
      </c>
      <c r="C1919" s="5" t="s">
        <v>1776</v>
      </c>
      <c r="D1919" s="5" t="s">
        <v>9</v>
      </c>
      <c r="E1919" s="6">
        <v>776</v>
      </c>
      <c r="F1919" s="5" t="str">
        <f>HYPERLINK("https://www.google.com/maps/search/?api=1&amp;query=24.6977115,46.76944296", "View Map")</f>
        <v>View Map</v>
      </c>
    </row>
    <row r="1920" spans="1:6" x14ac:dyDescent="0.35">
      <c r="A1920" s="4" t="s">
        <v>7215</v>
      </c>
      <c r="B1920" s="5" t="s">
        <v>4939</v>
      </c>
      <c r="C1920" s="5" t="s">
        <v>1776</v>
      </c>
      <c r="D1920" s="5" t="s">
        <v>9</v>
      </c>
      <c r="E1920" s="6">
        <v>775</v>
      </c>
      <c r="F1920" s="5" t="str">
        <f>HYPERLINK("https://www.google.com/maps/search/?api=1&amp;query=24.60327368,46.62571168", "View Map")</f>
        <v>View Map</v>
      </c>
    </row>
    <row r="1921" spans="1:6" x14ac:dyDescent="0.35">
      <c r="A1921" s="4" t="s">
        <v>6796</v>
      </c>
      <c r="B1921" s="5" t="s">
        <v>4940</v>
      </c>
      <c r="C1921" s="5" t="s">
        <v>1776</v>
      </c>
      <c r="D1921" s="5" t="s">
        <v>9</v>
      </c>
      <c r="E1921" s="6">
        <v>775</v>
      </c>
      <c r="F1921" s="5" t="str">
        <f>HYPERLINK("https://www.google.com/maps/search/?api=1&amp;query=24.69104557,46.84474473", "View Map")</f>
        <v>View Map</v>
      </c>
    </row>
    <row r="1922" spans="1:6" x14ac:dyDescent="0.35">
      <c r="A1922" s="4" t="s">
        <v>7216</v>
      </c>
      <c r="B1922" s="5" t="s">
        <v>4942</v>
      </c>
      <c r="C1922" s="5" t="s">
        <v>1776</v>
      </c>
      <c r="D1922" s="5" t="s">
        <v>9</v>
      </c>
      <c r="E1922" s="6">
        <v>774</v>
      </c>
      <c r="F1922" s="5" t="str">
        <f>HYPERLINK("https://www.google.com/maps/search/?api=1&amp;query=24.64723694,46.80699797", "View Map")</f>
        <v>View Map</v>
      </c>
    </row>
    <row r="1923" spans="1:6" x14ac:dyDescent="0.35">
      <c r="A1923" s="4" t="s">
        <v>5974</v>
      </c>
      <c r="B1923" s="5" t="s">
        <v>4943</v>
      </c>
      <c r="C1923" s="5" t="s">
        <v>1776</v>
      </c>
      <c r="D1923" s="5" t="s">
        <v>9</v>
      </c>
      <c r="E1923" s="6">
        <v>774</v>
      </c>
      <c r="F1923" s="5" t="str">
        <f>HYPERLINK("https://www.google.com/maps/search/?api=1&amp;query=24.64358021,46.49496995", "View Map")</f>
        <v>View Map</v>
      </c>
    </row>
    <row r="1924" spans="1:6" x14ac:dyDescent="0.35">
      <c r="A1924" s="4" t="s">
        <v>7217</v>
      </c>
      <c r="B1924" s="5" t="s">
        <v>4945</v>
      </c>
      <c r="C1924" s="5" t="s">
        <v>1776</v>
      </c>
      <c r="D1924" s="5" t="s">
        <v>9</v>
      </c>
      <c r="E1924" s="6">
        <v>773</v>
      </c>
      <c r="F1924" s="5" t="str">
        <f>HYPERLINK("https://www.google.com/maps/search/?api=1&amp;query=24.63487555,46.69858206", "View Map")</f>
        <v>View Map</v>
      </c>
    </row>
    <row r="1925" spans="1:6" x14ac:dyDescent="0.35">
      <c r="A1925" s="4" t="s">
        <v>5974</v>
      </c>
      <c r="B1925" s="5" t="s">
        <v>4946</v>
      </c>
      <c r="C1925" s="5" t="s">
        <v>1776</v>
      </c>
      <c r="D1925" s="5" t="s">
        <v>9</v>
      </c>
      <c r="E1925" s="6">
        <v>773</v>
      </c>
      <c r="F1925" s="5" t="str">
        <f>HYPERLINK("https://www.google.com/maps/search/?api=1&amp;query=24.81571172,46.7831409", "View Map")</f>
        <v>View Map</v>
      </c>
    </row>
    <row r="1926" spans="1:6" x14ac:dyDescent="0.35">
      <c r="A1926" s="4" t="s">
        <v>7218</v>
      </c>
      <c r="B1926" s="5" t="s">
        <v>4948</v>
      </c>
      <c r="C1926" s="5" t="s">
        <v>1776</v>
      </c>
      <c r="D1926" s="5" t="s">
        <v>9</v>
      </c>
      <c r="E1926" s="6">
        <v>773</v>
      </c>
      <c r="F1926" s="5" t="str">
        <f>HYPERLINK("https://www.google.com/maps/search/?api=1&amp;query=24.73456321,46.81040083", "View Map")</f>
        <v>View Map</v>
      </c>
    </row>
    <row r="1927" spans="1:6" x14ac:dyDescent="0.35">
      <c r="A1927" s="4" t="s">
        <v>6113</v>
      </c>
      <c r="B1927" s="5" t="s">
        <v>4949</v>
      </c>
      <c r="C1927" s="5" t="s">
        <v>1776</v>
      </c>
      <c r="D1927" s="5" t="s">
        <v>9</v>
      </c>
      <c r="E1927" s="6">
        <v>771</v>
      </c>
      <c r="F1927" s="5" t="str">
        <f>HYPERLINK("https://www.google.com/maps/search/?api=1&amp;query=24.65276525,46.79890963", "View Map")</f>
        <v>View Map</v>
      </c>
    </row>
    <row r="1928" spans="1:6" x14ac:dyDescent="0.35">
      <c r="A1928" s="4" t="s">
        <v>7219</v>
      </c>
      <c r="B1928" s="5" t="s">
        <v>4951</v>
      </c>
      <c r="C1928" s="5" t="s">
        <v>1776</v>
      </c>
      <c r="D1928" s="5" t="s">
        <v>9</v>
      </c>
      <c r="E1928" s="6">
        <v>771</v>
      </c>
      <c r="F1928" s="5" t="str">
        <f>HYPERLINK("https://www.google.com/maps/search/?api=1&amp;query=24.85381109,46.77516928", "View Map")</f>
        <v>View Map</v>
      </c>
    </row>
    <row r="1929" spans="1:6" x14ac:dyDescent="0.35">
      <c r="A1929" s="4" t="s">
        <v>5974</v>
      </c>
      <c r="B1929" s="5" t="s">
        <v>4952</v>
      </c>
      <c r="C1929" s="5" t="s">
        <v>1776</v>
      </c>
      <c r="D1929" s="5" t="s">
        <v>9</v>
      </c>
      <c r="E1929" s="6">
        <v>771</v>
      </c>
      <c r="F1929" s="5" t="str">
        <f>HYPERLINK("https://www.google.com/maps/search/?api=1&amp;query=24.68111062,46.85511076", "View Map")</f>
        <v>View Map</v>
      </c>
    </row>
    <row r="1930" spans="1:6" x14ac:dyDescent="0.35">
      <c r="A1930" s="4" t="s">
        <v>7220</v>
      </c>
      <c r="B1930" s="5" t="s">
        <v>4953</v>
      </c>
      <c r="C1930" s="5" t="s">
        <v>1776</v>
      </c>
      <c r="D1930" s="5" t="s">
        <v>9</v>
      </c>
      <c r="E1930" s="6">
        <v>771</v>
      </c>
      <c r="F1930" s="5" t="str">
        <f>HYPERLINK("https://www.google.com/maps/search/?api=1&amp;query=24.60136043,46.65120151", "View Map")</f>
        <v>View Map</v>
      </c>
    </row>
    <row r="1931" spans="1:6" x14ac:dyDescent="0.35">
      <c r="A1931" s="4" t="s">
        <v>7221</v>
      </c>
      <c r="B1931" s="5" t="s">
        <v>4955</v>
      </c>
      <c r="C1931" s="5" t="s">
        <v>1776</v>
      </c>
      <c r="D1931" s="5" t="s">
        <v>9</v>
      </c>
      <c r="E1931" s="6">
        <v>770</v>
      </c>
      <c r="F1931" s="5" t="str">
        <f>HYPERLINK("https://www.google.com/maps/search/?api=1&amp;query=24.75089116,46.62925675", "View Map")</f>
        <v>View Map</v>
      </c>
    </row>
    <row r="1932" spans="1:6" x14ac:dyDescent="0.35">
      <c r="A1932" s="4" t="s">
        <v>7222</v>
      </c>
      <c r="B1932" s="5" t="s">
        <v>4957</v>
      </c>
      <c r="C1932" s="5" t="s">
        <v>1776</v>
      </c>
      <c r="D1932" s="5" t="s">
        <v>9</v>
      </c>
      <c r="E1932" s="6">
        <v>770</v>
      </c>
      <c r="F1932" s="5" t="str">
        <f>HYPERLINK("https://www.google.com/maps/search/?api=1&amp;query=24.62075159,46.71184437", "View Map")</f>
        <v>View Map</v>
      </c>
    </row>
    <row r="1933" spans="1:6" x14ac:dyDescent="0.35">
      <c r="A1933" s="4" t="s">
        <v>5972</v>
      </c>
      <c r="B1933" s="5" t="s">
        <v>4958</v>
      </c>
      <c r="C1933" s="5" t="s">
        <v>1776</v>
      </c>
      <c r="D1933" s="5" t="s">
        <v>9</v>
      </c>
      <c r="E1933" s="6">
        <v>770</v>
      </c>
      <c r="F1933" s="5" t="str">
        <f>HYPERLINK("https://www.google.com/maps/search/?api=1&amp;query=24.91138535,46.62032743", "View Map")</f>
        <v>View Map</v>
      </c>
    </row>
    <row r="1934" spans="1:6" x14ac:dyDescent="0.35">
      <c r="A1934" s="4" t="s">
        <v>7223</v>
      </c>
      <c r="B1934" s="5" t="s">
        <v>4959</v>
      </c>
      <c r="C1934" s="5" t="s">
        <v>1776</v>
      </c>
      <c r="D1934" s="5" t="s">
        <v>9</v>
      </c>
      <c r="E1934" s="6">
        <v>770</v>
      </c>
      <c r="F1934" s="5" t="str">
        <f>HYPERLINK("https://www.google.com/maps/search/?api=1&amp;query=24.72273716,46.83319149", "View Map")</f>
        <v>View Map</v>
      </c>
    </row>
    <row r="1935" spans="1:6" x14ac:dyDescent="0.35">
      <c r="A1935" s="4" t="s">
        <v>7224</v>
      </c>
      <c r="B1935" s="5" t="s">
        <v>4961</v>
      </c>
      <c r="C1935" s="5" t="s">
        <v>1776</v>
      </c>
      <c r="D1935" s="5" t="s">
        <v>9</v>
      </c>
      <c r="E1935" s="6">
        <v>770</v>
      </c>
      <c r="F1935" s="5" t="str">
        <f>HYPERLINK("https://www.google.com/maps/search/?api=1&amp;query=24.61124568,46.64608173", "View Map")</f>
        <v>View Map</v>
      </c>
    </row>
    <row r="1936" spans="1:6" x14ac:dyDescent="0.35">
      <c r="A1936" s="4" t="s">
        <v>7225</v>
      </c>
      <c r="B1936" s="5" t="s">
        <v>4963</v>
      </c>
      <c r="C1936" s="5" t="s">
        <v>1776</v>
      </c>
      <c r="D1936" s="5" t="s">
        <v>9</v>
      </c>
      <c r="E1936" s="6">
        <v>770</v>
      </c>
      <c r="F1936" s="5" t="str">
        <f>HYPERLINK("https://www.google.com/maps/search/?api=1&amp;query=24.55588667,46.69380051", "View Map")</f>
        <v>View Map</v>
      </c>
    </row>
    <row r="1937" spans="1:6" x14ac:dyDescent="0.35">
      <c r="A1937" s="4" t="s">
        <v>6134</v>
      </c>
      <c r="B1937" s="5" t="s">
        <v>4964</v>
      </c>
      <c r="C1937" s="5" t="s">
        <v>1776</v>
      </c>
      <c r="D1937" s="5" t="s">
        <v>9</v>
      </c>
      <c r="E1937" s="6">
        <v>770</v>
      </c>
      <c r="F1937" s="5" t="str">
        <f>HYPERLINK("https://www.google.com/maps/search/?api=1&amp;query=24.81156308,46.65588961", "View Map")</f>
        <v>View Map</v>
      </c>
    </row>
    <row r="1938" spans="1:6" x14ac:dyDescent="0.35">
      <c r="A1938" s="4" t="s">
        <v>7226</v>
      </c>
      <c r="B1938" s="5" t="s">
        <v>4966</v>
      </c>
      <c r="C1938" s="5" t="s">
        <v>1776</v>
      </c>
      <c r="D1938" s="5" t="s">
        <v>9</v>
      </c>
      <c r="E1938" s="6">
        <v>769</v>
      </c>
      <c r="F1938" s="5" t="str">
        <f>HYPERLINK("https://www.google.com/maps/search/?api=1&amp;query=24.62398434,46.67861971", "View Map")</f>
        <v>View Map</v>
      </c>
    </row>
    <row r="1939" spans="1:6" x14ac:dyDescent="0.35">
      <c r="A1939" s="4" t="s">
        <v>5974</v>
      </c>
      <c r="B1939" s="5" t="s">
        <v>4967</v>
      </c>
      <c r="C1939" s="5" t="s">
        <v>1843</v>
      </c>
      <c r="D1939" s="5" t="s">
        <v>9</v>
      </c>
      <c r="E1939" s="6">
        <v>768</v>
      </c>
      <c r="F1939" s="5" t="str">
        <f>HYPERLINK("https://www.google.com/maps/search/?api=1&amp;query=24.78145877,46.57774639", "View Map")</f>
        <v>View Map</v>
      </c>
    </row>
    <row r="1940" spans="1:6" x14ac:dyDescent="0.35">
      <c r="A1940" s="4" t="s">
        <v>7227</v>
      </c>
      <c r="B1940" s="5" t="s">
        <v>4969</v>
      </c>
      <c r="C1940" s="5" t="s">
        <v>1776</v>
      </c>
      <c r="D1940" s="5" t="s">
        <v>9</v>
      </c>
      <c r="E1940" s="6">
        <v>768</v>
      </c>
      <c r="F1940" s="5" t="str">
        <f>HYPERLINK("https://www.google.com/maps/search/?api=1&amp;query=24.81391481,46.6502242", "View Map")</f>
        <v>View Map</v>
      </c>
    </row>
    <row r="1941" spans="1:6" x14ac:dyDescent="0.35">
      <c r="A1941" s="4" t="s">
        <v>5974</v>
      </c>
      <c r="B1941" s="5" t="s">
        <v>4970</v>
      </c>
      <c r="C1941" s="5" t="s">
        <v>1776</v>
      </c>
      <c r="D1941" s="5" t="s">
        <v>9</v>
      </c>
      <c r="E1941" s="6">
        <v>767</v>
      </c>
      <c r="F1941" s="5" t="str">
        <f>HYPERLINK("https://www.google.com/maps/search/?api=1&amp;query=24.82437239,46.59852622", "View Map")</f>
        <v>View Map</v>
      </c>
    </row>
    <row r="1942" spans="1:6" x14ac:dyDescent="0.35">
      <c r="A1942" s="4" t="s">
        <v>7228</v>
      </c>
      <c r="B1942" s="5" t="s">
        <v>4972</v>
      </c>
      <c r="C1942" s="5" t="s">
        <v>1776</v>
      </c>
      <c r="D1942" s="5" t="s">
        <v>9</v>
      </c>
      <c r="E1942" s="6">
        <v>767</v>
      </c>
      <c r="F1942" s="5" t="str">
        <f>HYPERLINK("https://www.google.com/maps/search/?api=1&amp;query=24.59706643,46.71622342", "View Map")</f>
        <v>View Map</v>
      </c>
    </row>
    <row r="1943" spans="1:6" x14ac:dyDescent="0.35">
      <c r="A1943" s="4" t="s">
        <v>7229</v>
      </c>
      <c r="B1943" s="5" t="s">
        <v>4974</v>
      </c>
      <c r="C1943" s="5" t="s">
        <v>1776</v>
      </c>
      <c r="D1943" s="5" t="s">
        <v>9</v>
      </c>
      <c r="E1943" s="6">
        <v>767</v>
      </c>
      <c r="F1943" s="5" t="str">
        <f>HYPERLINK("https://www.google.com/maps/search/?api=1&amp;query=24.63897978,46.72089582", "View Map")</f>
        <v>View Map</v>
      </c>
    </row>
    <row r="1944" spans="1:6" x14ac:dyDescent="0.35">
      <c r="A1944" s="4" t="s">
        <v>7230</v>
      </c>
      <c r="B1944" s="5" t="s">
        <v>4976</v>
      </c>
      <c r="C1944" s="5" t="s">
        <v>1776</v>
      </c>
      <c r="D1944" s="5" t="s">
        <v>9</v>
      </c>
      <c r="E1944" s="6">
        <v>767</v>
      </c>
      <c r="F1944" s="5" t="str">
        <f>HYPERLINK("https://www.google.com/maps/search/?api=1&amp;query=24.68942477,46.83043704", "View Map")</f>
        <v>View Map</v>
      </c>
    </row>
    <row r="1945" spans="1:6" x14ac:dyDescent="0.35">
      <c r="A1945" s="4" t="s">
        <v>7231</v>
      </c>
      <c r="B1945" s="5" t="s">
        <v>4978</v>
      </c>
      <c r="C1945" s="5" t="s">
        <v>1776</v>
      </c>
      <c r="D1945" s="5" t="s">
        <v>9</v>
      </c>
      <c r="E1945" s="6">
        <v>767</v>
      </c>
      <c r="F1945" s="5" t="str">
        <f>HYPERLINK("https://www.google.com/maps/search/?api=1&amp;query=24.66992772,46.78432899", "View Map")</f>
        <v>View Map</v>
      </c>
    </row>
    <row r="1946" spans="1:6" x14ac:dyDescent="0.35">
      <c r="A1946" s="4" t="s">
        <v>6039</v>
      </c>
      <c r="B1946" s="5" t="s">
        <v>4979</v>
      </c>
      <c r="C1946" s="5" t="s">
        <v>1776</v>
      </c>
      <c r="D1946" s="5" t="s">
        <v>9</v>
      </c>
      <c r="E1946" s="6">
        <v>767</v>
      </c>
      <c r="F1946" s="5" t="str">
        <f>HYPERLINK("https://www.google.com/maps/search/?api=1&amp;query=24.5883757,46.69042881", "View Map")</f>
        <v>View Map</v>
      </c>
    </row>
    <row r="1947" spans="1:6" x14ac:dyDescent="0.35">
      <c r="A1947" s="4" t="s">
        <v>7232</v>
      </c>
      <c r="B1947" s="5" t="s">
        <v>4981</v>
      </c>
      <c r="C1947" s="5" t="s">
        <v>1776</v>
      </c>
      <c r="D1947" s="5" t="s">
        <v>9</v>
      </c>
      <c r="E1947" s="6">
        <v>766</v>
      </c>
      <c r="F1947" s="5" t="str">
        <f>HYPERLINK("https://www.google.com/maps/search/?api=1&amp;query=24.56470211,46.78912401", "View Map")</f>
        <v>View Map</v>
      </c>
    </row>
    <row r="1948" spans="1:6" x14ac:dyDescent="0.35">
      <c r="A1948" s="4" t="s">
        <v>7233</v>
      </c>
      <c r="B1948" s="5" t="s">
        <v>4983</v>
      </c>
      <c r="C1948" s="5" t="s">
        <v>1776</v>
      </c>
      <c r="D1948" s="5" t="s">
        <v>9</v>
      </c>
      <c r="E1948" s="6">
        <v>766</v>
      </c>
      <c r="F1948" s="5" t="str">
        <f>HYPERLINK("https://www.google.com/maps/search/?api=1&amp;query=24.79191384,46.69051219", "View Map")</f>
        <v>View Map</v>
      </c>
    </row>
    <row r="1949" spans="1:6" x14ac:dyDescent="0.35">
      <c r="A1949" s="4" t="s">
        <v>7234</v>
      </c>
      <c r="B1949" s="5" t="s">
        <v>4985</v>
      </c>
      <c r="C1949" s="5" t="s">
        <v>1776</v>
      </c>
      <c r="D1949" s="5" t="s">
        <v>9</v>
      </c>
      <c r="E1949" s="6">
        <v>765</v>
      </c>
      <c r="F1949" s="5" t="str">
        <f>HYPERLINK("https://www.google.com/maps/search/?api=1&amp;query=24.58764209,46.54654715", "View Map")</f>
        <v>View Map</v>
      </c>
    </row>
    <row r="1950" spans="1:6" x14ac:dyDescent="0.35">
      <c r="A1950" s="4" t="s">
        <v>7235</v>
      </c>
      <c r="B1950" s="5" t="s">
        <v>4987</v>
      </c>
      <c r="C1950" s="5" t="s">
        <v>1776</v>
      </c>
      <c r="D1950" s="5" t="s">
        <v>9</v>
      </c>
      <c r="E1950" s="6">
        <v>764</v>
      </c>
      <c r="F1950" s="5" t="str">
        <f>HYPERLINK("https://www.google.com/maps/search/?api=1&amp;query=24.62816711,46.74875571", "View Map")</f>
        <v>View Map</v>
      </c>
    </row>
    <row r="1951" spans="1:6" x14ac:dyDescent="0.35">
      <c r="A1951" s="4" t="s">
        <v>7236</v>
      </c>
      <c r="B1951" s="5" t="s">
        <v>4989</v>
      </c>
      <c r="C1951" s="5" t="s">
        <v>1776</v>
      </c>
      <c r="D1951" s="5" t="s">
        <v>9</v>
      </c>
      <c r="E1951" s="6">
        <v>764</v>
      </c>
      <c r="F1951" s="5" t="str">
        <f>HYPERLINK("https://www.google.com/maps/search/?api=1&amp;query=24.57867615,46.59689655", "View Map")</f>
        <v>View Map</v>
      </c>
    </row>
    <row r="1952" spans="1:6" x14ac:dyDescent="0.35">
      <c r="A1952" s="4" t="s">
        <v>5974</v>
      </c>
      <c r="B1952" s="5" t="s">
        <v>4990</v>
      </c>
      <c r="C1952" s="5" t="s">
        <v>1776</v>
      </c>
      <c r="D1952" s="5" t="s">
        <v>9</v>
      </c>
      <c r="E1952" s="6">
        <v>764</v>
      </c>
      <c r="F1952" s="5" t="str">
        <f>HYPERLINK("https://www.google.com/maps/search/?api=1&amp;query=24.88832178,46.63600145", "View Map")</f>
        <v>View Map</v>
      </c>
    </row>
    <row r="1953" spans="1:6" x14ac:dyDescent="0.35">
      <c r="A1953" s="4" t="s">
        <v>7237</v>
      </c>
      <c r="B1953" s="5" t="s">
        <v>4992</v>
      </c>
      <c r="C1953" s="5" t="s">
        <v>1776</v>
      </c>
      <c r="D1953" s="5" t="s">
        <v>318</v>
      </c>
      <c r="E1953" s="6">
        <v>763</v>
      </c>
      <c r="F1953" s="5" t="str">
        <f>HYPERLINK("https://www.google.com/maps/search/?api=1&amp;query=24.59347232,46.76192855", "View Map")</f>
        <v>View Map</v>
      </c>
    </row>
    <row r="1954" spans="1:6" x14ac:dyDescent="0.35">
      <c r="A1954" s="4" t="s">
        <v>7238</v>
      </c>
      <c r="B1954" s="5" t="s">
        <v>4994</v>
      </c>
      <c r="C1954" s="5" t="s">
        <v>1776</v>
      </c>
      <c r="D1954" s="5" t="s">
        <v>9</v>
      </c>
      <c r="E1954" s="6">
        <v>763</v>
      </c>
      <c r="F1954" s="5" t="str">
        <f>HYPERLINK("https://www.google.com/maps/search/?api=1&amp;query=24.59797902,46.72360611", "View Map")</f>
        <v>View Map</v>
      </c>
    </row>
    <row r="1955" spans="1:6" x14ac:dyDescent="0.35">
      <c r="A1955" s="4" t="s">
        <v>6039</v>
      </c>
      <c r="B1955" s="5" t="s">
        <v>4995</v>
      </c>
      <c r="C1955" s="5" t="s">
        <v>1776</v>
      </c>
      <c r="D1955" s="5" t="s">
        <v>9</v>
      </c>
      <c r="E1955" s="6">
        <v>762</v>
      </c>
      <c r="F1955" s="5" t="str">
        <f>HYPERLINK("https://www.google.com/maps/search/?api=1&amp;query=24.63765118,46.7164898", "View Map")</f>
        <v>View Map</v>
      </c>
    </row>
    <row r="1956" spans="1:6" x14ac:dyDescent="0.35">
      <c r="A1956" s="4" t="s">
        <v>6497</v>
      </c>
      <c r="B1956" s="5" t="s">
        <v>4996</v>
      </c>
      <c r="C1956" s="5" t="s">
        <v>1776</v>
      </c>
      <c r="D1956" s="5" t="s">
        <v>9</v>
      </c>
      <c r="E1956" s="6">
        <v>761</v>
      </c>
      <c r="F1956" s="5" t="str">
        <f>HYPERLINK("https://www.google.com/maps/search/?api=1&amp;query=24.73914909,46.82461504", "View Map")</f>
        <v>View Map</v>
      </c>
    </row>
    <row r="1957" spans="1:6" x14ac:dyDescent="0.35">
      <c r="A1957" s="4" t="s">
        <v>7239</v>
      </c>
      <c r="B1957" s="5" t="s">
        <v>4997</v>
      </c>
      <c r="C1957" s="5" t="s">
        <v>1776</v>
      </c>
      <c r="D1957" s="5" t="s">
        <v>9</v>
      </c>
      <c r="E1957" s="6">
        <v>761</v>
      </c>
      <c r="F1957" s="5" t="str">
        <f>HYPERLINK("https://www.google.com/maps/search/?api=1&amp;query=24.78364555,46.74349542", "View Map")</f>
        <v>View Map</v>
      </c>
    </row>
    <row r="1958" spans="1:6" x14ac:dyDescent="0.35">
      <c r="A1958" s="4" t="s">
        <v>7240</v>
      </c>
      <c r="B1958" s="5" t="s">
        <v>4999</v>
      </c>
      <c r="C1958" s="5" t="s">
        <v>1776</v>
      </c>
      <c r="D1958" s="5" t="s">
        <v>9</v>
      </c>
      <c r="E1958" s="6">
        <v>761</v>
      </c>
      <c r="F1958" s="5" t="str">
        <f>HYPERLINK("https://www.google.com/maps/search/?api=1&amp;query=24.61245219,46.67157611", "View Map")</f>
        <v>View Map</v>
      </c>
    </row>
    <row r="1959" spans="1:6" x14ac:dyDescent="0.35">
      <c r="A1959" s="4" t="s">
        <v>7241</v>
      </c>
      <c r="B1959" s="5" t="s">
        <v>5001</v>
      </c>
      <c r="C1959" s="5" t="s">
        <v>1776</v>
      </c>
      <c r="D1959" s="5" t="s">
        <v>9</v>
      </c>
      <c r="E1959" s="6">
        <v>761</v>
      </c>
      <c r="F1959" s="5" t="str">
        <f>HYPERLINK("https://www.google.com/maps/search/?api=1&amp;query=24.63771824,46.68647305", "View Map")</f>
        <v>View Map</v>
      </c>
    </row>
    <row r="1960" spans="1:6" x14ac:dyDescent="0.35">
      <c r="A1960" s="4" t="s">
        <v>6637</v>
      </c>
      <c r="B1960" s="5" t="s">
        <v>5002</v>
      </c>
      <c r="C1960" s="5" t="s">
        <v>1776</v>
      </c>
      <c r="D1960" s="5" t="s">
        <v>9</v>
      </c>
      <c r="E1960" s="6">
        <v>761</v>
      </c>
      <c r="F1960" s="5" t="str">
        <f>HYPERLINK("https://www.google.com/maps/search/?api=1&amp;query=24.76559333,46.68465678", "View Map")</f>
        <v>View Map</v>
      </c>
    </row>
    <row r="1961" spans="1:6" x14ac:dyDescent="0.35">
      <c r="A1961" s="4" t="s">
        <v>6589</v>
      </c>
      <c r="B1961" s="5" t="s">
        <v>5003</v>
      </c>
      <c r="C1961" s="5" t="s">
        <v>1776</v>
      </c>
      <c r="D1961" s="5" t="s">
        <v>9</v>
      </c>
      <c r="E1961" s="6">
        <v>761</v>
      </c>
      <c r="F1961" s="5" t="str">
        <f>HYPERLINK("https://www.google.com/maps/search/?api=1&amp;query=24.66557035,46.79826651", "View Map")</f>
        <v>View Map</v>
      </c>
    </row>
    <row r="1962" spans="1:6" x14ac:dyDescent="0.35">
      <c r="A1962" s="4" t="s">
        <v>7242</v>
      </c>
      <c r="B1962" s="5" t="s">
        <v>5005</v>
      </c>
      <c r="C1962" s="5" t="s">
        <v>1776</v>
      </c>
      <c r="D1962" s="5" t="s">
        <v>9</v>
      </c>
      <c r="E1962" s="6">
        <v>761</v>
      </c>
      <c r="F1962" s="5" t="str">
        <f>HYPERLINK("https://www.google.com/maps/search/?api=1&amp;query=24.56940234,46.63376082", "View Map")</f>
        <v>View Map</v>
      </c>
    </row>
    <row r="1963" spans="1:6" x14ac:dyDescent="0.35">
      <c r="A1963" s="4" t="s">
        <v>7243</v>
      </c>
      <c r="B1963" s="5" t="s">
        <v>5007</v>
      </c>
      <c r="C1963" s="5" t="s">
        <v>1776</v>
      </c>
      <c r="D1963" s="5" t="s">
        <v>9</v>
      </c>
      <c r="E1963" s="6">
        <v>761</v>
      </c>
      <c r="F1963" s="5" t="str">
        <f>HYPERLINK("https://www.google.com/maps/search/?api=1&amp;query=24.82127642,46.80905241", "View Map")</f>
        <v>View Map</v>
      </c>
    </row>
    <row r="1964" spans="1:6" x14ac:dyDescent="0.35">
      <c r="A1964" s="4" t="s">
        <v>7244</v>
      </c>
      <c r="B1964" s="5" t="s">
        <v>5009</v>
      </c>
      <c r="C1964" s="5" t="s">
        <v>1776</v>
      </c>
      <c r="D1964" s="5" t="s">
        <v>9</v>
      </c>
      <c r="E1964" s="6">
        <v>760</v>
      </c>
      <c r="F1964" s="5" t="str">
        <f>HYPERLINK("https://www.google.com/maps/search/?api=1&amp;query=24.52720619,46.67962957", "View Map")</f>
        <v>View Map</v>
      </c>
    </row>
    <row r="1965" spans="1:6" x14ac:dyDescent="0.35">
      <c r="A1965" s="4" t="s">
        <v>7245</v>
      </c>
      <c r="B1965" s="5" t="s">
        <v>5011</v>
      </c>
      <c r="C1965" s="5" t="s">
        <v>1776</v>
      </c>
      <c r="D1965" s="5" t="s">
        <v>9</v>
      </c>
      <c r="E1965" s="6">
        <v>760</v>
      </c>
      <c r="F1965" s="5" t="str">
        <f>HYPERLINK("https://www.google.com/maps/search/?api=1&amp;query=24.55796898,46.72210527", "View Map")</f>
        <v>View Map</v>
      </c>
    </row>
    <row r="1966" spans="1:6" x14ac:dyDescent="0.35">
      <c r="A1966" s="4" t="s">
        <v>7246</v>
      </c>
      <c r="B1966" s="5" t="s">
        <v>5013</v>
      </c>
      <c r="C1966" s="5" t="s">
        <v>1776</v>
      </c>
      <c r="D1966" s="5" t="s">
        <v>9</v>
      </c>
      <c r="E1966" s="6">
        <v>759</v>
      </c>
      <c r="F1966" s="5" t="str">
        <f>HYPERLINK("https://www.google.com/maps/search/?api=1&amp;query=24.61794281,46.69453709", "View Map")</f>
        <v>View Map</v>
      </c>
    </row>
    <row r="1967" spans="1:6" x14ac:dyDescent="0.35">
      <c r="A1967" s="4" t="s">
        <v>6039</v>
      </c>
      <c r="B1967" s="5" t="s">
        <v>5014</v>
      </c>
      <c r="C1967" s="5" t="s">
        <v>1776</v>
      </c>
      <c r="D1967" s="5" t="s">
        <v>9</v>
      </c>
      <c r="E1967" s="6">
        <v>759</v>
      </c>
      <c r="F1967" s="5" t="str">
        <f>HYPERLINK("https://www.google.com/maps/search/?api=1&amp;query=24.55918816,46.53067916", "View Map")</f>
        <v>View Map</v>
      </c>
    </row>
    <row r="1968" spans="1:6" x14ac:dyDescent="0.35">
      <c r="A1968" s="4" t="s">
        <v>7247</v>
      </c>
      <c r="B1968" s="5" t="s">
        <v>5016</v>
      </c>
      <c r="C1968" s="5" t="s">
        <v>1776</v>
      </c>
      <c r="D1968" s="5" t="s">
        <v>9</v>
      </c>
      <c r="E1968" s="6">
        <v>759</v>
      </c>
      <c r="F1968" s="5" t="str">
        <f>HYPERLINK("https://www.google.com/maps/search/?api=1&amp;query=24.82515323,46.78374478", "View Map")</f>
        <v>View Map</v>
      </c>
    </row>
    <row r="1969" spans="1:6" x14ac:dyDescent="0.35">
      <c r="A1969" s="4" t="s">
        <v>5974</v>
      </c>
      <c r="B1969" s="5" t="s">
        <v>5017</v>
      </c>
      <c r="C1969" s="5" t="s">
        <v>1776</v>
      </c>
      <c r="D1969" s="5" t="s">
        <v>9</v>
      </c>
      <c r="E1969" s="6">
        <v>759</v>
      </c>
      <c r="F1969" s="5" t="str">
        <f>HYPERLINK("https://www.google.com/maps/search/?api=1&amp;query=24.6061,46.4833", "View Map")</f>
        <v>View Map</v>
      </c>
    </row>
    <row r="1970" spans="1:6" x14ac:dyDescent="0.35">
      <c r="A1970" s="4" t="s">
        <v>7248</v>
      </c>
      <c r="B1970" s="5" t="s">
        <v>5019</v>
      </c>
      <c r="C1970" s="5" t="s">
        <v>1776</v>
      </c>
      <c r="D1970" s="5" t="s">
        <v>9</v>
      </c>
      <c r="E1970" s="6">
        <v>759</v>
      </c>
      <c r="F1970" s="5" t="str">
        <f>HYPERLINK("https://www.google.com/maps/search/?api=1&amp;query=24.59917376,46.58680565", "View Map")</f>
        <v>View Map</v>
      </c>
    </row>
    <row r="1971" spans="1:6" x14ac:dyDescent="0.35">
      <c r="A1971" s="4" t="s">
        <v>7249</v>
      </c>
      <c r="B1971" s="5" t="s">
        <v>5021</v>
      </c>
      <c r="C1971" s="5" t="s">
        <v>1776</v>
      </c>
      <c r="D1971" s="5" t="s">
        <v>9</v>
      </c>
      <c r="E1971" s="6">
        <v>759</v>
      </c>
      <c r="F1971" s="5" t="str">
        <f>HYPERLINK("https://www.google.com/maps/search/?api=1&amp;query=24.81386025,46.68862474", "View Map")</f>
        <v>View Map</v>
      </c>
    </row>
    <row r="1972" spans="1:6" x14ac:dyDescent="0.35">
      <c r="A1972" s="4" t="s">
        <v>6039</v>
      </c>
      <c r="B1972" s="5" t="s">
        <v>5022</v>
      </c>
      <c r="C1972" s="5" t="s">
        <v>1776</v>
      </c>
      <c r="D1972" s="5" t="s">
        <v>9</v>
      </c>
      <c r="E1972" s="6">
        <v>757</v>
      </c>
      <c r="F1972" s="5" t="str">
        <f>HYPERLINK("https://www.google.com/maps/search/?api=1&amp;query=24.6156,46.6939", "View Map")</f>
        <v>View Map</v>
      </c>
    </row>
    <row r="1973" spans="1:6" x14ac:dyDescent="0.35">
      <c r="A1973" s="4" t="s">
        <v>7250</v>
      </c>
      <c r="B1973" s="5" t="s">
        <v>5024</v>
      </c>
      <c r="C1973" s="5" t="s">
        <v>1776</v>
      </c>
      <c r="D1973" s="5" t="s">
        <v>9</v>
      </c>
      <c r="E1973" s="6">
        <v>757</v>
      </c>
      <c r="F1973" s="5" t="str">
        <f>HYPERLINK("https://www.google.com/maps/search/?api=1&amp;query=24.55615944,46.70645238", "View Map")</f>
        <v>View Map</v>
      </c>
    </row>
    <row r="1974" spans="1:6" x14ac:dyDescent="0.35">
      <c r="A1974" s="4" t="s">
        <v>7251</v>
      </c>
      <c r="B1974" s="5" t="s">
        <v>5026</v>
      </c>
      <c r="C1974" s="5" t="s">
        <v>1776</v>
      </c>
      <c r="D1974" s="5" t="s">
        <v>9</v>
      </c>
      <c r="E1974" s="6">
        <v>756</v>
      </c>
      <c r="F1974" s="5" t="str">
        <f>HYPERLINK("https://www.google.com/maps/search/?api=1&amp;query=24.62070451,46.74350791", "View Map")</f>
        <v>View Map</v>
      </c>
    </row>
    <row r="1975" spans="1:6" x14ac:dyDescent="0.35">
      <c r="A1975" s="4" t="s">
        <v>7252</v>
      </c>
      <c r="B1975" s="5" t="s">
        <v>5028</v>
      </c>
      <c r="C1975" s="5" t="s">
        <v>1776</v>
      </c>
      <c r="D1975" s="5" t="s">
        <v>9</v>
      </c>
      <c r="E1975" s="6">
        <v>756</v>
      </c>
      <c r="F1975" s="5" t="str">
        <f>HYPERLINK("https://www.google.com/maps/search/?api=1&amp;query=24.61841604,46.72202659", "View Map")</f>
        <v>View Map</v>
      </c>
    </row>
    <row r="1976" spans="1:6" x14ac:dyDescent="0.35">
      <c r="A1976" s="4" t="s">
        <v>7077</v>
      </c>
      <c r="B1976" s="5" t="s">
        <v>5029</v>
      </c>
      <c r="C1976" s="5" t="s">
        <v>1776</v>
      </c>
      <c r="D1976" s="5" t="s">
        <v>9</v>
      </c>
      <c r="E1976" s="6">
        <v>755</v>
      </c>
      <c r="F1976" s="5" t="str">
        <f>HYPERLINK("https://www.google.com/maps/search/?api=1&amp;query=24.61098195,46.60350751", "View Map")</f>
        <v>View Map</v>
      </c>
    </row>
    <row r="1977" spans="1:6" x14ac:dyDescent="0.35">
      <c r="A1977" s="4" t="s">
        <v>7253</v>
      </c>
      <c r="B1977" s="5" t="s">
        <v>5031</v>
      </c>
      <c r="C1977" s="5" t="s">
        <v>1776</v>
      </c>
      <c r="D1977" s="5" t="s">
        <v>9</v>
      </c>
      <c r="E1977" s="6">
        <v>754</v>
      </c>
      <c r="F1977" s="5" t="str">
        <f>HYPERLINK("https://www.google.com/maps/search/?api=1&amp;query=24.82615339,46.60718877", "View Map")</f>
        <v>View Map</v>
      </c>
    </row>
    <row r="1978" spans="1:6" x14ac:dyDescent="0.35">
      <c r="A1978" s="4" t="s">
        <v>5974</v>
      </c>
      <c r="B1978" s="5" t="s">
        <v>5032</v>
      </c>
      <c r="C1978" s="5" t="s">
        <v>1776</v>
      </c>
      <c r="D1978" s="5" t="s">
        <v>9</v>
      </c>
      <c r="E1978" s="6">
        <v>753</v>
      </c>
      <c r="F1978" s="5" t="str">
        <f>HYPERLINK("https://www.google.com/maps/search/?api=1&amp;query=24.700257,46.8340865", "View Map")</f>
        <v>View Map</v>
      </c>
    </row>
    <row r="1979" spans="1:6" x14ac:dyDescent="0.35">
      <c r="A1979" s="4" t="s">
        <v>6039</v>
      </c>
      <c r="B1979" s="5" t="s">
        <v>5033</v>
      </c>
      <c r="C1979" s="5" t="s">
        <v>1776</v>
      </c>
      <c r="D1979" s="5" t="s">
        <v>9</v>
      </c>
      <c r="E1979" s="6">
        <v>753</v>
      </c>
      <c r="F1979" s="5" t="str">
        <f>HYPERLINK("https://www.google.com/maps/search/?api=1&amp;query=24.57034367,46.54960131", "View Map")</f>
        <v>View Map</v>
      </c>
    </row>
    <row r="1980" spans="1:6" x14ac:dyDescent="0.35">
      <c r="A1980" s="4" t="s">
        <v>7247</v>
      </c>
      <c r="B1980" s="5" t="s">
        <v>5034</v>
      </c>
      <c r="C1980" s="5" t="s">
        <v>1776</v>
      </c>
      <c r="D1980" s="5" t="s">
        <v>9</v>
      </c>
      <c r="E1980" s="6">
        <v>753</v>
      </c>
      <c r="F1980" s="5" t="str">
        <f>HYPERLINK("https://www.google.com/maps/search/?api=1&amp;query=24.82515323,46.78374478", "View Map")</f>
        <v>View Map</v>
      </c>
    </row>
    <row r="1981" spans="1:6" x14ac:dyDescent="0.35">
      <c r="A1981" s="4" t="s">
        <v>5974</v>
      </c>
      <c r="B1981" s="5" t="s">
        <v>5035</v>
      </c>
      <c r="C1981" s="5" t="s">
        <v>1776</v>
      </c>
      <c r="D1981" s="5" t="s">
        <v>9</v>
      </c>
      <c r="E1981" s="6">
        <v>751</v>
      </c>
      <c r="F1981" s="5" t="str">
        <f>HYPERLINK("https://www.google.com/maps/search/?api=1&amp;query=24.86718285,46.83893943", "View Map")</f>
        <v>View Map</v>
      </c>
    </row>
    <row r="1982" spans="1:6" x14ac:dyDescent="0.35">
      <c r="A1982" s="4" t="s">
        <v>7254</v>
      </c>
      <c r="B1982" s="5" t="s">
        <v>5037</v>
      </c>
      <c r="C1982" s="5" t="s">
        <v>1776</v>
      </c>
      <c r="D1982" s="5" t="s">
        <v>9</v>
      </c>
      <c r="E1982" s="6">
        <v>750</v>
      </c>
      <c r="F1982" s="5" t="str">
        <f>HYPERLINK("https://www.google.com/maps/search/?api=1&amp;query=24.82071432,46.65063474", "View Map")</f>
        <v>View Map</v>
      </c>
    </row>
    <row r="1983" spans="1:6" x14ac:dyDescent="0.35">
      <c r="A1983" s="4" t="s">
        <v>6039</v>
      </c>
      <c r="B1983" s="5" t="s">
        <v>5038</v>
      </c>
      <c r="C1983" s="5" t="s">
        <v>1776</v>
      </c>
      <c r="D1983" s="5" t="s">
        <v>9</v>
      </c>
      <c r="E1983" s="6">
        <v>750</v>
      </c>
      <c r="F1983" s="5" t="str">
        <f>HYPERLINK("https://www.google.com/maps/search/?api=1&amp;query=24.55389683,46.52898021", "View Map")</f>
        <v>View Map</v>
      </c>
    </row>
    <row r="1984" spans="1:6" x14ac:dyDescent="0.35">
      <c r="A1984" s="4" t="s">
        <v>7255</v>
      </c>
      <c r="B1984" s="5" t="s">
        <v>5040</v>
      </c>
      <c r="C1984" s="5" t="s">
        <v>1776</v>
      </c>
      <c r="D1984" s="5" t="s">
        <v>9</v>
      </c>
      <c r="E1984" s="6">
        <v>749</v>
      </c>
      <c r="F1984" s="5" t="str">
        <f>HYPERLINK("https://www.google.com/maps/search/?api=1&amp;query=24.62156169,46.71424394", "View Map")</f>
        <v>View Map</v>
      </c>
    </row>
    <row r="1985" spans="1:6" x14ac:dyDescent="0.35">
      <c r="A1985" s="4" t="s">
        <v>7256</v>
      </c>
      <c r="B1985" s="5" t="s">
        <v>5042</v>
      </c>
      <c r="C1985" s="5" t="s">
        <v>1776</v>
      </c>
      <c r="D1985" s="5" t="s">
        <v>9</v>
      </c>
      <c r="E1985" s="6">
        <v>749</v>
      </c>
      <c r="F1985" s="5" t="str">
        <f>HYPERLINK("https://www.google.com/maps/search/?api=1&amp;query=24.57836643,46.70986096", "View Map")</f>
        <v>View Map</v>
      </c>
    </row>
    <row r="1986" spans="1:6" x14ac:dyDescent="0.35">
      <c r="A1986" s="4" t="s">
        <v>7257</v>
      </c>
      <c r="B1986" s="5" t="s">
        <v>5044</v>
      </c>
      <c r="C1986" s="5" t="s">
        <v>1776</v>
      </c>
      <c r="D1986" s="5" t="s">
        <v>9</v>
      </c>
      <c r="E1986" s="6">
        <v>748</v>
      </c>
      <c r="F1986" s="5" t="str">
        <f>HYPERLINK("https://www.google.com/maps/search/?api=1&amp;query=24.57511972,46.6178974", "View Map")</f>
        <v>View Map</v>
      </c>
    </row>
    <row r="1987" spans="1:6" x14ac:dyDescent="0.35">
      <c r="A1987" s="4" t="s">
        <v>7258</v>
      </c>
      <c r="B1987" s="5" t="s">
        <v>5046</v>
      </c>
      <c r="C1987" s="5" t="s">
        <v>1776</v>
      </c>
      <c r="D1987" s="5" t="s">
        <v>9</v>
      </c>
      <c r="E1987" s="6">
        <v>747</v>
      </c>
      <c r="F1987" s="5" t="str">
        <f>HYPERLINK("https://www.google.com/maps/search/?api=1&amp;query=24.59739254,46.70651971", "View Map")</f>
        <v>View Map</v>
      </c>
    </row>
    <row r="1988" spans="1:6" x14ac:dyDescent="0.35">
      <c r="A1988" s="4" t="s">
        <v>6241</v>
      </c>
      <c r="B1988" s="5" t="s">
        <v>5047</v>
      </c>
      <c r="C1988" s="5" t="s">
        <v>1776</v>
      </c>
      <c r="D1988" s="5" t="s">
        <v>9</v>
      </c>
      <c r="E1988" s="6">
        <v>745</v>
      </c>
      <c r="F1988" s="5" t="str">
        <f>HYPERLINK("https://www.google.com/maps/search/?api=1&amp;query=24.80974365,46.88475393", "View Map")</f>
        <v>View Map</v>
      </c>
    </row>
    <row r="1989" spans="1:6" x14ac:dyDescent="0.35">
      <c r="A1989" s="4" t="s">
        <v>7259</v>
      </c>
      <c r="B1989" s="5" t="s">
        <v>5049</v>
      </c>
      <c r="C1989" s="5" t="s">
        <v>1776</v>
      </c>
      <c r="D1989" s="5" t="s">
        <v>9</v>
      </c>
      <c r="E1989" s="6">
        <v>744</v>
      </c>
      <c r="F1989" s="5" t="str">
        <f>HYPERLINK("https://www.google.com/maps/search/?api=1&amp;query=24.78014028,46.75304513", "View Map")</f>
        <v>View Map</v>
      </c>
    </row>
    <row r="1990" spans="1:6" x14ac:dyDescent="0.35">
      <c r="A1990" s="4" t="s">
        <v>7260</v>
      </c>
      <c r="B1990" s="5" t="s">
        <v>5051</v>
      </c>
      <c r="C1990" s="5" t="s">
        <v>1776</v>
      </c>
      <c r="D1990" s="5" t="s">
        <v>9</v>
      </c>
      <c r="E1990" s="6">
        <v>744</v>
      </c>
      <c r="F1990" s="5" t="str">
        <f>HYPERLINK("https://www.google.com/maps/search/?api=1&amp;query=24.68786992,46.81217155", "View Map")</f>
        <v>View Map</v>
      </c>
    </row>
    <row r="1991" spans="1:6" x14ac:dyDescent="0.35">
      <c r="A1991" s="4" t="s">
        <v>6039</v>
      </c>
      <c r="B1991" s="5" t="s">
        <v>5052</v>
      </c>
      <c r="C1991" s="5" t="s">
        <v>1776</v>
      </c>
      <c r="D1991" s="5" t="s">
        <v>9</v>
      </c>
      <c r="E1991" s="6">
        <v>744</v>
      </c>
      <c r="F1991" s="5" t="str">
        <f>HYPERLINK("https://www.google.com/maps/search/?api=1&amp;query=24.56178627,46.5237511", "View Map")</f>
        <v>View Map</v>
      </c>
    </row>
    <row r="1992" spans="1:6" x14ac:dyDescent="0.35">
      <c r="A1992" s="4" t="s">
        <v>5974</v>
      </c>
      <c r="B1992" s="5" t="s">
        <v>5053</v>
      </c>
      <c r="C1992" s="5" t="s">
        <v>1776</v>
      </c>
      <c r="D1992" s="5" t="s">
        <v>9</v>
      </c>
      <c r="E1992" s="6">
        <v>744</v>
      </c>
      <c r="F1992" s="5" t="str">
        <f>HYPERLINK("https://www.google.com/maps/search/?api=1&amp;query=24.80337768,46.59003903", "View Map")</f>
        <v>View Map</v>
      </c>
    </row>
    <row r="1993" spans="1:6" x14ac:dyDescent="0.35">
      <c r="A1993" s="4" t="s">
        <v>5974</v>
      </c>
      <c r="B1993" s="5" t="s">
        <v>5054</v>
      </c>
      <c r="C1993" s="5" t="s">
        <v>1776</v>
      </c>
      <c r="D1993" s="5" t="s">
        <v>9</v>
      </c>
      <c r="E1993" s="6">
        <v>744</v>
      </c>
      <c r="F1993" s="5" t="str">
        <f>HYPERLINK("https://www.google.com/maps/search/?api=1&amp;query=24.85297,46.65071", "View Map")</f>
        <v>View Map</v>
      </c>
    </row>
    <row r="1994" spans="1:6" x14ac:dyDescent="0.35">
      <c r="A1994" s="4" t="s">
        <v>5974</v>
      </c>
      <c r="B1994" s="5" t="s">
        <v>5055</v>
      </c>
      <c r="C1994" s="5" t="s">
        <v>1776</v>
      </c>
      <c r="D1994" s="5" t="s">
        <v>9</v>
      </c>
      <c r="E1994" s="6">
        <v>744</v>
      </c>
      <c r="F1994" s="5" t="str">
        <f>HYPERLINK("https://www.google.com/maps/search/?api=1&amp;query=24.61395679,46.50235749", "View Map")</f>
        <v>View Map</v>
      </c>
    </row>
    <row r="1995" spans="1:6" x14ac:dyDescent="0.35">
      <c r="A1995" s="4" t="s">
        <v>7261</v>
      </c>
      <c r="B1995" s="5" t="s">
        <v>5057</v>
      </c>
      <c r="C1995" s="5" t="s">
        <v>1776</v>
      </c>
      <c r="D1995" s="5" t="s">
        <v>9</v>
      </c>
      <c r="E1995" s="6">
        <v>743</v>
      </c>
      <c r="F1995" s="5" t="str">
        <f>HYPERLINK("https://www.google.com/maps/search/?api=1&amp;query=24.5706,46.6983", "View Map")</f>
        <v>View Map</v>
      </c>
    </row>
    <row r="1996" spans="1:6" x14ac:dyDescent="0.35">
      <c r="A1996" s="4" t="s">
        <v>7262</v>
      </c>
      <c r="B1996" s="5" t="s">
        <v>5059</v>
      </c>
      <c r="C1996" s="5" t="s">
        <v>1776</v>
      </c>
      <c r="D1996" s="5" t="s">
        <v>9</v>
      </c>
      <c r="E1996" s="6">
        <v>743</v>
      </c>
      <c r="F1996" s="5" t="str">
        <f>HYPERLINK("https://www.google.com/maps/search/?api=1&amp;query=24.60605942,46.61545041", "View Map")</f>
        <v>View Map</v>
      </c>
    </row>
    <row r="1997" spans="1:6" x14ac:dyDescent="0.35">
      <c r="A1997" s="4" t="s">
        <v>7012</v>
      </c>
      <c r="B1997" s="5" t="s">
        <v>5060</v>
      </c>
      <c r="C1997" s="5" t="s">
        <v>1776</v>
      </c>
      <c r="D1997" s="5" t="s">
        <v>9</v>
      </c>
      <c r="E1997" s="6">
        <v>743</v>
      </c>
      <c r="F1997" s="5" t="str">
        <f>HYPERLINK("https://www.google.com/maps/search/?api=1&amp;query=24.72754218,46.79429586", "View Map")</f>
        <v>View Map</v>
      </c>
    </row>
    <row r="1998" spans="1:6" x14ac:dyDescent="0.35">
      <c r="A1998" s="4" t="s">
        <v>7263</v>
      </c>
      <c r="B1998" s="5" t="s">
        <v>5062</v>
      </c>
      <c r="C1998" s="5" t="s">
        <v>1776</v>
      </c>
      <c r="D1998" s="5" t="s">
        <v>9</v>
      </c>
      <c r="E1998" s="6">
        <v>742</v>
      </c>
      <c r="F1998" s="5" t="str">
        <f>HYPERLINK("https://www.google.com/maps/search/?api=1&amp;query=24.65704623,46.79380421", "View Map")</f>
        <v>View Map</v>
      </c>
    </row>
    <row r="1999" spans="1:6" x14ac:dyDescent="0.35">
      <c r="A1999" s="4" t="s">
        <v>6847</v>
      </c>
      <c r="B1999" s="5" t="s">
        <v>5063</v>
      </c>
      <c r="C1999" s="5" t="s">
        <v>1776</v>
      </c>
      <c r="D1999" s="5" t="s">
        <v>9</v>
      </c>
      <c r="E1999" s="6">
        <v>741</v>
      </c>
      <c r="F1999" s="5" t="str">
        <f>HYPERLINK("https://www.google.com/maps/search/?api=1&amp;query=24.68529033,46.76381504", "View Map")</f>
        <v>View Map</v>
      </c>
    </row>
    <row r="2000" spans="1:6" x14ac:dyDescent="0.35">
      <c r="A2000" s="4" t="s">
        <v>6349</v>
      </c>
      <c r="B2000" s="5" t="s">
        <v>5064</v>
      </c>
      <c r="C2000" s="5" t="s">
        <v>1776</v>
      </c>
      <c r="D2000" s="5" t="s">
        <v>9</v>
      </c>
      <c r="E2000" s="6">
        <v>741</v>
      </c>
      <c r="F2000" s="5" t="str">
        <f>HYPERLINK("https://www.google.com/maps/search/?api=1&amp;query=24.55603292,46.769141", "View Map")</f>
        <v>View Map</v>
      </c>
    </row>
    <row r="2001" spans="1:6" x14ac:dyDescent="0.35">
      <c r="A2001" s="4" t="s">
        <v>7264</v>
      </c>
      <c r="B2001" s="5" t="s">
        <v>5066</v>
      </c>
      <c r="C2001" s="5" t="s">
        <v>1776</v>
      </c>
      <c r="D2001" s="5" t="s">
        <v>9</v>
      </c>
      <c r="E2001" s="6">
        <v>741</v>
      </c>
      <c r="F2001" s="5" t="str">
        <f>HYPERLINK("https://www.google.com/maps/search/?api=1&amp;query=24.63692912,46.62290432", "View Map")</f>
        <v>View Map</v>
      </c>
    </row>
    <row r="2002" spans="1:6" x14ac:dyDescent="0.35">
      <c r="A2002" s="4" t="s">
        <v>6272</v>
      </c>
      <c r="B2002" s="5" t="s">
        <v>5067</v>
      </c>
      <c r="C2002" s="5" t="s">
        <v>1776</v>
      </c>
      <c r="D2002" s="5" t="s">
        <v>9</v>
      </c>
      <c r="E2002" s="6">
        <v>740</v>
      </c>
      <c r="F2002" s="5" t="str">
        <f>HYPERLINK("https://www.google.com/maps/search/?api=1&amp;query=24.70701599,46.80209152", "View Map")</f>
        <v>View Map</v>
      </c>
    </row>
    <row r="2003" spans="1:6" x14ac:dyDescent="0.35">
      <c r="A2003" s="4" t="s">
        <v>7265</v>
      </c>
      <c r="B2003" s="5" t="s">
        <v>5069</v>
      </c>
      <c r="C2003" s="5" t="s">
        <v>1776</v>
      </c>
      <c r="D2003" s="5" t="s">
        <v>9</v>
      </c>
      <c r="E2003" s="6">
        <v>740</v>
      </c>
      <c r="F2003" s="5" t="str">
        <f>HYPERLINK("https://www.google.com/maps/search/?api=1&amp;query=24.72629227,46.81509409", "View Map")</f>
        <v>View Map</v>
      </c>
    </row>
    <row r="2004" spans="1:6" x14ac:dyDescent="0.35">
      <c r="A2004" s="4" t="s">
        <v>7266</v>
      </c>
      <c r="B2004" s="5" t="s">
        <v>5071</v>
      </c>
      <c r="C2004" s="5" t="s">
        <v>1776</v>
      </c>
      <c r="D2004" s="5" t="s">
        <v>9</v>
      </c>
      <c r="E2004" s="6">
        <v>739</v>
      </c>
      <c r="F2004" s="5" t="str">
        <f>HYPERLINK("https://www.google.com/maps/search/?api=1&amp;query=24.61407213,46.85477443", "View Map")</f>
        <v>View Map</v>
      </c>
    </row>
    <row r="2005" spans="1:6" x14ac:dyDescent="0.35">
      <c r="A2005" s="4" t="s">
        <v>7267</v>
      </c>
      <c r="B2005" s="5" t="s">
        <v>5073</v>
      </c>
      <c r="C2005" s="5" t="s">
        <v>1776</v>
      </c>
      <c r="D2005" s="5" t="s">
        <v>9</v>
      </c>
      <c r="E2005" s="6">
        <v>739</v>
      </c>
      <c r="F2005" s="5" t="str">
        <f>HYPERLINK("https://www.google.com/maps/search/?api=1&amp;query=24.78202877,46.76196356", "View Map")</f>
        <v>View Map</v>
      </c>
    </row>
    <row r="2006" spans="1:6" x14ac:dyDescent="0.35">
      <c r="A2006" s="4" t="s">
        <v>7268</v>
      </c>
      <c r="B2006" s="5" t="s">
        <v>5075</v>
      </c>
      <c r="C2006" s="5" t="s">
        <v>1776</v>
      </c>
      <c r="D2006" s="5" t="s">
        <v>9</v>
      </c>
      <c r="E2006" s="6">
        <v>737</v>
      </c>
      <c r="F2006" s="5" t="str">
        <f>HYPERLINK("https://www.google.com/maps/search/?api=1&amp;query=24.70717407,46.83091194", "View Map")</f>
        <v>View Map</v>
      </c>
    </row>
    <row r="2007" spans="1:6" x14ac:dyDescent="0.35">
      <c r="A2007" s="4" t="s">
        <v>7269</v>
      </c>
      <c r="B2007" s="5" t="s">
        <v>5077</v>
      </c>
      <c r="C2007" s="5" t="s">
        <v>1776</v>
      </c>
      <c r="D2007" s="5" t="s">
        <v>9</v>
      </c>
      <c r="E2007" s="6">
        <v>737</v>
      </c>
      <c r="F2007" s="5" t="str">
        <f>HYPERLINK("https://www.google.com/maps/search/?api=1&amp;query=24.63690242,46.5449221", "View Map")</f>
        <v>View Map</v>
      </c>
    </row>
    <row r="2008" spans="1:6" x14ac:dyDescent="0.35">
      <c r="A2008" s="4" t="s">
        <v>7270</v>
      </c>
      <c r="B2008" s="5" t="s">
        <v>5079</v>
      </c>
      <c r="C2008" s="5" t="s">
        <v>1776</v>
      </c>
      <c r="D2008" s="5" t="s">
        <v>9</v>
      </c>
      <c r="E2008" s="6">
        <v>737</v>
      </c>
      <c r="F2008" s="5" t="str">
        <f>HYPERLINK("https://www.google.com/maps/search/?api=1&amp;query=24.72330664,46.76500445", "View Map")</f>
        <v>View Map</v>
      </c>
    </row>
    <row r="2009" spans="1:6" x14ac:dyDescent="0.35">
      <c r="A2009" s="4" t="s">
        <v>7271</v>
      </c>
      <c r="B2009" s="5" t="s">
        <v>5081</v>
      </c>
      <c r="C2009" s="5" t="s">
        <v>1776</v>
      </c>
      <c r="D2009" s="5" t="s">
        <v>9</v>
      </c>
      <c r="E2009" s="6">
        <v>737</v>
      </c>
      <c r="F2009" s="5" t="str">
        <f>HYPERLINK("https://www.google.com/maps/search/?api=1&amp;query=24.7319,46.7589", "View Map")</f>
        <v>View Map</v>
      </c>
    </row>
    <row r="2010" spans="1:6" x14ac:dyDescent="0.35">
      <c r="A2010" s="4" t="s">
        <v>5974</v>
      </c>
      <c r="B2010" s="5" t="s">
        <v>5082</v>
      </c>
      <c r="C2010" s="5" t="s">
        <v>1776</v>
      </c>
      <c r="D2010" s="5" t="s">
        <v>9</v>
      </c>
      <c r="E2010" s="6">
        <v>737</v>
      </c>
      <c r="F2010" s="5" t="str">
        <f>HYPERLINK("https://www.google.com/maps/search/?api=1&amp;query=24.85989178,46.65345324", "View Map")</f>
        <v>View Map</v>
      </c>
    </row>
    <row r="2011" spans="1:6" x14ac:dyDescent="0.35">
      <c r="A2011" s="4" t="s">
        <v>6039</v>
      </c>
      <c r="B2011" s="5" t="s">
        <v>5083</v>
      </c>
      <c r="C2011" s="5" t="s">
        <v>1776</v>
      </c>
      <c r="D2011" s="5" t="s">
        <v>9</v>
      </c>
      <c r="E2011" s="6">
        <v>737</v>
      </c>
      <c r="F2011" s="5" t="str">
        <f>HYPERLINK("https://www.google.com/maps/search/?api=1&amp;query=24.5016583,46.66427185", "View Map")</f>
        <v>View Map</v>
      </c>
    </row>
    <row r="2012" spans="1:6" x14ac:dyDescent="0.35">
      <c r="A2012" s="4" t="s">
        <v>7272</v>
      </c>
      <c r="B2012" s="5" t="s">
        <v>5085</v>
      </c>
      <c r="C2012" s="5" t="s">
        <v>1843</v>
      </c>
      <c r="D2012" s="5" t="s">
        <v>9</v>
      </c>
      <c r="E2012" s="6">
        <v>737</v>
      </c>
      <c r="F2012" s="5" t="str">
        <f>HYPERLINK("https://www.google.com/maps/search/?api=1&amp;query=24.74820868,46.53897423", "View Map")</f>
        <v>View Map</v>
      </c>
    </row>
    <row r="2013" spans="1:6" x14ac:dyDescent="0.35">
      <c r="A2013" s="4" t="s">
        <v>5972</v>
      </c>
      <c r="B2013" s="5" t="s">
        <v>5086</v>
      </c>
      <c r="C2013" s="5" t="s">
        <v>1776</v>
      </c>
      <c r="D2013" s="5" t="s">
        <v>9</v>
      </c>
      <c r="E2013" s="6">
        <v>736</v>
      </c>
      <c r="F2013" s="5" t="str">
        <f>HYPERLINK("https://www.google.com/maps/search/?api=1&amp;query=24.61123496,46.49149338", "View Map")</f>
        <v>View Map</v>
      </c>
    </row>
    <row r="2014" spans="1:6" x14ac:dyDescent="0.35">
      <c r="A2014" s="4" t="s">
        <v>7273</v>
      </c>
      <c r="B2014" s="5" t="s">
        <v>5088</v>
      </c>
      <c r="C2014" s="5" t="s">
        <v>1776</v>
      </c>
      <c r="D2014" s="5" t="s">
        <v>9</v>
      </c>
      <c r="E2014" s="6">
        <v>736</v>
      </c>
      <c r="F2014" s="5" t="str">
        <f>HYPERLINK("https://www.google.com/maps/search/?api=1&amp;query=24.75466855,46.6851675", "View Map")</f>
        <v>View Map</v>
      </c>
    </row>
    <row r="2015" spans="1:6" x14ac:dyDescent="0.35">
      <c r="A2015" s="4" t="s">
        <v>7274</v>
      </c>
      <c r="B2015" s="5" t="s">
        <v>5090</v>
      </c>
      <c r="C2015" s="5" t="s">
        <v>1776</v>
      </c>
      <c r="D2015" s="5" t="s">
        <v>9</v>
      </c>
      <c r="E2015" s="6">
        <v>735</v>
      </c>
      <c r="F2015" s="5" t="str">
        <f>HYPERLINK("https://www.google.com/maps/search/?api=1&amp;query=24.688332,46.6885594", "View Map")</f>
        <v>View Map</v>
      </c>
    </row>
    <row r="2016" spans="1:6" x14ac:dyDescent="0.35">
      <c r="A2016" s="4" t="s">
        <v>5978</v>
      </c>
      <c r="B2016" s="5" t="s">
        <v>5091</v>
      </c>
      <c r="C2016" s="5" t="s">
        <v>1776</v>
      </c>
      <c r="D2016" s="5" t="s">
        <v>9</v>
      </c>
      <c r="E2016" s="6">
        <v>735</v>
      </c>
      <c r="F2016" s="5" t="str">
        <f>HYPERLINK("https://www.google.com/maps/search/?api=1&amp;query=24.81223815,46.75974487", "View Map")</f>
        <v>View Map</v>
      </c>
    </row>
    <row r="2017" spans="1:6" x14ac:dyDescent="0.35">
      <c r="A2017" s="4" t="s">
        <v>5974</v>
      </c>
      <c r="B2017" s="5" t="s">
        <v>5092</v>
      </c>
      <c r="C2017" s="5" t="s">
        <v>1776</v>
      </c>
      <c r="D2017" s="5" t="s">
        <v>9</v>
      </c>
      <c r="E2017" s="6">
        <v>734</v>
      </c>
      <c r="F2017" s="5" t="str">
        <f>HYPERLINK("https://www.google.com/maps/search/?api=1&amp;query=24.67102,46.713", "View Map")</f>
        <v>View Map</v>
      </c>
    </row>
    <row r="2018" spans="1:6" x14ac:dyDescent="0.35">
      <c r="A2018" s="4" t="s">
        <v>7275</v>
      </c>
      <c r="B2018" s="5" t="s">
        <v>5094</v>
      </c>
      <c r="C2018" s="5" t="s">
        <v>1776</v>
      </c>
      <c r="D2018" s="5" t="s">
        <v>9</v>
      </c>
      <c r="E2018" s="6">
        <v>734</v>
      </c>
      <c r="F2018" s="5" t="str">
        <f>HYPERLINK("https://www.google.com/maps/search/?api=1&amp;query=24.76646395,46.74085585", "View Map")</f>
        <v>View Map</v>
      </c>
    </row>
    <row r="2019" spans="1:6" x14ac:dyDescent="0.35">
      <c r="A2019" s="4" t="s">
        <v>7276</v>
      </c>
      <c r="B2019" s="5" t="s">
        <v>5096</v>
      </c>
      <c r="C2019" s="5" t="s">
        <v>1776</v>
      </c>
      <c r="D2019" s="5" t="s">
        <v>9</v>
      </c>
      <c r="E2019" s="6">
        <v>733</v>
      </c>
      <c r="F2019" s="5" t="str">
        <f>HYPERLINK("https://www.google.com/maps/search/?api=1&amp;query=24.6044,46.6058", "View Map")</f>
        <v>View Map</v>
      </c>
    </row>
    <row r="2020" spans="1:6" x14ac:dyDescent="0.35">
      <c r="A2020" s="4" t="s">
        <v>7277</v>
      </c>
      <c r="B2020" s="5" t="s">
        <v>5098</v>
      </c>
      <c r="C2020" s="5" t="s">
        <v>1776</v>
      </c>
      <c r="D2020" s="5" t="s">
        <v>318</v>
      </c>
      <c r="E2020" s="6">
        <v>733</v>
      </c>
      <c r="F2020" s="5" t="str">
        <f>HYPERLINK("https://www.google.com/maps/search/?api=1&amp;query=24.66241953,46.70152815", "View Map")</f>
        <v>View Map</v>
      </c>
    </row>
    <row r="2021" spans="1:6" x14ac:dyDescent="0.35">
      <c r="A2021" s="4" t="s">
        <v>7105</v>
      </c>
      <c r="B2021" s="5" t="s">
        <v>5099</v>
      </c>
      <c r="C2021" s="5" t="s">
        <v>1776</v>
      </c>
      <c r="D2021" s="5" t="s">
        <v>9</v>
      </c>
      <c r="E2021" s="6">
        <v>732</v>
      </c>
      <c r="F2021" s="5" t="str">
        <f>HYPERLINK("https://www.google.com/maps/search/?api=1&amp;query=24.6973241,46.79997058", "View Map")</f>
        <v>View Map</v>
      </c>
    </row>
    <row r="2022" spans="1:6" x14ac:dyDescent="0.35">
      <c r="A2022" s="4" t="s">
        <v>7278</v>
      </c>
      <c r="B2022" s="5" t="s">
        <v>5101</v>
      </c>
      <c r="C2022" s="5" t="s">
        <v>1776</v>
      </c>
      <c r="D2022" s="5" t="s">
        <v>9</v>
      </c>
      <c r="E2022" s="6">
        <v>732</v>
      </c>
      <c r="F2022" s="5" t="str">
        <f>HYPERLINK("https://www.google.com/maps/search/?api=1&amp;query=24.54637712,46.64397463", "View Map")</f>
        <v>View Map</v>
      </c>
    </row>
    <row r="2023" spans="1:6" x14ac:dyDescent="0.35">
      <c r="A2023" s="4" t="s">
        <v>7279</v>
      </c>
      <c r="B2023" s="5" t="s">
        <v>5103</v>
      </c>
      <c r="C2023" s="5" t="s">
        <v>1776</v>
      </c>
      <c r="D2023" s="5" t="s">
        <v>9</v>
      </c>
      <c r="E2023" s="6">
        <v>732</v>
      </c>
      <c r="F2023" s="5" t="str">
        <f>HYPERLINK("https://www.google.com/maps/search/?api=1&amp;query=24.60175366,46.77346194", "View Map")</f>
        <v>View Map</v>
      </c>
    </row>
    <row r="2024" spans="1:6" x14ac:dyDescent="0.35">
      <c r="A2024" s="4" t="s">
        <v>6073</v>
      </c>
      <c r="B2024" s="5" t="s">
        <v>5104</v>
      </c>
      <c r="C2024" s="5" t="s">
        <v>1776</v>
      </c>
      <c r="D2024" s="5" t="s">
        <v>318</v>
      </c>
      <c r="E2024" s="6">
        <v>732</v>
      </c>
      <c r="F2024" s="5" t="str">
        <f>HYPERLINK("https://www.google.com/maps/search/?api=1&amp;query=24.80523134,46.79547907", "View Map")</f>
        <v>View Map</v>
      </c>
    </row>
    <row r="2025" spans="1:6" x14ac:dyDescent="0.35">
      <c r="A2025" s="4" t="s">
        <v>5974</v>
      </c>
      <c r="B2025" s="5" t="s">
        <v>5105</v>
      </c>
      <c r="C2025" s="5" t="s">
        <v>1776</v>
      </c>
      <c r="D2025" s="5" t="s">
        <v>9</v>
      </c>
      <c r="E2025" s="6">
        <v>731</v>
      </c>
      <c r="F2025" s="5" t="str">
        <f>HYPERLINK("https://www.google.com/maps/search/?api=1&amp;query=24.83275164,46.74648465", "View Map")</f>
        <v>View Map</v>
      </c>
    </row>
    <row r="2026" spans="1:6" x14ac:dyDescent="0.35">
      <c r="A2026" s="4" t="s">
        <v>7280</v>
      </c>
      <c r="B2026" s="5" t="s">
        <v>5107</v>
      </c>
      <c r="C2026" s="5" t="s">
        <v>1843</v>
      </c>
      <c r="D2026" s="5" t="s">
        <v>9</v>
      </c>
      <c r="E2026" s="6">
        <v>731</v>
      </c>
      <c r="F2026" s="5" t="str">
        <f>HYPERLINK("https://www.google.com/maps/search/?api=1&amp;query=24.74352549,46.57230921", "View Map")</f>
        <v>View Map</v>
      </c>
    </row>
    <row r="2027" spans="1:6" x14ac:dyDescent="0.35">
      <c r="A2027" s="4" t="s">
        <v>6039</v>
      </c>
      <c r="B2027" s="5" t="s">
        <v>5108</v>
      </c>
      <c r="C2027" s="5" t="s">
        <v>1776</v>
      </c>
      <c r="D2027" s="5" t="s">
        <v>9</v>
      </c>
      <c r="E2027" s="6">
        <v>730</v>
      </c>
      <c r="F2027" s="5" t="str">
        <f>HYPERLINK("https://www.google.com/maps/search/?api=1&amp;query=24.58092763,46.70459587", "View Map")</f>
        <v>View Map</v>
      </c>
    </row>
    <row r="2028" spans="1:6" x14ac:dyDescent="0.35">
      <c r="A2028" s="4" t="s">
        <v>5974</v>
      </c>
      <c r="B2028" s="5" t="s">
        <v>5109</v>
      </c>
      <c r="C2028" s="5" t="s">
        <v>1776</v>
      </c>
      <c r="D2028" s="5" t="s">
        <v>9</v>
      </c>
      <c r="E2028" s="6">
        <v>730</v>
      </c>
      <c r="F2028" s="5" t="str">
        <f>HYPERLINK("https://www.google.com/maps/search/?api=1&amp;query=24.92937923,46.806863", "View Map")</f>
        <v>View Map</v>
      </c>
    </row>
    <row r="2029" spans="1:6" x14ac:dyDescent="0.35">
      <c r="A2029" s="4" t="s">
        <v>6039</v>
      </c>
      <c r="B2029" s="5" t="s">
        <v>5110</v>
      </c>
      <c r="C2029" s="5" t="s">
        <v>1776</v>
      </c>
      <c r="D2029" s="5" t="s">
        <v>9</v>
      </c>
      <c r="E2029" s="6">
        <v>730</v>
      </c>
      <c r="F2029" s="5" t="str">
        <f>HYPERLINK("https://www.google.com/maps/search/?api=1&amp;query=24.5795311,46.61115021", "View Map")</f>
        <v>View Map</v>
      </c>
    </row>
    <row r="2030" spans="1:6" x14ac:dyDescent="0.35">
      <c r="A2030" s="4" t="s">
        <v>7281</v>
      </c>
      <c r="B2030" s="5" t="s">
        <v>5112</v>
      </c>
      <c r="C2030" s="5" t="s">
        <v>1776</v>
      </c>
      <c r="D2030" s="5" t="s">
        <v>9</v>
      </c>
      <c r="E2030" s="6">
        <v>730</v>
      </c>
      <c r="F2030" s="5" t="str">
        <f>HYPERLINK("https://www.google.com/maps/search/?api=1&amp;query=24.63451704,46.59397562", "View Map")</f>
        <v>View Map</v>
      </c>
    </row>
    <row r="2031" spans="1:6" x14ac:dyDescent="0.35">
      <c r="A2031" s="4" t="s">
        <v>7282</v>
      </c>
      <c r="B2031" s="5" t="s">
        <v>5114</v>
      </c>
      <c r="C2031" s="5" t="s">
        <v>1776</v>
      </c>
      <c r="D2031" s="5" t="s">
        <v>9</v>
      </c>
      <c r="E2031" s="6">
        <v>730</v>
      </c>
      <c r="F2031" s="5" t="str">
        <f>HYPERLINK("https://www.google.com/maps/search/?api=1&amp;query=24.8023764,46.80238528", "View Map")</f>
        <v>View Map</v>
      </c>
    </row>
    <row r="2032" spans="1:6" x14ac:dyDescent="0.35">
      <c r="A2032" s="4" t="s">
        <v>7283</v>
      </c>
      <c r="B2032" s="5" t="s">
        <v>5116</v>
      </c>
      <c r="C2032" s="5" t="s">
        <v>1776</v>
      </c>
      <c r="D2032" s="5" t="s">
        <v>9</v>
      </c>
      <c r="E2032" s="6">
        <v>729</v>
      </c>
      <c r="F2032" s="5" t="str">
        <f>HYPERLINK("https://www.google.com/maps/search/?api=1&amp;query=24.74161406,46.77668002", "View Map")</f>
        <v>View Map</v>
      </c>
    </row>
    <row r="2033" spans="1:6" x14ac:dyDescent="0.35">
      <c r="A2033" s="4" t="s">
        <v>7284</v>
      </c>
      <c r="B2033" s="5" t="s">
        <v>5118</v>
      </c>
      <c r="C2033" s="5" t="s">
        <v>1776</v>
      </c>
      <c r="D2033" s="5" t="s">
        <v>9</v>
      </c>
      <c r="E2033" s="6">
        <v>729</v>
      </c>
      <c r="F2033" s="5" t="str">
        <f>HYPERLINK("https://www.google.com/maps/search/?api=1&amp;query=24.5623057,46.76237964", "View Map")</f>
        <v>View Map</v>
      </c>
    </row>
    <row r="2034" spans="1:6" x14ac:dyDescent="0.35">
      <c r="A2034" s="4" t="s">
        <v>7285</v>
      </c>
      <c r="B2034" s="5" t="s">
        <v>5120</v>
      </c>
      <c r="C2034" s="5" t="s">
        <v>1776</v>
      </c>
      <c r="D2034" s="5" t="s">
        <v>9</v>
      </c>
      <c r="E2034" s="6">
        <v>729</v>
      </c>
      <c r="F2034" s="5" t="str">
        <f>HYPERLINK("https://www.google.com/maps/search/?api=1&amp;query=24.71972893,46.66681519", "View Map")</f>
        <v>View Map</v>
      </c>
    </row>
    <row r="2035" spans="1:6" x14ac:dyDescent="0.35">
      <c r="A2035" s="4" t="s">
        <v>7286</v>
      </c>
      <c r="B2035" s="5" t="s">
        <v>5122</v>
      </c>
      <c r="C2035" s="5" t="s">
        <v>1776</v>
      </c>
      <c r="D2035" s="5" t="s">
        <v>9</v>
      </c>
      <c r="E2035" s="6">
        <v>729</v>
      </c>
      <c r="F2035" s="5" t="str">
        <f>HYPERLINK("https://www.google.com/maps/search/?api=1&amp;query=24.61218068,46.69679777", "View Map")</f>
        <v>View Map</v>
      </c>
    </row>
    <row r="2036" spans="1:6" x14ac:dyDescent="0.35">
      <c r="A2036" s="4" t="s">
        <v>5978</v>
      </c>
      <c r="B2036" s="5" t="s">
        <v>5123</v>
      </c>
      <c r="C2036" s="5" t="s">
        <v>1776</v>
      </c>
      <c r="D2036" s="5" t="s">
        <v>9</v>
      </c>
      <c r="E2036" s="6">
        <v>729</v>
      </c>
      <c r="F2036" s="5" t="str">
        <f>HYPERLINK("https://www.google.com/maps/search/?api=1&amp;query=24.80862069,46.87011952", "View Map")</f>
        <v>View Map</v>
      </c>
    </row>
    <row r="2037" spans="1:6" x14ac:dyDescent="0.35">
      <c r="A2037" s="4" t="s">
        <v>6491</v>
      </c>
      <c r="B2037" s="5" t="s">
        <v>5124</v>
      </c>
      <c r="C2037" s="5" t="s">
        <v>1776</v>
      </c>
      <c r="D2037" s="5" t="s">
        <v>9</v>
      </c>
      <c r="E2037" s="6">
        <v>729</v>
      </c>
      <c r="F2037" s="5" t="str">
        <f>HYPERLINK("https://www.google.com/maps/search/?api=1&amp;query=24.57975637,46.57967382", "View Map")</f>
        <v>View Map</v>
      </c>
    </row>
    <row r="2038" spans="1:6" x14ac:dyDescent="0.35">
      <c r="A2038" s="4" t="s">
        <v>6009</v>
      </c>
      <c r="B2038" s="5" t="s">
        <v>5125</v>
      </c>
      <c r="C2038" s="5" t="s">
        <v>1776</v>
      </c>
      <c r="D2038" s="5" t="s">
        <v>9</v>
      </c>
      <c r="E2038" s="6">
        <v>728</v>
      </c>
      <c r="F2038" s="5" t="str">
        <f>HYPERLINK("https://www.google.com/maps/search/?api=1&amp;query=24.67237059,46.79599262", "View Map")</f>
        <v>View Map</v>
      </c>
    </row>
    <row r="2039" spans="1:6" x14ac:dyDescent="0.35">
      <c r="A2039" s="4" t="s">
        <v>7287</v>
      </c>
      <c r="B2039" s="5" t="s">
        <v>5127</v>
      </c>
      <c r="C2039" s="5" t="s">
        <v>1776</v>
      </c>
      <c r="D2039" s="5" t="s">
        <v>9</v>
      </c>
      <c r="E2039" s="6">
        <v>728</v>
      </c>
      <c r="F2039" s="5" t="str">
        <f>HYPERLINK("https://www.google.com/maps/search/?api=1&amp;query=24.63917976,46.6589951", "View Map")</f>
        <v>View Map</v>
      </c>
    </row>
    <row r="2040" spans="1:6" x14ac:dyDescent="0.35">
      <c r="A2040" s="4" t="s">
        <v>7288</v>
      </c>
      <c r="B2040" s="5" t="s">
        <v>5129</v>
      </c>
      <c r="C2040" s="5" t="s">
        <v>1776</v>
      </c>
      <c r="D2040" s="5" t="s">
        <v>9</v>
      </c>
      <c r="E2040" s="6">
        <v>728</v>
      </c>
      <c r="F2040" s="5" t="str">
        <f>HYPERLINK("https://www.google.com/maps/search/?api=1&amp;query=24.81027553,46.86274451", "View Map")</f>
        <v>View Map</v>
      </c>
    </row>
    <row r="2041" spans="1:6" x14ac:dyDescent="0.35">
      <c r="A2041" s="4" t="s">
        <v>7289</v>
      </c>
      <c r="B2041" s="5" t="s">
        <v>5131</v>
      </c>
      <c r="C2041" s="5" t="s">
        <v>1776</v>
      </c>
      <c r="D2041" s="5" t="s">
        <v>9</v>
      </c>
      <c r="E2041" s="6">
        <v>727</v>
      </c>
      <c r="F2041" s="5" t="str">
        <f>HYPERLINK("https://www.google.com/maps/search/?api=1&amp;query=24.79987267,46.87013012", "View Map")</f>
        <v>View Map</v>
      </c>
    </row>
    <row r="2042" spans="1:6" x14ac:dyDescent="0.35">
      <c r="A2042" s="4" t="s">
        <v>7290</v>
      </c>
      <c r="B2042" s="5" t="s">
        <v>5133</v>
      </c>
      <c r="C2042" s="5" t="s">
        <v>1776</v>
      </c>
      <c r="D2042" s="5" t="s">
        <v>9</v>
      </c>
      <c r="E2042" s="6">
        <v>727</v>
      </c>
      <c r="F2042" s="5" t="str">
        <f>HYPERLINK("https://www.google.com/maps/search/?api=1&amp;query=24.55287095,46.71891376", "View Map")</f>
        <v>View Map</v>
      </c>
    </row>
    <row r="2043" spans="1:6" x14ac:dyDescent="0.35">
      <c r="A2043" s="4" t="s">
        <v>5974</v>
      </c>
      <c r="B2043" s="5" t="s">
        <v>5134</v>
      </c>
      <c r="C2043" s="5" t="s">
        <v>1776</v>
      </c>
      <c r="D2043" s="5" t="s">
        <v>9</v>
      </c>
      <c r="E2043" s="6">
        <v>727</v>
      </c>
      <c r="F2043" s="5" t="str">
        <f>HYPERLINK("https://www.google.com/maps/search/?api=1&amp;query=24.6894484,46.84775405", "View Map")</f>
        <v>View Map</v>
      </c>
    </row>
    <row r="2044" spans="1:6" x14ac:dyDescent="0.35">
      <c r="A2044" s="4" t="s">
        <v>7291</v>
      </c>
      <c r="B2044" s="5" t="s">
        <v>5136</v>
      </c>
      <c r="C2044" s="5" t="s">
        <v>1776</v>
      </c>
      <c r="D2044" s="5" t="s">
        <v>9</v>
      </c>
      <c r="E2044" s="6">
        <v>727</v>
      </c>
      <c r="F2044" s="5" t="str">
        <f>HYPERLINK("https://www.google.com/maps/search/?api=1&amp;query=24.61547752,46.7062525", "View Map")</f>
        <v>View Map</v>
      </c>
    </row>
    <row r="2045" spans="1:6" x14ac:dyDescent="0.35">
      <c r="A2045" s="4" t="s">
        <v>6796</v>
      </c>
      <c r="B2045" s="5" t="s">
        <v>5137</v>
      </c>
      <c r="C2045" s="5" t="s">
        <v>1776</v>
      </c>
      <c r="D2045" s="5" t="s">
        <v>9</v>
      </c>
      <c r="E2045" s="6">
        <v>726</v>
      </c>
      <c r="F2045" s="5" t="str">
        <f>HYPERLINK("https://www.google.com/maps/search/?api=1&amp;query=24.7150606,46.8485158", "View Map")</f>
        <v>View Map</v>
      </c>
    </row>
    <row r="2046" spans="1:6" x14ac:dyDescent="0.35">
      <c r="A2046" s="4" t="s">
        <v>6039</v>
      </c>
      <c r="B2046" s="5" t="s">
        <v>5138</v>
      </c>
      <c r="C2046" s="5" t="s">
        <v>1776</v>
      </c>
      <c r="D2046" s="5" t="s">
        <v>9</v>
      </c>
      <c r="E2046" s="6">
        <v>726</v>
      </c>
      <c r="F2046" s="5" t="str">
        <f>HYPERLINK("https://www.google.com/maps/search/?api=1&amp;query=24.56326244,46.57380798", "View Map")</f>
        <v>View Map</v>
      </c>
    </row>
    <row r="2047" spans="1:6" x14ac:dyDescent="0.35">
      <c r="A2047" s="4" t="s">
        <v>7292</v>
      </c>
      <c r="B2047" s="5" t="s">
        <v>5140</v>
      </c>
      <c r="C2047" s="5" t="s">
        <v>1776</v>
      </c>
      <c r="D2047" s="5" t="s">
        <v>9</v>
      </c>
      <c r="E2047" s="6">
        <v>726</v>
      </c>
      <c r="F2047" s="5" t="str">
        <f>HYPERLINK("https://www.google.com/maps/search/?api=1&amp;query=24.72690391,46.81161775", "View Map")</f>
        <v>View Map</v>
      </c>
    </row>
    <row r="2048" spans="1:6" x14ac:dyDescent="0.35">
      <c r="A2048" s="4" t="s">
        <v>7293</v>
      </c>
      <c r="B2048" s="5" t="s">
        <v>5142</v>
      </c>
      <c r="C2048" s="5" t="s">
        <v>1776</v>
      </c>
      <c r="D2048" s="5" t="s">
        <v>9</v>
      </c>
      <c r="E2048" s="6">
        <v>726</v>
      </c>
      <c r="F2048" s="5" t="str">
        <f>HYPERLINK("https://www.google.com/maps/search/?api=1&amp;query=24.66575854,46.74530661", "View Map")</f>
        <v>View Map</v>
      </c>
    </row>
    <row r="2049" spans="1:6" x14ac:dyDescent="0.35">
      <c r="A2049" s="4" t="s">
        <v>7294</v>
      </c>
      <c r="B2049" s="5" t="s">
        <v>5144</v>
      </c>
      <c r="C2049" s="5" t="s">
        <v>1843</v>
      </c>
      <c r="D2049" s="5" t="s">
        <v>9</v>
      </c>
      <c r="E2049" s="6">
        <v>725</v>
      </c>
      <c r="F2049" s="5" t="str">
        <f>HYPERLINK("https://www.google.com/maps/search/?api=1&amp;query=24.76274997,46.57498541", "View Map")</f>
        <v>View Map</v>
      </c>
    </row>
    <row r="2050" spans="1:6" x14ac:dyDescent="0.35">
      <c r="A2050" s="4" t="s">
        <v>7295</v>
      </c>
      <c r="B2050" s="5" t="s">
        <v>5146</v>
      </c>
      <c r="C2050" s="5" t="s">
        <v>1776</v>
      </c>
      <c r="D2050" s="5" t="s">
        <v>9</v>
      </c>
      <c r="E2050" s="6">
        <v>725</v>
      </c>
      <c r="F2050" s="5" t="str">
        <f>HYPERLINK("https://www.google.com/maps/search/?api=1&amp;query=24.54930022,46.65408903", "View Map")</f>
        <v>View Map</v>
      </c>
    </row>
    <row r="2051" spans="1:6" x14ac:dyDescent="0.35">
      <c r="A2051" s="4" t="s">
        <v>7296</v>
      </c>
      <c r="B2051" s="5" t="s">
        <v>5148</v>
      </c>
      <c r="C2051" s="5" t="s">
        <v>1776</v>
      </c>
      <c r="D2051" s="5" t="s">
        <v>9</v>
      </c>
      <c r="E2051" s="6">
        <v>725</v>
      </c>
      <c r="F2051" s="5" t="str">
        <f>HYPERLINK("https://www.google.com/maps/search/?api=1&amp;query=24.74187,46.61066", "View Map")</f>
        <v>View Map</v>
      </c>
    </row>
    <row r="2052" spans="1:6" x14ac:dyDescent="0.35">
      <c r="A2052" s="4" t="s">
        <v>6039</v>
      </c>
      <c r="B2052" s="5" t="s">
        <v>5149</v>
      </c>
      <c r="C2052" s="5" t="s">
        <v>1776</v>
      </c>
      <c r="D2052" s="5" t="s">
        <v>9</v>
      </c>
      <c r="E2052" s="6">
        <v>724</v>
      </c>
      <c r="F2052" s="5" t="str">
        <f>HYPERLINK("https://www.google.com/maps/search/?api=1&amp;query=24.55237201,46.49586316", "View Map")</f>
        <v>View Map</v>
      </c>
    </row>
    <row r="2053" spans="1:6" x14ac:dyDescent="0.35">
      <c r="A2053" s="4" t="s">
        <v>6134</v>
      </c>
      <c r="B2053" s="5" t="s">
        <v>5150</v>
      </c>
      <c r="C2053" s="5" t="s">
        <v>1776</v>
      </c>
      <c r="D2053" s="5" t="s">
        <v>9</v>
      </c>
      <c r="E2053" s="6">
        <v>724</v>
      </c>
      <c r="F2053" s="5" t="str">
        <f>HYPERLINK("https://www.google.com/maps/search/?api=1&amp;query=24.63869558,46.59641028", "View Map")</f>
        <v>View Map</v>
      </c>
    </row>
    <row r="2054" spans="1:6" x14ac:dyDescent="0.35">
      <c r="A2054" s="4" t="s">
        <v>6039</v>
      </c>
      <c r="B2054" s="5" t="s">
        <v>5151</v>
      </c>
      <c r="C2054" s="5" t="s">
        <v>1776</v>
      </c>
      <c r="D2054" s="5" t="s">
        <v>9</v>
      </c>
      <c r="E2054" s="6">
        <v>722</v>
      </c>
      <c r="F2054" s="5" t="str">
        <f>HYPERLINK("https://www.google.com/maps/search/?api=1&amp;query=24.56959007,46.53116667", "View Map")</f>
        <v>View Map</v>
      </c>
    </row>
    <row r="2055" spans="1:6" x14ac:dyDescent="0.35">
      <c r="A2055" s="4" t="s">
        <v>7297</v>
      </c>
      <c r="B2055" s="5" t="s">
        <v>5153</v>
      </c>
      <c r="C2055" s="5" t="s">
        <v>1776</v>
      </c>
      <c r="D2055" s="5" t="s">
        <v>9</v>
      </c>
      <c r="E2055" s="6">
        <v>722</v>
      </c>
      <c r="F2055" s="5" t="str">
        <f>HYPERLINK("https://www.google.com/maps/search/?api=1&amp;query=24.69019795,46.7209971", "View Map")</f>
        <v>View Map</v>
      </c>
    </row>
    <row r="2056" spans="1:6" x14ac:dyDescent="0.35">
      <c r="A2056" s="4" t="s">
        <v>7298</v>
      </c>
      <c r="B2056" s="5" t="s">
        <v>5155</v>
      </c>
      <c r="C2056" s="5" t="s">
        <v>1776</v>
      </c>
      <c r="D2056" s="5" t="s">
        <v>9</v>
      </c>
      <c r="E2056" s="6">
        <v>722</v>
      </c>
      <c r="F2056" s="5" t="str">
        <f>HYPERLINK("https://www.google.com/maps/search/?api=1&amp;query=24.54393524,46.70151236", "View Map")</f>
        <v>View Map</v>
      </c>
    </row>
    <row r="2057" spans="1:6" x14ac:dyDescent="0.35">
      <c r="A2057" s="4" t="s">
        <v>7299</v>
      </c>
      <c r="B2057" s="5" t="s">
        <v>5157</v>
      </c>
      <c r="C2057" s="5" t="s">
        <v>1776</v>
      </c>
      <c r="D2057" s="5" t="s">
        <v>9</v>
      </c>
      <c r="E2057" s="6">
        <v>722</v>
      </c>
      <c r="F2057" s="5" t="str">
        <f>HYPERLINK("https://www.google.com/maps/search/?api=1&amp;query=24.5900787,46.60434661", "View Map")</f>
        <v>View Map</v>
      </c>
    </row>
    <row r="2058" spans="1:6" x14ac:dyDescent="0.35">
      <c r="A2058" s="4" t="s">
        <v>7300</v>
      </c>
      <c r="B2058" s="5" t="s">
        <v>5159</v>
      </c>
      <c r="C2058" s="5" t="s">
        <v>1776</v>
      </c>
      <c r="D2058" s="5" t="s">
        <v>9</v>
      </c>
      <c r="E2058" s="6">
        <v>722</v>
      </c>
      <c r="F2058" s="5" t="str">
        <f>HYPERLINK("https://www.google.com/maps/search/?api=1&amp;query=24.55758165,46.78406404", "View Map")</f>
        <v>View Map</v>
      </c>
    </row>
    <row r="2059" spans="1:6" x14ac:dyDescent="0.35">
      <c r="A2059" s="4" t="s">
        <v>6915</v>
      </c>
      <c r="B2059" s="5" t="s">
        <v>5160</v>
      </c>
      <c r="C2059" s="5" t="s">
        <v>1776</v>
      </c>
      <c r="D2059" s="5" t="s">
        <v>9</v>
      </c>
      <c r="E2059" s="6">
        <v>722</v>
      </c>
      <c r="F2059" s="5" t="str">
        <f>HYPERLINK("https://www.google.com/maps/search/?api=1&amp;query=24.6895799,46.83862633", "View Map")</f>
        <v>View Map</v>
      </c>
    </row>
    <row r="2060" spans="1:6" x14ac:dyDescent="0.35">
      <c r="A2060" s="4" t="s">
        <v>5974</v>
      </c>
      <c r="B2060" s="5" t="s">
        <v>5161</v>
      </c>
      <c r="C2060" s="5" t="s">
        <v>1776</v>
      </c>
      <c r="D2060" s="5" t="s">
        <v>9</v>
      </c>
      <c r="E2060" s="6">
        <v>722</v>
      </c>
      <c r="F2060" s="5" t="str">
        <f>HYPERLINK("https://www.google.com/maps/search/?api=1&amp;query=24.6564,46.5778", "View Map")</f>
        <v>View Map</v>
      </c>
    </row>
    <row r="2061" spans="1:6" x14ac:dyDescent="0.35">
      <c r="A2061" s="4" t="s">
        <v>7301</v>
      </c>
      <c r="B2061" s="5" t="s">
        <v>5163</v>
      </c>
      <c r="C2061" s="5" t="s">
        <v>1776</v>
      </c>
      <c r="D2061" s="5" t="s">
        <v>9</v>
      </c>
      <c r="E2061" s="6">
        <v>721</v>
      </c>
      <c r="F2061" s="5" t="str">
        <f>HYPERLINK("https://www.google.com/maps/search/?api=1&amp;query=24.76985014,46.74216619", "View Map")</f>
        <v>View Map</v>
      </c>
    </row>
    <row r="2062" spans="1:6" x14ac:dyDescent="0.35">
      <c r="A2062" s="4" t="s">
        <v>6039</v>
      </c>
      <c r="B2062" s="5" t="s">
        <v>5164</v>
      </c>
      <c r="C2062" s="5" t="s">
        <v>1776</v>
      </c>
      <c r="D2062" s="5" t="s">
        <v>9</v>
      </c>
      <c r="E2062" s="6">
        <v>721</v>
      </c>
      <c r="F2062" s="5" t="str">
        <f>HYPERLINK("https://www.google.com/maps/search/?api=1&amp;query=24.6125,46.7017", "View Map")</f>
        <v>View Map</v>
      </c>
    </row>
    <row r="2063" spans="1:6" x14ac:dyDescent="0.35">
      <c r="A2063" s="4" t="s">
        <v>7302</v>
      </c>
      <c r="B2063" s="5" t="s">
        <v>5166</v>
      </c>
      <c r="C2063" s="5" t="s">
        <v>1776</v>
      </c>
      <c r="D2063" s="5" t="s">
        <v>9</v>
      </c>
      <c r="E2063" s="6">
        <v>721</v>
      </c>
      <c r="F2063" s="5" t="str">
        <f>HYPERLINK("https://www.google.com/maps/search/?api=1&amp;query=24.81102581,46.64342992", "View Map")</f>
        <v>View Map</v>
      </c>
    </row>
    <row r="2064" spans="1:6" x14ac:dyDescent="0.35">
      <c r="A2064" s="4" t="s">
        <v>7303</v>
      </c>
      <c r="B2064" s="5" t="s">
        <v>5168</v>
      </c>
      <c r="C2064" s="5" t="s">
        <v>1776</v>
      </c>
      <c r="D2064" s="5" t="s">
        <v>9</v>
      </c>
      <c r="E2064" s="6">
        <v>720</v>
      </c>
      <c r="F2064" s="5" t="str">
        <f>HYPERLINK("https://www.google.com/maps/search/?api=1&amp;query=24.55741485,46.69213812", "View Map")</f>
        <v>View Map</v>
      </c>
    </row>
    <row r="2065" spans="1:6" x14ac:dyDescent="0.35">
      <c r="A2065" s="4" t="s">
        <v>7304</v>
      </c>
      <c r="B2065" s="5" t="s">
        <v>5170</v>
      </c>
      <c r="C2065" s="5" t="s">
        <v>1776</v>
      </c>
      <c r="D2065" s="5" t="s">
        <v>9</v>
      </c>
      <c r="E2065" s="6">
        <v>720</v>
      </c>
      <c r="F2065" s="5" t="str">
        <f>HYPERLINK("https://www.google.com/maps/search/?api=1&amp;query=24.77815313,46.7244194", "View Map")</f>
        <v>View Map</v>
      </c>
    </row>
    <row r="2066" spans="1:6" x14ac:dyDescent="0.35">
      <c r="A2066" s="4" t="s">
        <v>7305</v>
      </c>
      <c r="B2066" s="5" t="s">
        <v>5172</v>
      </c>
      <c r="C2066" s="5" t="s">
        <v>1776</v>
      </c>
      <c r="D2066" s="5" t="s">
        <v>9</v>
      </c>
      <c r="E2066" s="6">
        <v>719</v>
      </c>
      <c r="F2066" s="5" t="str">
        <f>HYPERLINK("https://www.google.com/maps/search/?api=1&amp;query=24.56528104,46.63626444", "View Map")</f>
        <v>View Map</v>
      </c>
    </row>
    <row r="2067" spans="1:6" x14ac:dyDescent="0.35">
      <c r="A2067" s="4" t="s">
        <v>5978</v>
      </c>
      <c r="B2067" s="5" t="s">
        <v>5173</v>
      </c>
      <c r="C2067" s="5" t="s">
        <v>1776</v>
      </c>
      <c r="D2067" s="5" t="s">
        <v>9</v>
      </c>
      <c r="E2067" s="6">
        <v>719</v>
      </c>
      <c r="F2067" s="5" t="str">
        <f>HYPERLINK("https://www.google.com/maps/search/?api=1&amp;query=24.73413149,46.60833084", "View Map")</f>
        <v>View Map</v>
      </c>
    </row>
    <row r="2068" spans="1:6" x14ac:dyDescent="0.35">
      <c r="A2068" s="4" t="s">
        <v>7306</v>
      </c>
      <c r="B2068" s="5" t="s">
        <v>5175</v>
      </c>
      <c r="C2068" s="5" t="s">
        <v>1776</v>
      </c>
      <c r="D2068" s="5" t="s">
        <v>9</v>
      </c>
      <c r="E2068" s="6">
        <v>719</v>
      </c>
      <c r="F2068" s="5" t="str">
        <f>HYPERLINK("https://www.google.com/maps/search/?api=1&amp;query=24.58563855,46.65142248", "View Map")</f>
        <v>View Map</v>
      </c>
    </row>
    <row r="2069" spans="1:6" x14ac:dyDescent="0.35">
      <c r="A2069" s="4" t="s">
        <v>7307</v>
      </c>
      <c r="B2069" s="5" t="s">
        <v>5177</v>
      </c>
      <c r="C2069" s="5" t="s">
        <v>1776</v>
      </c>
      <c r="D2069" s="5" t="s">
        <v>9</v>
      </c>
      <c r="E2069" s="6">
        <v>719</v>
      </c>
      <c r="F2069" s="5" t="str">
        <f>HYPERLINK("https://www.google.com/maps/search/?api=1&amp;query=24.72720724,46.8391305", "View Map")</f>
        <v>View Map</v>
      </c>
    </row>
    <row r="2070" spans="1:6" x14ac:dyDescent="0.35">
      <c r="A2070" s="4" t="s">
        <v>6906</v>
      </c>
      <c r="B2070" s="5" t="s">
        <v>5178</v>
      </c>
      <c r="C2070" s="5" t="s">
        <v>1776</v>
      </c>
      <c r="D2070" s="5" t="s">
        <v>9</v>
      </c>
      <c r="E2070" s="6">
        <v>716</v>
      </c>
      <c r="F2070" s="5" t="str">
        <f>HYPERLINK("https://www.google.com/maps/search/?api=1&amp;query=24.79867649,46.75141039", "View Map")</f>
        <v>View Map</v>
      </c>
    </row>
    <row r="2071" spans="1:6" x14ac:dyDescent="0.35">
      <c r="A2071" s="4" t="s">
        <v>7308</v>
      </c>
      <c r="B2071" s="5" t="s">
        <v>5180</v>
      </c>
      <c r="C2071" s="5" t="s">
        <v>1776</v>
      </c>
      <c r="D2071" s="5" t="s">
        <v>9</v>
      </c>
      <c r="E2071" s="6">
        <v>716</v>
      </c>
      <c r="F2071" s="5" t="str">
        <f>HYPERLINK("https://www.google.com/maps/search/?api=1&amp;query=24.68685741,46.85477145", "View Map")</f>
        <v>View Map</v>
      </c>
    </row>
    <row r="2072" spans="1:6" x14ac:dyDescent="0.35">
      <c r="A2072" s="4" t="s">
        <v>7309</v>
      </c>
      <c r="B2072" s="5" t="s">
        <v>5182</v>
      </c>
      <c r="C2072" s="5" t="s">
        <v>1776</v>
      </c>
      <c r="D2072" s="5" t="s">
        <v>9</v>
      </c>
      <c r="E2072" s="6">
        <v>716</v>
      </c>
      <c r="F2072" s="5" t="str">
        <f>HYPERLINK("https://www.google.com/maps/search/?api=1&amp;query=24.69318501,46.79096506", "View Map")</f>
        <v>View Map</v>
      </c>
    </row>
    <row r="2073" spans="1:6" x14ac:dyDescent="0.35">
      <c r="A2073" s="4" t="s">
        <v>7310</v>
      </c>
      <c r="B2073" s="5" t="s">
        <v>5184</v>
      </c>
      <c r="C2073" s="5" t="s">
        <v>1776</v>
      </c>
      <c r="D2073" s="5" t="s">
        <v>9</v>
      </c>
      <c r="E2073" s="6">
        <v>716</v>
      </c>
      <c r="F2073" s="5" t="str">
        <f>HYPERLINK("https://www.google.com/maps/search/?api=1&amp;query=24.7024078,46.84533026", "View Map")</f>
        <v>View Map</v>
      </c>
    </row>
    <row r="2074" spans="1:6" x14ac:dyDescent="0.35">
      <c r="A2074" s="4" t="s">
        <v>7311</v>
      </c>
      <c r="B2074" s="5" t="s">
        <v>5186</v>
      </c>
      <c r="C2074" s="5" t="s">
        <v>1776</v>
      </c>
      <c r="D2074" s="5" t="s">
        <v>9</v>
      </c>
      <c r="E2074" s="6">
        <v>715</v>
      </c>
      <c r="F2074" s="5" t="str">
        <f>HYPERLINK("https://www.google.com/maps/search/?api=1&amp;query=24.5727769,46.84791767", "View Map")</f>
        <v>View Map</v>
      </c>
    </row>
    <row r="2075" spans="1:6" x14ac:dyDescent="0.35">
      <c r="A2075" s="4" t="s">
        <v>7312</v>
      </c>
      <c r="B2075" s="5" t="s">
        <v>5188</v>
      </c>
      <c r="C2075" s="5" t="s">
        <v>1776</v>
      </c>
      <c r="D2075" s="5" t="s">
        <v>9</v>
      </c>
      <c r="E2075" s="6">
        <v>715</v>
      </c>
      <c r="F2075" s="5" t="str">
        <f>HYPERLINK("https://www.google.com/maps/search/?api=1&amp;query=24.63789255,46.72210323", "View Map")</f>
        <v>View Map</v>
      </c>
    </row>
    <row r="2076" spans="1:6" x14ac:dyDescent="0.35">
      <c r="A2076" s="4" t="s">
        <v>7313</v>
      </c>
      <c r="B2076" s="5" t="s">
        <v>5190</v>
      </c>
      <c r="C2076" s="5" t="s">
        <v>1776</v>
      </c>
      <c r="D2076" s="5" t="s">
        <v>9</v>
      </c>
      <c r="E2076" s="6">
        <v>715</v>
      </c>
      <c r="F2076" s="5" t="str">
        <f>HYPERLINK("https://www.google.com/maps/search/?api=1&amp;query=24.65718734,46.68619752", "View Map")</f>
        <v>View Map</v>
      </c>
    </row>
    <row r="2077" spans="1:6" x14ac:dyDescent="0.35">
      <c r="A2077" s="4" t="s">
        <v>7314</v>
      </c>
      <c r="B2077" s="5" t="s">
        <v>5192</v>
      </c>
      <c r="C2077" s="5" t="s">
        <v>1776</v>
      </c>
      <c r="D2077" s="5" t="s">
        <v>9</v>
      </c>
      <c r="E2077" s="6">
        <v>714</v>
      </c>
      <c r="F2077" s="5" t="str">
        <f>HYPERLINK("https://www.google.com/maps/search/?api=1&amp;query=24.55738036,46.76371096", "View Map")</f>
        <v>View Map</v>
      </c>
    </row>
    <row r="2078" spans="1:6" x14ac:dyDescent="0.35">
      <c r="A2078" s="4" t="s">
        <v>7315</v>
      </c>
      <c r="B2078" s="5" t="s">
        <v>5194</v>
      </c>
      <c r="C2078" s="5" t="s">
        <v>1776</v>
      </c>
      <c r="D2078" s="5" t="s">
        <v>9</v>
      </c>
      <c r="E2078" s="6">
        <v>714</v>
      </c>
      <c r="F2078" s="5" t="str">
        <f>HYPERLINK("https://www.google.com/maps/search/?api=1&amp;query=24.5947,46.685", "View Map")</f>
        <v>View Map</v>
      </c>
    </row>
    <row r="2079" spans="1:6" x14ac:dyDescent="0.35">
      <c r="A2079" s="4" t="s">
        <v>5974</v>
      </c>
      <c r="B2079" s="5" t="s">
        <v>5195</v>
      </c>
      <c r="C2079" s="5" t="s">
        <v>1776</v>
      </c>
      <c r="D2079" s="5" t="s">
        <v>9</v>
      </c>
      <c r="E2079" s="6">
        <v>714</v>
      </c>
      <c r="F2079" s="5" t="str">
        <f>HYPERLINK("https://www.google.com/maps/search/?api=1&amp;query=24.8276279,46.80258216", "View Map")</f>
        <v>View Map</v>
      </c>
    </row>
    <row r="2080" spans="1:6" x14ac:dyDescent="0.35">
      <c r="A2080" s="4" t="s">
        <v>6452</v>
      </c>
      <c r="B2080" s="5" t="s">
        <v>5196</v>
      </c>
      <c r="C2080" s="5" t="s">
        <v>1776</v>
      </c>
      <c r="D2080" s="5" t="s">
        <v>9</v>
      </c>
      <c r="E2080" s="6">
        <v>714</v>
      </c>
      <c r="F2080" s="5" t="str">
        <f>HYPERLINK("https://www.google.com/maps/search/?api=1&amp;query=24.7644685,46.76665468", "View Map")</f>
        <v>View Map</v>
      </c>
    </row>
    <row r="2081" spans="1:6" x14ac:dyDescent="0.35">
      <c r="A2081" s="4" t="s">
        <v>5974</v>
      </c>
      <c r="B2081" s="5" t="s">
        <v>5197</v>
      </c>
      <c r="C2081" s="5" t="s">
        <v>1776</v>
      </c>
      <c r="D2081" s="5" t="s">
        <v>9</v>
      </c>
      <c r="E2081" s="6">
        <v>714</v>
      </c>
      <c r="F2081" s="5" t="str">
        <f>HYPERLINK("https://www.google.com/maps/search/?api=1&amp;query=24.8292511,46.62597262", "View Map")</f>
        <v>View Map</v>
      </c>
    </row>
    <row r="2082" spans="1:6" x14ac:dyDescent="0.35">
      <c r="A2082" s="4" t="s">
        <v>7316</v>
      </c>
      <c r="B2082" s="5" t="s">
        <v>5199</v>
      </c>
      <c r="C2082" s="5" t="s">
        <v>1776</v>
      </c>
      <c r="D2082" s="5" t="s">
        <v>9</v>
      </c>
      <c r="E2082" s="6">
        <v>713</v>
      </c>
      <c r="F2082" s="5" t="str">
        <f>HYPERLINK("https://www.google.com/maps/search/?api=1&amp;query=24.70431421,46.81820488", "View Map")</f>
        <v>View Map</v>
      </c>
    </row>
    <row r="2083" spans="1:6" x14ac:dyDescent="0.35">
      <c r="A2083" s="4" t="s">
        <v>5974</v>
      </c>
      <c r="B2083" s="5" t="s">
        <v>5200</v>
      </c>
      <c r="C2083" s="5" t="s">
        <v>1843</v>
      </c>
      <c r="D2083" s="5" t="s">
        <v>9</v>
      </c>
      <c r="E2083" s="6">
        <v>713</v>
      </c>
      <c r="F2083" s="5" t="str">
        <f>HYPERLINK("https://www.google.com/maps/search/?api=1&amp;query=24.90794455,46.43028429", "View Map")</f>
        <v>View Map</v>
      </c>
    </row>
    <row r="2084" spans="1:6" x14ac:dyDescent="0.35">
      <c r="A2084" s="4" t="s">
        <v>7317</v>
      </c>
      <c r="B2084" s="5" t="s">
        <v>5202</v>
      </c>
      <c r="C2084" s="5" t="s">
        <v>1776</v>
      </c>
      <c r="D2084" s="5" t="s">
        <v>9</v>
      </c>
      <c r="E2084" s="6">
        <v>713</v>
      </c>
      <c r="F2084" s="5" t="str">
        <f>HYPERLINK("https://www.google.com/maps/search/?api=1&amp;query=24.80239001,46.85367524", "View Map")</f>
        <v>View Map</v>
      </c>
    </row>
    <row r="2085" spans="1:6" x14ac:dyDescent="0.35">
      <c r="A2085" s="4" t="s">
        <v>7318</v>
      </c>
      <c r="B2085" s="5" t="s">
        <v>5204</v>
      </c>
      <c r="C2085" s="5" t="s">
        <v>1776</v>
      </c>
      <c r="D2085" s="5" t="s">
        <v>9</v>
      </c>
      <c r="E2085" s="6">
        <v>713</v>
      </c>
      <c r="F2085" s="5" t="str">
        <f>HYPERLINK("https://www.google.com/maps/search/?api=1&amp;query=24.60341739,46.73835327", "View Map")</f>
        <v>View Map</v>
      </c>
    </row>
    <row r="2086" spans="1:6" x14ac:dyDescent="0.35">
      <c r="A2086" s="4" t="s">
        <v>5974</v>
      </c>
      <c r="B2086" s="5" t="s">
        <v>5205</v>
      </c>
      <c r="C2086" s="5" t="s">
        <v>1776</v>
      </c>
      <c r="D2086" s="5" t="s">
        <v>9</v>
      </c>
      <c r="E2086" s="6">
        <v>712</v>
      </c>
      <c r="F2086" s="5" t="str">
        <f>HYPERLINK("https://www.google.com/maps/search/?api=1&amp;query=24.86294256,46.62975305", "View Map")</f>
        <v>View Map</v>
      </c>
    </row>
    <row r="2087" spans="1:6" x14ac:dyDescent="0.35">
      <c r="A2087" s="4" t="s">
        <v>7319</v>
      </c>
      <c r="B2087" s="5" t="s">
        <v>5207</v>
      </c>
      <c r="C2087" s="5" t="s">
        <v>1776</v>
      </c>
      <c r="D2087" s="5" t="s">
        <v>9</v>
      </c>
      <c r="E2087" s="6">
        <v>712</v>
      </c>
      <c r="F2087" s="5" t="str">
        <f>HYPERLINK("https://www.google.com/maps/search/?api=1&amp;query=24.70458709,46.82045029", "View Map")</f>
        <v>View Map</v>
      </c>
    </row>
    <row r="2088" spans="1:6" x14ac:dyDescent="0.35">
      <c r="A2088" s="4" t="s">
        <v>7320</v>
      </c>
      <c r="B2088" s="5" t="s">
        <v>5209</v>
      </c>
      <c r="C2088" s="5" t="s">
        <v>1776</v>
      </c>
      <c r="D2088" s="5" t="s">
        <v>9</v>
      </c>
      <c r="E2088" s="6">
        <v>711</v>
      </c>
      <c r="F2088" s="5" t="str">
        <f>HYPERLINK("https://www.google.com/maps/search/?api=1&amp;query=24.77746257,46.68158165", "View Map")</f>
        <v>View Map</v>
      </c>
    </row>
    <row r="2089" spans="1:6" x14ac:dyDescent="0.35">
      <c r="A2089" s="4" t="s">
        <v>6134</v>
      </c>
      <c r="B2089" s="5" t="s">
        <v>5210</v>
      </c>
      <c r="C2089" s="5" t="s">
        <v>1776</v>
      </c>
      <c r="D2089" s="5" t="s">
        <v>9</v>
      </c>
      <c r="E2089" s="6">
        <v>711</v>
      </c>
      <c r="F2089" s="5" t="str">
        <f>HYPERLINK("https://www.google.com/maps/search/?api=1&amp;query=24.62550515,46.52090561", "View Map")</f>
        <v>View Map</v>
      </c>
    </row>
    <row r="2090" spans="1:6" x14ac:dyDescent="0.35">
      <c r="A2090" s="4" t="s">
        <v>6039</v>
      </c>
      <c r="B2090" s="5" t="s">
        <v>5211</v>
      </c>
      <c r="C2090" s="5" t="s">
        <v>1776</v>
      </c>
      <c r="D2090" s="5" t="s">
        <v>9</v>
      </c>
      <c r="E2090" s="6">
        <v>710</v>
      </c>
      <c r="F2090" s="5" t="str">
        <f>HYPERLINK("https://www.google.com/maps/search/?api=1&amp;query=24.5594,46.5906", "View Map")</f>
        <v>View Map</v>
      </c>
    </row>
    <row r="2091" spans="1:6" x14ac:dyDescent="0.35">
      <c r="A2091" s="4" t="s">
        <v>5974</v>
      </c>
      <c r="B2091" s="5" t="s">
        <v>5212</v>
      </c>
      <c r="C2091" s="5" t="s">
        <v>1776</v>
      </c>
      <c r="D2091" s="5" t="s">
        <v>9</v>
      </c>
      <c r="E2091" s="6">
        <v>710</v>
      </c>
      <c r="F2091" s="5" t="str">
        <f>HYPERLINK("https://www.google.com/maps/search/?api=1&amp;query=24.81262518,46.59295891", "View Map")</f>
        <v>View Map</v>
      </c>
    </row>
    <row r="2092" spans="1:6" x14ac:dyDescent="0.35">
      <c r="A2092" s="4" t="s">
        <v>7321</v>
      </c>
      <c r="B2092" s="5" t="s">
        <v>5214</v>
      </c>
      <c r="C2092" s="5" t="s">
        <v>1776</v>
      </c>
      <c r="D2092" s="5" t="s">
        <v>9</v>
      </c>
      <c r="E2092" s="6">
        <v>710</v>
      </c>
      <c r="F2092" s="5" t="str">
        <f>HYPERLINK("https://www.google.com/maps/search/?api=1&amp;query=24.705896,46.61826581", "View Map")</f>
        <v>View Map</v>
      </c>
    </row>
    <row r="2093" spans="1:6" x14ac:dyDescent="0.35">
      <c r="A2093" s="4" t="s">
        <v>6576</v>
      </c>
      <c r="B2093" s="5" t="s">
        <v>5215</v>
      </c>
      <c r="C2093" s="5" t="s">
        <v>1776</v>
      </c>
      <c r="D2093" s="5" t="s">
        <v>9</v>
      </c>
      <c r="E2093" s="6">
        <v>709</v>
      </c>
      <c r="F2093" s="5" t="str">
        <f>HYPERLINK("https://www.google.com/maps/search/?api=1&amp;query=24.62934081,46.56368136", "View Map")</f>
        <v>View Map</v>
      </c>
    </row>
    <row r="2094" spans="1:6" x14ac:dyDescent="0.35">
      <c r="A2094" s="4" t="s">
        <v>6039</v>
      </c>
      <c r="B2094" s="5" t="s">
        <v>5216</v>
      </c>
      <c r="C2094" s="5" t="s">
        <v>1776</v>
      </c>
      <c r="D2094" s="5" t="s">
        <v>9</v>
      </c>
      <c r="E2094" s="6">
        <v>708</v>
      </c>
      <c r="F2094" s="5" t="str">
        <f>HYPERLINK("https://www.google.com/maps/search/?api=1&amp;query=24.55363955,46.6674507", "View Map")</f>
        <v>View Map</v>
      </c>
    </row>
    <row r="2095" spans="1:6" x14ac:dyDescent="0.35">
      <c r="A2095" s="4" t="s">
        <v>7322</v>
      </c>
      <c r="B2095" s="5" t="s">
        <v>5218</v>
      </c>
      <c r="C2095" s="5" t="s">
        <v>1776</v>
      </c>
      <c r="D2095" s="5" t="s">
        <v>13</v>
      </c>
      <c r="E2095" s="6">
        <v>708</v>
      </c>
      <c r="F2095" s="5" t="str">
        <f>HYPERLINK("https://www.google.com/maps/search/?api=1&amp;query=24.57565732,46.5703181", "View Map")</f>
        <v>View Map</v>
      </c>
    </row>
    <row r="2096" spans="1:6" x14ac:dyDescent="0.35">
      <c r="A2096" s="4" t="s">
        <v>7323</v>
      </c>
      <c r="B2096" s="5" t="s">
        <v>5220</v>
      </c>
      <c r="C2096" s="5" t="s">
        <v>1776</v>
      </c>
      <c r="D2096" s="5" t="s">
        <v>9</v>
      </c>
      <c r="E2096" s="6">
        <v>708</v>
      </c>
      <c r="F2096" s="5" t="str">
        <f>HYPERLINK("https://www.google.com/maps/search/?api=1&amp;query=24.75574702,46.76296887", "View Map")</f>
        <v>View Map</v>
      </c>
    </row>
    <row r="2097" spans="1:6" x14ac:dyDescent="0.35">
      <c r="A2097" s="4" t="s">
        <v>5974</v>
      </c>
      <c r="B2097" s="5" t="s">
        <v>5221</v>
      </c>
      <c r="C2097" s="5" t="s">
        <v>1776</v>
      </c>
      <c r="D2097" s="5" t="s">
        <v>9</v>
      </c>
      <c r="E2097" s="6">
        <v>708</v>
      </c>
      <c r="F2097" s="5" t="str">
        <f>HYPERLINK("https://www.google.com/maps/search/?api=1&amp;query=24.691375,46.67529229", "View Map")</f>
        <v>View Map</v>
      </c>
    </row>
    <row r="2098" spans="1:6" x14ac:dyDescent="0.35">
      <c r="A2098" s="4" t="s">
        <v>6340</v>
      </c>
      <c r="B2098" s="5" t="s">
        <v>5222</v>
      </c>
      <c r="C2098" s="5" t="s">
        <v>1776</v>
      </c>
      <c r="D2098" s="5" t="s">
        <v>9</v>
      </c>
      <c r="E2098" s="6">
        <v>708</v>
      </c>
      <c r="F2098" s="5" t="str">
        <f>HYPERLINK("https://www.google.com/maps/search/?api=1&amp;query=24.72103852,46.85780052", "View Map")</f>
        <v>View Map</v>
      </c>
    </row>
    <row r="2099" spans="1:6" x14ac:dyDescent="0.35">
      <c r="A2099" s="4" t="s">
        <v>7324</v>
      </c>
      <c r="B2099" s="5" t="s">
        <v>5224</v>
      </c>
      <c r="C2099" s="5" t="s">
        <v>1776</v>
      </c>
      <c r="D2099" s="5" t="s">
        <v>9</v>
      </c>
      <c r="E2099" s="6">
        <v>708</v>
      </c>
      <c r="F2099" s="5" t="str">
        <f>HYPERLINK("https://www.google.com/maps/search/?api=1&amp;query=24.62460714,46.71861906", "View Map")</f>
        <v>View Map</v>
      </c>
    </row>
    <row r="2100" spans="1:6" x14ac:dyDescent="0.35">
      <c r="A2100" s="4" t="s">
        <v>7325</v>
      </c>
      <c r="B2100" s="5" t="s">
        <v>5226</v>
      </c>
      <c r="C2100" s="5" t="s">
        <v>1776</v>
      </c>
      <c r="D2100" s="5" t="s">
        <v>9</v>
      </c>
      <c r="E2100" s="6">
        <v>708</v>
      </c>
      <c r="F2100" s="5" t="str">
        <f>HYPERLINK("https://www.google.com/maps/search/?api=1&amp;query=24.54583695,46.73072358", "View Map")</f>
        <v>View Map</v>
      </c>
    </row>
    <row r="2101" spans="1:6" x14ac:dyDescent="0.35">
      <c r="A2101" s="4" t="s">
        <v>7326</v>
      </c>
      <c r="B2101" s="5" t="s">
        <v>5228</v>
      </c>
      <c r="C2101" s="5" t="s">
        <v>1776</v>
      </c>
      <c r="D2101" s="5" t="s">
        <v>9</v>
      </c>
      <c r="E2101" s="6">
        <v>708</v>
      </c>
      <c r="F2101" s="5" t="str">
        <f>HYPERLINK("https://www.google.com/maps/search/?api=1&amp;query=24.67086237,46.75838885", "View Map")</f>
        <v>View Map</v>
      </c>
    </row>
    <row r="2102" spans="1:6" x14ac:dyDescent="0.35">
      <c r="A2102" s="4" t="s">
        <v>6575</v>
      </c>
      <c r="B2102" s="5" t="s">
        <v>5229</v>
      </c>
      <c r="C2102" s="5" t="s">
        <v>1776</v>
      </c>
      <c r="D2102" s="5" t="s">
        <v>9</v>
      </c>
      <c r="E2102" s="6">
        <v>707</v>
      </c>
      <c r="F2102" s="5" t="str">
        <f>HYPERLINK("https://www.google.com/maps/search/?api=1&amp;query=24.56892928,46.80770772", "View Map")</f>
        <v>View Map</v>
      </c>
    </row>
    <row r="2103" spans="1:6" x14ac:dyDescent="0.35">
      <c r="A2103" s="4" t="s">
        <v>7327</v>
      </c>
      <c r="B2103" s="5" t="s">
        <v>5231</v>
      </c>
      <c r="C2103" s="5" t="s">
        <v>1776</v>
      </c>
      <c r="D2103" s="5" t="s">
        <v>9</v>
      </c>
      <c r="E2103" s="6">
        <v>707</v>
      </c>
      <c r="F2103" s="5" t="str">
        <f>HYPERLINK("https://www.google.com/maps/search/?api=1&amp;query=24.67260933,46.70782774", "View Map")</f>
        <v>View Map</v>
      </c>
    </row>
    <row r="2104" spans="1:6" x14ac:dyDescent="0.35">
      <c r="A2104" s="4" t="s">
        <v>6493</v>
      </c>
      <c r="B2104" s="5" t="s">
        <v>5232</v>
      </c>
      <c r="C2104" s="5" t="s">
        <v>1776</v>
      </c>
      <c r="D2104" s="5" t="s">
        <v>9</v>
      </c>
      <c r="E2104" s="6">
        <v>706</v>
      </c>
      <c r="F2104" s="5" t="str">
        <f>HYPERLINK("https://www.google.com/maps/search/?api=1&amp;query=24.57300444,46.71496257", "View Map")</f>
        <v>View Map</v>
      </c>
    </row>
    <row r="2105" spans="1:6" x14ac:dyDescent="0.35">
      <c r="A2105" s="4" t="s">
        <v>5974</v>
      </c>
      <c r="B2105" s="5" t="s">
        <v>5233</v>
      </c>
      <c r="C2105" s="5" t="s">
        <v>1776</v>
      </c>
      <c r="D2105" s="5" t="s">
        <v>9</v>
      </c>
      <c r="E2105" s="6">
        <v>705</v>
      </c>
      <c r="F2105" s="5" t="str">
        <f>HYPERLINK("https://www.google.com/maps/search/?api=1&amp;query=24.83734147,46.83282021", "View Map")</f>
        <v>View Map</v>
      </c>
    </row>
    <row r="2106" spans="1:6" x14ac:dyDescent="0.35">
      <c r="A2106" s="4" t="s">
        <v>5999</v>
      </c>
      <c r="B2106" s="5" t="s">
        <v>5234</v>
      </c>
      <c r="C2106" s="5" t="s">
        <v>1776</v>
      </c>
      <c r="D2106" s="5" t="s">
        <v>9</v>
      </c>
      <c r="E2106" s="6">
        <v>705</v>
      </c>
      <c r="F2106" s="5" t="str">
        <f>HYPERLINK("https://www.google.com/maps/search/?api=1&amp;query=24.71373788,46.83265533", "View Map")</f>
        <v>View Map</v>
      </c>
    </row>
    <row r="2107" spans="1:6" x14ac:dyDescent="0.35">
      <c r="A2107" s="4" t="s">
        <v>6256</v>
      </c>
      <c r="B2107" s="5" t="s">
        <v>5235</v>
      </c>
      <c r="C2107" s="5" t="s">
        <v>1776</v>
      </c>
      <c r="D2107" s="5" t="s">
        <v>9</v>
      </c>
      <c r="E2107" s="6">
        <v>705</v>
      </c>
      <c r="F2107" s="5" t="str">
        <f>HYPERLINK("https://www.google.com/maps/search/?api=1&amp;query=24.74275208,46.74966629", "View Map")</f>
        <v>View Map</v>
      </c>
    </row>
    <row r="2108" spans="1:6" x14ac:dyDescent="0.35">
      <c r="A2108" s="4" t="s">
        <v>7328</v>
      </c>
      <c r="B2108" s="5" t="s">
        <v>5237</v>
      </c>
      <c r="C2108" s="5" t="s">
        <v>1843</v>
      </c>
      <c r="D2108" s="5" t="s">
        <v>9</v>
      </c>
      <c r="E2108" s="6">
        <v>704</v>
      </c>
      <c r="F2108" s="5" t="str">
        <f>HYPERLINK("https://www.google.com/maps/search/?api=1&amp;query=24.89538591,46.4466874", "View Map")</f>
        <v>View Map</v>
      </c>
    </row>
    <row r="2109" spans="1:6" x14ac:dyDescent="0.35">
      <c r="A2109" s="4" t="s">
        <v>5974</v>
      </c>
      <c r="B2109" s="5" t="s">
        <v>5238</v>
      </c>
      <c r="C2109" s="5" t="s">
        <v>1776</v>
      </c>
      <c r="D2109" s="5" t="s">
        <v>9</v>
      </c>
      <c r="E2109" s="6">
        <v>704</v>
      </c>
      <c r="F2109" s="5" t="str">
        <f>HYPERLINK("https://www.google.com/maps/search/?api=1&amp;query=24.6867,46.585", "View Map")</f>
        <v>View Map</v>
      </c>
    </row>
    <row r="2110" spans="1:6" x14ac:dyDescent="0.35">
      <c r="A2110" s="4" t="s">
        <v>7329</v>
      </c>
      <c r="B2110" s="5" t="s">
        <v>5240</v>
      </c>
      <c r="C2110" s="5" t="s">
        <v>1776</v>
      </c>
      <c r="D2110" s="5" t="s">
        <v>9</v>
      </c>
      <c r="E2110" s="6">
        <v>704</v>
      </c>
      <c r="F2110" s="5" t="str">
        <f>HYPERLINK("https://www.google.com/maps/search/?api=1&amp;query=24.57485421,46.62675184", "View Map")</f>
        <v>View Map</v>
      </c>
    </row>
    <row r="2111" spans="1:6" x14ac:dyDescent="0.35">
      <c r="A2111" s="4" t="s">
        <v>7330</v>
      </c>
      <c r="B2111" s="5" t="s">
        <v>5242</v>
      </c>
      <c r="C2111" s="5" t="s">
        <v>1776</v>
      </c>
      <c r="D2111" s="5" t="s">
        <v>9</v>
      </c>
      <c r="E2111" s="6">
        <v>703</v>
      </c>
      <c r="F2111" s="5" t="str">
        <f>HYPERLINK("https://www.google.com/maps/search/?api=1&amp;query=24.72870018,46.68695963", "View Map")</f>
        <v>View Map</v>
      </c>
    </row>
    <row r="2112" spans="1:6" x14ac:dyDescent="0.35">
      <c r="A2112" s="4" t="s">
        <v>6039</v>
      </c>
      <c r="B2112" s="5" t="s">
        <v>5243</v>
      </c>
      <c r="C2112" s="5" t="s">
        <v>1776</v>
      </c>
      <c r="D2112" s="5" t="s">
        <v>9</v>
      </c>
      <c r="E2112" s="6">
        <v>703</v>
      </c>
      <c r="F2112" s="5" t="str">
        <f>HYPERLINK("https://www.google.com/maps/search/?api=1&amp;query=24.5697,46.5264", "View Map")</f>
        <v>View Map</v>
      </c>
    </row>
    <row r="2113" spans="1:6" x14ac:dyDescent="0.35">
      <c r="A2113" s="4" t="s">
        <v>7331</v>
      </c>
      <c r="B2113" s="5" t="s">
        <v>5245</v>
      </c>
      <c r="C2113" s="5" t="s">
        <v>1776</v>
      </c>
      <c r="D2113" s="5" t="s">
        <v>9</v>
      </c>
      <c r="E2113" s="6">
        <v>702</v>
      </c>
      <c r="F2113" s="5" t="str">
        <f>HYPERLINK("https://www.google.com/maps/search/?api=1&amp;query=24.57216007,46.68666906", "View Map")</f>
        <v>View Map</v>
      </c>
    </row>
    <row r="2114" spans="1:6" x14ac:dyDescent="0.35">
      <c r="A2114" s="4" t="s">
        <v>7090</v>
      </c>
      <c r="B2114" s="5" t="s">
        <v>5246</v>
      </c>
      <c r="C2114" s="5" t="s">
        <v>1776</v>
      </c>
      <c r="D2114" s="5" t="s">
        <v>9</v>
      </c>
      <c r="E2114" s="6">
        <v>702</v>
      </c>
      <c r="F2114" s="5" t="str">
        <f>HYPERLINK("https://www.google.com/maps/search/?api=1&amp;query=24.6850867,46.83170879", "View Map")</f>
        <v>View Map</v>
      </c>
    </row>
    <row r="2115" spans="1:6" x14ac:dyDescent="0.35">
      <c r="A2115" s="4" t="s">
        <v>7332</v>
      </c>
      <c r="B2115" s="5" t="s">
        <v>5248</v>
      </c>
      <c r="C2115" s="5" t="s">
        <v>1776</v>
      </c>
      <c r="D2115" s="5" t="s">
        <v>9</v>
      </c>
      <c r="E2115" s="6">
        <v>702</v>
      </c>
      <c r="F2115" s="5" t="str">
        <f>HYPERLINK("https://www.google.com/maps/search/?api=1&amp;query=24.6796903,46.66705264", "View Map")</f>
        <v>View Map</v>
      </c>
    </row>
    <row r="2116" spans="1:6" x14ac:dyDescent="0.35">
      <c r="A2116" s="4" t="s">
        <v>5978</v>
      </c>
      <c r="B2116" s="5" t="s">
        <v>5249</v>
      </c>
      <c r="C2116" s="5" t="s">
        <v>1776</v>
      </c>
      <c r="D2116" s="5" t="s">
        <v>9</v>
      </c>
      <c r="E2116" s="6">
        <v>702</v>
      </c>
      <c r="F2116" s="5" t="str">
        <f>HYPERLINK("https://www.google.com/maps/search/?api=1&amp;query=24.78536095,46.9029883", "View Map")</f>
        <v>View Map</v>
      </c>
    </row>
    <row r="2117" spans="1:6" x14ac:dyDescent="0.35">
      <c r="A2117" s="4" t="s">
        <v>7333</v>
      </c>
      <c r="B2117" s="5" t="s">
        <v>5251</v>
      </c>
      <c r="C2117" s="5" t="s">
        <v>1776</v>
      </c>
      <c r="D2117" s="5" t="s">
        <v>9</v>
      </c>
      <c r="E2117" s="6">
        <v>702</v>
      </c>
      <c r="F2117" s="5" t="str">
        <f>HYPERLINK("https://www.google.com/maps/search/?api=1&amp;query=24.60012094,46.73295767", "View Map")</f>
        <v>View Map</v>
      </c>
    </row>
    <row r="2118" spans="1:6" x14ac:dyDescent="0.35">
      <c r="A2118" s="4" t="s">
        <v>7334</v>
      </c>
      <c r="B2118" s="5" t="s">
        <v>5253</v>
      </c>
      <c r="C2118" s="5" t="s">
        <v>1776</v>
      </c>
      <c r="D2118" s="5" t="s">
        <v>9</v>
      </c>
      <c r="E2118" s="6">
        <v>701</v>
      </c>
      <c r="F2118" s="5" t="str">
        <f>HYPERLINK("https://www.google.com/maps/search/?api=1&amp;query=24.73977422,46.68617058", "View Map")</f>
        <v>View Map</v>
      </c>
    </row>
    <row r="2119" spans="1:6" x14ac:dyDescent="0.35">
      <c r="A2119" s="4" t="s">
        <v>7335</v>
      </c>
      <c r="B2119" s="5" t="s">
        <v>5255</v>
      </c>
      <c r="C2119" s="5" t="s">
        <v>1776</v>
      </c>
      <c r="D2119" s="5" t="s">
        <v>9</v>
      </c>
      <c r="E2119" s="6">
        <v>701</v>
      </c>
      <c r="F2119" s="5" t="str">
        <f>HYPERLINK("https://www.google.com/maps/search/?api=1&amp;query=24.651714,46.66845802", "View Map")</f>
        <v>View Map</v>
      </c>
    </row>
    <row r="2120" spans="1:6" x14ac:dyDescent="0.35">
      <c r="A2120" s="4" t="s">
        <v>7336</v>
      </c>
      <c r="B2120" s="5" t="s">
        <v>5257</v>
      </c>
      <c r="C2120" s="5" t="s">
        <v>1776</v>
      </c>
      <c r="D2120" s="5" t="s">
        <v>9</v>
      </c>
      <c r="E2120" s="6">
        <v>701</v>
      </c>
      <c r="F2120" s="5" t="str">
        <f>HYPERLINK("https://www.google.com/maps/search/?api=1&amp;query=24.56043827,46.71587598", "View Map")</f>
        <v>View Map</v>
      </c>
    </row>
    <row r="2121" spans="1:6" x14ac:dyDescent="0.35">
      <c r="A2121" s="4" t="s">
        <v>6134</v>
      </c>
      <c r="B2121" s="5" t="s">
        <v>5258</v>
      </c>
      <c r="C2121" s="5" t="s">
        <v>1776</v>
      </c>
      <c r="D2121" s="5" t="s">
        <v>9</v>
      </c>
      <c r="E2121" s="6">
        <v>701</v>
      </c>
      <c r="F2121" s="5" t="str">
        <f>HYPERLINK("https://www.google.com/maps/search/?api=1&amp;query=24.77366523,46.59357873", "View Map")</f>
        <v>View Map</v>
      </c>
    </row>
    <row r="2122" spans="1:6" x14ac:dyDescent="0.35">
      <c r="A2122" s="4" t="s">
        <v>7337</v>
      </c>
      <c r="B2122" s="5" t="s">
        <v>5260</v>
      </c>
      <c r="C2122" s="5" t="s">
        <v>1776</v>
      </c>
      <c r="D2122" s="5" t="s">
        <v>9</v>
      </c>
      <c r="E2122" s="6">
        <v>700</v>
      </c>
      <c r="F2122" s="5" t="str">
        <f>HYPERLINK("https://www.google.com/maps/search/?api=1&amp;query=24.58943306,46.60147551", "View Map")</f>
        <v>View Map</v>
      </c>
    </row>
    <row r="2123" spans="1:6" x14ac:dyDescent="0.35">
      <c r="A2123" s="4" t="s">
        <v>6039</v>
      </c>
      <c r="B2123" s="5" t="s">
        <v>5261</v>
      </c>
      <c r="C2123" s="5" t="s">
        <v>1776</v>
      </c>
      <c r="D2123" s="5" t="s">
        <v>9</v>
      </c>
      <c r="E2123" s="6">
        <v>700</v>
      </c>
      <c r="F2123" s="5" t="str">
        <f>HYPERLINK("https://www.google.com/maps/search/?api=1&amp;query=24.55294949,46.60694872", "View Map")</f>
        <v>View Map</v>
      </c>
    </row>
    <row r="2124" spans="1:6" x14ac:dyDescent="0.35">
      <c r="A2124" s="4" t="s">
        <v>5978</v>
      </c>
      <c r="B2124" s="5" t="s">
        <v>5262</v>
      </c>
      <c r="C2124" s="5" t="s">
        <v>1776</v>
      </c>
      <c r="D2124" s="5" t="s">
        <v>9</v>
      </c>
      <c r="E2124" s="6">
        <v>700</v>
      </c>
      <c r="F2124" s="5" t="str">
        <f>HYPERLINK("https://www.google.com/maps/search/?api=1&amp;query=24.82300202,46.72642484", "View Map")</f>
        <v>View Map</v>
      </c>
    </row>
    <row r="2125" spans="1:6" x14ac:dyDescent="0.35">
      <c r="A2125" s="4" t="s">
        <v>7338</v>
      </c>
      <c r="B2125" s="5" t="s">
        <v>5264</v>
      </c>
      <c r="C2125" s="5" t="s">
        <v>1776</v>
      </c>
      <c r="D2125" s="5" t="s">
        <v>9</v>
      </c>
      <c r="E2125" s="6">
        <v>699</v>
      </c>
      <c r="F2125" s="5" t="str">
        <f>HYPERLINK("https://www.google.com/maps/search/?api=1&amp;query=24.54903582,46.68769823", "View Map")</f>
        <v>View Map</v>
      </c>
    </row>
    <row r="2126" spans="1:6" x14ac:dyDescent="0.35">
      <c r="A2126" s="4" t="s">
        <v>7339</v>
      </c>
      <c r="B2126" s="5" t="s">
        <v>5266</v>
      </c>
      <c r="C2126" s="5" t="s">
        <v>1776</v>
      </c>
      <c r="D2126" s="5" t="s">
        <v>9</v>
      </c>
      <c r="E2126" s="6">
        <v>699</v>
      </c>
      <c r="F2126" s="5" t="str">
        <f>HYPERLINK("https://www.google.com/maps/search/?api=1&amp;query=24.5520857,46.70207179", "View Map")</f>
        <v>View Map</v>
      </c>
    </row>
    <row r="2127" spans="1:6" x14ac:dyDescent="0.35">
      <c r="A2127" s="4" t="s">
        <v>6039</v>
      </c>
      <c r="B2127" s="5" t="s">
        <v>5267</v>
      </c>
      <c r="C2127" s="5" t="s">
        <v>1776</v>
      </c>
      <c r="D2127" s="5" t="s">
        <v>9</v>
      </c>
      <c r="E2127" s="6">
        <v>699</v>
      </c>
      <c r="F2127" s="5" t="str">
        <f>HYPERLINK("https://www.google.com/maps/search/?api=1&amp;query=24.55826716,46.56189007", "View Map")</f>
        <v>View Map</v>
      </c>
    </row>
    <row r="2128" spans="1:6" x14ac:dyDescent="0.35">
      <c r="A2128" s="4" t="s">
        <v>5970</v>
      </c>
      <c r="B2128" s="5" t="s">
        <v>5268</v>
      </c>
      <c r="C2128" s="5" t="s">
        <v>1776</v>
      </c>
      <c r="D2128" s="5" t="s">
        <v>9</v>
      </c>
      <c r="E2128" s="6">
        <v>698</v>
      </c>
      <c r="F2128" s="5" t="str">
        <f>HYPERLINK("https://www.google.com/maps/search/?api=1&amp;query=24.74829944,46.82654535", "View Map")</f>
        <v>View Map</v>
      </c>
    </row>
    <row r="2129" spans="1:6" x14ac:dyDescent="0.35">
      <c r="A2129" s="4" t="s">
        <v>7340</v>
      </c>
      <c r="B2129" s="5" t="s">
        <v>5270</v>
      </c>
      <c r="C2129" s="5" t="s">
        <v>1776</v>
      </c>
      <c r="D2129" s="5" t="s">
        <v>9</v>
      </c>
      <c r="E2129" s="6">
        <v>698</v>
      </c>
      <c r="F2129" s="5" t="str">
        <f>HYPERLINK("https://www.google.com/maps/search/?api=1&amp;query=24.7315401,46.76436904", "View Map")</f>
        <v>View Map</v>
      </c>
    </row>
    <row r="2130" spans="1:6" x14ac:dyDescent="0.35">
      <c r="A2130" s="4" t="s">
        <v>7341</v>
      </c>
      <c r="B2130" s="5" t="s">
        <v>5272</v>
      </c>
      <c r="C2130" s="5" t="s">
        <v>1776</v>
      </c>
      <c r="D2130" s="5" t="s">
        <v>9</v>
      </c>
      <c r="E2130" s="6">
        <v>697</v>
      </c>
      <c r="F2130" s="5" t="str">
        <f>HYPERLINK("https://www.google.com/maps/search/?api=1&amp;query=24.74743239,46.79256609", "View Map")</f>
        <v>View Map</v>
      </c>
    </row>
    <row r="2131" spans="1:6" x14ac:dyDescent="0.35">
      <c r="A2131" s="4" t="s">
        <v>6522</v>
      </c>
      <c r="B2131" s="5" t="s">
        <v>5273</v>
      </c>
      <c r="C2131" s="5" t="s">
        <v>1776</v>
      </c>
      <c r="D2131" s="5" t="s">
        <v>9</v>
      </c>
      <c r="E2131" s="6">
        <v>697</v>
      </c>
      <c r="F2131" s="5" t="str">
        <f>HYPERLINK("https://www.google.com/maps/search/?api=1&amp;query=24.69945577,46.78283113", "View Map")</f>
        <v>View Map</v>
      </c>
    </row>
    <row r="2132" spans="1:6" x14ac:dyDescent="0.35">
      <c r="A2132" s="4" t="s">
        <v>7342</v>
      </c>
      <c r="B2132" s="5" t="s">
        <v>5275</v>
      </c>
      <c r="C2132" s="5" t="s">
        <v>1776</v>
      </c>
      <c r="D2132" s="5" t="s">
        <v>9</v>
      </c>
      <c r="E2132" s="6">
        <v>697</v>
      </c>
      <c r="F2132" s="5" t="str">
        <f>HYPERLINK("https://www.google.com/maps/search/?api=1&amp;query=24.61851502,46.72959314", "View Map")</f>
        <v>View Map</v>
      </c>
    </row>
    <row r="2133" spans="1:6" x14ac:dyDescent="0.35">
      <c r="A2133" s="4" t="s">
        <v>7343</v>
      </c>
      <c r="B2133" s="5" t="s">
        <v>5277</v>
      </c>
      <c r="C2133" s="5" t="s">
        <v>1776</v>
      </c>
      <c r="D2133" s="5" t="s">
        <v>9</v>
      </c>
      <c r="E2133" s="6">
        <v>697</v>
      </c>
      <c r="F2133" s="5" t="str">
        <f>HYPERLINK("https://www.google.com/maps/search/?api=1&amp;query=24.8074545,46.65999872", "View Map")</f>
        <v>View Map</v>
      </c>
    </row>
    <row r="2134" spans="1:6" x14ac:dyDescent="0.35">
      <c r="A2134" s="4" t="s">
        <v>7344</v>
      </c>
      <c r="B2134" s="5" t="s">
        <v>5279</v>
      </c>
      <c r="C2134" s="5" t="s">
        <v>1776</v>
      </c>
      <c r="D2134" s="5" t="s">
        <v>9</v>
      </c>
      <c r="E2134" s="6">
        <v>696</v>
      </c>
      <c r="F2134" s="5" t="str">
        <f>HYPERLINK("https://www.google.com/maps/search/?api=1&amp;query=24.92223137,46.77732115", "View Map")</f>
        <v>View Map</v>
      </c>
    </row>
    <row r="2135" spans="1:6" x14ac:dyDescent="0.35">
      <c r="A2135" s="4" t="s">
        <v>7345</v>
      </c>
      <c r="B2135" s="5" t="s">
        <v>5281</v>
      </c>
      <c r="C2135" s="5" t="s">
        <v>1776</v>
      </c>
      <c r="D2135" s="5" t="s">
        <v>9</v>
      </c>
      <c r="E2135" s="6">
        <v>696</v>
      </c>
      <c r="F2135" s="5" t="str">
        <f>HYPERLINK("https://www.google.com/maps/search/?api=1&amp;query=24.48985023,46.61884721", "View Map")</f>
        <v>View Map</v>
      </c>
    </row>
    <row r="2136" spans="1:6" x14ac:dyDescent="0.35">
      <c r="A2136" s="4" t="s">
        <v>7346</v>
      </c>
      <c r="B2136" s="5" t="s">
        <v>5283</v>
      </c>
      <c r="C2136" s="5" t="s">
        <v>1776</v>
      </c>
      <c r="D2136" s="5" t="s">
        <v>9</v>
      </c>
      <c r="E2136" s="6">
        <v>695</v>
      </c>
      <c r="F2136" s="5" t="str">
        <f>HYPERLINK("https://www.google.com/maps/search/?api=1&amp;query=24.82874793,46.77754085", "View Map")</f>
        <v>View Map</v>
      </c>
    </row>
    <row r="2137" spans="1:6" x14ac:dyDescent="0.35">
      <c r="A2137" s="4" t="s">
        <v>5974</v>
      </c>
      <c r="B2137" s="5" t="s">
        <v>5284</v>
      </c>
      <c r="C2137" s="5" t="s">
        <v>1843</v>
      </c>
      <c r="D2137" s="5" t="s">
        <v>9</v>
      </c>
      <c r="E2137" s="6">
        <v>695</v>
      </c>
      <c r="F2137" s="5" t="str">
        <f>HYPERLINK("https://www.google.com/maps/search/?api=1&amp;query=24.775971,46.56946824", "View Map")</f>
        <v>View Map</v>
      </c>
    </row>
    <row r="2138" spans="1:6" x14ac:dyDescent="0.35">
      <c r="A2138" s="4" t="s">
        <v>5974</v>
      </c>
      <c r="B2138" s="5" t="s">
        <v>5285</v>
      </c>
      <c r="C2138" s="5" t="s">
        <v>1776</v>
      </c>
      <c r="D2138" s="5" t="s">
        <v>9</v>
      </c>
      <c r="E2138" s="6">
        <v>695</v>
      </c>
      <c r="F2138" s="5" t="str">
        <f>HYPERLINK("https://www.google.com/maps/search/?api=1&amp;query=24.66899204,46.71227694", "View Map")</f>
        <v>View Map</v>
      </c>
    </row>
    <row r="2139" spans="1:6" x14ac:dyDescent="0.35">
      <c r="A2139" s="4" t="s">
        <v>7347</v>
      </c>
      <c r="B2139" s="5" t="s">
        <v>5287</v>
      </c>
      <c r="C2139" s="5" t="s">
        <v>1776</v>
      </c>
      <c r="D2139" s="5" t="s">
        <v>9</v>
      </c>
      <c r="E2139" s="6">
        <v>695</v>
      </c>
      <c r="F2139" s="5" t="str">
        <f>HYPERLINK("https://www.google.com/maps/search/?api=1&amp;query=24.7016169,46.7738958", "View Map")</f>
        <v>View Map</v>
      </c>
    </row>
    <row r="2140" spans="1:6" x14ac:dyDescent="0.35">
      <c r="A2140" s="4" t="s">
        <v>7348</v>
      </c>
      <c r="B2140" s="5" t="s">
        <v>5289</v>
      </c>
      <c r="C2140" s="5" t="s">
        <v>1776</v>
      </c>
      <c r="D2140" s="5" t="s">
        <v>9</v>
      </c>
      <c r="E2140" s="6">
        <v>694</v>
      </c>
      <c r="F2140" s="5" t="str">
        <f>HYPERLINK("https://www.google.com/maps/search/?api=1&amp;query=24.68548369,46.79857043", "View Map")</f>
        <v>View Map</v>
      </c>
    </row>
    <row r="2141" spans="1:6" x14ac:dyDescent="0.35">
      <c r="A2141" s="4" t="s">
        <v>7349</v>
      </c>
      <c r="B2141" s="5" t="s">
        <v>5291</v>
      </c>
      <c r="C2141" s="5" t="s">
        <v>1776</v>
      </c>
      <c r="D2141" s="5" t="s">
        <v>9</v>
      </c>
      <c r="E2141" s="6">
        <v>694</v>
      </c>
      <c r="F2141" s="5" t="str">
        <f>HYPERLINK("https://www.google.com/maps/search/?api=1&amp;query=24.71348579,46.80245419", "View Map")</f>
        <v>View Map</v>
      </c>
    </row>
    <row r="2142" spans="1:6" x14ac:dyDescent="0.35">
      <c r="A2142" s="4" t="s">
        <v>7350</v>
      </c>
      <c r="B2142" s="5" t="s">
        <v>5293</v>
      </c>
      <c r="C2142" s="5" t="s">
        <v>1776</v>
      </c>
      <c r="D2142" s="5" t="s">
        <v>9</v>
      </c>
      <c r="E2142" s="6">
        <v>693</v>
      </c>
      <c r="F2142" s="5" t="str">
        <f>HYPERLINK("https://www.google.com/maps/search/?api=1&amp;query=24.50250775,46.63760269", "View Map")</f>
        <v>View Map</v>
      </c>
    </row>
    <row r="2143" spans="1:6" x14ac:dyDescent="0.35">
      <c r="A2143" s="4" t="s">
        <v>6180</v>
      </c>
      <c r="B2143" s="5" t="s">
        <v>5294</v>
      </c>
      <c r="C2143" s="5" t="s">
        <v>1776</v>
      </c>
      <c r="D2143" s="5" t="s">
        <v>9</v>
      </c>
      <c r="E2143" s="6">
        <v>692</v>
      </c>
      <c r="F2143" s="5" t="str">
        <f>HYPERLINK("https://www.google.com/maps/search/?api=1&amp;query=24.79069356,46.62581457", "View Map")</f>
        <v>View Map</v>
      </c>
    </row>
    <row r="2144" spans="1:6" x14ac:dyDescent="0.35">
      <c r="A2144" s="4" t="s">
        <v>7276</v>
      </c>
      <c r="B2144" s="5" t="s">
        <v>5295</v>
      </c>
      <c r="C2144" s="5" t="s">
        <v>1776</v>
      </c>
      <c r="D2144" s="5" t="s">
        <v>9</v>
      </c>
      <c r="E2144" s="6">
        <v>692</v>
      </c>
      <c r="F2144" s="5" t="str">
        <f>HYPERLINK("https://www.google.com/maps/search/?api=1&amp;query=24.5863228,46.58387494", "View Map")</f>
        <v>View Map</v>
      </c>
    </row>
    <row r="2145" spans="1:6" x14ac:dyDescent="0.35">
      <c r="A2145" s="4" t="s">
        <v>7351</v>
      </c>
      <c r="B2145" s="5" t="s">
        <v>5297</v>
      </c>
      <c r="C2145" s="5" t="s">
        <v>1776</v>
      </c>
      <c r="D2145" s="5" t="s">
        <v>9</v>
      </c>
      <c r="E2145" s="6">
        <v>692</v>
      </c>
      <c r="F2145" s="5" t="str">
        <f>HYPERLINK("https://www.google.com/maps/search/?api=1&amp;query=24.78535614,46.75093366", "View Map")</f>
        <v>View Map</v>
      </c>
    </row>
    <row r="2146" spans="1:6" x14ac:dyDescent="0.35">
      <c r="A2146" s="4" t="s">
        <v>7352</v>
      </c>
      <c r="B2146" s="5" t="s">
        <v>5299</v>
      </c>
      <c r="C2146" s="5" t="s">
        <v>1776</v>
      </c>
      <c r="D2146" s="5" t="s">
        <v>9</v>
      </c>
      <c r="E2146" s="6">
        <v>692</v>
      </c>
      <c r="F2146" s="5" t="str">
        <f>HYPERLINK("https://www.google.com/maps/search/?api=1&amp;query=24.5632643,46.72132231", "View Map")</f>
        <v>View Map</v>
      </c>
    </row>
    <row r="2147" spans="1:6" x14ac:dyDescent="0.35">
      <c r="A2147" s="4" t="s">
        <v>7353</v>
      </c>
      <c r="B2147" s="5" t="s">
        <v>5301</v>
      </c>
      <c r="C2147" s="5" t="s">
        <v>1776</v>
      </c>
      <c r="D2147" s="5" t="s">
        <v>9</v>
      </c>
      <c r="E2147" s="6">
        <v>692</v>
      </c>
      <c r="F2147" s="5" t="str">
        <f>HYPERLINK("https://www.google.com/maps/search/?api=1&amp;query=24.76110876,46.68694082", "View Map")</f>
        <v>View Map</v>
      </c>
    </row>
    <row r="2148" spans="1:6" x14ac:dyDescent="0.35">
      <c r="A2148" s="4" t="s">
        <v>7354</v>
      </c>
      <c r="B2148" s="5" t="s">
        <v>5303</v>
      </c>
      <c r="C2148" s="5" t="s">
        <v>1776</v>
      </c>
      <c r="D2148" s="5" t="s">
        <v>9</v>
      </c>
      <c r="E2148" s="6">
        <v>692</v>
      </c>
      <c r="F2148" s="5" t="str">
        <f>HYPERLINK("https://www.google.com/maps/search/?api=1&amp;query=24.58654999,46.68974177", "View Map")</f>
        <v>View Map</v>
      </c>
    </row>
    <row r="2149" spans="1:6" x14ac:dyDescent="0.35">
      <c r="A2149" s="4" t="s">
        <v>7355</v>
      </c>
      <c r="B2149" s="5" t="s">
        <v>5305</v>
      </c>
      <c r="C2149" s="5" t="s">
        <v>1776</v>
      </c>
      <c r="D2149" s="5" t="s">
        <v>9</v>
      </c>
      <c r="E2149" s="6">
        <v>691</v>
      </c>
      <c r="F2149" s="5" t="str">
        <f>HYPERLINK("https://www.google.com/maps/search/?api=1&amp;query=24.57172829,46.82842336", "View Map")</f>
        <v>View Map</v>
      </c>
    </row>
    <row r="2150" spans="1:6" x14ac:dyDescent="0.35">
      <c r="A2150" s="4" t="s">
        <v>7356</v>
      </c>
      <c r="B2150" s="5" t="s">
        <v>5307</v>
      </c>
      <c r="C2150" s="5" t="s">
        <v>1776</v>
      </c>
      <c r="D2150" s="5" t="s">
        <v>9</v>
      </c>
      <c r="E2150" s="6">
        <v>691</v>
      </c>
      <c r="F2150" s="5" t="str">
        <f>HYPERLINK("https://www.google.com/maps/search/?api=1&amp;query=24.65510558,46.68118063", "View Map")</f>
        <v>View Map</v>
      </c>
    </row>
    <row r="2151" spans="1:6" x14ac:dyDescent="0.35">
      <c r="A2151" s="4" t="s">
        <v>7357</v>
      </c>
      <c r="B2151" s="5" t="s">
        <v>5309</v>
      </c>
      <c r="C2151" s="5" t="s">
        <v>1776</v>
      </c>
      <c r="D2151" s="5" t="s">
        <v>9</v>
      </c>
      <c r="E2151" s="6">
        <v>690</v>
      </c>
      <c r="F2151" s="5" t="str">
        <f>HYPERLINK("https://www.google.com/maps/search/?api=1&amp;query=24.81262105,46.88175377", "View Map")</f>
        <v>View Map</v>
      </c>
    </row>
    <row r="2152" spans="1:6" x14ac:dyDescent="0.35">
      <c r="A2152" s="4" t="s">
        <v>6039</v>
      </c>
      <c r="B2152" s="5" t="s">
        <v>5310</v>
      </c>
      <c r="C2152" s="5" t="s">
        <v>1776</v>
      </c>
      <c r="D2152" s="5" t="s">
        <v>9</v>
      </c>
      <c r="E2152" s="6">
        <v>690</v>
      </c>
      <c r="F2152" s="5" t="str">
        <f>HYPERLINK("https://www.google.com/maps/search/?api=1&amp;query=24.54924496,46.49689065", "View Map")</f>
        <v>View Map</v>
      </c>
    </row>
    <row r="2153" spans="1:6" x14ac:dyDescent="0.35">
      <c r="A2153" s="4" t="s">
        <v>7358</v>
      </c>
      <c r="B2153" s="5" t="s">
        <v>5312</v>
      </c>
      <c r="C2153" s="5" t="s">
        <v>1776</v>
      </c>
      <c r="D2153" s="5" t="s">
        <v>9</v>
      </c>
      <c r="E2153" s="6">
        <v>689</v>
      </c>
      <c r="F2153" s="5" t="str">
        <f>HYPERLINK("https://www.google.com/maps/search/?api=1&amp;query=24.63682109,46.55753926", "View Map")</f>
        <v>View Map</v>
      </c>
    </row>
    <row r="2154" spans="1:6" x14ac:dyDescent="0.35">
      <c r="A2154" s="4" t="s">
        <v>5974</v>
      </c>
      <c r="B2154" s="5" t="s">
        <v>5313</v>
      </c>
      <c r="C2154" s="5" t="s">
        <v>1776</v>
      </c>
      <c r="D2154" s="5" t="s">
        <v>9</v>
      </c>
      <c r="E2154" s="6">
        <v>689</v>
      </c>
      <c r="F2154" s="5" t="str">
        <f>HYPERLINK("https://www.google.com/maps/search/?api=1&amp;query=24.83021863,46.80539429", "View Map")</f>
        <v>View Map</v>
      </c>
    </row>
    <row r="2155" spans="1:6" x14ac:dyDescent="0.35">
      <c r="A2155" s="4" t="s">
        <v>7359</v>
      </c>
      <c r="B2155" s="5" t="s">
        <v>5315</v>
      </c>
      <c r="C2155" s="5" t="s">
        <v>1776</v>
      </c>
      <c r="D2155" s="5" t="s">
        <v>9</v>
      </c>
      <c r="E2155" s="6">
        <v>689</v>
      </c>
      <c r="F2155" s="5" t="str">
        <f>HYPERLINK("https://www.google.com/maps/search/?api=1&amp;query=24.75826619,46.67389481", "View Map")</f>
        <v>View Map</v>
      </c>
    </row>
    <row r="2156" spans="1:6" x14ac:dyDescent="0.35">
      <c r="A2156" s="4" t="s">
        <v>7360</v>
      </c>
      <c r="B2156" s="5" t="s">
        <v>5316</v>
      </c>
      <c r="C2156" s="5" t="s">
        <v>1776</v>
      </c>
      <c r="D2156" s="5" t="s">
        <v>9</v>
      </c>
      <c r="E2156" s="6">
        <v>688</v>
      </c>
      <c r="F2156" s="5" t="str">
        <f>HYPERLINK("https://www.google.com/maps/search/?api=1&amp;query=0.0,0.0", "View Map")</f>
        <v>View Map</v>
      </c>
    </row>
    <row r="2157" spans="1:6" x14ac:dyDescent="0.35">
      <c r="A2157" s="4" t="s">
        <v>7361</v>
      </c>
      <c r="B2157" s="5" t="s">
        <v>5318</v>
      </c>
      <c r="C2157" s="5" t="s">
        <v>1776</v>
      </c>
      <c r="D2157" s="5" t="s">
        <v>9</v>
      </c>
      <c r="E2157" s="6">
        <v>688</v>
      </c>
      <c r="F2157" s="5" t="str">
        <f>HYPERLINK("https://www.google.com/maps/search/?api=1&amp;query=24.79350743,46.68285217", "View Map")</f>
        <v>View Map</v>
      </c>
    </row>
    <row r="2158" spans="1:6" x14ac:dyDescent="0.35">
      <c r="A2158" s="4" t="s">
        <v>6039</v>
      </c>
      <c r="B2158" s="5" t="s">
        <v>5319</v>
      </c>
      <c r="C2158" s="5" t="s">
        <v>1776</v>
      </c>
      <c r="D2158" s="5" t="s">
        <v>9</v>
      </c>
      <c r="E2158" s="6">
        <v>688</v>
      </c>
      <c r="F2158" s="5" t="str">
        <f>HYPERLINK("https://www.google.com/maps/search/?api=1&amp;query=24.6159935,46.71311427", "View Map")</f>
        <v>View Map</v>
      </c>
    </row>
    <row r="2159" spans="1:6" x14ac:dyDescent="0.35">
      <c r="A2159" s="4" t="s">
        <v>6039</v>
      </c>
      <c r="B2159" s="5" t="s">
        <v>5320</v>
      </c>
      <c r="C2159" s="5" t="s">
        <v>1843</v>
      </c>
      <c r="D2159" s="5" t="s">
        <v>9</v>
      </c>
      <c r="E2159" s="6">
        <v>687</v>
      </c>
      <c r="F2159" s="5" t="str">
        <f>HYPERLINK("https://www.google.com/maps/search/?api=1&amp;query=24.907124,46.429818", "View Map")</f>
        <v>View Map</v>
      </c>
    </row>
    <row r="2160" spans="1:6" x14ac:dyDescent="0.35">
      <c r="A2160" s="4" t="s">
        <v>5974</v>
      </c>
      <c r="B2160" s="5" t="s">
        <v>5321</v>
      </c>
      <c r="C2160" s="5" t="s">
        <v>1776</v>
      </c>
      <c r="D2160" s="5" t="s">
        <v>9</v>
      </c>
      <c r="E2160" s="6">
        <v>687</v>
      </c>
      <c r="F2160" s="5" t="str">
        <f>HYPERLINK("https://www.google.com/maps/search/?api=1&amp;query=24.5739061,46.79219834", "View Map")</f>
        <v>View Map</v>
      </c>
    </row>
    <row r="2161" spans="1:6" x14ac:dyDescent="0.35">
      <c r="A2161" s="4" t="s">
        <v>7362</v>
      </c>
      <c r="B2161" s="5" t="s">
        <v>5323</v>
      </c>
      <c r="C2161" s="5" t="s">
        <v>1776</v>
      </c>
      <c r="D2161" s="5" t="s">
        <v>9</v>
      </c>
      <c r="E2161" s="6">
        <v>687</v>
      </c>
      <c r="F2161" s="5" t="str">
        <f>HYPERLINK("https://www.google.com/maps/search/?api=1&amp;query=24.566189,46.65449972", "View Map")</f>
        <v>View Map</v>
      </c>
    </row>
    <row r="2162" spans="1:6" x14ac:dyDescent="0.35">
      <c r="A2162" s="4" t="s">
        <v>7363</v>
      </c>
      <c r="B2162" s="5" t="s">
        <v>5325</v>
      </c>
      <c r="C2162" s="5" t="s">
        <v>1776</v>
      </c>
      <c r="D2162" s="5" t="s">
        <v>9</v>
      </c>
      <c r="E2162" s="6">
        <v>687</v>
      </c>
      <c r="F2162" s="5" t="str">
        <f>HYPERLINK("https://www.google.com/maps/search/?api=1&amp;query=24.75667299,46.81252454", "View Map")</f>
        <v>View Map</v>
      </c>
    </row>
    <row r="2163" spans="1:6" x14ac:dyDescent="0.35">
      <c r="A2163" s="4" t="s">
        <v>7364</v>
      </c>
      <c r="B2163" s="5" t="s">
        <v>5327</v>
      </c>
      <c r="C2163" s="5" t="s">
        <v>1776</v>
      </c>
      <c r="D2163" s="5" t="s">
        <v>9</v>
      </c>
      <c r="E2163" s="6">
        <v>686</v>
      </c>
      <c r="F2163" s="5" t="str">
        <f>HYPERLINK("https://www.google.com/maps/search/?api=1&amp;query=24.63378414,46.7244641", "View Map")</f>
        <v>View Map</v>
      </c>
    </row>
    <row r="2164" spans="1:6" x14ac:dyDescent="0.35">
      <c r="A2164" s="4" t="s">
        <v>5974</v>
      </c>
      <c r="B2164" s="5" t="s">
        <v>5328</v>
      </c>
      <c r="C2164" s="5" t="s">
        <v>1776</v>
      </c>
      <c r="D2164" s="5" t="s">
        <v>9</v>
      </c>
      <c r="E2164" s="6">
        <v>685</v>
      </c>
      <c r="F2164" s="5" t="str">
        <f>HYPERLINK("https://www.google.com/maps/search/?api=1&amp;query=24.74721727,46.62628386", "View Map")</f>
        <v>View Map</v>
      </c>
    </row>
    <row r="2165" spans="1:6" x14ac:dyDescent="0.35">
      <c r="A2165" s="4" t="s">
        <v>6039</v>
      </c>
      <c r="B2165" s="5" t="s">
        <v>5329</v>
      </c>
      <c r="C2165" s="5" t="s">
        <v>1776</v>
      </c>
      <c r="D2165" s="5" t="s">
        <v>9</v>
      </c>
      <c r="E2165" s="6">
        <v>685</v>
      </c>
      <c r="F2165" s="5" t="str">
        <f>HYPERLINK("https://www.google.com/maps/search/?api=1&amp;query=24.52749365,46.72755615", "View Map")</f>
        <v>View Map</v>
      </c>
    </row>
    <row r="2166" spans="1:6" x14ac:dyDescent="0.35">
      <c r="A2166" s="4" t="s">
        <v>7365</v>
      </c>
      <c r="B2166" s="5" t="s">
        <v>5331</v>
      </c>
      <c r="C2166" s="5" t="s">
        <v>1843</v>
      </c>
      <c r="D2166" s="5" t="s">
        <v>9</v>
      </c>
      <c r="E2166" s="6">
        <v>685</v>
      </c>
      <c r="F2166" s="5" t="str">
        <f>HYPERLINK("https://www.google.com/maps/search/?api=1&amp;query=24.74458989,46.58083903", "View Map")</f>
        <v>View Map</v>
      </c>
    </row>
    <row r="2167" spans="1:6" x14ac:dyDescent="0.35">
      <c r="A2167" s="4" t="s">
        <v>6599</v>
      </c>
      <c r="B2167" s="5" t="s">
        <v>5332</v>
      </c>
      <c r="C2167" s="5" t="s">
        <v>1776</v>
      </c>
      <c r="D2167" s="5" t="s">
        <v>9</v>
      </c>
      <c r="E2167" s="6">
        <v>685</v>
      </c>
      <c r="F2167" s="5" t="str">
        <f>HYPERLINK("https://www.google.com/maps/search/?api=1&amp;query=24.56907615,46.65770003", "View Map")</f>
        <v>View Map</v>
      </c>
    </row>
    <row r="2168" spans="1:6" x14ac:dyDescent="0.35">
      <c r="A2168" s="4" t="s">
        <v>7366</v>
      </c>
      <c r="B2168" s="5" t="s">
        <v>5334</v>
      </c>
      <c r="C2168" s="5" t="s">
        <v>1776</v>
      </c>
      <c r="D2168" s="5" t="s">
        <v>9</v>
      </c>
      <c r="E2168" s="6">
        <v>684</v>
      </c>
      <c r="F2168" s="5" t="str">
        <f>HYPERLINK("https://www.google.com/maps/search/?api=1&amp;query=24.74301698,46.70647905", "View Map")</f>
        <v>View Map</v>
      </c>
    </row>
    <row r="2169" spans="1:6" x14ac:dyDescent="0.35">
      <c r="A2169" s="4" t="s">
        <v>7367</v>
      </c>
      <c r="B2169" s="5" t="s">
        <v>5336</v>
      </c>
      <c r="C2169" s="5" t="s">
        <v>1776</v>
      </c>
      <c r="D2169" s="5" t="s">
        <v>9</v>
      </c>
      <c r="E2169" s="6">
        <v>683</v>
      </c>
      <c r="F2169" s="5" t="str">
        <f>HYPERLINK("https://www.google.com/maps/search/?api=1&amp;query=24.64895845,46.66863506", "View Map")</f>
        <v>View Map</v>
      </c>
    </row>
    <row r="2170" spans="1:6" x14ac:dyDescent="0.35">
      <c r="A2170" s="4" t="s">
        <v>7368</v>
      </c>
      <c r="B2170" s="5" t="s">
        <v>5338</v>
      </c>
      <c r="C2170" s="5" t="s">
        <v>1776</v>
      </c>
      <c r="D2170" s="5" t="s">
        <v>9</v>
      </c>
      <c r="E2170" s="6">
        <v>683</v>
      </c>
      <c r="F2170" s="5" t="str">
        <f>HYPERLINK("https://www.google.com/maps/search/?api=1&amp;query=24.56869511,46.69673166", "View Map")</f>
        <v>View Map</v>
      </c>
    </row>
    <row r="2171" spans="1:6" x14ac:dyDescent="0.35">
      <c r="A2171" s="4" t="s">
        <v>7369</v>
      </c>
      <c r="B2171" s="5" t="s">
        <v>5340</v>
      </c>
      <c r="C2171" s="5" t="s">
        <v>1776</v>
      </c>
      <c r="D2171" s="5" t="s">
        <v>9</v>
      </c>
      <c r="E2171" s="6">
        <v>682</v>
      </c>
      <c r="F2171" s="5" t="str">
        <f>HYPERLINK("https://www.google.com/maps/search/?api=1&amp;query=24.68756,46.64633", "View Map")</f>
        <v>View Map</v>
      </c>
    </row>
    <row r="2172" spans="1:6" x14ac:dyDescent="0.35">
      <c r="A2172" s="4" t="s">
        <v>6039</v>
      </c>
      <c r="B2172" s="5" t="s">
        <v>5341</v>
      </c>
      <c r="C2172" s="5" t="s">
        <v>1776</v>
      </c>
      <c r="D2172" s="5" t="s">
        <v>9</v>
      </c>
      <c r="E2172" s="6">
        <v>682</v>
      </c>
      <c r="F2172" s="5" t="str">
        <f>HYPERLINK("https://www.google.com/maps/search/?api=1&amp;query=24.56921016,46.52727413", "View Map")</f>
        <v>View Map</v>
      </c>
    </row>
    <row r="2173" spans="1:6" x14ac:dyDescent="0.35">
      <c r="A2173" s="4" t="s">
        <v>7370</v>
      </c>
      <c r="B2173" s="5" t="s">
        <v>5343</v>
      </c>
      <c r="C2173" s="5" t="s">
        <v>1776</v>
      </c>
      <c r="D2173" s="5" t="s">
        <v>9</v>
      </c>
      <c r="E2173" s="6">
        <v>681</v>
      </c>
      <c r="F2173" s="5" t="str">
        <f>HYPERLINK("https://www.google.com/maps/search/?api=1&amp;query=24.50858488,46.94779739", "View Map")</f>
        <v>View Map</v>
      </c>
    </row>
    <row r="2174" spans="1:6" x14ac:dyDescent="0.35">
      <c r="A2174" s="4" t="s">
        <v>7371</v>
      </c>
      <c r="B2174" s="5" t="s">
        <v>5345</v>
      </c>
      <c r="C2174" s="5" t="s">
        <v>1776</v>
      </c>
      <c r="D2174" s="5" t="s">
        <v>9</v>
      </c>
      <c r="E2174" s="6">
        <v>680</v>
      </c>
      <c r="F2174" s="5" t="str">
        <f>HYPERLINK("https://www.google.com/maps/search/?api=1&amp;query=24.57384886,46.71337917", "View Map")</f>
        <v>View Map</v>
      </c>
    </row>
    <row r="2175" spans="1:6" x14ac:dyDescent="0.35">
      <c r="A2175" s="4" t="s">
        <v>7372</v>
      </c>
      <c r="B2175" s="5" t="s">
        <v>5347</v>
      </c>
      <c r="C2175" s="5" t="s">
        <v>1776</v>
      </c>
      <c r="D2175" s="5" t="s">
        <v>9</v>
      </c>
      <c r="E2175" s="6">
        <v>680</v>
      </c>
      <c r="F2175" s="5" t="str">
        <f>HYPERLINK("https://www.google.com/maps/search/?api=1&amp;query=24.86473785,46.64968371", "View Map")</f>
        <v>View Map</v>
      </c>
    </row>
    <row r="2176" spans="1:6" x14ac:dyDescent="0.35">
      <c r="A2176" s="4" t="s">
        <v>7373</v>
      </c>
      <c r="B2176" s="5" t="s">
        <v>5349</v>
      </c>
      <c r="C2176" s="5" t="s">
        <v>1776</v>
      </c>
      <c r="D2176" s="5" t="s">
        <v>9</v>
      </c>
      <c r="E2176" s="6">
        <v>680</v>
      </c>
      <c r="F2176" s="5" t="str">
        <f>HYPERLINK("https://www.google.com/maps/search/?api=1&amp;query=24.78367714,46.71603454", "View Map")</f>
        <v>View Map</v>
      </c>
    </row>
    <row r="2177" spans="1:6" x14ac:dyDescent="0.35">
      <c r="A2177" s="4" t="s">
        <v>5972</v>
      </c>
      <c r="B2177" s="5" t="s">
        <v>5350</v>
      </c>
      <c r="C2177" s="5" t="s">
        <v>1776</v>
      </c>
      <c r="D2177" s="5" t="s">
        <v>9</v>
      </c>
      <c r="E2177" s="6">
        <v>678</v>
      </c>
      <c r="F2177" s="5" t="str">
        <f>HYPERLINK("https://www.google.com/maps/search/?api=1&amp;query=24.69038778,46.83608904", "View Map")</f>
        <v>View Map</v>
      </c>
    </row>
    <row r="2178" spans="1:6" x14ac:dyDescent="0.35">
      <c r="A2178" s="4" t="s">
        <v>7374</v>
      </c>
      <c r="B2178" s="5" t="s">
        <v>5352</v>
      </c>
      <c r="C2178" s="5" t="s">
        <v>1776</v>
      </c>
      <c r="D2178" s="5" t="s">
        <v>9</v>
      </c>
      <c r="E2178" s="6">
        <v>678</v>
      </c>
      <c r="F2178" s="5" t="str">
        <f>HYPERLINK("https://www.google.com/maps/search/?api=1&amp;query=24.59329185,46.73703888", "View Map")</f>
        <v>View Map</v>
      </c>
    </row>
    <row r="2179" spans="1:6" x14ac:dyDescent="0.35">
      <c r="A2179" s="4" t="s">
        <v>6039</v>
      </c>
      <c r="B2179" s="5" t="s">
        <v>5353</v>
      </c>
      <c r="C2179" s="5" t="s">
        <v>1776</v>
      </c>
      <c r="D2179" s="5" t="s">
        <v>9</v>
      </c>
      <c r="E2179" s="6">
        <v>678</v>
      </c>
      <c r="F2179" s="5" t="str">
        <f>HYPERLINK("https://www.google.com/maps/search/?api=1&amp;query=24.54339607,46.51293146", "View Map")</f>
        <v>View Map</v>
      </c>
    </row>
    <row r="2180" spans="1:6" x14ac:dyDescent="0.35">
      <c r="A2180" s="4" t="s">
        <v>7375</v>
      </c>
      <c r="B2180" s="5" t="s">
        <v>5355</v>
      </c>
      <c r="C2180" s="5" t="s">
        <v>1776</v>
      </c>
      <c r="D2180" s="5" t="s">
        <v>9</v>
      </c>
      <c r="E2180" s="6">
        <v>678</v>
      </c>
      <c r="F2180" s="5" t="str">
        <f>HYPERLINK("https://www.google.com/maps/search/?api=1&amp;query=24.7594251,46.77266034", "View Map")</f>
        <v>View Map</v>
      </c>
    </row>
    <row r="2181" spans="1:6" x14ac:dyDescent="0.35">
      <c r="A2181" s="4" t="s">
        <v>7376</v>
      </c>
      <c r="B2181" s="5" t="s">
        <v>5357</v>
      </c>
      <c r="C2181" s="5" t="s">
        <v>1776</v>
      </c>
      <c r="D2181" s="5" t="s">
        <v>9</v>
      </c>
      <c r="E2181" s="6">
        <v>678</v>
      </c>
      <c r="F2181" s="5" t="str">
        <f>HYPERLINK("https://www.google.com/maps/search/?api=1&amp;query=24.78182289,46.77324776", "View Map")</f>
        <v>View Map</v>
      </c>
    </row>
    <row r="2182" spans="1:6" x14ac:dyDescent="0.35">
      <c r="A2182" s="4" t="s">
        <v>7377</v>
      </c>
      <c r="B2182" s="5" t="s">
        <v>5359</v>
      </c>
      <c r="C2182" s="5" t="s">
        <v>1776</v>
      </c>
      <c r="D2182" s="5" t="s">
        <v>9</v>
      </c>
      <c r="E2182" s="6">
        <v>677</v>
      </c>
      <c r="F2182" s="5" t="str">
        <f>HYPERLINK("https://www.google.com/maps/search/?api=1&amp;query=24.75010793,46.75223719", "View Map")</f>
        <v>View Map</v>
      </c>
    </row>
    <row r="2183" spans="1:6" x14ac:dyDescent="0.35">
      <c r="A2183" s="4" t="s">
        <v>7316</v>
      </c>
      <c r="B2183" s="5" t="s">
        <v>5360</v>
      </c>
      <c r="C2183" s="5" t="s">
        <v>1776</v>
      </c>
      <c r="D2183" s="5" t="s">
        <v>9</v>
      </c>
      <c r="E2183" s="6">
        <v>677</v>
      </c>
      <c r="F2183" s="5" t="str">
        <f>HYPERLINK("https://www.google.com/maps/search/?api=1&amp;query=24.60835605,46.75752616", "View Map")</f>
        <v>View Map</v>
      </c>
    </row>
    <row r="2184" spans="1:6" x14ac:dyDescent="0.35">
      <c r="A2184" s="4" t="s">
        <v>7378</v>
      </c>
      <c r="B2184" s="5" t="s">
        <v>5362</v>
      </c>
      <c r="C2184" s="5" t="s">
        <v>1776</v>
      </c>
      <c r="D2184" s="5" t="s">
        <v>9</v>
      </c>
      <c r="E2184" s="6">
        <v>676</v>
      </c>
      <c r="F2184" s="5" t="str">
        <f>HYPERLINK("https://www.google.com/maps/search/?api=1&amp;query=24.57768278,46.56258624", "View Map")</f>
        <v>View Map</v>
      </c>
    </row>
    <row r="2185" spans="1:6" x14ac:dyDescent="0.35">
      <c r="A2185" s="4" t="s">
        <v>7379</v>
      </c>
      <c r="B2185" s="5" t="s">
        <v>5364</v>
      </c>
      <c r="C2185" s="5" t="s">
        <v>1776</v>
      </c>
      <c r="D2185" s="5" t="s">
        <v>318</v>
      </c>
      <c r="E2185" s="6">
        <v>676</v>
      </c>
      <c r="F2185" s="5" t="str">
        <f>HYPERLINK("https://www.google.com/maps/search/?api=1&amp;query=24.55521717,46.7860748", "View Map")</f>
        <v>View Map</v>
      </c>
    </row>
    <row r="2186" spans="1:6" x14ac:dyDescent="0.35">
      <c r="A2186" s="4" t="s">
        <v>5974</v>
      </c>
      <c r="B2186" s="5" t="s">
        <v>5365</v>
      </c>
      <c r="C2186" s="5" t="s">
        <v>1776</v>
      </c>
      <c r="D2186" s="5" t="s">
        <v>9</v>
      </c>
      <c r="E2186" s="6">
        <v>676</v>
      </c>
      <c r="F2186" s="5" t="str">
        <f>HYPERLINK("https://www.google.com/maps/search/?api=1&amp;query=24.80385421,46.68183238", "View Map")</f>
        <v>View Map</v>
      </c>
    </row>
    <row r="2187" spans="1:6" x14ac:dyDescent="0.35">
      <c r="A2187" s="4" t="s">
        <v>6179</v>
      </c>
      <c r="B2187" s="5" t="s">
        <v>5366</v>
      </c>
      <c r="C2187" s="5" t="s">
        <v>1776</v>
      </c>
      <c r="D2187" s="5" t="s">
        <v>9</v>
      </c>
      <c r="E2187" s="6">
        <v>676</v>
      </c>
      <c r="F2187" s="5" t="str">
        <f>HYPERLINK("https://www.google.com/maps/search/?api=1&amp;query=24.66201512,46.66768564", "View Map")</f>
        <v>View Map</v>
      </c>
    </row>
    <row r="2188" spans="1:6" x14ac:dyDescent="0.35">
      <c r="A2188" s="4" t="s">
        <v>7380</v>
      </c>
      <c r="B2188" s="5" t="s">
        <v>5368</v>
      </c>
      <c r="C2188" s="5" t="s">
        <v>1776</v>
      </c>
      <c r="D2188" s="5" t="s">
        <v>9</v>
      </c>
      <c r="E2188" s="6">
        <v>675</v>
      </c>
      <c r="F2188" s="5" t="str">
        <f>HYPERLINK("https://www.google.com/maps/search/?api=1&amp;query=24.64161127,46.71922078", "View Map")</f>
        <v>View Map</v>
      </c>
    </row>
    <row r="2189" spans="1:6" x14ac:dyDescent="0.35">
      <c r="A2189" s="4" t="s">
        <v>7381</v>
      </c>
      <c r="B2189" s="5" t="s">
        <v>5370</v>
      </c>
      <c r="C2189" s="5" t="s">
        <v>1776</v>
      </c>
      <c r="D2189" s="5" t="s">
        <v>9</v>
      </c>
      <c r="E2189" s="6">
        <v>675</v>
      </c>
      <c r="F2189" s="5" t="str">
        <f>HYPERLINK("https://www.google.com/maps/search/?api=1&amp;query=24.669603,46.78822501", "View Map")</f>
        <v>View Map</v>
      </c>
    </row>
    <row r="2190" spans="1:6" x14ac:dyDescent="0.35">
      <c r="A2190" s="4" t="s">
        <v>7382</v>
      </c>
      <c r="B2190" s="5" t="s">
        <v>5372</v>
      </c>
      <c r="C2190" s="5" t="s">
        <v>1776</v>
      </c>
      <c r="D2190" s="5" t="s">
        <v>9</v>
      </c>
      <c r="E2190" s="6">
        <v>675</v>
      </c>
      <c r="F2190" s="5" t="str">
        <f>HYPERLINK("https://www.google.com/maps/search/?api=1&amp;query=24.5399917,46.64682424", "View Map")</f>
        <v>View Map</v>
      </c>
    </row>
    <row r="2191" spans="1:6" x14ac:dyDescent="0.35">
      <c r="A2191" s="4" t="s">
        <v>7383</v>
      </c>
      <c r="B2191" s="5" t="s">
        <v>5374</v>
      </c>
      <c r="C2191" s="5" t="s">
        <v>1776</v>
      </c>
      <c r="D2191" s="5" t="s">
        <v>9</v>
      </c>
      <c r="E2191" s="6">
        <v>675</v>
      </c>
      <c r="F2191" s="5" t="str">
        <f>HYPERLINK("https://www.google.com/maps/search/?api=1&amp;query=24.7369576,46.81905957", "View Map")</f>
        <v>View Map</v>
      </c>
    </row>
    <row r="2192" spans="1:6" x14ac:dyDescent="0.35">
      <c r="A2192" s="4" t="s">
        <v>5974</v>
      </c>
      <c r="B2192" s="5" t="s">
        <v>5375</v>
      </c>
      <c r="C2192" s="5" t="s">
        <v>1776</v>
      </c>
      <c r="D2192" s="5" t="s">
        <v>9</v>
      </c>
      <c r="E2192" s="6">
        <v>675</v>
      </c>
      <c r="F2192" s="5" t="str">
        <f>HYPERLINK("https://www.google.com/maps/search/?api=1&amp;query=24.6110802,46.5055734", "View Map")</f>
        <v>View Map</v>
      </c>
    </row>
    <row r="2193" spans="1:6" x14ac:dyDescent="0.35">
      <c r="A2193" s="4" t="s">
        <v>6679</v>
      </c>
      <c r="B2193" s="5" t="s">
        <v>5376</v>
      </c>
      <c r="C2193" s="5" t="s">
        <v>1776</v>
      </c>
      <c r="D2193" s="5" t="s">
        <v>9</v>
      </c>
      <c r="E2193" s="6">
        <v>675</v>
      </c>
      <c r="F2193" s="5" t="str">
        <f>HYPERLINK("https://www.google.com/maps/search/?api=1&amp;query=24.79646133,46.70030065", "View Map")</f>
        <v>View Map</v>
      </c>
    </row>
    <row r="2194" spans="1:6" x14ac:dyDescent="0.35">
      <c r="A2194" s="4" t="s">
        <v>5974</v>
      </c>
      <c r="B2194" s="5" t="s">
        <v>5377</v>
      </c>
      <c r="C2194" s="5" t="s">
        <v>1776</v>
      </c>
      <c r="D2194" s="5" t="s">
        <v>9</v>
      </c>
      <c r="E2194" s="6">
        <v>675</v>
      </c>
      <c r="F2194" s="5" t="str">
        <f>HYPERLINK("https://www.google.com/maps/search/?api=1&amp;query=24.86703855,46.64687671", "View Map")</f>
        <v>View Map</v>
      </c>
    </row>
    <row r="2195" spans="1:6" x14ac:dyDescent="0.35">
      <c r="A2195" s="4" t="s">
        <v>7384</v>
      </c>
      <c r="B2195" s="5" t="s">
        <v>5379</v>
      </c>
      <c r="C2195" s="5" t="s">
        <v>1776</v>
      </c>
      <c r="D2195" s="5" t="s">
        <v>9</v>
      </c>
      <c r="E2195" s="6">
        <v>675</v>
      </c>
      <c r="F2195" s="5" t="str">
        <f>HYPERLINK("https://www.google.com/maps/search/?api=1&amp;query=24.63142561,46.55495993", "View Map")</f>
        <v>View Map</v>
      </c>
    </row>
    <row r="2196" spans="1:6" x14ac:dyDescent="0.35">
      <c r="A2196" s="4" t="s">
        <v>7385</v>
      </c>
      <c r="B2196" s="5" t="s">
        <v>5381</v>
      </c>
      <c r="C2196" s="5" t="s">
        <v>1776</v>
      </c>
      <c r="D2196" s="5" t="s">
        <v>9</v>
      </c>
      <c r="E2196" s="6">
        <v>674</v>
      </c>
      <c r="F2196" s="5" t="str">
        <f>HYPERLINK("https://www.google.com/maps/search/?api=1&amp;query=24.70409773,46.76719183", "View Map")</f>
        <v>View Map</v>
      </c>
    </row>
    <row r="2197" spans="1:6" x14ac:dyDescent="0.35">
      <c r="A2197" s="4" t="s">
        <v>7386</v>
      </c>
      <c r="B2197" s="5" t="s">
        <v>5383</v>
      </c>
      <c r="C2197" s="5" t="s">
        <v>1776</v>
      </c>
      <c r="D2197" s="5" t="s">
        <v>9</v>
      </c>
      <c r="E2197" s="6">
        <v>674</v>
      </c>
      <c r="F2197" s="5" t="str">
        <f>HYPERLINK("https://www.google.com/maps/search/?api=1&amp;query=24.80123547,46.79103692", "View Map")</f>
        <v>View Map</v>
      </c>
    </row>
    <row r="2198" spans="1:6" x14ac:dyDescent="0.35">
      <c r="A2198" s="4" t="s">
        <v>7002</v>
      </c>
      <c r="B2198" s="5" t="s">
        <v>5384</v>
      </c>
      <c r="C2198" s="5" t="s">
        <v>1776</v>
      </c>
      <c r="D2198" s="5" t="s">
        <v>9</v>
      </c>
      <c r="E2198" s="6">
        <v>674</v>
      </c>
      <c r="F2198" s="5" t="str">
        <f>HYPERLINK("https://www.google.com/maps/search/?api=1&amp;query=24.79834279,46.79397272", "View Map")</f>
        <v>View Map</v>
      </c>
    </row>
    <row r="2199" spans="1:6" x14ac:dyDescent="0.35">
      <c r="A2199" s="4" t="s">
        <v>7078</v>
      </c>
      <c r="B2199" s="5" t="s">
        <v>5385</v>
      </c>
      <c r="C2199" s="5" t="s">
        <v>1776</v>
      </c>
      <c r="D2199" s="5" t="s">
        <v>9</v>
      </c>
      <c r="E2199" s="6">
        <v>674</v>
      </c>
      <c r="F2199" s="5" t="str">
        <f>HYPERLINK("https://www.google.com/maps/search/?api=1&amp;query=24.76200531,46.73597415", "View Map")</f>
        <v>View Map</v>
      </c>
    </row>
    <row r="2200" spans="1:6" x14ac:dyDescent="0.35">
      <c r="A2200" s="4" t="s">
        <v>7387</v>
      </c>
      <c r="B2200" s="5" t="s">
        <v>5387</v>
      </c>
      <c r="C2200" s="5" t="s">
        <v>1776</v>
      </c>
      <c r="D2200" s="5" t="s">
        <v>9</v>
      </c>
      <c r="E2200" s="6">
        <v>674</v>
      </c>
      <c r="F2200" s="5" t="str">
        <f>HYPERLINK("https://www.google.com/maps/search/?api=1&amp;query=24.789881,46.81354787", "View Map")</f>
        <v>View Map</v>
      </c>
    </row>
    <row r="2201" spans="1:6" x14ac:dyDescent="0.35">
      <c r="A2201" s="4" t="s">
        <v>7388</v>
      </c>
      <c r="B2201" s="5" t="s">
        <v>5389</v>
      </c>
      <c r="C2201" s="5" t="s">
        <v>1776</v>
      </c>
      <c r="D2201" s="5" t="s">
        <v>9</v>
      </c>
      <c r="E2201" s="6">
        <v>672</v>
      </c>
      <c r="F2201" s="5" t="str">
        <f>HYPERLINK("https://www.google.com/maps/search/?api=1&amp;query=24.53675286,46.65911455", "View Map")</f>
        <v>View Map</v>
      </c>
    </row>
    <row r="2202" spans="1:6" x14ac:dyDescent="0.35">
      <c r="A2202" s="4" t="s">
        <v>7389</v>
      </c>
      <c r="B2202" s="5" t="s">
        <v>5391</v>
      </c>
      <c r="C2202" s="5" t="s">
        <v>1776</v>
      </c>
      <c r="D2202" s="5" t="s">
        <v>9</v>
      </c>
      <c r="E2202" s="6">
        <v>672</v>
      </c>
      <c r="F2202" s="5" t="str">
        <f>HYPERLINK("https://www.google.com/maps/search/?api=1&amp;query=24.70491,46.82291", "View Map")</f>
        <v>View Map</v>
      </c>
    </row>
    <row r="2203" spans="1:6" x14ac:dyDescent="0.35">
      <c r="A2203" s="4" t="s">
        <v>7390</v>
      </c>
      <c r="B2203" s="5" t="s">
        <v>5393</v>
      </c>
      <c r="C2203" s="5" t="s">
        <v>1776</v>
      </c>
      <c r="D2203" s="5" t="s">
        <v>9</v>
      </c>
      <c r="E2203" s="6">
        <v>672</v>
      </c>
      <c r="F2203" s="5" t="str">
        <f>HYPERLINK("https://www.google.com/maps/search/?api=1&amp;query=24.60283617,46.6027304", "View Map")</f>
        <v>View Map</v>
      </c>
    </row>
    <row r="2204" spans="1:6" x14ac:dyDescent="0.35">
      <c r="A2204" s="4" t="s">
        <v>7391</v>
      </c>
      <c r="B2204" s="5" t="s">
        <v>5395</v>
      </c>
      <c r="C2204" s="5" t="s">
        <v>1776</v>
      </c>
      <c r="D2204" s="5" t="s">
        <v>9</v>
      </c>
      <c r="E2204" s="6">
        <v>672</v>
      </c>
      <c r="F2204" s="5" t="str">
        <f>HYPERLINK("https://www.google.com/maps/search/?api=1&amp;query=24.6014242,46.66135325", "View Map")</f>
        <v>View Map</v>
      </c>
    </row>
    <row r="2205" spans="1:6" x14ac:dyDescent="0.35">
      <c r="A2205" s="4" t="s">
        <v>6039</v>
      </c>
      <c r="B2205" s="5" t="s">
        <v>5396</v>
      </c>
      <c r="C2205" s="5" t="s">
        <v>1776</v>
      </c>
      <c r="D2205" s="5" t="s">
        <v>9</v>
      </c>
      <c r="E2205" s="6">
        <v>671</v>
      </c>
      <c r="F2205" s="5" t="str">
        <f>HYPERLINK("https://www.google.com/maps/search/?api=1&amp;query=24.55363955,46.6674507", "View Map")</f>
        <v>View Map</v>
      </c>
    </row>
    <row r="2206" spans="1:6" x14ac:dyDescent="0.35">
      <c r="A2206" s="4" t="s">
        <v>5974</v>
      </c>
      <c r="B2206" s="5" t="s">
        <v>5397</v>
      </c>
      <c r="C2206" s="5" t="s">
        <v>1776</v>
      </c>
      <c r="D2206" s="5" t="s">
        <v>9</v>
      </c>
      <c r="E2206" s="6">
        <v>671</v>
      </c>
      <c r="F2206" s="5" t="str">
        <f>HYPERLINK("https://www.google.com/maps/search/?api=1&amp;query=24.92525789,46.82341566", "View Map")</f>
        <v>View Map</v>
      </c>
    </row>
    <row r="2207" spans="1:6" x14ac:dyDescent="0.35">
      <c r="A2207" s="4" t="s">
        <v>6215</v>
      </c>
      <c r="B2207" s="5" t="s">
        <v>5398</v>
      </c>
      <c r="C2207" s="5" t="s">
        <v>1776</v>
      </c>
      <c r="D2207" s="5" t="s">
        <v>9</v>
      </c>
      <c r="E2207" s="6">
        <v>670</v>
      </c>
      <c r="F2207" s="5" t="str">
        <f>HYPERLINK("https://www.google.com/maps/search/?api=1&amp;query=24.75813459,46.79719179", "View Map")</f>
        <v>View Map</v>
      </c>
    </row>
    <row r="2208" spans="1:6" x14ac:dyDescent="0.35">
      <c r="A2208" s="4" t="s">
        <v>7392</v>
      </c>
      <c r="B2208" s="5" t="s">
        <v>5400</v>
      </c>
      <c r="C2208" s="5" t="s">
        <v>1776</v>
      </c>
      <c r="D2208" s="5" t="s">
        <v>9</v>
      </c>
      <c r="E2208" s="6">
        <v>670</v>
      </c>
      <c r="F2208" s="5" t="str">
        <f>HYPERLINK("https://www.google.com/maps/search/?api=1&amp;query=24.77349657,46.78068338", "View Map")</f>
        <v>View Map</v>
      </c>
    </row>
    <row r="2209" spans="1:6" x14ac:dyDescent="0.35">
      <c r="A2209" s="4" t="s">
        <v>7393</v>
      </c>
      <c r="B2209" s="5" t="s">
        <v>5402</v>
      </c>
      <c r="C2209" s="5" t="s">
        <v>1776</v>
      </c>
      <c r="D2209" s="5" t="s">
        <v>9</v>
      </c>
      <c r="E2209" s="6">
        <v>670</v>
      </c>
      <c r="F2209" s="5" t="str">
        <f>HYPERLINK("https://www.google.com/maps/search/?api=1&amp;query=24.57971703,46.53004934", "View Map")</f>
        <v>View Map</v>
      </c>
    </row>
    <row r="2210" spans="1:6" x14ac:dyDescent="0.35">
      <c r="A2210" s="4" t="s">
        <v>7394</v>
      </c>
      <c r="B2210" s="5" t="s">
        <v>5404</v>
      </c>
      <c r="C2210" s="5" t="s">
        <v>1776</v>
      </c>
      <c r="D2210" s="5" t="s">
        <v>9</v>
      </c>
      <c r="E2210" s="6">
        <v>670</v>
      </c>
      <c r="F2210" s="5" t="str">
        <f>HYPERLINK("https://www.google.com/maps/search/?api=1&amp;query=24.61720633,46.76049055", "View Map")</f>
        <v>View Map</v>
      </c>
    </row>
    <row r="2211" spans="1:6" x14ac:dyDescent="0.35">
      <c r="A2211" s="4" t="s">
        <v>7395</v>
      </c>
      <c r="B2211" s="5" t="s">
        <v>5406</v>
      </c>
      <c r="C2211" s="5" t="s">
        <v>1776</v>
      </c>
      <c r="D2211" s="5" t="s">
        <v>9</v>
      </c>
      <c r="E2211" s="6">
        <v>670</v>
      </c>
      <c r="F2211" s="5" t="str">
        <f>HYPERLINK("https://www.google.com/maps/search/?api=1&amp;query=24.56246162,46.76567181", "View Map")</f>
        <v>View Map</v>
      </c>
    </row>
    <row r="2212" spans="1:6" x14ac:dyDescent="0.35">
      <c r="A2212" s="4" t="s">
        <v>7396</v>
      </c>
      <c r="B2212" s="5" t="s">
        <v>5408</v>
      </c>
      <c r="C2212" s="5" t="s">
        <v>1776</v>
      </c>
      <c r="D2212" s="5" t="s">
        <v>9</v>
      </c>
      <c r="E2212" s="6">
        <v>669</v>
      </c>
      <c r="F2212" s="5" t="str">
        <f>HYPERLINK("https://www.google.com/maps/search/?api=1&amp;query=24.70104458,46.78713846", "View Map")</f>
        <v>View Map</v>
      </c>
    </row>
    <row r="2213" spans="1:6" x14ac:dyDescent="0.35">
      <c r="A2213" s="4" t="s">
        <v>7397</v>
      </c>
      <c r="B2213" s="5" t="s">
        <v>5410</v>
      </c>
      <c r="C2213" s="5" t="s">
        <v>1776</v>
      </c>
      <c r="D2213" s="5" t="s">
        <v>9</v>
      </c>
      <c r="E2213" s="6">
        <v>669</v>
      </c>
      <c r="F2213" s="5" t="str">
        <f>HYPERLINK("https://www.google.com/maps/search/?api=1&amp;query=24.56301245,46.84785748", "View Map")</f>
        <v>View Map</v>
      </c>
    </row>
    <row r="2214" spans="1:6" x14ac:dyDescent="0.35">
      <c r="A2214" s="4" t="s">
        <v>7398</v>
      </c>
      <c r="B2214" s="5" t="s">
        <v>5412</v>
      </c>
      <c r="C2214" s="5" t="s">
        <v>1776</v>
      </c>
      <c r="D2214" s="5" t="s">
        <v>9</v>
      </c>
      <c r="E2214" s="6">
        <v>669</v>
      </c>
      <c r="F2214" s="5" t="str">
        <f>HYPERLINK("https://www.google.com/maps/search/?api=1&amp;query=24.74877729,46.6816209", "View Map")</f>
        <v>View Map</v>
      </c>
    </row>
    <row r="2215" spans="1:6" x14ac:dyDescent="0.35">
      <c r="A2215" s="4" t="s">
        <v>5978</v>
      </c>
      <c r="B2215" s="5" t="s">
        <v>5413</v>
      </c>
      <c r="C2215" s="5" t="s">
        <v>1776</v>
      </c>
      <c r="D2215" s="5" t="s">
        <v>9</v>
      </c>
      <c r="E2215" s="6">
        <v>669</v>
      </c>
      <c r="F2215" s="5" t="str">
        <f>HYPERLINK("https://www.google.com/maps/search/?api=1&amp;query=24.78380468,46.78335339", "View Map")</f>
        <v>View Map</v>
      </c>
    </row>
    <row r="2216" spans="1:6" x14ac:dyDescent="0.35">
      <c r="A2216" s="4" t="s">
        <v>7399</v>
      </c>
      <c r="B2216" s="5" t="s">
        <v>5415</v>
      </c>
      <c r="C2216" s="5" t="s">
        <v>1776</v>
      </c>
      <c r="D2216" s="5" t="s">
        <v>9</v>
      </c>
      <c r="E2216" s="6">
        <v>668</v>
      </c>
      <c r="F2216" s="5" t="str">
        <f>HYPERLINK("https://www.google.com/maps/search/?api=1&amp;query=24.80503329,46.71316172", "View Map")</f>
        <v>View Map</v>
      </c>
    </row>
    <row r="2217" spans="1:6" x14ac:dyDescent="0.35">
      <c r="A2217" s="4" t="s">
        <v>7400</v>
      </c>
      <c r="B2217" s="5" t="s">
        <v>5417</v>
      </c>
      <c r="C2217" s="5" t="s">
        <v>1776</v>
      </c>
      <c r="D2217" s="5" t="s">
        <v>9</v>
      </c>
      <c r="E2217" s="6">
        <v>668</v>
      </c>
      <c r="F2217" s="5" t="str">
        <f>HYPERLINK("https://www.google.com/maps/search/?api=1&amp;query=24.59116346,46.65047966", "View Map")</f>
        <v>View Map</v>
      </c>
    </row>
    <row r="2218" spans="1:6" x14ac:dyDescent="0.35">
      <c r="A2218" s="4" t="s">
        <v>7401</v>
      </c>
      <c r="B2218" s="5" t="s">
        <v>5419</v>
      </c>
      <c r="C2218" s="5" t="s">
        <v>1776</v>
      </c>
      <c r="D2218" s="5" t="s">
        <v>9</v>
      </c>
      <c r="E2218" s="6">
        <v>668</v>
      </c>
      <c r="F2218" s="5" t="str">
        <f>HYPERLINK("https://www.google.com/maps/search/?api=1&amp;query=24.64700197,46.72518615", "View Map")</f>
        <v>View Map</v>
      </c>
    </row>
    <row r="2219" spans="1:6" x14ac:dyDescent="0.35">
      <c r="A2219" s="4" t="s">
        <v>7402</v>
      </c>
      <c r="B2219" s="5" t="s">
        <v>5421</v>
      </c>
      <c r="C2219" s="5" t="s">
        <v>1776</v>
      </c>
      <c r="D2219" s="5" t="s">
        <v>9</v>
      </c>
      <c r="E2219" s="6">
        <v>668</v>
      </c>
      <c r="F2219" s="5" t="str">
        <f>HYPERLINK("https://www.google.com/maps/search/?api=1&amp;query=24.78675189,46.81888122", "View Map")</f>
        <v>View Map</v>
      </c>
    </row>
    <row r="2220" spans="1:6" x14ac:dyDescent="0.35">
      <c r="A2220" s="4" t="s">
        <v>6039</v>
      </c>
      <c r="B2220" s="5" t="s">
        <v>5422</v>
      </c>
      <c r="C2220" s="5" t="s">
        <v>1776</v>
      </c>
      <c r="D2220" s="5" t="s">
        <v>9</v>
      </c>
      <c r="E2220" s="6">
        <v>667</v>
      </c>
      <c r="F2220" s="5" t="str">
        <f>HYPERLINK("https://www.google.com/maps/search/?api=1&amp;query=24.55117844,46.50158735", "View Map")</f>
        <v>View Map</v>
      </c>
    </row>
    <row r="2221" spans="1:6" x14ac:dyDescent="0.35">
      <c r="A2221" s="4" t="s">
        <v>7403</v>
      </c>
      <c r="B2221" s="5" t="s">
        <v>5424</v>
      </c>
      <c r="C2221" s="5" t="s">
        <v>1776</v>
      </c>
      <c r="D2221" s="5" t="s">
        <v>9</v>
      </c>
      <c r="E2221" s="6">
        <v>667</v>
      </c>
      <c r="F2221" s="5" t="str">
        <f>HYPERLINK("https://www.google.com/maps/search/?api=1&amp;query=24.6148259,46.74424522", "View Map")</f>
        <v>View Map</v>
      </c>
    </row>
    <row r="2222" spans="1:6" x14ac:dyDescent="0.35">
      <c r="A2222" s="4" t="s">
        <v>7404</v>
      </c>
      <c r="B2222" s="5" t="s">
        <v>5426</v>
      </c>
      <c r="C2222" s="5" t="s">
        <v>1776</v>
      </c>
      <c r="D2222" s="5" t="s">
        <v>9</v>
      </c>
      <c r="E2222" s="6">
        <v>667</v>
      </c>
      <c r="F2222" s="5" t="str">
        <f>HYPERLINK("https://www.google.com/maps/search/?api=1&amp;query=24.58720564,46.78842017", "View Map")</f>
        <v>View Map</v>
      </c>
    </row>
    <row r="2223" spans="1:6" x14ac:dyDescent="0.35">
      <c r="A2223" s="4" t="s">
        <v>7405</v>
      </c>
      <c r="B2223" s="5" t="s">
        <v>5428</v>
      </c>
      <c r="C2223" s="5" t="s">
        <v>1776</v>
      </c>
      <c r="D2223" s="5" t="s">
        <v>318</v>
      </c>
      <c r="E2223" s="6">
        <v>666</v>
      </c>
      <c r="F2223" s="5" t="str">
        <f>HYPERLINK("https://www.google.com/maps/search/?api=1&amp;query=24.58233104,46.58818715", "View Map")</f>
        <v>View Map</v>
      </c>
    </row>
    <row r="2224" spans="1:6" x14ac:dyDescent="0.35">
      <c r="A2224" s="4" t="s">
        <v>7406</v>
      </c>
      <c r="B2224" s="5" t="s">
        <v>5430</v>
      </c>
      <c r="C2224" s="5" t="s">
        <v>1776</v>
      </c>
      <c r="D2224" s="5" t="s">
        <v>9</v>
      </c>
      <c r="E2224" s="6">
        <v>666</v>
      </c>
      <c r="F2224" s="5" t="str">
        <f>HYPERLINK("https://www.google.com/maps/search/?api=1&amp;query=24.53897522,46.70465756", "View Map")</f>
        <v>View Map</v>
      </c>
    </row>
    <row r="2225" spans="1:6" x14ac:dyDescent="0.35">
      <c r="A2225" s="4" t="s">
        <v>7407</v>
      </c>
      <c r="B2225" s="5" t="s">
        <v>5432</v>
      </c>
      <c r="C2225" s="5" t="s">
        <v>1776</v>
      </c>
      <c r="D2225" s="5" t="s">
        <v>9</v>
      </c>
      <c r="E2225" s="6">
        <v>666</v>
      </c>
      <c r="F2225" s="5" t="str">
        <f>HYPERLINK("https://www.google.com/maps/search/?api=1&amp;query=24.76169465,46.70262289", "View Map")</f>
        <v>View Map</v>
      </c>
    </row>
    <row r="2226" spans="1:6" x14ac:dyDescent="0.35">
      <c r="A2226" s="4" t="s">
        <v>7408</v>
      </c>
      <c r="B2226" s="5" t="s">
        <v>5434</v>
      </c>
      <c r="C2226" s="5" t="s">
        <v>1776</v>
      </c>
      <c r="D2226" s="5" t="s">
        <v>9</v>
      </c>
      <c r="E2226" s="6">
        <v>665</v>
      </c>
      <c r="F2226" s="5" t="str">
        <f>HYPERLINK("https://www.google.com/maps/search/?api=1&amp;query=24.59052494,46.68066397", "View Map")</f>
        <v>View Map</v>
      </c>
    </row>
    <row r="2227" spans="1:6" x14ac:dyDescent="0.35">
      <c r="A2227" s="4" t="s">
        <v>6452</v>
      </c>
      <c r="B2227" s="5" t="s">
        <v>5435</v>
      </c>
      <c r="C2227" s="5" t="s">
        <v>1776</v>
      </c>
      <c r="D2227" s="5" t="s">
        <v>9</v>
      </c>
      <c r="E2227" s="6">
        <v>665</v>
      </c>
      <c r="F2227" s="5" t="str">
        <f>HYPERLINK("https://www.google.com/maps/search/?api=1&amp;query=24.73861982,46.75275256", "View Map")</f>
        <v>View Map</v>
      </c>
    </row>
    <row r="2228" spans="1:6" x14ac:dyDescent="0.35">
      <c r="A2228" s="4" t="s">
        <v>6112</v>
      </c>
      <c r="B2228" s="5" t="s">
        <v>5436</v>
      </c>
      <c r="C2228" s="5" t="s">
        <v>1776</v>
      </c>
      <c r="D2228" s="5" t="s">
        <v>9</v>
      </c>
      <c r="E2228" s="6">
        <v>665</v>
      </c>
      <c r="F2228" s="5" t="str">
        <f>HYPERLINK("https://www.google.com/maps/search/?api=1&amp;query=24.7899744,46.6973213", "View Map")</f>
        <v>View Map</v>
      </c>
    </row>
    <row r="2229" spans="1:6" x14ac:dyDescent="0.35">
      <c r="A2229" s="4" t="s">
        <v>7409</v>
      </c>
      <c r="B2229" s="5" t="s">
        <v>5438</v>
      </c>
      <c r="C2229" s="5" t="s">
        <v>1776</v>
      </c>
      <c r="D2229" s="5" t="s">
        <v>9</v>
      </c>
      <c r="E2229" s="6">
        <v>665</v>
      </c>
      <c r="F2229" s="5" t="str">
        <f>HYPERLINK("https://www.google.com/maps/search/?api=1&amp;query=24.55422808,46.69945164", "View Map")</f>
        <v>View Map</v>
      </c>
    </row>
    <row r="2230" spans="1:6" x14ac:dyDescent="0.35">
      <c r="A2230" s="4" t="s">
        <v>5974</v>
      </c>
      <c r="B2230" s="5" t="s">
        <v>5439</v>
      </c>
      <c r="C2230" s="5" t="s">
        <v>1776</v>
      </c>
      <c r="D2230" s="5" t="s">
        <v>9</v>
      </c>
      <c r="E2230" s="6">
        <v>665</v>
      </c>
      <c r="F2230" s="5" t="str">
        <f>HYPERLINK("https://www.google.com/maps/search/?api=1&amp;query=24.80816634,46.81859988", "View Map")</f>
        <v>View Map</v>
      </c>
    </row>
    <row r="2231" spans="1:6" x14ac:dyDescent="0.35">
      <c r="A2231" s="4" t="s">
        <v>7410</v>
      </c>
      <c r="B2231" s="5" t="s">
        <v>5441</v>
      </c>
      <c r="C2231" s="5" t="s">
        <v>1776</v>
      </c>
      <c r="D2231" s="5" t="s">
        <v>9</v>
      </c>
      <c r="E2231" s="6">
        <v>664</v>
      </c>
      <c r="F2231" s="5" t="str">
        <f>HYPERLINK("https://www.google.com/maps/search/?api=1&amp;query=24.53706524,46.70849342", "View Map")</f>
        <v>View Map</v>
      </c>
    </row>
    <row r="2232" spans="1:6" x14ac:dyDescent="0.35">
      <c r="A2232" s="4" t="s">
        <v>5974</v>
      </c>
      <c r="B2232" s="5" t="s">
        <v>5442</v>
      </c>
      <c r="C2232" s="5" t="s">
        <v>1776</v>
      </c>
      <c r="D2232" s="5" t="s">
        <v>9</v>
      </c>
      <c r="E2232" s="6">
        <v>664</v>
      </c>
      <c r="F2232" s="5" t="str">
        <f>HYPERLINK("https://www.google.com/maps/search/?api=1&amp;query=24.76863869,46.6986284", "View Map")</f>
        <v>View Map</v>
      </c>
    </row>
    <row r="2233" spans="1:6" x14ac:dyDescent="0.35">
      <c r="A2233" s="4" t="s">
        <v>7411</v>
      </c>
      <c r="B2233" s="5" t="s">
        <v>5444</v>
      </c>
      <c r="C2233" s="5" t="s">
        <v>1776</v>
      </c>
      <c r="D2233" s="5" t="s">
        <v>9</v>
      </c>
      <c r="E2233" s="6">
        <v>664</v>
      </c>
      <c r="F2233" s="5" t="str">
        <f>HYPERLINK("https://www.google.com/maps/search/?api=1&amp;query=24.61280683,46.66140039", "View Map")</f>
        <v>View Map</v>
      </c>
    </row>
    <row r="2234" spans="1:6" x14ac:dyDescent="0.35">
      <c r="A2234" s="4" t="s">
        <v>7412</v>
      </c>
      <c r="B2234" s="5" t="s">
        <v>5446</v>
      </c>
      <c r="C2234" s="5" t="s">
        <v>1776</v>
      </c>
      <c r="D2234" s="5" t="s">
        <v>9</v>
      </c>
      <c r="E2234" s="6">
        <v>664</v>
      </c>
      <c r="F2234" s="5" t="str">
        <f>HYPERLINK("https://www.google.com/maps/search/?api=1&amp;query=24.80239133,46.7870053", "View Map")</f>
        <v>View Map</v>
      </c>
    </row>
    <row r="2235" spans="1:6" x14ac:dyDescent="0.35">
      <c r="A2235" s="4" t="s">
        <v>7413</v>
      </c>
      <c r="B2235" s="5" t="s">
        <v>5448</v>
      </c>
      <c r="C2235" s="5" t="s">
        <v>1776</v>
      </c>
      <c r="D2235" s="5" t="s">
        <v>9</v>
      </c>
      <c r="E2235" s="6">
        <v>664</v>
      </c>
      <c r="F2235" s="5" t="str">
        <f>HYPERLINK("https://www.google.com/maps/search/?api=1&amp;query=24.6008962,46.58917031", "View Map")</f>
        <v>View Map</v>
      </c>
    </row>
    <row r="2236" spans="1:6" x14ac:dyDescent="0.35">
      <c r="A2236" s="4" t="s">
        <v>7414</v>
      </c>
      <c r="B2236" s="5" t="s">
        <v>5450</v>
      </c>
      <c r="C2236" s="5" t="s">
        <v>1776</v>
      </c>
      <c r="D2236" s="5" t="s">
        <v>9</v>
      </c>
      <c r="E2236" s="6">
        <v>663</v>
      </c>
      <c r="F2236" s="5" t="str">
        <f>HYPERLINK("https://www.google.com/maps/search/?api=1&amp;query=24.60629086,46.74003516", "View Map")</f>
        <v>View Map</v>
      </c>
    </row>
    <row r="2237" spans="1:6" x14ac:dyDescent="0.35">
      <c r="A2237" s="4" t="s">
        <v>7415</v>
      </c>
      <c r="B2237" s="5" t="s">
        <v>5452</v>
      </c>
      <c r="C2237" s="5" t="s">
        <v>1776</v>
      </c>
      <c r="D2237" s="5" t="s">
        <v>9</v>
      </c>
      <c r="E2237" s="6">
        <v>663</v>
      </c>
      <c r="F2237" s="5" t="str">
        <f>HYPERLINK("https://www.google.com/maps/search/?api=1&amp;query=24.75861569,46.68282007", "View Map")</f>
        <v>View Map</v>
      </c>
    </row>
    <row r="2238" spans="1:6" x14ac:dyDescent="0.35">
      <c r="A2238" s="4" t="s">
        <v>7416</v>
      </c>
      <c r="B2238" s="5" t="s">
        <v>5454</v>
      </c>
      <c r="C2238" s="5" t="s">
        <v>1776</v>
      </c>
      <c r="D2238" s="5" t="s">
        <v>9</v>
      </c>
      <c r="E2238" s="6">
        <v>663</v>
      </c>
      <c r="F2238" s="5" t="str">
        <f>HYPERLINK("https://www.google.com/maps/search/?api=1&amp;query=24.7583,46.7833", "View Map")</f>
        <v>View Map</v>
      </c>
    </row>
    <row r="2239" spans="1:6" x14ac:dyDescent="0.35">
      <c r="A2239" s="4" t="s">
        <v>7417</v>
      </c>
      <c r="B2239" s="5" t="s">
        <v>5456</v>
      </c>
      <c r="C2239" s="5" t="s">
        <v>1776</v>
      </c>
      <c r="D2239" s="5" t="s">
        <v>9</v>
      </c>
      <c r="E2239" s="6">
        <v>662</v>
      </c>
      <c r="F2239" s="5" t="str">
        <f>HYPERLINK("https://www.google.com/maps/search/?api=1&amp;query=24.70231294,46.75759735", "View Map")</f>
        <v>View Map</v>
      </c>
    </row>
    <row r="2240" spans="1:6" x14ac:dyDescent="0.35">
      <c r="A2240" s="4" t="s">
        <v>7418</v>
      </c>
      <c r="B2240" s="5" t="s">
        <v>5458</v>
      </c>
      <c r="C2240" s="5" t="s">
        <v>1776</v>
      </c>
      <c r="D2240" s="5" t="s">
        <v>9</v>
      </c>
      <c r="E2240" s="6">
        <v>662</v>
      </c>
      <c r="F2240" s="5" t="str">
        <f>HYPERLINK("https://www.google.com/maps/search/?api=1&amp;query=24.61951786,46.7029792", "View Map")</f>
        <v>View Map</v>
      </c>
    </row>
    <row r="2241" spans="1:6" x14ac:dyDescent="0.35">
      <c r="A2241" s="4" t="s">
        <v>7419</v>
      </c>
      <c r="B2241" s="5" t="s">
        <v>5460</v>
      </c>
      <c r="C2241" s="5" t="s">
        <v>1776</v>
      </c>
      <c r="D2241" s="5" t="s">
        <v>9</v>
      </c>
      <c r="E2241" s="6">
        <v>662</v>
      </c>
      <c r="F2241" s="5" t="str">
        <f>HYPERLINK("https://www.google.com/maps/search/?api=1&amp;query=24.56762563,46.63359201", "View Map")</f>
        <v>View Map</v>
      </c>
    </row>
    <row r="2242" spans="1:6" x14ac:dyDescent="0.35">
      <c r="A2242" s="4" t="s">
        <v>7420</v>
      </c>
      <c r="B2242" s="5" t="s">
        <v>5462</v>
      </c>
      <c r="C2242" s="5" t="s">
        <v>1776</v>
      </c>
      <c r="D2242" s="5" t="s">
        <v>9</v>
      </c>
      <c r="E2242" s="6">
        <v>661</v>
      </c>
      <c r="F2242" s="5" t="str">
        <f>HYPERLINK("https://www.google.com/maps/search/?api=1&amp;query=24.59904216,46.69045667", "View Map")</f>
        <v>View Map</v>
      </c>
    </row>
    <row r="2243" spans="1:6" x14ac:dyDescent="0.35">
      <c r="A2243" s="4" t="s">
        <v>7421</v>
      </c>
      <c r="B2243" s="5" t="s">
        <v>5464</v>
      </c>
      <c r="C2243" s="5" t="s">
        <v>1776</v>
      </c>
      <c r="D2243" s="5" t="s">
        <v>9</v>
      </c>
      <c r="E2243" s="6">
        <v>661</v>
      </c>
      <c r="F2243" s="5" t="str">
        <f>HYPERLINK("https://www.google.com/maps/search/?api=1&amp;query=24.69901721,46.70317307", "View Map")</f>
        <v>View Map</v>
      </c>
    </row>
    <row r="2244" spans="1:6" x14ac:dyDescent="0.35">
      <c r="A2244" s="4" t="s">
        <v>7422</v>
      </c>
      <c r="B2244" s="5" t="s">
        <v>5466</v>
      </c>
      <c r="C2244" s="5" t="s">
        <v>1776</v>
      </c>
      <c r="D2244" s="5" t="s">
        <v>9</v>
      </c>
      <c r="E2244" s="6">
        <v>661</v>
      </c>
      <c r="F2244" s="5" t="str">
        <f>HYPERLINK("https://www.google.com/maps/search/?api=1&amp;query=24.58172479,46.57986006", "View Map")</f>
        <v>View Map</v>
      </c>
    </row>
    <row r="2245" spans="1:6" x14ac:dyDescent="0.35">
      <c r="A2245" s="4" t="s">
        <v>6134</v>
      </c>
      <c r="B2245" s="5" t="s">
        <v>5467</v>
      </c>
      <c r="C2245" s="5" t="s">
        <v>1776</v>
      </c>
      <c r="D2245" s="5" t="s">
        <v>9</v>
      </c>
      <c r="E2245" s="6">
        <v>661</v>
      </c>
      <c r="F2245" s="5" t="str">
        <f>HYPERLINK("https://www.google.com/maps/search/?api=1&amp;query=24.62373953,46.54477428", "View Map")</f>
        <v>View Map</v>
      </c>
    </row>
    <row r="2246" spans="1:6" x14ac:dyDescent="0.35">
      <c r="A2246" s="4" t="s">
        <v>6415</v>
      </c>
      <c r="B2246" s="5" t="s">
        <v>5468</v>
      </c>
      <c r="C2246" s="5" t="s">
        <v>1776</v>
      </c>
      <c r="D2246" s="5" t="s">
        <v>9</v>
      </c>
      <c r="E2246" s="6">
        <v>661</v>
      </c>
      <c r="F2246" s="5" t="str">
        <f>HYPERLINK("https://www.google.com/maps/search/?api=1&amp;query=24.5622063,46.54122953", "View Map")</f>
        <v>View Map</v>
      </c>
    </row>
    <row r="2247" spans="1:6" x14ac:dyDescent="0.35">
      <c r="A2247" s="4" t="s">
        <v>7423</v>
      </c>
      <c r="B2247" s="5" t="s">
        <v>5470</v>
      </c>
      <c r="C2247" s="5" t="s">
        <v>1843</v>
      </c>
      <c r="D2247" s="5" t="s">
        <v>9</v>
      </c>
      <c r="E2247" s="6">
        <v>660</v>
      </c>
      <c r="F2247" s="5" t="str">
        <f>HYPERLINK("https://www.google.com/maps/search/?api=1&amp;query=24.7698187,46.57941972", "View Map")</f>
        <v>View Map</v>
      </c>
    </row>
    <row r="2248" spans="1:6" x14ac:dyDescent="0.35">
      <c r="A2248" s="4" t="s">
        <v>7424</v>
      </c>
      <c r="B2248" s="5" t="s">
        <v>5472</v>
      </c>
      <c r="C2248" s="5" t="s">
        <v>1776</v>
      </c>
      <c r="D2248" s="5" t="s">
        <v>9</v>
      </c>
      <c r="E2248" s="6">
        <v>660</v>
      </c>
      <c r="F2248" s="5" t="str">
        <f>HYPERLINK("https://www.google.com/maps/search/?api=1&amp;query=24.60165855,46.61706019", "View Map")</f>
        <v>View Map</v>
      </c>
    </row>
    <row r="2249" spans="1:6" x14ac:dyDescent="0.35">
      <c r="A2249" s="4" t="s">
        <v>6486</v>
      </c>
      <c r="B2249" s="5" t="s">
        <v>5473</v>
      </c>
      <c r="C2249" s="5" t="s">
        <v>1776</v>
      </c>
      <c r="D2249" s="5" t="s">
        <v>9</v>
      </c>
      <c r="E2249" s="6">
        <v>660</v>
      </c>
      <c r="F2249" s="5" t="str">
        <f>HYPERLINK("https://www.google.com/maps/search/?api=1&amp;query=24.71266107,46.84090257", "View Map")</f>
        <v>View Map</v>
      </c>
    </row>
    <row r="2250" spans="1:6" x14ac:dyDescent="0.35">
      <c r="A2250" s="4" t="s">
        <v>7425</v>
      </c>
      <c r="B2250" s="5" t="s">
        <v>5475</v>
      </c>
      <c r="C2250" s="5" t="s">
        <v>1776</v>
      </c>
      <c r="D2250" s="5" t="s">
        <v>9</v>
      </c>
      <c r="E2250" s="6">
        <v>659</v>
      </c>
      <c r="F2250" s="5" t="str">
        <f>HYPERLINK("https://www.google.com/maps/search/?api=1&amp;query=24.65588646,46.75547512", "View Map")</f>
        <v>View Map</v>
      </c>
    </row>
    <row r="2251" spans="1:6" x14ac:dyDescent="0.35">
      <c r="A2251" s="4" t="s">
        <v>5978</v>
      </c>
      <c r="B2251" s="5" t="s">
        <v>5476</v>
      </c>
      <c r="C2251" s="5" t="s">
        <v>1776</v>
      </c>
      <c r="D2251" s="5" t="s">
        <v>9</v>
      </c>
      <c r="E2251" s="6">
        <v>658</v>
      </c>
      <c r="F2251" s="5" t="str">
        <f>HYPERLINK("https://www.google.com/maps/search/?api=1&amp;query=24.77403814,46.82981711", "View Map")</f>
        <v>View Map</v>
      </c>
    </row>
    <row r="2252" spans="1:6" x14ac:dyDescent="0.35">
      <c r="A2252" s="4" t="s">
        <v>7426</v>
      </c>
      <c r="B2252" s="5" t="s">
        <v>5478</v>
      </c>
      <c r="C2252" s="5" t="s">
        <v>1776</v>
      </c>
      <c r="D2252" s="5" t="s">
        <v>9</v>
      </c>
      <c r="E2252" s="6">
        <v>657</v>
      </c>
      <c r="F2252" s="5" t="str">
        <f>HYPERLINK("https://www.google.com/maps/search/?api=1&amp;query=24.75784392,46.81718414", "View Map")</f>
        <v>View Map</v>
      </c>
    </row>
    <row r="2253" spans="1:6" x14ac:dyDescent="0.35">
      <c r="A2253" s="4" t="s">
        <v>6272</v>
      </c>
      <c r="B2253" s="5" t="s">
        <v>5479</v>
      </c>
      <c r="C2253" s="5" t="s">
        <v>1776</v>
      </c>
      <c r="D2253" s="5" t="s">
        <v>9</v>
      </c>
      <c r="E2253" s="6">
        <v>657</v>
      </c>
      <c r="F2253" s="5" t="str">
        <f>HYPERLINK("https://www.google.com/maps/search/?api=1&amp;query=24.6949262,46.80986961", "View Map")</f>
        <v>View Map</v>
      </c>
    </row>
    <row r="2254" spans="1:6" x14ac:dyDescent="0.35">
      <c r="A2254" s="4" t="s">
        <v>7427</v>
      </c>
      <c r="B2254" s="5" t="s">
        <v>5481</v>
      </c>
      <c r="C2254" s="5" t="s">
        <v>1776</v>
      </c>
      <c r="D2254" s="5" t="s">
        <v>9</v>
      </c>
      <c r="E2254" s="6">
        <v>657</v>
      </c>
      <c r="F2254" s="5" t="str">
        <f>HYPERLINK("https://www.google.com/maps/search/?api=1&amp;query=24.56457099,46.69482586", "View Map")</f>
        <v>View Map</v>
      </c>
    </row>
    <row r="2255" spans="1:6" x14ac:dyDescent="0.35">
      <c r="A2255" s="4" t="s">
        <v>5987</v>
      </c>
      <c r="B2255" s="5" t="s">
        <v>5482</v>
      </c>
      <c r="C2255" s="5" t="s">
        <v>1776</v>
      </c>
      <c r="D2255" s="5" t="s">
        <v>9</v>
      </c>
      <c r="E2255" s="6">
        <v>657</v>
      </c>
      <c r="F2255" s="5" t="str">
        <f>HYPERLINK("https://www.google.com/maps/search/?api=1&amp;query=24.58057329,46.55179855", "View Map")</f>
        <v>View Map</v>
      </c>
    </row>
    <row r="2256" spans="1:6" x14ac:dyDescent="0.35">
      <c r="A2256" s="4" t="s">
        <v>5974</v>
      </c>
      <c r="B2256" s="5" t="s">
        <v>5483</v>
      </c>
      <c r="C2256" s="5" t="s">
        <v>1776</v>
      </c>
      <c r="D2256" s="5" t="s">
        <v>9</v>
      </c>
      <c r="E2256" s="6">
        <v>657</v>
      </c>
      <c r="F2256" s="5" t="str">
        <f>HYPERLINK("https://www.google.com/maps/search/?api=1&amp;query=24.7973959,46.70690553", "View Map")</f>
        <v>View Map</v>
      </c>
    </row>
    <row r="2257" spans="1:6" x14ac:dyDescent="0.35">
      <c r="A2257" s="4" t="s">
        <v>5978</v>
      </c>
      <c r="B2257" s="5" t="s">
        <v>5484</v>
      </c>
      <c r="C2257" s="5" t="s">
        <v>1776</v>
      </c>
      <c r="D2257" s="5" t="s">
        <v>9</v>
      </c>
      <c r="E2257" s="6">
        <v>657</v>
      </c>
      <c r="F2257" s="5" t="str">
        <f>HYPERLINK("https://www.google.com/maps/search/?api=1&amp;query=24.77248273,46.78830519", "View Map")</f>
        <v>View Map</v>
      </c>
    </row>
    <row r="2258" spans="1:6" x14ac:dyDescent="0.35">
      <c r="A2258" s="4" t="s">
        <v>6039</v>
      </c>
      <c r="B2258" s="5" t="s">
        <v>5485</v>
      </c>
      <c r="C2258" s="5" t="s">
        <v>1776</v>
      </c>
      <c r="D2258" s="5" t="s">
        <v>9</v>
      </c>
      <c r="E2258" s="6">
        <v>657</v>
      </c>
      <c r="F2258" s="5" t="str">
        <f>HYPERLINK("https://www.google.com/maps/search/?api=1&amp;query=24.55670088,46.50394416", "View Map")</f>
        <v>View Map</v>
      </c>
    </row>
    <row r="2259" spans="1:6" x14ac:dyDescent="0.35">
      <c r="A2259" s="4" t="s">
        <v>7428</v>
      </c>
      <c r="B2259" s="5" t="s">
        <v>5487</v>
      </c>
      <c r="C2259" s="5" t="s">
        <v>1776</v>
      </c>
      <c r="D2259" s="5" t="s">
        <v>9</v>
      </c>
      <c r="E2259" s="6">
        <v>657</v>
      </c>
      <c r="F2259" s="5" t="str">
        <f>HYPERLINK("https://www.google.com/maps/search/?api=1&amp;query=24.53604199,46.6909334", "View Map")</f>
        <v>View Map</v>
      </c>
    </row>
    <row r="2260" spans="1:6" x14ac:dyDescent="0.35">
      <c r="A2260" s="4" t="s">
        <v>7429</v>
      </c>
      <c r="B2260" s="5" t="s">
        <v>5489</v>
      </c>
      <c r="C2260" s="5" t="s">
        <v>1776</v>
      </c>
      <c r="D2260" s="5" t="s">
        <v>9</v>
      </c>
      <c r="E2260" s="6">
        <v>656</v>
      </c>
      <c r="F2260" s="5" t="str">
        <f>HYPERLINK("https://www.google.com/maps/search/?api=1&amp;query=24.83618198,46.64054127", "View Map")</f>
        <v>View Map</v>
      </c>
    </row>
    <row r="2261" spans="1:6" x14ac:dyDescent="0.35">
      <c r="A2261" s="4" t="s">
        <v>7430</v>
      </c>
      <c r="B2261" s="5" t="s">
        <v>5491</v>
      </c>
      <c r="C2261" s="5" t="s">
        <v>1776</v>
      </c>
      <c r="D2261" s="5" t="s">
        <v>9</v>
      </c>
      <c r="E2261" s="6">
        <v>656</v>
      </c>
      <c r="F2261" s="5" t="str">
        <f>HYPERLINK("https://www.google.com/maps/search/?api=1&amp;query=24.70343706,46.84071593", "View Map")</f>
        <v>View Map</v>
      </c>
    </row>
    <row r="2262" spans="1:6" x14ac:dyDescent="0.35">
      <c r="A2262" s="4" t="s">
        <v>7431</v>
      </c>
      <c r="B2262" s="5" t="s">
        <v>5493</v>
      </c>
      <c r="C2262" s="5" t="s">
        <v>1776</v>
      </c>
      <c r="D2262" s="5" t="s">
        <v>9</v>
      </c>
      <c r="E2262" s="6">
        <v>655</v>
      </c>
      <c r="F2262" s="5" t="str">
        <f>HYPERLINK("https://www.google.com/maps/search/?api=1&amp;query=24.53908772,46.70975259", "View Map")</f>
        <v>View Map</v>
      </c>
    </row>
    <row r="2263" spans="1:6" x14ac:dyDescent="0.35">
      <c r="A2263" s="4" t="s">
        <v>5974</v>
      </c>
      <c r="B2263" s="5" t="s">
        <v>5494</v>
      </c>
      <c r="C2263" s="5" t="s">
        <v>1776</v>
      </c>
      <c r="D2263" s="5" t="s">
        <v>9</v>
      </c>
      <c r="E2263" s="6">
        <v>655</v>
      </c>
      <c r="F2263" s="5" t="str">
        <f>HYPERLINK("https://www.google.com/maps/search/?api=1&amp;query=24.92525789,46.82341566", "View Map")</f>
        <v>View Map</v>
      </c>
    </row>
    <row r="2264" spans="1:6" x14ac:dyDescent="0.35">
      <c r="A2264" s="4" t="s">
        <v>7432</v>
      </c>
      <c r="B2264" s="5" t="s">
        <v>5496</v>
      </c>
      <c r="C2264" s="5" t="s">
        <v>1776</v>
      </c>
      <c r="D2264" s="5" t="s">
        <v>9</v>
      </c>
      <c r="E2264" s="6">
        <v>655</v>
      </c>
      <c r="F2264" s="5" t="str">
        <f>HYPERLINK("https://www.google.com/maps/search/?api=1&amp;query=24.56736661,46.70338406", "View Map")</f>
        <v>View Map</v>
      </c>
    </row>
    <row r="2265" spans="1:6" x14ac:dyDescent="0.35">
      <c r="A2265" s="4" t="s">
        <v>7433</v>
      </c>
      <c r="B2265" s="5" t="s">
        <v>5498</v>
      </c>
      <c r="C2265" s="5" t="s">
        <v>1776</v>
      </c>
      <c r="D2265" s="5" t="s">
        <v>9</v>
      </c>
      <c r="E2265" s="6">
        <v>654</v>
      </c>
      <c r="F2265" s="5" t="str">
        <f>HYPERLINK("https://www.google.com/maps/search/?api=1&amp;query=24.59827896,46.80672086", "View Map")</f>
        <v>View Map</v>
      </c>
    </row>
    <row r="2266" spans="1:6" x14ac:dyDescent="0.35">
      <c r="A2266" s="4" t="s">
        <v>6039</v>
      </c>
      <c r="B2266" s="5" t="s">
        <v>5499</v>
      </c>
      <c r="C2266" s="5" t="s">
        <v>1776</v>
      </c>
      <c r="D2266" s="5" t="s">
        <v>9</v>
      </c>
      <c r="E2266" s="6">
        <v>654</v>
      </c>
      <c r="F2266" s="5" t="str">
        <f>HYPERLINK("https://www.google.com/maps/search/?api=1&amp;query=24.55825237,46.53394679", "View Map")</f>
        <v>View Map</v>
      </c>
    </row>
    <row r="2267" spans="1:6" x14ac:dyDescent="0.35">
      <c r="A2267" s="4" t="s">
        <v>6796</v>
      </c>
      <c r="B2267" s="5" t="s">
        <v>5500</v>
      </c>
      <c r="C2267" s="5" t="s">
        <v>1776</v>
      </c>
      <c r="D2267" s="5" t="s">
        <v>9</v>
      </c>
      <c r="E2267" s="6">
        <v>654</v>
      </c>
      <c r="F2267" s="5" t="str">
        <f>HYPERLINK("https://www.google.com/maps/search/?api=1&amp;query=24.5670318,46.79597581", "View Map")</f>
        <v>View Map</v>
      </c>
    </row>
    <row r="2268" spans="1:6" x14ac:dyDescent="0.35">
      <c r="A2268" s="4" t="s">
        <v>7434</v>
      </c>
      <c r="B2268" s="5" t="s">
        <v>5502</v>
      </c>
      <c r="C2268" s="5" t="s">
        <v>1776</v>
      </c>
      <c r="D2268" s="5" t="s">
        <v>9</v>
      </c>
      <c r="E2268" s="6">
        <v>654</v>
      </c>
      <c r="F2268" s="5" t="str">
        <f>HYPERLINK("https://www.google.com/maps/search/?api=1&amp;query=24.59085342,46.69686152", "View Map")</f>
        <v>View Map</v>
      </c>
    </row>
    <row r="2269" spans="1:6" x14ac:dyDescent="0.35">
      <c r="A2269" s="4" t="s">
        <v>6497</v>
      </c>
      <c r="B2269" s="5" t="s">
        <v>5503</v>
      </c>
      <c r="C2269" s="5" t="s">
        <v>1776</v>
      </c>
      <c r="D2269" s="5" t="s">
        <v>9</v>
      </c>
      <c r="E2269" s="6">
        <v>654</v>
      </c>
      <c r="F2269" s="5" t="str">
        <f>HYPERLINK("https://www.google.com/maps/search/?api=1&amp;query=24.7343666,46.8383035", "View Map")</f>
        <v>View Map</v>
      </c>
    </row>
    <row r="2270" spans="1:6" x14ac:dyDescent="0.35">
      <c r="A2270" s="4" t="s">
        <v>7435</v>
      </c>
      <c r="B2270" s="5" t="s">
        <v>5505</v>
      </c>
      <c r="C2270" s="5" t="s">
        <v>1776</v>
      </c>
      <c r="D2270" s="5" t="s">
        <v>318</v>
      </c>
      <c r="E2270" s="6">
        <v>653</v>
      </c>
      <c r="F2270" s="5" t="str">
        <f>HYPERLINK("https://www.google.com/maps/search/?api=1&amp;query=24.83112837,46.6431487", "View Map")</f>
        <v>View Map</v>
      </c>
    </row>
    <row r="2271" spans="1:6" x14ac:dyDescent="0.35">
      <c r="A2271" s="4" t="s">
        <v>7436</v>
      </c>
      <c r="B2271" s="5" t="s">
        <v>5507</v>
      </c>
      <c r="C2271" s="5" t="s">
        <v>1776</v>
      </c>
      <c r="D2271" s="5" t="s">
        <v>9</v>
      </c>
      <c r="E2271" s="6">
        <v>653</v>
      </c>
      <c r="F2271" s="5" t="str">
        <f>HYPERLINK("https://www.google.com/maps/search/?api=1&amp;query=24.62839024,46.72038493", "View Map")</f>
        <v>View Map</v>
      </c>
    </row>
    <row r="2272" spans="1:6" x14ac:dyDescent="0.35">
      <c r="A2272" s="4" t="s">
        <v>7437</v>
      </c>
      <c r="B2272" s="5" t="s">
        <v>5509</v>
      </c>
      <c r="C2272" s="5" t="s">
        <v>1776</v>
      </c>
      <c r="D2272" s="5" t="s">
        <v>9</v>
      </c>
      <c r="E2272" s="6">
        <v>653</v>
      </c>
      <c r="F2272" s="5" t="str">
        <f>HYPERLINK("https://www.google.com/maps/search/?api=1&amp;query=24.52691935,46.70987795", "View Map")</f>
        <v>View Map</v>
      </c>
    </row>
    <row r="2273" spans="1:6" x14ac:dyDescent="0.35">
      <c r="A2273" s="4" t="s">
        <v>6134</v>
      </c>
      <c r="B2273" s="5" t="s">
        <v>5510</v>
      </c>
      <c r="C2273" s="5" t="s">
        <v>1776</v>
      </c>
      <c r="D2273" s="5" t="s">
        <v>9</v>
      </c>
      <c r="E2273" s="6">
        <v>653</v>
      </c>
      <c r="F2273" s="5" t="str">
        <f>HYPERLINK("https://www.google.com/maps/search/?api=1&amp;query=24.76186,46.71891", "View Map")</f>
        <v>View Map</v>
      </c>
    </row>
    <row r="2274" spans="1:6" x14ac:dyDescent="0.35">
      <c r="A2274" s="4" t="s">
        <v>7438</v>
      </c>
      <c r="B2274" s="5" t="s">
        <v>5512</v>
      </c>
      <c r="C2274" s="5" t="s">
        <v>1776</v>
      </c>
      <c r="D2274" s="5" t="s">
        <v>9</v>
      </c>
      <c r="E2274" s="6">
        <v>652</v>
      </c>
      <c r="F2274" s="5" t="str">
        <f>HYPERLINK("https://www.google.com/maps/search/?api=1&amp;query=24.52691321,46.68525378", "View Map")</f>
        <v>View Map</v>
      </c>
    </row>
    <row r="2275" spans="1:6" x14ac:dyDescent="0.35">
      <c r="A2275" s="4" t="s">
        <v>7439</v>
      </c>
      <c r="B2275" s="5" t="s">
        <v>5514</v>
      </c>
      <c r="C2275" s="5" t="s">
        <v>1776</v>
      </c>
      <c r="D2275" s="5" t="s">
        <v>9</v>
      </c>
      <c r="E2275" s="6">
        <v>652</v>
      </c>
      <c r="F2275" s="5" t="str">
        <f>HYPERLINK("https://www.google.com/maps/search/?api=1&amp;query=24.63877396,46.73021688", "View Map")</f>
        <v>View Map</v>
      </c>
    </row>
    <row r="2276" spans="1:6" x14ac:dyDescent="0.35">
      <c r="A2276" s="4" t="s">
        <v>5974</v>
      </c>
      <c r="B2276" s="5" t="s">
        <v>5515</v>
      </c>
      <c r="C2276" s="5" t="s">
        <v>1843</v>
      </c>
      <c r="D2276" s="5" t="s">
        <v>9</v>
      </c>
      <c r="E2276" s="6">
        <v>652</v>
      </c>
      <c r="F2276" s="5" t="str">
        <f>HYPERLINK("https://www.google.com/maps/search/?api=1&amp;query=24.78433,46.57876", "View Map")</f>
        <v>View Map</v>
      </c>
    </row>
    <row r="2277" spans="1:6" x14ac:dyDescent="0.35">
      <c r="A2277" s="4" t="s">
        <v>7440</v>
      </c>
      <c r="B2277" s="5" t="s">
        <v>5517</v>
      </c>
      <c r="C2277" s="5" t="s">
        <v>1776</v>
      </c>
      <c r="D2277" s="5" t="s">
        <v>9</v>
      </c>
      <c r="E2277" s="6">
        <v>651</v>
      </c>
      <c r="F2277" s="5" t="str">
        <f>HYPERLINK("https://www.google.com/maps/search/?api=1&amp;query=24.5672239,46.85127791", "View Map")</f>
        <v>View Map</v>
      </c>
    </row>
    <row r="2278" spans="1:6" x14ac:dyDescent="0.35">
      <c r="A2278" s="4" t="s">
        <v>7441</v>
      </c>
      <c r="B2278" s="5" t="s">
        <v>5519</v>
      </c>
      <c r="C2278" s="5" t="s">
        <v>1776</v>
      </c>
      <c r="D2278" s="5" t="s">
        <v>9</v>
      </c>
      <c r="E2278" s="6">
        <v>651</v>
      </c>
      <c r="F2278" s="5" t="str">
        <f>HYPERLINK("https://www.google.com/maps/search/?api=1&amp;query=24.60219016,46.6008155", "View Map")</f>
        <v>View Map</v>
      </c>
    </row>
    <row r="2279" spans="1:6" x14ac:dyDescent="0.35">
      <c r="A2279" s="4" t="s">
        <v>6497</v>
      </c>
      <c r="B2279" s="5" t="s">
        <v>5520</v>
      </c>
      <c r="C2279" s="5" t="s">
        <v>1776</v>
      </c>
      <c r="D2279" s="5" t="s">
        <v>9</v>
      </c>
      <c r="E2279" s="6">
        <v>651</v>
      </c>
      <c r="F2279" s="5" t="str">
        <f>HYPERLINK("https://www.google.com/maps/search/?api=1&amp;query=24.74300702,46.8390575", "View Map")</f>
        <v>View Map</v>
      </c>
    </row>
    <row r="2280" spans="1:6" x14ac:dyDescent="0.35">
      <c r="A2280" s="4" t="s">
        <v>7318</v>
      </c>
      <c r="B2280" s="5" t="s">
        <v>5521</v>
      </c>
      <c r="C2280" s="5" t="s">
        <v>1776</v>
      </c>
      <c r="D2280" s="5" t="s">
        <v>9</v>
      </c>
      <c r="E2280" s="6">
        <v>651</v>
      </c>
      <c r="F2280" s="5" t="str">
        <f>HYPERLINK("https://www.google.com/maps/search/?api=1&amp;query=24.614585,46.74055496", "View Map")</f>
        <v>View Map</v>
      </c>
    </row>
    <row r="2281" spans="1:6" x14ac:dyDescent="0.35">
      <c r="A2281" s="4" t="s">
        <v>6039</v>
      </c>
      <c r="B2281" s="5" t="s">
        <v>5522</v>
      </c>
      <c r="C2281" s="5" t="s">
        <v>1776</v>
      </c>
      <c r="D2281" s="5" t="s">
        <v>9</v>
      </c>
      <c r="E2281" s="6">
        <v>651</v>
      </c>
      <c r="F2281" s="5" t="str">
        <f>HYPERLINK("https://www.google.com/maps/search/?api=1&amp;query=24.54548054,46.51972044", "View Map")</f>
        <v>View Map</v>
      </c>
    </row>
    <row r="2282" spans="1:6" x14ac:dyDescent="0.35">
      <c r="A2282" s="4" t="s">
        <v>5978</v>
      </c>
      <c r="B2282" s="5" t="s">
        <v>5523</v>
      </c>
      <c r="C2282" s="5" t="s">
        <v>1776</v>
      </c>
      <c r="D2282" s="5" t="s">
        <v>9</v>
      </c>
      <c r="E2282" s="6">
        <v>650</v>
      </c>
      <c r="F2282" s="5" t="str">
        <f>HYPERLINK("https://www.google.com/maps/search/?api=1&amp;query=24.83415546,46.79568329", "View Map")</f>
        <v>View Map</v>
      </c>
    </row>
    <row r="2283" spans="1:6" x14ac:dyDescent="0.35">
      <c r="A2283" s="4" t="s">
        <v>5974</v>
      </c>
      <c r="B2283" s="5" t="s">
        <v>5524</v>
      </c>
      <c r="C2283" s="5" t="s">
        <v>1776</v>
      </c>
      <c r="D2283" s="5" t="s">
        <v>9</v>
      </c>
      <c r="E2283" s="6">
        <v>650</v>
      </c>
      <c r="F2283" s="5" t="str">
        <f>HYPERLINK("https://www.google.com/maps/search/?api=1&amp;query=24.68471957,46.57645429", "View Map")</f>
        <v>View Map</v>
      </c>
    </row>
    <row r="2284" spans="1:6" x14ac:dyDescent="0.35">
      <c r="A2284" s="4" t="s">
        <v>7442</v>
      </c>
      <c r="B2284" s="5" t="s">
        <v>5526</v>
      </c>
      <c r="C2284" s="5" t="s">
        <v>1776</v>
      </c>
      <c r="D2284" s="5" t="s">
        <v>9</v>
      </c>
      <c r="E2284" s="6">
        <v>650</v>
      </c>
      <c r="F2284" s="5" t="str">
        <f>HYPERLINK("https://www.google.com/maps/search/?api=1&amp;query=24.7587323,46.65901776", "View Map")</f>
        <v>View Map</v>
      </c>
    </row>
    <row r="2285" spans="1:6" x14ac:dyDescent="0.35">
      <c r="A2285" s="4" t="s">
        <v>7443</v>
      </c>
      <c r="B2285" s="5" t="s">
        <v>5528</v>
      </c>
      <c r="C2285" s="5" t="s">
        <v>1776</v>
      </c>
      <c r="D2285" s="5" t="s">
        <v>9</v>
      </c>
      <c r="E2285" s="6">
        <v>650</v>
      </c>
      <c r="F2285" s="5" t="str">
        <f>HYPERLINK("https://www.google.com/maps/search/?api=1&amp;query=24.57711662,46.5853868", "View Map")</f>
        <v>View Map</v>
      </c>
    </row>
    <row r="2286" spans="1:6" x14ac:dyDescent="0.35">
      <c r="A2286" s="4" t="s">
        <v>5974</v>
      </c>
      <c r="B2286" s="5" t="s">
        <v>5529</v>
      </c>
      <c r="C2286" s="5" t="s">
        <v>1776</v>
      </c>
      <c r="D2286" s="5" t="s">
        <v>9</v>
      </c>
      <c r="E2286" s="6">
        <v>650</v>
      </c>
      <c r="F2286" s="5" t="str">
        <f>HYPERLINK("https://www.google.com/maps/search/?api=1&amp;query=24.84429942,46.82623565", "View Map")</f>
        <v>View Map</v>
      </c>
    </row>
    <row r="2287" spans="1:6" x14ac:dyDescent="0.35">
      <c r="A2287" s="4" t="s">
        <v>7444</v>
      </c>
      <c r="B2287" s="5" t="s">
        <v>5531</v>
      </c>
      <c r="C2287" s="5" t="s">
        <v>1776</v>
      </c>
      <c r="D2287" s="5" t="s">
        <v>9</v>
      </c>
      <c r="E2287" s="6">
        <v>650</v>
      </c>
      <c r="F2287" s="5" t="str">
        <f>HYPERLINK("https://www.google.com/maps/search/?api=1&amp;query=24.6174008,46.53902272", "View Map")</f>
        <v>View Map</v>
      </c>
    </row>
    <row r="2288" spans="1:6" x14ac:dyDescent="0.35">
      <c r="A2288" s="4" t="s">
        <v>5974</v>
      </c>
      <c r="B2288" s="5" t="s">
        <v>5532</v>
      </c>
      <c r="C2288" s="5" t="s">
        <v>1776</v>
      </c>
      <c r="D2288" s="5" t="s">
        <v>9</v>
      </c>
      <c r="E2288" s="6">
        <v>649</v>
      </c>
      <c r="F2288" s="5" t="str">
        <f>HYPERLINK("https://www.google.com/maps/search/?api=1&amp;query=24.79499814,46.61680963", "View Map")</f>
        <v>View Map</v>
      </c>
    </row>
    <row r="2289" spans="1:6" x14ac:dyDescent="0.35">
      <c r="A2289" s="4" t="s">
        <v>7445</v>
      </c>
      <c r="B2289" s="5" t="s">
        <v>5534</v>
      </c>
      <c r="C2289" s="5" t="s">
        <v>1776</v>
      </c>
      <c r="D2289" s="5" t="s">
        <v>9</v>
      </c>
      <c r="E2289" s="6">
        <v>649</v>
      </c>
      <c r="F2289" s="5" t="str">
        <f>HYPERLINK("https://www.google.com/maps/search/?api=1&amp;query=24.58890957,46.68414001", "View Map")</f>
        <v>View Map</v>
      </c>
    </row>
    <row r="2290" spans="1:6" x14ac:dyDescent="0.35">
      <c r="A2290" s="4" t="s">
        <v>7446</v>
      </c>
      <c r="B2290" s="5" t="s">
        <v>5536</v>
      </c>
      <c r="C2290" s="5" t="s">
        <v>1776</v>
      </c>
      <c r="D2290" s="5" t="s">
        <v>9</v>
      </c>
      <c r="E2290" s="6">
        <v>649</v>
      </c>
      <c r="F2290" s="5" t="str">
        <f>HYPERLINK("https://www.google.com/maps/search/?api=1&amp;query=24.6547944,46.67522804", "View Map")</f>
        <v>View Map</v>
      </c>
    </row>
    <row r="2291" spans="1:6" x14ac:dyDescent="0.35">
      <c r="A2291" s="4" t="s">
        <v>7447</v>
      </c>
      <c r="B2291" s="5" t="s">
        <v>5538</v>
      </c>
      <c r="C2291" s="5" t="s">
        <v>1776</v>
      </c>
      <c r="D2291" s="5" t="s">
        <v>9</v>
      </c>
      <c r="E2291" s="6">
        <v>648</v>
      </c>
      <c r="F2291" s="5" t="str">
        <f>HYPERLINK("https://www.google.com/maps/search/?api=1&amp;query=24.76282314,46.77643728", "View Map")</f>
        <v>View Map</v>
      </c>
    </row>
    <row r="2292" spans="1:6" x14ac:dyDescent="0.35">
      <c r="A2292" s="4" t="s">
        <v>5974</v>
      </c>
      <c r="B2292" s="5" t="s">
        <v>5539</v>
      </c>
      <c r="C2292" s="5" t="s">
        <v>1776</v>
      </c>
      <c r="D2292" s="5" t="s">
        <v>9</v>
      </c>
      <c r="E2292" s="6">
        <v>648</v>
      </c>
      <c r="F2292" s="5" t="str">
        <f>HYPERLINK("https://www.google.com/maps/search/?api=1&amp;query=24.67955636,46.57896969", "View Map")</f>
        <v>View Map</v>
      </c>
    </row>
    <row r="2293" spans="1:6" x14ac:dyDescent="0.35">
      <c r="A2293" s="4" t="s">
        <v>6364</v>
      </c>
      <c r="B2293" s="5" t="s">
        <v>5540</v>
      </c>
      <c r="C2293" s="5" t="s">
        <v>1776</v>
      </c>
      <c r="D2293" s="5" t="s">
        <v>9</v>
      </c>
      <c r="E2293" s="6">
        <v>648</v>
      </c>
      <c r="F2293" s="5" t="str">
        <f>HYPERLINK("https://www.google.com/maps/search/?api=1&amp;query=24.76677296,46.82896855", "View Map")</f>
        <v>View Map</v>
      </c>
    </row>
    <row r="2294" spans="1:6" x14ac:dyDescent="0.35">
      <c r="A2294" s="4" t="s">
        <v>5974</v>
      </c>
      <c r="B2294" s="5" t="s">
        <v>5541</v>
      </c>
      <c r="C2294" s="5" t="s">
        <v>1776</v>
      </c>
      <c r="D2294" s="5" t="s">
        <v>9</v>
      </c>
      <c r="E2294" s="6">
        <v>648</v>
      </c>
      <c r="F2294" s="5" t="str">
        <f>HYPERLINK("https://www.google.com/maps/search/?api=1&amp;query=24.74906,46.73131", "View Map")</f>
        <v>View Map</v>
      </c>
    </row>
    <row r="2295" spans="1:6" x14ac:dyDescent="0.35">
      <c r="A2295" s="4" t="s">
        <v>7448</v>
      </c>
      <c r="B2295" s="5" t="s">
        <v>5543</v>
      </c>
      <c r="C2295" s="5" t="s">
        <v>1776</v>
      </c>
      <c r="D2295" s="5" t="s">
        <v>9</v>
      </c>
      <c r="E2295" s="6">
        <v>648</v>
      </c>
      <c r="F2295" s="5" t="str">
        <f>HYPERLINK("https://www.google.com/maps/search/?api=1&amp;query=24.55900659,46.68057761", "View Map")</f>
        <v>View Map</v>
      </c>
    </row>
    <row r="2296" spans="1:6" x14ac:dyDescent="0.35">
      <c r="A2296" s="4" t="s">
        <v>7449</v>
      </c>
      <c r="B2296" s="5" t="s">
        <v>5545</v>
      </c>
      <c r="C2296" s="5" t="s">
        <v>1776</v>
      </c>
      <c r="D2296" s="5" t="s">
        <v>9</v>
      </c>
      <c r="E2296" s="6">
        <v>647</v>
      </c>
      <c r="F2296" s="5" t="str">
        <f>HYPERLINK("https://www.google.com/maps/search/?api=1&amp;query=24.72485281,46.81306006", "View Map")</f>
        <v>View Map</v>
      </c>
    </row>
    <row r="2297" spans="1:6" x14ac:dyDescent="0.35">
      <c r="A2297" s="4" t="s">
        <v>6256</v>
      </c>
      <c r="B2297" s="5" t="s">
        <v>5546</v>
      </c>
      <c r="C2297" s="5" t="s">
        <v>1776</v>
      </c>
      <c r="D2297" s="5" t="s">
        <v>9</v>
      </c>
      <c r="E2297" s="6">
        <v>647</v>
      </c>
      <c r="F2297" s="5" t="str">
        <f>HYPERLINK("https://www.google.com/maps/search/?api=1&amp;query=24.81508246,46.88640375", "View Map")</f>
        <v>View Map</v>
      </c>
    </row>
    <row r="2298" spans="1:6" x14ac:dyDescent="0.35">
      <c r="A2298" s="4" t="s">
        <v>7450</v>
      </c>
      <c r="B2298" s="5" t="s">
        <v>5548</v>
      </c>
      <c r="C2298" s="5" t="s">
        <v>1776</v>
      </c>
      <c r="D2298" s="5" t="s">
        <v>9</v>
      </c>
      <c r="E2298" s="6">
        <v>647</v>
      </c>
      <c r="F2298" s="5" t="str">
        <f>HYPERLINK("https://www.google.com/maps/search/?api=1&amp;query=24.78943627,46.74272561", "View Map")</f>
        <v>View Map</v>
      </c>
    </row>
    <row r="2299" spans="1:6" x14ac:dyDescent="0.35">
      <c r="A2299" s="4" t="s">
        <v>7451</v>
      </c>
      <c r="B2299" s="5" t="s">
        <v>5550</v>
      </c>
      <c r="C2299" s="5" t="s">
        <v>1776</v>
      </c>
      <c r="D2299" s="5" t="s">
        <v>9</v>
      </c>
      <c r="E2299" s="6">
        <v>647</v>
      </c>
      <c r="F2299" s="5" t="str">
        <f>HYPERLINK("https://www.google.com/maps/search/?api=1&amp;query=24.7808455,46.76503782", "View Map")</f>
        <v>View Map</v>
      </c>
    </row>
    <row r="2300" spans="1:6" x14ac:dyDescent="0.35">
      <c r="A2300" s="4" t="s">
        <v>7452</v>
      </c>
      <c r="B2300" s="5" t="s">
        <v>5552</v>
      </c>
      <c r="C2300" s="5" t="s">
        <v>1776</v>
      </c>
      <c r="D2300" s="5" t="s">
        <v>9</v>
      </c>
      <c r="E2300" s="6">
        <v>647</v>
      </c>
      <c r="F2300" s="5" t="str">
        <f>HYPERLINK("https://www.google.com/maps/search/?api=1&amp;query=24.57453587,46.58848251", "View Map")</f>
        <v>View Map</v>
      </c>
    </row>
    <row r="2301" spans="1:6" x14ac:dyDescent="0.35">
      <c r="A2301" s="4" t="s">
        <v>7453</v>
      </c>
      <c r="B2301" s="5" t="s">
        <v>5554</v>
      </c>
      <c r="C2301" s="5" t="s">
        <v>1776</v>
      </c>
      <c r="D2301" s="5" t="s">
        <v>9</v>
      </c>
      <c r="E2301" s="6">
        <v>647</v>
      </c>
      <c r="F2301" s="5" t="str">
        <f>HYPERLINK("https://www.google.com/maps/search/?api=1&amp;query=24.81256081,46.75290913", "View Map")</f>
        <v>View Map</v>
      </c>
    </row>
    <row r="2302" spans="1:6" x14ac:dyDescent="0.35">
      <c r="A2302" s="4" t="s">
        <v>7454</v>
      </c>
      <c r="B2302" s="5" t="s">
        <v>5556</v>
      </c>
      <c r="C2302" s="5" t="s">
        <v>1776</v>
      </c>
      <c r="D2302" s="5" t="s">
        <v>9</v>
      </c>
      <c r="E2302" s="6">
        <v>646</v>
      </c>
      <c r="F2302" s="5" t="str">
        <f>HYPERLINK("https://www.google.com/maps/search/?api=1&amp;query=24.59614393,46.67438373", "View Map")</f>
        <v>View Map</v>
      </c>
    </row>
    <row r="2303" spans="1:6" x14ac:dyDescent="0.35">
      <c r="A2303" s="4" t="s">
        <v>7455</v>
      </c>
      <c r="B2303" s="5" t="s">
        <v>5558</v>
      </c>
      <c r="C2303" s="5" t="s">
        <v>1776</v>
      </c>
      <c r="D2303" s="5" t="s">
        <v>9</v>
      </c>
      <c r="E2303" s="6">
        <v>645</v>
      </c>
      <c r="F2303" s="5" t="str">
        <f>HYPERLINK("https://www.google.com/maps/search/?api=1&amp;query=24.56640818,46.78645152", "View Map")</f>
        <v>View Map</v>
      </c>
    </row>
    <row r="2304" spans="1:6" x14ac:dyDescent="0.35">
      <c r="A2304" s="4" t="s">
        <v>7456</v>
      </c>
      <c r="B2304" s="5" t="s">
        <v>5560</v>
      </c>
      <c r="C2304" s="5" t="s">
        <v>1776</v>
      </c>
      <c r="D2304" s="5" t="s">
        <v>9</v>
      </c>
      <c r="E2304" s="6">
        <v>645</v>
      </c>
      <c r="F2304" s="5" t="str">
        <f>HYPERLINK("https://www.google.com/maps/search/?api=1&amp;query=24.79670332,46.6409025", "View Map")</f>
        <v>View Map</v>
      </c>
    </row>
    <row r="2305" spans="1:6" x14ac:dyDescent="0.35">
      <c r="A2305" s="4" t="s">
        <v>7457</v>
      </c>
      <c r="B2305" s="5" t="s">
        <v>5562</v>
      </c>
      <c r="C2305" s="5" t="s">
        <v>1776</v>
      </c>
      <c r="D2305" s="5" t="s">
        <v>9</v>
      </c>
      <c r="E2305" s="6">
        <v>644</v>
      </c>
      <c r="F2305" s="5" t="str">
        <f>HYPERLINK("https://www.google.com/maps/search/?api=1&amp;query=24.75081,46.6834", "View Map")</f>
        <v>View Map</v>
      </c>
    </row>
    <row r="2306" spans="1:6" x14ac:dyDescent="0.35">
      <c r="A2306" s="4" t="s">
        <v>7458</v>
      </c>
      <c r="B2306" s="5" t="s">
        <v>5564</v>
      </c>
      <c r="C2306" s="5" t="s">
        <v>1776</v>
      </c>
      <c r="D2306" s="5" t="s">
        <v>9</v>
      </c>
      <c r="E2306" s="6">
        <v>644</v>
      </c>
      <c r="F2306" s="5" t="str">
        <f>HYPERLINK("https://www.google.com/maps/search/?api=1&amp;query=24.55528807,46.71076679", "View Map")</f>
        <v>View Map</v>
      </c>
    </row>
    <row r="2307" spans="1:6" x14ac:dyDescent="0.35">
      <c r="A2307" s="4" t="s">
        <v>7459</v>
      </c>
      <c r="B2307" s="5" t="s">
        <v>5566</v>
      </c>
      <c r="C2307" s="5" t="s">
        <v>1776</v>
      </c>
      <c r="D2307" s="5" t="s">
        <v>9</v>
      </c>
      <c r="E2307" s="6">
        <v>643</v>
      </c>
      <c r="F2307" s="5" t="str">
        <f>HYPERLINK("https://www.google.com/maps/search/?api=1&amp;query=24.71532518,46.83074209", "View Map")</f>
        <v>View Map</v>
      </c>
    </row>
    <row r="2308" spans="1:6" x14ac:dyDescent="0.35">
      <c r="A2308" s="4" t="s">
        <v>7460</v>
      </c>
      <c r="B2308" s="5" t="s">
        <v>5568</v>
      </c>
      <c r="C2308" s="5" t="s">
        <v>1776</v>
      </c>
      <c r="D2308" s="5" t="s">
        <v>9</v>
      </c>
      <c r="E2308" s="6">
        <v>643</v>
      </c>
      <c r="F2308" s="5" t="str">
        <f>HYPERLINK("https://www.google.com/maps/search/?api=1&amp;query=24.53681225,46.70143153", "View Map")</f>
        <v>View Map</v>
      </c>
    </row>
    <row r="2309" spans="1:6" x14ac:dyDescent="0.35">
      <c r="A2309" s="4" t="s">
        <v>5978</v>
      </c>
      <c r="B2309" s="5" t="s">
        <v>5569</v>
      </c>
      <c r="C2309" s="5" t="s">
        <v>1776</v>
      </c>
      <c r="D2309" s="5" t="s">
        <v>9</v>
      </c>
      <c r="E2309" s="6">
        <v>643</v>
      </c>
      <c r="F2309" s="5" t="str">
        <f>HYPERLINK("https://www.google.com/maps/search/?api=1&amp;query=24.80479585,46.79033581", "View Map")</f>
        <v>View Map</v>
      </c>
    </row>
    <row r="2310" spans="1:6" x14ac:dyDescent="0.35">
      <c r="A2310" s="4" t="s">
        <v>7461</v>
      </c>
      <c r="B2310" s="5" t="s">
        <v>5571</v>
      </c>
      <c r="C2310" s="5" t="s">
        <v>1776</v>
      </c>
      <c r="D2310" s="5" t="s">
        <v>9</v>
      </c>
      <c r="E2310" s="6">
        <v>643</v>
      </c>
      <c r="F2310" s="5" t="str">
        <f>HYPERLINK("https://www.google.com/maps/search/?api=1&amp;query=24.81758482,46.74703221", "View Map")</f>
        <v>View Map</v>
      </c>
    </row>
    <row r="2311" spans="1:6" x14ac:dyDescent="0.35">
      <c r="A2311" s="4" t="s">
        <v>7462</v>
      </c>
      <c r="B2311" s="5" t="s">
        <v>5573</v>
      </c>
      <c r="C2311" s="5" t="s">
        <v>1776</v>
      </c>
      <c r="D2311" s="5" t="s">
        <v>9</v>
      </c>
      <c r="E2311" s="6">
        <v>643</v>
      </c>
      <c r="F2311" s="5" t="str">
        <f>HYPERLINK("https://www.google.com/maps/search/?api=1&amp;query=24.79424058,46.64743725", "View Map")</f>
        <v>View Map</v>
      </c>
    </row>
    <row r="2312" spans="1:6" x14ac:dyDescent="0.35">
      <c r="A2312" s="4" t="s">
        <v>5974</v>
      </c>
      <c r="B2312" s="5" t="s">
        <v>5574</v>
      </c>
      <c r="C2312" s="5" t="s">
        <v>1776</v>
      </c>
      <c r="D2312" s="5" t="s">
        <v>9</v>
      </c>
      <c r="E2312" s="6">
        <v>642</v>
      </c>
      <c r="F2312" s="5" t="str">
        <f>HYPERLINK("https://www.google.com/maps/search/?api=1&amp;query=24.68883198,46.60036037", "View Map")</f>
        <v>View Map</v>
      </c>
    </row>
    <row r="2313" spans="1:6" x14ac:dyDescent="0.35">
      <c r="A2313" s="4" t="s">
        <v>7463</v>
      </c>
      <c r="B2313" s="5" t="s">
        <v>5576</v>
      </c>
      <c r="C2313" s="5" t="s">
        <v>1776</v>
      </c>
      <c r="D2313" s="5" t="s">
        <v>9</v>
      </c>
      <c r="E2313" s="6">
        <v>642</v>
      </c>
      <c r="F2313" s="5" t="str">
        <f>HYPERLINK("https://www.google.com/maps/search/?api=1&amp;query=24.71843199,46.85317115", "View Map")</f>
        <v>View Map</v>
      </c>
    </row>
    <row r="2314" spans="1:6" x14ac:dyDescent="0.35">
      <c r="A2314" s="4" t="s">
        <v>7247</v>
      </c>
      <c r="B2314" s="5" t="s">
        <v>5577</v>
      </c>
      <c r="C2314" s="5" t="s">
        <v>1776</v>
      </c>
      <c r="D2314" s="5" t="s">
        <v>9</v>
      </c>
      <c r="E2314" s="6">
        <v>642</v>
      </c>
      <c r="F2314" s="5" t="str">
        <f>HYPERLINK("https://www.google.com/maps/search/?api=1&amp;query=24.8254419,46.78413116", "View Map")</f>
        <v>View Map</v>
      </c>
    </row>
    <row r="2315" spans="1:6" x14ac:dyDescent="0.35">
      <c r="A2315" s="4" t="s">
        <v>7464</v>
      </c>
      <c r="B2315" s="5" t="s">
        <v>5579</v>
      </c>
      <c r="C2315" s="5" t="s">
        <v>1776</v>
      </c>
      <c r="D2315" s="5" t="s">
        <v>9</v>
      </c>
      <c r="E2315" s="6">
        <v>641</v>
      </c>
      <c r="F2315" s="5" t="str">
        <f>HYPERLINK("https://www.google.com/maps/search/?api=1&amp;query=24.68219712,46.70444767", "View Map")</f>
        <v>View Map</v>
      </c>
    </row>
    <row r="2316" spans="1:6" x14ac:dyDescent="0.35">
      <c r="A2316" s="4" t="s">
        <v>5974</v>
      </c>
      <c r="B2316" s="5" t="s">
        <v>5580</v>
      </c>
      <c r="C2316" s="5" t="s">
        <v>1776</v>
      </c>
      <c r="D2316" s="5" t="s">
        <v>9</v>
      </c>
      <c r="E2316" s="6">
        <v>641</v>
      </c>
      <c r="F2316" s="5" t="str">
        <f>HYPERLINK("https://www.google.com/maps/search/?api=1&amp;query=24.60640589,46.52185655", "View Map")</f>
        <v>View Map</v>
      </c>
    </row>
    <row r="2317" spans="1:6" x14ac:dyDescent="0.35">
      <c r="A2317" s="4" t="s">
        <v>6353</v>
      </c>
      <c r="B2317" s="5" t="s">
        <v>5581</v>
      </c>
      <c r="C2317" s="5" t="s">
        <v>1776</v>
      </c>
      <c r="D2317" s="5" t="s">
        <v>9</v>
      </c>
      <c r="E2317" s="6">
        <v>641</v>
      </c>
      <c r="F2317" s="5" t="str">
        <f>HYPERLINK("https://www.google.com/maps/search/?api=1&amp;query=24.74493399,46.77377883", "View Map")</f>
        <v>View Map</v>
      </c>
    </row>
    <row r="2318" spans="1:6" x14ac:dyDescent="0.35">
      <c r="A2318" s="4" t="s">
        <v>5582</v>
      </c>
      <c r="B2318" s="5" t="s">
        <v>5583</v>
      </c>
      <c r="C2318" s="5" t="s">
        <v>1776</v>
      </c>
      <c r="D2318" s="5" t="s">
        <v>9</v>
      </c>
      <c r="E2318" s="6">
        <v>641</v>
      </c>
      <c r="F2318" s="5" t="str">
        <f>HYPERLINK("https://www.google.com/maps/search/?api=1&amp;query=24.7060772,46.85162253", "View Map")</f>
        <v>View Map</v>
      </c>
    </row>
    <row r="2319" spans="1:6" x14ac:dyDescent="0.35">
      <c r="A2319" s="4" t="s">
        <v>6039</v>
      </c>
      <c r="B2319" s="5" t="s">
        <v>5584</v>
      </c>
      <c r="C2319" s="5" t="s">
        <v>1776</v>
      </c>
      <c r="D2319" s="5" t="s">
        <v>9</v>
      </c>
      <c r="E2319" s="6">
        <v>641</v>
      </c>
      <c r="F2319" s="5" t="str">
        <f>HYPERLINK("https://www.google.com/maps/search/?api=1&amp;query=24.56556101,46.52619138", "View Map")</f>
        <v>View Map</v>
      </c>
    </row>
    <row r="2320" spans="1:6" x14ac:dyDescent="0.35">
      <c r="A2320" s="4" t="s">
        <v>7465</v>
      </c>
      <c r="B2320" s="5" t="s">
        <v>5586</v>
      </c>
      <c r="C2320" s="5" t="s">
        <v>1776</v>
      </c>
      <c r="D2320" s="5" t="s">
        <v>9</v>
      </c>
      <c r="E2320" s="6">
        <v>641</v>
      </c>
      <c r="F2320" s="5" t="str">
        <f>HYPERLINK("https://www.google.com/maps/search/?api=1&amp;query=24.57801161,46.56510858", "View Map")</f>
        <v>View Map</v>
      </c>
    </row>
    <row r="2321" spans="1:6" x14ac:dyDescent="0.35">
      <c r="A2321" s="4" t="s">
        <v>7336</v>
      </c>
      <c r="B2321" s="5" t="s">
        <v>5587</v>
      </c>
      <c r="C2321" s="5" t="s">
        <v>1776</v>
      </c>
      <c r="D2321" s="5" t="s">
        <v>9</v>
      </c>
      <c r="E2321" s="6">
        <v>640</v>
      </c>
      <c r="F2321" s="5" t="str">
        <f>HYPERLINK("https://www.google.com/maps/search/?api=1&amp;query=24.5483376,46.70362731", "View Map")</f>
        <v>View Map</v>
      </c>
    </row>
    <row r="2322" spans="1:6" x14ac:dyDescent="0.35">
      <c r="A2322" s="4" t="s">
        <v>5974</v>
      </c>
      <c r="B2322" s="5" t="s">
        <v>5588</v>
      </c>
      <c r="C2322" s="5" t="s">
        <v>1776</v>
      </c>
      <c r="D2322" s="5" t="s">
        <v>9</v>
      </c>
      <c r="E2322" s="6">
        <v>640</v>
      </c>
      <c r="F2322" s="5" t="str">
        <f>HYPERLINK("https://www.google.com/maps/search/?api=1&amp;query=24.77103029,46.65556605", "View Map")</f>
        <v>View Map</v>
      </c>
    </row>
    <row r="2323" spans="1:6" x14ac:dyDescent="0.35">
      <c r="A2323" s="4" t="s">
        <v>5972</v>
      </c>
      <c r="B2323" s="5" t="s">
        <v>5589</v>
      </c>
      <c r="C2323" s="5" t="s">
        <v>1776</v>
      </c>
      <c r="D2323" s="5" t="s">
        <v>9</v>
      </c>
      <c r="E2323" s="6">
        <v>640</v>
      </c>
      <c r="F2323" s="5" t="str">
        <f>HYPERLINK("https://www.google.com/maps/search/?api=1&amp;query=24.76525771,46.68196386", "View Map")</f>
        <v>View Map</v>
      </c>
    </row>
    <row r="2324" spans="1:6" x14ac:dyDescent="0.35">
      <c r="A2324" s="4" t="s">
        <v>6176</v>
      </c>
      <c r="B2324" s="5" t="s">
        <v>5590</v>
      </c>
      <c r="C2324" s="5" t="s">
        <v>1776</v>
      </c>
      <c r="D2324" s="5" t="s">
        <v>9</v>
      </c>
      <c r="E2324" s="6">
        <v>640</v>
      </c>
      <c r="F2324" s="5" t="str">
        <f>HYPERLINK("https://www.google.com/maps/search/?api=1&amp;query=24.7825397,46.61671202", "View Map")</f>
        <v>View Map</v>
      </c>
    </row>
    <row r="2325" spans="1:6" x14ac:dyDescent="0.35">
      <c r="A2325" s="4" t="s">
        <v>6039</v>
      </c>
      <c r="B2325" s="5" t="s">
        <v>5591</v>
      </c>
      <c r="C2325" s="5" t="s">
        <v>1776</v>
      </c>
      <c r="D2325" s="5" t="s">
        <v>9</v>
      </c>
      <c r="E2325" s="6">
        <v>640</v>
      </c>
      <c r="F2325" s="5" t="str">
        <f>HYPERLINK("https://www.google.com/maps/search/?api=1&amp;query=24.51113535,46.68455253", "View Map")</f>
        <v>View Map</v>
      </c>
    </row>
    <row r="2326" spans="1:6" x14ac:dyDescent="0.35">
      <c r="A2326" s="4" t="s">
        <v>7466</v>
      </c>
      <c r="B2326" s="5" t="s">
        <v>5593</v>
      </c>
      <c r="C2326" s="5" t="s">
        <v>1776</v>
      </c>
      <c r="D2326" s="5" t="s">
        <v>9</v>
      </c>
      <c r="E2326" s="6">
        <v>639</v>
      </c>
      <c r="F2326" s="5" t="str">
        <f>HYPERLINK("https://www.google.com/maps/search/?api=1&amp;query=24.55712394,46.77317016", "View Map")</f>
        <v>View Map</v>
      </c>
    </row>
    <row r="2327" spans="1:6" x14ac:dyDescent="0.35">
      <c r="A2327" s="4" t="s">
        <v>7467</v>
      </c>
      <c r="B2327" s="5" t="s">
        <v>5595</v>
      </c>
      <c r="C2327" s="5" t="s">
        <v>1776</v>
      </c>
      <c r="D2327" s="5" t="s">
        <v>9</v>
      </c>
      <c r="E2327" s="6">
        <v>639</v>
      </c>
      <c r="F2327" s="5" t="str">
        <f>HYPERLINK("https://www.google.com/maps/search/?api=1&amp;query=24.76033643,46.75424267", "View Map")</f>
        <v>View Map</v>
      </c>
    </row>
    <row r="2328" spans="1:6" x14ac:dyDescent="0.35">
      <c r="A2328" s="4" t="s">
        <v>7097</v>
      </c>
      <c r="B2328" s="5" t="s">
        <v>5596</v>
      </c>
      <c r="C2328" s="5" t="s">
        <v>1776</v>
      </c>
      <c r="D2328" s="5" t="s">
        <v>9</v>
      </c>
      <c r="E2328" s="6">
        <v>639</v>
      </c>
      <c r="F2328" s="5" t="str">
        <f>HYPERLINK("https://www.google.com/maps/search/?api=1&amp;query=24.67283897,46.78712445", "View Map")</f>
        <v>View Map</v>
      </c>
    </row>
    <row r="2329" spans="1:6" x14ac:dyDescent="0.35">
      <c r="A2329" s="4" t="s">
        <v>6113</v>
      </c>
      <c r="B2329" s="5" t="s">
        <v>5597</v>
      </c>
      <c r="C2329" s="5" t="s">
        <v>1776</v>
      </c>
      <c r="D2329" s="5" t="s">
        <v>9</v>
      </c>
      <c r="E2329" s="6">
        <v>639</v>
      </c>
      <c r="F2329" s="5" t="str">
        <f>HYPERLINK("https://www.google.com/maps/search/?api=1&amp;query=24.75415456,46.71229993", "View Map")</f>
        <v>View Map</v>
      </c>
    </row>
    <row r="2330" spans="1:6" x14ac:dyDescent="0.35">
      <c r="A2330" s="4" t="s">
        <v>6039</v>
      </c>
      <c r="B2330" s="5" t="s">
        <v>5598</v>
      </c>
      <c r="C2330" s="5" t="s">
        <v>1776</v>
      </c>
      <c r="D2330" s="5" t="s">
        <v>9</v>
      </c>
      <c r="E2330" s="6">
        <v>639</v>
      </c>
      <c r="F2330" s="5" t="str">
        <f>HYPERLINK("https://www.google.com/maps/search/?api=1&amp;query=24.5056,46.7317", "View Map")</f>
        <v>View Map</v>
      </c>
    </row>
    <row r="2331" spans="1:6" x14ac:dyDescent="0.35">
      <c r="A2331" s="4" t="s">
        <v>5978</v>
      </c>
      <c r="B2331" s="5" t="s">
        <v>5599</v>
      </c>
      <c r="C2331" s="5" t="s">
        <v>1776</v>
      </c>
      <c r="D2331" s="5" t="s">
        <v>9</v>
      </c>
      <c r="E2331" s="6">
        <v>638</v>
      </c>
      <c r="F2331" s="5" t="str">
        <f>HYPERLINK("https://www.google.com/maps/search/?api=1&amp;query=24.75113039,46.76851452", "View Map")</f>
        <v>View Map</v>
      </c>
    </row>
    <row r="2332" spans="1:6" x14ac:dyDescent="0.35">
      <c r="A2332" s="4" t="s">
        <v>6039</v>
      </c>
      <c r="B2332" s="5" t="s">
        <v>5600</v>
      </c>
      <c r="C2332" s="5" t="s">
        <v>1776</v>
      </c>
      <c r="D2332" s="5" t="s">
        <v>9</v>
      </c>
      <c r="E2332" s="6">
        <v>638</v>
      </c>
      <c r="F2332" s="5" t="str">
        <f>HYPERLINK("https://www.google.com/maps/search/?api=1&amp;query=24.51399553,46.67858352", "View Map")</f>
        <v>View Map</v>
      </c>
    </row>
    <row r="2333" spans="1:6" x14ac:dyDescent="0.35">
      <c r="A2333" s="4" t="s">
        <v>7468</v>
      </c>
      <c r="B2333" s="5" t="s">
        <v>5602</v>
      </c>
      <c r="C2333" s="5" t="s">
        <v>1776</v>
      </c>
      <c r="D2333" s="5" t="s">
        <v>9</v>
      </c>
      <c r="E2333" s="6">
        <v>638</v>
      </c>
      <c r="F2333" s="5" t="str">
        <f>HYPERLINK("https://www.google.com/maps/search/?api=1&amp;query=24.71392961,46.66438471", "View Map")</f>
        <v>View Map</v>
      </c>
    </row>
    <row r="2334" spans="1:6" x14ac:dyDescent="0.35">
      <c r="A2334" s="4" t="s">
        <v>5974</v>
      </c>
      <c r="B2334" s="5" t="s">
        <v>5603</v>
      </c>
      <c r="C2334" s="5" t="s">
        <v>1776</v>
      </c>
      <c r="D2334" s="5" t="s">
        <v>9</v>
      </c>
      <c r="E2334" s="6">
        <v>638</v>
      </c>
      <c r="F2334" s="5" t="str">
        <f>HYPERLINK("https://www.google.com/maps/search/?api=1&amp;query=24.87046489,46.64310785", "View Map")</f>
        <v>View Map</v>
      </c>
    </row>
    <row r="2335" spans="1:6" x14ac:dyDescent="0.35">
      <c r="A2335" s="4" t="s">
        <v>7469</v>
      </c>
      <c r="B2335" s="5" t="s">
        <v>5605</v>
      </c>
      <c r="C2335" s="5" t="s">
        <v>1776</v>
      </c>
      <c r="D2335" s="5" t="s">
        <v>9</v>
      </c>
      <c r="E2335" s="6">
        <v>638</v>
      </c>
      <c r="F2335" s="5" t="str">
        <f>HYPERLINK("https://www.google.com/maps/search/?api=1&amp;query=24.63134889,46.70200098", "View Map")</f>
        <v>View Map</v>
      </c>
    </row>
    <row r="2336" spans="1:6" x14ac:dyDescent="0.35">
      <c r="A2336" s="4" t="s">
        <v>6010</v>
      </c>
      <c r="B2336" s="5" t="s">
        <v>5606</v>
      </c>
      <c r="C2336" s="5" t="s">
        <v>1776</v>
      </c>
      <c r="D2336" s="5" t="s">
        <v>9</v>
      </c>
      <c r="E2336" s="6">
        <v>638</v>
      </c>
      <c r="F2336" s="5" t="str">
        <f>HYPERLINK("https://www.google.com/maps/search/?api=1&amp;query=24.77350353,46.73638469", "View Map")</f>
        <v>View Map</v>
      </c>
    </row>
    <row r="2337" spans="1:6" x14ac:dyDescent="0.35">
      <c r="A2337" s="4" t="s">
        <v>7470</v>
      </c>
      <c r="B2337" s="5" t="s">
        <v>5608</v>
      </c>
      <c r="C2337" s="5" t="s">
        <v>1776</v>
      </c>
      <c r="D2337" s="5" t="s">
        <v>9</v>
      </c>
      <c r="E2337" s="6">
        <v>637</v>
      </c>
      <c r="F2337" s="5" t="str">
        <f>HYPERLINK("https://www.google.com/maps/search/?api=1&amp;query=24.81488526,46.76960226", "View Map")</f>
        <v>View Map</v>
      </c>
    </row>
    <row r="2338" spans="1:6" x14ac:dyDescent="0.35">
      <c r="A2338" s="4" t="s">
        <v>5974</v>
      </c>
      <c r="B2338" s="5" t="s">
        <v>5609</v>
      </c>
      <c r="C2338" s="5" t="s">
        <v>1776</v>
      </c>
      <c r="D2338" s="5" t="s">
        <v>9</v>
      </c>
      <c r="E2338" s="6">
        <v>636</v>
      </c>
      <c r="F2338" s="5" t="str">
        <f>HYPERLINK("https://www.google.com/maps/search/?api=1&amp;query=24.83623824,46.76173705", "View Map")</f>
        <v>View Map</v>
      </c>
    </row>
    <row r="2339" spans="1:6" x14ac:dyDescent="0.35">
      <c r="A2339" s="4" t="s">
        <v>7471</v>
      </c>
      <c r="B2339" s="5" t="s">
        <v>5611</v>
      </c>
      <c r="C2339" s="5" t="s">
        <v>1776</v>
      </c>
      <c r="D2339" s="5" t="s">
        <v>9</v>
      </c>
      <c r="E2339" s="6">
        <v>636</v>
      </c>
      <c r="F2339" s="5" t="str">
        <f>HYPERLINK("https://www.google.com/maps/search/?api=1&amp;query=24.61291787,46.64048646", "View Map")</f>
        <v>View Map</v>
      </c>
    </row>
    <row r="2340" spans="1:6" x14ac:dyDescent="0.35">
      <c r="A2340" s="4" t="s">
        <v>7472</v>
      </c>
      <c r="B2340" s="5" t="s">
        <v>5613</v>
      </c>
      <c r="C2340" s="5" t="s">
        <v>1776</v>
      </c>
      <c r="D2340" s="5" t="s">
        <v>9</v>
      </c>
      <c r="E2340" s="6">
        <v>636</v>
      </c>
      <c r="F2340" s="5" t="str">
        <f>HYPERLINK("https://www.google.com/maps/search/?api=1&amp;query=24.58096773,46.68390103", "View Map")</f>
        <v>View Map</v>
      </c>
    </row>
    <row r="2341" spans="1:6" x14ac:dyDescent="0.35">
      <c r="A2341" s="4" t="s">
        <v>7473</v>
      </c>
      <c r="B2341" s="5" t="s">
        <v>5615</v>
      </c>
      <c r="C2341" s="5" t="s">
        <v>1776</v>
      </c>
      <c r="D2341" s="5" t="s">
        <v>9</v>
      </c>
      <c r="E2341" s="6">
        <v>635</v>
      </c>
      <c r="F2341" s="5" t="str">
        <f>HYPERLINK("https://www.google.com/maps/search/?api=1&amp;query=24.7866427,46.70177871", "View Map")</f>
        <v>View Map</v>
      </c>
    </row>
    <row r="2342" spans="1:6" x14ac:dyDescent="0.35">
      <c r="A2342" s="4" t="s">
        <v>6060</v>
      </c>
      <c r="B2342" s="5" t="s">
        <v>5616</v>
      </c>
      <c r="C2342" s="5" t="s">
        <v>1776</v>
      </c>
      <c r="D2342" s="5" t="s">
        <v>9</v>
      </c>
      <c r="E2342" s="6">
        <v>635</v>
      </c>
      <c r="F2342" s="5" t="str">
        <f>HYPERLINK("https://www.google.com/maps/search/?api=1&amp;query=24.72051339,46.79714379", "View Map")</f>
        <v>View Map</v>
      </c>
    </row>
    <row r="2343" spans="1:6" x14ac:dyDescent="0.35">
      <c r="A2343" s="4" t="s">
        <v>7474</v>
      </c>
      <c r="B2343" s="5" t="s">
        <v>5618</v>
      </c>
      <c r="C2343" s="5" t="s">
        <v>1776</v>
      </c>
      <c r="D2343" s="5" t="s">
        <v>9</v>
      </c>
      <c r="E2343" s="6">
        <v>635</v>
      </c>
      <c r="F2343" s="5" t="str">
        <f>HYPERLINK("https://www.google.com/maps/search/?api=1&amp;query=24.76496575,46.78210153", "View Map")</f>
        <v>View Map</v>
      </c>
    </row>
    <row r="2344" spans="1:6" x14ac:dyDescent="0.35">
      <c r="A2344" s="4" t="s">
        <v>7475</v>
      </c>
      <c r="B2344" s="5" t="s">
        <v>5620</v>
      </c>
      <c r="C2344" s="5" t="s">
        <v>1776</v>
      </c>
      <c r="D2344" s="5" t="s">
        <v>9</v>
      </c>
      <c r="E2344" s="6">
        <v>635</v>
      </c>
      <c r="F2344" s="5" t="str">
        <f>HYPERLINK("https://www.google.com/maps/search/?api=1&amp;query=24.64328185,46.57308951", "View Map")</f>
        <v>View Map</v>
      </c>
    </row>
    <row r="2345" spans="1:6" x14ac:dyDescent="0.35">
      <c r="A2345" s="4" t="s">
        <v>6115</v>
      </c>
      <c r="B2345" s="5" t="s">
        <v>5621</v>
      </c>
      <c r="C2345" s="5" t="s">
        <v>1776</v>
      </c>
      <c r="D2345" s="5" t="s">
        <v>9</v>
      </c>
      <c r="E2345" s="6">
        <v>635</v>
      </c>
      <c r="F2345" s="5" t="str">
        <f>HYPERLINK("https://www.google.com/maps/search/?api=1&amp;query=24.69333033,46.83849449", "View Map")</f>
        <v>View Map</v>
      </c>
    </row>
    <row r="2346" spans="1:6" x14ac:dyDescent="0.35">
      <c r="A2346" s="4" t="s">
        <v>7476</v>
      </c>
      <c r="B2346" s="5" t="s">
        <v>5623</v>
      </c>
      <c r="C2346" s="5" t="s">
        <v>1776</v>
      </c>
      <c r="D2346" s="5" t="s">
        <v>9</v>
      </c>
      <c r="E2346" s="6">
        <v>635</v>
      </c>
      <c r="F2346" s="5" t="str">
        <f>HYPERLINK("https://www.google.com/maps/search/?api=1&amp;query=24.72908518,46.66035017", "View Map")</f>
        <v>View Map</v>
      </c>
    </row>
    <row r="2347" spans="1:6" x14ac:dyDescent="0.35">
      <c r="A2347" s="4" t="s">
        <v>7477</v>
      </c>
      <c r="B2347" s="5" t="s">
        <v>5625</v>
      </c>
      <c r="C2347" s="5" t="s">
        <v>1776</v>
      </c>
      <c r="D2347" s="5" t="s">
        <v>9</v>
      </c>
      <c r="E2347" s="6">
        <v>634</v>
      </c>
      <c r="F2347" s="5" t="str">
        <f>HYPERLINK("https://www.google.com/maps/search/?api=1&amp;query=24.78389585,46.81399146", "View Map")</f>
        <v>View Map</v>
      </c>
    </row>
    <row r="2348" spans="1:6" x14ac:dyDescent="0.35">
      <c r="A2348" s="4" t="s">
        <v>6134</v>
      </c>
      <c r="B2348" s="5" t="s">
        <v>5626</v>
      </c>
      <c r="C2348" s="5" t="s">
        <v>1776</v>
      </c>
      <c r="D2348" s="5" t="s">
        <v>9</v>
      </c>
      <c r="E2348" s="6">
        <v>634</v>
      </c>
      <c r="F2348" s="5" t="str">
        <f>HYPERLINK("https://www.google.com/maps/search/?api=1&amp;query=24.8269,46.6361", "View Map")</f>
        <v>View Map</v>
      </c>
    </row>
    <row r="2349" spans="1:6" x14ac:dyDescent="0.35">
      <c r="A2349" s="4" t="s">
        <v>5974</v>
      </c>
      <c r="B2349" s="5" t="s">
        <v>5627</v>
      </c>
      <c r="C2349" s="5" t="s">
        <v>1776</v>
      </c>
      <c r="D2349" s="5" t="s">
        <v>9</v>
      </c>
      <c r="E2349" s="6">
        <v>634</v>
      </c>
      <c r="F2349" s="5" t="str">
        <f>HYPERLINK("https://www.google.com/maps/search/?api=1&amp;query=24.82599,46.58453", "View Map")</f>
        <v>View Map</v>
      </c>
    </row>
    <row r="2350" spans="1:6" x14ac:dyDescent="0.35">
      <c r="A2350" s="4" t="s">
        <v>7478</v>
      </c>
      <c r="B2350" s="5" t="s">
        <v>5629</v>
      </c>
      <c r="C2350" s="5" t="s">
        <v>1776</v>
      </c>
      <c r="D2350" s="5" t="s">
        <v>9</v>
      </c>
      <c r="E2350" s="6">
        <v>634</v>
      </c>
      <c r="F2350" s="5" t="str">
        <f>HYPERLINK("https://www.google.com/maps/search/?api=1&amp;query=24.64455057,46.6869071", "View Map")</f>
        <v>View Map</v>
      </c>
    </row>
    <row r="2351" spans="1:6" x14ac:dyDescent="0.35">
      <c r="A2351" s="4" t="s">
        <v>7479</v>
      </c>
      <c r="B2351" s="5" t="s">
        <v>5631</v>
      </c>
      <c r="C2351" s="5" t="s">
        <v>1776</v>
      </c>
      <c r="D2351" s="5" t="s">
        <v>9</v>
      </c>
      <c r="E2351" s="6">
        <v>633</v>
      </c>
      <c r="F2351" s="5" t="str">
        <f>HYPERLINK("https://www.google.com/maps/search/?api=1&amp;query=24.58198291,46.59144438", "View Map")</f>
        <v>View Map</v>
      </c>
    </row>
    <row r="2352" spans="1:6" x14ac:dyDescent="0.35">
      <c r="A2352" s="4" t="s">
        <v>7480</v>
      </c>
      <c r="B2352" s="5" t="s">
        <v>5633</v>
      </c>
      <c r="C2352" s="5" t="s">
        <v>1776</v>
      </c>
      <c r="D2352" s="5" t="s">
        <v>9</v>
      </c>
      <c r="E2352" s="6">
        <v>633</v>
      </c>
      <c r="F2352" s="5" t="str">
        <f>HYPERLINK("https://www.google.com/maps/search/?api=1&amp;query=24.80943836,46.64490465", "View Map")</f>
        <v>View Map</v>
      </c>
    </row>
    <row r="2353" spans="1:6" x14ac:dyDescent="0.35">
      <c r="A2353" s="4" t="s">
        <v>7481</v>
      </c>
      <c r="B2353" s="5" t="s">
        <v>5635</v>
      </c>
      <c r="C2353" s="5" t="s">
        <v>1776</v>
      </c>
      <c r="D2353" s="5" t="s">
        <v>9</v>
      </c>
      <c r="E2353" s="6">
        <v>633</v>
      </c>
      <c r="F2353" s="5" t="str">
        <f>HYPERLINK("https://www.google.com/maps/search/?api=1&amp;query=24.79740407,46.80360029", "View Map")</f>
        <v>View Map</v>
      </c>
    </row>
    <row r="2354" spans="1:6" x14ac:dyDescent="0.35">
      <c r="A2354" s="4" t="s">
        <v>7482</v>
      </c>
      <c r="B2354" s="5" t="s">
        <v>5637</v>
      </c>
      <c r="C2354" s="5" t="s">
        <v>1776</v>
      </c>
      <c r="D2354" s="5" t="s">
        <v>9</v>
      </c>
      <c r="E2354" s="6">
        <v>633</v>
      </c>
      <c r="F2354" s="5" t="str">
        <f>HYPERLINK("https://www.google.com/maps/search/?api=1&amp;query=24.7942456,46.89612415", "View Map")</f>
        <v>View Map</v>
      </c>
    </row>
    <row r="2355" spans="1:6" x14ac:dyDescent="0.35">
      <c r="A2355" s="4" t="s">
        <v>7483</v>
      </c>
      <c r="B2355" s="5" t="s">
        <v>5639</v>
      </c>
      <c r="C2355" s="5" t="s">
        <v>1776</v>
      </c>
      <c r="D2355" s="5" t="s">
        <v>9</v>
      </c>
      <c r="E2355" s="6">
        <v>632</v>
      </c>
      <c r="F2355" s="5" t="str">
        <f>HYPERLINK("https://www.google.com/maps/search/?api=1&amp;query=24.63652647,46.56941693", "View Map")</f>
        <v>View Map</v>
      </c>
    </row>
    <row r="2356" spans="1:6" x14ac:dyDescent="0.35">
      <c r="A2356" s="4" t="s">
        <v>7484</v>
      </c>
      <c r="B2356" s="5" t="s">
        <v>5641</v>
      </c>
      <c r="C2356" s="5" t="s">
        <v>1776</v>
      </c>
      <c r="D2356" s="5" t="s">
        <v>9</v>
      </c>
      <c r="E2356" s="6">
        <v>632</v>
      </c>
      <c r="F2356" s="5" t="str">
        <f>HYPERLINK("https://www.google.com/maps/search/?api=1&amp;query=24.58815505,46.78042521", "View Map")</f>
        <v>View Map</v>
      </c>
    </row>
    <row r="2357" spans="1:6" x14ac:dyDescent="0.35">
      <c r="A2357" s="4" t="s">
        <v>7485</v>
      </c>
      <c r="B2357" s="5" t="s">
        <v>5643</v>
      </c>
      <c r="C2357" s="5" t="s">
        <v>1776</v>
      </c>
      <c r="D2357" s="5" t="s">
        <v>9</v>
      </c>
      <c r="E2357" s="6">
        <v>632</v>
      </c>
      <c r="F2357" s="5" t="str">
        <f>HYPERLINK("https://www.google.com/maps/search/?api=1&amp;query=24.58376196,46.76947643", "View Map")</f>
        <v>View Map</v>
      </c>
    </row>
    <row r="2358" spans="1:6" x14ac:dyDescent="0.35">
      <c r="A2358" s="4" t="s">
        <v>7486</v>
      </c>
      <c r="B2358" s="5" t="s">
        <v>5645</v>
      </c>
      <c r="C2358" s="5" t="s">
        <v>1776</v>
      </c>
      <c r="D2358" s="5" t="s">
        <v>9</v>
      </c>
      <c r="E2358" s="6">
        <v>632</v>
      </c>
      <c r="F2358" s="5" t="str">
        <f>HYPERLINK("https://www.google.com/maps/search/?api=1&amp;query=24.65926793,46.62618742", "View Map")</f>
        <v>View Map</v>
      </c>
    </row>
    <row r="2359" spans="1:6" x14ac:dyDescent="0.35">
      <c r="A2359" s="4" t="s">
        <v>7487</v>
      </c>
      <c r="B2359" s="5" t="s">
        <v>5647</v>
      </c>
      <c r="C2359" s="5" t="s">
        <v>1776</v>
      </c>
      <c r="D2359" s="5" t="s">
        <v>9</v>
      </c>
      <c r="E2359" s="6">
        <v>631</v>
      </c>
      <c r="F2359" s="5" t="str">
        <f>HYPERLINK("https://www.google.com/maps/search/?api=1&amp;query=24.59826043,46.58311059", "View Map")</f>
        <v>View Map</v>
      </c>
    </row>
    <row r="2360" spans="1:6" x14ac:dyDescent="0.35">
      <c r="A2360" s="4" t="s">
        <v>7488</v>
      </c>
      <c r="B2360" s="5" t="s">
        <v>5649</v>
      </c>
      <c r="C2360" s="5" t="s">
        <v>1776</v>
      </c>
      <c r="D2360" s="5" t="s">
        <v>9</v>
      </c>
      <c r="E2360" s="6">
        <v>631</v>
      </c>
      <c r="F2360" s="5" t="str">
        <f>HYPERLINK("https://www.google.com/maps/search/?api=1&amp;query=24.74660643,46.78485708", "View Map")</f>
        <v>View Map</v>
      </c>
    </row>
    <row r="2361" spans="1:6" x14ac:dyDescent="0.35">
      <c r="A2361" s="4" t="s">
        <v>7354</v>
      </c>
      <c r="B2361" s="5" t="s">
        <v>5650</v>
      </c>
      <c r="C2361" s="5" t="s">
        <v>1776</v>
      </c>
      <c r="D2361" s="5" t="s">
        <v>9</v>
      </c>
      <c r="E2361" s="6">
        <v>631</v>
      </c>
      <c r="F2361" s="5" t="str">
        <f>HYPERLINK("https://www.google.com/maps/search/?api=1&amp;query=24.58493332,46.69495538", "View Map")</f>
        <v>View Map</v>
      </c>
    </row>
    <row r="2362" spans="1:6" x14ac:dyDescent="0.35">
      <c r="A2362" s="4" t="s">
        <v>6353</v>
      </c>
      <c r="B2362" s="5" t="s">
        <v>5651</v>
      </c>
      <c r="C2362" s="5" t="s">
        <v>1776</v>
      </c>
      <c r="D2362" s="5" t="s">
        <v>9</v>
      </c>
      <c r="E2362" s="6">
        <v>631</v>
      </c>
      <c r="F2362" s="5" t="str">
        <f>HYPERLINK("https://www.google.com/maps/search/?api=1&amp;query=24.74608103,46.79637723", "View Map")</f>
        <v>View Map</v>
      </c>
    </row>
    <row r="2363" spans="1:6" x14ac:dyDescent="0.35">
      <c r="A2363" s="4" t="s">
        <v>7489</v>
      </c>
      <c r="B2363" s="5" t="s">
        <v>5653</v>
      </c>
      <c r="C2363" s="5" t="s">
        <v>1776</v>
      </c>
      <c r="D2363" s="5" t="s">
        <v>9</v>
      </c>
      <c r="E2363" s="6">
        <v>631</v>
      </c>
      <c r="F2363" s="5" t="str">
        <f>HYPERLINK("https://www.google.com/maps/search/?api=1&amp;query=24.67219664,46.80932935", "View Map")</f>
        <v>View Map</v>
      </c>
    </row>
    <row r="2364" spans="1:6" x14ac:dyDescent="0.35">
      <c r="A2364" s="4" t="s">
        <v>7490</v>
      </c>
      <c r="B2364" s="5" t="s">
        <v>5655</v>
      </c>
      <c r="C2364" s="5" t="s">
        <v>1776</v>
      </c>
      <c r="D2364" s="5" t="s">
        <v>9</v>
      </c>
      <c r="E2364" s="6">
        <v>631</v>
      </c>
      <c r="F2364" s="5" t="str">
        <f>HYPERLINK("https://www.google.com/maps/search/?api=1&amp;query=24.6577291,46.66700156", "View Map")</f>
        <v>View Map</v>
      </c>
    </row>
    <row r="2365" spans="1:6" x14ac:dyDescent="0.35">
      <c r="A2365" s="4" t="s">
        <v>7491</v>
      </c>
      <c r="B2365" s="5" t="s">
        <v>5657</v>
      </c>
      <c r="C2365" s="5" t="s">
        <v>1776</v>
      </c>
      <c r="D2365" s="5" t="s">
        <v>9</v>
      </c>
      <c r="E2365" s="6">
        <v>630</v>
      </c>
      <c r="F2365" s="5" t="str">
        <f>HYPERLINK("https://www.google.com/maps/search/?api=1&amp;query=24.753885,46.71888321", "View Map")</f>
        <v>View Map</v>
      </c>
    </row>
    <row r="2366" spans="1:6" x14ac:dyDescent="0.35">
      <c r="A2366" s="4" t="s">
        <v>7492</v>
      </c>
      <c r="B2366" s="5" t="s">
        <v>5659</v>
      </c>
      <c r="C2366" s="5" t="s">
        <v>1776</v>
      </c>
      <c r="D2366" s="5" t="s">
        <v>9</v>
      </c>
      <c r="E2366" s="6">
        <v>630</v>
      </c>
      <c r="F2366" s="5" t="str">
        <f>HYPERLINK("https://www.google.com/maps/search/?api=1&amp;query=24.75567718,46.68313838", "View Map")</f>
        <v>View Map</v>
      </c>
    </row>
    <row r="2367" spans="1:6" x14ac:dyDescent="0.35">
      <c r="A2367" s="4" t="s">
        <v>6134</v>
      </c>
      <c r="B2367" s="5" t="s">
        <v>5660</v>
      </c>
      <c r="C2367" s="5" t="s">
        <v>1776</v>
      </c>
      <c r="D2367" s="5" t="s">
        <v>9</v>
      </c>
      <c r="E2367" s="6">
        <v>630</v>
      </c>
      <c r="F2367" s="5" t="str">
        <f>HYPERLINK("https://www.google.com/maps/search/?api=1&amp;query=24.64442634,46.55545005", "View Map")</f>
        <v>View Map</v>
      </c>
    </row>
    <row r="2368" spans="1:6" x14ac:dyDescent="0.35">
      <c r="A2368" s="4" t="s">
        <v>5978</v>
      </c>
      <c r="B2368" s="5" t="s">
        <v>5661</v>
      </c>
      <c r="C2368" s="5" t="s">
        <v>1776</v>
      </c>
      <c r="D2368" s="5" t="s">
        <v>9</v>
      </c>
      <c r="E2368" s="6">
        <v>630</v>
      </c>
      <c r="F2368" s="5" t="str">
        <f>HYPERLINK("https://www.google.com/maps/search/?api=1&amp;query=24.84236232,46.76819195", "View Map")</f>
        <v>View Map</v>
      </c>
    </row>
    <row r="2369" spans="1:6" x14ac:dyDescent="0.35">
      <c r="A2369" s="4" t="s">
        <v>7493</v>
      </c>
      <c r="B2369" s="5" t="s">
        <v>5663</v>
      </c>
      <c r="C2369" s="5" t="s">
        <v>1776</v>
      </c>
      <c r="D2369" s="5" t="s">
        <v>318</v>
      </c>
      <c r="E2369" s="6">
        <v>630</v>
      </c>
      <c r="F2369" s="5" t="str">
        <f>HYPERLINK("https://www.google.com/maps/search/?api=1&amp;query=24.67094519,46.74232063", "View Map")</f>
        <v>View Map</v>
      </c>
    </row>
    <row r="2370" spans="1:6" x14ac:dyDescent="0.35">
      <c r="A2370" s="4" t="s">
        <v>7494</v>
      </c>
      <c r="B2370" s="5" t="s">
        <v>5665</v>
      </c>
      <c r="C2370" s="5" t="s">
        <v>1776</v>
      </c>
      <c r="D2370" s="5" t="s">
        <v>9</v>
      </c>
      <c r="E2370" s="6">
        <v>630</v>
      </c>
      <c r="F2370" s="5" t="str">
        <f>HYPERLINK("https://www.google.com/maps/search/?api=1&amp;query=24.68803298,46.75817434", "View Map")</f>
        <v>View Map</v>
      </c>
    </row>
    <row r="2371" spans="1:6" x14ac:dyDescent="0.35">
      <c r="A2371" s="4" t="s">
        <v>7495</v>
      </c>
      <c r="B2371" s="5" t="s">
        <v>5667</v>
      </c>
      <c r="C2371" s="5" t="s">
        <v>1776</v>
      </c>
      <c r="D2371" s="5" t="s">
        <v>9</v>
      </c>
      <c r="E2371" s="6">
        <v>630</v>
      </c>
      <c r="F2371" s="5" t="str">
        <f>HYPERLINK("https://www.google.com/maps/search/?api=1&amp;query=24.71166402,46.77993013", "View Map")</f>
        <v>View Map</v>
      </c>
    </row>
    <row r="2372" spans="1:6" x14ac:dyDescent="0.35">
      <c r="A2372" s="4" t="s">
        <v>5972</v>
      </c>
      <c r="B2372" s="5" t="s">
        <v>5668</v>
      </c>
      <c r="C2372" s="5" t="s">
        <v>1776</v>
      </c>
      <c r="D2372" s="5" t="s">
        <v>9</v>
      </c>
      <c r="E2372" s="6">
        <v>629</v>
      </c>
      <c r="F2372" s="5" t="str">
        <f>HYPERLINK("https://www.google.com/maps/search/?api=1&amp;query=24.64797859,46.57036827", "View Map")</f>
        <v>View Map</v>
      </c>
    </row>
    <row r="2373" spans="1:6" x14ac:dyDescent="0.35">
      <c r="A2373" s="4" t="s">
        <v>7496</v>
      </c>
      <c r="B2373" s="5" t="s">
        <v>5670</v>
      </c>
      <c r="C2373" s="5" t="s">
        <v>1776</v>
      </c>
      <c r="D2373" s="5" t="s">
        <v>9</v>
      </c>
      <c r="E2373" s="6">
        <v>629</v>
      </c>
      <c r="F2373" s="5" t="str">
        <f>HYPERLINK("https://www.google.com/maps/search/?api=1&amp;query=24.56838085,46.63753815", "View Map")</f>
        <v>View Map</v>
      </c>
    </row>
    <row r="2374" spans="1:6" x14ac:dyDescent="0.35">
      <c r="A2374" s="4" t="s">
        <v>5974</v>
      </c>
      <c r="B2374" s="5" t="s">
        <v>5671</v>
      </c>
      <c r="C2374" s="5" t="s">
        <v>1776</v>
      </c>
      <c r="D2374" s="5" t="s">
        <v>9</v>
      </c>
      <c r="E2374" s="6">
        <v>629</v>
      </c>
      <c r="F2374" s="5" t="str">
        <f>HYPERLINK("https://www.google.com/maps/search/?api=1&amp;query=24.64917485,46.83991769", "View Map")</f>
        <v>View Map</v>
      </c>
    </row>
    <row r="2375" spans="1:6" x14ac:dyDescent="0.35">
      <c r="A2375" s="4" t="s">
        <v>7497</v>
      </c>
      <c r="B2375" s="5" t="s">
        <v>5673</v>
      </c>
      <c r="C2375" s="5" t="s">
        <v>1776</v>
      </c>
      <c r="D2375" s="5" t="s">
        <v>9</v>
      </c>
      <c r="E2375" s="6">
        <v>629</v>
      </c>
      <c r="F2375" s="5" t="str">
        <f>HYPERLINK("https://www.google.com/maps/search/?api=1&amp;query=24.61088732,46.71677076", "View Map")</f>
        <v>View Map</v>
      </c>
    </row>
    <row r="2376" spans="1:6" x14ac:dyDescent="0.35">
      <c r="A2376" s="4" t="s">
        <v>5978</v>
      </c>
      <c r="B2376" s="5" t="s">
        <v>5674</v>
      </c>
      <c r="C2376" s="5" t="s">
        <v>1776</v>
      </c>
      <c r="D2376" s="5" t="s">
        <v>9</v>
      </c>
      <c r="E2376" s="6">
        <v>628</v>
      </c>
      <c r="F2376" s="5" t="str">
        <f>HYPERLINK("https://www.google.com/maps/search/?api=1&amp;query=24.81483793,46.73893518", "View Map")</f>
        <v>View Map</v>
      </c>
    </row>
    <row r="2377" spans="1:6" x14ac:dyDescent="0.35">
      <c r="A2377" s="4" t="s">
        <v>7498</v>
      </c>
      <c r="B2377" s="5" t="s">
        <v>5676</v>
      </c>
      <c r="C2377" s="5" t="s">
        <v>1843</v>
      </c>
      <c r="D2377" s="5" t="s">
        <v>9</v>
      </c>
      <c r="E2377" s="6">
        <v>628</v>
      </c>
      <c r="F2377" s="5" t="str">
        <f>HYPERLINK("https://www.google.com/maps/search/?api=1&amp;query=24.74611713,46.52684451", "View Map")</f>
        <v>View Map</v>
      </c>
    </row>
    <row r="2378" spans="1:6" x14ac:dyDescent="0.35">
      <c r="A2378" s="4" t="s">
        <v>7499</v>
      </c>
      <c r="B2378" s="5" t="s">
        <v>5678</v>
      </c>
      <c r="C2378" s="5" t="s">
        <v>1776</v>
      </c>
      <c r="D2378" s="5" t="s">
        <v>9</v>
      </c>
      <c r="E2378" s="6">
        <v>628</v>
      </c>
      <c r="F2378" s="5" t="str">
        <f>HYPERLINK("https://www.google.com/maps/search/?api=1&amp;query=24.56355516,46.63332373", "View Map")</f>
        <v>View Map</v>
      </c>
    </row>
    <row r="2379" spans="1:6" x14ac:dyDescent="0.35">
      <c r="A2379" s="4" t="s">
        <v>7500</v>
      </c>
      <c r="B2379" s="5" t="s">
        <v>5680</v>
      </c>
      <c r="C2379" s="5" t="s">
        <v>1843</v>
      </c>
      <c r="D2379" s="5" t="s">
        <v>9</v>
      </c>
      <c r="E2379" s="6">
        <v>628</v>
      </c>
      <c r="F2379" s="5" t="str">
        <f>HYPERLINK("https://www.google.com/maps/search/?api=1&amp;query=24.90907686,46.44611664", "View Map")</f>
        <v>View Map</v>
      </c>
    </row>
    <row r="2380" spans="1:6" x14ac:dyDescent="0.35">
      <c r="A2380" s="4" t="s">
        <v>5974</v>
      </c>
      <c r="B2380" s="5" t="s">
        <v>5681</v>
      </c>
      <c r="C2380" s="5" t="s">
        <v>1776</v>
      </c>
      <c r="D2380" s="5" t="s">
        <v>9</v>
      </c>
      <c r="E2380" s="6">
        <v>627</v>
      </c>
      <c r="F2380" s="5" t="str">
        <f>HYPERLINK("https://www.google.com/maps/search/?api=1&amp;query=24.82721426,46.77267211", "View Map")</f>
        <v>View Map</v>
      </c>
    </row>
    <row r="2381" spans="1:6" x14ac:dyDescent="0.35">
      <c r="A2381" s="4" t="s">
        <v>7501</v>
      </c>
      <c r="B2381" s="5" t="s">
        <v>5683</v>
      </c>
      <c r="C2381" s="5" t="s">
        <v>1776</v>
      </c>
      <c r="D2381" s="5" t="s">
        <v>9</v>
      </c>
      <c r="E2381" s="6">
        <v>626</v>
      </c>
      <c r="F2381" s="5" t="str">
        <f>HYPERLINK("https://www.google.com/maps/search/?api=1&amp;query=24.7194477,46.67688108", "View Map")</f>
        <v>View Map</v>
      </c>
    </row>
    <row r="2382" spans="1:6" x14ac:dyDescent="0.35">
      <c r="A2382" s="4" t="s">
        <v>5974</v>
      </c>
      <c r="B2382" s="5" t="s">
        <v>5684</v>
      </c>
      <c r="C2382" s="5" t="s">
        <v>1776</v>
      </c>
      <c r="D2382" s="5" t="s">
        <v>9</v>
      </c>
      <c r="E2382" s="6">
        <v>625</v>
      </c>
      <c r="F2382" s="5" t="str">
        <f>HYPERLINK("https://www.google.com/maps/search/?api=1&amp;query=24.806819,46.82055937", "View Map")</f>
        <v>View Map</v>
      </c>
    </row>
    <row r="2383" spans="1:6" x14ac:dyDescent="0.35">
      <c r="A2383" s="4" t="s">
        <v>5974</v>
      </c>
      <c r="B2383" s="5" t="s">
        <v>5685</v>
      </c>
      <c r="C2383" s="5" t="s">
        <v>1776</v>
      </c>
      <c r="D2383" s="5" t="s">
        <v>9</v>
      </c>
      <c r="E2383" s="6">
        <v>625</v>
      </c>
      <c r="F2383" s="5" t="str">
        <f>HYPERLINK("https://www.google.com/maps/search/?api=1&amp;query=24.62431564,46.57222066", "View Map")</f>
        <v>View Map</v>
      </c>
    </row>
    <row r="2384" spans="1:6" x14ac:dyDescent="0.35">
      <c r="A2384" s="4" t="s">
        <v>6760</v>
      </c>
      <c r="B2384" s="5" t="s">
        <v>5686</v>
      </c>
      <c r="C2384" s="5" t="s">
        <v>1776</v>
      </c>
      <c r="D2384" s="5" t="s">
        <v>9</v>
      </c>
      <c r="E2384" s="6">
        <v>624</v>
      </c>
      <c r="F2384" s="5" t="str">
        <f>HYPERLINK("https://www.google.com/maps/search/?api=1&amp;query=24.82147802,46.64630148", "View Map")</f>
        <v>View Map</v>
      </c>
    </row>
    <row r="2385" spans="1:6" x14ac:dyDescent="0.35">
      <c r="A2385" s="4" t="s">
        <v>5974</v>
      </c>
      <c r="B2385" s="5" t="s">
        <v>5687</v>
      </c>
      <c r="C2385" s="5" t="s">
        <v>1776</v>
      </c>
      <c r="D2385" s="5" t="s">
        <v>9</v>
      </c>
      <c r="E2385" s="6">
        <v>624</v>
      </c>
      <c r="F2385" s="5" t="str">
        <f>HYPERLINK("https://www.google.com/maps/search/?api=1&amp;query=24.55789099,46.79619046", "View Map")</f>
        <v>View Map</v>
      </c>
    </row>
    <row r="2386" spans="1:6" x14ac:dyDescent="0.35">
      <c r="A2386" s="4" t="s">
        <v>6364</v>
      </c>
      <c r="B2386" s="5" t="s">
        <v>5688</v>
      </c>
      <c r="C2386" s="5" t="s">
        <v>1776</v>
      </c>
      <c r="D2386" s="5" t="s">
        <v>9</v>
      </c>
      <c r="E2386" s="6">
        <v>622</v>
      </c>
      <c r="F2386" s="5" t="str">
        <f>HYPERLINK("https://www.google.com/maps/search/?api=1&amp;query=24.69569309,46.86418031", "View Map")</f>
        <v>View Map</v>
      </c>
    </row>
    <row r="2387" spans="1:6" x14ac:dyDescent="0.35">
      <c r="A2387" s="4" t="s">
        <v>6134</v>
      </c>
      <c r="B2387" s="5" t="s">
        <v>5689</v>
      </c>
      <c r="C2387" s="5" t="s">
        <v>1776</v>
      </c>
      <c r="D2387" s="5" t="s">
        <v>9</v>
      </c>
      <c r="E2387" s="6">
        <v>622</v>
      </c>
      <c r="F2387" s="5" t="str">
        <f>HYPERLINK("https://www.google.com/maps/search/?api=1&amp;query=24.80660484,46.6263806", "View Map")</f>
        <v>View Map</v>
      </c>
    </row>
    <row r="2388" spans="1:6" x14ac:dyDescent="0.35">
      <c r="A2388" s="4" t="s">
        <v>5974</v>
      </c>
      <c r="B2388" s="5" t="s">
        <v>5690</v>
      </c>
      <c r="C2388" s="5" t="s">
        <v>1776</v>
      </c>
      <c r="D2388" s="5" t="s">
        <v>318</v>
      </c>
      <c r="E2388" s="6">
        <v>621</v>
      </c>
      <c r="F2388" s="5" t="str">
        <f>HYPERLINK("https://www.google.com/maps/search/?api=1&amp;query=24.80672,46.68404", "View Map")</f>
        <v>View Map</v>
      </c>
    </row>
    <row r="2389" spans="1:6" x14ac:dyDescent="0.35">
      <c r="A2389" s="4" t="s">
        <v>6788</v>
      </c>
      <c r="B2389" s="5" t="s">
        <v>5691</v>
      </c>
      <c r="C2389" s="5" t="s">
        <v>1776</v>
      </c>
      <c r="D2389" s="5" t="s">
        <v>9</v>
      </c>
      <c r="E2389" s="6">
        <v>621</v>
      </c>
      <c r="F2389" s="5" t="str">
        <f>HYPERLINK("https://www.google.com/maps/search/?api=1&amp;query=24.54554412,46.71511112", "View Map")</f>
        <v>View Map</v>
      </c>
    </row>
    <row r="2390" spans="1:6" x14ac:dyDescent="0.35">
      <c r="A2390" s="4" t="s">
        <v>7502</v>
      </c>
      <c r="B2390" s="5" t="s">
        <v>5693</v>
      </c>
      <c r="C2390" s="5" t="s">
        <v>1776</v>
      </c>
      <c r="D2390" s="5" t="s">
        <v>9</v>
      </c>
      <c r="E2390" s="6">
        <v>620</v>
      </c>
      <c r="F2390" s="5" t="str">
        <f>HYPERLINK("https://www.google.com/maps/search/?api=1&amp;query=24.82866537,46.75032105", "View Map")</f>
        <v>View Map</v>
      </c>
    </row>
    <row r="2391" spans="1:6" x14ac:dyDescent="0.35">
      <c r="A2391" s="4" t="s">
        <v>5974</v>
      </c>
      <c r="B2391" s="5" t="s">
        <v>5694</v>
      </c>
      <c r="C2391" s="5" t="s">
        <v>1776</v>
      </c>
      <c r="D2391" s="5" t="s">
        <v>9</v>
      </c>
      <c r="E2391" s="6">
        <v>620</v>
      </c>
      <c r="F2391" s="5" t="str">
        <f>HYPERLINK("https://www.google.com/maps/search/?api=1&amp;query=24.80049235,46.83531518", "View Map")</f>
        <v>View Map</v>
      </c>
    </row>
    <row r="2392" spans="1:6" x14ac:dyDescent="0.35">
      <c r="A2392" s="4" t="s">
        <v>7503</v>
      </c>
      <c r="B2392" s="5" t="s">
        <v>5696</v>
      </c>
      <c r="C2392" s="5" t="s">
        <v>1776</v>
      </c>
      <c r="D2392" s="5" t="s">
        <v>9</v>
      </c>
      <c r="E2392" s="6">
        <v>618</v>
      </c>
      <c r="F2392" s="5" t="str">
        <f>HYPERLINK("https://www.google.com/maps/search/?api=1&amp;query=24.6782855,46.81130859", "View Map")</f>
        <v>View Map</v>
      </c>
    </row>
    <row r="2393" spans="1:6" x14ac:dyDescent="0.35">
      <c r="A2393" s="4" t="s">
        <v>5974</v>
      </c>
      <c r="B2393" s="5" t="s">
        <v>5697</v>
      </c>
      <c r="C2393" s="5" t="s">
        <v>1776</v>
      </c>
      <c r="D2393" s="5" t="s">
        <v>9</v>
      </c>
      <c r="E2393" s="6">
        <v>617</v>
      </c>
      <c r="F2393" s="5" t="str">
        <f>HYPERLINK("https://www.google.com/maps/search/?api=1&amp;query=24.88107218,46.61798141", "View Map")</f>
        <v>View Map</v>
      </c>
    </row>
    <row r="2394" spans="1:6" x14ac:dyDescent="0.35">
      <c r="A2394" s="4" t="s">
        <v>7504</v>
      </c>
      <c r="B2394" s="5" t="s">
        <v>5699</v>
      </c>
      <c r="C2394" s="5" t="s">
        <v>1776</v>
      </c>
      <c r="D2394" s="5" t="s">
        <v>9</v>
      </c>
      <c r="E2394" s="6">
        <v>616</v>
      </c>
      <c r="F2394" s="5" t="str">
        <f>HYPERLINK("https://www.google.com/maps/search/?api=1&amp;query=24.59165387,46.7092736", "View Map")</f>
        <v>View Map</v>
      </c>
    </row>
    <row r="2395" spans="1:6" x14ac:dyDescent="0.35">
      <c r="A2395" s="4" t="s">
        <v>7505</v>
      </c>
      <c r="B2395" s="5" t="s">
        <v>5701</v>
      </c>
      <c r="C2395" s="5" t="s">
        <v>1776</v>
      </c>
      <c r="D2395" s="5" t="s">
        <v>9</v>
      </c>
      <c r="E2395" s="6">
        <v>616</v>
      </c>
      <c r="F2395" s="5" t="str">
        <f>HYPERLINK("https://www.google.com/maps/search/?api=1&amp;query=24.81959664,46.64769764", "View Map")</f>
        <v>View Map</v>
      </c>
    </row>
    <row r="2396" spans="1:6" x14ac:dyDescent="0.35">
      <c r="A2396" s="4" t="s">
        <v>7154</v>
      </c>
      <c r="B2396" s="5" t="s">
        <v>5702</v>
      </c>
      <c r="C2396" s="5" t="s">
        <v>1776</v>
      </c>
      <c r="D2396" s="5" t="s">
        <v>9</v>
      </c>
      <c r="E2396" s="6">
        <v>615</v>
      </c>
      <c r="F2396" s="5" t="str">
        <f>HYPERLINK("https://www.google.com/maps/search/?api=1&amp;query=24.62143437,46.7524683", "View Map")</f>
        <v>View Map</v>
      </c>
    </row>
    <row r="2397" spans="1:6" x14ac:dyDescent="0.35">
      <c r="A2397" s="4" t="s">
        <v>7506</v>
      </c>
      <c r="B2397" s="5" t="s">
        <v>5704</v>
      </c>
      <c r="C2397" s="5" t="s">
        <v>1776</v>
      </c>
      <c r="D2397" s="5" t="s">
        <v>9</v>
      </c>
      <c r="E2397" s="6">
        <v>614</v>
      </c>
      <c r="F2397" s="5" t="str">
        <f>HYPERLINK("https://www.google.com/maps/search/?api=1&amp;query=24.59371936,46.68073571", "View Map")</f>
        <v>View Map</v>
      </c>
    </row>
    <row r="2398" spans="1:6" x14ac:dyDescent="0.35">
      <c r="A2398" s="4" t="s">
        <v>7507</v>
      </c>
      <c r="B2398" s="5" t="s">
        <v>5706</v>
      </c>
      <c r="C2398" s="5" t="s">
        <v>1776</v>
      </c>
      <c r="D2398" s="5" t="s">
        <v>9</v>
      </c>
      <c r="E2398" s="6">
        <v>614</v>
      </c>
      <c r="F2398" s="5" t="str">
        <f>HYPERLINK("https://www.google.com/maps/search/?api=1&amp;query=24.57897632,46.58187586", "View Map")</f>
        <v>View Map</v>
      </c>
    </row>
    <row r="2399" spans="1:6" x14ac:dyDescent="0.35">
      <c r="A2399" s="4" t="s">
        <v>6039</v>
      </c>
      <c r="B2399" s="5" t="s">
        <v>5707</v>
      </c>
      <c r="C2399" s="5" t="s">
        <v>1776</v>
      </c>
      <c r="D2399" s="5" t="s">
        <v>318</v>
      </c>
      <c r="E2399" s="6">
        <v>612</v>
      </c>
      <c r="F2399" s="5" t="str">
        <f>HYPERLINK("https://www.google.com/maps/search/?api=1&amp;query=24.56143855,46.55122751", "View Map")</f>
        <v>View Map</v>
      </c>
    </row>
    <row r="2400" spans="1:6" x14ac:dyDescent="0.35">
      <c r="A2400" s="4" t="s">
        <v>5974</v>
      </c>
      <c r="B2400" s="5" t="s">
        <v>5708</v>
      </c>
      <c r="C2400" s="5" t="s">
        <v>1776</v>
      </c>
      <c r="D2400" s="5" t="s">
        <v>318</v>
      </c>
      <c r="E2400" s="6">
        <v>610</v>
      </c>
      <c r="F2400" s="5" t="str">
        <f>HYPERLINK("https://www.google.com/maps/search/?api=1&amp;query=24.83047201,46.60662697", "View Map")</f>
        <v>View Map</v>
      </c>
    </row>
    <row r="2401" spans="1:6" x14ac:dyDescent="0.35">
      <c r="A2401" s="4" t="s">
        <v>7508</v>
      </c>
      <c r="B2401" s="5" t="s">
        <v>5710</v>
      </c>
      <c r="C2401" s="5" t="s">
        <v>1776</v>
      </c>
      <c r="D2401" s="5" t="s">
        <v>9</v>
      </c>
      <c r="E2401" s="6">
        <v>603</v>
      </c>
      <c r="F2401" s="5" t="str">
        <f>HYPERLINK("https://www.google.com/maps/search/?api=1&amp;query=24.81315951,46.79012088", "View Map")</f>
        <v>View Map</v>
      </c>
    </row>
    <row r="2402" spans="1:6" x14ac:dyDescent="0.35">
      <c r="A2402" s="4" t="s">
        <v>7509</v>
      </c>
      <c r="B2402" s="5" t="s">
        <v>5712</v>
      </c>
      <c r="C2402" s="5" t="s">
        <v>1776</v>
      </c>
      <c r="D2402" s="5" t="s">
        <v>9</v>
      </c>
      <c r="E2402" s="6">
        <v>596</v>
      </c>
      <c r="F2402" s="5" t="str">
        <f>HYPERLINK("https://www.google.com/maps/search/?api=1&amp;query=24.77399065,46.6159704", "View Map")</f>
        <v>View Map</v>
      </c>
    </row>
    <row r="2403" spans="1:6" x14ac:dyDescent="0.35">
      <c r="A2403" s="4" t="s">
        <v>7510</v>
      </c>
      <c r="B2403" s="5" t="s">
        <v>5714</v>
      </c>
      <c r="C2403" s="5" t="s">
        <v>1776</v>
      </c>
      <c r="D2403" s="5" t="s">
        <v>9</v>
      </c>
      <c r="E2403" s="6">
        <v>595</v>
      </c>
      <c r="F2403" s="5" t="str">
        <f>HYPERLINK("https://www.google.com/maps/search/?api=1&amp;query=24.61597068,46.7530875", "View Map")</f>
        <v>View Map</v>
      </c>
    </row>
    <row r="2404" spans="1:6" x14ac:dyDescent="0.35">
      <c r="A2404" s="4" t="s">
        <v>7511</v>
      </c>
      <c r="B2404" s="5" t="s">
        <v>5716</v>
      </c>
      <c r="C2404" s="5" t="s">
        <v>1776</v>
      </c>
      <c r="D2404" s="5" t="s">
        <v>9</v>
      </c>
      <c r="E2404" s="6">
        <v>594</v>
      </c>
      <c r="F2404" s="5" t="str">
        <f>HYPERLINK("https://www.google.com/maps/search/?api=1&amp;query=24.59000063,46.76508727", "View Map")</f>
        <v>View Map</v>
      </c>
    </row>
    <row r="2405" spans="1:6" x14ac:dyDescent="0.35">
      <c r="A2405" s="4" t="s">
        <v>7512</v>
      </c>
      <c r="B2405" s="5" t="s">
        <v>5718</v>
      </c>
      <c r="C2405" s="5" t="s">
        <v>1776</v>
      </c>
      <c r="D2405" s="5" t="s">
        <v>9</v>
      </c>
      <c r="E2405" s="6">
        <v>594</v>
      </c>
      <c r="F2405" s="5" t="str">
        <f>HYPERLINK("https://www.google.com/maps/search/?api=1&amp;query=24.60373375,46.72476116", "View Map")</f>
        <v>View Map</v>
      </c>
    </row>
    <row r="2406" spans="1:6" x14ac:dyDescent="0.35">
      <c r="A2406" s="4" t="s">
        <v>7513</v>
      </c>
      <c r="B2406" s="5" t="s">
        <v>5720</v>
      </c>
      <c r="C2406" s="5" t="s">
        <v>1776</v>
      </c>
      <c r="D2406" s="5" t="s">
        <v>9</v>
      </c>
      <c r="E2406" s="6">
        <v>589</v>
      </c>
      <c r="F2406" s="5" t="str">
        <f>HYPERLINK("https://www.google.com/maps/search/?api=1&amp;query=24.7059,46.70366", "View Map")</f>
        <v>View Map</v>
      </c>
    </row>
    <row r="2407" spans="1:6" x14ac:dyDescent="0.35">
      <c r="A2407" s="4" t="s">
        <v>6039</v>
      </c>
      <c r="B2407" s="5" t="s">
        <v>5721</v>
      </c>
      <c r="C2407" s="5" t="s">
        <v>1776</v>
      </c>
      <c r="D2407" s="5" t="s">
        <v>9</v>
      </c>
      <c r="E2407" s="6">
        <v>588</v>
      </c>
      <c r="F2407" s="5" t="str">
        <f>HYPERLINK("https://www.google.com/maps/search/?api=1&amp;query=24.55363955,46.6674507", "View Map")</f>
        <v>View Map</v>
      </c>
    </row>
    <row r="2408" spans="1:6" x14ac:dyDescent="0.35">
      <c r="A2408" s="4" t="s">
        <v>7514</v>
      </c>
      <c r="B2408" s="5" t="s">
        <v>5723</v>
      </c>
      <c r="C2408" s="5" t="s">
        <v>1776</v>
      </c>
      <c r="D2408" s="5" t="s">
        <v>9</v>
      </c>
      <c r="E2408" s="6">
        <v>577</v>
      </c>
      <c r="F2408" s="5" t="str">
        <f>HYPERLINK("https://www.google.com/maps/search/?api=1&amp;query=24.58672745,46.53021536", "View Map")</f>
        <v>View Map</v>
      </c>
    </row>
    <row r="2409" spans="1:6" x14ac:dyDescent="0.35">
      <c r="A2409" s="4" t="s">
        <v>7515</v>
      </c>
      <c r="B2409" s="5" t="s">
        <v>5725</v>
      </c>
      <c r="C2409" s="5" t="s">
        <v>1776</v>
      </c>
      <c r="D2409" s="5" t="s">
        <v>9</v>
      </c>
      <c r="E2409" s="6">
        <v>575</v>
      </c>
      <c r="F2409" s="5" t="str">
        <f>HYPERLINK("https://www.google.com/maps/search/?api=1&amp;query=24.59360186,46.66058462", "View Map")</f>
        <v>View Map</v>
      </c>
    </row>
    <row r="2410" spans="1:6" x14ac:dyDescent="0.35">
      <c r="A2410" s="4" t="s">
        <v>7516</v>
      </c>
      <c r="B2410" s="5" t="s">
        <v>5727</v>
      </c>
      <c r="C2410" s="5" t="s">
        <v>1776</v>
      </c>
      <c r="D2410" s="5" t="s">
        <v>9</v>
      </c>
      <c r="E2410" s="6">
        <v>572</v>
      </c>
      <c r="F2410" s="5" t="str">
        <f>HYPERLINK("https://www.google.com/maps/search/?api=1&amp;query=24.69909441,46.82676965", "View Map")</f>
        <v>View Map</v>
      </c>
    </row>
    <row r="2411" spans="1:6" x14ac:dyDescent="0.35">
      <c r="A2411" s="4" t="s">
        <v>5974</v>
      </c>
      <c r="B2411" s="5" t="s">
        <v>5728</v>
      </c>
      <c r="C2411" s="5" t="s">
        <v>1776</v>
      </c>
      <c r="D2411" s="5" t="s">
        <v>318</v>
      </c>
      <c r="E2411" s="6">
        <v>571</v>
      </c>
      <c r="F2411" s="5" t="str">
        <f>HYPERLINK("https://www.google.com/maps/search/?api=1&amp;query=24.74719087,46.62624905", "View Map")</f>
        <v>View Map</v>
      </c>
    </row>
    <row r="2412" spans="1:6" x14ac:dyDescent="0.35">
      <c r="A2412" s="4" t="s">
        <v>5974</v>
      </c>
      <c r="B2412" s="5" t="s">
        <v>5729</v>
      </c>
      <c r="C2412" s="5" t="s">
        <v>1776</v>
      </c>
      <c r="D2412" s="5" t="s">
        <v>9</v>
      </c>
      <c r="E2412" s="6">
        <v>567</v>
      </c>
      <c r="F2412" s="5" t="str">
        <f>HYPERLINK("https://www.google.com/maps/search/?api=1&amp;query=24.7851743,46.90611436", "View Map")</f>
        <v>View Map</v>
      </c>
    </row>
    <row r="2413" spans="1:6" x14ac:dyDescent="0.35">
      <c r="A2413" s="4" t="s">
        <v>7517</v>
      </c>
      <c r="B2413" s="5" t="s">
        <v>5731</v>
      </c>
      <c r="C2413" s="5" t="s">
        <v>1776</v>
      </c>
      <c r="D2413" s="5" t="s">
        <v>318</v>
      </c>
      <c r="E2413" s="6">
        <v>561</v>
      </c>
      <c r="F2413" s="5" t="str">
        <f>HYPERLINK("https://www.google.com/maps/search/?api=1&amp;query=24.6256551,46.69616648", "View Map")</f>
        <v>View Map</v>
      </c>
    </row>
    <row r="2414" spans="1:6" x14ac:dyDescent="0.35">
      <c r="A2414" s="4" t="s">
        <v>7518</v>
      </c>
      <c r="B2414" s="5" t="s">
        <v>5733</v>
      </c>
      <c r="C2414" s="5" t="s">
        <v>1776</v>
      </c>
      <c r="D2414" s="5" t="s">
        <v>9</v>
      </c>
      <c r="E2414" s="6">
        <v>556</v>
      </c>
      <c r="F2414" s="5" t="str">
        <f>HYPERLINK("https://www.google.com/maps/search/?api=1&amp;query=24.6054738,46.65457095", "View Map")</f>
        <v>View Map</v>
      </c>
    </row>
    <row r="2415" spans="1:6" x14ac:dyDescent="0.35">
      <c r="A2415" s="4" t="s">
        <v>5974</v>
      </c>
      <c r="B2415" s="5" t="s">
        <v>5734</v>
      </c>
      <c r="C2415" s="5" t="s">
        <v>1776</v>
      </c>
      <c r="D2415" s="5" t="s">
        <v>318</v>
      </c>
      <c r="E2415" s="6">
        <v>553</v>
      </c>
      <c r="F2415" s="5" t="str">
        <f>HYPERLINK("https://www.google.com/maps/search/?api=1&amp;query=24.8292,46.7397", "View Map")</f>
        <v>View Map</v>
      </c>
    </row>
    <row r="2416" spans="1:6" x14ac:dyDescent="0.35">
      <c r="A2416" s="4" t="s">
        <v>7519</v>
      </c>
      <c r="B2416" s="5" t="s">
        <v>5736</v>
      </c>
      <c r="C2416" s="5" t="s">
        <v>1776</v>
      </c>
      <c r="D2416" s="5" t="s">
        <v>318</v>
      </c>
      <c r="E2416" s="6">
        <v>528</v>
      </c>
      <c r="F2416" s="5" t="str">
        <f>HYPERLINK("https://www.google.com/maps/search/?api=1&amp;query=24.68521954,46.78836918", "View Map")</f>
        <v>View Map</v>
      </c>
    </row>
    <row r="2417" spans="1:6" x14ac:dyDescent="0.35">
      <c r="A2417" s="4" t="s">
        <v>6225</v>
      </c>
      <c r="B2417" s="5" t="s">
        <v>5737</v>
      </c>
      <c r="C2417" s="5" t="s">
        <v>1776</v>
      </c>
      <c r="D2417" s="5" t="s">
        <v>9</v>
      </c>
      <c r="E2417" s="6">
        <v>527</v>
      </c>
      <c r="F2417" s="5" t="str">
        <f>HYPERLINK("https://www.google.com/maps/search/?api=1&amp;query=24.6064935,46.75478962", "View Map")</f>
        <v>View Map</v>
      </c>
    </row>
    <row r="2418" spans="1:6" x14ac:dyDescent="0.35">
      <c r="A2418" s="4" t="s">
        <v>7520</v>
      </c>
      <c r="B2418" s="5" t="s">
        <v>5739</v>
      </c>
      <c r="C2418" s="5" t="s">
        <v>1776</v>
      </c>
      <c r="D2418" s="5" t="s">
        <v>318</v>
      </c>
      <c r="E2418" s="6">
        <v>522</v>
      </c>
      <c r="F2418" s="5" t="str">
        <f>HYPERLINK("https://www.google.com/maps/search/?api=1&amp;query=24.76169202,46.65921203", "View Map")</f>
        <v>View Map</v>
      </c>
    </row>
    <row r="2419" spans="1:6" x14ac:dyDescent="0.35">
      <c r="A2419" s="4" t="s">
        <v>7521</v>
      </c>
      <c r="B2419" s="5" t="s">
        <v>5741</v>
      </c>
      <c r="C2419" s="5" t="s">
        <v>1776</v>
      </c>
      <c r="D2419" s="5" t="s">
        <v>318</v>
      </c>
      <c r="E2419" s="6">
        <v>506</v>
      </c>
      <c r="F2419" s="5" t="str">
        <f>HYPERLINK("https://www.google.com/maps/search/?api=1&amp;query=24.53960025,46.66354464", "View Map")</f>
        <v>View Map</v>
      </c>
    </row>
    <row r="2420" spans="1:6" x14ac:dyDescent="0.35">
      <c r="A2420" s="4" t="s">
        <v>7522</v>
      </c>
      <c r="B2420" s="5" t="s">
        <v>5743</v>
      </c>
      <c r="C2420" s="5" t="s">
        <v>1776</v>
      </c>
      <c r="D2420" s="5" t="s">
        <v>318</v>
      </c>
      <c r="E2420" s="6">
        <v>503</v>
      </c>
      <c r="F2420" s="5" t="str">
        <f>HYPERLINK("https://www.google.com/maps/search/?api=1&amp;query=24.72476077,46.84399062", "View Map")</f>
        <v>View Map</v>
      </c>
    </row>
    <row r="2421" spans="1:6" x14ac:dyDescent="0.35">
      <c r="A2421" s="4" t="s">
        <v>7523</v>
      </c>
      <c r="B2421" s="5" t="s">
        <v>5745</v>
      </c>
      <c r="C2421" s="5" t="s">
        <v>1776</v>
      </c>
      <c r="D2421" s="5" t="s">
        <v>318</v>
      </c>
      <c r="E2421" s="6">
        <v>487</v>
      </c>
      <c r="F2421" s="5" t="str">
        <f>HYPERLINK("https://www.google.com/maps/search/?api=1&amp;query=24.76524922,46.6271013", "View Map")</f>
        <v>View Map</v>
      </c>
    </row>
    <row r="2422" spans="1:6" x14ac:dyDescent="0.35">
      <c r="A2422" s="4" t="s">
        <v>7524</v>
      </c>
      <c r="B2422" s="5" t="s">
        <v>5747</v>
      </c>
      <c r="C2422" s="5" t="s">
        <v>1776</v>
      </c>
      <c r="D2422" s="5" t="s">
        <v>318</v>
      </c>
      <c r="E2422" s="6">
        <v>481</v>
      </c>
      <c r="F2422" s="5" t="str">
        <f>HYPERLINK("https://www.google.com/maps/search/?api=1&amp;query=24.73463634,46.77801906", "View Map")</f>
        <v>View Map</v>
      </c>
    </row>
    <row r="2423" spans="1:6" x14ac:dyDescent="0.35">
      <c r="A2423" s="4" t="s">
        <v>6442</v>
      </c>
      <c r="B2423" s="5" t="s">
        <v>5748</v>
      </c>
      <c r="C2423" s="5" t="s">
        <v>1776</v>
      </c>
      <c r="D2423" s="5" t="s">
        <v>9</v>
      </c>
      <c r="E2423" s="6">
        <v>481</v>
      </c>
      <c r="F2423" s="5" t="str">
        <f>HYPERLINK("https://www.google.com/maps/search/?api=1&amp;query=24.78133486,46.73659842", "View Map")</f>
        <v>View Map</v>
      </c>
    </row>
    <row r="2424" spans="1:6" x14ac:dyDescent="0.35">
      <c r="A2424" s="4" t="s">
        <v>6939</v>
      </c>
      <c r="B2424" s="5" t="s">
        <v>5749</v>
      </c>
      <c r="C2424" s="5" t="s">
        <v>1776</v>
      </c>
      <c r="D2424" s="5" t="s">
        <v>318</v>
      </c>
      <c r="E2424" s="6">
        <v>458</v>
      </c>
      <c r="F2424" s="5" t="str">
        <f>HYPERLINK("https://www.google.com/maps/search/?api=1&amp;query=24.56253719,46.80417442", "View Map")</f>
        <v>View Map</v>
      </c>
    </row>
    <row r="2425" spans="1:6" x14ac:dyDescent="0.35">
      <c r="A2425" s="4" t="s">
        <v>7525</v>
      </c>
      <c r="B2425" s="5" t="s">
        <v>5751</v>
      </c>
      <c r="C2425" s="5" t="s">
        <v>1776</v>
      </c>
      <c r="D2425" s="5" t="s">
        <v>9</v>
      </c>
      <c r="E2425" s="6">
        <v>456</v>
      </c>
      <c r="F2425" s="5" t="str">
        <f>HYPERLINK("https://www.google.com/maps/search/?api=1&amp;query=24.62691815,46.54646608", "View Map")</f>
        <v>View Map</v>
      </c>
    </row>
    <row r="2426" spans="1:6" x14ac:dyDescent="0.35">
      <c r="A2426" s="4" t="s">
        <v>7526</v>
      </c>
      <c r="B2426" s="5" t="s">
        <v>5753</v>
      </c>
      <c r="C2426" s="5" t="s">
        <v>1776</v>
      </c>
      <c r="D2426" s="5" t="s">
        <v>9</v>
      </c>
      <c r="E2426" s="6">
        <v>453</v>
      </c>
      <c r="F2426" s="5" t="str">
        <f>HYPERLINK("https://www.google.com/maps/search/?api=1&amp;query=24.75339638,46.65612992", "View Map")</f>
        <v>View Map</v>
      </c>
    </row>
    <row r="2427" spans="1:6" x14ac:dyDescent="0.35">
      <c r="A2427" s="4" t="s">
        <v>5972</v>
      </c>
      <c r="B2427" s="5" t="s">
        <v>5754</v>
      </c>
      <c r="C2427" s="5" t="s">
        <v>1776</v>
      </c>
      <c r="D2427" s="5" t="s">
        <v>318</v>
      </c>
      <c r="E2427" s="6">
        <v>449</v>
      </c>
      <c r="F2427" s="5" t="str">
        <f>HYPERLINK("https://www.google.com/maps/search/?api=1&amp;query=24.64037295,46.55897973", "View Map")</f>
        <v>View Map</v>
      </c>
    </row>
    <row r="2428" spans="1:6" x14ac:dyDescent="0.35">
      <c r="A2428" s="4" t="s">
        <v>7527</v>
      </c>
      <c r="B2428" s="5" t="s">
        <v>5756</v>
      </c>
      <c r="C2428" s="5" t="s">
        <v>1776</v>
      </c>
      <c r="D2428" s="5" t="s">
        <v>318</v>
      </c>
      <c r="E2428" s="6">
        <v>442</v>
      </c>
      <c r="F2428" s="5" t="str">
        <f>HYPERLINK("https://www.google.com/maps/search/?api=1&amp;query=24.54308192,46.68968095", "View Map")</f>
        <v>View Map</v>
      </c>
    </row>
    <row r="2429" spans="1:6" x14ac:dyDescent="0.35">
      <c r="A2429" s="4" t="s">
        <v>7528</v>
      </c>
      <c r="B2429" s="5" t="s">
        <v>5758</v>
      </c>
      <c r="C2429" s="5" t="s">
        <v>1776</v>
      </c>
      <c r="D2429" s="5" t="s">
        <v>318</v>
      </c>
      <c r="E2429" s="6">
        <v>435</v>
      </c>
      <c r="F2429" s="5" t="str">
        <f>HYPERLINK("https://www.google.com/maps/search/?api=1&amp;query=24.57108441,46.53949635", "View Map")</f>
        <v>View Map</v>
      </c>
    </row>
    <row r="2430" spans="1:6" x14ac:dyDescent="0.35">
      <c r="A2430" s="4" t="s">
        <v>5972</v>
      </c>
      <c r="B2430" s="5" t="s">
        <v>5759</v>
      </c>
      <c r="C2430" s="5" t="s">
        <v>1843</v>
      </c>
      <c r="D2430" s="5" t="s">
        <v>318</v>
      </c>
      <c r="E2430" s="6">
        <v>425</v>
      </c>
      <c r="F2430" s="5" t="str">
        <f>HYPERLINK("https://www.google.com/maps/search/?api=1&amp;query=24.89494171,46.44201942", "View Map")</f>
        <v>View Map</v>
      </c>
    </row>
    <row r="2431" spans="1:6" x14ac:dyDescent="0.35">
      <c r="A2431" s="4" t="s">
        <v>6113</v>
      </c>
      <c r="B2431" s="5" t="s">
        <v>5760</v>
      </c>
      <c r="C2431" s="5" t="s">
        <v>1776</v>
      </c>
      <c r="D2431" s="5" t="s">
        <v>318</v>
      </c>
      <c r="E2431" s="6">
        <v>424</v>
      </c>
      <c r="F2431" s="5" t="str">
        <f>HYPERLINK("https://www.google.com/maps/search/?api=1&amp;query=24.7685038,46.77489772", "View Map")</f>
        <v>View Map</v>
      </c>
    </row>
    <row r="2432" spans="1:6" x14ac:dyDescent="0.35">
      <c r="A2432" s="4" t="s">
        <v>7529</v>
      </c>
      <c r="B2432" s="5" t="s">
        <v>5762</v>
      </c>
      <c r="C2432" s="5" t="s">
        <v>1776</v>
      </c>
      <c r="D2432" s="5" t="s">
        <v>318</v>
      </c>
      <c r="E2432" s="6">
        <v>423</v>
      </c>
      <c r="F2432" s="5" t="str">
        <f>HYPERLINK("https://www.google.com/maps/search/?api=1&amp;query=24.67011137,46.79344317", "View Map")</f>
        <v>View Map</v>
      </c>
    </row>
    <row r="2433" spans="1:6" x14ac:dyDescent="0.35">
      <c r="A2433" s="4" t="s">
        <v>7530</v>
      </c>
      <c r="B2433" s="5" t="s">
        <v>5764</v>
      </c>
      <c r="C2433" s="5" t="s">
        <v>1776</v>
      </c>
      <c r="D2433" s="5" t="s">
        <v>318</v>
      </c>
      <c r="E2433" s="6">
        <v>422</v>
      </c>
      <c r="F2433" s="5" t="str">
        <f>HYPERLINK("https://www.google.com/maps/search/?api=1&amp;query=24.69925973,46.62485364", "View Map")</f>
        <v>View Map</v>
      </c>
    </row>
    <row r="2434" spans="1:6" x14ac:dyDescent="0.35">
      <c r="A2434" s="4" t="s">
        <v>7531</v>
      </c>
      <c r="B2434" s="5" t="s">
        <v>5766</v>
      </c>
      <c r="C2434" s="5" t="s">
        <v>1776</v>
      </c>
      <c r="D2434" s="5" t="s">
        <v>318</v>
      </c>
      <c r="E2434" s="6">
        <v>419</v>
      </c>
      <c r="F2434" s="5" t="str">
        <f>HYPERLINK("https://www.google.com/maps/search/?api=1&amp;query=24.73463634,46.77801906", "View Map")</f>
        <v>View Map</v>
      </c>
    </row>
    <row r="2435" spans="1:6" x14ac:dyDescent="0.35">
      <c r="A2435" s="4" t="s">
        <v>7532</v>
      </c>
      <c r="B2435" s="5" t="s">
        <v>5768</v>
      </c>
      <c r="C2435" s="5" t="s">
        <v>1776</v>
      </c>
      <c r="D2435" s="5" t="s">
        <v>318</v>
      </c>
      <c r="E2435" s="6">
        <v>418</v>
      </c>
      <c r="F2435" s="5" t="str">
        <f>HYPERLINK("https://www.google.com/maps/search/?api=1&amp;query=24.73424269,46.77802372", "View Map")</f>
        <v>View Map</v>
      </c>
    </row>
    <row r="2436" spans="1:6" x14ac:dyDescent="0.35">
      <c r="A2436" s="4" t="s">
        <v>7533</v>
      </c>
      <c r="B2436" s="5" t="s">
        <v>5770</v>
      </c>
      <c r="C2436" s="5" t="s">
        <v>1776</v>
      </c>
      <c r="D2436" s="5" t="s">
        <v>9</v>
      </c>
      <c r="E2436" s="6">
        <v>416</v>
      </c>
      <c r="F2436" s="5" t="str">
        <f>HYPERLINK("https://www.google.com/maps/search/?api=1&amp;query=24.5010915,46.62421355", "View Map")</f>
        <v>View Map</v>
      </c>
    </row>
    <row r="2437" spans="1:6" x14ac:dyDescent="0.35">
      <c r="A2437" s="4" t="s">
        <v>7534</v>
      </c>
      <c r="B2437" s="5" t="s">
        <v>5772</v>
      </c>
      <c r="C2437" s="5" t="s">
        <v>1776</v>
      </c>
      <c r="D2437" s="5" t="s">
        <v>318</v>
      </c>
      <c r="E2437" s="6">
        <v>411</v>
      </c>
      <c r="F2437" s="5" t="str">
        <f>HYPERLINK("https://www.google.com/maps/search/?api=1&amp;query=24.68752605,46.83081952", "View Map")</f>
        <v>View Map</v>
      </c>
    </row>
    <row r="2438" spans="1:6" x14ac:dyDescent="0.35">
      <c r="A2438" s="4" t="s">
        <v>5974</v>
      </c>
      <c r="B2438" s="5" t="s">
        <v>5773</v>
      </c>
      <c r="C2438" s="5" t="s">
        <v>1776</v>
      </c>
      <c r="D2438" s="5" t="s">
        <v>318</v>
      </c>
      <c r="E2438" s="6">
        <v>406</v>
      </c>
      <c r="F2438" s="5" t="str">
        <f>HYPERLINK("https://www.google.com/maps/search/?api=1&amp;query=24.62169553,46.74022461", "View Map")</f>
        <v>View Map</v>
      </c>
    </row>
    <row r="2439" spans="1:6" x14ac:dyDescent="0.35">
      <c r="A2439" s="4" t="s">
        <v>7535</v>
      </c>
      <c r="B2439" s="5" t="s">
        <v>5775</v>
      </c>
      <c r="C2439" s="5" t="s">
        <v>1776</v>
      </c>
      <c r="D2439" s="5" t="s">
        <v>318</v>
      </c>
      <c r="E2439" s="6">
        <v>404</v>
      </c>
      <c r="F2439" s="5" t="str">
        <f>HYPERLINK("https://www.google.com/maps/search/?api=1&amp;query=24.65851891,46.80514329", "View Map")</f>
        <v>View Map</v>
      </c>
    </row>
    <row r="2440" spans="1:6" x14ac:dyDescent="0.35">
      <c r="A2440" s="4" t="s">
        <v>5974</v>
      </c>
      <c r="B2440" s="5" t="s">
        <v>5776</v>
      </c>
      <c r="C2440" s="5" t="s">
        <v>1843</v>
      </c>
      <c r="D2440" s="5" t="s">
        <v>318</v>
      </c>
      <c r="E2440" s="6">
        <v>402</v>
      </c>
      <c r="F2440" s="5" t="str">
        <f>HYPERLINK("https://www.google.com/maps/search/?api=1&amp;query=24.7509973,46.56875915", "View Map")</f>
        <v>View Map</v>
      </c>
    </row>
    <row r="2441" spans="1:6" x14ac:dyDescent="0.35">
      <c r="A2441" s="4" t="s">
        <v>7321</v>
      </c>
      <c r="B2441" s="5" t="s">
        <v>5777</v>
      </c>
      <c r="C2441" s="5" t="s">
        <v>1776</v>
      </c>
      <c r="D2441" s="5" t="s">
        <v>318</v>
      </c>
      <c r="E2441" s="6">
        <v>399</v>
      </c>
      <c r="F2441" s="5" t="str">
        <f>HYPERLINK("https://www.google.com/maps/search/?api=1&amp;query=24.71382511,46.61124475", "View Map")</f>
        <v>View Map</v>
      </c>
    </row>
    <row r="2442" spans="1:6" x14ac:dyDescent="0.35">
      <c r="A2442" s="4" t="s">
        <v>7536</v>
      </c>
      <c r="B2442" s="5" t="s">
        <v>5779</v>
      </c>
      <c r="C2442" s="5" t="s">
        <v>1776</v>
      </c>
      <c r="D2442" s="5" t="s">
        <v>318</v>
      </c>
      <c r="E2442" s="6">
        <v>397</v>
      </c>
      <c r="F2442" s="5" t="str">
        <f>HYPERLINK("https://www.google.com/maps/search/?api=1&amp;query=24.57046906,46.6182374", "View Map")</f>
        <v>View Map</v>
      </c>
    </row>
    <row r="2443" spans="1:6" x14ac:dyDescent="0.35">
      <c r="A2443" s="4" t="s">
        <v>5974</v>
      </c>
      <c r="B2443" s="5" t="s">
        <v>5780</v>
      </c>
      <c r="C2443" s="5" t="s">
        <v>1776</v>
      </c>
      <c r="D2443" s="5" t="s">
        <v>318</v>
      </c>
      <c r="E2443" s="6">
        <v>397</v>
      </c>
      <c r="F2443" s="5" t="str">
        <f>HYPERLINK("https://www.google.com/maps/search/?api=1&amp;query=24.8067,46.8792", "View Map")</f>
        <v>View Map</v>
      </c>
    </row>
    <row r="2444" spans="1:6" x14ac:dyDescent="0.35">
      <c r="A2444" s="4" t="s">
        <v>7537</v>
      </c>
      <c r="B2444" s="5" t="s">
        <v>5782</v>
      </c>
      <c r="C2444" s="5" t="s">
        <v>1776</v>
      </c>
      <c r="D2444" s="5" t="s">
        <v>318</v>
      </c>
      <c r="E2444" s="6">
        <v>396</v>
      </c>
      <c r="F2444" s="5" t="str">
        <f>HYPERLINK("https://www.google.com/maps/search/?api=1&amp;query=24.74081802,46.84435842", "View Map")</f>
        <v>View Map</v>
      </c>
    </row>
    <row r="2445" spans="1:6" x14ac:dyDescent="0.35">
      <c r="A2445" s="4" t="s">
        <v>5974</v>
      </c>
      <c r="B2445" s="5" t="s">
        <v>5783</v>
      </c>
      <c r="C2445" s="5" t="s">
        <v>1776</v>
      </c>
      <c r="D2445" s="5" t="s">
        <v>318</v>
      </c>
      <c r="E2445" s="6">
        <v>396</v>
      </c>
      <c r="F2445" s="5" t="str">
        <f>HYPERLINK("https://www.google.com/maps/search/?api=1&amp;query=24.88863907,46.6053174", "View Map")</f>
        <v>View Map</v>
      </c>
    </row>
    <row r="2446" spans="1:6" x14ac:dyDescent="0.35">
      <c r="A2446" s="4" t="s">
        <v>7538</v>
      </c>
      <c r="B2446" s="5" t="s">
        <v>5785</v>
      </c>
      <c r="C2446" s="5" t="s">
        <v>1843</v>
      </c>
      <c r="D2446" s="5" t="s">
        <v>318</v>
      </c>
      <c r="E2446" s="6">
        <v>393</v>
      </c>
      <c r="F2446" s="5" t="str">
        <f>HYPERLINK("https://www.google.com/maps/search/?api=1&amp;query=24.75189426,46.53511499", "View Map")</f>
        <v>View Map</v>
      </c>
    </row>
    <row r="2447" spans="1:6" x14ac:dyDescent="0.35">
      <c r="A2447" s="4" t="s">
        <v>6039</v>
      </c>
      <c r="B2447" s="5" t="s">
        <v>5786</v>
      </c>
      <c r="C2447" s="5" t="s">
        <v>1776</v>
      </c>
      <c r="D2447" s="5" t="s">
        <v>318</v>
      </c>
      <c r="E2447" s="6">
        <v>392</v>
      </c>
      <c r="F2447" s="5" t="str">
        <f>HYPERLINK("https://www.google.com/maps/search/?api=1&amp;query=24.48765947,46.63532146", "View Map")</f>
        <v>View Map</v>
      </c>
    </row>
    <row r="2448" spans="1:6" x14ac:dyDescent="0.35">
      <c r="A2448" s="4" t="s">
        <v>7539</v>
      </c>
      <c r="B2448" s="5" t="s">
        <v>5788</v>
      </c>
      <c r="C2448" s="5" t="s">
        <v>1776</v>
      </c>
      <c r="D2448" s="5" t="s">
        <v>318</v>
      </c>
      <c r="E2448" s="6">
        <v>390</v>
      </c>
      <c r="F2448" s="5" t="str">
        <f>HYPERLINK("https://www.google.com/maps/search/?api=1&amp;query=24.74773026,46.82348913", "View Map")</f>
        <v>View Map</v>
      </c>
    </row>
    <row r="2449" spans="1:6" x14ac:dyDescent="0.35">
      <c r="A2449" s="4" t="s">
        <v>7540</v>
      </c>
      <c r="B2449" s="5" t="s">
        <v>5790</v>
      </c>
      <c r="C2449" s="5" t="s">
        <v>1776</v>
      </c>
      <c r="D2449" s="5" t="s">
        <v>318</v>
      </c>
      <c r="E2449" s="6">
        <v>389</v>
      </c>
      <c r="F2449" s="5" t="str">
        <f>HYPERLINK("https://www.google.com/maps/search/?api=1&amp;query=24.57384886,46.71337917", "View Map")</f>
        <v>View Map</v>
      </c>
    </row>
    <row r="2450" spans="1:6" x14ac:dyDescent="0.35">
      <c r="A2450" s="4" t="s">
        <v>7541</v>
      </c>
      <c r="B2450" s="5" t="s">
        <v>5792</v>
      </c>
      <c r="C2450" s="5" t="s">
        <v>1776</v>
      </c>
      <c r="D2450" s="5" t="s">
        <v>318</v>
      </c>
      <c r="E2450" s="6">
        <v>385</v>
      </c>
      <c r="F2450" s="5" t="str">
        <f>HYPERLINK("https://www.google.com/maps/search/?api=1&amp;query=24.78808545,46.90147752", "View Map")</f>
        <v>View Map</v>
      </c>
    </row>
    <row r="2451" spans="1:6" x14ac:dyDescent="0.35">
      <c r="A2451" s="4" t="s">
        <v>7542</v>
      </c>
      <c r="B2451" s="5" t="s">
        <v>5794</v>
      </c>
      <c r="C2451" s="5" t="s">
        <v>1776</v>
      </c>
      <c r="D2451" s="5" t="s">
        <v>318</v>
      </c>
      <c r="E2451" s="6">
        <v>381</v>
      </c>
      <c r="F2451" s="5" t="str">
        <f>HYPERLINK("https://www.google.com/maps/search/?api=1&amp;query=24.73463213,46.77801222", "View Map")</f>
        <v>View Map</v>
      </c>
    </row>
    <row r="2452" spans="1:6" x14ac:dyDescent="0.35">
      <c r="A2452" s="4" t="s">
        <v>7543</v>
      </c>
      <c r="B2452" s="5" t="s">
        <v>5796</v>
      </c>
      <c r="C2452" s="5" t="s">
        <v>1776</v>
      </c>
      <c r="D2452" s="5" t="s">
        <v>318</v>
      </c>
      <c r="E2452" s="6">
        <v>380</v>
      </c>
      <c r="F2452" s="5" t="str">
        <f>HYPERLINK("https://www.google.com/maps/search/?api=1&amp;query=24.69785448,46.83342102", "View Map")</f>
        <v>View Map</v>
      </c>
    </row>
    <row r="2453" spans="1:6" x14ac:dyDescent="0.35">
      <c r="A2453" s="4" t="s">
        <v>7544</v>
      </c>
      <c r="B2453" s="5" t="s">
        <v>5798</v>
      </c>
      <c r="C2453" s="5" t="s">
        <v>1776</v>
      </c>
      <c r="D2453" s="5" t="s">
        <v>318</v>
      </c>
      <c r="E2453" s="6">
        <v>380</v>
      </c>
      <c r="F2453" s="5" t="str">
        <f>HYPERLINK("https://www.google.com/maps/search/?api=1&amp;query=24.71676687,46.83745102", "View Map")</f>
        <v>View Map</v>
      </c>
    </row>
    <row r="2454" spans="1:6" x14ac:dyDescent="0.35">
      <c r="A2454" s="4" t="s">
        <v>5975</v>
      </c>
      <c r="B2454" s="5" t="s">
        <v>5799</v>
      </c>
      <c r="C2454" s="5" t="s">
        <v>1776</v>
      </c>
      <c r="D2454" s="5" t="s">
        <v>318</v>
      </c>
      <c r="E2454" s="6">
        <v>379</v>
      </c>
      <c r="F2454" s="5" t="str">
        <f>HYPERLINK("https://www.google.com/maps/search/?api=1&amp;query=24.71360067,46.82437061", "View Map")</f>
        <v>View Map</v>
      </c>
    </row>
    <row r="2455" spans="1:6" x14ac:dyDescent="0.35">
      <c r="A2455" s="4" t="s">
        <v>7545</v>
      </c>
      <c r="B2455" s="5" t="s">
        <v>5801</v>
      </c>
      <c r="C2455" s="5" t="s">
        <v>1776</v>
      </c>
      <c r="D2455" s="5" t="s">
        <v>318</v>
      </c>
      <c r="E2455" s="6">
        <v>379</v>
      </c>
      <c r="F2455" s="5" t="str">
        <f>HYPERLINK("https://www.google.com/maps/search/?api=1&amp;query=24.75972717,46.61051843", "View Map")</f>
        <v>View Map</v>
      </c>
    </row>
    <row r="2456" spans="1:6" x14ac:dyDescent="0.35">
      <c r="A2456" s="4" t="s">
        <v>5974</v>
      </c>
      <c r="B2456" s="5" t="s">
        <v>5802</v>
      </c>
      <c r="C2456" s="5" t="s">
        <v>1776</v>
      </c>
      <c r="D2456" s="5" t="s">
        <v>318</v>
      </c>
      <c r="E2456" s="6">
        <v>378</v>
      </c>
      <c r="F2456" s="5" t="str">
        <f>HYPERLINK("https://www.google.com/maps/search/?api=1&amp;query=24.76839986,46.83408547", "View Map")</f>
        <v>View Map</v>
      </c>
    </row>
    <row r="2457" spans="1:6" x14ac:dyDescent="0.35">
      <c r="A2457" s="4" t="s">
        <v>7546</v>
      </c>
      <c r="B2457" s="5" t="s">
        <v>5804</v>
      </c>
      <c r="C2457" s="5" t="s">
        <v>1776</v>
      </c>
      <c r="D2457" s="5" t="s">
        <v>318</v>
      </c>
      <c r="E2457" s="6">
        <v>373</v>
      </c>
      <c r="F2457" s="5" t="str">
        <f>HYPERLINK("https://www.google.com/maps/search/?api=1&amp;query=24.77773437,46.7627915", "View Map")</f>
        <v>View Map</v>
      </c>
    </row>
    <row r="2458" spans="1:6" x14ac:dyDescent="0.35">
      <c r="A2458" s="4" t="s">
        <v>7547</v>
      </c>
      <c r="B2458" s="5" t="s">
        <v>5806</v>
      </c>
      <c r="C2458" s="5" t="s">
        <v>1776</v>
      </c>
      <c r="D2458" s="5" t="s">
        <v>318</v>
      </c>
      <c r="E2458" s="6">
        <v>372</v>
      </c>
      <c r="F2458" s="5" t="str">
        <f>HYPERLINK("https://www.google.com/maps/search/?api=1&amp;query=24.78995232,46.66200466", "View Map")</f>
        <v>View Map</v>
      </c>
    </row>
    <row r="2459" spans="1:6" x14ac:dyDescent="0.35">
      <c r="A2459" s="4" t="s">
        <v>5974</v>
      </c>
      <c r="B2459" s="5" t="s">
        <v>5807</v>
      </c>
      <c r="C2459" s="5" t="s">
        <v>1776</v>
      </c>
      <c r="D2459" s="5" t="s">
        <v>318</v>
      </c>
      <c r="E2459" s="6">
        <v>367</v>
      </c>
      <c r="F2459" s="5" t="str">
        <f>HYPERLINK("https://www.google.com/maps/search/?api=1&amp;query=24.66616227,46.68107825", "View Map")</f>
        <v>View Map</v>
      </c>
    </row>
    <row r="2460" spans="1:6" x14ac:dyDescent="0.35">
      <c r="A2460" s="4" t="s">
        <v>7548</v>
      </c>
      <c r="B2460" s="5" t="s">
        <v>5809</v>
      </c>
      <c r="C2460" s="5" t="s">
        <v>1776</v>
      </c>
      <c r="D2460" s="5" t="s">
        <v>318</v>
      </c>
      <c r="E2460" s="6">
        <v>367</v>
      </c>
      <c r="F2460" s="5" t="str">
        <f>HYPERLINK("https://www.google.com/maps/search/?api=1&amp;query=24.7629499,46.69123064", "View Map")</f>
        <v>View Map</v>
      </c>
    </row>
    <row r="2461" spans="1:6" x14ac:dyDescent="0.35">
      <c r="A2461" s="4" t="s">
        <v>5972</v>
      </c>
      <c r="B2461" s="5" t="s">
        <v>5810</v>
      </c>
      <c r="C2461" s="5" t="s">
        <v>1776</v>
      </c>
      <c r="D2461" s="5" t="s">
        <v>318</v>
      </c>
      <c r="E2461" s="6">
        <v>366</v>
      </c>
      <c r="F2461" s="5" t="str">
        <f>HYPERLINK("https://www.google.com/maps/search/?api=1&amp;query=24.79565301,46.60994772", "View Map")</f>
        <v>View Map</v>
      </c>
    </row>
    <row r="2462" spans="1:6" x14ac:dyDescent="0.35">
      <c r="A2462" s="4" t="s">
        <v>7549</v>
      </c>
      <c r="B2462" s="5" t="s">
        <v>5812</v>
      </c>
      <c r="C2462" s="5" t="s">
        <v>1776</v>
      </c>
      <c r="D2462" s="5" t="s">
        <v>318</v>
      </c>
      <c r="E2462" s="6">
        <v>363</v>
      </c>
      <c r="F2462" s="5" t="str">
        <f>HYPERLINK("https://www.google.com/maps/search/?api=1&amp;query=24.63558934,46.68807658", "View Map")</f>
        <v>View Map</v>
      </c>
    </row>
    <row r="2463" spans="1:6" x14ac:dyDescent="0.35">
      <c r="A2463" s="4" t="s">
        <v>7550</v>
      </c>
      <c r="B2463" s="5" t="s">
        <v>5814</v>
      </c>
      <c r="C2463" s="5" t="s">
        <v>1776</v>
      </c>
      <c r="D2463" s="5" t="s">
        <v>318</v>
      </c>
      <c r="E2463" s="6">
        <v>361</v>
      </c>
      <c r="F2463" s="5" t="str">
        <f>HYPERLINK("https://www.google.com/maps/search/?api=1&amp;query=24.57570091,46.75938962", "View Map")</f>
        <v>View Map</v>
      </c>
    </row>
    <row r="2464" spans="1:6" x14ac:dyDescent="0.35">
      <c r="A2464" s="4" t="s">
        <v>7551</v>
      </c>
      <c r="B2464" s="5" t="s">
        <v>5816</v>
      </c>
      <c r="C2464" s="5" t="s">
        <v>1776</v>
      </c>
      <c r="D2464" s="5" t="s">
        <v>318</v>
      </c>
      <c r="E2464" s="6">
        <v>360</v>
      </c>
      <c r="F2464" s="5" t="str">
        <f>HYPERLINK("https://www.google.com/maps/search/?api=1&amp;query=24.59168432,46.71777495", "View Map")</f>
        <v>View Map</v>
      </c>
    </row>
    <row r="2465" spans="1:6" x14ac:dyDescent="0.35">
      <c r="A2465" s="4" t="s">
        <v>7552</v>
      </c>
      <c r="B2465" s="5" t="s">
        <v>5818</v>
      </c>
      <c r="C2465" s="5" t="s">
        <v>1776</v>
      </c>
      <c r="D2465" s="5" t="s">
        <v>318</v>
      </c>
      <c r="E2465" s="6">
        <v>360</v>
      </c>
      <c r="F2465" s="5" t="str">
        <f>HYPERLINK("https://www.google.com/maps/search/?api=1&amp;query=24.59949314,46.70537345", "View Map")</f>
        <v>View Map</v>
      </c>
    </row>
    <row r="2466" spans="1:6" x14ac:dyDescent="0.35">
      <c r="A2466" s="4" t="s">
        <v>7553</v>
      </c>
      <c r="B2466" s="5" t="s">
        <v>5820</v>
      </c>
      <c r="C2466" s="5" t="s">
        <v>1776</v>
      </c>
      <c r="D2466" s="5" t="s">
        <v>318</v>
      </c>
      <c r="E2466" s="6">
        <v>355</v>
      </c>
      <c r="F2466" s="5" t="str">
        <f>HYPERLINK("https://www.google.com/maps/search/?api=1&amp;query=24.58240149,46.76198493", "View Map")</f>
        <v>View Map</v>
      </c>
    </row>
    <row r="2467" spans="1:6" x14ac:dyDescent="0.35">
      <c r="A2467" s="4" t="s">
        <v>7554</v>
      </c>
      <c r="B2467" s="5" t="s">
        <v>5822</v>
      </c>
      <c r="C2467" s="5" t="s">
        <v>1776</v>
      </c>
      <c r="D2467" s="5" t="s">
        <v>318</v>
      </c>
      <c r="E2467" s="6">
        <v>352</v>
      </c>
      <c r="F2467" s="5" t="str">
        <f>HYPERLINK("https://www.google.com/maps/search/?api=1&amp;query=24.72781865,46.85025775", "View Map")</f>
        <v>View Map</v>
      </c>
    </row>
    <row r="2468" spans="1:6" x14ac:dyDescent="0.35">
      <c r="A2468" s="4" t="s">
        <v>7555</v>
      </c>
      <c r="B2468" s="5" t="s">
        <v>5824</v>
      </c>
      <c r="C2468" s="5" t="s">
        <v>1776</v>
      </c>
      <c r="D2468" s="5" t="s">
        <v>318</v>
      </c>
      <c r="E2468" s="6">
        <v>352</v>
      </c>
      <c r="F2468" s="5" t="str">
        <f>HYPERLINK("https://www.google.com/maps/search/?api=1&amp;query=24.5842836,46.67268871", "View Map")</f>
        <v>View Map</v>
      </c>
    </row>
    <row r="2469" spans="1:6" x14ac:dyDescent="0.35">
      <c r="A2469" s="4" t="s">
        <v>7193</v>
      </c>
      <c r="B2469" s="5" t="s">
        <v>5825</v>
      </c>
      <c r="C2469" s="5" t="s">
        <v>1776</v>
      </c>
      <c r="D2469" s="5" t="s">
        <v>318</v>
      </c>
      <c r="E2469" s="6">
        <v>351</v>
      </c>
      <c r="F2469" s="5" t="str">
        <f>HYPERLINK("https://www.google.com/maps/search/?api=1&amp;query=24.74446412,46.78346912", "View Map")</f>
        <v>View Map</v>
      </c>
    </row>
    <row r="2470" spans="1:6" x14ac:dyDescent="0.35">
      <c r="A2470" s="4" t="s">
        <v>7556</v>
      </c>
      <c r="B2470" s="5" t="s">
        <v>5827</v>
      </c>
      <c r="C2470" s="5" t="s">
        <v>1776</v>
      </c>
      <c r="D2470" s="5" t="s">
        <v>318</v>
      </c>
      <c r="E2470" s="6">
        <v>351</v>
      </c>
      <c r="F2470" s="5" t="str">
        <f>HYPERLINK("https://www.google.com/maps/search/?api=1&amp;query=24.56448392,46.69473232", "View Map")</f>
        <v>View Map</v>
      </c>
    </row>
    <row r="2471" spans="1:6" x14ac:dyDescent="0.35">
      <c r="A2471" s="4" t="s">
        <v>7557</v>
      </c>
      <c r="B2471" s="5" t="s">
        <v>5829</v>
      </c>
      <c r="C2471" s="5" t="s">
        <v>1776</v>
      </c>
      <c r="D2471" s="5" t="s">
        <v>318</v>
      </c>
      <c r="E2471" s="6">
        <v>351</v>
      </c>
      <c r="F2471" s="5" t="str">
        <f>HYPERLINK("https://www.google.com/maps/search/?api=1&amp;query=24.63089997,46.69888684", "View Map")</f>
        <v>View Map</v>
      </c>
    </row>
    <row r="2472" spans="1:6" x14ac:dyDescent="0.35">
      <c r="A2472" s="4" t="s">
        <v>5974</v>
      </c>
      <c r="B2472" s="5" t="s">
        <v>5830</v>
      </c>
      <c r="C2472" s="5" t="s">
        <v>1776</v>
      </c>
      <c r="D2472" s="5" t="s">
        <v>318</v>
      </c>
      <c r="E2472" s="6">
        <v>350</v>
      </c>
      <c r="F2472" s="5" t="str">
        <f>HYPERLINK("https://www.google.com/maps/search/?api=1&amp;query=24.83323989,46.77611144", "View Map")</f>
        <v>View Map</v>
      </c>
    </row>
    <row r="2473" spans="1:6" x14ac:dyDescent="0.35">
      <c r="A2473" s="4" t="s">
        <v>6039</v>
      </c>
      <c r="B2473" s="5" t="s">
        <v>5831</v>
      </c>
      <c r="C2473" s="5" t="s">
        <v>1776</v>
      </c>
      <c r="D2473" s="5" t="s">
        <v>318</v>
      </c>
      <c r="E2473" s="6">
        <v>349</v>
      </c>
      <c r="F2473" s="5" t="str">
        <f>HYPERLINK("https://www.google.com/maps/search/?api=1&amp;query=24.4889,46.6319", "View Map")</f>
        <v>View Map</v>
      </c>
    </row>
    <row r="2474" spans="1:6" x14ac:dyDescent="0.35">
      <c r="A2474" s="4" t="s">
        <v>7558</v>
      </c>
      <c r="B2474" s="5" t="s">
        <v>5833</v>
      </c>
      <c r="C2474" s="5" t="s">
        <v>1776</v>
      </c>
      <c r="D2474" s="5" t="s">
        <v>318</v>
      </c>
      <c r="E2474" s="6">
        <v>349</v>
      </c>
      <c r="F2474" s="5" t="str">
        <f>HYPERLINK("https://www.google.com/maps/search/?api=1&amp;query=24.67507445,46.6926969", "View Map")</f>
        <v>View Map</v>
      </c>
    </row>
    <row r="2475" spans="1:6" x14ac:dyDescent="0.35">
      <c r="A2475" s="4" t="s">
        <v>7559</v>
      </c>
      <c r="B2475" s="5" t="s">
        <v>5835</v>
      </c>
      <c r="C2475" s="5" t="s">
        <v>1776</v>
      </c>
      <c r="D2475" s="5" t="s">
        <v>318</v>
      </c>
      <c r="E2475" s="6">
        <v>346</v>
      </c>
      <c r="F2475" s="5" t="str">
        <f>HYPERLINK("https://www.google.com/maps/search/?api=1&amp;query=24.70915855,46.8009796", "View Map")</f>
        <v>View Map</v>
      </c>
    </row>
    <row r="2476" spans="1:6" x14ac:dyDescent="0.35">
      <c r="A2476" s="4" t="s">
        <v>7560</v>
      </c>
      <c r="B2476" s="5" t="s">
        <v>5837</v>
      </c>
      <c r="C2476" s="5" t="s">
        <v>1776</v>
      </c>
      <c r="D2476" s="5" t="s">
        <v>318</v>
      </c>
      <c r="E2476" s="6">
        <v>345</v>
      </c>
      <c r="F2476" s="5" t="str">
        <f>HYPERLINK("https://www.google.com/maps/search/?api=1&amp;query=24.5558777,46.79015483", "View Map")</f>
        <v>View Map</v>
      </c>
    </row>
    <row r="2477" spans="1:6" x14ac:dyDescent="0.35">
      <c r="A2477" s="4" t="s">
        <v>7561</v>
      </c>
      <c r="B2477" s="5" t="s">
        <v>5839</v>
      </c>
      <c r="C2477" s="5" t="s">
        <v>1776</v>
      </c>
      <c r="D2477" s="5" t="s">
        <v>318</v>
      </c>
      <c r="E2477" s="6">
        <v>345</v>
      </c>
      <c r="F2477" s="5" t="str">
        <f>HYPERLINK("https://www.google.com/maps/search/?api=1&amp;query=24.76599909,46.61819749", "View Map")</f>
        <v>View Map</v>
      </c>
    </row>
    <row r="2478" spans="1:6" x14ac:dyDescent="0.35">
      <c r="A2478" s="4" t="s">
        <v>7562</v>
      </c>
      <c r="B2478" s="5" t="s">
        <v>5841</v>
      </c>
      <c r="C2478" s="5" t="s">
        <v>1776</v>
      </c>
      <c r="D2478" s="5" t="s">
        <v>318</v>
      </c>
      <c r="E2478" s="6">
        <v>344</v>
      </c>
      <c r="F2478" s="5" t="str">
        <f>HYPERLINK("https://www.google.com/maps/search/?api=1&amp;query=24.58888388,46.68225593", "View Map")</f>
        <v>View Map</v>
      </c>
    </row>
    <row r="2479" spans="1:6" x14ac:dyDescent="0.35">
      <c r="A2479" s="4" t="s">
        <v>6418</v>
      </c>
      <c r="B2479" s="5" t="s">
        <v>5842</v>
      </c>
      <c r="C2479" s="5" t="s">
        <v>1776</v>
      </c>
      <c r="D2479" s="5" t="s">
        <v>318</v>
      </c>
      <c r="E2479" s="6">
        <v>344</v>
      </c>
      <c r="F2479" s="5" t="str">
        <f>HYPERLINK("https://www.google.com/maps/search/?api=1&amp;query=24.64886805,46.80071501", "View Map")</f>
        <v>View Map</v>
      </c>
    </row>
    <row r="2480" spans="1:6" x14ac:dyDescent="0.35">
      <c r="A2480" s="4" t="s">
        <v>6039</v>
      </c>
      <c r="B2480" s="5" t="s">
        <v>5843</v>
      </c>
      <c r="C2480" s="5" t="s">
        <v>1776</v>
      </c>
      <c r="D2480" s="5" t="s">
        <v>318</v>
      </c>
      <c r="E2480" s="6">
        <v>342</v>
      </c>
      <c r="F2480" s="5" t="str">
        <f>HYPERLINK("https://www.google.com/maps/search/?api=1&amp;query=24.56193195,46.54860037", "View Map")</f>
        <v>View Map</v>
      </c>
    </row>
    <row r="2481" spans="1:6" x14ac:dyDescent="0.35">
      <c r="A2481" s="4" t="s">
        <v>7563</v>
      </c>
      <c r="B2481" s="5" t="s">
        <v>5845</v>
      </c>
      <c r="C2481" s="5" t="s">
        <v>1776</v>
      </c>
      <c r="D2481" s="5" t="s">
        <v>318</v>
      </c>
      <c r="E2481" s="6">
        <v>340</v>
      </c>
      <c r="F2481" s="5" t="str">
        <f>HYPERLINK("https://www.google.com/maps/search/?api=1&amp;query=24.47968017,46.80468886", "View Map")</f>
        <v>View Map</v>
      </c>
    </row>
    <row r="2482" spans="1:6" x14ac:dyDescent="0.35">
      <c r="A2482" s="4" t="s">
        <v>7564</v>
      </c>
      <c r="B2482" s="5" t="s">
        <v>5847</v>
      </c>
      <c r="C2482" s="5" t="s">
        <v>1776</v>
      </c>
      <c r="D2482" s="5" t="s">
        <v>318</v>
      </c>
      <c r="E2482" s="6">
        <v>340</v>
      </c>
      <c r="F2482" s="5" t="str">
        <f>HYPERLINK("https://www.google.com/maps/search/?api=1&amp;query=24.57482822,46.7925692", "View Map")</f>
        <v>View Map</v>
      </c>
    </row>
    <row r="2483" spans="1:6" x14ac:dyDescent="0.35">
      <c r="A2483" s="4" t="s">
        <v>7565</v>
      </c>
      <c r="B2483" s="5" t="s">
        <v>5849</v>
      </c>
      <c r="C2483" s="5" t="s">
        <v>1776</v>
      </c>
      <c r="D2483" s="5" t="s">
        <v>318</v>
      </c>
      <c r="E2483" s="6">
        <v>339</v>
      </c>
      <c r="F2483" s="5" t="str">
        <f>HYPERLINK("https://www.google.com/maps/search/?api=1&amp;query=24.63271439,46.53268239", "View Map")</f>
        <v>View Map</v>
      </c>
    </row>
    <row r="2484" spans="1:6" x14ac:dyDescent="0.35">
      <c r="A2484" s="4" t="s">
        <v>7566</v>
      </c>
      <c r="B2484" s="5" t="s">
        <v>5851</v>
      </c>
      <c r="C2484" s="5" t="s">
        <v>1776</v>
      </c>
      <c r="D2484" s="5" t="s">
        <v>318</v>
      </c>
      <c r="E2484" s="6">
        <v>337</v>
      </c>
      <c r="F2484" s="5" t="str">
        <f>HYPERLINK("https://www.google.com/maps/search/?api=1&amp;query=24.584545,46.6700254", "View Map")</f>
        <v>View Map</v>
      </c>
    </row>
    <row r="2485" spans="1:6" x14ac:dyDescent="0.35">
      <c r="A2485" s="4" t="s">
        <v>7567</v>
      </c>
      <c r="B2485" s="5" t="s">
        <v>5853</v>
      </c>
      <c r="C2485" s="5" t="s">
        <v>1776</v>
      </c>
      <c r="D2485" s="5" t="s">
        <v>318</v>
      </c>
      <c r="E2485" s="6">
        <v>334</v>
      </c>
      <c r="F2485" s="5" t="str">
        <f>HYPERLINK("https://www.google.com/maps/search/?api=1&amp;query=24.73914909,46.82461504", "View Map")</f>
        <v>View Map</v>
      </c>
    </row>
    <row r="2486" spans="1:6" x14ac:dyDescent="0.35">
      <c r="A2486" s="4" t="s">
        <v>7568</v>
      </c>
      <c r="B2486" s="5" t="s">
        <v>5855</v>
      </c>
      <c r="C2486" s="5" t="s">
        <v>1776</v>
      </c>
      <c r="D2486" s="5" t="s">
        <v>318</v>
      </c>
      <c r="E2486" s="6">
        <v>334</v>
      </c>
      <c r="F2486" s="5" t="str">
        <f>HYPERLINK("https://www.google.com/maps/search/?api=1&amp;query=24.74603712,46.72554078", "View Map")</f>
        <v>View Map</v>
      </c>
    </row>
    <row r="2487" spans="1:6" x14ac:dyDescent="0.35">
      <c r="A2487" s="4" t="s">
        <v>6272</v>
      </c>
      <c r="B2487" s="5" t="s">
        <v>5856</v>
      </c>
      <c r="C2487" s="5" t="s">
        <v>1776</v>
      </c>
      <c r="D2487" s="5" t="s">
        <v>318</v>
      </c>
      <c r="E2487" s="6">
        <v>333</v>
      </c>
      <c r="F2487" s="5" t="str">
        <f>HYPERLINK("https://www.google.com/maps/search/?api=1&amp;query=24.70473601,46.81267078", "View Map")</f>
        <v>View Map</v>
      </c>
    </row>
    <row r="2488" spans="1:6" x14ac:dyDescent="0.35">
      <c r="A2488" s="4" t="s">
        <v>7562</v>
      </c>
      <c r="B2488" s="5" t="s">
        <v>5857</v>
      </c>
      <c r="C2488" s="5" t="s">
        <v>1776</v>
      </c>
      <c r="D2488" s="5" t="s">
        <v>318</v>
      </c>
      <c r="E2488" s="6">
        <v>332</v>
      </c>
      <c r="F2488" s="5" t="str">
        <f>HYPERLINK("https://www.google.com/maps/search/?api=1&amp;query=24.59058566,46.68904697", "View Map")</f>
        <v>View Map</v>
      </c>
    </row>
    <row r="2489" spans="1:6" x14ac:dyDescent="0.35">
      <c r="A2489" s="4" t="s">
        <v>6039</v>
      </c>
      <c r="B2489" s="5" t="s">
        <v>5858</v>
      </c>
      <c r="C2489" s="5" t="s">
        <v>1776</v>
      </c>
      <c r="D2489" s="5" t="s">
        <v>318</v>
      </c>
      <c r="E2489" s="6">
        <v>331</v>
      </c>
      <c r="F2489" s="5" t="str">
        <f>HYPERLINK("https://www.google.com/maps/search/?api=1&amp;query=24.52690324,46.65844168", "View Map")</f>
        <v>View Map</v>
      </c>
    </row>
    <row r="2490" spans="1:6" x14ac:dyDescent="0.35">
      <c r="A2490" s="4" t="s">
        <v>7569</v>
      </c>
      <c r="B2490" s="5" t="s">
        <v>5860</v>
      </c>
      <c r="C2490" s="5" t="s">
        <v>1776</v>
      </c>
      <c r="D2490" s="5" t="s">
        <v>318</v>
      </c>
      <c r="E2490" s="6">
        <v>325</v>
      </c>
      <c r="F2490" s="5" t="str">
        <f>HYPERLINK("https://www.google.com/maps/search/?api=1&amp;query=24.75652679,46.82470708", "View Map")</f>
        <v>View Map</v>
      </c>
    </row>
    <row r="2491" spans="1:6" x14ac:dyDescent="0.35">
      <c r="A2491" s="4" t="s">
        <v>7570</v>
      </c>
      <c r="B2491" s="5" t="s">
        <v>5862</v>
      </c>
      <c r="C2491" s="5" t="s">
        <v>1776</v>
      </c>
      <c r="D2491" s="5" t="s">
        <v>318</v>
      </c>
      <c r="E2491" s="6">
        <v>323</v>
      </c>
      <c r="F2491" s="5" t="str">
        <f>HYPERLINK("https://www.google.com/maps/search/?api=1&amp;query=24.80040579,46.71023779", "View Map")</f>
        <v>View Map</v>
      </c>
    </row>
    <row r="2492" spans="1:6" x14ac:dyDescent="0.35">
      <c r="A2492" s="4" t="s">
        <v>7571</v>
      </c>
      <c r="B2492" s="5" t="s">
        <v>5864</v>
      </c>
      <c r="C2492" s="5" t="s">
        <v>1776</v>
      </c>
      <c r="D2492" s="5" t="s">
        <v>318</v>
      </c>
      <c r="E2492" s="6">
        <v>322</v>
      </c>
      <c r="F2492" s="5" t="str">
        <f>HYPERLINK("https://www.google.com/maps/search/?api=1&amp;query=24.69921059,46.85217229", "View Map")</f>
        <v>View Map</v>
      </c>
    </row>
    <row r="2493" spans="1:6" x14ac:dyDescent="0.35">
      <c r="A2493" s="4" t="s">
        <v>7572</v>
      </c>
      <c r="B2493" s="5" t="s">
        <v>5866</v>
      </c>
      <c r="C2493" s="5" t="s">
        <v>1776</v>
      </c>
      <c r="D2493" s="5" t="s">
        <v>318</v>
      </c>
      <c r="E2493" s="6">
        <v>322</v>
      </c>
      <c r="F2493" s="5" t="str">
        <f>HYPERLINK("https://www.google.com/maps/search/?api=1&amp;query=24.71654173,46.79855543", "View Map")</f>
        <v>View Map</v>
      </c>
    </row>
    <row r="2494" spans="1:6" x14ac:dyDescent="0.35">
      <c r="A2494" s="4" t="s">
        <v>7573</v>
      </c>
      <c r="B2494" s="5" t="s">
        <v>5868</v>
      </c>
      <c r="C2494" s="5" t="s">
        <v>1776</v>
      </c>
      <c r="D2494" s="5" t="s">
        <v>318</v>
      </c>
      <c r="E2494" s="6">
        <v>322</v>
      </c>
      <c r="F2494" s="5" t="str">
        <f>HYPERLINK("https://www.google.com/maps/search/?api=1&amp;query=24.7339594,46.74493408", "View Map")</f>
        <v>View Map</v>
      </c>
    </row>
    <row r="2495" spans="1:6" x14ac:dyDescent="0.35">
      <c r="A2495" s="4" t="s">
        <v>5974</v>
      </c>
      <c r="B2495" s="5" t="s">
        <v>5869</v>
      </c>
      <c r="C2495" s="5" t="s">
        <v>1776</v>
      </c>
      <c r="D2495" s="5" t="s">
        <v>318</v>
      </c>
      <c r="E2495" s="6">
        <v>321</v>
      </c>
      <c r="F2495" s="5" t="str">
        <f>HYPERLINK("https://www.google.com/maps/search/?api=1&amp;query=24.56421454,46.80790653", "View Map")</f>
        <v>View Map</v>
      </c>
    </row>
    <row r="2496" spans="1:6" x14ac:dyDescent="0.35">
      <c r="A2496" s="4" t="s">
        <v>7574</v>
      </c>
      <c r="B2496" s="5" t="s">
        <v>5871</v>
      </c>
      <c r="C2496" s="5" t="s">
        <v>1776</v>
      </c>
      <c r="D2496" s="5" t="s">
        <v>318</v>
      </c>
      <c r="E2496" s="6">
        <v>320</v>
      </c>
      <c r="F2496" s="5" t="str">
        <f>HYPERLINK("https://www.google.com/maps/search/?api=1&amp;query=24.70083532,46.76946321", "View Map")</f>
        <v>View Map</v>
      </c>
    </row>
    <row r="2497" spans="1:6" x14ac:dyDescent="0.35">
      <c r="A2497" s="4" t="s">
        <v>7575</v>
      </c>
      <c r="B2497" s="5" t="s">
        <v>5873</v>
      </c>
      <c r="C2497" s="5" t="s">
        <v>1776</v>
      </c>
      <c r="D2497" s="5" t="s">
        <v>318</v>
      </c>
      <c r="E2497" s="6">
        <v>320</v>
      </c>
      <c r="F2497" s="5" t="str">
        <f>HYPERLINK("https://www.google.com/maps/search/?api=1&amp;query=24.67439876,46.66396239", "View Map")</f>
        <v>View Map</v>
      </c>
    </row>
    <row r="2498" spans="1:6" x14ac:dyDescent="0.35">
      <c r="A2498" s="4" t="s">
        <v>7576</v>
      </c>
      <c r="B2498" s="5" t="s">
        <v>5875</v>
      </c>
      <c r="C2498" s="5" t="s">
        <v>1776</v>
      </c>
      <c r="D2498" s="5" t="s">
        <v>318</v>
      </c>
      <c r="E2498" s="6">
        <v>319</v>
      </c>
      <c r="F2498" s="5" t="str">
        <f>HYPERLINK("https://www.google.com/maps/search/?api=1&amp;query=24.77912425,46.74615559", "View Map")</f>
        <v>View Map</v>
      </c>
    </row>
    <row r="2499" spans="1:6" x14ac:dyDescent="0.35">
      <c r="A2499" s="4" t="s">
        <v>6039</v>
      </c>
      <c r="B2499" s="5" t="s">
        <v>5876</v>
      </c>
      <c r="C2499" s="5" t="s">
        <v>1776</v>
      </c>
      <c r="D2499" s="5" t="s">
        <v>318</v>
      </c>
      <c r="E2499" s="6">
        <v>316</v>
      </c>
      <c r="F2499" s="5" t="str">
        <f>HYPERLINK("https://www.google.com/maps/search/?api=1&amp;query=24.5533,46.5428", "View Map")</f>
        <v>View Map</v>
      </c>
    </row>
    <row r="2500" spans="1:6" x14ac:dyDescent="0.35">
      <c r="A2500" s="4" t="s">
        <v>7577</v>
      </c>
      <c r="B2500" s="5" t="s">
        <v>5878</v>
      </c>
      <c r="C2500" s="5" t="s">
        <v>1776</v>
      </c>
      <c r="D2500" s="5" t="s">
        <v>318</v>
      </c>
      <c r="E2500" s="6">
        <v>316</v>
      </c>
      <c r="F2500" s="5" t="str">
        <f>HYPERLINK("https://www.google.com/maps/search/?api=1&amp;query=24.60466498,46.63437106", "View Map")</f>
        <v>View Map</v>
      </c>
    </row>
    <row r="2501" spans="1:6" x14ac:dyDescent="0.35">
      <c r="A2501" s="4" t="s">
        <v>7578</v>
      </c>
      <c r="B2501" s="5" t="s">
        <v>5880</v>
      </c>
      <c r="C2501" s="5" t="s">
        <v>1776</v>
      </c>
      <c r="D2501" s="5" t="s">
        <v>318</v>
      </c>
      <c r="E2501" s="6">
        <v>316</v>
      </c>
      <c r="F2501" s="5" t="str">
        <f>HYPERLINK("https://www.google.com/maps/search/?api=1&amp;query=24.72711563,46.65582048", "View Map")</f>
        <v>View Map</v>
      </c>
    </row>
    <row r="2502" spans="1:6" x14ac:dyDescent="0.35">
      <c r="A2502" s="4" t="s">
        <v>7579</v>
      </c>
      <c r="B2502" s="5" t="s">
        <v>5882</v>
      </c>
      <c r="C2502" s="5" t="s">
        <v>1776</v>
      </c>
      <c r="D2502" s="5" t="s">
        <v>318</v>
      </c>
      <c r="E2502" s="6">
        <v>316</v>
      </c>
      <c r="F2502" s="5" t="str">
        <f>HYPERLINK("https://www.google.com/maps/search/?api=1&amp;query=24.57658581,46.61862011", "View Map")</f>
        <v>View Map</v>
      </c>
    </row>
    <row r="2503" spans="1:6" x14ac:dyDescent="0.35">
      <c r="A2503" s="4" t="s">
        <v>7580</v>
      </c>
      <c r="B2503" s="5" t="s">
        <v>5884</v>
      </c>
      <c r="C2503" s="5" t="s">
        <v>1776</v>
      </c>
      <c r="D2503" s="5" t="s">
        <v>318</v>
      </c>
      <c r="E2503" s="6">
        <v>315</v>
      </c>
      <c r="F2503" s="5" t="str">
        <f>HYPERLINK("https://www.google.com/maps/search/?api=1&amp;query=24.61205914,46.73509434", "View Map")</f>
        <v>View Map</v>
      </c>
    </row>
    <row r="2504" spans="1:6" x14ac:dyDescent="0.35">
      <c r="A2504" s="4" t="s">
        <v>5974</v>
      </c>
      <c r="B2504" s="5" t="s">
        <v>5885</v>
      </c>
      <c r="C2504" s="5" t="s">
        <v>1776</v>
      </c>
      <c r="D2504" s="5" t="s">
        <v>318</v>
      </c>
      <c r="E2504" s="6">
        <v>314</v>
      </c>
      <c r="F2504" s="5" t="str">
        <f>HYPERLINK("https://www.google.com/maps/search/?api=1&amp;query=24.57879545,46.76070941", "View Map")</f>
        <v>View Map</v>
      </c>
    </row>
    <row r="2505" spans="1:6" x14ac:dyDescent="0.35">
      <c r="A2505" s="4" t="s">
        <v>7581</v>
      </c>
      <c r="B2505" s="5" t="s">
        <v>5887</v>
      </c>
      <c r="C2505" s="5" t="s">
        <v>1776</v>
      </c>
      <c r="D2505" s="5" t="s">
        <v>318</v>
      </c>
      <c r="E2505" s="6">
        <v>313</v>
      </c>
      <c r="F2505" s="5" t="str">
        <f>HYPERLINK("https://www.google.com/maps/search/?api=1&amp;query=24.78494227,46.62163175", "View Map")</f>
        <v>View Map</v>
      </c>
    </row>
    <row r="2506" spans="1:6" x14ac:dyDescent="0.35">
      <c r="A2506" s="4" t="s">
        <v>7582</v>
      </c>
      <c r="B2506" s="5" t="s">
        <v>5889</v>
      </c>
      <c r="C2506" s="5" t="s">
        <v>1776</v>
      </c>
      <c r="D2506" s="5" t="s">
        <v>318</v>
      </c>
      <c r="E2506" s="6">
        <v>312</v>
      </c>
      <c r="F2506" s="5" t="str">
        <f>HYPERLINK("https://www.google.com/maps/search/?api=1&amp;query=24.5408,46.6944", "View Map")</f>
        <v>View Map</v>
      </c>
    </row>
    <row r="2507" spans="1:6" x14ac:dyDescent="0.35">
      <c r="A2507" s="4" t="s">
        <v>7583</v>
      </c>
      <c r="B2507" s="5" t="s">
        <v>5891</v>
      </c>
      <c r="C2507" s="5" t="s">
        <v>1843</v>
      </c>
      <c r="D2507" s="5" t="s">
        <v>318</v>
      </c>
      <c r="E2507" s="6">
        <v>312</v>
      </c>
      <c r="F2507" s="5" t="str">
        <f>HYPERLINK("https://www.google.com/maps/search/?api=1&amp;query=24.78929589,46.4258794", "View Map")</f>
        <v>View Map</v>
      </c>
    </row>
    <row r="2508" spans="1:6" x14ac:dyDescent="0.35">
      <c r="A2508" s="4" t="s">
        <v>7584</v>
      </c>
      <c r="B2508" s="5" t="s">
        <v>5893</v>
      </c>
      <c r="C2508" s="5" t="s">
        <v>1776</v>
      </c>
      <c r="D2508" s="5" t="s">
        <v>318</v>
      </c>
      <c r="E2508" s="6">
        <v>312</v>
      </c>
      <c r="F2508" s="5" t="str">
        <f>HYPERLINK("https://www.google.com/maps/search/?api=1&amp;query=24.58033104,46.59097735", "View Map")</f>
        <v>View Map</v>
      </c>
    </row>
    <row r="2509" spans="1:6" x14ac:dyDescent="0.35">
      <c r="A2509" s="4" t="s">
        <v>7585</v>
      </c>
      <c r="B2509" s="5" t="s">
        <v>5895</v>
      </c>
      <c r="C2509" s="5" t="s">
        <v>1776</v>
      </c>
      <c r="D2509" s="5" t="s">
        <v>318</v>
      </c>
      <c r="E2509" s="6">
        <v>311</v>
      </c>
      <c r="F2509" s="5" t="str">
        <f>HYPERLINK("https://www.google.com/maps/search/?api=1&amp;query=24.57000921,46.71039582", "View Map")</f>
        <v>View Map</v>
      </c>
    </row>
    <row r="2510" spans="1:6" x14ac:dyDescent="0.35">
      <c r="A2510" s="4" t="s">
        <v>7586</v>
      </c>
      <c r="B2510" s="5" t="s">
        <v>5897</v>
      </c>
      <c r="C2510" s="5" t="s">
        <v>1776</v>
      </c>
      <c r="D2510" s="5" t="s">
        <v>318</v>
      </c>
      <c r="E2510" s="6">
        <v>310</v>
      </c>
      <c r="F2510" s="5" t="str">
        <f>HYPERLINK("https://www.google.com/maps/search/?api=1&amp;query=24.586637,46.60297669", "View Map")</f>
        <v>View Map</v>
      </c>
    </row>
    <row r="2511" spans="1:6" x14ac:dyDescent="0.35">
      <c r="A2511" s="4" t="s">
        <v>7587</v>
      </c>
      <c r="B2511" s="5" t="s">
        <v>5899</v>
      </c>
      <c r="C2511" s="5" t="s">
        <v>1776</v>
      </c>
      <c r="D2511" s="5" t="s">
        <v>318</v>
      </c>
      <c r="E2511" s="6">
        <v>309</v>
      </c>
      <c r="F2511" s="5" t="str">
        <f>HYPERLINK("https://www.google.com/maps/search/?api=1&amp;query=24.68954053,46.64155291", "View Map")</f>
        <v>View Map</v>
      </c>
    </row>
    <row r="2512" spans="1:6" x14ac:dyDescent="0.35">
      <c r="A2512" s="4" t="s">
        <v>7588</v>
      </c>
      <c r="B2512" s="5" t="s">
        <v>5901</v>
      </c>
      <c r="C2512" s="5" t="s">
        <v>1776</v>
      </c>
      <c r="D2512" s="5" t="s">
        <v>318</v>
      </c>
      <c r="E2512" s="6">
        <v>308</v>
      </c>
      <c r="F2512" s="5" t="str">
        <f>HYPERLINK("https://www.google.com/maps/search/?api=1&amp;query=24.54567425,46.67219982", "View Map")</f>
        <v>View Map</v>
      </c>
    </row>
    <row r="2513" spans="1:6" x14ac:dyDescent="0.35">
      <c r="A2513" s="4" t="s">
        <v>7589</v>
      </c>
      <c r="B2513" s="5" t="s">
        <v>5903</v>
      </c>
      <c r="C2513" s="5" t="s">
        <v>1776</v>
      </c>
      <c r="D2513" s="5" t="s">
        <v>318</v>
      </c>
      <c r="E2513" s="6">
        <v>308</v>
      </c>
      <c r="F2513" s="5" t="str">
        <f>HYPERLINK("https://www.google.com/maps/search/?api=1&amp;query=24.6123126,46.71145752", "View Map")</f>
        <v>View Map</v>
      </c>
    </row>
    <row r="2514" spans="1:6" x14ac:dyDescent="0.35">
      <c r="A2514" s="4" t="s">
        <v>7590</v>
      </c>
      <c r="B2514" s="5" t="s">
        <v>5905</v>
      </c>
      <c r="C2514" s="5" t="s">
        <v>1776</v>
      </c>
      <c r="D2514" s="5" t="s">
        <v>318</v>
      </c>
      <c r="E2514" s="6">
        <v>305</v>
      </c>
      <c r="F2514" s="5" t="str">
        <f>HYPERLINK("https://www.google.com/maps/search/?api=1&amp;query=24.77760132,46.62092336", "View Map")</f>
        <v>View Map</v>
      </c>
    </row>
    <row r="2515" spans="1:6" x14ac:dyDescent="0.35">
      <c r="A2515" s="4" t="s">
        <v>7591</v>
      </c>
      <c r="B2515" s="5" t="s">
        <v>5907</v>
      </c>
      <c r="C2515" s="5" t="s">
        <v>1776</v>
      </c>
      <c r="D2515" s="5" t="s">
        <v>318</v>
      </c>
      <c r="E2515" s="6">
        <v>302</v>
      </c>
      <c r="F2515" s="5" t="str">
        <f>HYPERLINK("https://www.google.com/maps/search/?api=1&amp;query=24.82032996,46.76044133", "View Map")</f>
        <v>View Map</v>
      </c>
    </row>
    <row r="2516" spans="1:6" x14ac:dyDescent="0.35">
      <c r="A2516" s="4" t="s">
        <v>7592</v>
      </c>
      <c r="B2516" s="5" t="s">
        <v>5909</v>
      </c>
      <c r="C2516" s="5" t="s">
        <v>1776</v>
      </c>
      <c r="D2516" s="5" t="s">
        <v>318</v>
      </c>
      <c r="E2516" s="6">
        <v>301</v>
      </c>
      <c r="F2516" s="5" t="str">
        <f>HYPERLINK("https://www.google.com/maps/search/?api=1&amp;query=24.63914295,46.70451745", "View Map")</f>
        <v>View Map</v>
      </c>
    </row>
    <row r="2517" spans="1:6" x14ac:dyDescent="0.35">
      <c r="A2517" s="4" t="s">
        <v>7480</v>
      </c>
      <c r="B2517" s="5" t="s">
        <v>5910</v>
      </c>
      <c r="C2517" s="5" t="s">
        <v>1776</v>
      </c>
      <c r="D2517" s="5" t="s">
        <v>318</v>
      </c>
      <c r="E2517" s="6">
        <v>300</v>
      </c>
      <c r="F2517" s="5" t="str">
        <f>HYPERLINK("https://www.google.com/maps/search/?api=1&amp;query=24.82270876,46.63974852", "View Map")</f>
        <v>View Map</v>
      </c>
    </row>
    <row r="2518" spans="1:6" x14ac:dyDescent="0.35">
      <c r="A2518" s="4" t="s">
        <v>6989</v>
      </c>
      <c r="B2518" s="5" t="s">
        <v>5911</v>
      </c>
      <c r="C2518" s="5" t="s">
        <v>1776</v>
      </c>
      <c r="D2518" s="5" t="s">
        <v>318</v>
      </c>
      <c r="E2518" s="6">
        <v>300</v>
      </c>
      <c r="F2518" s="5" t="str">
        <f>HYPERLINK("https://www.google.com/maps/search/?api=1&amp;query=24.68521732,46.82861433", "View Map")</f>
        <v>View Map</v>
      </c>
    </row>
    <row r="2519" spans="1:6" x14ac:dyDescent="0.35">
      <c r="A2519" s="4" t="s">
        <v>7593</v>
      </c>
      <c r="B2519" s="5" t="s">
        <v>5913</v>
      </c>
      <c r="C2519" s="5" t="s">
        <v>1776</v>
      </c>
      <c r="D2519" s="5" t="s">
        <v>318</v>
      </c>
      <c r="E2519" s="6">
        <v>299</v>
      </c>
      <c r="F2519" s="5" t="str">
        <f>HYPERLINK("https://www.google.com/maps/search/?api=1&amp;query=24.70187815,46.85983424", "View Map")</f>
        <v>View Map</v>
      </c>
    </row>
    <row r="2520" spans="1:6" x14ac:dyDescent="0.35">
      <c r="A2520" s="4" t="s">
        <v>7594</v>
      </c>
      <c r="B2520" s="5" t="s">
        <v>5915</v>
      </c>
      <c r="C2520" s="5" t="s">
        <v>1776</v>
      </c>
      <c r="D2520" s="5" t="s">
        <v>318</v>
      </c>
      <c r="E2520" s="6">
        <v>299</v>
      </c>
      <c r="F2520" s="5" t="str">
        <f>HYPERLINK("https://www.google.com/maps/search/?api=1&amp;query=24.63608326,46.70658558", "View Map")</f>
        <v>View Map</v>
      </c>
    </row>
    <row r="2521" spans="1:6" x14ac:dyDescent="0.35">
      <c r="A2521" s="4" t="s">
        <v>6039</v>
      </c>
      <c r="B2521" s="5" t="s">
        <v>5916</v>
      </c>
      <c r="C2521" s="5" t="s">
        <v>1776</v>
      </c>
      <c r="D2521" s="5" t="s">
        <v>318</v>
      </c>
      <c r="E2521" s="6">
        <v>299</v>
      </c>
      <c r="F2521" s="5" t="str">
        <f>HYPERLINK("https://www.google.com/maps/search/?api=1&amp;query=24.56218376,46.57032725", "View Map")</f>
        <v>View Map</v>
      </c>
    </row>
    <row r="2522" spans="1:6" x14ac:dyDescent="0.35">
      <c r="A2522" s="4" t="s">
        <v>7595</v>
      </c>
      <c r="B2522" s="5" t="s">
        <v>5918</v>
      </c>
      <c r="C2522" s="5" t="s">
        <v>1776</v>
      </c>
      <c r="D2522" s="5" t="s">
        <v>318</v>
      </c>
      <c r="E2522" s="6">
        <v>298</v>
      </c>
      <c r="F2522" s="5" t="str">
        <f>HYPERLINK("https://www.google.com/maps/search/?api=1&amp;query=24.57131171,46.63469077", "View Map")</f>
        <v>View Map</v>
      </c>
    </row>
    <row r="2523" spans="1:6" x14ac:dyDescent="0.35">
      <c r="A2523" s="4" t="s">
        <v>7596</v>
      </c>
      <c r="B2523" s="5" t="s">
        <v>5920</v>
      </c>
      <c r="C2523" s="5" t="s">
        <v>1776</v>
      </c>
      <c r="D2523" s="5" t="s">
        <v>318</v>
      </c>
      <c r="E2523" s="6">
        <v>296</v>
      </c>
      <c r="F2523" s="5" t="str">
        <f>HYPERLINK("https://www.google.com/maps/search/?api=1&amp;query=24.68501402,46.78269899", "View Map")</f>
        <v>View Map</v>
      </c>
    </row>
    <row r="2524" spans="1:6" x14ac:dyDescent="0.35">
      <c r="A2524" s="4" t="s">
        <v>7597</v>
      </c>
      <c r="B2524" s="5" t="s">
        <v>5922</v>
      </c>
      <c r="C2524" s="5" t="s">
        <v>1776</v>
      </c>
      <c r="D2524" s="5" t="s">
        <v>318</v>
      </c>
      <c r="E2524" s="6">
        <v>295</v>
      </c>
      <c r="F2524" s="5" t="str">
        <f>HYPERLINK("https://www.google.com/maps/search/?api=1&amp;query=24.63398037,46.70505504", "View Map")</f>
        <v>View Map</v>
      </c>
    </row>
    <row r="2525" spans="1:6" x14ac:dyDescent="0.35">
      <c r="A2525" s="4" t="s">
        <v>7598</v>
      </c>
      <c r="B2525" s="5" t="s">
        <v>5924</v>
      </c>
      <c r="C2525" s="5" t="s">
        <v>1776</v>
      </c>
      <c r="D2525" s="5" t="s">
        <v>318</v>
      </c>
      <c r="E2525" s="6">
        <v>295</v>
      </c>
      <c r="F2525" s="5" t="str">
        <f>HYPERLINK("https://www.google.com/maps/search/?api=1&amp;query=24.67615124,46.75584079", "View Map")</f>
        <v>View Map</v>
      </c>
    </row>
    <row r="2526" spans="1:6" x14ac:dyDescent="0.35">
      <c r="A2526" s="4" t="s">
        <v>7599</v>
      </c>
      <c r="B2526" s="5" t="s">
        <v>5926</v>
      </c>
      <c r="C2526" s="5" t="s">
        <v>1776</v>
      </c>
      <c r="D2526" s="5" t="s">
        <v>318</v>
      </c>
      <c r="E2526" s="6">
        <v>294</v>
      </c>
      <c r="F2526" s="5" t="str">
        <f>HYPERLINK("https://www.google.com/maps/search/?api=1&amp;query=24.67307022,46.78202841", "View Map")</f>
        <v>View Map</v>
      </c>
    </row>
    <row r="2527" spans="1:6" x14ac:dyDescent="0.35">
      <c r="A2527" s="4" t="s">
        <v>7600</v>
      </c>
      <c r="B2527" s="5" t="s">
        <v>5928</v>
      </c>
      <c r="C2527" s="5" t="s">
        <v>1776</v>
      </c>
      <c r="D2527" s="5" t="s">
        <v>318</v>
      </c>
      <c r="E2527" s="6">
        <v>294</v>
      </c>
      <c r="F2527" s="5" t="str">
        <f>HYPERLINK("https://www.google.com/maps/search/?api=1&amp;query=24.81847379,46.81534706", "View Map")</f>
        <v>View Map</v>
      </c>
    </row>
    <row r="2528" spans="1:6" x14ac:dyDescent="0.35">
      <c r="A2528" s="4" t="s">
        <v>7601</v>
      </c>
      <c r="B2528" s="5" t="s">
        <v>5930</v>
      </c>
      <c r="C2528" s="5" t="s">
        <v>1776</v>
      </c>
      <c r="D2528" s="5" t="s">
        <v>318</v>
      </c>
      <c r="E2528" s="6">
        <v>293</v>
      </c>
      <c r="F2528" s="5" t="str">
        <f>HYPERLINK("https://www.google.com/maps/search/?api=1&amp;query=24.56899602,46.68132863", "View Map")</f>
        <v>View Map</v>
      </c>
    </row>
    <row r="2529" spans="1:6" x14ac:dyDescent="0.35">
      <c r="A2529" s="4" t="s">
        <v>7602</v>
      </c>
      <c r="B2529" s="5" t="s">
        <v>5932</v>
      </c>
      <c r="C2529" s="5" t="s">
        <v>1776</v>
      </c>
      <c r="D2529" s="5" t="s">
        <v>318</v>
      </c>
      <c r="E2529" s="6">
        <v>293</v>
      </c>
      <c r="F2529" s="5" t="str">
        <f>HYPERLINK("https://www.google.com/maps/search/?api=1&amp;query=24.58303811,46.63715282", "View Map")</f>
        <v>View Map</v>
      </c>
    </row>
    <row r="2530" spans="1:6" x14ac:dyDescent="0.35">
      <c r="A2530" s="4" t="s">
        <v>6180</v>
      </c>
      <c r="B2530" s="5" t="s">
        <v>5933</v>
      </c>
      <c r="C2530" s="5" t="s">
        <v>1776</v>
      </c>
      <c r="D2530" s="5" t="s">
        <v>318</v>
      </c>
      <c r="E2530" s="6">
        <v>291</v>
      </c>
      <c r="F2530" s="5" t="str">
        <f>HYPERLINK("https://www.google.com/maps/search/?api=1&amp;query=24.78410798,46.6294559", "View Map")</f>
        <v>View Map</v>
      </c>
    </row>
    <row r="2531" spans="1:6" x14ac:dyDescent="0.35">
      <c r="A2531" s="4" t="s">
        <v>7603</v>
      </c>
      <c r="B2531" s="5" t="s">
        <v>5935</v>
      </c>
      <c r="C2531" s="5" t="s">
        <v>1776</v>
      </c>
      <c r="D2531" s="5" t="s">
        <v>318</v>
      </c>
      <c r="E2531" s="6">
        <v>291</v>
      </c>
      <c r="F2531" s="5" t="str">
        <f>HYPERLINK("https://www.google.com/maps/search/?api=1&amp;query=24.64942153,46.70695369", "View Map")</f>
        <v>View Map</v>
      </c>
    </row>
    <row r="2532" spans="1:6" x14ac:dyDescent="0.35">
      <c r="A2532" s="4" t="s">
        <v>6039</v>
      </c>
      <c r="B2532" s="5" t="s">
        <v>5936</v>
      </c>
      <c r="C2532" s="5" t="s">
        <v>1776</v>
      </c>
      <c r="D2532" s="5" t="s">
        <v>318</v>
      </c>
      <c r="E2532" s="6">
        <v>291</v>
      </c>
      <c r="F2532" s="5" t="str">
        <f>HYPERLINK("https://www.google.com/maps/search/?api=1&amp;query=24.56023287,46.74744312", "View Map")</f>
        <v>View Map</v>
      </c>
    </row>
    <row r="2533" spans="1:6" x14ac:dyDescent="0.35">
      <c r="A2533" s="4" t="s">
        <v>7604</v>
      </c>
      <c r="B2533" s="5" t="s">
        <v>5938</v>
      </c>
      <c r="C2533" s="5" t="s">
        <v>1776</v>
      </c>
      <c r="D2533" s="5" t="s">
        <v>318</v>
      </c>
      <c r="E2533" s="6">
        <v>290</v>
      </c>
      <c r="F2533" s="5" t="str">
        <f>HYPERLINK("https://www.google.com/maps/search/?api=1&amp;query=24.67887008,46.68110562", "View Map")</f>
        <v>View Map</v>
      </c>
    </row>
    <row r="2534" spans="1:6" x14ac:dyDescent="0.35">
      <c r="A2534" s="4" t="s">
        <v>7605</v>
      </c>
      <c r="B2534" s="5" t="s">
        <v>5940</v>
      </c>
      <c r="C2534" s="5" t="s">
        <v>1776</v>
      </c>
      <c r="D2534" s="5" t="s">
        <v>318</v>
      </c>
      <c r="E2534" s="6">
        <v>289</v>
      </c>
      <c r="F2534" s="5" t="str">
        <f>HYPERLINK("https://www.google.com/maps/search/?api=1&amp;query=24.59919575,46.70633397", "View Map")</f>
        <v>View Map</v>
      </c>
    </row>
    <row r="2535" spans="1:6" x14ac:dyDescent="0.35">
      <c r="A2535" s="4" t="s">
        <v>7606</v>
      </c>
      <c r="B2535" s="5" t="s">
        <v>5941</v>
      </c>
      <c r="C2535" s="5" t="s">
        <v>1776</v>
      </c>
      <c r="D2535" s="5" t="s">
        <v>318</v>
      </c>
      <c r="E2535" s="6">
        <v>289</v>
      </c>
      <c r="F2535" s="5" t="str">
        <f>HYPERLINK("https://www.google.com/maps/search/?api=1&amp;query=24.70231294,46.75759735", "View Map")</f>
        <v>View Map</v>
      </c>
    </row>
    <row r="2536" spans="1:6" x14ac:dyDescent="0.35">
      <c r="A2536" s="4" t="s">
        <v>7607</v>
      </c>
      <c r="B2536" s="5" t="s">
        <v>5943</v>
      </c>
      <c r="C2536" s="5" t="s">
        <v>1776</v>
      </c>
      <c r="D2536" s="5" t="s">
        <v>318</v>
      </c>
      <c r="E2536" s="6">
        <v>289</v>
      </c>
      <c r="F2536" s="5" t="str">
        <f>HYPERLINK("https://www.google.com/maps/search/?api=1&amp;query=24.75022578,46.77365846", "View Map")</f>
        <v>View Map</v>
      </c>
    </row>
    <row r="2537" spans="1:6" x14ac:dyDescent="0.35">
      <c r="A2537" s="4" t="s">
        <v>7608</v>
      </c>
      <c r="B2537" s="5" t="s">
        <v>5945</v>
      </c>
      <c r="C2537" s="5" t="s">
        <v>1776</v>
      </c>
      <c r="D2537" s="5" t="s">
        <v>318</v>
      </c>
      <c r="E2537" s="6">
        <v>288</v>
      </c>
      <c r="F2537" s="5" t="str">
        <f>HYPERLINK("https://www.google.com/maps/search/?api=1&amp;query=24.78113336,46.74491589", "View Map")</f>
        <v>View Map</v>
      </c>
    </row>
    <row r="2538" spans="1:6" x14ac:dyDescent="0.35">
      <c r="A2538" s="4" t="s">
        <v>7609</v>
      </c>
      <c r="B2538" s="5" t="s">
        <v>5947</v>
      </c>
      <c r="C2538" s="5" t="s">
        <v>1776</v>
      </c>
      <c r="D2538" s="5" t="s">
        <v>318</v>
      </c>
      <c r="E2538" s="6">
        <v>288</v>
      </c>
      <c r="F2538" s="5" t="str">
        <f>HYPERLINK("https://www.google.com/maps/search/?api=1&amp;query=24.62950581,46.67881737", "View Map")</f>
        <v>View Map</v>
      </c>
    </row>
    <row r="2539" spans="1:6" x14ac:dyDescent="0.35">
      <c r="A2539" s="4" t="s">
        <v>5974</v>
      </c>
      <c r="B2539" s="5" t="s">
        <v>5948</v>
      </c>
      <c r="C2539" s="5" t="s">
        <v>1776</v>
      </c>
      <c r="D2539" s="5" t="s">
        <v>318</v>
      </c>
      <c r="E2539" s="6">
        <v>288</v>
      </c>
      <c r="F2539" s="5" t="str">
        <f>HYPERLINK("https://www.google.com/maps/search/?api=1&amp;query=24.93119984,46.8152622", "View Map")</f>
        <v>View Map</v>
      </c>
    </row>
    <row r="2540" spans="1:6" x14ac:dyDescent="0.35">
      <c r="A2540" s="4" t="s">
        <v>7610</v>
      </c>
      <c r="B2540" s="5" t="s">
        <v>5950</v>
      </c>
      <c r="C2540" s="5" t="s">
        <v>1776</v>
      </c>
      <c r="D2540" s="5" t="s">
        <v>318</v>
      </c>
      <c r="E2540" s="6">
        <v>287</v>
      </c>
      <c r="F2540" s="5" t="str">
        <f>HYPERLINK("https://www.google.com/maps/search/?api=1&amp;query=24.63077482,46.68537339", "View Map")</f>
        <v>View Map</v>
      </c>
    </row>
    <row r="2541" spans="1:6" x14ac:dyDescent="0.35">
      <c r="A2541" s="4" t="s">
        <v>7611</v>
      </c>
      <c r="B2541" s="5" t="s">
        <v>5952</v>
      </c>
      <c r="C2541" s="5" t="s">
        <v>1776</v>
      </c>
      <c r="D2541" s="5" t="s">
        <v>318</v>
      </c>
      <c r="E2541" s="6">
        <v>286</v>
      </c>
      <c r="F2541" s="5" t="str">
        <f>HYPERLINK("https://www.google.com/maps/search/?api=1&amp;query=24.7575076,46.72357512", "View Map")</f>
        <v>View Map</v>
      </c>
    </row>
    <row r="2542" spans="1:6" x14ac:dyDescent="0.35">
      <c r="A2542" s="4" t="s">
        <v>7612</v>
      </c>
      <c r="B2542" s="5" t="s">
        <v>5954</v>
      </c>
      <c r="C2542" s="5" t="s">
        <v>1776</v>
      </c>
      <c r="D2542" s="5" t="s">
        <v>318</v>
      </c>
      <c r="E2542" s="6">
        <v>285</v>
      </c>
      <c r="F2542" s="5" t="str">
        <f>HYPERLINK("https://www.google.com/maps/search/?api=1&amp;query=24.780734,46.76991222", "View Map")</f>
        <v>View Map</v>
      </c>
    </row>
    <row r="2543" spans="1:6" x14ac:dyDescent="0.35">
      <c r="A2543" s="4" t="s">
        <v>7613</v>
      </c>
      <c r="B2543" s="5" t="s">
        <v>5956</v>
      </c>
      <c r="C2543" s="5" t="s">
        <v>1776</v>
      </c>
      <c r="D2543" s="5" t="s">
        <v>318</v>
      </c>
      <c r="E2543" s="6">
        <v>280</v>
      </c>
      <c r="F2543" s="5" t="str">
        <f>HYPERLINK("https://www.google.com/maps/search/?api=1&amp;query=24.61657229,46.73618587", "View Map")</f>
        <v>View Map</v>
      </c>
    </row>
    <row r="2544" spans="1:6" x14ac:dyDescent="0.35">
      <c r="A2544" s="4" t="s">
        <v>5974</v>
      </c>
      <c r="B2544" s="5" t="s">
        <v>5957</v>
      </c>
      <c r="C2544" s="5" t="s">
        <v>1776</v>
      </c>
      <c r="D2544" s="5" t="s">
        <v>318</v>
      </c>
      <c r="E2544" s="6">
        <v>280</v>
      </c>
      <c r="F2544" s="5" t="str">
        <f>HYPERLINK("https://www.google.com/maps/search/?api=1&amp;query=24.780909,46.90640957", "View Map")</f>
        <v>View Map</v>
      </c>
    </row>
    <row r="2545" spans="1:6" x14ac:dyDescent="0.35">
      <c r="A2545" s="4" t="s">
        <v>7445</v>
      </c>
      <c r="B2545" s="5" t="s">
        <v>5958</v>
      </c>
      <c r="C2545" s="5" t="s">
        <v>1776</v>
      </c>
      <c r="D2545" s="5" t="s">
        <v>318</v>
      </c>
      <c r="E2545" s="6">
        <v>271</v>
      </c>
      <c r="F2545" s="5" t="str">
        <f>HYPERLINK("https://www.google.com/maps/search/?api=1&amp;query=24.5861994,46.65743851", "View Map")</f>
        <v>View Map</v>
      </c>
    </row>
    <row r="2546" spans="1:6" x14ac:dyDescent="0.35">
      <c r="A2546" s="4" t="s">
        <v>7614</v>
      </c>
      <c r="B2546" s="5" t="s">
        <v>5960</v>
      </c>
      <c r="C2546" s="5" t="s">
        <v>1776</v>
      </c>
      <c r="D2546" s="5" t="s">
        <v>318</v>
      </c>
      <c r="E2546" s="6">
        <v>219</v>
      </c>
      <c r="F2546" s="5" t="str">
        <f>HYPERLINK("https://www.google.com/maps/search/?api=1&amp;query=24.5894121,46.58873461", "View Map")</f>
        <v>View Map</v>
      </c>
    </row>
    <row r="2547" spans="1:6" x14ac:dyDescent="0.35">
      <c r="A2547" s="4" t="s">
        <v>7615</v>
      </c>
      <c r="B2547" s="5" t="s">
        <v>5962</v>
      </c>
      <c r="C2547" s="5" t="s">
        <v>1843</v>
      </c>
      <c r="D2547" s="5" t="s">
        <v>318</v>
      </c>
      <c r="E2547" s="6">
        <v>200</v>
      </c>
      <c r="F2547" s="5" t="str">
        <f>HYPERLINK("https://www.google.com/maps/search/?api=1&amp;query=24.7560703,46.54113542", "View Map")</f>
        <v>View Map</v>
      </c>
    </row>
  </sheetData>
  <pageMargins left="0.75" right="0.75" top="1" bottom="1" header="0.5" footer="0.5"/>
  <headerFooter>
    <oddFooter>&amp;C_x000D_&amp;1#&amp;"Calibri"&amp;10&amp;K0000FF Restricted - مقيد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محافظات شمال الرياض</vt:lpstr>
      <vt:lpstr>محافظات جنوب الرياض</vt:lpstr>
      <vt:lpstr>محافظات غرب الرياض</vt:lpstr>
      <vt:lpstr>مدينة الرياض</vt:lpstr>
      <vt:lpstr>مدينة الرياض2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Bahdal, Ibrahim S</cp:lastModifiedBy>
  <dcterms:created xsi:type="dcterms:W3CDTF">2025-05-14T07:40:23Z</dcterms:created>
  <dcterms:modified xsi:type="dcterms:W3CDTF">2025-05-22T11:28:24Z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662555-8342-48a1-91df-60b8ada0890e_Enabled">
    <vt:lpwstr>true</vt:lpwstr>
  </property>
  <property fmtid="{D5CDD505-2E9C-101B-9397-08002B2CF9AE}" pid="3" name="MSIP_Label_3c662555-8342-48a1-91df-60b8ada0890e_SetDate">
    <vt:lpwstr>2025-05-14T07:42:03Z</vt:lpwstr>
  </property>
  <property fmtid="{D5CDD505-2E9C-101B-9397-08002B2CF9AE}" pid="4" name="MSIP_Label_3c662555-8342-48a1-91df-60b8ada0890e_Method">
    <vt:lpwstr>Standard</vt:lpwstr>
  </property>
  <property fmtid="{D5CDD505-2E9C-101B-9397-08002B2CF9AE}" pid="5" name="MSIP_Label_3c662555-8342-48a1-91df-60b8ada0890e_Name">
    <vt:lpwstr>مقيد - Restricted</vt:lpwstr>
  </property>
  <property fmtid="{D5CDD505-2E9C-101B-9397-08002B2CF9AE}" pid="6" name="MSIP_Label_3c662555-8342-48a1-91df-60b8ada0890e_SiteId">
    <vt:lpwstr>cee277c8-9ceb-4b05-95ef-59d45630412c</vt:lpwstr>
  </property>
  <property fmtid="{D5CDD505-2E9C-101B-9397-08002B2CF9AE}" pid="7" name="MSIP_Label_3c662555-8342-48a1-91df-60b8ada0890e_ActionId">
    <vt:lpwstr>57d2ce78-b3df-4389-8b46-67c946247264</vt:lpwstr>
  </property>
  <property fmtid="{D5CDD505-2E9C-101B-9397-08002B2CF9AE}" pid="8" name="MSIP_Label_3c662555-8342-48a1-91df-60b8ada0890e_ContentBits">
    <vt:lpwstr>2</vt:lpwstr>
  </property>
  <property fmtid="{D5CDD505-2E9C-101B-9397-08002B2CF9AE}" pid="9" name="MSIP_Label_3c662555-8342-48a1-91df-60b8ada0890e_Tag">
    <vt:lpwstr>10, 3, 0, 1</vt:lpwstr>
  </property>
</Properties>
</file>