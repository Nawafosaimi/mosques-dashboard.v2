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ياض" sheetId="1" state="visible" r:id="rId1"/>
    <sheet xmlns:r="http://schemas.openxmlformats.org/officeDocument/2006/relationships" name="جنوب الرياض" sheetId="2" state="visible" r:id="rId2"/>
    <sheet xmlns:r="http://schemas.openxmlformats.org/officeDocument/2006/relationships" name="شمال الرياض" sheetId="3" state="visible" r:id="rId3"/>
    <sheet xmlns:r="http://schemas.openxmlformats.org/officeDocument/2006/relationships" name="غرب الريا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20" customWidth="1" min="4" max="4"/>
    <col width="24" customWidth="1" min="5" max="5"/>
    <col width="13" customWidth="1" min="6" max="6"/>
    <col width="106" customWidth="1" min="7" max="7"/>
  </cols>
  <sheetData>
    <row r="1">
      <c r="A1" s="1" t="inlineStr">
        <is>
          <t>اسم المسجد</t>
        </is>
      </c>
      <c r="B1" s="1" t="inlineStr">
        <is>
          <t>رقم العداد</t>
        </is>
      </c>
      <c r="C1" s="1" t="inlineStr">
        <is>
          <t>المحافظة</t>
        </is>
      </c>
      <c r="D1" s="1" t="inlineStr">
        <is>
          <t>الفترة صباحا/مساءا</t>
        </is>
      </c>
      <c r="E1" s="1" t="inlineStr">
        <is>
          <t>قيمة الفاتورة الإجمالي</t>
        </is>
      </c>
      <c r="F1" s="1" t="inlineStr">
        <is>
          <t>مخالف سابقا</t>
        </is>
      </c>
      <c r="G1" s="1" t="inlineStr">
        <is>
          <t>الموقع</t>
        </is>
      </c>
    </row>
    <row r="2">
      <c r="A2" t="inlineStr">
        <is>
          <t>مسجد الامام تركي بـــنعبدالله .</t>
        </is>
      </c>
      <c r="B2" t="inlineStr">
        <is>
          <t>KFM2020560000132</t>
        </is>
      </c>
      <c r="C2" t="inlineStr">
        <is>
          <t>الرياض</t>
        </is>
      </c>
      <c r="D2" t="inlineStr">
        <is>
          <t>كلا الفترتين</t>
        </is>
      </c>
      <c r="E2" t="n">
        <v>158906</v>
      </c>
      <c r="F2" t="b">
        <v>1</v>
      </c>
      <c r="G2">
        <f>HYPERLINK("https://www.google.com/maps/search/?api=1&amp;query=24.6290373,46.70857805", "View Map")</f>
        <v/>
      </c>
    </row>
    <row r="3">
      <c r="A3" t="inlineStr">
        <is>
          <t>مسجد  الملك عبدالله بن عبدالعزيز ال سعود .</t>
        </is>
      </c>
      <c r="B3" t="inlineStr">
        <is>
          <t>KFM2020560002341</t>
        </is>
      </c>
      <c r="C3" t="inlineStr">
        <is>
          <t>الرياض</t>
        </is>
      </c>
      <c r="D3" t="inlineStr">
        <is>
          <t>كلا الفترتين</t>
        </is>
      </c>
      <c r="E3" t="n">
        <v>157323</v>
      </c>
      <c r="F3" t="b">
        <v>1</v>
      </c>
      <c r="G3">
        <f>HYPERLINK("https://www.google.com/maps/search/?api=1&amp;query=24.71878225,46.7552068", "View Map")</f>
        <v/>
      </c>
    </row>
    <row r="4">
      <c r="A4" t="inlineStr">
        <is>
          <t xml:space="preserve">   مسجد جامع سليمان عبدالعزيز الراج .</t>
        </is>
      </c>
      <c r="B4" t="inlineStr">
        <is>
          <t>KFM2020560002295</t>
        </is>
      </c>
      <c r="C4" t="inlineStr">
        <is>
          <t>الرياض</t>
        </is>
      </c>
      <c r="D4" t="inlineStr">
        <is>
          <t>كلا الفترتين</t>
        </is>
      </c>
      <c r="E4" t="n">
        <v>94567</v>
      </c>
      <c r="F4" t="b">
        <v>1</v>
      </c>
      <c r="G4">
        <f>HYPERLINK("https://www.google.com/maps/search/?api=1&amp;query=24.674339,46.7816788", "View Map")</f>
        <v/>
      </c>
    </row>
    <row r="5">
      <c r="A5" t="inlineStr">
        <is>
          <t xml:space="preserve">   مسجدالملك خالدبن عبدالعزيز .</t>
        </is>
      </c>
      <c r="B5" t="inlineStr">
        <is>
          <t>KFM2120660272398</t>
        </is>
      </c>
      <c r="C5" t="inlineStr">
        <is>
          <t>الرياض</t>
        </is>
      </c>
      <c r="D5" t="inlineStr">
        <is>
          <t>كلا الفترتين</t>
        </is>
      </c>
      <c r="E5" t="n">
        <v>59874</v>
      </c>
      <c r="F5" t="b">
        <v>1</v>
      </c>
      <c r="G5">
        <f>HYPERLINK("https://www.google.com/maps/search/?api=1&amp;query=24.70051282,46.65273349", "View Map")</f>
        <v/>
      </c>
    </row>
    <row r="6">
      <c r="A6" t="inlineStr">
        <is>
          <t xml:space="preserve">   مسجد / الحرس الوطني .</t>
        </is>
      </c>
      <c r="B6" t="inlineStr">
        <is>
          <t>KFM2120655003281</t>
        </is>
      </c>
      <c r="C6" t="inlineStr">
        <is>
          <t>الرياض</t>
        </is>
      </c>
      <c r="D6" t="inlineStr">
        <is>
          <t>كلا الفترتين</t>
        </is>
      </c>
      <c r="E6" t="n">
        <v>42897</v>
      </c>
      <c r="F6" t="b">
        <v>1</v>
      </c>
      <c r="G6">
        <f>HYPERLINK("https://www.google.com/maps/search/?api=1&amp;query=24.66201851,46.86361439", "View Map")</f>
        <v/>
      </c>
    </row>
    <row r="7">
      <c r="A7" t="inlineStr">
        <is>
          <t xml:space="preserve">   الحرس  الوطني مسجد عثمان بن عفان .</t>
        </is>
      </c>
      <c r="B7" t="inlineStr">
        <is>
          <t>KFM2020660193591</t>
        </is>
      </c>
      <c r="C7" t="inlineStr">
        <is>
          <t>الرياض</t>
        </is>
      </c>
      <c r="D7" t="inlineStr">
        <is>
          <t>كلا الفترتين</t>
        </is>
      </c>
      <c r="E7" t="n">
        <v>41898</v>
      </c>
      <c r="F7" t="b">
        <v>1</v>
      </c>
      <c r="G7">
        <f>HYPERLINK("https://www.google.com/maps/search/?api=1&amp;query=24.67439423,46.87595957", "View Map")</f>
        <v/>
      </c>
    </row>
    <row r="8">
      <c r="A8" t="inlineStr">
        <is>
          <t xml:space="preserve">   مسجد عمر بن الخطاب .</t>
        </is>
      </c>
      <c r="B8" t="inlineStr">
        <is>
          <t>KFM2020660193535</t>
        </is>
      </c>
      <c r="C8" t="inlineStr">
        <is>
          <t>الرياض</t>
        </is>
      </c>
      <c r="D8" t="inlineStr">
        <is>
          <t>كلا الفترتين</t>
        </is>
      </c>
      <c r="E8" t="n">
        <v>41712</v>
      </c>
      <c r="F8" t="b">
        <v>1</v>
      </c>
      <c r="G8">
        <f>HYPERLINK("https://www.google.com/maps/search/?api=1&amp;query=24.67291561,46.86330744", "View Map")</f>
        <v/>
      </c>
    </row>
    <row r="9">
      <c r="A9" t="inlineStr">
        <is>
          <t>مسجدالشيخ  محمد بن ابراهيم .</t>
        </is>
      </c>
      <c r="B9" t="inlineStr">
        <is>
          <t>KFM2020660177136</t>
        </is>
      </c>
      <c r="C9" t="inlineStr">
        <is>
          <t>الرياض</t>
        </is>
      </c>
      <c r="D9" t="inlineStr">
        <is>
          <t>كلا الفترتين</t>
        </is>
      </c>
      <c r="E9" t="n">
        <v>35866</v>
      </c>
      <c r="F9" t="b">
        <v>1</v>
      </c>
      <c r="G9">
        <f>HYPERLINK("https://www.google.com/maps/search/?api=1&amp;query=24.62872277,46.71230113", "View Map")</f>
        <v/>
      </c>
    </row>
    <row r="10">
      <c r="A10" t="inlineStr">
        <is>
          <t xml:space="preserve">   جامع الملك فهد بن عبدالعزيز .</t>
        </is>
      </c>
      <c r="B10" t="inlineStr">
        <is>
          <t>KFM2120660300949</t>
        </is>
      </c>
      <c r="C10" t="inlineStr">
        <is>
          <t>الرياض</t>
        </is>
      </c>
      <c r="D10" t="inlineStr">
        <is>
          <t>كلا الفترتين</t>
        </is>
      </c>
      <c r="E10" t="n">
        <v>33949</v>
      </c>
      <c r="F10" t="b">
        <v>1</v>
      </c>
      <c r="G10">
        <f>HYPERLINK("https://www.google.com/maps/search/?api=1&amp;query=24.67053649,46.65803202", "View Map")</f>
        <v/>
      </c>
    </row>
    <row r="11">
      <c r="A11" t="inlineStr">
        <is>
          <t xml:space="preserve">   جامع الأمير سلطان بن فهد .</t>
        </is>
      </c>
      <c r="B11" t="inlineStr">
        <is>
          <t>KFM2020660195139</t>
        </is>
      </c>
      <c r="C11" t="inlineStr">
        <is>
          <t>الرياض</t>
        </is>
      </c>
      <c r="D11" t="inlineStr">
        <is>
          <t>كلا الفترتين</t>
        </is>
      </c>
      <c r="E11" t="n">
        <v>30608</v>
      </c>
      <c r="F11" t="b">
        <v>1</v>
      </c>
      <c r="G11">
        <f>HYPERLINK("https://www.google.com/maps/search/?api=1&amp;query=24.80212711,46.7338643", "View Map")</f>
        <v/>
      </c>
    </row>
    <row r="12">
      <c r="A12" t="inlineStr">
        <is>
          <t xml:space="preserve">   مسجد      عبدالله بنرواحه .</t>
        </is>
      </c>
      <c r="B12" t="inlineStr">
        <is>
          <t>KFM2020660176451</t>
        </is>
      </c>
      <c r="C12" t="inlineStr">
        <is>
          <t>الرياض</t>
        </is>
      </c>
      <c r="D12" t="inlineStr">
        <is>
          <t>كلا الفترتين</t>
        </is>
      </c>
      <c r="E12" t="n">
        <v>29797</v>
      </c>
      <c r="F12" t="b">
        <v>0</v>
      </c>
      <c r="G12">
        <f>HYPERLINK("https://www.google.com/maps/search/?api=1&amp;query=24.65966611,46.86842639", "View Map")</f>
        <v/>
      </c>
    </row>
    <row r="13">
      <c r="A13" t="inlineStr">
        <is>
          <t xml:space="preserve">   مسجد      الشئون    والاوقاف .</t>
        </is>
      </c>
      <c r="B13" t="inlineStr">
        <is>
          <t>KFM2020660201442</t>
        </is>
      </c>
      <c r="C13" t="inlineStr">
        <is>
          <t>الرياض</t>
        </is>
      </c>
      <c r="D13" t="inlineStr">
        <is>
          <t>كلا الفترتين</t>
        </is>
      </c>
      <c r="E13" t="n">
        <v>29323</v>
      </c>
      <c r="F13" t="b">
        <v>1</v>
      </c>
      <c r="G13">
        <f>HYPERLINK("https://www.google.com/maps/search/?api=1&amp;query=24.80437452,46.61631235", "View Map")</f>
        <v/>
      </c>
    </row>
    <row r="14">
      <c r="A14" t="inlineStr">
        <is>
          <t>ﻤﺴﺎﺠﺩ .</t>
        </is>
      </c>
      <c r="B14" t="inlineStr">
        <is>
          <t>KFM2020660145886</t>
        </is>
      </c>
      <c r="C14" t="inlineStr">
        <is>
          <t>الرياض</t>
        </is>
      </c>
      <c r="D14" t="inlineStr">
        <is>
          <t>كلا الفترتين</t>
        </is>
      </c>
      <c r="E14" t="n">
        <v>28332</v>
      </c>
      <c r="F14" t="b">
        <v>1</v>
      </c>
      <c r="G14">
        <f>HYPERLINK("https://www.google.com/maps/search/?api=1&amp;query=24.8589,46.6406", "View Map")</f>
        <v/>
      </c>
    </row>
    <row r="15">
      <c r="A15" t="inlineStr">
        <is>
          <t xml:space="preserve">   مسجد عبدالله بن مسعود .</t>
        </is>
      </c>
      <c r="B15" t="inlineStr">
        <is>
          <t>KFM2020660175298</t>
        </is>
      </c>
      <c r="C15" t="inlineStr">
        <is>
          <t>الرياض</t>
        </is>
      </c>
      <c r="D15" t="inlineStr">
        <is>
          <t>كلا الفترتين</t>
        </is>
      </c>
      <c r="E15" t="n">
        <v>28157</v>
      </c>
      <c r="F15" t="b">
        <v>1</v>
      </c>
      <c r="G15">
        <f>HYPERLINK("https://www.google.com/maps/search/?api=1&amp;query=24.673575,46.88101881", "View Map")</f>
        <v/>
      </c>
    </row>
    <row r="16">
      <c r="A16" t="inlineStr">
        <is>
          <t xml:space="preserve">   الحرس  الوطني مسجد أسيد بن حفير .</t>
        </is>
      </c>
      <c r="B16" t="inlineStr">
        <is>
          <t>KFM2120655003238</t>
        </is>
      </c>
      <c r="C16" t="inlineStr">
        <is>
          <t>الرياض</t>
        </is>
      </c>
      <c r="D16" t="inlineStr">
        <is>
          <t>كلا الفترتين</t>
        </is>
      </c>
      <c r="E16" t="n">
        <v>27770</v>
      </c>
      <c r="F16" t="b">
        <v>0</v>
      </c>
      <c r="G16">
        <f>HYPERLINK("https://www.google.com/maps/search/?api=1&amp;query=24.67564658,46.87356533", "View Map")</f>
        <v/>
      </c>
    </row>
    <row r="17">
      <c r="A17" t="inlineStr">
        <is>
          <t xml:space="preserve">   مسجدالملك خالدبن عبدالعزيز .</t>
        </is>
      </c>
      <c r="B17" t="inlineStr">
        <is>
          <t>KFM2120660272401</t>
        </is>
      </c>
      <c r="C17" t="inlineStr">
        <is>
          <t>الرياض</t>
        </is>
      </c>
      <c r="D17" t="inlineStr">
        <is>
          <t>كلا الفترتين</t>
        </is>
      </c>
      <c r="E17" t="n">
        <v>27098</v>
      </c>
      <c r="F17" t="b">
        <v>1</v>
      </c>
      <c r="G17">
        <f>HYPERLINK("https://www.google.com/maps/search/?api=1&amp;query=24.70051434,46.65273532", "View Map")</f>
        <v/>
      </c>
    </row>
    <row r="18">
      <c r="A18" t="inlineStr">
        <is>
          <t xml:space="preserve">   مسجد/الاميرطلال بن عبدالعزيز .</t>
        </is>
      </c>
      <c r="B18" t="inlineStr">
        <is>
          <t>KFM2120660262195</t>
        </is>
      </c>
      <c r="C18" t="inlineStr">
        <is>
          <t>الرياض</t>
        </is>
      </c>
      <c r="D18" t="inlineStr">
        <is>
          <t>كلا الفترتين</t>
        </is>
      </c>
      <c r="E18" t="n">
        <v>24875</v>
      </c>
      <c r="F18" t="b">
        <v>1</v>
      </c>
      <c r="G18">
        <f>HYPERLINK("https://www.google.com/maps/search/?api=1&amp;query=24.64446,46.67468", "View Map")</f>
        <v/>
      </c>
    </row>
    <row r="19">
      <c r="A19" t="inlineStr">
        <is>
          <t xml:space="preserve">     مسجد الناصر .</t>
        </is>
      </c>
      <c r="B19" t="inlineStr">
        <is>
          <t>KFM2020660171416</t>
        </is>
      </c>
      <c r="C19" t="inlineStr">
        <is>
          <t>الرياض</t>
        </is>
      </c>
      <c r="D19" t="inlineStr">
        <is>
          <t>كلا الفترتين</t>
        </is>
      </c>
      <c r="E19" t="n">
        <v>24865</v>
      </c>
      <c r="F19" t="b">
        <v>1</v>
      </c>
      <c r="G19">
        <f>HYPERLINK("https://www.google.com/maps/search/?api=1&amp;query=24.74076623,46.79615151", "View Map")</f>
        <v/>
      </c>
    </row>
    <row r="20">
      <c r="A20" t="inlineStr">
        <is>
          <t xml:space="preserve">   جامع      الهاجري .</t>
        </is>
      </c>
      <c r="B20" t="inlineStr">
        <is>
          <t>KFM2120660282678</t>
        </is>
      </c>
      <c r="C20" t="inlineStr">
        <is>
          <t>الرياض</t>
        </is>
      </c>
      <c r="D20" t="inlineStr">
        <is>
          <t>كلا الفترتين</t>
        </is>
      </c>
      <c r="E20" t="n">
        <v>24379</v>
      </c>
      <c r="F20" t="b">
        <v>1</v>
      </c>
      <c r="G20">
        <f>HYPERLINK("https://www.google.com/maps/search/?api=1&amp;query=24.67329557,46.7328561", "View Map")</f>
        <v/>
      </c>
    </row>
    <row r="21">
      <c r="A21" t="inlineStr">
        <is>
          <t xml:space="preserve">   مسجد  السعود .</t>
        </is>
      </c>
      <c r="B21" t="inlineStr">
        <is>
          <t>KFM2120660239379</t>
        </is>
      </c>
      <c r="C21" t="inlineStr">
        <is>
          <t>الرياض</t>
        </is>
      </c>
      <c r="D21" t="inlineStr">
        <is>
          <t>كلا الفترتين</t>
        </is>
      </c>
      <c r="E21" t="n">
        <v>23504</v>
      </c>
      <c r="F21" t="b">
        <v>1</v>
      </c>
      <c r="G21">
        <f>HYPERLINK("https://www.google.com/maps/search/?api=1&amp;query=24.71811061,46.85098508", "View Map")</f>
        <v/>
      </c>
    </row>
    <row r="22">
      <c r="A22" t="inlineStr">
        <is>
          <t xml:space="preserve">   الحرس  الوطني مسجد زيد بن حارثه .</t>
        </is>
      </c>
      <c r="B22" t="inlineStr">
        <is>
          <t>KFM2020660175359</t>
        </is>
      </c>
      <c r="C22" t="inlineStr">
        <is>
          <t>الرياض</t>
        </is>
      </c>
      <c r="D22" t="inlineStr">
        <is>
          <t>كلا الفترتين</t>
        </is>
      </c>
      <c r="E22" t="n">
        <v>22346</v>
      </c>
      <c r="F22" t="b">
        <v>1</v>
      </c>
      <c r="G22">
        <f>HYPERLINK("https://www.google.com/maps/search/?api=1&amp;query=24.65884065,46.87719912", "View Map")</f>
        <v/>
      </c>
    </row>
    <row r="23">
      <c r="A23" t="inlineStr">
        <is>
          <t>مسجد/الامير سعد بن محمد ال  سعود .</t>
        </is>
      </c>
      <c r="B23" t="inlineStr">
        <is>
          <t>SMR2320661021344</t>
        </is>
      </c>
      <c r="C23" t="inlineStr">
        <is>
          <t>الرياض</t>
        </is>
      </c>
      <c r="D23" t="inlineStr">
        <is>
          <t>كلا الفترتين</t>
        </is>
      </c>
      <c r="E23" t="n">
        <v>21487</v>
      </c>
      <c r="F23" t="b">
        <v>1</v>
      </c>
      <c r="G23">
        <f>HYPERLINK("https://www.google.com/maps/search/?api=1&amp;query=24.63422828,46.70184492", "View Map")</f>
        <v/>
      </c>
    </row>
    <row r="24">
      <c r="A24" t="inlineStr">
        <is>
          <t xml:space="preserve">         مسجد جامع الناصريه .</t>
        </is>
      </c>
      <c r="B24" t="inlineStr">
        <is>
          <t>KFM2120660272469</t>
        </is>
      </c>
      <c r="C24" t="inlineStr">
        <is>
          <t>الرياض</t>
        </is>
      </c>
      <c r="D24" t="inlineStr">
        <is>
          <t>كلا الفترتين</t>
        </is>
      </c>
      <c r="E24" t="n">
        <v>20797</v>
      </c>
      <c r="F24" t="b">
        <v>1</v>
      </c>
      <c r="G24">
        <f>HYPERLINK("https://www.google.com/maps/search/?api=1&amp;query=24.64905,46.68186", "View Map")</f>
        <v/>
      </c>
    </row>
    <row r="25">
      <c r="A25" t="inlineStr">
        <is>
          <t>ﻤﺴﺎﺠﺩ .</t>
        </is>
      </c>
      <c r="B25" t="inlineStr">
        <is>
          <t>KFM2020660202036</t>
        </is>
      </c>
      <c r="C25" t="inlineStr">
        <is>
          <t>الرياض</t>
        </is>
      </c>
      <c r="D25" t="inlineStr">
        <is>
          <t>كلا الفترتين</t>
        </is>
      </c>
      <c r="E25" t="n">
        <v>20556</v>
      </c>
      <c r="F25" t="b">
        <v>1</v>
      </c>
      <c r="G25">
        <f>HYPERLINK("https://www.google.com/maps/search/?api=1&amp;query=24.8608,46.6494", "View Map")</f>
        <v/>
      </c>
    </row>
    <row r="26">
      <c r="A26" t="inlineStr">
        <is>
          <t>مسجد جامع  الدخل  المحدود .</t>
        </is>
      </c>
      <c r="B26" t="inlineStr">
        <is>
          <t>KFM2020660164488</t>
        </is>
      </c>
      <c r="C26" t="inlineStr">
        <is>
          <t>الرياض</t>
        </is>
      </c>
      <c r="D26" t="inlineStr">
        <is>
          <t>كلا الفترتين</t>
        </is>
      </c>
      <c r="E26" t="n">
        <v>20492</v>
      </c>
      <c r="F26" t="b">
        <v>1</v>
      </c>
      <c r="G26">
        <f>HYPERLINK("https://www.google.com/maps/search/?api=1&amp;query=24.6076925,46.63268705", "View Map")</f>
        <v/>
      </c>
    </row>
    <row r="27">
      <c r="A27" t="inlineStr">
        <is>
          <t xml:space="preserve"> وزارةالشئون الاسلاميةجامع ناصر الطيار .</t>
        </is>
      </c>
      <c r="B27" t="inlineStr">
        <is>
          <t>KFM2120660257432</t>
        </is>
      </c>
      <c r="C27" t="inlineStr">
        <is>
          <t>الرياض</t>
        </is>
      </c>
      <c r="D27" t="inlineStr">
        <is>
          <t>كلا الفترتين</t>
        </is>
      </c>
      <c r="E27" t="n">
        <v>20465</v>
      </c>
      <c r="F27" t="b">
        <v>1</v>
      </c>
      <c r="G27">
        <f>HYPERLINK("https://www.google.com/maps/search/?api=1&amp;query=24.68503394,46.57709164", "View Map")</f>
        <v/>
      </c>
    </row>
    <row r="28">
      <c r="A28" t="inlineStr">
        <is>
          <t xml:space="preserve">   مسجد الخضير .</t>
        </is>
      </c>
      <c r="B28" t="inlineStr">
        <is>
          <t>KFM2020660195200</t>
        </is>
      </c>
      <c r="C28" t="inlineStr">
        <is>
          <t>الرياض</t>
        </is>
      </c>
      <c r="D28" t="inlineStr">
        <is>
          <t>كلا الفترتين</t>
        </is>
      </c>
      <c r="E28" t="n">
        <v>20412</v>
      </c>
      <c r="F28" t="b">
        <v>1</v>
      </c>
      <c r="G28">
        <f>HYPERLINK("https://www.google.com/maps/search/?api=1&amp;query=24.81794716,46.77955596", "View Map")</f>
        <v/>
      </c>
    </row>
    <row r="29">
      <c r="A29" t="inlineStr">
        <is>
          <t>مساجد .</t>
        </is>
      </c>
      <c r="B29" t="inlineStr">
        <is>
          <t>KFM2020660053662</t>
        </is>
      </c>
      <c r="C29" t="inlineStr">
        <is>
          <t>الرياض</t>
        </is>
      </c>
      <c r="D29" t="inlineStr">
        <is>
          <t>كلا الفترتين</t>
        </is>
      </c>
      <c r="E29" t="n">
        <v>20170</v>
      </c>
      <c r="F29" t="b">
        <v>1</v>
      </c>
      <c r="G29">
        <f>HYPERLINK("https://www.google.com/maps/search/?api=1&amp;query=24.75392709,46.61690089", "View Map")</f>
        <v/>
      </c>
    </row>
    <row r="30">
      <c r="A30" t="inlineStr">
        <is>
          <t>ﻤﺴﺎﺠﺩ .</t>
        </is>
      </c>
      <c r="B30" t="inlineStr">
        <is>
          <t>KFM2120660260234</t>
        </is>
      </c>
      <c r="C30" t="inlineStr">
        <is>
          <t>الرياض</t>
        </is>
      </c>
      <c r="D30" t="inlineStr">
        <is>
          <t>كلا الفترتين</t>
        </is>
      </c>
      <c r="E30" t="n">
        <v>19795</v>
      </c>
      <c r="F30" t="b">
        <v>1</v>
      </c>
      <c r="G30">
        <f>HYPERLINK("https://www.google.com/maps/search/?api=1&amp;query=24.69409578,46.60271828", "View Map")</f>
        <v/>
      </c>
    </row>
    <row r="31">
      <c r="A31" t="inlineStr">
        <is>
          <t>ﻤﺴﺎﺠﺩ .</t>
        </is>
      </c>
      <c r="B31" t="inlineStr">
        <is>
          <t>KFM2020660172269</t>
        </is>
      </c>
      <c r="C31" t="inlineStr">
        <is>
          <t>الرياض</t>
        </is>
      </c>
      <c r="D31" t="inlineStr">
        <is>
          <t>كلا الفترتين</t>
        </is>
      </c>
      <c r="E31" t="n">
        <v>19737</v>
      </c>
      <c r="F31" t="b">
        <v>1</v>
      </c>
      <c r="G31">
        <f>HYPERLINK("https://www.google.com/maps/search/?api=1&amp;query=24.87769689,46.64635932", "View Map")</f>
        <v/>
      </c>
    </row>
    <row r="32">
      <c r="A32" t="inlineStr">
        <is>
          <t xml:space="preserve">   جامع الملز الثانى .</t>
        </is>
      </c>
      <c r="B32" t="inlineStr">
        <is>
          <t>KFM2120660283305</t>
        </is>
      </c>
      <c r="C32" t="inlineStr">
        <is>
          <t>الرياض</t>
        </is>
      </c>
      <c r="D32" t="inlineStr">
        <is>
          <t>كلا الفترتين</t>
        </is>
      </c>
      <c r="E32" t="n">
        <v>19406</v>
      </c>
      <c r="F32" t="b">
        <v>1</v>
      </c>
      <c r="G32">
        <f>HYPERLINK("https://www.google.com/maps/search/?api=1&amp;query=24.67622402,46.72770081", "View Map")</f>
        <v/>
      </c>
    </row>
    <row r="33">
      <c r="A33" t="inlineStr">
        <is>
          <t xml:space="preserve">   مسجد جامع حلة العنوز .</t>
        </is>
      </c>
      <c r="B33" t="inlineStr">
        <is>
          <t>KFM2120660301941</t>
        </is>
      </c>
      <c r="C33" t="inlineStr">
        <is>
          <t>الرياض</t>
        </is>
      </c>
      <c r="D33" t="inlineStr">
        <is>
          <t>كلا الفترتين</t>
        </is>
      </c>
      <c r="E33" t="n">
        <v>19178</v>
      </c>
      <c r="F33" t="b">
        <v>1</v>
      </c>
      <c r="G33">
        <f>HYPERLINK("https://www.google.com/maps/search/?api=1&amp;query=24.62757384,46.74264107", "View Map")</f>
        <v/>
      </c>
    </row>
    <row r="34">
      <c r="A34" t="inlineStr">
        <is>
          <t xml:space="preserve">   مسجد حى المروج .</t>
        </is>
      </c>
      <c r="B34" t="inlineStr">
        <is>
          <t>KFM2020660173656</t>
        </is>
      </c>
      <c r="C34" t="inlineStr">
        <is>
          <t>الرياض</t>
        </is>
      </c>
      <c r="D34" t="inlineStr">
        <is>
          <t>كلا الفترتين</t>
        </is>
      </c>
      <c r="E34" t="n">
        <v>18901</v>
      </c>
      <c r="F34" t="b">
        <v>1</v>
      </c>
      <c r="G34">
        <f>HYPERLINK("https://www.google.com/maps/search/?api=1&amp;query=24.75244777,46.66041016", "View Map")</f>
        <v/>
      </c>
    </row>
    <row r="35">
      <c r="A35" t="inlineStr">
        <is>
          <t xml:space="preserve">   مسجد حي الزهره .</t>
        </is>
      </c>
      <c r="B35" t="inlineStr">
        <is>
          <t>KFM2020660133313</t>
        </is>
      </c>
      <c r="C35" t="inlineStr">
        <is>
          <t>الرياض</t>
        </is>
      </c>
      <c r="D35" t="inlineStr">
        <is>
          <t>كلا الفترتين</t>
        </is>
      </c>
      <c r="E35" t="n">
        <v>18901</v>
      </c>
      <c r="F35" t="b">
        <v>1</v>
      </c>
      <c r="G35">
        <f>HYPERLINK("https://www.google.com/maps/search/?api=1&amp;query=24.72517966,46.80649294", "View Map")</f>
        <v/>
      </c>
    </row>
    <row r="36">
      <c r="A36" t="inlineStr">
        <is>
          <t xml:space="preserve">   مسجد سليمان الدريبي .</t>
        </is>
      </c>
      <c r="B36" t="inlineStr">
        <is>
          <t>KFM2120660257442</t>
        </is>
      </c>
      <c r="C36" t="inlineStr">
        <is>
          <t>الرياض</t>
        </is>
      </c>
      <c r="D36" t="inlineStr">
        <is>
          <t>كلا الفترتين</t>
        </is>
      </c>
      <c r="E36" t="n">
        <v>18745</v>
      </c>
      <c r="F36" t="b">
        <v>1</v>
      </c>
      <c r="G36">
        <f>HYPERLINK("https://www.google.com/maps/search/?api=1&amp;query=24.78245443,46.66026953", "View Map")</f>
        <v/>
      </c>
    </row>
    <row r="37">
      <c r="A37" t="inlineStr">
        <is>
          <t xml:space="preserve">   وزارة     الشون     . .</t>
        </is>
      </c>
      <c r="B37" t="inlineStr">
        <is>
          <t>KFM2020660213089</t>
        </is>
      </c>
      <c r="C37" t="inlineStr">
        <is>
          <t>الرياض</t>
        </is>
      </c>
      <c r="D37" t="inlineStr">
        <is>
          <t>كلا الفترتين</t>
        </is>
      </c>
      <c r="E37" t="n">
        <v>18573</v>
      </c>
      <c r="F37" t="b">
        <v>1</v>
      </c>
      <c r="G37">
        <f>HYPERLINK("https://www.google.com/maps/search/?api=1&amp;query=24.80580317,46.64511913", "View Map")</f>
        <v/>
      </c>
    </row>
    <row r="38">
      <c r="A38" t="inlineStr">
        <is>
          <t>مساجد .</t>
        </is>
      </c>
      <c r="B38" t="inlineStr">
        <is>
          <t>KFM2020660049915</t>
        </is>
      </c>
      <c r="C38" t="inlineStr">
        <is>
          <t>الرياض</t>
        </is>
      </c>
      <c r="D38" t="inlineStr">
        <is>
          <t>كلا الفترتين</t>
        </is>
      </c>
      <c r="E38" t="n">
        <v>18530</v>
      </c>
      <c r="F38" t="b">
        <v>1</v>
      </c>
      <c r="G38">
        <f>HYPERLINK("https://www.google.com/maps/search/?api=1&amp;query=24.7196813,46.65872229", "View Map")</f>
        <v/>
      </c>
    </row>
    <row r="39">
      <c r="A39" t="inlineStr">
        <is>
          <t xml:space="preserve">   مسجد عبدالمحسن سعد سعيد .</t>
        </is>
      </c>
      <c r="B39" t="inlineStr">
        <is>
          <t>KFM2120660302341</t>
        </is>
      </c>
      <c r="C39" t="inlineStr">
        <is>
          <t>الدرعية</t>
        </is>
      </c>
      <c r="D39" t="inlineStr">
        <is>
          <t>كلا الفترتين</t>
        </is>
      </c>
      <c r="E39" t="n">
        <v>18517</v>
      </c>
      <c r="F39" t="b">
        <v>1</v>
      </c>
      <c r="G39">
        <f>HYPERLINK("https://www.google.com/maps/search/?api=1&amp;query=24.80390597,46.52287513", "View Map")</f>
        <v/>
      </c>
    </row>
    <row r="40">
      <c r="A40" t="inlineStr">
        <is>
          <t>ﻤﺴﺎﺠﺩ .</t>
        </is>
      </c>
      <c r="B40" t="inlineStr">
        <is>
          <t>KFM2020660193364</t>
        </is>
      </c>
      <c r="C40" t="inlineStr">
        <is>
          <t>الرياض</t>
        </is>
      </c>
      <c r="D40" t="inlineStr">
        <is>
          <t>كلا الفترتين</t>
        </is>
      </c>
      <c r="E40" t="n">
        <v>18317</v>
      </c>
      <c r="F40" t="b">
        <v>1</v>
      </c>
      <c r="G40">
        <f>HYPERLINK("https://www.google.com/maps/search/?api=1&amp;query=24.92576238,46.82523471", "View Map")</f>
        <v/>
      </c>
    </row>
    <row r="41">
      <c r="A41" t="inlineStr">
        <is>
          <t xml:space="preserve">   مسجد      سلمه      ابن الآ كوع .</t>
        </is>
      </c>
      <c r="B41" t="inlineStr">
        <is>
          <t>KFM2020660175379</t>
        </is>
      </c>
      <c r="C41" t="inlineStr">
        <is>
          <t>الرياض</t>
        </is>
      </c>
      <c r="D41" t="inlineStr">
        <is>
          <t>كلا الفترتين</t>
        </is>
      </c>
      <c r="E41" t="n">
        <v>18185</v>
      </c>
      <c r="F41" t="b">
        <v>1</v>
      </c>
      <c r="G41">
        <f>HYPERLINK("https://www.google.com/maps/search/?api=1&amp;query=24.66912039,46.86116075", "View Map")</f>
        <v/>
      </c>
    </row>
    <row r="42">
      <c r="A42" t="inlineStr">
        <is>
          <t>ﻤﺴﺎﺠﺩ .</t>
        </is>
      </c>
      <c r="B42" t="inlineStr">
        <is>
          <t>KFM2120660264382</t>
        </is>
      </c>
      <c r="C42" t="inlineStr">
        <is>
          <t>الرياض</t>
        </is>
      </c>
      <c r="D42" t="inlineStr">
        <is>
          <t>كلا الفترتين</t>
        </is>
      </c>
      <c r="E42" t="n">
        <v>18164</v>
      </c>
      <c r="F42" t="b">
        <v>1</v>
      </c>
      <c r="G42">
        <f>HYPERLINK("https://www.google.com/maps/search/?api=1&amp;query=24.84761723,46.62807962", "View Map")</f>
        <v/>
      </c>
    </row>
    <row r="43">
      <c r="A43" t="inlineStr">
        <is>
          <t xml:space="preserve">   مسجد مكتب الدعوةوالارشاد والمكتب .</t>
        </is>
      </c>
      <c r="B43" t="inlineStr">
        <is>
          <t>KFM2120660303877</t>
        </is>
      </c>
      <c r="C43" t="inlineStr">
        <is>
          <t>الرياض</t>
        </is>
      </c>
      <c r="D43" t="inlineStr">
        <is>
          <t>كلا الفترتين</t>
        </is>
      </c>
      <c r="E43" t="n">
        <v>17999</v>
      </c>
      <c r="F43" t="b">
        <v>1</v>
      </c>
      <c r="G43">
        <f>HYPERLINK("https://www.google.com/maps/search/?api=1&amp;query=24.56288985,46.87173798", "View Map")</f>
        <v/>
      </c>
    </row>
    <row r="44">
      <c r="A44" t="inlineStr">
        <is>
          <t xml:space="preserve">   مسجد العواد .</t>
        </is>
      </c>
      <c r="B44" t="inlineStr">
        <is>
          <t>KFM2020660193557</t>
        </is>
      </c>
      <c r="C44" t="inlineStr">
        <is>
          <t>الرياض</t>
        </is>
      </c>
      <c r="D44" t="inlineStr">
        <is>
          <t>كلا الفترتين</t>
        </is>
      </c>
      <c r="E44" t="n">
        <v>17987</v>
      </c>
      <c r="F44" t="b">
        <v>1</v>
      </c>
      <c r="G44">
        <f>HYPERLINK("https://www.google.com/maps/search/?api=1&amp;query=24.70831193,46.80891747", "View Map")</f>
        <v/>
      </c>
    </row>
    <row r="45">
      <c r="A45" t="inlineStr">
        <is>
          <t xml:space="preserve">   جامع الاميرفيصل بن فهد .</t>
        </is>
      </c>
      <c r="B45" t="inlineStr">
        <is>
          <t>KFM2020660173351</t>
        </is>
      </c>
      <c r="C45" t="inlineStr">
        <is>
          <t>الرياض</t>
        </is>
      </c>
      <c r="D45" t="inlineStr">
        <is>
          <t>كلا الفترتين</t>
        </is>
      </c>
      <c r="E45" t="n">
        <v>17767</v>
      </c>
      <c r="F45" t="b">
        <v>1</v>
      </c>
      <c r="G45">
        <f>HYPERLINK("https://www.google.com/maps/search/?api=1&amp;query=24.80658817,46.62264935", "View Map")</f>
        <v/>
      </c>
    </row>
    <row r="46">
      <c r="A46" t="inlineStr">
        <is>
          <t xml:space="preserve">   مساجد .</t>
        </is>
      </c>
      <c r="B46" t="inlineStr">
        <is>
          <t>KFM2020660176771</t>
        </is>
      </c>
      <c r="C46" t="inlineStr">
        <is>
          <t>الرياض</t>
        </is>
      </c>
      <c r="D46" t="inlineStr">
        <is>
          <t>كلا الفترتين</t>
        </is>
      </c>
      <c r="E46" t="n">
        <v>17710</v>
      </c>
      <c r="F46" t="b">
        <v>1</v>
      </c>
      <c r="G46">
        <f>HYPERLINK("https://www.google.com/maps/search/?api=1&amp;query=24.79307551,46.76440138", "View Map")</f>
        <v/>
      </c>
    </row>
    <row r="47">
      <c r="A47" t="inlineStr">
        <is>
          <t xml:space="preserve">   مسجد      جعفر بن   ابي طالب .</t>
        </is>
      </c>
      <c r="B47" t="inlineStr">
        <is>
          <t>KFM2020660192967</t>
        </is>
      </c>
      <c r="C47" t="inlineStr">
        <is>
          <t>الرياض</t>
        </is>
      </c>
      <c r="D47" t="inlineStr">
        <is>
          <t>كلا الفترتين</t>
        </is>
      </c>
      <c r="E47" t="n">
        <v>17705</v>
      </c>
      <c r="F47" t="b">
        <v>1</v>
      </c>
      <c r="G47">
        <f>HYPERLINK("https://www.google.com/maps/search/?api=1&amp;query=24.66639,46.87482", "View Map")</f>
        <v/>
      </c>
    </row>
    <row r="48">
      <c r="A48" t="inlineStr">
        <is>
          <t>ﻤﺴﺎﺠﺩ .</t>
        </is>
      </c>
      <c r="B48" t="inlineStr">
        <is>
          <t>KFM2020660027400</t>
        </is>
      </c>
      <c r="C48" t="inlineStr">
        <is>
          <t>الرياض</t>
        </is>
      </c>
      <c r="D48" t="inlineStr">
        <is>
          <t>كلا الفترتين</t>
        </is>
      </c>
      <c r="E48" t="n">
        <v>17512</v>
      </c>
      <c r="F48" t="b">
        <v>1</v>
      </c>
      <c r="G48">
        <f>HYPERLINK("https://www.google.com/maps/search/?api=1&amp;query=24.79720059,46.59853213", "View Map")</f>
        <v/>
      </c>
    </row>
    <row r="49">
      <c r="A49" t="inlineStr">
        <is>
          <t xml:space="preserve">   مسجد جامع الخير .</t>
        </is>
      </c>
      <c r="B49" t="inlineStr">
        <is>
          <t>KFM2120660249157</t>
        </is>
      </c>
      <c r="C49" t="inlineStr">
        <is>
          <t>الرياض</t>
        </is>
      </c>
      <c r="D49" t="inlineStr">
        <is>
          <t>كلا الفترتين</t>
        </is>
      </c>
      <c r="E49" t="n">
        <v>17251</v>
      </c>
      <c r="F49" t="b">
        <v>1</v>
      </c>
      <c r="G49">
        <f>HYPERLINK("https://www.google.com/maps/search/?api=1&amp;query=24.75976505,46.62691597", "View Map")</f>
        <v/>
      </c>
    </row>
    <row r="50">
      <c r="A50" t="inlineStr">
        <is>
          <t>ﻤﺴﺎﺠﺩ .</t>
        </is>
      </c>
      <c r="B50" t="inlineStr">
        <is>
          <t>KFM2120660255395</t>
        </is>
      </c>
      <c r="C50" t="inlineStr">
        <is>
          <t>الدرعية</t>
        </is>
      </c>
      <c r="D50" t="inlineStr">
        <is>
          <t>كلا الفترتين</t>
        </is>
      </c>
      <c r="E50" t="n">
        <v>17212</v>
      </c>
      <c r="F50" t="b">
        <v>1</v>
      </c>
      <c r="G50">
        <f>HYPERLINK("https://www.google.com/maps/search/?api=1&amp;query=24.8244511,46.56413091", "View Map")</f>
        <v/>
      </c>
    </row>
    <row r="51">
      <c r="A51" t="inlineStr">
        <is>
          <t xml:space="preserve">   جامع الامام محمد بن سعود .</t>
        </is>
      </c>
      <c r="B51" t="inlineStr">
        <is>
          <t>KFM2020660172102</t>
        </is>
      </c>
      <c r="C51" t="inlineStr">
        <is>
          <t>الدرعية</t>
        </is>
      </c>
      <c r="D51" t="inlineStr">
        <is>
          <t>كلا الفترتين</t>
        </is>
      </c>
      <c r="E51" t="n">
        <v>17056</v>
      </c>
      <c r="F51" t="b">
        <v>1</v>
      </c>
      <c r="G51">
        <f>HYPERLINK("https://www.google.com/maps/search/?api=1&amp;query=24.73793,46.57923", "View Map")</f>
        <v/>
      </c>
    </row>
    <row r="52">
      <c r="A52" t="inlineStr">
        <is>
          <t>مسجد/محمدعبدالعزيزالراجحى ومرافقة .</t>
        </is>
      </c>
      <c r="B52" t="inlineStr">
        <is>
          <t>KFM2020660051622</t>
        </is>
      </c>
      <c r="C52" t="inlineStr">
        <is>
          <t>الرياض</t>
        </is>
      </c>
      <c r="D52" t="inlineStr">
        <is>
          <t>كلا الفترتين</t>
        </is>
      </c>
      <c r="E52" t="n">
        <v>16954</v>
      </c>
      <c r="F52" t="b">
        <v>1</v>
      </c>
      <c r="G52">
        <f>HYPERLINK("https://www.google.com/maps/search/?api=1&amp;query=24.63849898,46.66478357", "View Map")</f>
        <v/>
      </c>
    </row>
    <row r="53">
      <c r="A53" t="inlineStr">
        <is>
          <t>ﻤﺴﺎﺠﺩ .</t>
        </is>
      </c>
      <c r="B53" t="inlineStr">
        <is>
          <t>KFM2120660302798</t>
        </is>
      </c>
      <c r="C53" t="inlineStr">
        <is>
          <t>الرياض</t>
        </is>
      </c>
      <c r="D53" t="inlineStr">
        <is>
          <t>كلا الفترتين</t>
        </is>
      </c>
      <c r="E53" t="n">
        <v>16845</v>
      </c>
      <c r="F53" t="b">
        <v>1</v>
      </c>
      <c r="G53">
        <f>HYPERLINK("https://www.google.com/maps/search/?api=1&amp;query=24.83314673,46.74338989", "View Map")</f>
        <v/>
      </c>
    </row>
    <row r="54">
      <c r="A54" t="inlineStr">
        <is>
          <t>ﻤﺴﺎﺠﺩ .</t>
        </is>
      </c>
      <c r="B54" t="inlineStr">
        <is>
          <t>KFM2120660255564</t>
        </is>
      </c>
      <c r="C54" t="inlineStr">
        <is>
          <t>الرياض</t>
        </is>
      </c>
      <c r="D54" t="inlineStr">
        <is>
          <t>كلا الفترتين</t>
        </is>
      </c>
      <c r="E54" t="n">
        <v>16690</v>
      </c>
      <c r="F54" t="b">
        <v>1</v>
      </c>
      <c r="G54">
        <f>HYPERLINK("https://www.google.com/maps/search/?api=1&amp;query=24.81908,46.61899", "View Map")</f>
        <v/>
      </c>
    </row>
    <row r="55">
      <c r="A55" t="inlineStr">
        <is>
          <t xml:space="preserve">   مسجد الاميره حصة بنت عبدالعزيز .</t>
        </is>
      </c>
      <c r="B55" t="inlineStr">
        <is>
          <t>KFM2020660174485</t>
        </is>
      </c>
      <c r="C55" t="inlineStr">
        <is>
          <t>الرياض</t>
        </is>
      </c>
      <c r="D55" t="inlineStr">
        <is>
          <t>كلا الفترتين</t>
        </is>
      </c>
      <c r="E55" t="n">
        <v>16472</v>
      </c>
      <c r="F55" t="b">
        <v>1</v>
      </c>
      <c r="G55">
        <f>HYPERLINK("https://www.google.com/maps/search/?api=1&amp;query=24.78040768,46.74986449", "View Map")</f>
        <v/>
      </c>
    </row>
    <row r="56">
      <c r="A56" t="inlineStr">
        <is>
          <t xml:space="preserve">   جامع الامير سلطان بن عبدالعزيز .</t>
        </is>
      </c>
      <c r="B56" t="inlineStr">
        <is>
          <t>KFM2120660286809</t>
        </is>
      </c>
      <c r="C56" t="inlineStr">
        <is>
          <t>الرياض</t>
        </is>
      </c>
      <c r="D56" t="inlineStr">
        <is>
          <t>كلا الفترتين</t>
        </is>
      </c>
      <c r="E56" t="n">
        <v>16209</v>
      </c>
      <c r="F56" t="b">
        <v>1</v>
      </c>
      <c r="G56">
        <f>HYPERLINK("https://www.google.com/maps/search/?api=1&amp;query=24.6798632,46.71079373", "View Map")</f>
        <v/>
      </c>
    </row>
    <row r="57">
      <c r="A57" t="inlineStr">
        <is>
          <t xml:space="preserve">   مسجدالمجمع السكنى بالملز .</t>
        </is>
      </c>
      <c r="B57" t="inlineStr">
        <is>
          <t>KFM2120660299699</t>
        </is>
      </c>
      <c r="C57" t="inlineStr">
        <is>
          <t>الرياض</t>
        </is>
      </c>
      <c r="D57" t="inlineStr">
        <is>
          <t>كلا الفترتين</t>
        </is>
      </c>
      <c r="E57" t="n">
        <v>15941</v>
      </c>
      <c r="F57" t="b">
        <v>1</v>
      </c>
      <c r="G57">
        <f>HYPERLINK("https://www.google.com/maps/search/?api=1&amp;query=24.69469787,46.74235539", "View Map")</f>
        <v/>
      </c>
    </row>
    <row r="58">
      <c r="A58" t="inlineStr">
        <is>
          <t xml:space="preserve">   جامع الامام محمد بن سعود .</t>
        </is>
      </c>
      <c r="B58" t="inlineStr">
        <is>
          <t>KFM2020660169305</t>
        </is>
      </c>
      <c r="C58" t="inlineStr">
        <is>
          <t>الدرعية</t>
        </is>
      </c>
      <c r="D58" t="inlineStr">
        <is>
          <t>كلا الفترتين</t>
        </is>
      </c>
      <c r="E58" t="n">
        <v>15780</v>
      </c>
      <c r="F58" t="b">
        <v>1</v>
      </c>
      <c r="G58">
        <f>HYPERLINK("https://www.google.com/maps/search/?api=1&amp;query=24.73795,46.57921", "View Map")</f>
        <v/>
      </c>
    </row>
    <row r="59">
      <c r="A59" t="inlineStr">
        <is>
          <t>ﻤﺴﺎﺠﺩ .</t>
        </is>
      </c>
      <c r="B59" t="inlineStr">
        <is>
          <t>KFM2020660207557</t>
        </is>
      </c>
      <c r="C59" t="inlineStr">
        <is>
          <t>الرياض</t>
        </is>
      </c>
      <c r="D59" t="inlineStr">
        <is>
          <t>كلا الفترتين</t>
        </is>
      </c>
      <c r="E59" t="n">
        <v>15685</v>
      </c>
      <c r="F59" t="b">
        <v>1</v>
      </c>
      <c r="G59">
        <f>HYPERLINK("https://www.google.com/maps/search/?api=1&amp;query=24.7961,46.6783", "View Map")</f>
        <v/>
      </c>
    </row>
    <row r="60">
      <c r="A60" t="inlineStr">
        <is>
          <t xml:space="preserve">   الحرس  الوطني مسجد مصعب بن عمير .</t>
        </is>
      </c>
      <c r="B60" t="inlineStr">
        <is>
          <t>KFM2020660191687</t>
        </is>
      </c>
      <c r="C60" t="inlineStr">
        <is>
          <t>الرياض</t>
        </is>
      </c>
      <c r="D60" t="inlineStr">
        <is>
          <t>كلا الفترتين</t>
        </is>
      </c>
      <c r="E60" t="n">
        <v>15567</v>
      </c>
      <c r="F60" t="b">
        <v>1</v>
      </c>
      <c r="G60">
        <f>HYPERLINK("https://www.google.com/maps/search/?api=1&amp;query=24.67184839,46.87290208", "View Map")</f>
        <v/>
      </c>
    </row>
    <row r="61">
      <c r="A61" t="inlineStr">
        <is>
          <t>ﻭﺯﺍﺭﺓﺍﻟﺸﺌﻭﻥ ﺍﻻﺴﻼﻤﻴﺓﻭﺍﻻﻭﻗﺎﻑ .</t>
        </is>
      </c>
      <c r="B61" t="inlineStr">
        <is>
          <t>KFM2120660281607</t>
        </is>
      </c>
      <c r="C61" t="inlineStr">
        <is>
          <t>الرياض</t>
        </is>
      </c>
      <c r="D61" t="inlineStr">
        <is>
          <t>كلا الفترتين</t>
        </is>
      </c>
      <c r="E61" t="n">
        <v>15467</v>
      </c>
      <c r="F61" t="b">
        <v>1</v>
      </c>
      <c r="G61">
        <f>HYPERLINK("https://www.google.com/maps/search/?api=1&amp;query=24.55363744,46.55218514", "View Map")</f>
        <v/>
      </c>
    </row>
    <row r="62">
      <c r="A62" t="inlineStr">
        <is>
          <t xml:space="preserve">   مسجدمحمدصالح اللحيدان .</t>
        </is>
      </c>
      <c r="B62" t="inlineStr">
        <is>
          <t>KFM2020660213020</t>
        </is>
      </c>
      <c r="C62" t="inlineStr">
        <is>
          <t>الرياض</t>
        </is>
      </c>
      <c r="D62" t="inlineStr">
        <is>
          <t>كلا الفترتين</t>
        </is>
      </c>
      <c r="E62" t="n">
        <v>15333</v>
      </c>
      <c r="F62" t="b">
        <v>1</v>
      </c>
      <c r="G62">
        <f>HYPERLINK("https://www.google.com/maps/search/?api=1&amp;query=24.78268175,46.70087355", "View Map")</f>
        <v/>
      </c>
    </row>
    <row r="63">
      <c r="A63" t="inlineStr">
        <is>
          <t>ﻤﺴﺎﺠﺩ .</t>
        </is>
      </c>
      <c r="B63" t="inlineStr">
        <is>
          <t>KFM2020660052559</t>
        </is>
      </c>
      <c r="C63" t="inlineStr">
        <is>
          <t>الرياض</t>
        </is>
      </c>
      <c r="D63" t="inlineStr">
        <is>
          <t>كلا الفترتين</t>
        </is>
      </c>
      <c r="E63" t="n">
        <v>15295</v>
      </c>
      <c r="F63" t="b">
        <v>1</v>
      </c>
      <c r="G63">
        <f>HYPERLINK("https://www.google.com/maps/search/?api=1&amp;query=24.74721,46.84946", "View Map")</f>
        <v/>
      </c>
    </row>
    <row r="64">
      <c r="A64" t="inlineStr">
        <is>
          <t xml:space="preserve">   مسجد وسكن فهد الفهيد .</t>
        </is>
      </c>
      <c r="B64" t="inlineStr">
        <is>
          <t>KFM2020660174441</t>
        </is>
      </c>
      <c r="C64" t="inlineStr">
        <is>
          <t>الرياض</t>
        </is>
      </c>
      <c r="D64" t="inlineStr">
        <is>
          <t>كلا الفترتين</t>
        </is>
      </c>
      <c r="E64" t="n">
        <v>15277</v>
      </c>
      <c r="F64" t="b">
        <v>1</v>
      </c>
      <c r="G64">
        <f>HYPERLINK("https://www.google.com/maps/search/?api=1&amp;query=24.78932199,46.76853061", "View Map")</f>
        <v/>
      </c>
    </row>
    <row r="65">
      <c r="A65" t="inlineStr">
        <is>
          <t>مسجد .</t>
        </is>
      </c>
      <c r="B65" t="inlineStr">
        <is>
          <t>KFM2120660304945</t>
        </is>
      </c>
      <c r="C65" t="inlineStr">
        <is>
          <t>الرياض</t>
        </is>
      </c>
      <c r="D65" t="inlineStr">
        <is>
          <t>كلا الفترتين</t>
        </is>
      </c>
      <c r="E65" t="n">
        <v>15275</v>
      </c>
      <c r="F65" t="b">
        <v>1</v>
      </c>
      <c r="G65">
        <f>HYPERLINK("https://www.google.com/maps/search/?api=1&amp;query=24.59857647,46.77267912", "View Map")</f>
        <v/>
      </c>
    </row>
    <row r="66">
      <c r="A66" t="inlineStr">
        <is>
          <t xml:space="preserve">     مسجدالمقدادحي بدر اسكان الحرس .</t>
        </is>
      </c>
      <c r="B66" t="inlineStr">
        <is>
          <t>KFM2020660190118</t>
        </is>
      </c>
      <c r="C66" t="inlineStr">
        <is>
          <t>الرياض</t>
        </is>
      </c>
      <c r="D66" t="inlineStr">
        <is>
          <t>كلا الفترتين</t>
        </is>
      </c>
      <c r="E66" t="n">
        <v>14968</v>
      </c>
      <c r="F66" t="b">
        <v>0</v>
      </c>
      <c r="G66">
        <f>HYPERLINK("https://www.google.com/maps/search/?api=1&amp;query=24.66517893,46.87975884", "View Map")</f>
        <v/>
      </c>
    </row>
    <row r="67">
      <c r="A67" t="inlineStr">
        <is>
          <t>مسجدالاميره  /هيابنت  عبدالعزيزال  سعود .</t>
        </is>
      </c>
      <c r="B67" t="inlineStr">
        <is>
          <t>KFM2020660199060</t>
        </is>
      </c>
      <c r="C67" t="inlineStr">
        <is>
          <t>الرياض</t>
        </is>
      </c>
      <c r="D67" t="inlineStr">
        <is>
          <t>كلا الفترتين</t>
        </is>
      </c>
      <c r="E67" t="n">
        <v>14688</v>
      </c>
      <c r="F67" t="b">
        <v>1</v>
      </c>
      <c r="G67">
        <f>HYPERLINK("https://www.google.com/maps/search/?api=1&amp;query=24.55545024,46.71343576", "View Map")</f>
        <v/>
      </c>
    </row>
    <row r="68">
      <c r="A68" t="inlineStr">
        <is>
          <t xml:space="preserve">   جامع   العساف .</t>
        </is>
      </c>
      <c r="B68" t="inlineStr">
        <is>
          <t>KFM2020660193694</t>
        </is>
      </c>
      <c r="C68" t="inlineStr">
        <is>
          <t>الرياض</t>
        </is>
      </c>
      <c r="D68" t="inlineStr">
        <is>
          <t>كلا الفترتين</t>
        </is>
      </c>
      <c r="E68" t="n">
        <v>14645</v>
      </c>
      <c r="F68" t="b">
        <v>1</v>
      </c>
      <c r="G68">
        <f>HYPERLINK("https://www.google.com/maps/search/?api=1&amp;query=24.75806727,46.74662437", "View Map")</f>
        <v/>
      </c>
    </row>
    <row r="69">
      <c r="A69" t="inlineStr">
        <is>
          <t xml:space="preserve">   الحرس  الوطني  مسجد .</t>
        </is>
      </c>
      <c r="B69" t="inlineStr">
        <is>
          <t>KFM2020660178113</t>
        </is>
      </c>
      <c r="C69" t="inlineStr">
        <is>
          <t>الرياض</t>
        </is>
      </c>
      <c r="D69" t="inlineStr">
        <is>
          <t>كلا الفترتين</t>
        </is>
      </c>
      <c r="E69" t="n">
        <v>14577</v>
      </c>
      <c r="F69" t="b">
        <v>0</v>
      </c>
      <c r="G69">
        <f>HYPERLINK("https://www.google.com/maps/search/?api=1&amp;query=24.66101798,46.8607738", "View Map")</f>
        <v/>
      </c>
    </row>
    <row r="70">
      <c r="A70" t="inlineStr">
        <is>
          <t xml:space="preserve">   جامع الاماممحمدبن    عبدالوهاب .</t>
        </is>
      </c>
      <c r="B70" t="inlineStr">
        <is>
          <t>KFM2020560001936</t>
        </is>
      </c>
      <c r="C70" t="inlineStr">
        <is>
          <t>الرياض</t>
        </is>
      </c>
      <c r="D70" t="inlineStr">
        <is>
          <t>كلا الفترتين</t>
        </is>
      </c>
      <c r="E70" t="n">
        <v>14539</v>
      </c>
      <c r="F70" t="b">
        <v>1</v>
      </c>
      <c r="G70">
        <f>HYPERLINK("https://www.google.com/maps/search/?api=1&amp;query=24.70812841,46.82041352", "View Map")</f>
        <v/>
      </c>
    </row>
    <row r="71">
      <c r="A71" t="inlineStr">
        <is>
          <t xml:space="preserve">   مسجد الطويان .</t>
        </is>
      </c>
      <c r="B71" t="inlineStr">
        <is>
          <t>KFM2020660169860</t>
        </is>
      </c>
      <c r="C71" t="inlineStr">
        <is>
          <t>الرياض</t>
        </is>
      </c>
      <c r="D71" t="inlineStr">
        <is>
          <t>كلا الفترتين</t>
        </is>
      </c>
      <c r="E71" t="n">
        <v>14325</v>
      </c>
      <c r="F71" t="b">
        <v>1</v>
      </c>
      <c r="G71">
        <f>HYPERLINK("https://www.google.com/maps/search/?api=1&amp;query=24.74781716,46.70447247", "View Map")</f>
        <v/>
      </c>
    </row>
    <row r="72">
      <c r="A72" t="inlineStr">
        <is>
          <t>ﻤﺴﺎﺠﺩ .</t>
        </is>
      </c>
      <c r="B72" t="inlineStr">
        <is>
          <t>KFM2120660256039</t>
        </is>
      </c>
      <c r="C72" t="inlineStr">
        <is>
          <t>الرياض</t>
        </is>
      </c>
      <c r="D72" t="inlineStr">
        <is>
          <t>كلا الفترتين</t>
        </is>
      </c>
      <c r="E72" t="n">
        <v>14262</v>
      </c>
      <c r="F72" t="b">
        <v>1</v>
      </c>
      <c r="G72">
        <f>HYPERLINK("https://www.google.com/maps/search/?api=1&amp;query=24.82874649,46.73084389", "View Map")</f>
        <v/>
      </c>
    </row>
    <row r="73">
      <c r="A73" t="inlineStr">
        <is>
          <t>مسجد والدة  /عبدالله  بن عبدالرحمن .</t>
        </is>
      </c>
      <c r="B73" t="inlineStr">
        <is>
          <t>KFM2020660051431</t>
        </is>
      </c>
      <c r="C73" t="inlineStr">
        <is>
          <t>الرياض</t>
        </is>
      </c>
      <c r="D73" t="inlineStr">
        <is>
          <t>كلا الفترتين</t>
        </is>
      </c>
      <c r="E73" t="n">
        <v>14161</v>
      </c>
      <c r="F73" t="b">
        <v>1</v>
      </c>
      <c r="G73">
        <f>HYPERLINK("https://www.google.com/maps/search/?api=1&amp;query=24.6042,46.7106", "View Map")</f>
        <v/>
      </c>
    </row>
    <row r="74">
      <c r="A74" t="inlineStr">
        <is>
          <t xml:space="preserve">   مسجدعبدالعزيزالتويجري .</t>
        </is>
      </c>
      <c r="B74" t="inlineStr">
        <is>
          <t>KFM2120660257932</t>
        </is>
      </c>
      <c r="C74" t="inlineStr">
        <is>
          <t>الرياض</t>
        </is>
      </c>
      <c r="D74" t="inlineStr">
        <is>
          <t>كلا الفترتين</t>
        </is>
      </c>
      <c r="E74" t="n">
        <v>14100</v>
      </c>
      <c r="F74" t="b">
        <v>1</v>
      </c>
      <c r="G74">
        <f>HYPERLINK("https://www.google.com/maps/search/?api=1&amp;query=24.79631409,46.70845731", "View Map")</f>
        <v/>
      </c>
    </row>
    <row r="75">
      <c r="A75" t="inlineStr">
        <is>
          <t xml:space="preserve">   مسجد محمد عبدالله الملوحى .</t>
        </is>
      </c>
      <c r="B75" t="inlineStr">
        <is>
          <t>KFM2020660099570</t>
        </is>
      </c>
      <c r="C75" t="inlineStr">
        <is>
          <t>الرياض</t>
        </is>
      </c>
      <c r="D75" t="inlineStr">
        <is>
          <t>كلا الفترتين</t>
        </is>
      </c>
      <c r="E75" t="n">
        <v>14021</v>
      </c>
      <c r="F75" t="b">
        <v>1</v>
      </c>
      <c r="G75">
        <f>HYPERLINK("https://www.google.com/maps/search/?api=1&amp;query=24.69470816,46.68759636", "View Map")</f>
        <v/>
      </c>
    </row>
    <row r="76">
      <c r="A76" t="inlineStr">
        <is>
          <t>وزارة الشئون الاسلاميه والاوقاف .</t>
        </is>
      </c>
      <c r="B76" t="inlineStr">
        <is>
          <t>KFM2020660212034</t>
        </is>
      </c>
      <c r="C76" t="inlineStr">
        <is>
          <t>الرياض</t>
        </is>
      </c>
      <c r="D76" t="inlineStr">
        <is>
          <t>كلا الفترتين</t>
        </is>
      </c>
      <c r="E76" t="n">
        <v>13903</v>
      </c>
      <c r="F76" t="b">
        <v>1</v>
      </c>
      <c r="G76">
        <f>HYPERLINK("https://www.google.com/maps/search/?api=1&amp;query=24.69302381,46.66629719", "View Map")</f>
        <v/>
      </c>
    </row>
    <row r="77">
      <c r="A77" t="inlineStr">
        <is>
          <t xml:space="preserve">   حرس وطني  مسجد      أبي هريره .</t>
        </is>
      </c>
      <c r="B77" t="inlineStr">
        <is>
          <t>KFM2020660192116</t>
        </is>
      </c>
      <c r="C77" t="inlineStr">
        <is>
          <t>الرياض</t>
        </is>
      </c>
      <c r="D77" t="inlineStr">
        <is>
          <t>كلا الفترتين</t>
        </is>
      </c>
      <c r="E77" t="n">
        <v>13863</v>
      </c>
      <c r="F77" t="b">
        <v>1</v>
      </c>
      <c r="G77">
        <f>HYPERLINK("https://www.google.com/maps/search/?api=1&amp;query=24.66920219,46.86510731", "View Map")</f>
        <v/>
      </c>
    </row>
    <row r="78">
      <c r="A78" t="inlineStr">
        <is>
          <t>4  مسجد العريجاء بلك .</t>
        </is>
      </c>
      <c r="B78" t="inlineStr">
        <is>
          <t>KFM2020660203439</t>
        </is>
      </c>
      <c r="C78" t="inlineStr">
        <is>
          <t>الرياض</t>
        </is>
      </c>
      <c r="D78" t="inlineStr">
        <is>
          <t>كلا الفترتين</t>
        </is>
      </c>
      <c r="E78" t="n">
        <v>13803</v>
      </c>
      <c r="F78" t="b">
        <v>1</v>
      </c>
      <c r="G78">
        <f>HYPERLINK("https://www.google.com/maps/search/?api=1&amp;query=24.58757385,46.59471991", "View Map")</f>
        <v/>
      </c>
    </row>
    <row r="79">
      <c r="A79" t="inlineStr">
        <is>
          <t xml:space="preserve">   مسجد الشيخ عبدالعزيز بن باز .</t>
        </is>
      </c>
      <c r="B79" t="inlineStr">
        <is>
          <t>KFM2020660232954</t>
        </is>
      </c>
      <c r="C79" t="inlineStr">
        <is>
          <t>الرياض</t>
        </is>
      </c>
      <c r="D79" t="inlineStr">
        <is>
          <t>كلا الفترتين</t>
        </is>
      </c>
      <c r="E79" t="n">
        <v>13553</v>
      </c>
      <c r="F79" t="b">
        <v>1</v>
      </c>
      <c r="G79">
        <f>HYPERLINK("https://www.google.com/maps/search/?api=1&amp;query=24.74727361,46.84160882", "View Map")</f>
        <v/>
      </c>
    </row>
    <row r="80">
      <c r="A80" t="inlineStr">
        <is>
          <t xml:space="preserve">   مسجد سهيل بن عمرو .</t>
        </is>
      </c>
      <c r="B80" t="inlineStr">
        <is>
          <t>KFM2120660273470</t>
        </is>
      </c>
      <c r="C80" t="inlineStr">
        <is>
          <t>الرياض</t>
        </is>
      </c>
      <c r="D80" t="inlineStr">
        <is>
          <t>كلا الفترتين</t>
        </is>
      </c>
      <c r="E80" t="n">
        <v>13545</v>
      </c>
      <c r="F80" t="b">
        <v>1</v>
      </c>
      <c r="G80">
        <f>HYPERLINK("https://www.google.com/maps/search/?api=1&amp;query=24.69756071,46.76240858", "View Map")</f>
        <v/>
      </c>
    </row>
    <row r="81">
      <c r="A81" t="inlineStr">
        <is>
          <t>ﻤﺴﺎﺠﺩ .</t>
        </is>
      </c>
      <c r="B81" t="inlineStr">
        <is>
          <t>KFM2120660246985</t>
        </is>
      </c>
      <c r="C81" t="inlineStr">
        <is>
          <t>الرياض</t>
        </is>
      </c>
      <c r="D81" t="inlineStr">
        <is>
          <t>كلا الفترتين</t>
        </is>
      </c>
      <c r="E81" t="n">
        <v>13497</v>
      </c>
      <c r="F81" t="b">
        <v>1</v>
      </c>
      <c r="G81">
        <f>HYPERLINK("https://www.google.com/maps/search/?api=1&amp;query=24.70896007,46.68531757", "View Map")</f>
        <v/>
      </c>
    </row>
    <row r="82">
      <c r="A82" t="inlineStr">
        <is>
          <t>مسجد      ناصر      الصفيان .</t>
        </is>
      </c>
      <c r="B82" t="inlineStr">
        <is>
          <t>KFM2020660192620</t>
        </is>
      </c>
      <c r="C82" t="inlineStr">
        <is>
          <t>الرياض</t>
        </is>
      </c>
      <c r="D82" t="inlineStr">
        <is>
          <t>كلا الفترتين</t>
        </is>
      </c>
      <c r="E82" t="n">
        <v>13471</v>
      </c>
      <c r="F82" t="b">
        <v>1</v>
      </c>
      <c r="G82">
        <f>HYPERLINK("https://www.google.com/maps/search/?api=1&amp;query=24.57913996,46.66583556", "View Map")</f>
        <v/>
      </c>
    </row>
    <row r="83">
      <c r="A83" t="inlineStr">
        <is>
          <t xml:space="preserve">   جامع الحمراء .</t>
        </is>
      </c>
      <c r="B83" t="inlineStr">
        <is>
          <t>KFM2020660133855</t>
        </is>
      </c>
      <c r="C83" t="inlineStr">
        <is>
          <t>الرياض</t>
        </is>
      </c>
      <c r="D83" t="inlineStr">
        <is>
          <t>كلا الفترتين</t>
        </is>
      </c>
      <c r="E83" t="n">
        <v>13411</v>
      </c>
      <c r="F83" t="b">
        <v>1</v>
      </c>
      <c r="G83">
        <f>HYPERLINK("https://www.google.com/maps/search/?api=1&amp;query=24.77267282,46.75851137", "View Map")</f>
        <v/>
      </c>
    </row>
    <row r="84">
      <c r="A84" t="inlineStr">
        <is>
          <t xml:space="preserve">   مسجد      منيرة     . .</t>
        </is>
      </c>
      <c r="B84" t="inlineStr">
        <is>
          <t>KFM2020660191224</t>
        </is>
      </c>
      <c r="C84" t="inlineStr">
        <is>
          <t>الدرعية</t>
        </is>
      </c>
      <c r="D84" t="inlineStr">
        <is>
          <t>كلا الفترتين</t>
        </is>
      </c>
      <c r="E84" t="n">
        <v>13318</v>
      </c>
      <c r="F84" t="b">
        <v>1</v>
      </c>
      <c r="G84">
        <f>HYPERLINK("https://www.google.com/maps/search/?api=1&amp;query=24.76002407,46.57250774", "View Map")</f>
        <v/>
      </c>
    </row>
    <row r="85">
      <c r="A85" t="inlineStr">
        <is>
          <t xml:space="preserve">   مسجد الاسكان رقم 2 .</t>
        </is>
      </c>
      <c r="B85" t="inlineStr">
        <is>
          <t>KFM2120660290575</t>
        </is>
      </c>
      <c r="C85" t="inlineStr">
        <is>
          <t>الرياض</t>
        </is>
      </c>
      <c r="D85" t="inlineStr">
        <is>
          <t>كلا الفترتين</t>
        </is>
      </c>
      <c r="E85" t="n">
        <v>13316</v>
      </c>
      <c r="F85" t="b">
        <v>1</v>
      </c>
      <c r="G85">
        <f>HYPERLINK("https://www.google.com/maps/search/?api=1&amp;query=24.56930384,46.84492638", "View Map")</f>
        <v/>
      </c>
    </row>
    <row r="86">
      <c r="A86" t="inlineStr">
        <is>
          <t>ﻤﺴﺎﺠﺩ .</t>
        </is>
      </c>
      <c r="B86" t="inlineStr">
        <is>
          <t>SMR2220661002729</t>
        </is>
      </c>
      <c r="C86" t="inlineStr">
        <is>
          <t>الرياض</t>
        </is>
      </c>
      <c r="D86" t="inlineStr">
        <is>
          <t>كلا الفترتين</t>
        </is>
      </c>
      <c r="E86" t="n">
        <v>13308</v>
      </c>
      <c r="F86" t="b">
        <v>1</v>
      </c>
      <c r="G86">
        <f>HYPERLINK("https://www.google.com/maps/search/?api=1&amp;query=24.70226648,46.66692736", "View Map")</f>
        <v/>
      </c>
    </row>
    <row r="87">
      <c r="A87" t="inlineStr">
        <is>
          <t xml:space="preserve">   مسجد عبدالله العسكر .</t>
        </is>
      </c>
      <c r="B87" t="inlineStr">
        <is>
          <t>KFM2020660197146</t>
        </is>
      </c>
      <c r="C87" t="inlineStr">
        <is>
          <t>الرياض</t>
        </is>
      </c>
      <c r="D87" t="inlineStr">
        <is>
          <t>كلا الفترتين</t>
        </is>
      </c>
      <c r="E87" t="n">
        <v>13019</v>
      </c>
      <c r="F87" t="b">
        <v>1</v>
      </c>
      <c r="G87">
        <f>HYPERLINK("https://www.google.com/maps/search/?api=1&amp;query=24.8078,46.6183", "View Map")</f>
        <v/>
      </c>
    </row>
    <row r="88">
      <c r="A88" t="inlineStr">
        <is>
          <t>مسجد      اسامه      بن زيد .</t>
        </is>
      </c>
      <c r="B88" t="inlineStr">
        <is>
          <t>KFM2020660171782</t>
        </is>
      </c>
      <c r="C88" t="inlineStr">
        <is>
          <t>الرياض</t>
        </is>
      </c>
      <c r="D88" t="inlineStr">
        <is>
          <t>كلا الفترتين</t>
        </is>
      </c>
      <c r="E88" t="n">
        <v>12926</v>
      </c>
      <c r="F88" t="b">
        <v>1</v>
      </c>
      <c r="G88">
        <f>HYPERLINK("https://www.google.com/maps/search/?api=1&amp;query=24.55649386,46.67708684", "View Map")</f>
        <v/>
      </c>
    </row>
    <row r="89">
      <c r="A89" t="inlineStr">
        <is>
          <t xml:space="preserve">   مسجد عبدالله بن عباس .</t>
        </is>
      </c>
      <c r="B89" t="inlineStr">
        <is>
          <t>KFM2020660193481</t>
        </is>
      </c>
      <c r="C89" t="inlineStr">
        <is>
          <t>الرياض</t>
        </is>
      </c>
      <c r="D89" t="inlineStr">
        <is>
          <t>كلا الفترتين</t>
        </is>
      </c>
      <c r="E89" t="n">
        <v>12916</v>
      </c>
      <c r="F89" t="b">
        <v>0</v>
      </c>
      <c r="G89">
        <f>HYPERLINK("https://www.google.com/maps/search/?api=1&amp;query=24.67610276,46.86496369", "View Map")</f>
        <v/>
      </c>
    </row>
    <row r="90">
      <c r="A90" t="inlineStr">
        <is>
          <t xml:space="preserve">   مساجد .</t>
        </is>
      </c>
      <c r="B90" t="inlineStr">
        <is>
          <t>KFM2020660038815</t>
        </is>
      </c>
      <c r="C90" t="inlineStr">
        <is>
          <t>الرياض</t>
        </is>
      </c>
      <c r="D90" t="inlineStr">
        <is>
          <t>كلا الفترتين</t>
        </is>
      </c>
      <c r="E90" t="n">
        <v>12862</v>
      </c>
      <c r="F90" t="b">
        <v>1</v>
      </c>
      <c r="G90">
        <f>HYPERLINK("https://www.google.com/maps/search/?api=1&amp;query=24.75061791,46.76832507", "View Map")</f>
        <v/>
      </c>
    </row>
    <row r="91">
      <c r="A91" t="inlineStr">
        <is>
          <t xml:space="preserve">   مسجدابراهيم السليمبحيالصحافه .</t>
        </is>
      </c>
      <c r="B91" t="inlineStr">
        <is>
          <t>KFM2020660207660</t>
        </is>
      </c>
      <c r="C91" t="inlineStr">
        <is>
          <t>الرياض</t>
        </is>
      </c>
      <c r="D91" t="inlineStr">
        <is>
          <t>كلا الفترتين</t>
        </is>
      </c>
      <c r="E91" t="n">
        <v>12749</v>
      </c>
      <c r="F91" t="b">
        <v>1</v>
      </c>
      <c r="G91">
        <f>HYPERLINK("https://www.google.com/maps/search/?api=1&amp;query=24.79261396,46.63660156", "View Map")</f>
        <v/>
      </c>
    </row>
    <row r="92">
      <c r="A92" t="inlineStr">
        <is>
          <t>ﻤﺴﺎﺠﺩ .</t>
        </is>
      </c>
      <c r="B92" t="inlineStr">
        <is>
          <t>KFM2020660209284</t>
        </is>
      </c>
      <c r="C92" t="inlineStr">
        <is>
          <t>الرياض</t>
        </is>
      </c>
      <c r="D92" t="inlineStr">
        <is>
          <t>كلا الفترتين</t>
        </is>
      </c>
      <c r="E92" t="n">
        <v>12669</v>
      </c>
      <c r="F92" t="b">
        <v>1</v>
      </c>
      <c r="G92">
        <f>HYPERLINK("https://www.google.com/maps/search/?api=1&amp;query=24.77533413,46.69329393", "View Map")</f>
        <v/>
      </c>
    </row>
    <row r="93">
      <c r="A93" t="inlineStr">
        <is>
          <t>ﻤﺴﺎﺠﺩ .</t>
        </is>
      </c>
      <c r="B93" t="inlineStr">
        <is>
          <t>KFM2020660019980</t>
        </is>
      </c>
      <c r="C93" t="inlineStr">
        <is>
          <t>الرياض</t>
        </is>
      </c>
      <c r="D93" t="inlineStr">
        <is>
          <t>كلا الفترتين</t>
        </is>
      </c>
      <c r="E93" t="n">
        <v>12486</v>
      </c>
      <c r="F93" t="b">
        <v>1</v>
      </c>
      <c r="G93">
        <f>HYPERLINK("https://www.google.com/maps/search/?api=1&amp;query=24.68444607,46.58426799", "View Map")</f>
        <v/>
      </c>
    </row>
    <row r="94">
      <c r="A94" t="inlineStr">
        <is>
          <t>مسجد جامع الملك  عبدالعزيز .</t>
        </is>
      </c>
      <c r="B94" t="inlineStr">
        <is>
          <t>KFM2020660051599</t>
        </is>
      </c>
      <c r="C94" t="inlineStr">
        <is>
          <t>الرياض</t>
        </is>
      </c>
      <c r="D94" t="inlineStr">
        <is>
          <t>كلا الفترتين</t>
        </is>
      </c>
      <c r="E94" t="n">
        <v>12453</v>
      </c>
      <c r="F94" t="b">
        <v>1</v>
      </c>
      <c r="G94">
        <f>HYPERLINK("https://www.google.com/maps/search/?api=1&amp;query=24.5885165,46.67740114", "View Map")</f>
        <v/>
      </c>
    </row>
    <row r="95">
      <c r="A95" t="inlineStr">
        <is>
          <t>ﻤﺴﺎﺠﺩ .</t>
        </is>
      </c>
      <c r="B95" t="inlineStr">
        <is>
          <t>SMR2320661024549</t>
        </is>
      </c>
      <c r="C95" t="inlineStr">
        <is>
          <t>الرياض</t>
        </is>
      </c>
      <c r="D95" t="inlineStr">
        <is>
          <t>كلا الفترتين</t>
        </is>
      </c>
      <c r="E95" t="n">
        <v>12276</v>
      </c>
      <c r="F95" t="b">
        <v>1</v>
      </c>
      <c r="G95">
        <f>HYPERLINK("https://www.google.com/maps/search/?api=1&amp;query=24.79239619,46.58872121", "View Map")</f>
        <v/>
      </c>
    </row>
    <row r="96">
      <c r="A96" t="inlineStr">
        <is>
          <t>مدرسة خولة بنت حكيم لتحفيظ القرآن .</t>
        </is>
      </c>
      <c r="B96" t="inlineStr">
        <is>
          <t>KFM2120660300550</t>
        </is>
      </c>
      <c r="C96" t="inlineStr">
        <is>
          <t>الرياض</t>
        </is>
      </c>
      <c r="D96" t="inlineStr">
        <is>
          <t>كلا الفترتين</t>
        </is>
      </c>
      <c r="E96" t="n">
        <v>12210</v>
      </c>
      <c r="F96" t="b">
        <v>1</v>
      </c>
      <c r="G96">
        <f>HYPERLINK("https://www.google.com/maps/search/?api=1&amp;query=24.56028075,46.76468396", "View Map")</f>
        <v/>
      </c>
    </row>
    <row r="97">
      <c r="A97" t="inlineStr">
        <is>
          <t>مسجد حي طويق .</t>
        </is>
      </c>
      <c r="B97" t="inlineStr">
        <is>
          <t>KFM2020660173463</t>
        </is>
      </c>
      <c r="C97" t="inlineStr">
        <is>
          <t>الرياض</t>
        </is>
      </c>
      <c r="D97" t="inlineStr">
        <is>
          <t>كلا الفترتين</t>
        </is>
      </c>
      <c r="E97" t="n">
        <v>11810</v>
      </c>
      <c r="F97" t="b">
        <v>1</v>
      </c>
      <c r="G97">
        <f>HYPERLINK("https://www.google.com/maps/search/?api=1&amp;query=24.58819031,46.57208541", "View Map")</f>
        <v/>
      </c>
    </row>
    <row r="98">
      <c r="A98" t="inlineStr">
        <is>
          <t xml:space="preserve">   جامع الأ ميرة العنود .</t>
        </is>
      </c>
      <c r="B98" t="inlineStr">
        <is>
          <t>KFM2120660257437</t>
        </is>
      </c>
      <c r="C98" t="inlineStr">
        <is>
          <t>الرياض</t>
        </is>
      </c>
      <c r="D98" t="inlineStr">
        <is>
          <t>كلا الفترتين</t>
        </is>
      </c>
      <c r="E98" t="n">
        <v>11761</v>
      </c>
      <c r="F98" t="b">
        <v>1</v>
      </c>
      <c r="G98">
        <f>HYPERLINK("https://www.google.com/maps/search/?api=1&amp;query=24.77467428,46.65619389", "View Map")</f>
        <v/>
      </c>
    </row>
    <row r="99">
      <c r="A99" t="inlineStr">
        <is>
          <t>ﻤﺴﺎﺠﺩ .</t>
        </is>
      </c>
      <c r="B99" t="inlineStr">
        <is>
          <t>KFM2120660304637</t>
        </is>
      </c>
      <c r="C99" t="inlineStr">
        <is>
          <t>الرياض</t>
        </is>
      </c>
      <c r="D99" t="inlineStr">
        <is>
          <t>كلا الفترتين</t>
        </is>
      </c>
      <c r="E99" t="n">
        <v>11646</v>
      </c>
      <c r="F99" t="b">
        <v>1</v>
      </c>
      <c r="G99">
        <f>HYPERLINK("https://www.google.com/maps/search/?api=1&amp;query=24.6137815,46.75777171", "View Map")</f>
        <v/>
      </c>
    </row>
    <row r="100">
      <c r="A100" t="inlineStr">
        <is>
          <t>ﻭﺯﺍﺭﺓﺍﻟﺸﺌﻭﻥ ﺍﻻﺴﻼﻤﻴﺓﻭﺍﻻﻭﻗﺎﻑ .</t>
        </is>
      </c>
      <c r="B100" t="inlineStr">
        <is>
          <t>SMR2420661038484</t>
        </is>
      </c>
      <c r="C100" t="inlineStr">
        <is>
          <t>الرياض</t>
        </is>
      </c>
      <c r="D100" t="inlineStr">
        <is>
          <t>كلا الفترتين</t>
        </is>
      </c>
      <c r="E100" t="n">
        <v>11632</v>
      </c>
      <c r="F100" t="b">
        <v>1</v>
      </c>
      <c r="G100">
        <f>HYPERLINK("https://www.google.com/maps/search/?api=1&amp;query=24.5040804,46.6683632", "View Map")</f>
        <v/>
      </c>
    </row>
    <row r="101">
      <c r="A101" t="inlineStr">
        <is>
          <t xml:space="preserve">   مساجد .</t>
        </is>
      </c>
      <c r="B101" t="inlineStr">
        <is>
          <t>KFM2020660046514</t>
        </is>
      </c>
      <c r="C101" t="inlineStr">
        <is>
          <t>الرياض</t>
        </is>
      </c>
      <c r="D101" t="inlineStr">
        <is>
          <t>كلا الفترتين</t>
        </is>
      </c>
      <c r="E101" t="n">
        <v>11630</v>
      </c>
      <c r="F101" t="b">
        <v>1</v>
      </c>
      <c r="G101">
        <f>HYPERLINK("https://www.google.com/maps/search/?api=1&amp;query=24.8132771,46.73512109", "View Map")</f>
        <v/>
      </c>
    </row>
    <row r="102">
      <c r="A102" t="inlineStr">
        <is>
          <t xml:space="preserve">   مسجد      حي        الروابي .</t>
        </is>
      </c>
      <c r="B102" t="inlineStr">
        <is>
          <t>KFM2020660166602</t>
        </is>
      </c>
      <c r="C102" t="inlineStr">
        <is>
          <t>الرياض</t>
        </is>
      </c>
      <c r="D102" t="inlineStr">
        <is>
          <t>كلا الفترتين</t>
        </is>
      </c>
      <c r="E102" t="n">
        <v>11602</v>
      </c>
      <c r="F102" t="b">
        <v>1</v>
      </c>
      <c r="G102">
        <f>HYPERLINK("https://www.google.com/maps/search/?api=1&amp;query=24.68996777,46.79271818", "View Map")</f>
        <v/>
      </c>
    </row>
    <row r="103">
      <c r="A103" t="inlineStr">
        <is>
          <t>ﻤﺴﺎﺠﺩ .</t>
        </is>
      </c>
      <c r="B103" t="inlineStr">
        <is>
          <t>KFM2120660249230</t>
        </is>
      </c>
      <c r="C103" t="inlineStr">
        <is>
          <t>الرياض</t>
        </is>
      </c>
      <c r="D103" t="inlineStr">
        <is>
          <t>كلا الفترتين</t>
        </is>
      </c>
      <c r="E103" t="n">
        <v>11415</v>
      </c>
      <c r="F103" t="b">
        <v>1</v>
      </c>
      <c r="G103">
        <f>HYPERLINK("https://www.google.com/maps/search/?api=1&amp;query=24.86718667,46.63469465", "View Map")</f>
        <v/>
      </c>
    </row>
    <row r="104">
      <c r="A104" t="inlineStr">
        <is>
          <t xml:space="preserve">   مسجد فهد المقيل .</t>
        </is>
      </c>
      <c r="B104" t="inlineStr">
        <is>
          <t>KFM2120660262691</t>
        </is>
      </c>
      <c r="C104" t="inlineStr">
        <is>
          <t>الرياض</t>
        </is>
      </c>
      <c r="D104" t="inlineStr">
        <is>
          <t>كلا الفترتين</t>
        </is>
      </c>
      <c r="E104" t="n">
        <v>11320</v>
      </c>
      <c r="F104" t="b">
        <v>1</v>
      </c>
      <c r="G104">
        <f>HYPERLINK("https://www.google.com/maps/search/?api=1&amp;query=24.72058456,46.65218849", "View Map")</f>
        <v/>
      </c>
    </row>
    <row r="105">
      <c r="A105" t="inlineStr">
        <is>
          <t xml:space="preserve">   مسجد  الا مير خالد بن مساعد .</t>
        </is>
      </c>
      <c r="B105" t="inlineStr">
        <is>
          <t>KFM2020660174421</t>
        </is>
      </c>
      <c r="C105" t="inlineStr">
        <is>
          <t>الرياض</t>
        </is>
      </c>
      <c r="D105" t="inlineStr">
        <is>
          <t>كلا الفترتين</t>
        </is>
      </c>
      <c r="E105" t="n">
        <v>11283</v>
      </c>
      <c r="F105" t="b">
        <v>1</v>
      </c>
      <c r="G105">
        <f>HYPERLINK("https://www.google.com/maps/search/?api=1&amp;query=24.8112021,46.78053911", "View Map")</f>
        <v/>
      </c>
    </row>
    <row r="106">
      <c r="A106" t="inlineStr">
        <is>
          <t xml:space="preserve">   مسجد الغليقة مع سكن الامام المؤذن .</t>
        </is>
      </c>
      <c r="B106" t="inlineStr">
        <is>
          <t>KFM2020660193579</t>
        </is>
      </c>
      <c r="C106" t="inlineStr">
        <is>
          <t>الرياض</t>
        </is>
      </c>
      <c r="D106" t="inlineStr">
        <is>
          <t>كلا الفترتين</t>
        </is>
      </c>
      <c r="E106" t="n">
        <v>11254</v>
      </c>
      <c r="F106" t="b">
        <v>0</v>
      </c>
      <c r="G106">
        <f>HYPERLINK("https://www.google.com/maps/search/?api=1&amp;query=24.79234344,46.78817133", "View Map")</f>
        <v/>
      </c>
    </row>
    <row r="107">
      <c r="A107" t="inlineStr">
        <is>
          <t xml:space="preserve">   مسجد حى المنصورة .</t>
        </is>
      </c>
      <c r="B107" t="inlineStr">
        <is>
          <t>KFM2120660299174</t>
        </is>
      </c>
      <c r="C107" t="inlineStr">
        <is>
          <t>الرياض</t>
        </is>
      </c>
      <c r="D107" t="inlineStr">
        <is>
          <t>كلا الفترتين</t>
        </is>
      </c>
      <c r="E107" t="n">
        <v>11157</v>
      </c>
      <c r="F107" t="b">
        <v>1</v>
      </c>
      <c r="G107">
        <f>HYPERLINK("https://www.google.com/maps/search/?api=1&amp;query=24.61919749,46.7485558", "View Map")</f>
        <v/>
      </c>
    </row>
    <row r="108">
      <c r="A108" t="inlineStr">
        <is>
          <t xml:space="preserve">   وزارة     الاوقاف و  الدعوه و الار .</t>
        </is>
      </c>
      <c r="B108" t="inlineStr">
        <is>
          <t>KFM2020660060525</t>
        </is>
      </c>
      <c r="C108" t="inlineStr">
        <is>
          <t>الدرعية</t>
        </is>
      </c>
      <c r="D108" t="inlineStr">
        <is>
          <t>كلا الفترتين</t>
        </is>
      </c>
      <c r="E108" t="n">
        <v>11095</v>
      </c>
      <c r="F108" t="b">
        <v>1</v>
      </c>
      <c r="G108">
        <f>HYPERLINK("https://www.google.com/maps/search/?api=1&amp;query=24.74883235,46.5738511", "View Map")</f>
        <v/>
      </c>
    </row>
    <row r="109">
      <c r="A109" t="inlineStr">
        <is>
          <t xml:space="preserve">   مسجد شرق حي الملك فيصل .</t>
        </is>
      </c>
      <c r="B109" t="inlineStr">
        <is>
          <t>KFM2020660025581</t>
        </is>
      </c>
      <c r="C109" t="inlineStr">
        <is>
          <t>الرياض</t>
        </is>
      </c>
      <c r="D109" t="inlineStr">
        <is>
          <t>كلا الفترتين</t>
        </is>
      </c>
      <c r="E109" t="n">
        <v>11062</v>
      </c>
      <c r="F109" t="b">
        <v>1</v>
      </c>
      <c r="G109">
        <f>HYPERLINK("https://www.google.com/maps/search/?api=1&amp;query=24.7808198,46.80009952", "View Map")</f>
        <v/>
      </c>
    </row>
    <row r="110">
      <c r="A110" t="inlineStr">
        <is>
          <t>ﻤﺴﺎﺠﺩ .</t>
        </is>
      </c>
      <c r="B110" t="inlineStr">
        <is>
          <t>KFM2020660187652</t>
        </is>
      </c>
      <c r="C110" t="inlineStr">
        <is>
          <t>الرياض</t>
        </is>
      </c>
      <c r="D110" t="inlineStr">
        <is>
          <t>كلا الفترتين</t>
        </is>
      </c>
      <c r="E110" t="n">
        <v>11036</v>
      </c>
      <c r="F110" t="b">
        <v>1</v>
      </c>
      <c r="G110">
        <f>HYPERLINK("https://www.google.com/maps/search/?api=1&amp;query=24.82845,46.60742", "View Map")</f>
        <v/>
      </c>
    </row>
    <row r="111">
      <c r="A111" t="inlineStr">
        <is>
          <t xml:space="preserve">   جامع المحارب .</t>
        </is>
      </c>
      <c r="B111" t="inlineStr">
        <is>
          <t>KFM2020660209212</t>
        </is>
      </c>
      <c r="C111" t="inlineStr">
        <is>
          <t>الرياض</t>
        </is>
      </c>
      <c r="D111" t="inlineStr">
        <is>
          <t>كلا الفترتين</t>
        </is>
      </c>
      <c r="E111" t="n">
        <v>10950</v>
      </c>
      <c r="F111" t="b">
        <v>1</v>
      </c>
      <c r="G111">
        <f>HYPERLINK("https://www.google.com/maps/search/?api=1&amp;query=24.80627015,46.66876306", "View Map")</f>
        <v/>
      </c>
    </row>
    <row r="112">
      <c r="A112" t="inlineStr">
        <is>
          <t>مساجد .</t>
        </is>
      </c>
      <c r="B112" t="inlineStr">
        <is>
          <t>KFM2020660202794</t>
        </is>
      </c>
      <c r="C112" t="inlineStr">
        <is>
          <t>الرياض</t>
        </is>
      </c>
      <c r="D112" t="inlineStr">
        <is>
          <t>كلا الفترتين</t>
        </is>
      </c>
      <c r="E112" t="n">
        <v>10915</v>
      </c>
      <c r="F112" t="b">
        <v>1</v>
      </c>
      <c r="G112">
        <f>HYPERLINK("https://www.google.com/maps/search/?api=1&amp;query=24.78684,46.61241", "View Map")</f>
        <v/>
      </c>
    </row>
    <row r="113">
      <c r="A113" t="inlineStr">
        <is>
          <t>مسجدعلي الناصر .</t>
        </is>
      </c>
      <c r="B113" t="inlineStr">
        <is>
          <t>KFM2120660266028</t>
        </is>
      </c>
      <c r="C113" t="inlineStr">
        <is>
          <t>الرياض</t>
        </is>
      </c>
      <c r="D113" t="inlineStr">
        <is>
          <t>كلا الفترتين</t>
        </is>
      </c>
      <c r="E113" t="n">
        <v>10894</v>
      </c>
      <c r="F113" t="b">
        <v>1</v>
      </c>
      <c r="G113">
        <f>HYPERLINK("https://www.google.com/maps/search/?api=1&amp;query=24.69414993,46.59166411", "View Map")</f>
        <v/>
      </c>
    </row>
    <row r="114">
      <c r="A114" t="inlineStr">
        <is>
          <t>جامع الامير طلا ل بن فهد بن محمد .</t>
        </is>
      </c>
      <c r="B114" t="inlineStr">
        <is>
          <t>KFM2020660191336</t>
        </is>
      </c>
      <c r="C114" t="inlineStr">
        <is>
          <t>الرياض</t>
        </is>
      </c>
      <c r="D114" t="inlineStr">
        <is>
          <t>كلا الفترتين</t>
        </is>
      </c>
      <c r="E114" t="n">
        <v>10758</v>
      </c>
      <c r="F114" t="b">
        <v>1</v>
      </c>
      <c r="G114">
        <f>HYPERLINK("https://www.google.com/maps/search/?api=1&amp;query=24.5517,46.7622", "View Map")</f>
        <v/>
      </c>
    </row>
    <row r="115">
      <c r="A115" t="inlineStr">
        <is>
          <t xml:space="preserve">   جامع      سلطان     السلطان .</t>
        </is>
      </c>
      <c r="B115" t="inlineStr">
        <is>
          <t>KFM2020660104863</t>
        </is>
      </c>
      <c r="C115" t="inlineStr">
        <is>
          <t>الرياض</t>
        </is>
      </c>
      <c r="D115" t="inlineStr">
        <is>
          <t>كلا الفترتين</t>
        </is>
      </c>
      <c r="E115" t="n">
        <v>10758</v>
      </c>
      <c r="F115" t="b">
        <v>0</v>
      </c>
      <c r="G115">
        <f>HYPERLINK("https://www.google.com/maps/search/?api=1&amp;query=24.82106777,46.63710869", "View Map")</f>
        <v/>
      </c>
    </row>
    <row r="116">
      <c r="A116" t="inlineStr">
        <is>
          <t>1638 مسجدبظهره  البديعه  مخطط .</t>
        </is>
      </c>
      <c r="B116" t="inlineStr">
        <is>
          <t>KFM2020660044499</t>
        </is>
      </c>
      <c r="C116" t="inlineStr">
        <is>
          <t>الرياض</t>
        </is>
      </c>
      <c r="D116" t="inlineStr">
        <is>
          <t>كلا الفترتين</t>
        </is>
      </c>
      <c r="E116" t="n">
        <v>10727</v>
      </c>
      <c r="F116" t="b">
        <v>1</v>
      </c>
      <c r="G116">
        <f>HYPERLINK("https://www.google.com/maps/search/?api=1&amp;query=24.59312243,46.63023738", "View Map")</f>
        <v/>
      </c>
    </row>
    <row r="117">
      <c r="A117" t="inlineStr">
        <is>
          <t xml:space="preserve">   جامع سيد الشهداء .</t>
        </is>
      </c>
      <c r="B117" t="inlineStr">
        <is>
          <t>KFM2020660193461</t>
        </is>
      </c>
      <c r="C117" t="inlineStr">
        <is>
          <t>الرياض</t>
        </is>
      </c>
      <c r="D117" t="inlineStr">
        <is>
          <t>كلا الفترتين</t>
        </is>
      </c>
      <c r="E117" t="n">
        <v>10593</v>
      </c>
      <c r="F117" t="b">
        <v>1</v>
      </c>
      <c r="G117">
        <f>HYPERLINK("https://www.google.com/maps/search/?api=1&amp;query=24.80106567,46.81345225", "View Map")</f>
        <v/>
      </c>
    </row>
    <row r="118">
      <c r="A118" t="inlineStr">
        <is>
          <t xml:space="preserve">   مسجد الامام البخاري .</t>
        </is>
      </c>
      <c r="B118" t="inlineStr">
        <is>
          <t>KFM2020660139820</t>
        </is>
      </c>
      <c r="C118" t="inlineStr">
        <is>
          <t>الرياض</t>
        </is>
      </c>
      <c r="D118" t="inlineStr">
        <is>
          <t>كلا الفترتين</t>
        </is>
      </c>
      <c r="E118" t="n">
        <v>10569</v>
      </c>
      <c r="F118" t="b">
        <v>1</v>
      </c>
      <c r="G118">
        <f>HYPERLINK("https://www.google.com/maps/search/?api=1&amp;query=24.76462182,46.76403247", "View Map")</f>
        <v/>
      </c>
    </row>
    <row r="119">
      <c r="A119" t="inlineStr">
        <is>
          <t xml:space="preserve">   مسجد الدويش .</t>
        </is>
      </c>
      <c r="B119" t="inlineStr">
        <is>
          <t>KFM2120660248692</t>
        </is>
      </c>
      <c r="C119" t="inlineStr">
        <is>
          <t>الرياض</t>
        </is>
      </c>
      <c r="D119" t="inlineStr">
        <is>
          <t>كلا الفترتين</t>
        </is>
      </c>
      <c r="E119" t="n">
        <v>10546</v>
      </c>
      <c r="F119" t="b">
        <v>1</v>
      </c>
      <c r="G119">
        <f>HYPERLINK("https://www.google.com/maps/search/?api=1&amp;query=24.67643014,46.80624134", "View Map")</f>
        <v/>
      </c>
    </row>
    <row r="120">
      <c r="A120" t="inlineStr">
        <is>
          <t xml:space="preserve">   جامع سلمان الفارسي .</t>
        </is>
      </c>
      <c r="B120" t="inlineStr">
        <is>
          <t>KFM2020660174270</t>
        </is>
      </c>
      <c r="C120" t="inlineStr">
        <is>
          <t>الرياض</t>
        </is>
      </c>
      <c r="D120" t="inlineStr">
        <is>
          <t>كلا الفترتين</t>
        </is>
      </c>
      <c r="E120" t="n">
        <v>10491</v>
      </c>
      <c r="F120" t="b">
        <v>1</v>
      </c>
      <c r="G120">
        <f>HYPERLINK("https://www.google.com/maps/search/?api=1&amp;query=24.80957067,46.88653704", "View Map")</f>
        <v/>
      </c>
    </row>
    <row r="121">
      <c r="A121" t="inlineStr">
        <is>
          <t>ﻤﺴﺎﺠﺩ .</t>
        </is>
      </c>
      <c r="B121" t="inlineStr">
        <is>
          <t>KFM2020660192256</t>
        </is>
      </c>
      <c r="C121" t="inlineStr">
        <is>
          <t>الدرعية</t>
        </is>
      </c>
      <c r="D121" t="inlineStr">
        <is>
          <t>كلا الفترتين</t>
        </is>
      </c>
      <c r="E121" t="n">
        <v>10436</v>
      </c>
      <c r="F121" t="b">
        <v>1</v>
      </c>
      <c r="G121">
        <f>HYPERLINK("https://www.google.com/maps/search/?api=1&amp;query=24.79095,46.57925", "View Map")</f>
        <v/>
      </c>
    </row>
    <row r="122">
      <c r="A122" t="inlineStr">
        <is>
          <t>ﻭﺯﺍﺭﺓﺍﻟﺸﺌﻭﻥ ﺍﻻﺴﻼﻤﻴﺓﻭﺍﻻﻭﻗﺎﻑ .</t>
        </is>
      </c>
      <c r="B122" t="inlineStr">
        <is>
          <t>KFM2020660013550</t>
        </is>
      </c>
      <c r="C122" t="inlineStr">
        <is>
          <t>الرياض</t>
        </is>
      </c>
      <c r="D122" t="inlineStr">
        <is>
          <t>كلا الفترتين</t>
        </is>
      </c>
      <c r="E122" t="n">
        <v>10278</v>
      </c>
      <c r="F122" t="b">
        <v>1</v>
      </c>
      <c r="G122">
        <f>HYPERLINK("https://www.google.com/maps/search/?api=1&amp;query=24.6069,46.625", "View Map")</f>
        <v/>
      </c>
    </row>
    <row r="123">
      <c r="A123" t="inlineStr">
        <is>
          <t xml:space="preserve">   مسجد معاذ بن جبل .</t>
        </is>
      </c>
      <c r="B123" t="inlineStr">
        <is>
          <t>KFM2120660256844</t>
        </is>
      </c>
      <c r="C123" t="inlineStr">
        <is>
          <t>الرياض</t>
        </is>
      </c>
      <c r="D123" t="inlineStr">
        <is>
          <t>كلا الفترتين</t>
        </is>
      </c>
      <c r="E123" t="n">
        <v>10238</v>
      </c>
      <c r="F123" t="b">
        <v>1</v>
      </c>
      <c r="G123">
        <f>HYPERLINK("https://www.google.com/maps/search/?api=1&amp;query=24.56145228,46.79002075", "View Map")</f>
        <v/>
      </c>
    </row>
    <row r="124">
      <c r="A124" t="inlineStr">
        <is>
          <t xml:space="preserve">   مسجد سموالامير/سلطان بن عبدالعزيز .</t>
        </is>
      </c>
      <c r="B124" t="inlineStr">
        <is>
          <t>KFM2020660174142</t>
        </is>
      </c>
      <c r="C124" t="inlineStr">
        <is>
          <t>الرياض</t>
        </is>
      </c>
      <c r="D124" t="inlineStr">
        <is>
          <t>كلا الفترتين</t>
        </is>
      </c>
      <c r="E124" t="n">
        <v>10175</v>
      </c>
      <c r="F124" t="b">
        <v>1</v>
      </c>
      <c r="G124">
        <f>HYPERLINK("https://www.google.com/maps/search/?api=1&amp;query=24.73006,46.65733", "View Map")</f>
        <v/>
      </c>
    </row>
    <row r="125">
      <c r="A125" t="inlineStr">
        <is>
          <t xml:space="preserve">   مسجد حي الربوه غرب الاسواق .</t>
        </is>
      </c>
      <c r="B125" t="inlineStr">
        <is>
          <t>KFM2120660268725</t>
        </is>
      </c>
      <c r="C125" t="inlineStr">
        <is>
          <t>الرياض</t>
        </is>
      </c>
      <c r="D125" t="inlineStr">
        <is>
          <t>كلا الفترتين</t>
        </is>
      </c>
      <c r="E125" t="n">
        <v>10120</v>
      </c>
      <c r="F125" t="b">
        <v>1</v>
      </c>
      <c r="G125">
        <f>HYPERLINK("https://www.google.com/maps/search/?api=1&amp;query=24.6839708,46.75931963", "View Map")</f>
        <v/>
      </c>
    </row>
    <row r="126">
      <c r="A126" t="inlineStr">
        <is>
          <t>ﻭﺯﺍﺭﺓﺍﻟﺸﺌﻭﻥ ﺍﻻﺴﻼﻤﻴﺓﻭﺍﻻﻭﻗﺎﻑ .</t>
        </is>
      </c>
      <c r="B126" t="inlineStr">
        <is>
          <t>SMR2220661006884</t>
        </is>
      </c>
      <c r="C126" t="inlineStr">
        <is>
          <t>الرياض</t>
        </is>
      </c>
      <c r="D126" t="inlineStr">
        <is>
          <t>كلا الفترتين</t>
        </is>
      </c>
      <c r="E126" t="n">
        <v>10119</v>
      </c>
      <c r="F126" t="b">
        <v>1</v>
      </c>
      <c r="G126">
        <f>HYPERLINK("https://www.google.com/maps/search/?api=1&amp;query=24.55203435,46.54888884", "View Map")</f>
        <v/>
      </c>
    </row>
    <row r="127">
      <c r="A127" t="inlineStr">
        <is>
          <t xml:space="preserve">   مسجد حي الملك فيصل .</t>
        </is>
      </c>
      <c r="B127" t="inlineStr">
        <is>
          <t>KFM2120660256145</t>
        </is>
      </c>
      <c r="C127" t="inlineStr">
        <is>
          <t>الرياض</t>
        </is>
      </c>
      <c r="D127" t="inlineStr">
        <is>
          <t>كلا الفترتين</t>
        </is>
      </c>
      <c r="E127" t="n">
        <v>10102</v>
      </c>
      <c r="F127" t="b">
        <v>1</v>
      </c>
      <c r="G127">
        <f>HYPERLINK("https://www.google.com/maps/search/?api=1&amp;query=24.75554387,46.78789353", "View Map")</f>
        <v/>
      </c>
    </row>
    <row r="128">
      <c r="A128" t="inlineStr">
        <is>
          <t xml:space="preserve">   مسجد اليرموك .</t>
        </is>
      </c>
      <c r="B128" t="inlineStr">
        <is>
          <t>KFM2020660171967</t>
        </is>
      </c>
      <c r="C128" t="inlineStr">
        <is>
          <t>الرياض</t>
        </is>
      </c>
      <c r="D128" t="inlineStr">
        <is>
          <t>كلا الفترتين</t>
        </is>
      </c>
      <c r="E128" t="n">
        <v>10015</v>
      </c>
      <c r="F128" t="b">
        <v>1</v>
      </c>
      <c r="G128">
        <f>HYPERLINK("https://www.google.com/maps/search/?api=1&amp;query=24.69496368,46.76523926", "View Map")</f>
        <v/>
      </c>
    </row>
    <row r="129">
      <c r="A129" t="inlineStr">
        <is>
          <t xml:space="preserve">   مسجد حمزه بن عبدالمطلب .</t>
        </is>
      </c>
      <c r="B129" t="inlineStr">
        <is>
          <t>KFM2020660178127</t>
        </is>
      </c>
      <c r="C129" t="inlineStr">
        <is>
          <t>الرياض</t>
        </is>
      </c>
      <c r="D129" t="inlineStr">
        <is>
          <t>كلا الفترتين</t>
        </is>
      </c>
      <c r="E129" t="n">
        <v>9998</v>
      </c>
      <c r="F129" t="b">
        <v>0</v>
      </c>
      <c r="G129">
        <f>HYPERLINK("https://www.google.com/maps/search/?api=1&amp;query=24.71415605,46.78377465", "View Map")</f>
        <v/>
      </c>
    </row>
    <row r="130">
      <c r="A130" t="inlineStr">
        <is>
          <t>ﻤﺴﺎﺠﺩ .</t>
        </is>
      </c>
      <c r="B130" t="inlineStr">
        <is>
          <t>SMR2220661001721</t>
        </is>
      </c>
      <c r="C130" t="inlineStr">
        <is>
          <t>الرياض</t>
        </is>
      </c>
      <c r="D130" t="inlineStr">
        <is>
          <t>كلا الفترتين</t>
        </is>
      </c>
      <c r="E130" t="n">
        <v>9993</v>
      </c>
      <c r="F130" t="b">
        <v>1</v>
      </c>
      <c r="G130">
        <f>HYPERLINK("https://www.google.com/maps/search/?api=1&amp;query=24.78495628,46.71657203", "View Map")</f>
        <v/>
      </c>
    </row>
    <row r="131">
      <c r="A131" t="inlineStr">
        <is>
          <t>ﻤﺴﺎﺠﺩ .</t>
        </is>
      </c>
      <c r="B131" t="inlineStr">
        <is>
          <t>KFM2020660191719</t>
        </is>
      </c>
      <c r="C131" t="inlineStr">
        <is>
          <t>الرياض</t>
        </is>
      </c>
      <c r="D131" t="inlineStr">
        <is>
          <t>كلا الفترتين</t>
        </is>
      </c>
      <c r="E131" t="n">
        <v>9993</v>
      </c>
      <c r="F131" t="b">
        <v>1</v>
      </c>
      <c r="G131">
        <f>HYPERLINK("https://www.google.com/maps/search/?api=1&amp;query=24.7822977,46.8353532", "View Map")</f>
        <v/>
      </c>
    </row>
    <row r="132">
      <c r="A132" t="inlineStr">
        <is>
          <t xml:space="preserve">   مسجد حي الصحافه ومرافقه .</t>
        </is>
      </c>
      <c r="B132" t="inlineStr">
        <is>
          <t>KFM2020660100105</t>
        </is>
      </c>
      <c r="C132" t="inlineStr">
        <is>
          <t>الرياض</t>
        </is>
      </c>
      <c r="D132" t="inlineStr">
        <is>
          <t>كلا الفترتين</t>
        </is>
      </c>
      <c r="E132" t="n">
        <v>9910</v>
      </c>
      <c r="F132" t="b">
        <v>0</v>
      </c>
      <c r="G132">
        <f>HYPERLINK("https://www.google.com/maps/search/?api=1&amp;query=24.7960199,46.63184058", "View Map")</f>
        <v/>
      </c>
    </row>
    <row r="133">
      <c r="A133" t="inlineStr">
        <is>
          <t xml:space="preserve">   مسجد      أحمد      الدهش .</t>
        </is>
      </c>
      <c r="B133" t="inlineStr">
        <is>
          <t>KFM2020660193681</t>
        </is>
      </c>
      <c r="C133" t="inlineStr">
        <is>
          <t>الرياض</t>
        </is>
      </c>
      <c r="D133" t="inlineStr">
        <is>
          <t>كلا الفترتين</t>
        </is>
      </c>
      <c r="E133" t="n">
        <v>9890</v>
      </c>
      <c r="F133" t="b">
        <v>1</v>
      </c>
      <c r="G133">
        <f>HYPERLINK("https://www.google.com/maps/search/?api=1&amp;query=24.71568591,46.82771854", "View Map")</f>
        <v/>
      </c>
    </row>
    <row r="134">
      <c r="A134" t="inlineStr">
        <is>
          <t xml:space="preserve">   جامع وسكن مترك عايض الجعيد .</t>
        </is>
      </c>
      <c r="B134" t="inlineStr">
        <is>
          <t>KFM2020660174503</t>
        </is>
      </c>
      <c r="C134" t="inlineStr">
        <is>
          <t>الرياض</t>
        </is>
      </c>
      <c r="D134" t="inlineStr">
        <is>
          <t>كلا الفترتين</t>
        </is>
      </c>
      <c r="E134" t="n">
        <v>9850</v>
      </c>
      <c r="F134" t="b">
        <v>1</v>
      </c>
      <c r="G134">
        <f>HYPERLINK("https://www.google.com/maps/search/?api=1&amp;query=24.76785944,46.7377981", "View Map")</f>
        <v/>
      </c>
    </row>
    <row r="135">
      <c r="A135" t="inlineStr">
        <is>
          <t xml:space="preserve">   مسجد اشبيليه .</t>
        </is>
      </c>
      <c r="B135" t="inlineStr">
        <is>
          <t>KFM2020660040631</t>
        </is>
      </c>
      <c r="C135" t="inlineStr">
        <is>
          <t>الرياض</t>
        </is>
      </c>
      <c r="D135" t="inlineStr">
        <is>
          <t>كلا الفترتين</t>
        </is>
      </c>
      <c r="E135" t="n">
        <v>9772</v>
      </c>
      <c r="F135" t="b">
        <v>1</v>
      </c>
      <c r="G135">
        <f>HYPERLINK("https://www.google.com/maps/search/?api=1&amp;query=24.79026589,46.80096866", "View Map")</f>
        <v/>
      </c>
    </row>
    <row r="136">
      <c r="A136" t="inlineStr">
        <is>
          <t>ﻭﺯﺍﺭﺓﺍﻟﺸﺌﻭﻥ ﺍﻻﺴﻼﻤﻴﺓﻭﺍﻻﻭﻗﺎﻑ .</t>
        </is>
      </c>
      <c r="B136" t="inlineStr">
        <is>
          <t>KFM2020660042256</t>
        </is>
      </c>
      <c r="C136" t="inlineStr">
        <is>
          <t>الرياض</t>
        </is>
      </c>
      <c r="D136" t="inlineStr">
        <is>
          <t>كلا الفترتين</t>
        </is>
      </c>
      <c r="E136" t="n">
        <v>9740</v>
      </c>
      <c r="F136" t="b">
        <v>1</v>
      </c>
      <c r="G136">
        <f>HYPERLINK("https://www.google.com/maps/search/?api=1&amp;query=24.61477434,46.70980659", "View Map")</f>
        <v/>
      </c>
    </row>
    <row r="137">
      <c r="A137" t="inlineStr">
        <is>
          <t>مسجد / طارق  بن زياد .</t>
        </is>
      </c>
      <c r="B137" t="inlineStr">
        <is>
          <t>KFM2020660056208</t>
        </is>
      </c>
      <c r="C137" t="inlineStr">
        <is>
          <t>الرياض</t>
        </is>
      </c>
      <c r="D137" t="inlineStr">
        <is>
          <t>كلا الفترتين</t>
        </is>
      </c>
      <c r="E137" t="n">
        <v>9580</v>
      </c>
      <c r="F137" t="b">
        <v>0</v>
      </c>
      <c r="G137">
        <f>HYPERLINK("https://www.google.com/maps/search/?api=1&amp;query=24.53781668,46.66622221", "View Map")</f>
        <v/>
      </c>
    </row>
    <row r="138">
      <c r="A138" t="inlineStr">
        <is>
          <t>مساجد .</t>
        </is>
      </c>
      <c r="B138" t="inlineStr">
        <is>
          <t>KFM2120660236172</t>
        </is>
      </c>
      <c r="C138" t="inlineStr">
        <is>
          <t>الرياض</t>
        </is>
      </c>
      <c r="D138" t="inlineStr">
        <is>
          <t>كلا الفترتين</t>
        </is>
      </c>
      <c r="E138" t="n">
        <v>9485</v>
      </c>
      <c r="F138" t="b">
        <v>1</v>
      </c>
      <c r="G138">
        <f>HYPERLINK("https://www.google.com/maps/search/?api=1&amp;query=24.82120776,46.60274635", "View Map")</f>
        <v/>
      </c>
    </row>
    <row r="139">
      <c r="A139" t="inlineStr">
        <is>
          <t xml:space="preserve">   مسجد حي السعاده .</t>
        </is>
      </c>
      <c r="B139" t="inlineStr">
        <is>
          <t>KFM2120660305466</t>
        </is>
      </c>
      <c r="C139" t="inlineStr">
        <is>
          <t>الرياض</t>
        </is>
      </c>
      <c r="D139" t="inlineStr">
        <is>
          <t>كلا الفترتين</t>
        </is>
      </c>
      <c r="E139" t="n">
        <v>9306</v>
      </c>
      <c r="F139" t="b">
        <v>0</v>
      </c>
      <c r="G139">
        <f>HYPERLINK("https://www.google.com/maps/search/?api=1&amp;query=24.68868255,46.84266039", "View Map")</f>
        <v/>
      </c>
    </row>
    <row r="140">
      <c r="A140" t="inlineStr">
        <is>
          <t xml:space="preserve">   مسجدحي النخيل الغربي .</t>
        </is>
      </c>
      <c r="B140" t="inlineStr">
        <is>
          <t>KFM2020660019830</t>
        </is>
      </c>
      <c r="C140" t="inlineStr">
        <is>
          <t>الدرعية</t>
        </is>
      </c>
      <c r="D140" t="inlineStr">
        <is>
          <t>كلا الفترتين</t>
        </is>
      </c>
      <c r="E140" t="n">
        <v>9285</v>
      </c>
      <c r="F140" t="b">
        <v>1</v>
      </c>
      <c r="G140">
        <f>HYPERLINK("https://www.google.com/maps/search/?api=1&amp;query=24.73759225,46.59876738", "View Map")</f>
        <v/>
      </c>
    </row>
    <row r="141">
      <c r="A141" t="inlineStr">
        <is>
          <t xml:space="preserve">   مسجدحي الفلاح .</t>
        </is>
      </c>
      <c r="B141" t="inlineStr">
        <is>
          <t>KFM2120660257336</t>
        </is>
      </c>
      <c r="C141" t="inlineStr">
        <is>
          <t>الرياض</t>
        </is>
      </c>
      <c r="D141" t="inlineStr">
        <is>
          <t>كلا الفترتين</t>
        </is>
      </c>
      <c r="E141" t="n">
        <v>9283</v>
      </c>
      <c r="F141" t="b">
        <v>0</v>
      </c>
      <c r="G141">
        <f>HYPERLINK("https://www.google.com/maps/search/?api=1&amp;query=24.79638973,46.70013016", "View Map")</f>
        <v/>
      </c>
    </row>
    <row r="142">
      <c r="A142" t="inlineStr">
        <is>
          <t xml:space="preserve">   مسجد عبدالله حذافة السهمي .</t>
        </is>
      </c>
      <c r="B142" t="inlineStr">
        <is>
          <t>KFM2020660057260</t>
        </is>
      </c>
      <c r="C142" t="inlineStr">
        <is>
          <t>الرياض</t>
        </is>
      </c>
      <c r="D142" t="inlineStr">
        <is>
          <t>كلا الفترتين</t>
        </is>
      </c>
      <c r="E142" t="n">
        <v>9219</v>
      </c>
      <c r="F142" t="b">
        <v>1</v>
      </c>
      <c r="G142">
        <f>HYPERLINK("https://www.google.com/maps/search/?api=1&amp;query=24.72108914,46.85436542", "View Map")</f>
        <v/>
      </c>
    </row>
    <row r="143">
      <c r="A143" t="inlineStr">
        <is>
          <t xml:space="preserve">   مسجد سوق الخضار .</t>
        </is>
      </c>
      <c r="B143" t="inlineStr">
        <is>
          <t>KFM2020660170805</t>
        </is>
      </c>
      <c r="C143" t="inlineStr">
        <is>
          <t>الرياض</t>
        </is>
      </c>
      <c r="D143" t="inlineStr">
        <is>
          <t>كلا الفترتين</t>
        </is>
      </c>
      <c r="E143" t="n">
        <v>9194</v>
      </c>
      <c r="F143" t="b">
        <v>1</v>
      </c>
      <c r="G143">
        <f>HYPERLINK("https://www.google.com/maps/search/?api=1&amp;query=24.68619557,46.78018729", "View Map")</f>
        <v/>
      </c>
    </row>
    <row r="144">
      <c r="A144" t="inlineStr">
        <is>
          <t>مدرسه  تحفيظ  لمسجد صالح  الصانع .</t>
        </is>
      </c>
      <c r="B144" t="inlineStr">
        <is>
          <t>KFM2020660051614</t>
        </is>
      </c>
      <c r="C144" t="inlineStr">
        <is>
          <t>الرياض</t>
        </is>
      </c>
      <c r="D144" t="inlineStr">
        <is>
          <t>كلا الفترتين</t>
        </is>
      </c>
      <c r="E144" t="n">
        <v>9180</v>
      </c>
      <c r="F144" t="b">
        <v>1</v>
      </c>
      <c r="G144">
        <f>HYPERLINK("https://www.google.com/maps/search/?api=1&amp;query=24.67994789,46.70623404", "View Map")</f>
        <v/>
      </c>
    </row>
    <row r="145">
      <c r="A145" t="inlineStr">
        <is>
          <t xml:space="preserve">   مسجدالاميرفيصل بن سعدالواقع المرب .</t>
        </is>
      </c>
      <c r="B145" t="inlineStr">
        <is>
          <t>KFM2120660257895</t>
        </is>
      </c>
      <c r="C145" t="inlineStr">
        <is>
          <t>الرياض</t>
        </is>
      </c>
      <c r="D145" t="inlineStr">
        <is>
          <t>كلا الفترتين</t>
        </is>
      </c>
      <c r="E145" t="n">
        <v>9146</v>
      </c>
      <c r="F145" t="b">
        <v>1</v>
      </c>
      <c r="G145">
        <f>HYPERLINK("https://www.google.com/maps/search/?api=1&amp;query=24.66598522,46.7009511", "View Map")</f>
        <v/>
      </c>
    </row>
    <row r="146">
      <c r="A146" t="inlineStr">
        <is>
          <t>.   مسجد      الراجحي .</t>
        </is>
      </c>
      <c r="B146" t="inlineStr">
        <is>
          <t>KFM2020660191142</t>
        </is>
      </c>
      <c r="C146" t="inlineStr">
        <is>
          <t>الرياض</t>
        </is>
      </c>
      <c r="D146" t="inlineStr">
        <is>
          <t>كلا الفترتين</t>
        </is>
      </c>
      <c r="E146" t="n">
        <v>9136</v>
      </c>
      <c r="F146" t="b">
        <v>1</v>
      </c>
      <c r="G146">
        <f>HYPERLINK("https://www.google.com/maps/search/?api=1&amp;query=24.58041158,46.67659749", "View Map")</f>
        <v/>
      </c>
    </row>
    <row r="147">
      <c r="A147" t="inlineStr">
        <is>
          <t>ﻤﺴﺎﺠﺩ .</t>
        </is>
      </c>
      <c r="B147" t="inlineStr">
        <is>
          <t>KFM2020660174341</t>
        </is>
      </c>
      <c r="C147" t="inlineStr">
        <is>
          <t>الرياض</t>
        </is>
      </c>
      <c r="D147" t="inlineStr">
        <is>
          <t>كلا الفترتين</t>
        </is>
      </c>
      <c r="E147" t="n">
        <v>9082</v>
      </c>
      <c r="F147" t="b">
        <v>1</v>
      </c>
      <c r="G147">
        <f>HYPERLINK("https://www.google.com/maps/search/?api=1&amp;query=24.84062294,46.88054074", "View Map")</f>
        <v/>
      </c>
    </row>
    <row r="148">
      <c r="A148" t="inlineStr">
        <is>
          <t xml:space="preserve">   جامع الشيخ محمد بن عبدالوهاب .</t>
        </is>
      </c>
      <c r="B148" t="inlineStr">
        <is>
          <t>KFM2020660091272</t>
        </is>
      </c>
      <c r="C148" t="inlineStr">
        <is>
          <t>الرياض</t>
        </is>
      </c>
      <c r="D148" t="inlineStr">
        <is>
          <t>كلا الفترتين</t>
        </is>
      </c>
      <c r="E148" t="n">
        <v>9076</v>
      </c>
      <c r="F148" t="b">
        <v>1</v>
      </c>
      <c r="G148">
        <f>HYPERLINK("https://www.google.com/maps/search/?api=1&amp;query=24.71041136,46.61485027", "View Map")</f>
        <v/>
      </c>
    </row>
    <row r="149">
      <c r="A149" t="inlineStr">
        <is>
          <t xml:space="preserve">   مسجد حى الضباط .</t>
        </is>
      </c>
      <c r="B149" t="inlineStr">
        <is>
          <t>KFM2120660286028</t>
        </is>
      </c>
      <c r="C149" t="inlineStr">
        <is>
          <t>الرياض</t>
        </is>
      </c>
      <c r="D149" t="inlineStr">
        <is>
          <t>كلا الفترتين</t>
        </is>
      </c>
      <c r="E149" t="n">
        <v>8966</v>
      </c>
      <c r="F149" t="b">
        <v>1</v>
      </c>
      <c r="G149">
        <f>HYPERLINK("https://www.google.com/maps/search/?api=1&amp;query=24.68184014,46.71961591", "View Map")</f>
        <v/>
      </c>
    </row>
    <row r="150">
      <c r="A150" t="inlineStr">
        <is>
          <t xml:space="preserve">   جامع عثمان بن عفان .</t>
        </is>
      </c>
      <c r="B150" t="inlineStr">
        <is>
          <t>KFM2020660169503</t>
        </is>
      </c>
      <c r="C150" t="inlineStr">
        <is>
          <t>الرياض</t>
        </is>
      </c>
      <c r="D150" t="inlineStr">
        <is>
          <t>كلا الفترتين</t>
        </is>
      </c>
      <c r="E150" t="n">
        <v>8871</v>
      </c>
      <c r="F150" t="b">
        <v>1</v>
      </c>
      <c r="G150">
        <f>HYPERLINK("https://www.google.com/maps/search/?api=1&amp;query=24.74499644,46.71869362", "View Map")</f>
        <v/>
      </c>
    </row>
    <row r="151">
      <c r="A151" t="inlineStr">
        <is>
          <t xml:space="preserve">   مسجد شرق غبيرا-أبوبكرالصديق .</t>
        </is>
      </c>
      <c r="B151" t="inlineStr">
        <is>
          <t>KFM2120660299306</t>
        </is>
      </c>
      <c r="C151" t="inlineStr">
        <is>
          <t>الرياض</t>
        </is>
      </c>
      <c r="D151" t="inlineStr">
        <is>
          <t>كلا الفترتين</t>
        </is>
      </c>
      <c r="E151" t="n">
        <v>8810</v>
      </c>
      <c r="F151" t="b">
        <v>1</v>
      </c>
      <c r="G151">
        <f>HYPERLINK("https://www.google.com/maps/search/?api=1&amp;query=24.62418346,46.74383133", "View Map")</f>
        <v/>
      </c>
    </row>
    <row r="152">
      <c r="A152" t="inlineStr">
        <is>
          <t xml:space="preserve"> مسجدالجبل  جامع الحقباني .</t>
        </is>
      </c>
      <c r="B152" t="inlineStr">
        <is>
          <t>KFM2020660203970</t>
        </is>
      </c>
      <c r="C152" t="inlineStr">
        <is>
          <t>الرياض</t>
        </is>
      </c>
      <c r="D152" t="inlineStr">
        <is>
          <t>كلا الفترتين</t>
        </is>
      </c>
      <c r="E152" t="n">
        <v>8803</v>
      </c>
      <c r="F152" t="b">
        <v>1</v>
      </c>
      <c r="G152">
        <f>HYPERLINK("https://www.google.com/maps/search/?api=1&amp;query=24.60363978,46.6584658", "View Map")</f>
        <v/>
      </c>
    </row>
    <row r="153">
      <c r="A153" t="inlineStr">
        <is>
          <t xml:space="preserve">   مسجدالتعاون وسكن الامام والمؤذن .</t>
        </is>
      </c>
      <c r="B153" t="inlineStr">
        <is>
          <t>KFM2020660173879</t>
        </is>
      </c>
      <c r="C153" t="inlineStr">
        <is>
          <t>الرياض</t>
        </is>
      </c>
      <c r="D153" t="inlineStr">
        <is>
          <t>كلا الفترتين</t>
        </is>
      </c>
      <c r="E153" t="n">
        <v>8802</v>
      </c>
      <c r="F153" t="b">
        <v>1</v>
      </c>
      <c r="G153">
        <f>HYPERLINK("https://www.google.com/maps/search/?api=1&amp;query=24.77342195,46.69107172", "View Map")</f>
        <v/>
      </c>
    </row>
    <row r="154">
      <c r="A154" t="inlineStr">
        <is>
          <t>مسجد جامع  حله  بن دايل .</t>
        </is>
      </c>
      <c r="B154" t="inlineStr">
        <is>
          <t>KFM2020660196868</t>
        </is>
      </c>
      <c r="C154" t="inlineStr">
        <is>
          <t>الرياض</t>
        </is>
      </c>
      <c r="D154" t="inlineStr">
        <is>
          <t>كلا الفترتين</t>
        </is>
      </c>
      <c r="E154" t="n">
        <v>8705</v>
      </c>
      <c r="F154" t="b">
        <v>1</v>
      </c>
      <c r="G154">
        <f>HYPERLINK("https://www.google.com/maps/search/?api=1&amp;query=24.59613063,46.71067492", "View Map")</f>
        <v/>
      </c>
    </row>
    <row r="155">
      <c r="A155" t="inlineStr">
        <is>
          <t>ﻤﺴﺎﺠﺩ .</t>
        </is>
      </c>
      <c r="B155" t="inlineStr">
        <is>
          <t>SMR2420661036166</t>
        </is>
      </c>
      <c r="C155" t="inlineStr">
        <is>
          <t>الرياض</t>
        </is>
      </c>
      <c r="D155" t="inlineStr">
        <is>
          <t>كلا الفترتين</t>
        </is>
      </c>
      <c r="E155" t="n">
        <v>8691</v>
      </c>
      <c r="F155" t="b">
        <v>0</v>
      </c>
      <c r="G155">
        <f>HYPERLINK("https://www.google.com/maps/search/?api=1&amp;query=24.83066896,46.66620127", "View Map")</f>
        <v/>
      </c>
    </row>
    <row r="156">
      <c r="A156" t="inlineStr">
        <is>
          <t xml:space="preserve">   جامع غرب المستشفى العسكري .</t>
        </is>
      </c>
      <c r="B156" t="inlineStr">
        <is>
          <t>KFM2020660227154</t>
        </is>
      </c>
      <c r="C156" t="inlineStr">
        <is>
          <t>الرياض</t>
        </is>
      </c>
      <c r="D156" t="inlineStr">
        <is>
          <t>كلا الفترتين</t>
        </is>
      </c>
      <c r="E156" t="n">
        <v>8685</v>
      </c>
      <c r="F156" t="b">
        <v>1</v>
      </c>
      <c r="G156">
        <f>HYPERLINK("https://www.google.com/maps/search/?api=1&amp;query=24.69341833,46.70865915", "View Map")</f>
        <v/>
      </c>
    </row>
    <row r="157">
      <c r="A157" t="inlineStr">
        <is>
          <t xml:space="preserve">   مسجد الجوهره .</t>
        </is>
      </c>
      <c r="B157" t="inlineStr">
        <is>
          <t>KFM2020660060077</t>
        </is>
      </c>
      <c r="C157" t="inlineStr">
        <is>
          <t>الرياض</t>
        </is>
      </c>
      <c r="D157" t="inlineStr">
        <is>
          <t>كلا الفترتين</t>
        </is>
      </c>
      <c r="E157" t="n">
        <v>8666</v>
      </c>
      <c r="F157" t="b">
        <v>1</v>
      </c>
      <c r="G157">
        <f>HYPERLINK("https://www.google.com/maps/search/?api=1&amp;query=24.75253842,46.77390533", "View Map")</f>
        <v/>
      </c>
    </row>
    <row r="158">
      <c r="A158" t="inlineStr">
        <is>
          <t xml:space="preserve">   مسجد      الرواف    . .</t>
        </is>
      </c>
      <c r="B158" t="inlineStr">
        <is>
          <t>KFM2020660097327</t>
        </is>
      </c>
      <c r="C158" t="inlineStr">
        <is>
          <t>الرياض</t>
        </is>
      </c>
      <c r="D158" t="inlineStr">
        <is>
          <t>كلا الفترتين</t>
        </is>
      </c>
      <c r="E158" t="n">
        <v>8661</v>
      </c>
      <c r="F158" t="b">
        <v>1</v>
      </c>
      <c r="G158">
        <f>HYPERLINK("https://www.google.com/maps/search/?api=1&amp;query=24.68620666,46.58833388", "View Map")</f>
        <v/>
      </c>
    </row>
    <row r="159">
      <c r="A159" t="inlineStr">
        <is>
          <t xml:space="preserve">   جامع الامام احمد بن حنبل .</t>
        </is>
      </c>
      <c r="B159" t="inlineStr">
        <is>
          <t>KFM2020660175825</t>
        </is>
      </c>
      <c r="C159" t="inlineStr">
        <is>
          <t>الرياض</t>
        </is>
      </c>
      <c r="D159" t="inlineStr">
        <is>
          <t>كلا الفترتين</t>
        </is>
      </c>
      <c r="E159" t="n">
        <v>8645</v>
      </c>
      <c r="F159" t="b">
        <v>1</v>
      </c>
      <c r="G159">
        <f>HYPERLINK("https://www.google.com/maps/search/?api=1&amp;query=24.70743241,46.7825186", "View Map")</f>
        <v/>
      </c>
    </row>
    <row r="160">
      <c r="A160" t="inlineStr">
        <is>
          <t xml:space="preserve">   مسجد حي غرناطة الغربي .</t>
        </is>
      </c>
      <c r="B160" t="inlineStr">
        <is>
          <t>KFM2020660178142</t>
        </is>
      </c>
      <c r="C160" t="inlineStr">
        <is>
          <t>الرياض</t>
        </is>
      </c>
      <c r="D160" t="inlineStr">
        <is>
          <t>كلا الفترتين</t>
        </is>
      </c>
      <c r="E160" t="n">
        <v>8632</v>
      </c>
      <c r="F160" t="b">
        <v>1</v>
      </c>
      <c r="G160">
        <f>HYPERLINK("https://www.google.com/maps/search/?api=1&amp;query=24.79523579,46.73767582", "View Map")</f>
        <v/>
      </c>
    </row>
    <row r="161">
      <c r="A161" t="inlineStr">
        <is>
          <t>ﻤﺴﺎﺠﺩ .</t>
        </is>
      </c>
      <c r="B161" t="inlineStr">
        <is>
          <t>KFM2020660174804</t>
        </is>
      </c>
      <c r="C161" t="inlineStr">
        <is>
          <t>الرياض</t>
        </is>
      </c>
      <c r="D161" t="inlineStr">
        <is>
          <t>كلا الفترتين</t>
        </is>
      </c>
      <c r="E161" t="n">
        <v>8628</v>
      </c>
      <c r="F161" t="b">
        <v>1</v>
      </c>
      <c r="G161">
        <f>HYPERLINK("https://www.google.com/maps/search/?api=1&amp;query=24.84300835,46.7751923", "View Map")</f>
        <v/>
      </c>
    </row>
    <row r="162">
      <c r="A162" t="inlineStr">
        <is>
          <t xml:space="preserve">   جامع الريس    // مغسلة الأموات .</t>
        </is>
      </c>
      <c r="B162" t="inlineStr">
        <is>
          <t>KFM2120660304107</t>
        </is>
      </c>
      <c r="C162" t="inlineStr">
        <is>
          <t>الرياض</t>
        </is>
      </c>
      <c r="D162" t="inlineStr">
        <is>
          <t>كلا الفترتين</t>
        </is>
      </c>
      <c r="E162" t="n">
        <v>8614</v>
      </c>
      <c r="F162" t="b">
        <v>0</v>
      </c>
      <c r="G162">
        <f>HYPERLINK("https://www.google.com/maps/search/?api=1&amp;query=24.5919537,46.7471375", "View Map")</f>
        <v/>
      </c>
    </row>
    <row r="163">
      <c r="A163" t="inlineStr">
        <is>
          <t xml:space="preserve">   جامع خادم الحرمين الشريفين/فروسي .</t>
        </is>
      </c>
      <c r="B163" t="inlineStr">
        <is>
          <t>KFM2120660279587</t>
        </is>
      </c>
      <c r="C163" t="inlineStr">
        <is>
          <t>الرياض</t>
        </is>
      </c>
      <c r="D163" t="inlineStr">
        <is>
          <t>كلا الفترتين</t>
        </is>
      </c>
      <c r="E163" t="n">
        <v>8613</v>
      </c>
      <c r="F163" t="b">
        <v>1</v>
      </c>
      <c r="G163">
        <f>HYPERLINK("https://www.google.com/maps/search/?api=1&amp;query=24.66706887,46.74262083", "View Map")</f>
        <v/>
      </c>
    </row>
    <row r="164">
      <c r="A164" t="inlineStr">
        <is>
          <t xml:space="preserve">   مسجد الامير متعب بن عبدالعزيز .</t>
        </is>
      </c>
      <c r="B164" t="inlineStr">
        <is>
          <t>KFM2120660276309</t>
        </is>
      </c>
      <c r="C164" t="inlineStr">
        <is>
          <t>الرياض</t>
        </is>
      </c>
      <c r="D164" t="inlineStr">
        <is>
          <t>كلا الفترتين</t>
        </is>
      </c>
      <c r="E164" t="n">
        <v>8529</v>
      </c>
      <c r="F164" t="b">
        <v>1</v>
      </c>
      <c r="G164">
        <f>HYPERLINK("https://www.google.com/maps/search/?api=1&amp;query=24.67088702,46.74360874", "View Map")</f>
        <v/>
      </c>
    </row>
    <row r="165">
      <c r="A165" t="inlineStr">
        <is>
          <t xml:space="preserve">   مسجد   حى السفارات .</t>
        </is>
      </c>
      <c r="B165" t="inlineStr">
        <is>
          <t>KFM2020660188586</t>
        </is>
      </c>
      <c r="C165" t="inlineStr">
        <is>
          <t>الرياض</t>
        </is>
      </c>
      <c r="D165" t="inlineStr">
        <is>
          <t>كلا الفترتين</t>
        </is>
      </c>
      <c r="E165" t="n">
        <v>8514</v>
      </c>
      <c r="F165" t="b">
        <v>0</v>
      </c>
      <c r="G165">
        <f>HYPERLINK("https://www.google.com/maps/search/?api=1&amp;query=24.6908,46.6269", "View Map")</f>
        <v/>
      </c>
    </row>
    <row r="166">
      <c r="A166" t="inlineStr">
        <is>
          <t xml:space="preserve">   مسجدحي الغدير .</t>
        </is>
      </c>
      <c r="B166" t="inlineStr">
        <is>
          <t>KFM2120660257860</t>
        </is>
      </c>
      <c r="C166" t="inlineStr">
        <is>
          <t>الرياض</t>
        </is>
      </c>
      <c r="D166" t="inlineStr">
        <is>
          <t>كلا الفترتين</t>
        </is>
      </c>
      <c r="E166" t="n">
        <v>8472</v>
      </c>
      <c r="F166" t="b">
        <v>1</v>
      </c>
      <c r="G166">
        <f>HYPERLINK("https://www.google.com/maps/search/?api=1&amp;query=24.77880642,46.64982861", "View Map")</f>
        <v/>
      </c>
    </row>
    <row r="167">
      <c r="A167" t="inlineStr">
        <is>
          <t>ﻤﺴﺎﺠﺩ .</t>
        </is>
      </c>
      <c r="B167" t="inlineStr">
        <is>
          <t>KFM2020660193653</t>
        </is>
      </c>
      <c r="C167" t="inlineStr">
        <is>
          <t>الرياض</t>
        </is>
      </c>
      <c r="D167" t="inlineStr">
        <is>
          <t>كلا الفترتين</t>
        </is>
      </c>
      <c r="E167" t="n">
        <v>8462</v>
      </c>
      <c r="F167" t="b">
        <v>1</v>
      </c>
      <c r="G167">
        <f>HYPERLINK("https://www.google.com/maps/search/?api=1&amp;query=24.73728402,46.78538541", "View Map")</f>
        <v/>
      </c>
    </row>
    <row r="168">
      <c r="A168" t="inlineStr">
        <is>
          <t xml:space="preserve">   مشروع مصلى نساءالحي السكني و.الخ .</t>
        </is>
      </c>
      <c r="B168" t="inlineStr">
        <is>
          <t>KFM2020660197043</t>
        </is>
      </c>
      <c r="C168" t="inlineStr">
        <is>
          <t>الرياض</t>
        </is>
      </c>
      <c r="D168" t="inlineStr">
        <is>
          <t>كلا الفترتين</t>
        </is>
      </c>
      <c r="E168" t="n">
        <v>8460</v>
      </c>
      <c r="F168" t="b">
        <v>1</v>
      </c>
      <c r="G168">
        <f>HYPERLINK("https://www.google.com/maps/search/?api=1&amp;query=24.73298,46.65794", "View Map")</f>
        <v/>
      </c>
    </row>
    <row r="169">
      <c r="A169" t="inlineStr">
        <is>
          <t xml:space="preserve">   جامع      فهد       الهريش .</t>
        </is>
      </c>
      <c r="B169" t="inlineStr">
        <is>
          <t>KFM2020660190244</t>
        </is>
      </c>
      <c r="C169" t="inlineStr">
        <is>
          <t>الرياض</t>
        </is>
      </c>
      <c r="D169" t="inlineStr">
        <is>
          <t>كلا الفترتين</t>
        </is>
      </c>
      <c r="E169" t="n">
        <v>8446</v>
      </c>
      <c r="F169" t="b">
        <v>1</v>
      </c>
      <c r="G169">
        <f>HYPERLINK("https://www.google.com/maps/search/?api=1&amp;query=24.82022623,46.77454046", "View Map")</f>
        <v/>
      </c>
    </row>
    <row r="170">
      <c r="A170" t="inlineStr">
        <is>
          <t xml:space="preserve">   وزاره الشئون الاسلاميه ولاوقاف .</t>
        </is>
      </c>
      <c r="B170" t="inlineStr">
        <is>
          <t>KFM2020660035649</t>
        </is>
      </c>
      <c r="C170" t="inlineStr">
        <is>
          <t>الرياض</t>
        </is>
      </c>
      <c r="D170" t="inlineStr">
        <is>
          <t>كلا الفترتين</t>
        </is>
      </c>
      <c r="E170" t="n">
        <v>8441</v>
      </c>
      <c r="F170" t="b">
        <v>1</v>
      </c>
      <c r="G170">
        <f>HYPERLINK("https://www.google.com/maps/search/?api=1&amp;query=24.7675,46.5931", "View Map")</f>
        <v/>
      </c>
    </row>
    <row r="171">
      <c r="A171" t="inlineStr">
        <is>
          <t xml:space="preserve">   مسجد جامع الذياب .</t>
        </is>
      </c>
      <c r="B171" t="inlineStr">
        <is>
          <t>KFM2120660274158</t>
        </is>
      </c>
      <c r="C171" t="inlineStr">
        <is>
          <t>الرياض</t>
        </is>
      </c>
      <c r="D171" t="inlineStr">
        <is>
          <t>كلا الفترتين</t>
        </is>
      </c>
      <c r="E171" t="n">
        <v>8386</v>
      </c>
      <c r="F171" t="b">
        <v>1</v>
      </c>
      <c r="G171">
        <f>HYPERLINK("https://www.google.com/maps/search/?api=1&amp;query=24.67626846,46.81616517", "View Map")</f>
        <v/>
      </c>
    </row>
    <row r="172">
      <c r="A172" t="inlineStr">
        <is>
          <t>ﻭﺯﺍﺭﺓﺍﻟﺸﺌﻭﻥ ﺍﻻﺴﻼﻤﻴﺓﻭﺍﻻﻭﻗﺎﻑ .</t>
        </is>
      </c>
      <c r="B172" t="inlineStr">
        <is>
          <t>KFM2020660189356</t>
        </is>
      </c>
      <c r="C172" t="inlineStr">
        <is>
          <t>الرياض</t>
        </is>
      </c>
      <c r="D172" t="inlineStr">
        <is>
          <t>كلا الفترتين</t>
        </is>
      </c>
      <c r="E172" t="n">
        <v>8377</v>
      </c>
      <c r="F172" t="b">
        <v>1</v>
      </c>
      <c r="G172">
        <f>HYPERLINK("https://www.google.com/maps/search/?api=1&amp;query=24.53586152,46.63978243", "View Map")</f>
        <v/>
      </c>
    </row>
    <row r="173">
      <c r="A173" t="inlineStr">
        <is>
          <t xml:space="preserve">   مساجد .</t>
        </is>
      </c>
      <c r="B173" t="inlineStr">
        <is>
          <t>KFM2020660143133</t>
        </is>
      </c>
      <c r="C173" t="inlineStr">
        <is>
          <t>الرياض</t>
        </is>
      </c>
      <c r="D173" t="inlineStr">
        <is>
          <t>كلا الفترتين</t>
        </is>
      </c>
      <c r="E173" t="n">
        <v>8327</v>
      </c>
      <c r="F173" t="b">
        <v>1</v>
      </c>
      <c r="G173">
        <f>HYPERLINK("https://www.google.com/maps/search/?api=1&amp;query=24.82399195,46.78630701", "View Map")</f>
        <v/>
      </c>
    </row>
    <row r="174">
      <c r="A174" t="inlineStr">
        <is>
          <t xml:space="preserve">   المدينه الطبيه / مسجد .</t>
        </is>
      </c>
      <c r="B174" t="inlineStr">
        <is>
          <t>KFM2020660193672</t>
        </is>
      </c>
      <c r="C174" t="inlineStr">
        <is>
          <t>الرياض</t>
        </is>
      </c>
      <c r="D174" t="inlineStr">
        <is>
          <t>كلا الفترتين</t>
        </is>
      </c>
      <c r="E174" t="n">
        <v>8304</v>
      </c>
      <c r="F174" t="b">
        <v>1</v>
      </c>
      <c r="G174">
        <f>HYPERLINK("https://www.google.com/maps/search/?api=1&amp;query=24.7529,46.87116", "View Map")</f>
        <v/>
      </c>
    </row>
    <row r="175">
      <c r="A175" t="inlineStr">
        <is>
          <t xml:space="preserve">   مسجد/طارق بن زياد 6/3435</t>
        </is>
      </c>
      <c r="B175" t="inlineStr">
        <is>
          <t>KFM2120660299246</t>
        </is>
      </c>
      <c r="C175" t="inlineStr">
        <is>
          <t>الرياض</t>
        </is>
      </c>
      <c r="D175" t="inlineStr">
        <is>
          <t>كلا الفترتين</t>
        </is>
      </c>
      <c r="E175" t="n">
        <v>8262</v>
      </c>
      <c r="F175" t="b">
        <v>1</v>
      </c>
      <c r="G175">
        <f>HYPERLINK("https://www.google.com/maps/search/?api=1&amp;query=24.59429692,46.77229409", "View Map")</f>
        <v/>
      </c>
    </row>
    <row r="176">
      <c r="A176" t="inlineStr">
        <is>
          <t xml:space="preserve">   مسجد والده السليمي .</t>
        </is>
      </c>
      <c r="B176" t="inlineStr">
        <is>
          <t>KFM2020660191845</t>
        </is>
      </c>
      <c r="C176" t="inlineStr">
        <is>
          <t>الرياض</t>
        </is>
      </c>
      <c r="D176" t="inlineStr">
        <is>
          <t>كلا الفترتين</t>
        </is>
      </c>
      <c r="E176" t="n">
        <v>8251</v>
      </c>
      <c r="F176" t="b">
        <v>1</v>
      </c>
      <c r="G176">
        <f>HYPERLINK("https://www.google.com/maps/search/?api=1&amp;query=24.82941374,46.74639906", "View Map")</f>
        <v/>
      </c>
    </row>
    <row r="177">
      <c r="A177" t="inlineStr">
        <is>
          <t>مسجدالغنيم .</t>
        </is>
      </c>
      <c r="B177" t="inlineStr">
        <is>
          <t>KFM2020660225630</t>
        </is>
      </c>
      <c r="C177" t="inlineStr">
        <is>
          <t>الرياض</t>
        </is>
      </c>
      <c r="D177" t="inlineStr">
        <is>
          <t>كلا الفترتين</t>
        </is>
      </c>
      <c r="E177" t="n">
        <v>8221</v>
      </c>
      <c r="F177" t="b">
        <v>1</v>
      </c>
      <c r="G177">
        <f>HYPERLINK("https://www.google.com/maps/search/?api=1&amp;query=24.57351722,46.6148052", "View Map")</f>
        <v/>
      </c>
    </row>
    <row r="178">
      <c r="A178" t="inlineStr">
        <is>
          <t>مسجد جامع  بن خثيله .</t>
        </is>
      </c>
      <c r="B178" t="inlineStr">
        <is>
          <t>KFM2020660053824</t>
        </is>
      </c>
      <c r="C178" t="inlineStr">
        <is>
          <t>الرياض</t>
        </is>
      </c>
      <c r="D178" t="inlineStr">
        <is>
          <t>كلا الفترتين</t>
        </is>
      </c>
      <c r="E178" t="n">
        <v>8215</v>
      </c>
      <c r="F178" t="b">
        <v>1</v>
      </c>
      <c r="G178">
        <f>HYPERLINK("https://www.google.com/maps/search/?api=1&amp;query=24.64249818,46.70717456", "View Map")</f>
        <v/>
      </c>
    </row>
    <row r="179">
      <c r="A179" t="inlineStr">
        <is>
          <t xml:space="preserve">   جامع الاحسان .</t>
        </is>
      </c>
      <c r="B179" t="inlineStr">
        <is>
          <t>KFM2020660031113</t>
        </is>
      </c>
      <c r="C179" t="inlineStr">
        <is>
          <t>الرياض</t>
        </is>
      </c>
      <c r="D179" t="inlineStr">
        <is>
          <t>كلا الفترتين</t>
        </is>
      </c>
      <c r="E179" t="n">
        <v>8180</v>
      </c>
      <c r="F179" t="b">
        <v>0</v>
      </c>
      <c r="G179">
        <f>HYPERLINK("https://www.google.com/maps/search/?api=1&amp;query=24.68586567,46.6778582", "View Map")</f>
        <v/>
      </c>
    </row>
    <row r="180">
      <c r="A180" t="inlineStr">
        <is>
          <t xml:space="preserve">   مسجدالاميرعبدالرحمن عبدالله .</t>
        </is>
      </c>
      <c r="B180" t="inlineStr">
        <is>
          <t>KFM2120660272391</t>
        </is>
      </c>
      <c r="C180" t="inlineStr">
        <is>
          <t>الرياض</t>
        </is>
      </c>
      <c r="D180" t="inlineStr">
        <is>
          <t>كلا الفترتين</t>
        </is>
      </c>
      <c r="E180" t="n">
        <v>8143</v>
      </c>
      <c r="F180" t="b">
        <v>1</v>
      </c>
      <c r="G180">
        <f>HYPERLINK("https://www.google.com/maps/search/?api=1&amp;query=24.67939988,46.66350969", "View Map")</f>
        <v/>
      </c>
    </row>
    <row r="181">
      <c r="A181" t="inlineStr">
        <is>
          <t>جامع الامير طلا ل بن فهد بن محمد .</t>
        </is>
      </c>
      <c r="B181" t="inlineStr">
        <is>
          <t>KFM2020660191332</t>
        </is>
      </c>
      <c r="C181" t="inlineStr">
        <is>
          <t>الرياض</t>
        </is>
      </c>
      <c r="D181" t="inlineStr">
        <is>
          <t>كلا الفترتين</t>
        </is>
      </c>
      <c r="E181" t="n">
        <v>8142</v>
      </c>
      <c r="F181" t="b">
        <v>1</v>
      </c>
      <c r="G181">
        <f>HYPERLINK("https://www.google.com/maps/search/?api=1&amp;query=24.55178967,46.76239806", "View Map")</f>
        <v/>
      </c>
    </row>
    <row r="182">
      <c r="A182" t="inlineStr">
        <is>
          <t>مسجد      الرفيعة .</t>
        </is>
      </c>
      <c r="B182" t="inlineStr">
        <is>
          <t>KFM2020660015215</t>
        </is>
      </c>
      <c r="C182" t="inlineStr">
        <is>
          <t>الرياض</t>
        </is>
      </c>
      <c r="D182" t="inlineStr">
        <is>
          <t>كلا الفترتين</t>
        </is>
      </c>
      <c r="E182" t="n">
        <v>8135</v>
      </c>
      <c r="F182" t="b">
        <v>1</v>
      </c>
      <c r="G182">
        <f>HYPERLINK("https://www.google.com/maps/search/?api=1&amp;query=24.63543151,46.66348217", "View Map")</f>
        <v/>
      </c>
    </row>
    <row r="183">
      <c r="A183" t="inlineStr">
        <is>
          <t xml:space="preserve">   مسجد      بن        . .</t>
        </is>
      </c>
      <c r="B183" t="inlineStr">
        <is>
          <t>KFM2020660209660</t>
        </is>
      </c>
      <c r="C183" t="inlineStr">
        <is>
          <t>الرياض</t>
        </is>
      </c>
      <c r="D183" t="inlineStr">
        <is>
          <t>كلا الفترتين</t>
        </is>
      </c>
      <c r="E183" t="n">
        <v>8057</v>
      </c>
      <c r="F183" t="b">
        <v>1</v>
      </c>
      <c r="G183">
        <f>HYPERLINK("https://www.google.com/maps/search/?api=1&amp;query=24.66957461,46.70044643", "View Map")</f>
        <v/>
      </c>
    </row>
    <row r="184">
      <c r="A184" t="inlineStr">
        <is>
          <t>مسجد بن غيث .</t>
        </is>
      </c>
      <c r="B184" t="inlineStr">
        <is>
          <t>KFM2020660023260</t>
        </is>
      </c>
      <c r="C184" t="inlineStr">
        <is>
          <t>الرياض</t>
        </is>
      </c>
      <c r="D184" t="inlineStr">
        <is>
          <t>كلا الفترتين</t>
        </is>
      </c>
      <c r="E184" t="n">
        <v>8044</v>
      </c>
      <c r="F184" t="b">
        <v>1</v>
      </c>
      <c r="G184">
        <f>HYPERLINK("https://www.google.com/maps/search/?api=1&amp;query=24.60350696,46.66371151", "View Map")</f>
        <v/>
      </c>
    </row>
    <row r="185">
      <c r="A185" t="inlineStr">
        <is>
          <t>ﻭﺯﺍﺭﺓﺍﻟﺸﺌﻭﻥ ﺍﻻﺴﻼﻤﻴﺓﻭﺍﻻﻭﻗﺎﻑ .</t>
        </is>
      </c>
      <c r="B185" t="inlineStr">
        <is>
          <t>KFM2020660023300</t>
        </is>
      </c>
      <c r="C185" t="inlineStr">
        <is>
          <t>الرياض</t>
        </is>
      </c>
      <c r="D185" t="inlineStr">
        <is>
          <t>كلا الفترتين</t>
        </is>
      </c>
      <c r="E185" t="n">
        <v>8030</v>
      </c>
      <c r="F185" t="b">
        <v>1</v>
      </c>
      <c r="G185">
        <f>HYPERLINK("https://www.google.com/maps/search/?api=1&amp;query=24.57398396,46.63571953", "View Map")</f>
        <v/>
      </c>
    </row>
    <row r="186">
      <c r="A186" t="inlineStr">
        <is>
          <t xml:space="preserve">   مسجدسليمان سالم .</t>
        </is>
      </c>
      <c r="B186" t="inlineStr">
        <is>
          <t>KFM2020660036716</t>
        </is>
      </c>
      <c r="C186" t="inlineStr">
        <is>
          <t>الرياض</t>
        </is>
      </c>
      <c r="D186" t="inlineStr">
        <is>
          <t>كلا الفترتين</t>
        </is>
      </c>
      <c r="E186" t="n">
        <v>7986</v>
      </c>
      <c r="F186" t="b">
        <v>1</v>
      </c>
      <c r="G186">
        <f>HYPERLINK("https://www.google.com/maps/search/?api=1&amp;query=24.70428071,46.67103887", "View Map")</f>
        <v/>
      </c>
    </row>
    <row r="187">
      <c r="A187" t="inlineStr">
        <is>
          <t xml:space="preserve">   مساجد .</t>
        </is>
      </c>
      <c r="B187" t="inlineStr">
        <is>
          <t>KFM2020660008745</t>
        </is>
      </c>
      <c r="C187" t="inlineStr">
        <is>
          <t>الرياض</t>
        </is>
      </c>
      <c r="D187" t="inlineStr">
        <is>
          <t>كلا الفترتين</t>
        </is>
      </c>
      <c r="E187" t="n">
        <v>7932</v>
      </c>
      <c r="F187" t="b">
        <v>1</v>
      </c>
      <c r="G187">
        <f>HYPERLINK("https://www.google.com/maps/search/?api=1&amp;query=24.81083538,46.7401432", "View Map")</f>
        <v/>
      </c>
    </row>
    <row r="188">
      <c r="A188" t="inlineStr">
        <is>
          <t xml:space="preserve">   مسجدمحمدوعبدالرحمن السعدالبواردي .</t>
        </is>
      </c>
      <c r="B188" t="inlineStr">
        <is>
          <t>KFM2020660162287</t>
        </is>
      </c>
      <c r="C188" t="inlineStr">
        <is>
          <t>الرياض</t>
        </is>
      </c>
      <c r="D188" t="inlineStr">
        <is>
          <t>كلا الفترتين</t>
        </is>
      </c>
      <c r="E188" t="n">
        <v>7842</v>
      </c>
      <c r="F188" t="b">
        <v>1</v>
      </c>
      <c r="G188">
        <f>HYPERLINK("https://www.google.com/maps/search/?api=1&amp;query=24.58332673,46.77322263", "View Map")</f>
        <v/>
      </c>
    </row>
    <row r="189">
      <c r="A189" t="inlineStr">
        <is>
          <t>ﻤﺴﺎﺠﺩ .</t>
        </is>
      </c>
      <c r="B189" t="inlineStr">
        <is>
          <t>KFM2020660057597</t>
        </is>
      </c>
      <c r="C189" t="inlineStr">
        <is>
          <t>الرياض</t>
        </is>
      </c>
      <c r="D189" t="inlineStr">
        <is>
          <t>كلا الفترتين</t>
        </is>
      </c>
      <c r="E189" t="n">
        <v>7823</v>
      </c>
      <c r="F189" t="b">
        <v>0</v>
      </c>
      <c r="G189">
        <f>HYPERLINK("https://www.google.com/maps/search/?api=1&amp;query=24.83743043,46.79815654", "View Map")</f>
        <v/>
      </c>
    </row>
    <row r="190">
      <c r="A190" t="inlineStr">
        <is>
          <t xml:space="preserve">   جامع/عبدالعزيزبن محمد النصار .</t>
        </is>
      </c>
      <c r="B190" t="inlineStr">
        <is>
          <t>KFM2020660187962</t>
        </is>
      </c>
      <c r="C190" t="inlineStr">
        <is>
          <t>الرياض</t>
        </is>
      </c>
      <c r="D190" t="inlineStr">
        <is>
          <t>كلا الفترتين</t>
        </is>
      </c>
      <c r="E190" t="n">
        <v>7799</v>
      </c>
      <c r="F190" t="b">
        <v>1</v>
      </c>
      <c r="G190">
        <f>HYPERLINK("https://www.google.com/maps/search/?api=1&amp;query=24.81032301,46.61099192", "View Map")</f>
        <v/>
      </c>
    </row>
    <row r="191">
      <c r="A191" t="inlineStr">
        <is>
          <t xml:space="preserve">   مسجد شمال سوق الخضار .</t>
        </is>
      </c>
      <c r="B191" t="inlineStr">
        <is>
          <t>KFM2020660195199</t>
        </is>
      </c>
      <c r="C191" t="inlineStr">
        <is>
          <t>الرياض</t>
        </is>
      </c>
      <c r="D191" t="inlineStr">
        <is>
          <t>كلا الفترتين</t>
        </is>
      </c>
      <c r="E191" t="n">
        <v>7770</v>
      </c>
      <c r="F191" t="b">
        <v>1</v>
      </c>
      <c r="G191">
        <f>HYPERLINK("https://www.google.com/maps/search/?api=1&amp;query=24.70921421,46.76989273", "View Map")</f>
        <v/>
      </c>
    </row>
    <row r="192">
      <c r="A192" t="inlineStr">
        <is>
          <t>ﻤﺴﺎﺠﺩ .</t>
        </is>
      </c>
      <c r="B192" t="inlineStr">
        <is>
          <t>KFM2020660104259</t>
        </is>
      </c>
      <c r="C192" t="inlineStr">
        <is>
          <t>الرياض</t>
        </is>
      </c>
      <c r="D192" t="inlineStr">
        <is>
          <t>كلا الفترتين</t>
        </is>
      </c>
      <c r="E192" t="n">
        <v>7717</v>
      </c>
      <c r="F192" t="b">
        <v>1</v>
      </c>
      <c r="G192">
        <f>HYPERLINK("https://www.google.com/maps/search/?api=1&amp;query=24.81908134,46.6605319", "View Map")</f>
        <v/>
      </c>
    </row>
    <row r="193">
      <c r="A193" t="inlineStr">
        <is>
          <t xml:space="preserve">   مسجد      عبدالله   سكن .</t>
        </is>
      </c>
      <c r="B193" t="inlineStr">
        <is>
          <t>KFM2020660178251</t>
        </is>
      </c>
      <c r="C193" t="inlineStr">
        <is>
          <t>الرياض</t>
        </is>
      </c>
      <c r="D193" t="inlineStr">
        <is>
          <t>كلا الفترتين</t>
        </is>
      </c>
      <c r="E193" t="n">
        <v>7704</v>
      </c>
      <c r="F193" t="b">
        <v>1</v>
      </c>
      <c r="G193">
        <f>HYPERLINK("https://www.google.com/maps/search/?api=1&amp;query=24.78883047,46.73059015", "View Map")</f>
        <v/>
      </c>
    </row>
    <row r="194">
      <c r="A194" t="inlineStr">
        <is>
          <t xml:space="preserve">   مسجد الفاروق .</t>
        </is>
      </c>
      <c r="B194" t="inlineStr">
        <is>
          <t>KFM2020660176777</t>
        </is>
      </c>
      <c r="C194" t="inlineStr">
        <is>
          <t>الرياض</t>
        </is>
      </c>
      <c r="D194" t="inlineStr">
        <is>
          <t>كلا الفترتين</t>
        </is>
      </c>
      <c r="E194" t="n">
        <v>7703</v>
      </c>
      <c r="F194" t="b">
        <v>1</v>
      </c>
      <c r="G194">
        <f>HYPERLINK("https://www.google.com/maps/search/?api=1&amp;query=24.79887,46.74665", "View Map")</f>
        <v/>
      </c>
    </row>
    <row r="195">
      <c r="A195" t="inlineStr">
        <is>
          <t xml:space="preserve">   مسجد      كتاب      العتيبي .</t>
        </is>
      </c>
      <c r="B195" t="inlineStr">
        <is>
          <t>KFM2020660053595</t>
        </is>
      </c>
      <c r="C195" t="inlineStr">
        <is>
          <t>الرياض</t>
        </is>
      </c>
      <c r="D195" t="inlineStr">
        <is>
          <t>كلا الفترتين</t>
        </is>
      </c>
      <c r="E195" t="n">
        <v>7701</v>
      </c>
      <c r="F195" t="b">
        <v>1</v>
      </c>
      <c r="G195">
        <f>HYPERLINK("https://www.google.com/maps/search/?api=1&amp;query=24.8157958,46.79362523", "View Map")</f>
        <v/>
      </c>
    </row>
    <row r="196">
      <c r="A196" t="inlineStr">
        <is>
          <t>ﻭﺯﺍﺭﺓﺍﻟﺸﺌﻭﻥ ﺍﻻﺴﻼﻤﻴﺓﻭﺍﻻﻭﻗﺎﻑ .</t>
        </is>
      </c>
      <c r="B196" t="inlineStr">
        <is>
          <t>KFM2120660270642</t>
        </is>
      </c>
      <c r="C196" t="inlineStr">
        <is>
          <t>الرياض</t>
        </is>
      </c>
      <c r="D196" t="inlineStr">
        <is>
          <t>كلا الفترتين</t>
        </is>
      </c>
      <c r="E196" t="n">
        <v>7699</v>
      </c>
      <c r="F196" t="b">
        <v>1</v>
      </c>
      <c r="G196">
        <f>HYPERLINK("https://www.google.com/maps/search/?api=1&amp;query=24.68074,46.57364", "View Map")</f>
        <v/>
      </c>
    </row>
    <row r="197">
      <c r="A197" t="inlineStr">
        <is>
          <t>مساجد .</t>
        </is>
      </c>
      <c r="B197" t="inlineStr">
        <is>
          <t>KFM2020660008262</t>
        </is>
      </c>
      <c r="C197" t="inlineStr">
        <is>
          <t>الرياض</t>
        </is>
      </c>
      <c r="D197" t="inlineStr">
        <is>
          <t>كلا الفترتين</t>
        </is>
      </c>
      <c r="E197" t="n">
        <v>7682</v>
      </c>
      <c r="F197" t="b">
        <v>1</v>
      </c>
      <c r="G197">
        <f>HYPERLINK("https://www.google.com/maps/search/?api=1&amp;query=24.78503888,46.67786923", "View Map")</f>
        <v/>
      </c>
    </row>
    <row r="198">
      <c r="A198" t="inlineStr">
        <is>
          <t>ﻤﺴﺎﺠﺩ .</t>
        </is>
      </c>
      <c r="B198" t="inlineStr">
        <is>
          <t>SMR2320661033900</t>
        </is>
      </c>
      <c r="C198" t="inlineStr">
        <is>
          <t>الرياض</t>
        </is>
      </c>
      <c r="D198" t="inlineStr">
        <is>
          <t>كلا الفترتين</t>
        </is>
      </c>
      <c r="E198" t="n">
        <v>7658</v>
      </c>
      <c r="F198" t="b">
        <v>1</v>
      </c>
      <c r="G198">
        <f>HYPERLINK("https://www.google.com/maps/search/?api=1&amp;query=24.85319071,46.66450634", "View Map")</f>
        <v/>
      </c>
    </row>
    <row r="199">
      <c r="A199" t="inlineStr">
        <is>
          <t xml:space="preserve">   مسجدالحمد .</t>
        </is>
      </c>
      <c r="B199" t="inlineStr">
        <is>
          <t>KFM2020660190933</t>
        </is>
      </c>
      <c r="C199" t="inlineStr">
        <is>
          <t>الرياض</t>
        </is>
      </c>
      <c r="D199" t="inlineStr">
        <is>
          <t>كلا الفترتين</t>
        </is>
      </c>
      <c r="E199" t="n">
        <v>7623</v>
      </c>
      <c r="F199" t="b">
        <v>0</v>
      </c>
      <c r="G199">
        <f>HYPERLINK("https://www.google.com/maps/search/?api=1&amp;query=24.78992452,46.81871222", "View Map")</f>
        <v/>
      </c>
    </row>
    <row r="200">
      <c r="A200" t="inlineStr">
        <is>
          <t xml:space="preserve">   مسجد الشرفيه .</t>
        </is>
      </c>
      <c r="B200" t="inlineStr">
        <is>
          <t>KFM2020660209243</t>
        </is>
      </c>
      <c r="C200" t="inlineStr">
        <is>
          <t>الرياض</t>
        </is>
      </c>
      <c r="D200" t="inlineStr">
        <is>
          <t>كلا الفترتين</t>
        </is>
      </c>
      <c r="E200" t="n">
        <v>7520</v>
      </c>
      <c r="F200" t="b">
        <v>0</v>
      </c>
      <c r="G200">
        <f>HYPERLINK("https://www.google.com/maps/search/?api=1&amp;query=24.65678285,46.67067659", "View Map")</f>
        <v/>
      </c>
    </row>
    <row r="201">
      <c r="A201" t="inlineStr">
        <is>
          <t xml:space="preserve">   مسجد      عبدالعظيم السكن .</t>
        </is>
      </c>
      <c r="B201" t="inlineStr">
        <is>
          <t>KFM2020660232960</t>
        </is>
      </c>
      <c r="C201" t="inlineStr">
        <is>
          <t>الرياض</t>
        </is>
      </c>
      <c r="D201" t="inlineStr">
        <is>
          <t>كلا الفترتين</t>
        </is>
      </c>
      <c r="E201" t="n">
        <v>7418</v>
      </c>
      <c r="F201" t="b">
        <v>1</v>
      </c>
      <c r="G201">
        <f>HYPERLINK("https://www.google.com/maps/search/?api=1&amp;query=24.79397828,46.77968977", "View Map")</f>
        <v/>
      </c>
    </row>
    <row r="202">
      <c r="A202" t="inlineStr">
        <is>
          <t xml:space="preserve">   مساجد .</t>
        </is>
      </c>
      <c r="B202" t="inlineStr">
        <is>
          <t>KFM2020660031434</t>
        </is>
      </c>
      <c r="C202" t="inlineStr">
        <is>
          <t>الرياض</t>
        </is>
      </c>
      <c r="D202" t="inlineStr">
        <is>
          <t>كلا الفترتين</t>
        </is>
      </c>
      <c r="E202" t="n">
        <v>7395</v>
      </c>
      <c r="F202" t="b">
        <v>1</v>
      </c>
      <c r="G202">
        <f>HYPERLINK("https://www.google.com/maps/search/?api=1&amp;query=24.78065677,46.58766811", "View Map")</f>
        <v/>
      </c>
    </row>
    <row r="203">
      <c r="A203" t="inlineStr">
        <is>
          <t>.    مسجد      السويدي .</t>
        </is>
      </c>
      <c r="B203" t="inlineStr">
        <is>
          <t>KFM2020660199450</t>
        </is>
      </c>
      <c r="C203" t="inlineStr">
        <is>
          <t>الرياض</t>
        </is>
      </c>
      <c r="D203" t="inlineStr">
        <is>
          <t>كلا الفترتين</t>
        </is>
      </c>
      <c r="E203" t="n">
        <v>7363</v>
      </c>
      <c r="F203" t="b">
        <v>1</v>
      </c>
      <c r="G203">
        <f>HYPERLINK("https://www.google.com/maps/search/?api=1&amp;query=24.56246651,46.64444749", "View Map")</f>
        <v/>
      </c>
    </row>
    <row r="204">
      <c r="A204" t="inlineStr">
        <is>
          <t xml:space="preserve">   وزارةالشؤن الاسلاميه مسجدالنخيل غ .</t>
        </is>
      </c>
      <c r="B204" t="inlineStr">
        <is>
          <t>KFM2020660197521</t>
        </is>
      </c>
      <c r="C204" t="inlineStr">
        <is>
          <t>الرياض</t>
        </is>
      </c>
      <c r="D204" t="inlineStr">
        <is>
          <t>كلا الفترتين</t>
        </is>
      </c>
      <c r="E204" t="n">
        <v>7362</v>
      </c>
      <c r="F204" t="b">
        <v>1</v>
      </c>
      <c r="G204">
        <f>HYPERLINK("https://www.google.com/maps/search/?api=1&amp;query=24.73936669,46.60787857", "View Map")</f>
        <v/>
      </c>
    </row>
    <row r="205">
      <c r="A205" t="inlineStr">
        <is>
          <t xml:space="preserve">   مسجد الشيخ سليمان عبدالعزيز .</t>
        </is>
      </c>
      <c r="B205" t="inlineStr">
        <is>
          <t>KFM2120660273771</t>
        </is>
      </c>
      <c r="C205" t="inlineStr">
        <is>
          <t>الرياض</t>
        </is>
      </c>
      <c r="D205" t="inlineStr">
        <is>
          <t>كلا الفترتين</t>
        </is>
      </c>
      <c r="E205" t="n">
        <v>7302</v>
      </c>
      <c r="F205" t="b">
        <v>1</v>
      </c>
      <c r="G205">
        <f>HYPERLINK("https://www.google.com/maps/search/?api=1&amp;query=24.67628728,46.77676379", "View Map")</f>
        <v/>
      </c>
    </row>
    <row r="206">
      <c r="A206" t="inlineStr">
        <is>
          <t>, مسجد      ناصر عبيد .</t>
        </is>
      </c>
      <c r="B206" t="inlineStr">
        <is>
          <t>KFM2020660057815</t>
        </is>
      </c>
      <c r="C206" t="inlineStr">
        <is>
          <t>الرياض</t>
        </is>
      </c>
      <c r="D206" t="inlineStr">
        <is>
          <t>كلا الفترتين</t>
        </is>
      </c>
      <c r="E206" t="n">
        <v>7299</v>
      </c>
      <c r="F206" t="b">
        <v>1</v>
      </c>
      <c r="G206">
        <f>HYPERLINK("https://www.google.com/maps/search/?api=1&amp;query=24.63609762,46.7104271", "View Map")</f>
        <v/>
      </c>
    </row>
    <row r="207">
      <c r="A207" t="inlineStr">
        <is>
          <t xml:space="preserve">   مسجد      محمد      عمران .</t>
        </is>
      </c>
      <c r="B207" t="inlineStr">
        <is>
          <t>KFM2020660227219</t>
        </is>
      </c>
      <c r="C207" t="inlineStr">
        <is>
          <t>الرياض</t>
        </is>
      </c>
      <c r="D207" t="inlineStr">
        <is>
          <t>كلا الفترتين</t>
        </is>
      </c>
      <c r="E207" t="n">
        <v>7282</v>
      </c>
      <c r="F207" t="b">
        <v>1</v>
      </c>
      <c r="G207">
        <f>HYPERLINK("https://www.google.com/maps/search/?api=1&amp;query=24.73037392,46.68446288", "View Map")</f>
        <v/>
      </c>
    </row>
    <row r="208">
      <c r="A208" t="inlineStr">
        <is>
          <t>مسجدالعريفي /صناعية   الموسى .</t>
        </is>
      </c>
      <c r="B208" t="inlineStr">
        <is>
          <t>KFM2020660019453</t>
        </is>
      </c>
      <c r="C208" t="inlineStr">
        <is>
          <t>الرياض</t>
        </is>
      </c>
      <c r="D208" t="inlineStr">
        <is>
          <t>كلا الفترتين</t>
        </is>
      </c>
      <c r="E208" t="n">
        <v>7268</v>
      </c>
      <c r="F208" t="b">
        <v>0</v>
      </c>
      <c r="G208">
        <f>HYPERLINK("https://www.google.com/maps/search/?api=1&amp;query=24.58976787,46.73712067", "View Map")</f>
        <v/>
      </c>
    </row>
    <row r="209">
      <c r="A209" t="inlineStr">
        <is>
          <t>ﻤﺴﺎﺠﺩ .</t>
        </is>
      </c>
      <c r="B209" t="inlineStr">
        <is>
          <t>SMR2220621001186</t>
        </is>
      </c>
      <c r="C209" t="inlineStr">
        <is>
          <t>الرياض</t>
        </is>
      </c>
      <c r="D209" t="inlineStr">
        <is>
          <t>كلا الفترتين</t>
        </is>
      </c>
      <c r="E209" t="n">
        <v>7259</v>
      </c>
      <c r="F209" t="b">
        <v>0</v>
      </c>
      <c r="G209">
        <f>HYPERLINK("https://www.google.com/maps/search/?api=1&amp;query=24.81243589,46.82744311", "View Map")</f>
        <v/>
      </c>
    </row>
    <row r="210">
      <c r="A210" t="inlineStr">
        <is>
          <t>ﻭﺯﺍﺭﺓﺍﻟﺸﺌﻭﻥ ﺍﻻﺴﻼﻤﻴﺓﻭﺍﻻﻭﻗﺎﻑ .</t>
        </is>
      </c>
      <c r="B210" t="inlineStr">
        <is>
          <t>SMR2320661021428</t>
        </is>
      </c>
      <c r="C210" t="inlineStr">
        <is>
          <t>الرياض</t>
        </is>
      </c>
      <c r="D210" t="inlineStr">
        <is>
          <t>كلا الفترتين</t>
        </is>
      </c>
      <c r="E210" t="n">
        <v>7217</v>
      </c>
      <c r="F210" t="b">
        <v>1</v>
      </c>
      <c r="G210">
        <f>HYPERLINK("https://www.google.com/maps/search/?api=1&amp;query=24.56218376,46.57032725", "View Map")</f>
        <v/>
      </c>
    </row>
    <row r="211">
      <c r="A211" t="inlineStr">
        <is>
          <t xml:space="preserve">   مساجد .</t>
        </is>
      </c>
      <c r="B211" t="inlineStr">
        <is>
          <t>KFM2020660171378</t>
        </is>
      </c>
      <c r="C211" t="inlineStr">
        <is>
          <t>الرياض</t>
        </is>
      </c>
      <c r="D211" t="inlineStr">
        <is>
          <t>كلا الفترتين</t>
        </is>
      </c>
      <c r="E211" t="n">
        <v>7193</v>
      </c>
      <c r="F211" t="b">
        <v>1</v>
      </c>
      <c r="G211">
        <f>HYPERLINK("https://www.google.com/maps/search/?api=1&amp;query=24.8277018,46.78878921", "View Map")</f>
        <v/>
      </c>
    </row>
    <row r="212">
      <c r="A212" t="inlineStr">
        <is>
          <t>ﻤﺴﺎﺠﺩ .</t>
        </is>
      </c>
      <c r="B212" t="inlineStr">
        <is>
          <t>KFM2020660187873</t>
        </is>
      </c>
      <c r="C212" t="inlineStr">
        <is>
          <t>الدرعية</t>
        </is>
      </c>
      <c r="D212" t="inlineStr">
        <is>
          <t>كلا الفترتين</t>
        </is>
      </c>
      <c r="E212" t="n">
        <v>7190</v>
      </c>
      <c r="F212" t="b">
        <v>1</v>
      </c>
      <c r="G212">
        <f>HYPERLINK("https://www.google.com/maps/search/?api=1&amp;query=24.77141234,46.58162402", "View Map")</f>
        <v/>
      </c>
    </row>
    <row r="213">
      <c r="A213" t="inlineStr">
        <is>
          <t xml:space="preserve">   مسجد بن ماضي .</t>
        </is>
      </c>
      <c r="B213" t="inlineStr">
        <is>
          <t>KFM2120660276276</t>
        </is>
      </c>
      <c r="C213" t="inlineStr">
        <is>
          <t>الرياض</t>
        </is>
      </c>
      <c r="D213" t="inlineStr">
        <is>
          <t>كلا الفترتين</t>
        </is>
      </c>
      <c r="E213" t="n">
        <v>7189</v>
      </c>
      <c r="F213" t="b">
        <v>1</v>
      </c>
      <c r="G213">
        <f>HYPERLINK("https://www.google.com/maps/search/?api=1&amp;query=24.56722617,46.77511662", "View Map")</f>
        <v/>
      </c>
    </row>
    <row r="214">
      <c r="A214" t="inlineStr">
        <is>
          <t xml:space="preserve">   مسجد وسكن العصيمي .</t>
        </is>
      </c>
      <c r="B214" t="inlineStr">
        <is>
          <t>KFM2020660060654</t>
        </is>
      </c>
      <c r="C214" t="inlineStr">
        <is>
          <t>الرياض</t>
        </is>
      </c>
      <c r="D214" t="inlineStr">
        <is>
          <t>كلا الفترتين</t>
        </is>
      </c>
      <c r="E214" t="n">
        <v>7168</v>
      </c>
      <c r="F214" t="b">
        <v>0</v>
      </c>
      <c r="G214">
        <f>HYPERLINK("https://www.google.com/maps/search/?api=1&amp;query=24.81350778,46.81228237", "View Map")</f>
        <v/>
      </c>
    </row>
    <row r="215">
      <c r="A215" t="inlineStr">
        <is>
          <t>ﻤﺴﺎﺠﺩ .</t>
        </is>
      </c>
      <c r="B215" t="inlineStr">
        <is>
          <t>KFM2120660241089</t>
        </is>
      </c>
      <c r="C215" t="inlineStr">
        <is>
          <t>الرياض</t>
        </is>
      </c>
      <c r="D215" t="inlineStr">
        <is>
          <t>كلا الفترتين</t>
        </is>
      </c>
      <c r="E215" t="n">
        <v>7165</v>
      </c>
      <c r="F215" t="b">
        <v>1</v>
      </c>
      <c r="G215">
        <f>HYPERLINK("https://www.google.com/maps/search/?api=1&amp;query=24.62069505,46.76202884", "View Map")</f>
        <v/>
      </c>
    </row>
    <row r="216">
      <c r="A216" t="inlineStr">
        <is>
          <t>مسجد الامير/ محمد بن عبدالرحمن .</t>
        </is>
      </c>
      <c r="B216" t="inlineStr">
        <is>
          <t>KFM2020660203476</t>
        </is>
      </c>
      <c r="C216" t="inlineStr">
        <is>
          <t>الرياض</t>
        </is>
      </c>
      <c r="D216" t="inlineStr">
        <is>
          <t>كلا الفترتين</t>
        </is>
      </c>
      <c r="E216" t="n">
        <v>7147</v>
      </c>
      <c r="F216" t="b">
        <v>0</v>
      </c>
      <c r="G216">
        <f>HYPERLINK("https://www.google.com/maps/search/?api=1&amp;query=24.6036,46.7025", "View Map")</f>
        <v/>
      </c>
    </row>
    <row r="217">
      <c r="A217" t="inlineStr">
        <is>
          <t xml:space="preserve">   مسجداليمامة .</t>
        </is>
      </c>
      <c r="B217" t="inlineStr">
        <is>
          <t>KFM2020660193542</t>
        </is>
      </c>
      <c r="C217" t="inlineStr">
        <is>
          <t>الرياض</t>
        </is>
      </c>
      <c r="D217" t="inlineStr">
        <is>
          <t>كلا الفترتين</t>
        </is>
      </c>
      <c r="E217" t="n">
        <v>7143</v>
      </c>
      <c r="F217" t="b">
        <v>1</v>
      </c>
      <c r="G217">
        <f>HYPERLINK("https://www.google.com/maps/search/?api=1&amp;query=24.7129834,46.79048354", "View Map")</f>
        <v/>
      </c>
    </row>
    <row r="218">
      <c r="A218" t="inlineStr">
        <is>
          <t>مسجد القحطانى .</t>
        </is>
      </c>
      <c r="B218" t="inlineStr">
        <is>
          <t>KFM2020660015391</t>
        </is>
      </c>
      <c r="C218" t="inlineStr">
        <is>
          <t>الرياض</t>
        </is>
      </c>
      <c r="D218" t="inlineStr">
        <is>
          <t>كلا الفترتين</t>
        </is>
      </c>
      <c r="E218" t="n">
        <v>7130</v>
      </c>
      <c r="F218" t="b">
        <v>1</v>
      </c>
      <c r="G218">
        <f>HYPERLINK("https://www.google.com/maps/search/?api=1&amp;query=24.61438633,46.71976303", "View Map")</f>
        <v/>
      </c>
    </row>
    <row r="219">
      <c r="A219" t="inlineStr">
        <is>
          <t>ﻤﺴﺎﺠﺩ .</t>
        </is>
      </c>
      <c r="B219" t="inlineStr">
        <is>
          <t>KFM2020660174021</t>
        </is>
      </c>
      <c r="C219" t="inlineStr">
        <is>
          <t>الرياض</t>
        </is>
      </c>
      <c r="D219" t="inlineStr">
        <is>
          <t>كلا الفترتين</t>
        </is>
      </c>
      <c r="E219" t="n">
        <v>7099</v>
      </c>
      <c r="F219" t="b">
        <v>1</v>
      </c>
      <c r="G219">
        <f>HYPERLINK("https://www.google.com/maps/search/?api=1&amp;query=24.89540143,46.61677811", "View Map")</f>
        <v/>
      </c>
    </row>
    <row r="220">
      <c r="A220" t="inlineStr">
        <is>
          <t xml:space="preserve">   مساجد .</t>
        </is>
      </c>
      <c r="B220" t="inlineStr">
        <is>
          <t>KFM2020660207289</t>
        </is>
      </c>
      <c r="C220" t="inlineStr">
        <is>
          <t>الرياض</t>
        </is>
      </c>
      <c r="D220" t="inlineStr">
        <is>
          <t>كلا الفترتين</t>
        </is>
      </c>
      <c r="E220" t="n">
        <v>7091</v>
      </c>
      <c r="F220" t="b">
        <v>1</v>
      </c>
      <c r="G220">
        <f>HYPERLINK("https://www.google.com/maps/search/?api=1&amp;query=24.83112837,46.6431487", "View Map")</f>
        <v/>
      </c>
    </row>
    <row r="221">
      <c r="A221" t="inlineStr">
        <is>
          <t xml:space="preserve"> مسجد زيد بن الحارثة مسجدالجربوع .</t>
        </is>
      </c>
      <c r="B221" t="inlineStr">
        <is>
          <t>KFM2020660203418</t>
        </is>
      </c>
      <c r="C221" t="inlineStr">
        <is>
          <t>الرياض</t>
        </is>
      </c>
      <c r="D221" t="inlineStr">
        <is>
          <t>كلا الفترتين</t>
        </is>
      </c>
      <c r="E221" t="n">
        <v>7075</v>
      </c>
      <c r="F221" t="b">
        <v>0</v>
      </c>
      <c r="G221">
        <f>HYPERLINK("https://www.google.com/maps/search/?api=1&amp;query=24.57064654,46.71489436", "View Map")</f>
        <v/>
      </c>
    </row>
    <row r="222">
      <c r="A222" t="inlineStr">
        <is>
          <t>ﻤﺴﺎﺠﺩ .</t>
        </is>
      </c>
      <c r="B222" t="inlineStr">
        <is>
          <t>KFM2020660197195</t>
        </is>
      </c>
      <c r="C222" t="inlineStr">
        <is>
          <t>الرياض</t>
        </is>
      </c>
      <c r="D222" t="inlineStr">
        <is>
          <t>كلا الفترتين</t>
        </is>
      </c>
      <c r="E222" t="n">
        <v>7070</v>
      </c>
      <c r="F222" t="b">
        <v>1</v>
      </c>
      <c r="G222">
        <f>HYPERLINK("https://www.google.com/maps/search/?api=1&amp;query=24.64672947,46.5638687", "View Map")</f>
        <v/>
      </c>
    </row>
    <row r="223">
      <c r="A223" t="inlineStr">
        <is>
          <t xml:space="preserve">   مسجد والدة عبدالعزيز بن سليم .</t>
        </is>
      </c>
      <c r="B223" t="inlineStr">
        <is>
          <t>KFM2020660135549</t>
        </is>
      </c>
      <c r="C223" t="inlineStr">
        <is>
          <t>الرياض</t>
        </is>
      </c>
      <c r="D223" t="inlineStr">
        <is>
          <t>كلا الفترتين</t>
        </is>
      </c>
      <c r="E223" t="n">
        <v>7028</v>
      </c>
      <c r="F223" t="b">
        <v>1</v>
      </c>
      <c r="G223">
        <f>HYPERLINK("https://www.google.com/maps/search/?api=1&amp;query=24.82324652,46.64278055", "View Map")</f>
        <v/>
      </c>
    </row>
    <row r="224">
      <c r="A224" t="inlineStr">
        <is>
          <t xml:space="preserve">   مسجد رقم 5 .</t>
        </is>
      </c>
      <c r="B224" t="inlineStr">
        <is>
          <t>KFM2120660260336</t>
        </is>
      </c>
      <c r="C224" t="inlineStr">
        <is>
          <t>الرياض</t>
        </is>
      </c>
      <c r="D224" t="inlineStr">
        <is>
          <t>كلا الفترتين</t>
        </is>
      </c>
      <c r="E224" t="n">
        <v>6993</v>
      </c>
      <c r="F224" t="b">
        <v>1</v>
      </c>
      <c r="G224">
        <f>HYPERLINK("https://www.google.com/maps/search/?api=1&amp;query=24.6585166,46.80513643", "View Map")</f>
        <v/>
      </c>
    </row>
    <row r="225">
      <c r="A225" t="inlineStr">
        <is>
          <t>ﻤﺴﺎﺠﺩ .</t>
        </is>
      </c>
      <c r="B225" t="inlineStr">
        <is>
          <t>KFM2020660192940</t>
        </is>
      </c>
      <c r="C225" t="inlineStr">
        <is>
          <t>الرياض</t>
        </is>
      </c>
      <c r="D225" t="inlineStr">
        <is>
          <t>كلا الفترتين</t>
        </is>
      </c>
      <c r="E225" t="n">
        <v>6979</v>
      </c>
      <c r="F225" t="b">
        <v>1</v>
      </c>
      <c r="G225">
        <f>HYPERLINK("https://www.google.com/maps/search/?api=1&amp;query=24.84848672,46.81388526", "View Map")</f>
        <v/>
      </c>
    </row>
    <row r="226">
      <c r="A226" t="inlineStr">
        <is>
          <t xml:space="preserve">   مسجد/     ابراهيم   سعيدان .</t>
        </is>
      </c>
      <c r="B226" t="inlineStr">
        <is>
          <t>KFM2020660213507</t>
        </is>
      </c>
      <c r="C226" t="inlineStr">
        <is>
          <t>الرياض</t>
        </is>
      </c>
      <c r="D226" t="inlineStr">
        <is>
          <t>كلا الفترتين</t>
        </is>
      </c>
      <c r="E226" t="n">
        <v>6975</v>
      </c>
      <c r="F226" t="b">
        <v>0</v>
      </c>
      <c r="G226">
        <f>HYPERLINK("https://www.google.com/maps/search/?api=1&amp;query=24.76167728,46.65921951", "View Map")</f>
        <v/>
      </c>
    </row>
    <row r="227">
      <c r="A227" t="inlineStr">
        <is>
          <t xml:space="preserve">   مساجد .</t>
        </is>
      </c>
      <c r="B227" t="inlineStr">
        <is>
          <t>KFM2020660174896</t>
        </is>
      </c>
      <c r="C227" t="inlineStr">
        <is>
          <t>الرياض</t>
        </is>
      </c>
      <c r="D227" t="inlineStr">
        <is>
          <t>كلا الفترتين</t>
        </is>
      </c>
      <c r="E227" t="n">
        <v>6957</v>
      </c>
      <c r="F227" t="b">
        <v>1</v>
      </c>
      <c r="G227">
        <f>HYPERLINK("https://www.google.com/maps/search/?api=1&amp;query=24.81756076,46.77037614", "View Map")</f>
        <v/>
      </c>
    </row>
    <row r="228">
      <c r="A228" t="inlineStr">
        <is>
          <t>مساجد .</t>
        </is>
      </c>
      <c r="B228" t="inlineStr">
        <is>
          <t>KFM2020660211309</t>
        </is>
      </c>
      <c r="C228" t="inlineStr">
        <is>
          <t>الرياض</t>
        </is>
      </c>
      <c r="D228" t="inlineStr">
        <is>
          <t>كلا الفترتين</t>
        </is>
      </c>
      <c r="E228" t="n">
        <v>6927</v>
      </c>
      <c r="F228" t="b">
        <v>1</v>
      </c>
      <c r="G228">
        <f>HYPERLINK("https://www.google.com/maps/search/?api=1&amp;query=24.63540454,46.55433271", "View Map")</f>
        <v/>
      </c>
    </row>
    <row r="229">
      <c r="A229" t="inlineStr">
        <is>
          <t xml:space="preserve">   جامع الاميره الجوهره بن مساعدومرا .</t>
        </is>
      </c>
      <c r="B229" t="inlineStr">
        <is>
          <t>KFM2020660203256</t>
        </is>
      </c>
      <c r="C229" t="inlineStr">
        <is>
          <t>الرياض</t>
        </is>
      </c>
      <c r="D229" t="inlineStr">
        <is>
          <t>كلا الفترتين</t>
        </is>
      </c>
      <c r="E229" t="n">
        <v>6916</v>
      </c>
      <c r="F229" t="b">
        <v>1</v>
      </c>
      <c r="G229">
        <f>HYPERLINK("https://www.google.com/maps/search/?api=1&amp;query=24.79112,46.71663", "View Map")</f>
        <v/>
      </c>
    </row>
    <row r="230">
      <c r="A230" t="inlineStr">
        <is>
          <t>ﻤﺴﺎﺠﺩ .</t>
        </is>
      </c>
      <c r="B230" t="inlineStr">
        <is>
          <t>KFM2120660262247</t>
        </is>
      </c>
      <c r="C230" t="inlineStr">
        <is>
          <t>الرياض</t>
        </is>
      </c>
      <c r="D230" t="inlineStr">
        <is>
          <t>كلا الفترتين</t>
        </is>
      </c>
      <c r="E230" t="n">
        <v>6909</v>
      </c>
      <c r="F230" t="b">
        <v>1</v>
      </c>
      <c r="G230">
        <f>HYPERLINK("https://www.google.com/maps/search/?api=1&amp;query=24.88638,46.60249", "View Map")</f>
        <v/>
      </c>
    </row>
    <row r="231">
      <c r="A231" t="inlineStr">
        <is>
          <t>ﻤﺴﺎﺠﺩ .</t>
        </is>
      </c>
      <c r="B231" t="inlineStr">
        <is>
          <t>SMR2320661030446</t>
        </is>
      </c>
      <c r="C231" t="inlineStr">
        <is>
          <t>الرياض</t>
        </is>
      </c>
      <c r="D231" t="inlineStr">
        <is>
          <t>كلا الفترتين</t>
        </is>
      </c>
      <c r="E231" t="n">
        <v>6903</v>
      </c>
      <c r="F231" t="b">
        <v>1</v>
      </c>
      <c r="G231">
        <f>HYPERLINK("https://www.google.com/maps/search/?api=1&amp;query=24.75067195,46.75744096", "View Map")</f>
        <v/>
      </c>
    </row>
    <row r="232">
      <c r="A232" t="inlineStr">
        <is>
          <t xml:space="preserve">   جامع فهد العويضة .</t>
        </is>
      </c>
      <c r="B232" t="inlineStr">
        <is>
          <t>KFM2120660300169</t>
        </is>
      </c>
      <c r="C232" t="inlineStr">
        <is>
          <t>الرياض</t>
        </is>
      </c>
      <c r="D232" t="inlineStr">
        <is>
          <t>كلا الفترتين</t>
        </is>
      </c>
      <c r="E232" t="n">
        <v>6894</v>
      </c>
      <c r="F232" t="b">
        <v>1</v>
      </c>
      <c r="G232">
        <f>HYPERLINK("https://www.google.com/maps/search/?api=1&amp;query=24.65996461,46.74198876", "View Map")</f>
        <v/>
      </c>
    </row>
    <row r="233">
      <c r="A233" t="inlineStr">
        <is>
          <t xml:space="preserve">   مسجد كريم الشمري .</t>
        </is>
      </c>
      <c r="B233" t="inlineStr">
        <is>
          <t>KFM2020660012502</t>
        </is>
      </c>
      <c r="C233" t="inlineStr">
        <is>
          <t>الرياض</t>
        </is>
      </c>
      <c r="D233" t="inlineStr">
        <is>
          <t>كلا الفترتين</t>
        </is>
      </c>
      <c r="E233" t="n">
        <v>6889</v>
      </c>
      <c r="F233" t="b">
        <v>1</v>
      </c>
      <c r="G233">
        <f>HYPERLINK("https://www.google.com/maps/search/?api=1&amp;query=24.80787682,46.86147383", "View Map")</f>
        <v/>
      </c>
    </row>
    <row r="234">
      <c r="A234" t="inlineStr">
        <is>
          <t>ﻤﺴﺎﺠﺩ .</t>
        </is>
      </c>
      <c r="B234" t="inlineStr">
        <is>
          <t>KFM2020660174861</t>
        </is>
      </c>
      <c r="C234" t="inlineStr">
        <is>
          <t>الرياض</t>
        </is>
      </c>
      <c r="D234" t="inlineStr">
        <is>
          <t>كلا الفترتين</t>
        </is>
      </c>
      <c r="E234" t="n">
        <v>6868</v>
      </c>
      <c r="F234" t="b">
        <v>1</v>
      </c>
      <c r="G234">
        <f>HYPERLINK("https://www.google.com/maps/search/?api=1&amp;query=24.8224203,46.73908315", "View Map")</f>
        <v/>
      </c>
    </row>
    <row r="235">
      <c r="A235" t="inlineStr">
        <is>
          <t xml:space="preserve">   مسجد الحميد .</t>
        </is>
      </c>
      <c r="B235" t="inlineStr">
        <is>
          <t>KFM2120660295057</t>
        </is>
      </c>
      <c r="C235" t="inlineStr">
        <is>
          <t>الرياض</t>
        </is>
      </c>
      <c r="D235" t="inlineStr">
        <is>
          <t>كلا الفترتين</t>
        </is>
      </c>
      <c r="E235" t="n">
        <v>6835</v>
      </c>
      <c r="F235" t="b">
        <v>1</v>
      </c>
      <c r="G235">
        <f>HYPERLINK("https://www.google.com/maps/search/?api=1&amp;query=24.67988475,46.81956778", "View Map")</f>
        <v/>
      </c>
    </row>
    <row r="236">
      <c r="A236" t="inlineStr">
        <is>
          <t xml:space="preserve">   مسجد طيبه النسيم الشرقي .</t>
        </is>
      </c>
      <c r="B236" t="inlineStr">
        <is>
          <t>KFM2020660054560</t>
        </is>
      </c>
      <c r="C236" t="inlineStr">
        <is>
          <t>الرياض</t>
        </is>
      </c>
      <c r="D236" t="inlineStr">
        <is>
          <t>كلا الفترتين</t>
        </is>
      </c>
      <c r="E236" t="n">
        <v>6802</v>
      </c>
      <c r="F236" t="b">
        <v>0</v>
      </c>
      <c r="G236">
        <f>HYPERLINK("https://www.google.com/maps/search/?api=1&amp;query=24.74580983,46.83531074", "View Map")</f>
        <v/>
      </c>
    </row>
    <row r="237">
      <c r="A237" t="inlineStr">
        <is>
          <t xml:space="preserve">   مسجدوالدة خالد بن عمر البلطان .</t>
        </is>
      </c>
      <c r="B237" t="inlineStr">
        <is>
          <t>KFM2020660197653</t>
        </is>
      </c>
      <c r="C237" t="inlineStr">
        <is>
          <t>الرياض</t>
        </is>
      </c>
      <c r="D237" t="inlineStr">
        <is>
          <t>كلا الفترتين</t>
        </is>
      </c>
      <c r="E237" t="n">
        <v>6782</v>
      </c>
      <c r="F237" t="b">
        <v>1</v>
      </c>
      <c r="G237">
        <f>HYPERLINK("https://www.google.com/maps/search/?api=1&amp;query=24.7370575,46.71942659", "View Map")</f>
        <v/>
      </c>
    </row>
    <row r="238">
      <c r="A238" t="inlineStr">
        <is>
          <t xml:space="preserve">   مسجد حي الوادي .</t>
        </is>
      </c>
      <c r="B238" t="inlineStr">
        <is>
          <t>KFM2020660201105</t>
        </is>
      </c>
      <c r="C238" t="inlineStr">
        <is>
          <t>الرياض</t>
        </is>
      </c>
      <c r="D238" t="inlineStr">
        <is>
          <t>كلا الفترتين</t>
        </is>
      </c>
      <c r="E238" t="n">
        <v>6730</v>
      </c>
      <c r="F238" t="b">
        <v>1</v>
      </c>
      <c r="G238">
        <f>HYPERLINK("https://www.google.com/maps/search/?api=1&amp;query=24.79318363,46.69914311", "View Map")</f>
        <v/>
      </c>
    </row>
    <row r="239">
      <c r="A239" t="inlineStr">
        <is>
          <t xml:space="preserve">   مسجد المقيل .</t>
        </is>
      </c>
      <c r="B239" t="inlineStr">
        <is>
          <t>KFM2020660090803</t>
        </is>
      </c>
      <c r="C239" t="inlineStr">
        <is>
          <t>الرياض</t>
        </is>
      </c>
      <c r="D239" t="inlineStr">
        <is>
          <t>كلا الفترتين</t>
        </is>
      </c>
      <c r="E239" t="n">
        <v>6722</v>
      </c>
      <c r="F239" t="b">
        <v>0</v>
      </c>
      <c r="G239">
        <f>HYPERLINK("https://www.google.com/maps/search/?api=1&amp;query=24.72941517,46.64848986", "View Map")</f>
        <v/>
      </c>
    </row>
    <row r="240">
      <c r="A240" t="inlineStr">
        <is>
          <t xml:space="preserve">   مسجد المفدى .</t>
        </is>
      </c>
      <c r="B240" t="inlineStr">
        <is>
          <t>KFM2120660240857</t>
        </is>
      </c>
      <c r="C240" t="inlineStr">
        <is>
          <t>الرياض</t>
        </is>
      </c>
      <c r="D240" t="inlineStr">
        <is>
          <t>كلا الفترتين</t>
        </is>
      </c>
      <c r="E240" t="n">
        <v>6686</v>
      </c>
      <c r="F240" t="b">
        <v>1</v>
      </c>
      <c r="G240">
        <f>HYPERLINK("https://www.google.com/maps/search/?api=1&amp;query=24.81351193,46.63982027", "View Map")</f>
        <v/>
      </c>
    </row>
    <row r="241">
      <c r="A241" t="inlineStr">
        <is>
          <t xml:space="preserve">   مسجد/حمد   محمد     بن سعيدان .</t>
        </is>
      </c>
      <c r="B241" t="inlineStr">
        <is>
          <t>KFM2020660174120</t>
        </is>
      </c>
      <c r="C241" t="inlineStr">
        <is>
          <t>الرياض</t>
        </is>
      </c>
      <c r="D241" t="inlineStr">
        <is>
          <t>كلا الفترتين</t>
        </is>
      </c>
      <c r="E241" t="n">
        <v>6662</v>
      </c>
      <c r="F241" t="b">
        <v>1</v>
      </c>
      <c r="G241">
        <f>HYPERLINK("https://www.google.com/maps/search/?api=1&amp;query=24.75026011,46.67943946", "View Map")</f>
        <v/>
      </c>
    </row>
    <row r="242">
      <c r="A242" t="inlineStr">
        <is>
          <t xml:space="preserve">   مسجد أبوهريره .</t>
        </is>
      </c>
      <c r="B242" t="inlineStr">
        <is>
          <t>KFM2020660056733</t>
        </is>
      </c>
      <c r="C242" t="inlineStr">
        <is>
          <t>الرياض</t>
        </is>
      </c>
      <c r="D242" t="inlineStr">
        <is>
          <t>كلا الفترتين</t>
        </is>
      </c>
      <c r="E242" t="n">
        <v>6627</v>
      </c>
      <c r="F242" t="b">
        <v>1</v>
      </c>
      <c r="G242">
        <f>HYPERLINK("https://www.google.com/maps/search/?api=1&amp;query=24.71939877,46.85284179", "View Map")</f>
        <v/>
      </c>
    </row>
    <row r="243">
      <c r="A243" t="inlineStr">
        <is>
          <t xml:space="preserve">   مسجد الحي السكنى بوزارةالخارجيه .</t>
        </is>
      </c>
      <c r="B243" t="inlineStr">
        <is>
          <t>KFM2020660197124</t>
        </is>
      </c>
      <c r="C243" t="inlineStr">
        <is>
          <t>الرياض</t>
        </is>
      </c>
      <c r="D243" t="inlineStr">
        <is>
          <t>كلا الفترتين</t>
        </is>
      </c>
      <c r="E243" t="n">
        <v>6592</v>
      </c>
      <c r="F243" t="b">
        <v>1</v>
      </c>
      <c r="G243">
        <f>HYPERLINK("https://www.google.com/maps/search/?api=1&amp;query=24.72976975,46.6530934", "View Map")</f>
        <v/>
      </c>
    </row>
    <row r="244">
      <c r="A244" t="inlineStr">
        <is>
          <t xml:space="preserve">  مسجد جمعيه البر الخيريه باالدرعيه .</t>
        </is>
      </c>
      <c r="B244" t="inlineStr">
        <is>
          <t>KFM2120660270649</t>
        </is>
      </c>
      <c r="C244" t="inlineStr">
        <is>
          <t>الدرعية</t>
        </is>
      </c>
      <c r="D244" t="inlineStr">
        <is>
          <t>كلا الفترتين</t>
        </is>
      </c>
      <c r="E244" t="n">
        <v>6590</v>
      </c>
      <c r="F244" t="b">
        <v>1</v>
      </c>
      <c r="G244">
        <f>HYPERLINK("https://www.google.com/maps/search/?api=1&amp;query=24.74555352,46.574474", "View Map")</f>
        <v/>
      </c>
    </row>
    <row r="245">
      <c r="A245" t="inlineStr">
        <is>
          <t xml:space="preserve">   مسجد الدغيثر .</t>
        </is>
      </c>
      <c r="B245" t="inlineStr">
        <is>
          <t>KFM2020660197485</t>
        </is>
      </c>
      <c r="C245" t="inlineStr">
        <is>
          <t>الرياض</t>
        </is>
      </c>
      <c r="D245" t="inlineStr">
        <is>
          <t>كلا الفترتين</t>
        </is>
      </c>
      <c r="E245" t="n">
        <v>6560</v>
      </c>
      <c r="F245" t="b">
        <v>0</v>
      </c>
      <c r="G245">
        <f>HYPERLINK("https://www.google.com/maps/search/?api=1&amp;query=24.7350782,46.64576413", "View Map")</f>
        <v/>
      </c>
    </row>
    <row r="246">
      <c r="A246" t="inlineStr">
        <is>
          <t xml:space="preserve">   مسجد      بحي       ا .</t>
        </is>
      </c>
      <c r="B246" t="inlineStr">
        <is>
          <t>KFM2120660262240</t>
        </is>
      </c>
      <c r="C246" t="inlineStr">
        <is>
          <t>الرياض</t>
        </is>
      </c>
      <c r="D246" t="inlineStr">
        <is>
          <t>كلا الفترتين</t>
        </is>
      </c>
      <c r="E246" t="n">
        <v>6533</v>
      </c>
      <c r="F246" t="b">
        <v>1</v>
      </c>
      <c r="G246">
        <f>HYPERLINK("https://www.google.com/maps/search/?api=1&amp;query=24.67481433,46.64755393", "View Map")</f>
        <v/>
      </c>
    </row>
    <row r="247">
      <c r="A247" t="inlineStr">
        <is>
          <t xml:space="preserve">   مسجدحي الصحافةوسكن الامام والمؤذن .</t>
        </is>
      </c>
      <c r="B247" t="inlineStr">
        <is>
          <t>KFM2020660189549</t>
        </is>
      </c>
      <c r="C247" t="inlineStr">
        <is>
          <t>الرياض</t>
        </is>
      </c>
      <c r="D247" t="inlineStr">
        <is>
          <t>كلا الفترتين</t>
        </is>
      </c>
      <c r="E247" t="n">
        <v>6511</v>
      </c>
      <c r="F247" t="b">
        <v>1</v>
      </c>
      <c r="G247">
        <f>HYPERLINK("https://www.google.com/maps/search/?api=1&amp;query=24.79818718,46.6509949", "View Map")</f>
        <v/>
      </c>
    </row>
    <row r="248">
      <c r="A248" t="inlineStr">
        <is>
          <t xml:space="preserve">   وزارة الشئون الاسلامية والاوقاف .</t>
        </is>
      </c>
      <c r="B248" t="inlineStr">
        <is>
          <t>KFM2020660197492</t>
        </is>
      </c>
      <c r="C248" t="inlineStr">
        <is>
          <t>الرياض</t>
        </is>
      </c>
      <c r="D248" t="inlineStr">
        <is>
          <t>كلا الفترتين</t>
        </is>
      </c>
      <c r="E248" t="n">
        <v>6503</v>
      </c>
      <c r="F248" t="b">
        <v>0</v>
      </c>
      <c r="G248">
        <f>HYPERLINK("https://www.google.com/maps/search/?api=1&amp;query=24.74132,46.61862", "View Map")</f>
        <v/>
      </c>
    </row>
    <row r="249">
      <c r="A249" t="inlineStr">
        <is>
          <t xml:space="preserve">   مسجد الشيخ موفق الميدانى .</t>
        </is>
      </c>
      <c r="B249" t="inlineStr">
        <is>
          <t>KFM2020660167287</t>
        </is>
      </c>
      <c r="C249" t="inlineStr">
        <is>
          <t>الرياض</t>
        </is>
      </c>
      <c r="D249" t="inlineStr">
        <is>
          <t>كلا الفترتين</t>
        </is>
      </c>
      <c r="E249" t="n">
        <v>6471</v>
      </c>
      <c r="F249" t="b">
        <v>1</v>
      </c>
      <c r="G249">
        <f>HYPERLINK("https://www.google.com/maps/search/?api=1&amp;query=24.73232027,46.68662811", "View Map")</f>
        <v/>
      </c>
    </row>
    <row r="250">
      <c r="A250" t="inlineStr">
        <is>
          <t xml:space="preserve">   وزاره الشؤن الاسلاميه ولاوقاف .</t>
        </is>
      </c>
      <c r="B250" t="inlineStr">
        <is>
          <t>KFM2020660224415</t>
        </is>
      </c>
      <c r="C250" t="inlineStr">
        <is>
          <t>الرياض</t>
        </is>
      </c>
      <c r="D250" t="inlineStr">
        <is>
          <t>كلا الفترتين</t>
        </is>
      </c>
      <c r="E250" t="n">
        <v>6452</v>
      </c>
      <c r="F250" t="b">
        <v>1</v>
      </c>
      <c r="G250">
        <f>HYPERLINK("https://www.google.com/maps/search/?api=1&amp;query=24.72321569,46.68044048", "View Map")</f>
        <v/>
      </c>
    </row>
    <row r="251">
      <c r="A251" t="inlineStr">
        <is>
          <t xml:space="preserve">   مسجدلولوةعبدالعزيزالمطوع الصحافة .</t>
        </is>
      </c>
      <c r="B251" t="inlineStr">
        <is>
          <t>KFM2120660262476</t>
        </is>
      </c>
      <c r="C251" t="inlineStr">
        <is>
          <t>الرياض</t>
        </is>
      </c>
      <c r="D251" t="inlineStr">
        <is>
          <t>كلا الفترتين</t>
        </is>
      </c>
      <c r="E251" t="n">
        <v>6446</v>
      </c>
      <c r="F251" t="b">
        <v>1</v>
      </c>
      <c r="G251">
        <f>HYPERLINK("https://www.google.com/maps/search/?api=1&amp;query=24.78821659,46.64503146", "View Map")</f>
        <v/>
      </c>
    </row>
    <row r="252">
      <c r="A252" t="inlineStr">
        <is>
          <t>ﻤﺴﺎﺠﺩ .</t>
        </is>
      </c>
      <c r="B252" t="inlineStr">
        <is>
          <t>KFM2120660262116</t>
        </is>
      </c>
      <c r="C252" t="inlineStr">
        <is>
          <t>الرياض</t>
        </is>
      </c>
      <c r="D252" t="inlineStr">
        <is>
          <t>كلا الفترتين</t>
        </is>
      </c>
      <c r="E252" t="n">
        <v>6412</v>
      </c>
      <c r="F252" t="b">
        <v>1</v>
      </c>
      <c r="G252">
        <f>HYPERLINK("https://www.google.com/maps/search/?api=1&amp;query=24.86698,46.62094", "View Map")</f>
        <v/>
      </c>
    </row>
    <row r="253">
      <c r="A253" t="inlineStr">
        <is>
          <t xml:space="preserve">   مسجد حى النزهه .</t>
        </is>
      </c>
      <c r="B253" t="inlineStr">
        <is>
          <t>KFM2020660173087</t>
        </is>
      </c>
      <c r="C253" t="inlineStr">
        <is>
          <t>الرياض</t>
        </is>
      </c>
      <c r="D253" t="inlineStr">
        <is>
          <t>كلا الفترتين</t>
        </is>
      </c>
      <c r="E253" t="n">
        <v>6395</v>
      </c>
      <c r="F253" t="b">
        <v>1</v>
      </c>
      <c r="G253">
        <f>HYPERLINK("https://www.google.com/maps/search/?api=1&amp;query=24.7549957,46.72114823", "View Map")</f>
        <v/>
      </c>
    </row>
    <row r="254">
      <c r="A254" t="inlineStr">
        <is>
          <t xml:space="preserve">   مسجد      محمد      القاضي .</t>
        </is>
      </c>
      <c r="B254" t="inlineStr">
        <is>
          <t>KFM2020660133790</t>
        </is>
      </c>
      <c r="C254" t="inlineStr">
        <is>
          <t>الرياض</t>
        </is>
      </c>
      <c r="D254" t="inlineStr">
        <is>
          <t>كلا الفترتين</t>
        </is>
      </c>
      <c r="E254" t="n">
        <v>6378</v>
      </c>
      <c r="F254" t="b">
        <v>1</v>
      </c>
      <c r="G254">
        <f>HYPERLINK("https://www.google.com/maps/search/?api=1&amp;query=24.71462786,46.80416291", "View Map")</f>
        <v/>
      </c>
    </row>
    <row r="255">
      <c r="A255" t="inlineStr">
        <is>
          <t xml:space="preserve">   مسجد التوحيد .</t>
        </is>
      </c>
      <c r="B255" t="inlineStr">
        <is>
          <t>KFM2120660271569</t>
        </is>
      </c>
      <c r="C255" t="inlineStr">
        <is>
          <t>الرياض</t>
        </is>
      </c>
      <c r="D255" t="inlineStr">
        <is>
          <t>كلا الفترتين</t>
        </is>
      </c>
      <c r="E255" t="n">
        <v>6372</v>
      </c>
      <c r="F255" t="b">
        <v>1</v>
      </c>
      <c r="G255">
        <f>HYPERLINK("https://www.google.com/maps/search/?api=1&amp;query=24.67036033,46.79370774", "View Map")</f>
        <v/>
      </c>
    </row>
    <row r="256">
      <c r="A256" t="inlineStr">
        <is>
          <t xml:space="preserve">   مسجد وسكن امام ومؤذن مسجدالهاجري .</t>
        </is>
      </c>
      <c r="B256" t="inlineStr">
        <is>
          <t>KFM2020660187615</t>
        </is>
      </c>
      <c r="C256" t="inlineStr">
        <is>
          <t>الدرعية</t>
        </is>
      </c>
      <c r="D256" t="inlineStr">
        <is>
          <t>كلا الفترتين</t>
        </is>
      </c>
      <c r="E256" t="n">
        <v>6361</v>
      </c>
      <c r="F256" t="b">
        <v>1</v>
      </c>
      <c r="G256">
        <f>HYPERLINK("https://www.google.com/maps/search/?api=1&amp;query=24.77574319,46.58338538", "View Map")</f>
        <v/>
      </c>
    </row>
    <row r="257">
      <c r="A257" t="inlineStr">
        <is>
          <t xml:space="preserve">   مسجد المحيسن .</t>
        </is>
      </c>
      <c r="B257" t="inlineStr">
        <is>
          <t>SMR2220661002104</t>
        </is>
      </c>
      <c r="C257" t="inlineStr">
        <is>
          <t>الرياض</t>
        </is>
      </c>
      <c r="D257" t="inlineStr">
        <is>
          <t>كلا الفترتين</t>
        </is>
      </c>
      <c r="E257" t="n">
        <v>6356</v>
      </c>
      <c r="F257" t="b">
        <v>1</v>
      </c>
      <c r="G257">
        <f>HYPERLINK("https://www.google.com/maps/search/?api=1&amp;query=24.68890721,46.77067909", "View Map")</f>
        <v/>
      </c>
    </row>
    <row r="258">
      <c r="A258" t="inlineStr">
        <is>
          <t>مسجد /محمد عبدالعزيز بن عياف .</t>
        </is>
      </c>
      <c r="B258" t="inlineStr">
        <is>
          <t>KFM2020660043964</t>
        </is>
      </c>
      <c r="C258" t="inlineStr">
        <is>
          <t>الرياض</t>
        </is>
      </c>
      <c r="D258" t="inlineStr">
        <is>
          <t>كلا الفترتين</t>
        </is>
      </c>
      <c r="E258" t="n">
        <v>6330</v>
      </c>
      <c r="F258" t="b">
        <v>1</v>
      </c>
      <c r="G258">
        <f>HYPERLINK("https://www.google.com/maps/search/?api=1&amp;query=24.58650894,46.56472162", "View Map")</f>
        <v/>
      </c>
    </row>
    <row r="259">
      <c r="A259" t="inlineStr">
        <is>
          <t>ﻤﺴﺎﺠﺩ .</t>
        </is>
      </c>
      <c r="B259" t="inlineStr">
        <is>
          <t>KFM2120660262527</t>
        </is>
      </c>
      <c r="C259" t="inlineStr">
        <is>
          <t>الرياض</t>
        </is>
      </c>
      <c r="D259" t="inlineStr">
        <is>
          <t>كلا الفترتين</t>
        </is>
      </c>
      <c r="E259" t="n">
        <v>6302</v>
      </c>
      <c r="F259" t="b">
        <v>1</v>
      </c>
      <c r="G259">
        <f>HYPERLINK("https://www.google.com/maps/search/?api=1&amp;query=24.62811641,46.52462515", "View Map")</f>
        <v/>
      </c>
    </row>
    <row r="260">
      <c r="A260" t="inlineStr">
        <is>
          <t>ﻤﺴﺎﺠﺩ .</t>
        </is>
      </c>
      <c r="B260" t="inlineStr">
        <is>
          <t>SMR2220661001854</t>
        </is>
      </c>
      <c r="C260" t="inlineStr">
        <is>
          <t>الرياض</t>
        </is>
      </c>
      <c r="D260" t="inlineStr">
        <is>
          <t>كلا الفترتين</t>
        </is>
      </c>
      <c r="E260" t="n">
        <v>6301</v>
      </c>
      <c r="F260" t="b">
        <v>0</v>
      </c>
      <c r="G260">
        <f>HYPERLINK("https://www.google.com/maps/search/?api=1&amp;query=24.92334319,46.82037301", "View Map")</f>
        <v/>
      </c>
    </row>
    <row r="261">
      <c r="A261" t="inlineStr">
        <is>
          <t xml:space="preserve">   مسجدحى الفلاح .</t>
        </is>
      </c>
      <c r="B261" t="inlineStr">
        <is>
          <t>KFM2020660206424</t>
        </is>
      </c>
      <c r="C261" t="inlineStr">
        <is>
          <t>الرياض</t>
        </is>
      </c>
      <c r="D261" t="inlineStr">
        <is>
          <t>كلا الفترتين</t>
        </is>
      </c>
      <c r="E261" t="n">
        <v>6286</v>
      </c>
      <c r="F261" t="b">
        <v>1</v>
      </c>
      <c r="G261">
        <f>HYPERLINK("https://www.google.com/maps/search/?api=1&amp;query=24.79033084,46.70312404", "View Map")</f>
        <v/>
      </c>
    </row>
    <row r="262">
      <c r="A262" t="inlineStr">
        <is>
          <t>ﻤﺴﺎﺠﺩ .</t>
        </is>
      </c>
      <c r="B262" t="inlineStr">
        <is>
          <t>KFM2020660213001</t>
        </is>
      </c>
      <c r="C262" t="inlineStr">
        <is>
          <t>الرياض</t>
        </is>
      </c>
      <c r="D262" t="inlineStr">
        <is>
          <t>كلا الفترتين</t>
        </is>
      </c>
      <c r="E262" t="n">
        <v>6270</v>
      </c>
      <c r="F262" t="b">
        <v>1</v>
      </c>
      <c r="G262">
        <f>HYPERLINK("https://www.google.com/maps/search/?api=1&amp;query=24.81437163,46.68478694", "View Map")</f>
        <v/>
      </c>
    </row>
    <row r="263">
      <c r="A263" t="inlineStr">
        <is>
          <t xml:space="preserve">   مسجد/الشيخ صالح عبدالله السدلان .</t>
        </is>
      </c>
      <c r="B263" t="inlineStr">
        <is>
          <t>KFM2020660167513</t>
        </is>
      </c>
      <c r="C263" t="inlineStr">
        <is>
          <t>الرياض</t>
        </is>
      </c>
      <c r="D263" t="inlineStr">
        <is>
          <t>كلا الفترتين</t>
        </is>
      </c>
      <c r="E263" t="n">
        <v>6249</v>
      </c>
      <c r="F263" t="b">
        <v>1</v>
      </c>
      <c r="G263">
        <f>HYPERLINK("https://www.google.com/maps/search/?api=1&amp;query=24.77070675,46.71048516", "View Map")</f>
        <v/>
      </c>
    </row>
    <row r="264">
      <c r="A264" t="inlineStr">
        <is>
          <t>مسجد التركى .</t>
        </is>
      </c>
      <c r="B264" t="inlineStr">
        <is>
          <t>KFM2020660034096</t>
        </is>
      </c>
      <c r="C264" t="inlineStr">
        <is>
          <t>الرياض</t>
        </is>
      </c>
      <c r="D264" t="inlineStr">
        <is>
          <t>كلا الفترتين</t>
        </is>
      </c>
      <c r="E264" t="n">
        <v>6240</v>
      </c>
      <c r="F264" t="b">
        <v>0</v>
      </c>
      <c r="G264">
        <f>HYPERLINK("https://www.google.com/maps/search/?api=1&amp;query=24.59055247,46.67017034", "View Map")</f>
        <v/>
      </c>
    </row>
    <row r="265">
      <c r="A265" t="inlineStr">
        <is>
          <t xml:space="preserve">   مسجد حي المحمدية .</t>
        </is>
      </c>
      <c r="B265" t="inlineStr">
        <is>
          <t>KFM2020660188982</t>
        </is>
      </c>
      <c r="C265" t="inlineStr">
        <is>
          <t>الرياض</t>
        </is>
      </c>
      <c r="D265" t="inlineStr">
        <is>
          <t>كلا الفترتين</t>
        </is>
      </c>
      <c r="E265" t="n">
        <v>6204</v>
      </c>
      <c r="F265" t="b">
        <v>1</v>
      </c>
      <c r="G265">
        <f>HYPERLINK("https://www.google.com/maps/search/?api=1&amp;query=24.73033882,46.65855522", "View Map")</f>
        <v/>
      </c>
    </row>
    <row r="266">
      <c r="A266" t="inlineStr">
        <is>
          <t>ﻭﺯﺍﺭﺓﺍﻟﺸﺌﻭﻥ ﺍﻻﺴﻼﻤﻴﺓﻭﺍﻻﻭﻗﺎﻑ .</t>
        </is>
      </c>
      <c r="B266" t="inlineStr">
        <is>
          <t>KFM2020660007883</t>
        </is>
      </c>
      <c r="C266" t="inlineStr">
        <is>
          <t>الرياض</t>
        </is>
      </c>
      <c r="D266" t="inlineStr">
        <is>
          <t>كلا الفترتين</t>
        </is>
      </c>
      <c r="E266" t="n">
        <v>6197</v>
      </c>
      <c r="F266" t="b">
        <v>1</v>
      </c>
      <c r="G266">
        <f>HYPERLINK("https://www.google.com/maps/search/?api=1&amp;query=24.5572,46.5258", "View Map")</f>
        <v/>
      </c>
    </row>
    <row r="267">
      <c r="A267" t="inlineStr">
        <is>
          <t xml:space="preserve">   جامع الامير/ تركي بن عبدالله ال س .</t>
        </is>
      </c>
      <c r="B267" t="inlineStr">
        <is>
          <t>KFM2120660273709</t>
        </is>
      </c>
      <c r="C267" t="inlineStr">
        <is>
          <t>الرياض</t>
        </is>
      </c>
      <c r="D267" t="inlineStr">
        <is>
          <t>كلا الفترتين</t>
        </is>
      </c>
      <c r="E267" t="n">
        <v>6188</v>
      </c>
      <c r="F267" t="b">
        <v>1</v>
      </c>
      <c r="G267">
        <f>HYPERLINK("https://www.google.com/maps/search/?api=1&amp;query=24.71878225,46.7552068", "View Map")</f>
        <v/>
      </c>
    </row>
    <row r="268">
      <c r="A268" t="inlineStr">
        <is>
          <t xml:space="preserve">   مسجد العيسى .</t>
        </is>
      </c>
      <c r="B268" t="inlineStr">
        <is>
          <t>KFM2020660139776</t>
        </is>
      </c>
      <c r="C268" t="inlineStr">
        <is>
          <t>الرياض</t>
        </is>
      </c>
      <c r="D268" t="inlineStr">
        <is>
          <t>كلا الفترتين</t>
        </is>
      </c>
      <c r="E268" t="n">
        <v>6182</v>
      </c>
      <c r="F268" t="b">
        <v>1</v>
      </c>
      <c r="G268">
        <f>HYPERLINK("https://www.google.com/maps/search/?api=1&amp;query=24.72106303,46.78516465", "View Map")</f>
        <v/>
      </c>
    </row>
    <row r="269">
      <c r="A269" t="inlineStr">
        <is>
          <t>ﻭﺯﺍﺭﺓﺍﻟﺸﺌﻭﻥ ﺍﻻﺴﻼﻤﻴﺓﻭﺍﻻﻭﻗﺎﻑ .</t>
        </is>
      </c>
      <c r="B269" t="inlineStr">
        <is>
          <t>KFM2020660171809</t>
        </is>
      </c>
      <c r="C269" t="inlineStr">
        <is>
          <t>الرياض</t>
        </is>
      </c>
      <c r="D269" t="inlineStr">
        <is>
          <t>كلا الفترتين</t>
        </is>
      </c>
      <c r="E269" t="n">
        <v>6175</v>
      </c>
      <c r="F269" t="b">
        <v>1</v>
      </c>
      <c r="G269">
        <f>HYPERLINK("https://www.google.com/maps/search/?api=1&amp;query=24.51386838,46.68149558", "View Map")</f>
        <v/>
      </c>
    </row>
    <row r="270">
      <c r="A270" t="inlineStr">
        <is>
          <t>ﻤﺴﺎﺠﺩ .</t>
        </is>
      </c>
      <c r="B270" t="inlineStr">
        <is>
          <t>MMF2420601016333</t>
        </is>
      </c>
      <c r="C270" t="inlineStr">
        <is>
          <t>الرياض</t>
        </is>
      </c>
      <c r="D270" t="inlineStr">
        <is>
          <t>كلا الفترتين</t>
        </is>
      </c>
      <c r="E270" t="n">
        <v>6170</v>
      </c>
      <c r="F270" t="b">
        <v>1</v>
      </c>
      <c r="G270">
        <f>HYPERLINK("https://www.google.com/maps/search/?api=1&amp;query=0.0,0.0", "View Map")</f>
        <v/>
      </c>
    </row>
    <row r="271">
      <c r="A271" t="inlineStr">
        <is>
          <t>مسجد المصمك .</t>
        </is>
      </c>
      <c r="B271" t="inlineStr">
        <is>
          <t>KFM2020660044537</t>
        </is>
      </c>
      <c r="C271" t="inlineStr">
        <is>
          <t>الرياض</t>
        </is>
      </c>
      <c r="D271" t="inlineStr">
        <is>
          <t>كلا الفترتين</t>
        </is>
      </c>
      <c r="E271" t="n">
        <v>6168</v>
      </c>
      <c r="F271" t="b">
        <v>1</v>
      </c>
      <c r="G271">
        <f>HYPERLINK("https://www.google.com/maps/search/?api=1&amp;query=24.63105049,46.7143999", "View Map")</f>
        <v/>
      </c>
    </row>
    <row r="272">
      <c r="A272" t="inlineStr">
        <is>
          <t xml:space="preserve">   مسجد وسكن الشيخ محمد القاسم .</t>
        </is>
      </c>
      <c r="B272" t="inlineStr">
        <is>
          <t>KFM2020660174333</t>
        </is>
      </c>
      <c r="C272" t="inlineStr">
        <is>
          <t>الرياض</t>
        </is>
      </c>
      <c r="D272" t="inlineStr">
        <is>
          <t>كلا الفترتين</t>
        </is>
      </c>
      <c r="E272" t="n">
        <v>6168</v>
      </c>
      <c r="F272" t="b">
        <v>1</v>
      </c>
      <c r="G272">
        <f>HYPERLINK("https://www.google.com/maps/search/?api=1&amp;query=24.80129235,46.74042935", "View Map")</f>
        <v/>
      </c>
    </row>
    <row r="273">
      <c r="A273" t="inlineStr">
        <is>
          <t>ﻤﺴﺎﺠﺩ .</t>
        </is>
      </c>
      <c r="B273" t="inlineStr">
        <is>
          <t>KFM2020660224402</t>
        </is>
      </c>
      <c r="C273" t="inlineStr">
        <is>
          <t>الدرعية</t>
        </is>
      </c>
      <c r="D273" t="inlineStr">
        <is>
          <t>كلا الفترتين</t>
        </is>
      </c>
      <c r="E273" t="n">
        <v>6162</v>
      </c>
      <c r="F273" t="b">
        <v>1</v>
      </c>
      <c r="G273">
        <f>HYPERLINK("https://www.google.com/maps/search/?api=1&amp;query=24.82563064,46.56039825", "View Map")</f>
        <v/>
      </c>
    </row>
    <row r="274">
      <c r="A274" t="inlineStr">
        <is>
          <t>ﻤﺴﺎﺠﺩ .</t>
        </is>
      </c>
      <c r="B274" t="inlineStr">
        <is>
          <t>KFM2020660195117</t>
        </is>
      </c>
      <c r="C274" t="inlineStr">
        <is>
          <t>الرياض</t>
        </is>
      </c>
      <c r="D274" t="inlineStr">
        <is>
          <t>كلا الفترتين</t>
        </is>
      </c>
      <c r="E274" t="n">
        <v>6130</v>
      </c>
      <c r="F274" t="b">
        <v>1</v>
      </c>
      <c r="G274">
        <f>HYPERLINK("https://www.google.com/maps/search/?api=1&amp;query=24.78706105,46.87565385", "View Map")</f>
        <v/>
      </c>
    </row>
    <row r="275">
      <c r="A275" t="inlineStr">
        <is>
          <t xml:space="preserve">   مسجد جامع حى الفيحاء .</t>
        </is>
      </c>
      <c r="B275" t="inlineStr">
        <is>
          <t>KFM2120660299428</t>
        </is>
      </c>
      <c r="C275" t="inlineStr">
        <is>
          <t>الرياض</t>
        </is>
      </c>
      <c r="D275" t="inlineStr">
        <is>
          <t>كلا الفترتين</t>
        </is>
      </c>
      <c r="E275" t="n">
        <v>6125</v>
      </c>
      <c r="F275" t="b">
        <v>1</v>
      </c>
      <c r="G275">
        <f>HYPERLINK("https://www.google.com/maps/search/?api=1&amp;query=24.68166379,46.80459328", "View Map")</f>
        <v/>
      </c>
    </row>
    <row r="276">
      <c r="A276" t="inlineStr">
        <is>
          <t xml:space="preserve">   مسجد عمر بن سعيد الأنصار .</t>
        </is>
      </c>
      <c r="B276" t="inlineStr">
        <is>
          <t>KFM2020660025552</t>
        </is>
      </c>
      <c r="C276" t="inlineStr">
        <is>
          <t>الرياض</t>
        </is>
      </c>
      <c r="D276" t="inlineStr">
        <is>
          <t>كلا الفترتين</t>
        </is>
      </c>
      <c r="E276" t="n">
        <v>6099</v>
      </c>
      <c r="F276" t="b">
        <v>1</v>
      </c>
      <c r="G276">
        <f>HYPERLINK("https://www.google.com/maps/search/?api=1&amp;query=24.75627161,46.79285684", "View Map")</f>
        <v/>
      </c>
    </row>
    <row r="277">
      <c r="A277" t="inlineStr">
        <is>
          <t>ﻤﺴﺎﺠﺩ .</t>
        </is>
      </c>
      <c r="B277" t="inlineStr">
        <is>
          <t>KFM2020660046513</t>
        </is>
      </c>
      <c r="C277" t="inlineStr">
        <is>
          <t>الرياض</t>
        </is>
      </c>
      <c r="D277" t="inlineStr">
        <is>
          <t>كلا الفترتين</t>
        </is>
      </c>
      <c r="E277" t="n">
        <v>6074</v>
      </c>
      <c r="F277" t="b">
        <v>1</v>
      </c>
      <c r="G277">
        <f>HYPERLINK("https://www.google.com/maps/search/?api=1&amp;query=24.80732227,46.73790035", "View Map")</f>
        <v/>
      </c>
    </row>
    <row r="278">
      <c r="A278" t="inlineStr">
        <is>
          <t>ﻭﺯﺍﺭﺓﺍﻟﺸﺌﻭﻥ ﺍﻻﺴﻼﻤﻴﺓﻭﺍﻻﻭﻗﺎﻑ .</t>
        </is>
      </c>
      <c r="B278" t="inlineStr">
        <is>
          <t>KFM2020660212130</t>
        </is>
      </c>
      <c r="C278" t="inlineStr">
        <is>
          <t>الرياض</t>
        </is>
      </c>
      <c r="D278" t="inlineStr">
        <is>
          <t>كلا الفترتين</t>
        </is>
      </c>
      <c r="E278" t="n">
        <v>6053</v>
      </c>
      <c r="F278" t="b">
        <v>0</v>
      </c>
      <c r="G278">
        <f>HYPERLINK("https://www.google.com/maps/search/?api=1&amp;query=24.67851479,46.57639115", "View Map")</f>
        <v/>
      </c>
    </row>
    <row r="279">
      <c r="A279" t="inlineStr">
        <is>
          <t xml:space="preserve">   مسجد حي الخليج .</t>
        </is>
      </c>
      <c r="B279" t="inlineStr">
        <is>
          <t>KFM2020660190969</t>
        </is>
      </c>
      <c r="C279" t="inlineStr">
        <is>
          <t>الرياض</t>
        </is>
      </c>
      <c r="D279" t="inlineStr">
        <is>
          <t>كلا الفترتين</t>
        </is>
      </c>
      <c r="E279" t="n">
        <v>6045</v>
      </c>
      <c r="F279" t="b">
        <v>1</v>
      </c>
      <c r="G279">
        <f>HYPERLINK("https://www.google.com/maps/search/?api=1&amp;query=24.76978328,46.78655468", "View Map")</f>
        <v/>
      </c>
    </row>
    <row r="280">
      <c r="A280" t="inlineStr">
        <is>
          <t xml:space="preserve">   مسجد نجر غزاي العتيبي .</t>
        </is>
      </c>
      <c r="B280" t="inlineStr">
        <is>
          <t>KFM2020660141907</t>
        </is>
      </c>
      <c r="C280" t="inlineStr">
        <is>
          <t>الرياض</t>
        </is>
      </c>
      <c r="D280" t="inlineStr">
        <is>
          <t>كلا الفترتين</t>
        </is>
      </c>
      <c r="E280" t="n">
        <v>6035</v>
      </c>
      <c r="F280" t="b">
        <v>0</v>
      </c>
      <c r="G280">
        <f>HYPERLINK("https://www.google.com/maps/search/?api=1&amp;query=24.82311751,46.77345016", "View Map")</f>
        <v/>
      </c>
    </row>
    <row r="281">
      <c r="A281" t="inlineStr">
        <is>
          <t>ﻤﺴﺎﺠﺩ .</t>
        </is>
      </c>
      <c r="B281" t="inlineStr">
        <is>
          <t>KFM2020660191363</t>
        </is>
      </c>
      <c r="C281" t="inlineStr">
        <is>
          <t>الدرعية</t>
        </is>
      </c>
      <c r="D281" t="inlineStr">
        <is>
          <t>كلا الفترتين</t>
        </is>
      </c>
      <c r="E281" t="n">
        <v>6029</v>
      </c>
      <c r="F281" t="b">
        <v>0</v>
      </c>
      <c r="G281">
        <f>HYPERLINK("https://www.google.com/maps/search/?api=1&amp;query=24.77969,46.56469", "View Map")</f>
        <v/>
      </c>
    </row>
    <row r="282">
      <c r="A282" t="inlineStr">
        <is>
          <t xml:space="preserve">   مسجدحي الجزيره .</t>
        </is>
      </c>
      <c r="B282" t="inlineStr">
        <is>
          <t>KFM2020660031613</t>
        </is>
      </c>
      <c r="C282" t="inlineStr">
        <is>
          <t>الرياض</t>
        </is>
      </c>
      <c r="D282" t="inlineStr">
        <is>
          <t>كلا الفترتين</t>
        </is>
      </c>
      <c r="E282" t="n">
        <v>6002</v>
      </c>
      <c r="F282" t="b">
        <v>1</v>
      </c>
      <c r="G282">
        <f>HYPERLINK("https://www.google.com/maps/search/?api=1&amp;query=24.68061524,46.7845886", "View Map")</f>
        <v/>
      </c>
    </row>
    <row r="283">
      <c r="A283" t="inlineStr">
        <is>
          <t xml:space="preserve">   مسجد عبدالله البشر .</t>
        </is>
      </c>
      <c r="B283" t="inlineStr">
        <is>
          <t>KFM2120660254671</t>
        </is>
      </c>
      <c r="C283" t="inlineStr">
        <is>
          <t>الرياض</t>
        </is>
      </c>
      <c r="D283" t="inlineStr">
        <is>
          <t>كلا الفترتين</t>
        </is>
      </c>
      <c r="E283" t="n">
        <v>5999</v>
      </c>
      <c r="F283" t="b">
        <v>0</v>
      </c>
      <c r="G283">
        <f>HYPERLINK("https://www.google.com/maps/search/?api=1&amp;query=24.68915115,46.80418445", "View Map")</f>
        <v/>
      </c>
    </row>
    <row r="284">
      <c r="A284" t="inlineStr">
        <is>
          <t>ﻤﺴﺎﺠﺩ .</t>
        </is>
      </c>
      <c r="B284" t="inlineStr">
        <is>
          <t>SMR2420661038802</t>
        </is>
      </c>
      <c r="C284" t="inlineStr">
        <is>
          <t>الرياض</t>
        </is>
      </c>
      <c r="D284" t="inlineStr">
        <is>
          <t>كلا الفترتين</t>
        </is>
      </c>
      <c r="E284" t="n">
        <v>5974</v>
      </c>
      <c r="F284" t="b">
        <v>0</v>
      </c>
      <c r="G284">
        <f>HYPERLINK("https://www.google.com/maps/search/?api=1&amp;query=0.0,0.0", "View Map")</f>
        <v/>
      </c>
    </row>
    <row r="285">
      <c r="A285" t="inlineStr">
        <is>
          <t>مسجد الامير/ محمد بن عبدالعزيز .</t>
        </is>
      </c>
      <c r="B285" t="inlineStr">
        <is>
          <t>KFM2020660197081</t>
        </is>
      </c>
      <c r="C285" t="inlineStr">
        <is>
          <t>الرياض</t>
        </is>
      </c>
      <c r="D285" t="inlineStr">
        <is>
          <t>كلا الفترتين</t>
        </is>
      </c>
      <c r="E285" t="n">
        <v>5974</v>
      </c>
      <c r="F285" t="b">
        <v>1</v>
      </c>
      <c r="G285">
        <f>HYPERLINK("https://www.google.com/maps/search/?api=1&amp;query=24.63454616,46.68208697", "View Map")</f>
        <v/>
      </c>
    </row>
    <row r="286">
      <c r="A286" t="inlineStr">
        <is>
          <t xml:space="preserve">   مسجد العمور .</t>
        </is>
      </c>
      <c r="B286" t="inlineStr">
        <is>
          <t>KFM2120660282664</t>
        </is>
      </c>
      <c r="C286" t="inlineStr">
        <is>
          <t>الرياض</t>
        </is>
      </c>
      <c r="D286" t="inlineStr">
        <is>
          <t>كلا الفترتين</t>
        </is>
      </c>
      <c r="E286" t="n">
        <v>5964</v>
      </c>
      <c r="F286" t="b">
        <v>1</v>
      </c>
      <c r="G286">
        <f>HYPERLINK("https://www.google.com/maps/search/?api=1&amp;query=24.6348789,46.72995099", "View Map")</f>
        <v/>
      </c>
    </row>
    <row r="287">
      <c r="A287" t="inlineStr">
        <is>
          <t xml:space="preserve">   مسجد احمد عبدالقادر .</t>
        </is>
      </c>
      <c r="B287" t="inlineStr">
        <is>
          <t>KFM2020660156098</t>
        </is>
      </c>
      <c r="C287" t="inlineStr">
        <is>
          <t>الرياض</t>
        </is>
      </c>
      <c r="D287" t="inlineStr">
        <is>
          <t>كلا الفترتين</t>
        </is>
      </c>
      <c r="E287" t="n">
        <v>5961</v>
      </c>
      <c r="F287" t="b">
        <v>1</v>
      </c>
      <c r="G287">
        <f>HYPERLINK("https://www.google.com/maps/search/?api=1&amp;query=24.73160227,46.69385327", "View Map")</f>
        <v/>
      </c>
    </row>
    <row r="288">
      <c r="A288" t="inlineStr">
        <is>
          <t xml:space="preserve">   مسجد وسكن والدي محمد الدباسي .</t>
        </is>
      </c>
      <c r="B288" t="inlineStr">
        <is>
          <t>KFM2020660056943</t>
        </is>
      </c>
      <c r="C288" t="inlineStr">
        <is>
          <t>الرياض</t>
        </is>
      </c>
      <c r="D288" t="inlineStr">
        <is>
          <t>كلا الفترتين</t>
        </is>
      </c>
      <c r="E288" t="n">
        <v>5954</v>
      </c>
      <c r="F288" t="b">
        <v>0</v>
      </c>
      <c r="G288">
        <f>HYPERLINK("https://www.google.com/maps/search/?api=1&amp;query=24.73685094,46.76052308", "View Map")</f>
        <v/>
      </c>
    </row>
    <row r="289">
      <c r="A289" t="inlineStr">
        <is>
          <t xml:space="preserve">   مسجدصالح القفاري .</t>
        </is>
      </c>
      <c r="B289" t="inlineStr">
        <is>
          <t>KFM2020660193721</t>
        </is>
      </c>
      <c r="C289" t="inlineStr">
        <is>
          <t>الرياض</t>
        </is>
      </c>
      <c r="D289" t="inlineStr">
        <is>
          <t>كلا الفترتين</t>
        </is>
      </c>
      <c r="E289" t="n">
        <v>5949</v>
      </c>
      <c r="F289" t="b">
        <v>1</v>
      </c>
      <c r="G289">
        <f>HYPERLINK("https://www.google.com/maps/search/?api=1&amp;query=24.69664673,46.81679054", "View Map")</f>
        <v/>
      </c>
    </row>
    <row r="290">
      <c r="A290" t="inlineStr">
        <is>
          <t xml:space="preserve">   مسجد وسكن عبدالمحسن المهيدب .</t>
        </is>
      </c>
      <c r="B290" t="inlineStr">
        <is>
          <t>KFM2020660053319</t>
        </is>
      </c>
      <c r="C290" t="inlineStr">
        <is>
          <t>الرياض</t>
        </is>
      </c>
      <c r="D290" t="inlineStr">
        <is>
          <t>كلا الفترتين</t>
        </is>
      </c>
      <c r="E290" t="n">
        <v>5927</v>
      </c>
      <c r="F290" t="b">
        <v>0</v>
      </c>
      <c r="G290">
        <f>HYPERLINK("https://www.google.com/maps/search/?api=1&amp;query=24.77136132,46.77601617", "View Map")</f>
        <v/>
      </c>
    </row>
    <row r="291">
      <c r="A291" t="inlineStr">
        <is>
          <t xml:space="preserve">   مسجد الفاروق .</t>
        </is>
      </c>
      <c r="B291" t="inlineStr">
        <is>
          <t>KFM2020660171292</t>
        </is>
      </c>
      <c r="C291" t="inlineStr">
        <is>
          <t>الرياض</t>
        </is>
      </c>
      <c r="D291" t="inlineStr">
        <is>
          <t>كلا الفترتين</t>
        </is>
      </c>
      <c r="E291" t="n">
        <v>5922</v>
      </c>
      <c r="F291" t="b">
        <v>1</v>
      </c>
      <c r="G291">
        <f>HYPERLINK("https://www.google.com/maps/search/?api=1&amp;query=24.80349,46.80487", "View Map")</f>
        <v/>
      </c>
    </row>
    <row r="292">
      <c r="A292" t="inlineStr">
        <is>
          <t>جامع سماحة المفتي .</t>
        </is>
      </c>
      <c r="B292" t="inlineStr">
        <is>
          <t>KFM2020660198294</t>
        </is>
      </c>
      <c r="C292" t="inlineStr">
        <is>
          <t>الرياض</t>
        </is>
      </c>
      <c r="D292" t="inlineStr">
        <is>
          <t>كلا الفترتين</t>
        </is>
      </c>
      <c r="E292" t="n">
        <v>5912</v>
      </c>
      <c r="F292" t="b">
        <v>1</v>
      </c>
      <c r="G292">
        <f>HYPERLINK("https://www.google.com/maps/search/?api=1&amp;query=24.63143668,46.55845555", "View Map")</f>
        <v/>
      </c>
    </row>
    <row r="293">
      <c r="A293" t="inlineStr">
        <is>
          <t xml:space="preserve">   مسجد      بن عساكر  . .</t>
        </is>
      </c>
      <c r="B293" t="inlineStr">
        <is>
          <t>SMR2420661038471</t>
        </is>
      </c>
      <c r="C293" t="inlineStr">
        <is>
          <t>الرياض</t>
        </is>
      </c>
      <c r="D293" t="inlineStr">
        <is>
          <t>كلا الفترتين</t>
        </is>
      </c>
      <c r="E293" t="n">
        <v>5895</v>
      </c>
      <c r="F293" t="b">
        <v>0</v>
      </c>
      <c r="G293">
        <f>HYPERLINK("https://www.google.com/maps/search/?api=1&amp;query=24.65306179,46.65133897", "View Map")</f>
        <v/>
      </c>
    </row>
    <row r="294">
      <c r="A294" t="inlineStr">
        <is>
          <t xml:space="preserve">   مسجدالحميدي الهقشاء .</t>
        </is>
      </c>
      <c r="B294" t="inlineStr">
        <is>
          <t>KFM2020660042633</t>
        </is>
      </c>
      <c r="C294" t="inlineStr">
        <is>
          <t>الرياض</t>
        </is>
      </c>
      <c r="D294" t="inlineStr">
        <is>
          <t>كلا الفترتين</t>
        </is>
      </c>
      <c r="E294" t="n">
        <v>5864</v>
      </c>
      <c r="F294" t="b">
        <v>1</v>
      </c>
      <c r="G294">
        <f>HYPERLINK("https://www.google.com/maps/search/?api=1&amp;query=24.73579043,46.85265709", "View Map")</f>
        <v/>
      </c>
    </row>
    <row r="295">
      <c r="A295" t="inlineStr">
        <is>
          <t xml:space="preserve">   مسجدسليمانعبدالله الحماد .</t>
        </is>
      </c>
      <c r="B295" t="inlineStr">
        <is>
          <t>KFM2020660192182</t>
        </is>
      </c>
      <c r="C295" t="inlineStr">
        <is>
          <t>الرياض</t>
        </is>
      </c>
      <c r="D295" t="inlineStr">
        <is>
          <t>كلا الفترتين</t>
        </is>
      </c>
      <c r="E295" t="n">
        <v>5856</v>
      </c>
      <c r="F295" t="b">
        <v>0</v>
      </c>
      <c r="G295">
        <f>HYPERLINK("https://www.google.com/maps/search/?api=1&amp;query=24.76779662,46.63119513", "View Map")</f>
        <v/>
      </c>
    </row>
    <row r="296">
      <c r="A296" t="inlineStr">
        <is>
          <t>ﻤﺴﺎﺠﺩ .</t>
        </is>
      </c>
      <c r="B296" t="inlineStr">
        <is>
          <t>KFM2020660190532</t>
        </is>
      </c>
      <c r="C296" t="inlineStr">
        <is>
          <t>الرياض</t>
        </is>
      </c>
      <c r="D296" t="inlineStr">
        <is>
          <t>كلا الفترتين</t>
        </is>
      </c>
      <c r="E296" t="n">
        <v>5841</v>
      </c>
      <c r="F296" t="b">
        <v>1</v>
      </c>
      <c r="G296">
        <f>HYPERLINK("https://www.google.com/maps/search/?api=1&amp;query=24.82910127,46.63398993", "View Map")</f>
        <v/>
      </c>
    </row>
    <row r="297">
      <c r="A297" t="inlineStr">
        <is>
          <t>ﻤﺴﺎﺠﺩ .</t>
        </is>
      </c>
      <c r="B297" t="inlineStr">
        <is>
          <t>KFM2120655004082</t>
        </is>
      </c>
      <c r="C297" t="inlineStr">
        <is>
          <t>الرياض</t>
        </is>
      </c>
      <c r="D297" t="inlineStr">
        <is>
          <t>كلا الفترتين</t>
        </is>
      </c>
      <c r="E297" t="n">
        <v>5834</v>
      </c>
      <c r="F297" t="b">
        <v>1</v>
      </c>
      <c r="G297">
        <f>HYPERLINK("https://www.google.com/maps/search/?api=1&amp;query=24.8933,46.6367", "View Map")</f>
        <v/>
      </c>
    </row>
    <row r="298">
      <c r="A298" t="inlineStr">
        <is>
          <t xml:space="preserve">   جامع وسكن  حمود اللحيدان .</t>
        </is>
      </c>
      <c r="B298" t="inlineStr">
        <is>
          <t>KFM2020660176371</t>
        </is>
      </c>
      <c r="C298" t="inlineStr">
        <is>
          <t>الرياض</t>
        </is>
      </c>
      <c r="D298" t="inlineStr">
        <is>
          <t>كلا الفترتين</t>
        </is>
      </c>
      <c r="E298" t="n">
        <v>5831</v>
      </c>
      <c r="F298" t="b">
        <v>1</v>
      </c>
      <c r="G298">
        <f>HYPERLINK("https://www.google.com/maps/search/?api=1&amp;query=24.82195567,46.77697875", "View Map")</f>
        <v/>
      </c>
    </row>
    <row r="299">
      <c r="A299" t="inlineStr">
        <is>
          <t>ﻤﺴﺎﺠﺩ .</t>
        </is>
      </c>
      <c r="B299" t="inlineStr">
        <is>
          <t>KFM2120660240911</t>
        </is>
      </c>
      <c r="C299" t="inlineStr">
        <is>
          <t>الرياض</t>
        </is>
      </c>
      <c r="D299" t="inlineStr">
        <is>
          <t>كلا الفترتين</t>
        </is>
      </c>
      <c r="E299" t="n">
        <v>5823</v>
      </c>
      <c r="F299" t="b">
        <v>1</v>
      </c>
      <c r="G299">
        <f>HYPERLINK("https://www.google.com/maps/search/?api=1&amp;query=24.86585165,46.67032626", "View Map")</f>
        <v/>
      </c>
    </row>
    <row r="300">
      <c r="A300" t="inlineStr">
        <is>
          <t xml:space="preserve">   مسجد الامير/ متعب بن عبدالعزيز .</t>
        </is>
      </c>
      <c r="B300" t="inlineStr">
        <is>
          <t>KFM2020660178010</t>
        </is>
      </c>
      <c r="C300" t="inlineStr">
        <is>
          <t>الرياض</t>
        </is>
      </c>
      <c r="D300" t="inlineStr">
        <is>
          <t>كلا الفترتين</t>
        </is>
      </c>
      <c r="E300" t="n">
        <v>5793</v>
      </c>
      <c r="F300" t="b">
        <v>1</v>
      </c>
      <c r="G300">
        <f>HYPERLINK("https://www.google.com/maps/search/?api=1&amp;query=24.65428805,46.74159627", "View Map")</f>
        <v/>
      </c>
    </row>
    <row r="301">
      <c r="A301" t="inlineStr">
        <is>
          <t xml:space="preserve">   مسجد حطين .</t>
        </is>
      </c>
      <c r="B301" t="inlineStr">
        <is>
          <t>KFM2020660193091</t>
        </is>
      </c>
      <c r="C301" t="inlineStr">
        <is>
          <t>الدرعية</t>
        </is>
      </c>
      <c r="D301" t="inlineStr">
        <is>
          <t>كلا الفترتين</t>
        </is>
      </c>
      <c r="E301" t="n">
        <v>5766</v>
      </c>
      <c r="F301" t="b">
        <v>1</v>
      </c>
      <c r="G301">
        <f>HYPERLINK("https://www.google.com/maps/search/?api=1&amp;query=24.74393078,46.59568889", "View Map")</f>
        <v/>
      </c>
    </row>
    <row r="302">
      <c r="A302" t="inlineStr">
        <is>
          <t xml:space="preserve">   وزارة الشئون الا سلا مية والا وقاف .</t>
        </is>
      </c>
      <c r="B302" t="inlineStr">
        <is>
          <t>KFM2020660127836</t>
        </is>
      </c>
      <c r="C302" t="inlineStr">
        <is>
          <t>الرياض</t>
        </is>
      </c>
      <c r="D302" t="inlineStr">
        <is>
          <t>كلا الفترتين</t>
        </is>
      </c>
      <c r="E302" t="n">
        <v>5755</v>
      </c>
      <c r="F302" t="b">
        <v>1</v>
      </c>
      <c r="G302">
        <f>HYPERLINK("https://www.google.com/maps/search/?api=1&amp;query=24.81133093,46.61878903", "View Map")</f>
        <v/>
      </c>
    </row>
    <row r="303">
      <c r="A303" t="inlineStr">
        <is>
          <t xml:space="preserve">   مسجد العواد بحي الربيع .</t>
        </is>
      </c>
      <c r="B303" t="inlineStr">
        <is>
          <t>KFM2120660253065</t>
        </is>
      </c>
      <c r="C303" t="inlineStr">
        <is>
          <t>الرياض</t>
        </is>
      </c>
      <c r="D303" t="inlineStr">
        <is>
          <t>كلا الفترتين</t>
        </is>
      </c>
      <c r="E303" t="n">
        <v>5739</v>
      </c>
      <c r="F303" t="b">
        <v>1</v>
      </c>
      <c r="G303">
        <f>HYPERLINK("https://www.google.com/maps/search/?api=1&amp;query=24.7915941,46.65051766", "View Map")</f>
        <v/>
      </c>
    </row>
    <row r="304">
      <c r="A304" t="inlineStr">
        <is>
          <t xml:space="preserve">   مسجدام المؤمنين  خديجه بنت خويلد .</t>
        </is>
      </c>
      <c r="B304" t="inlineStr">
        <is>
          <t>KFM2020660056935</t>
        </is>
      </c>
      <c r="C304" t="inlineStr">
        <is>
          <t>الرياض</t>
        </is>
      </c>
      <c r="D304" t="inlineStr">
        <is>
          <t>كلا الفترتين</t>
        </is>
      </c>
      <c r="E304" t="n">
        <v>5727</v>
      </c>
      <c r="F304" t="b">
        <v>0</v>
      </c>
      <c r="G304">
        <f>HYPERLINK("https://www.google.com/maps/search/?api=1&amp;query=24.73787535,46.75838404", "View Map")</f>
        <v/>
      </c>
    </row>
    <row r="305">
      <c r="A305" t="inlineStr">
        <is>
          <t>ﻭﺯﺍﺭﺓﺍﻟﺸﺌﻭﻥ ﺍﻻﺴﻼﻤﻴﺓﻭﺍﻻﻭﻗﺎﻑ .</t>
        </is>
      </c>
      <c r="B305" t="inlineStr">
        <is>
          <t>KFM2120660241580</t>
        </is>
      </c>
      <c r="C305" t="inlineStr">
        <is>
          <t>الرياض</t>
        </is>
      </c>
      <c r="D305" t="inlineStr">
        <is>
          <t>كلا الفترتين</t>
        </is>
      </c>
      <c r="E305" t="n">
        <v>5713</v>
      </c>
      <c r="F305" t="b">
        <v>1</v>
      </c>
      <c r="G305">
        <f>HYPERLINK("https://www.google.com/maps/search/?api=1&amp;query=24.56339244,46.59136083", "View Map")</f>
        <v/>
      </c>
    </row>
    <row r="306">
      <c r="A306" t="inlineStr">
        <is>
          <t>مساجد .</t>
        </is>
      </c>
      <c r="B306" t="inlineStr">
        <is>
          <t>KFM2020660202060</t>
        </is>
      </c>
      <c r="C306" t="inlineStr">
        <is>
          <t>الرياض</t>
        </is>
      </c>
      <c r="D306" t="inlineStr">
        <is>
          <t>كلا الفترتين</t>
        </is>
      </c>
      <c r="E306" t="n">
        <v>5711</v>
      </c>
      <c r="F306" t="b">
        <v>1</v>
      </c>
      <c r="G306">
        <f>HYPERLINK("https://www.google.com/maps/search/?api=1&amp;query=24.74195971,46.7134947", "View Map")</f>
        <v/>
      </c>
    </row>
    <row r="307">
      <c r="A307" t="inlineStr">
        <is>
          <t xml:space="preserve">   مسجد فهد الدهمش .</t>
        </is>
      </c>
      <c r="B307" t="inlineStr">
        <is>
          <t>KFM2020660127514</t>
        </is>
      </c>
      <c r="C307" t="inlineStr">
        <is>
          <t>الرياض</t>
        </is>
      </c>
      <c r="D307" t="inlineStr">
        <is>
          <t>كلا الفترتين</t>
        </is>
      </c>
      <c r="E307" t="n">
        <v>5704</v>
      </c>
      <c r="F307" t="b">
        <v>0</v>
      </c>
      <c r="G307">
        <f>HYPERLINK("https://www.google.com/maps/search/?api=1&amp;query=24.81224366,46.66457489", "View Map")</f>
        <v/>
      </c>
    </row>
    <row r="308">
      <c r="A308" t="inlineStr">
        <is>
          <t>ﻤﺴﺎﺠﺩ .</t>
        </is>
      </c>
      <c r="B308" t="inlineStr">
        <is>
          <t>KFM2020660170634</t>
        </is>
      </c>
      <c r="C308" t="inlineStr">
        <is>
          <t>الرياض</t>
        </is>
      </c>
      <c r="D308" t="inlineStr">
        <is>
          <t>كلا الفترتين</t>
        </is>
      </c>
      <c r="E308" t="n">
        <v>5681</v>
      </c>
      <c r="F308" t="b">
        <v>1</v>
      </c>
      <c r="G308">
        <f>HYPERLINK("https://www.google.com/maps/search/?api=1&amp;query=24.83703111,46.77066822", "View Map")</f>
        <v/>
      </c>
    </row>
    <row r="309">
      <c r="A309" t="inlineStr">
        <is>
          <t xml:space="preserve">   مدرسة حبيبه بنت جحش بحى الاسكان .</t>
        </is>
      </c>
      <c r="B309" t="inlineStr">
        <is>
          <t>KFM2020660162807</t>
        </is>
      </c>
      <c r="C309" t="inlineStr">
        <is>
          <t>الرياض</t>
        </is>
      </c>
      <c r="D309" t="inlineStr">
        <is>
          <t>كلا الفترتين</t>
        </is>
      </c>
      <c r="E309" t="n">
        <v>5673</v>
      </c>
      <c r="F309" t="b">
        <v>1</v>
      </c>
      <c r="G309">
        <f>HYPERLINK("https://www.google.com/maps/search/?api=1&amp;query=24.5711092,46.8365653", "View Map")</f>
        <v/>
      </c>
    </row>
    <row r="310">
      <c r="A310" t="inlineStr">
        <is>
          <t xml:space="preserve">   جامع عبدالله ابراهيم الهداب .</t>
        </is>
      </c>
      <c r="B310" t="inlineStr">
        <is>
          <t>KFM2020660208622</t>
        </is>
      </c>
      <c r="C310" t="inlineStr">
        <is>
          <t>الرياض</t>
        </is>
      </c>
      <c r="D310" t="inlineStr">
        <is>
          <t>كلا الفترتين</t>
        </is>
      </c>
      <c r="E310" t="n">
        <v>5665</v>
      </c>
      <c r="F310" t="b">
        <v>1</v>
      </c>
      <c r="G310">
        <f>HYPERLINK("https://www.google.com/maps/search/?api=1&amp;query=24.791792,46.65668941", "View Map")</f>
        <v/>
      </c>
    </row>
    <row r="311">
      <c r="A311" t="inlineStr">
        <is>
          <t>ﻭﺯﺍﺭﺓﺍﻟﺸﺌﻭﻥ ﺍﻻﺴﻼﻤﻴﺓﻭﺍﻻﻭﻗﺎﻑ .</t>
        </is>
      </c>
      <c r="B311" t="inlineStr">
        <is>
          <t>KFM2020660171848</t>
        </is>
      </c>
      <c r="C311" t="inlineStr">
        <is>
          <t>الرياض</t>
        </is>
      </c>
      <c r="D311" t="inlineStr">
        <is>
          <t>كلا الفترتين</t>
        </is>
      </c>
      <c r="E311" t="n">
        <v>5601</v>
      </c>
      <c r="F311" t="b">
        <v>0</v>
      </c>
      <c r="G311">
        <f>HYPERLINK("https://www.google.com/maps/search/?api=1&amp;query=24.51901915,46.6729652", "View Map")</f>
        <v/>
      </c>
    </row>
    <row r="312">
      <c r="A312" t="inlineStr">
        <is>
          <t xml:space="preserve">   مسجد محمد تركي التركي .</t>
        </is>
      </c>
      <c r="B312" t="inlineStr">
        <is>
          <t>KFM2020660178137</t>
        </is>
      </c>
      <c r="C312" t="inlineStr">
        <is>
          <t>الرياض</t>
        </is>
      </c>
      <c r="D312" t="inlineStr">
        <is>
          <t>كلا الفترتين</t>
        </is>
      </c>
      <c r="E312" t="n">
        <v>5569</v>
      </c>
      <c r="F312" t="b">
        <v>1</v>
      </c>
      <c r="G312">
        <f>HYPERLINK("https://www.google.com/maps/search/?api=1&amp;query=24.71145632,46.77691234", "View Map")</f>
        <v/>
      </c>
    </row>
    <row r="313">
      <c r="A313" t="inlineStr">
        <is>
          <t>ﻤﺴﺎﺠﺩ .</t>
        </is>
      </c>
      <c r="B313" t="inlineStr">
        <is>
          <t>KFM2120660237182</t>
        </is>
      </c>
      <c r="C313" t="inlineStr">
        <is>
          <t>الرياض</t>
        </is>
      </c>
      <c r="D313" t="inlineStr">
        <is>
          <t>كلا الفترتين</t>
        </is>
      </c>
      <c r="E313" t="n">
        <v>5559</v>
      </c>
      <c r="F313" t="b">
        <v>1</v>
      </c>
      <c r="G313">
        <f>HYPERLINK("https://www.google.com/maps/search/?api=1&amp;query=24.82624901,46.79934931", "View Map")</f>
        <v/>
      </c>
    </row>
    <row r="314">
      <c r="A314" t="inlineStr">
        <is>
          <t xml:space="preserve">   جامع      عرقة      . .</t>
        </is>
      </c>
      <c r="B314" t="inlineStr">
        <is>
          <t>KFM2120660270676</t>
        </is>
      </c>
      <c r="C314" t="inlineStr">
        <is>
          <t>الرياض</t>
        </is>
      </c>
      <c r="D314" t="inlineStr">
        <is>
          <t>كلا الفترتين</t>
        </is>
      </c>
      <c r="E314" t="n">
        <v>5551</v>
      </c>
      <c r="F314" t="b">
        <v>1</v>
      </c>
      <c r="G314">
        <f>HYPERLINK("https://www.google.com/maps/search/?api=1&amp;query=24.68959386,46.61181068", "View Map")</f>
        <v/>
      </c>
    </row>
    <row r="315">
      <c r="A315" t="inlineStr">
        <is>
          <t>ﻤﺴﺎﺠﺩ .</t>
        </is>
      </c>
      <c r="B315" t="inlineStr">
        <is>
          <t>KFM2120660257373</t>
        </is>
      </c>
      <c r="C315" t="inlineStr">
        <is>
          <t>الرياض</t>
        </is>
      </c>
      <c r="D315" t="inlineStr">
        <is>
          <t>كلا الفترتين</t>
        </is>
      </c>
      <c r="E315" t="n">
        <v>5540</v>
      </c>
      <c r="F315" t="b">
        <v>1</v>
      </c>
      <c r="G315">
        <f>HYPERLINK("https://www.google.com/maps/search/?api=1&amp;query=24.83051913,46.57855565", "View Map")</f>
        <v/>
      </c>
    </row>
    <row r="316">
      <c r="A316" t="inlineStr">
        <is>
          <t xml:space="preserve">   وزارة     الشؤون    مسجد حي عرقه .</t>
        </is>
      </c>
      <c r="B316" t="inlineStr">
        <is>
          <t>KFM2020660097359</t>
        </is>
      </c>
      <c r="C316" t="inlineStr">
        <is>
          <t>الرياض</t>
        </is>
      </c>
      <c r="D316" t="inlineStr">
        <is>
          <t>كلا الفترتين</t>
        </is>
      </c>
      <c r="E316" t="n">
        <v>5512</v>
      </c>
      <c r="F316" t="b">
        <v>1</v>
      </c>
      <c r="G316">
        <f>HYPERLINK("https://www.google.com/maps/search/?api=1&amp;query=24.68607,46.56311", "View Map")</f>
        <v/>
      </c>
    </row>
    <row r="317">
      <c r="A317" t="inlineStr">
        <is>
          <t xml:space="preserve">   مسجد العبري .</t>
        </is>
      </c>
      <c r="B317" t="inlineStr">
        <is>
          <t>KFM2020660145848</t>
        </is>
      </c>
      <c r="C317" t="inlineStr">
        <is>
          <t>الرياض</t>
        </is>
      </c>
      <c r="D317" t="inlineStr">
        <is>
          <t>كلا الفترتين</t>
        </is>
      </c>
      <c r="E317" t="n">
        <v>5487</v>
      </c>
      <c r="F317" t="b">
        <v>1</v>
      </c>
      <c r="G317">
        <f>HYPERLINK("https://www.google.com/maps/search/?api=1&amp;query=24.74151075,46.82299896", "View Map")</f>
        <v/>
      </c>
    </row>
    <row r="318">
      <c r="A318" t="inlineStr">
        <is>
          <t>مسجد حي طريق  ديراب .</t>
        </is>
      </c>
      <c r="B318" t="inlineStr">
        <is>
          <t>KFM2020660200434</t>
        </is>
      </c>
      <c r="C318" t="inlineStr">
        <is>
          <t>الرياض</t>
        </is>
      </c>
      <c r="D318" t="inlineStr">
        <is>
          <t>كلا الفترتين</t>
        </is>
      </c>
      <c r="E318" t="n">
        <v>5480</v>
      </c>
      <c r="F318" t="b">
        <v>1</v>
      </c>
      <c r="G318">
        <f>HYPERLINK("https://www.google.com/maps/search/?api=1&amp;query=24.48979644,46.61598214", "View Map")</f>
        <v/>
      </c>
    </row>
    <row r="319">
      <c r="A319" t="inlineStr">
        <is>
          <t xml:space="preserve">   مسجد عبدالله التركى .</t>
        </is>
      </c>
      <c r="B319" t="inlineStr">
        <is>
          <t>KFM2020660026482</t>
        </is>
      </c>
      <c r="C319" t="inlineStr">
        <is>
          <t>الرياض</t>
        </is>
      </c>
      <c r="D319" t="inlineStr">
        <is>
          <t>كلا الفترتين</t>
        </is>
      </c>
      <c r="E319" t="n">
        <v>5475</v>
      </c>
      <c r="F319" t="b">
        <v>1</v>
      </c>
      <c r="G319">
        <f>HYPERLINK("https://www.google.com/maps/search/?api=1&amp;query=24.73451893,46.65339147", "View Map")</f>
        <v/>
      </c>
    </row>
    <row r="320">
      <c r="A320" t="inlineStr">
        <is>
          <t xml:space="preserve">   جامع الربوة .</t>
        </is>
      </c>
      <c r="B320" t="inlineStr">
        <is>
          <t>KFM2020660234142</t>
        </is>
      </c>
      <c r="C320" t="inlineStr">
        <is>
          <t>الرياض</t>
        </is>
      </c>
      <c r="D320" t="inlineStr">
        <is>
          <t>كلا الفترتين</t>
        </is>
      </c>
      <c r="E320" t="n">
        <v>5471</v>
      </c>
      <c r="F320" t="b">
        <v>0</v>
      </c>
      <c r="G320">
        <f>HYPERLINK("https://www.google.com/maps/search/?api=1&amp;query=24.68369106,46.79342526", "View Map")</f>
        <v/>
      </c>
    </row>
    <row r="321">
      <c r="A321" t="inlineStr">
        <is>
          <t xml:space="preserve">   مسجد حي الا ندلس .</t>
        </is>
      </c>
      <c r="B321" t="inlineStr">
        <is>
          <t>KFM2020660060147</t>
        </is>
      </c>
      <c r="C321" t="inlineStr">
        <is>
          <t>الرياض</t>
        </is>
      </c>
      <c r="D321" t="inlineStr">
        <is>
          <t>كلا الفترتين</t>
        </is>
      </c>
      <c r="E321" t="n">
        <v>5464</v>
      </c>
      <c r="F321" t="b">
        <v>0</v>
      </c>
      <c r="G321">
        <f>HYPERLINK("https://www.google.com/maps/search/?api=1&amp;query=24.74676282,46.77700217", "View Map")</f>
        <v/>
      </c>
    </row>
    <row r="322">
      <c r="A322" t="inlineStr">
        <is>
          <t xml:space="preserve">   مسجد محمد لافي الحربي+ سكن +مدرسه .</t>
        </is>
      </c>
      <c r="B322" t="inlineStr">
        <is>
          <t>KFM2020660176385</t>
        </is>
      </c>
      <c r="C322" t="inlineStr">
        <is>
          <t>الرياض</t>
        </is>
      </c>
      <c r="D322" t="inlineStr">
        <is>
          <t>كلا الفترتين</t>
        </is>
      </c>
      <c r="E322" t="n">
        <v>5456</v>
      </c>
      <c r="F322" t="b">
        <v>1</v>
      </c>
      <c r="G322">
        <f>HYPERLINK("https://www.google.com/maps/search/?api=1&amp;query=24.80039563,46.80001072", "View Map")</f>
        <v/>
      </c>
    </row>
    <row r="323">
      <c r="A323" t="inlineStr">
        <is>
          <t>مسجد الامير متعب بن عبدالله آل سعود .</t>
        </is>
      </c>
      <c r="B323" t="inlineStr">
        <is>
          <t>KFM2120660300106</t>
        </is>
      </c>
      <c r="C323" t="inlineStr">
        <is>
          <t>الرياض</t>
        </is>
      </c>
      <c r="D323" t="inlineStr">
        <is>
          <t>كلا الفترتين</t>
        </is>
      </c>
      <c r="E323" t="n">
        <v>5447</v>
      </c>
      <c r="F323" t="b">
        <v>1</v>
      </c>
      <c r="G323">
        <f>HYPERLINK("https://www.google.com/maps/search/?api=1&amp;query=24.7089,46.7492", "View Map")</f>
        <v/>
      </c>
    </row>
    <row r="324">
      <c r="A324" t="inlineStr">
        <is>
          <t xml:space="preserve">   جامع فالح عبدالرحمن الحارثي .</t>
        </is>
      </c>
      <c r="B324" t="inlineStr">
        <is>
          <t>KFM2120660239068</t>
        </is>
      </c>
      <c r="C324" t="inlineStr">
        <is>
          <t>الرياض</t>
        </is>
      </c>
      <c r="D324" t="inlineStr">
        <is>
          <t>كلا الفترتين</t>
        </is>
      </c>
      <c r="E324" t="n">
        <v>5445</v>
      </c>
      <c r="F324" t="b">
        <v>1</v>
      </c>
      <c r="G324">
        <f>HYPERLINK("https://www.google.com/maps/search/?api=1&amp;query=24.58436535,46.76394362", "View Map")</f>
        <v/>
      </c>
    </row>
    <row r="325">
      <c r="A325" t="inlineStr">
        <is>
          <t xml:space="preserve">   مسجد الأمير عبدالله بن عبدالعزيز .</t>
        </is>
      </c>
      <c r="B325" t="inlineStr">
        <is>
          <t>KFM2020660132573</t>
        </is>
      </c>
      <c r="C325" t="inlineStr">
        <is>
          <t>الرياض</t>
        </is>
      </c>
      <c r="D325" t="inlineStr">
        <is>
          <t>كلا الفترتين</t>
        </is>
      </c>
      <c r="E325" t="n">
        <v>5443</v>
      </c>
      <c r="F325" t="b">
        <v>1</v>
      </c>
      <c r="G325">
        <f>HYPERLINK("https://www.google.com/maps/search/?api=1&amp;query=24.73141341,46.81933181", "View Map")</f>
        <v/>
      </c>
    </row>
    <row r="326">
      <c r="A326" t="inlineStr">
        <is>
          <t>مشروع  الاميرسلمان/4/ مسجد المجمع .</t>
        </is>
      </c>
      <c r="B326" t="inlineStr">
        <is>
          <t>KFM2020660166800</t>
        </is>
      </c>
      <c r="C326" t="inlineStr">
        <is>
          <t>الرياض</t>
        </is>
      </c>
      <c r="D326" t="inlineStr">
        <is>
          <t>كلا الفترتين</t>
        </is>
      </c>
      <c r="E326" t="n">
        <v>5437</v>
      </c>
      <c r="F326" t="b">
        <v>0</v>
      </c>
      <c r="G326">
        <f>HYPERLINK("https://www.google.com/maps/search/?api=1&amp;query=24.6119,46.6864", "View Map")</f>
        <v/>
      </c>
    </row>
    <row r="327">
      <c r="A327" t="inlineStr">
        <is>
          <t xml:space="preserve">   مسجد عبداللهالحيدان .</t>
        </is>
      </c>
      <c r="B327" t="inlineStr">
        <is>
          <t>KFM2020660170786</t>
        </is>
      </c>
      <c r="C327" t="inlineStr">
        <is>
          <t>الرياض</t>
        </is>
      </c>
      <c r="D327" t="inlineStr">
        <is>
          <t>كلا الفترتين</t>
        </is>
      </c>
      <c r="E327" t="n">
        <v>5406</v>
      </c>
      <c r="F327" t="b">
        <v>1</v>
      </c>
      <c r="G327">
        <f>HYPERLINK("https://www.google.com/maps/search/?api=1&amp;query=24.7471122,46.80341236", "View Map")</f>
        <v/>
      </c>
    </row>
    <row r="328">
      <c r="A328" t="inlineStr">
        <is>
          <t>مسجد سعد الكريديسى .</t>
        </is>
      </c>
      <c r="B328" t="inlineStr">
        <is>
          <t>KFM2020660051474</t>
        </is>
      </c>
      <c r="C328" t="inlineStr">
        <is>
          <t>الرياض</t>
        </is>
      </c>
      <c r="D328" t="inlineStr">
        <is>
          <t>كلا الفترتين</t>
        </is>
      </c>
      <c r="E328" t="n">
        <v>5392</v>
      </c>
      <c r="F328" t="b">
        <v>0</v>
      </c>
      <c r="G328">
        <f>HYPERLINK("https://www.google.com/maps/search/?api=1&amp;query=24.58820307,46.61441952", "View Map")</f>
        <v/>
      </c>
    </row>
    <row r="329">
      <c r="A329" t="inlineStr">
        <is>
          <t>مسجد      عبدالعزيز الحمدان .</t>
        </is>
      </c>
      <c r="B329" t="inlineStr">
        <is>
          <t>KFM2020660023421</t>
        </is>
      </c>
      <c r="C329" t="inlineStr">
        <is>
          <t>الرياض</t>
        </is>
      </c>
      <c r="D329" t="inlineStr">
        <is>
          <t>كلا الفترتين</t>
        </is>
      </c>
      <c r="E329" t="n">
        <v>5370</v>
      </c>
      <c r="F329" t="b">
        <v>1</v>
      </c>
      <c r="G329">
        <f>HYPERLINK("https://www.google.com/maps/search/?api=1&amp;query=24.59883664,46.68591839", "View Map")</f>
        <v/>
      </c>
    </row>
    <row r="330">
      <c r="A330" t="inlineStr">
        <is>
          <t xml:space="preserve">   مسجد الا   ندلس و سكنوالمؤذن .</t>
        </is>
      </c>
      <c r="B330" t="inlineStr">
        <is>
          <t>KFM2020660174463</t>
        </is>
      </c>
      <c r="C330" t="inlineStr">
        <is>
          <t>الرياض</t>
        </is>
      </c>
      <c r="D330" t="inlineStr">
        <is>
          <t>كلا الفترتين</t>
        </is>
      </c>
      <c r="E330" t="n">
        <v>5369</v>
      </c>
      <c r="F330" t="b">
        <v>1</v>
      </c>
      <c r="G330">
        <f>HYPERLINK("https://www.google.com/maps/search/?api=1&amp;query=24.73843638,46.79563318", "View Map")</f>
        <v/>
      </c>
    </row>
    <row r="331">
      <c r="A331" t="inlineStr">
        <is>
          <t xml:space="preserve">   مسجد/ سليمان العيسى .</t>
        </is>
      </c>
      <c r="B331" t="inlineStr">
        <is>
          <t>KFM2020660190501</t>
        </is>
      </c>
      <c r="C331" t="inlineStr">
        <is>
          <t>الرياض</t>
        </is>
      </c>
      <c r="D331" t="inlineStr">
        <is>
          <t>كلا الفترتين</t>
        </is>
      </c>
      <c r="E331" t="n">
        <v>5369</v>
      </c>
      <c r="F331" t="b">
        <v>1</v>
      </c>
      <c r="G331">
        <f>HYPERLINK("https://www.google.com/maps/search/?api=1&amp;query=24.78809276,46.64128075", "View Map")</f>
        <v/>
      </c>
    </row>
    <row r="332">
      <c r="A332" t="inlineStr">
        <is>
          <t xml:space="preserve">   مسجد حي بن لادن .</t>
        </is>
      </c>
      <c r="B332" t="inlineStr">
        <is>
          <t>KFM2120660247985</t>
        </is>
      </c>
      <c r="C332" t="inlineStr">
        <is>
          <t>الرياض</t>
        </is>
      </c>
      <c r="D332" t="inlineStr">
        <is>
          <t>كلا الفترتين</t>
        </is>
      </c>
      <c r="E332" t="n">
        <v>5367</v>
      </c>
      <c r="F332" t="b">
        <v>1</v>
      </c>
      <c r="G332">
        <f>HYPERLINK("https://www.google.com/maps/search/?api=1&amp;query=24.68048832,46.75019139", "View Map")</f>
        <v/>
      </c>
    </row>
    <row r="333">
      <c r="A333" t="inlineStr">
        <is>
          <t>مسجدالشيخ  عبدالعزيزبن سحيم .</t>
        </is>
      </c>
      <c r="B333" t="inlineStr">
        <is>
          <t>KFM2020660051637</t>
        </is>
      </c>
      <c r="C333" t="inlineStr">
        <is>
          <t>الرياض</t>
        </is>
      </c>
      <c r="D333" t="inlineStr">
        <is>
          <t>كلا الفترتين</t>
        </is>
      </c>
      <c r="E333" t="n">
        <v>5334</v>
      </c>
      <c r="F333" t="b">
        <v>1</v>
      </c>
      <c r="G333">
        <f>HYPERLINK("https://www.google.com/maps/search/?api=1&amp;query=24.59043053,46.64855906", "View Map")</f>
        <v/>
      </c>
    </row>
    <row r="334">
      <c r="A334" t="inlineStr">
        <is>
          <t>.     مسجد      الجفال .</t>
        </is>
      </c>
      <c r="B334" t="inlineStr">
        <is>
          <t>KFM2020660018905</t>
        </is>
      </c>
      <c r="C334" t="inlineStr">
        <is>
          <t>الرياض</t>
        </is>
      </c>
      <c r="D334" t="inlineStr">
        <is>
          <t>كلا الفترتين</t>
        </is>
      </c>
      <c r="E334" t="n">
        <v>5315</v>
      </c>
      <c r="F334" t="b">
        <v>0</v>
      </c>
      <c r="G334">
        <f>HYPERLINK("https://www.google.com/maps/search/?api=1&amp;query=24.6142033,46.70814639", "View Map")</f>
        <v/>
      </c>
    </row>
    <row r="335">
      <c r="A335" t="inlineStr">
        <is>
          <t xml:space="preserve">   مسجد معاذ بن جبل .</t>
        </is>
      </c>
      <c r="B335" t="inlineStr">
        <is>
          <t>KFM2020660026524</t>
        </is>
      </c>
      <c r="C335" t="inlineStr">
        <is>
          <t>الرياض</t>
        </is>
      </c>
      <c r="D335" t="inlineStr">
        <is>
          <t>كلا الفترتين</t>
        </is>
      </c>
      <c r="E335" t="n">
        <v>5302</v>
      </c>
      <c r="F335" t="b">
        <v>1</v>
      </c>
      <c r="G335">
        <f>HYPERLINK("https://www.google.com/maps/search/?api=1&amp;query=24.70510695,46.66334575", "View Map")</f>
        <v/>
      </c>
    </row>
    <row r="336">
      <c r="A336" t="inlineStr">
        <is>
          <t>ﻭﺯﺍﺭﺓﺍﻟﺸﺌﻭﻥ ﺍﻻﺴﻼﻤﻴﺓﻭﺍﻻﻭﻗﺎﻑ .</t>
        </is>
      </c>
      <c r="B336" t="inlineStr">
        <is>
          <t>KFM2020660025744</t>
        </is>
      </c>
      <c r="C336" t="inlineStr">
        <is>
          <t>الرياض</t>
        </is>
      </c>
      <c r="D336" t="inlineStr">
        <is>
          <t>كلا الفترتين</t>
        </is>
      </c>
      <c r="E336" t="n">
        <v>5300</v>
      </c>
      <c r="F336" t="b">
        <v>1</v>
      </c>
      <c r="G336">
        <f>HYPERLINK("https://www.google.com/maps/search/?api=1&amp;query=24.57958915,46.61910479", "View Map")</f>
        <v/>
      </c>
    </row>
    <row r="337">
      <c r="A337" t="inlineStr">
        <is>
          <t xml:space="preserve"> مسجدجامع الحى السكنى وزارة الخارجيه .</t>
        </is>
      </c>
      <c r="B337" t="inlineStr">
        <is>
          <t>KFM2120660266104</t>
        </is>
      </c>
      <c r="C337" t="inlineStr">
        <is>
          <t>الرياض</t>
        </is>
      </c>
      <c r="D337" t="inlineStr">
        <is>
          <t>كلا الفترتين</t>
        </is>
      </c>
      <c r="E337" t="n">
        <v>5292</v>
      </c>
      <c r="F337" t="b">
        <v>1</v>
      </c>
      <c r="G337">
        <f>HYPERLINK("https://www.google.com/maps/search/?api=1&amp;query=24.72993825,46.65608824", "View Map")</f>
        <v/>
      </c>
    </row>
    <row r="338">
      <c r="A338" t="inlineStr">
        <is>
          <t xml:space="preserve">   مسجد مؤقت      / .</t>
        </is>
      </c>
      <c r="B338" t="inlineStr">
        <is>
          <t>SMR2220661000711</t>
        </is>
      </c>
      <c r="C338" t="inlineStr">
        <is>
          <t>الرياض</t>
        </is>
      </c>
      <c r="D338" t="inlineStr">
        <is>
          <t>كلا الفترتين</t>
        </is>
      </c>
      <c r="E338" t="n">
        <v>5253</v>
      </c>
      <c r="F338" t="b">
        <v>0</v>
      </c>
      <c r="G338">
        <f>HYPERLINK("https://www.google.com/maps/search/?api=1&amp;query=24.75964203,46.78409231", "View Map")</f>
        <v/>
      </c>
    </row>
    <row r="339">
      <c r="A339" t="inlineStr">
        <is>
          <t xml:space="preserve">   جامع الشيخ/فهد بن زرعه .</t>
        </is>
      </c>
      <c r="B339" t="inlineStr">
        <is>
          <t>KFM2020660053110</t>
        </is>
      </c>
      <c r="C339" t="inlineStr">
        <is>
          <t>الرياض</t>
        </is>
      </c>
      <c r="D339" t="inlineStr">
        <is>
          <t>كلا الفترتين</t>
        </is>
      </c>
      <c r="E339" t="n">
        <v>5244</v>
      </c>
      <c r="F339" t="b">
        <v>1</v>
      </c>
      <c r="G339">
        <f>HYPERLINK("https://www.google.com/maps/search/?api=1&amp;query=24.73153205,46.64280987", "View Map")</f>
        <v/>
      </c>
    </row>
    <row r="340">
      <c r="A340" t="inlineStr">
        <is>
          <t xml:space="preserve">   مسجد الفريج .</t>
        </is>
      </c>
      <c r="B340" t="inlineStr">
        <is>
          <t>KFM2020660229825</t>
        </is>
      </c>
      <c r="C340" t="inlineStr">
        <is>
          <t>الرياض</t>
        </is>
      </c>
      <c r="D340" t="inlineStr">
        <is>
          <t>كلا الفترتين</t>
        </is>
      </c>
      <c r="E340" t="n">
        <v>5243</v>
      </c>
      <c r="F340" t="b">
        <v>1</v>
      </c>
      <c r="G340">
        <f>HYPERLINK("https://www.google.com/maps/search/?api=1&amp;query=24.72332361,46.79331423", "View Map")</f>
        <v/>
      </c>
    </row>
    <row r="341">
      <c r="A341" t="inlineStr">
        <is>
          <t>ﻤﺴﺎﺠﺩ .</t>
        </is>
      </c>
      <c r="B341" t="inlineStr">
        <is>
          <t>KFM2120660255402</t>
        </is>
      </c>
      <c r="C341" t="inlineStr">
        <is>
          <t>الرياض</t>
        </is>
      </c>
      <c r="D341" t="inlineStr">
        <is>
          <t>كلا الفترتين</t>
        </is>
      </c>
      <c r="E341" t="n">
        <v>5213</v>
      </c>
      <c r="F341" t="b">
        <v>1</v>
      </c>
      <c r="G341">
        <f>HYPERLINK("https://www.google.com/maps/search/?api=1&amp;query=24.83797343,46.60331339", "View Map")</f>
        <v/>
      </c>
    </row>
    <row r="342">
      <c r="A342" t="inlineStr">
        <is>
          <t>ﻤﺴﺎﺠﺩ .</t>
        </is>
      </c>
      <c r="B342" t="inlineStr">
        <is>
          <t>KFM2020660053322</t>
        </is>
      </c>
      <c r="C342" t="inlineStr">
        <is>
          <t>الرياض</t>
        </is>
      </c>
      <c r="D342" t="inlineStr">
        <is>
          <t>كلا الفترتين</t>
        </is>
      </c>
      <c r="E342" t="n">
        <v>5158</v>
      </c>
      <c r="F342" t="b">
        <v>1</v>
      </c>
      <c r="G342">
        <f>HYPERLINK("https://www.google.com/maps/search/?api=1&amp;query=24.79414024,46.73328974", "View Map")</f>
        <v/>
      </c>
    </row>
    <row r="343">
      <c r="A343" t="inlineStr">
        <is>
          <t xml:space="preserve">   مساجد .</t>
        </is>
      </c>
      <c r="B343" t="inlineStr">
        <is>
          <t>KFM2020660190339</t>
        </is>
      </c>
      <c r="C343" t="inlineStr">
        <is>
          <t>الرياض</t>
        </is>
      </c>
      <c r="D343" t="inlineStr">
        <is>
          <t>كلا الفترتين</t>
        </is>
      </c>
      <c r="E343" t="n">
        <v>5147</v>
      </c>
      <c r="F343" t="b">
        <v>1</v>
      </c>
      <c r="G343">
        <f>HYPERLINK("https://www.google.com/maps/search/?api=1&amp;query=24.82942092,46.68542883", "View Map")</f>
        <v/>
      </c>
    </row>
    <row r="344">
      <c r="A344" t="inlineStr">
        <is>
          <t xml:space="preserve">   مسجدالصانع بحي الصحافة .</t>
        </is>
      </c>
      <c r="B344" t="inlineStr">
        <is>
          <t>KFM2120660302243</t>
        </is>
      </c>
      <c r="C344" t="inlineStr">
        <is>
          <t>الرياض</t>
        </is>
      </c>
      <c r="D344" t="inlineStr">
        <is>
          <t>كلا الفترتين</t>
        </is>
      </c>
      <c r="E344" t="n">
        <v>5147</v>
      </c>
      <c r="F344" t="b">
        <v>1</v>
      </c>
      <c r="G344">
        <f>HYPERLINK("https://www.google.com/maps/search/?api=1&amp;query=24.80083616,46.64942101", "View Map")</f>
        <v/>
      </c>
    </row>
    <row r="345">
      <c r="A345" t="inlineStr">
        <is>
          <t xml:space="preserve">   مسجد جنوب الروضه .</t>
        </is>
      </c>
      <c r="B345" t="inlineStr">
        <is>
          <t>KFM2020660054544</t>
        </is>
      </c>
      <c r="C345" t="inlineStr">
        <is>
          <t>الرياض</t>
        </is>
      </c>
      <c r="D345" t="inlineStr">
        <is>
          <t>كلا الفترتين</t>
        </is>
      </c>
      <c r="E345" t="n">
        <v>5130</v>
      </c>
      <c r="F345" t="b">
        <v>0</v>
      </c>
      <c r="G345">
        <f>HYPERLINK("https://www.google.com/maps/search/?api=1&amp;query=24.7259181,46.77115791", "View Map")</f>
        <v/>
      </c>
    </row>
    <row r="346">
      <c r="A346" t="inlineStr">
        <is>
          <t xml:space="preserve">   مسجد      الشيخ     الراجحى .</t>
        </is>
      </c>
      <c r="B346" t="inlineStr">
        <is>
          <t>KFM2020660214067</t>
        </is>
      </c>
      <c r="C346" t="inlineStr">
        <is>
          <t>الرياض</t>
        </is>
      </c>
      <c r="D346" t="inlineStr">
        <is>
          <t>كلا الفترتين</t>
        </is>
      </c>
      <c r="E346" t="n">
        <v>5116</v>
      </c>
      <c r="F346" t="b">
        <v>1</v>
      </c>
      <c r="G346">
        <f>HYPERLINK("https://www.google.com/maps/search/?api=1&amp;query=24.8161,46.6872", "View Map")</f>
        <v/>
      </c>
    </row>
    <row r="347">
      <c r="A347" t="inlineStr">
        <is>
          <t xml:space="preserve">   مسجد      حسين      ال الشيخ .</t>
        </is>
      </c>
      <c r="B347" t="inlineStr">
        <is>
          <t>KFM2020660012239</t>
        </is>
      </c>
      <c r="C347" t="inlineStr">
        <is>
          <t>الرياض</t>
        </is>
      </c>
      <c r="D347" t="inlineStr">
        <is>
          <t>كلا الفترتين</t>
        </is>
      </c>
      <c r="E347" t="n">
        <v>5112</v>
      </c>
      <c r="F347" t="b">
        <v>1</v>
      </c>
      <c r="G347">
        <f>HYPERLINK("https://www.google.com/maps/search/?api=1&amp;query=24.7378628,46.61243436", "View Map")</f>
        <v/>
      </c>
    </row>
    <row r="348">
      <c r="A348" t="inlineStr">
        <is>
          <t xml:space="preserve">   مسجد السليمانيه .</t>
        </is>
      </c>
      <c r="B348" t="inlineStr">
        <is>
          <t>KFM2020660165852</t>
        </is>
      </c>
      <c r="C348" t="inlineStr">
        <is>
          <t>الرياض</t>
        </is>
      </c>
      <c r="D348" t="inlineStr">
        <is>
          <t>كلا الفترتين</t>
        </is>
      </c>
      <c r="E348" t="n">
        <v>5105</v>
      </c>
      <c r="F348" t="b">
        <v>1</v>
      </c>
      <c r="G348">
        <f>HYPERLINK("https://www.google.com/maps/search/?api=1&amp;query=24.71016165,46.69043979", "View Map")</f>
        <v/>
      </c>
    </row>
    <row r="349">
      <c r="A349" t="inlineStr">
        <is>
          <t xml:space="preserve">   مسجد الصديق .</t>
        </is>
      </c>
      <c r="B349" t="inlineStr">
        <is>
          <t>KFM2020660129800</t>
        </is>
      </c>
      <c r="C349" t="inlineStr">
        <is>
          <t>الرياض</t>
        </is>
      </c>
      <c r="D349" t="inlineStr">
        <is>
          <t>كلا الفترتين</t>
        </is>
      </c>
      <c r="E349" t="n">
        <v>5105</v>
      </c>
      <c r="F349" t="b">
        <v>1</v>
      </c>
      <c r="G349">
        <f>HYPERLINK("https://www.google.com/maps/search/?api=1&amp;query=24.69646524,46.78867533", "View Map")</f>
        <v/>
      </c>
    </row>
    <row r="350">
      <c r="A350" t="inlineStr">
        <is>
          <t>مسجد صالح  الصانع .</t>
        </is>
      </c>
      <c r="B350" t="inlineStr">
        <is>
          <t>KFM2020660200899</t>
        </is>
      </c>
      <c r="C350" t="inlineStr">
        <is>
          <t>الرياض</t>
        </is>
      </c>
      <c r="D350" t="inlineStr">
        <is>
          <t>كلا الفترتين</t>
        </is>
      </c>
      <c r="E350" t="n">
        <v>5094</v>
      </c>
      <c r="F350" t="b">
        <v>1</v>
      </c>
      <c r="G350">
        <f>HYPERLINK("https://www.google.com/maps/search/?api=1&amp;query=24.58584592,46.66717194", "View Map")</f>
        <v/>
      </c>
    </row>
    <row r="351">
      <c r="A351" t="inlineStr">
        <is>
          <t>ﻤﺴﺎﺠﺩ .</t>
        </is>
      </c>
      <c r="B351" t="inlineStr">
        <is>
          <t>KFM2020660201954</t>
        </is>
      </c>
      <c r="C351" t="inlineStr">
        <is>
          <t>الرياض</t>
        </is>
      </c>
      <c r="D351" t="inlineStr">
        <is>
          <t>كلا الفترتين</t>
        </is>
      </c>
      <c r="E351" t="n">
        <v>5093</v>
      </c>
      <c r="F351" t="b">
        <v>1</v>
      </c>
      <c r="G351">
        <f>HYPERLINK("https://www.google.com/maps/search/?api=1&amp;query=24.85604,46.6519", "View Map")</f>
        <v/>
      </c>
    </row>
    <row r="352">
      <c r="A352" t="inlineStr">
        <is>
          <t xml:space="preserve">   مسجد حي العقيق .</t>
        </is>
      </c>
      <c r="B352" t="inlineStr">
        <is>
          <t>KFM2120660302037</t>
        </is>
      </c>
      <c r="C352" t="inlineStr">
        <is>
          <t>الرياض</t>
        </is>
      </c>
      <c r="D352" t="inlineStr">
        <is>
          <t>كلا الفترتين</t>
        </is>
      </c>
      <c r="E352" t="n">
        <v>5087</v>
      </c>
      <c r="F352" t="b">
        <v>1</v>
      </c>
      <c r="G352">
        <f>HYPERLINK("https://www.google.com/maps/search/?api=1&amp;query=24.77926497,46.62438618", "View Map")</f>
        <v/>
      </c>
    </row>
    <row r="353">
      <c r="A353" t="inlineStr">
        <is>
          <t xml:space="preserve">   بيت الامام المسجد ا .</t>
        </is>
      </c>
      <c r="B353" t="inlineStr">
        <is>
          <t>KFM2020660188582</t>
        </is>
      </c>
      <c r="C353" t="inlineStr">
        <is>
          <t>الرياض</t>
        </is>
      </c>
      <c r="D353" t="inlineStr">
        <is>
          <t>كلا الفترتين</t>
        </is>
      </c>
      <c r="E353" t="n">
        <v>5084</v>
      </c>
      <c r="F353" t="b">
        <v>1</v>
      </c>
      <c r="G353">
        <f>HYPERLINK("https://www.google.com/maps/search/?api=1&amp;query=24.67828762,46.64568013", "View Map")</f>
        <v/>
      </c>
    </row>
    <row r="354">
      <c r="A354" t="inlineStr">
        <is>
          <t xml:space="preserve">   مسجد      لطيفه     ال الشيخ .</t>
        </is>
      </c>
      <c r="B354" t="inlineStr">
        <is>
          <t>KFM2020660190936</t>
        </is>
      </c>
      <c r="C354" t="inlineStr">
        <is>
          <t>الرياض</t>
        </is>
      </c>
      <c r="D354" t="inlineStr">
        <is>
          <t>كلا الفترتين</t>
        </is>
      </c>
      <c r="E354" t="n">
        <v>5079</v>
      </c>
      <c r="F354" t="b">
        <v>1</v>
      </c>
      <c r="G354">
        <f>HYPERLINK("https://www.google.com/maps/search/?api=1&amp;query=24.78604308,46.76298235", "View Map")</f>
        <v/>
      </c>
    </row>
    <row r="355">
      <c r="A355" t="inlineStr">
        <is>
          <t xml:space="preserve">   مساجد .</t>
        </is>
      </c>
      <c r="B355" t="inlineStr">
        <is>
          <t>KFM2020660154705</t>
        </is>
      </c>
      <c r="C355" t="inlineStr">
        <is>
          <t>الرياض</t>
        </is>
      </c>
      <c r="D355" t="inlineStr">
        <is>
          <t>كلا الفترتين</t>
        </is>
      </c>
      <c r="E355" t="n">
        <v>5073</v>
      </c>
      <c r="F355" t="b">
        <v>1</v>
      </c>
      <c r="G355">
        <f>HYPERLINK("https://www.google.com/maps/search/?api=1&amp;query=24.83148734,46.88593313", "View Map")</f>
        <v/>
      </c>
    </row>
    <row r="356">
      <c r="A356" t="inlineStr">
        <is>
          <t xml:space="preserve">   مسجد جامع العزيزية .</t>
        </is>
      </c>
      <c r="B356" t="inlineStr">
        <is>
          <t>KFM2120660299250</t>
        </is>
      </c>
      <c r="C356" t="inlineStr">
        <is>
          <t>الرياض</t>
        </is>
      </c>
      <c r="D356" t="inlineStr">
        <is>
          <t>كلا الفترتين</t>
        </is>
      </c>
      <c r="E356" t="n">
        <v>5070</v>
      </c>
      <c r="F356" t="b">
        <v>1</v>
      </c>
      <c r="G356">
        <f>HYPERLINK("https://www.google.com/maps/search/?api=1&amp;query=24.5901523,46.77267602", "View Map")</f>
        <v/>
      </c>
    </row>
    <row r="357">
      <c r="A357" t="inlineStr">
        <is>
          <t xml:space="preserve">   مسجد خالد بن الوليد .</t>
        </is>
      </c>
      <c r="B357" t="inlineStr">
        <is>
          <t>KFM2020660193485</t>
        </is>
      </c>
      <c r="C357" t="inlineStr">
        <is>
          <t>الرياض</t>
        </is>
      </c>
      <c r="D357" t="inlineStr">
        <is>
          <t>كلا الفترتين</t>
        </is>
      </c>
      <c r="E357" t="n">
        <v>5045</v>
      </c>
      <c r="F357" t="b">
        <v>0</v>
      </c>
      <c r="G357">
        <f>HYPERLINK("https://www.google.com/maps/search/?api=1&amp;query=24.69569309,46.86418031", "View Map")</f>
        <v/>
      </c>
    </row>
    <row r="358">
      <c r="A358" t="inlineStr">
        <is>
          <t>ﻤﺴﺎﺠﺩ .</t>
        </is>
      </c>
      <c r="B358" t="inlineStr">
        <is>
          <t>KFM2020660232973</t>
        </is>
      </c>
      <c r="C358" t="inlineStr">
        <is>
          <t>الرياض</t>
        </is>
      </c>
      <c r="D358" t="inlineStr">
        <is>
          <t>كلا الفترتين</t>
        </is>
      </c>
      <c r="E358" t="n">
        <v>5044</v>
      </c>
      <c r="F358" t="b">
        <v>1</v>
      </c>
      <c r="G358">
        <f>HYPERLINK("https://www.google.com/maps/search/?api=1&amp;query=24.81315951,46.79012088", "View Map")</f>
        <v/>
      </c>
    </row>
    <row r="359">
      <c r="A359" t="inlineStr">
        <is>
          <t xml:space="preserve">   مسجد وسكن عبدالعزيز التويجرى .</t>
        </is>
      </c>
      <c r="B359" t="inlineStr">
        <is>
          <t>KFM2020660161236</t>
        </is>
      </c>
      <c r="C359" t="inlineStr">
        <is>
          <t>الرياض</t>
        </is>
      </c>
      <c r="D359" t="inlineStr">
        <is>
          <t>كلا الفترتين</t>
        </is>
      </c>
      <c r="E359" t="n">
        <v>5035</v>
      </c>
      <c r="F359" t="b">
        <v>1</v>
      </c>
      <c r="G359">
        <f>HYPERLINK("https://www.google.com/maps/search/?api=1&amp;query=24.71842281,46.77646545", "View Map")</f>
        <v/>
      </c>
    </row>
    <row r="360">
      <c r="A360" t="inlineStr">
        <is>
          <t>ﻤﺴﺎﺠﺩ .</t>
        </is>
      </c>
      <c r="B360" t="inlineStr">
        <is>
          <t>SMR2420661038550</t>
        </is>
      </c>
      <c r="C360" t="inlineStr">
        <is>
          <t>الرياض</t>
        </is>
      </c>
      <c r="D360" t="inlineStr">
        <is>
          <t>كلا الفترتين</t>
        </is>
      </c>
      <c r="E360" t="n">
        <v>5030</v>
      </c>
      <c r="F360" t="b">
        <v>0</v>
      </c>
      <c r="G360">
        <f>HYPERLINK("https://www.google.com/maps/search/?api=1&amp;query=24.6798508,46.5851082", "View Map")</f>
        <v/>
      </c>
    </row>
    <row r="361">
      <c r="A361" t="inlineStr">
        <is>
          <t>ﻤﺴﺎﺠﺩ .</t>
        </is>
      </c>
      <c r="B361" t="inlineStr">
        <is>
          <t>KFM2020660191652</t>
        </is>
      </c>
      <c r="C361" t="inlineStr">
        <is>
          <t>الرياض</t>
        </is>
      </c>
      <c r="D361" t="inlineStr">
        <is>
          <t>كلا الفترتين</t>
        </is>
      </c>
      <c r="E361" t="n">
        <v>4990</v>
      </c>
      <c r="F361" t="b">
        <v>1</v>
      </c>
      <c r="G361">
        <f>HYPERLINK("https://www.google.com/maps/search/?api=1&amp;query=24.84047586,46.632355", "View Map")</f>
        <v/>
      </c>
    </row>
    <row r="362">
      <c r="A362" t="inlineStr">
        <is>
          <t>مسجد      خالد      سعود .</t>
        </is>
      </c>
      <c r="B362" t="inlineStr">
        <is>
          <t>KFM2020660200373</t>
        </is>
      </c>
      <c r="C362" t="inlineStr">
        <is>
          <t>الرياض</t>
        </is>
      </c>
      <c r="D362" t="inlineStr">
        <is>
          <t>كلا الفترتين</t>
        </is>
      </c>
      <c r="E362" t="n">
        <v>4988</v>
      </c>
      <c r="F362" t="b">
        <v>0</v>
      </c>
      <c r="G362">
        <f>HYPERLINK("https://www.google.com/maps/search/?api=1&amp;query=24.59053613,46.64161047", "View Map")</f>
        <v/>
      </c>
    </row>
    <row r="363">
      <c r="A363" t="inlineStr">
        <is>
          <t xml:space="preserve">   مسجد مجاهد المجاهد .</t>
        </is>
      </c>
      <c r="B363" t="inlineStr">
        <is>
          <t>KFM2120660299671</t>
        </is>
      </c>
      <c r="C363" t="inlineStr">
        <is>
          <t>الرياض</t>
        </is>
      </c>
      <c r="D363" t="inlineStr">
        <is>
          <t>كلا الفترتين</t>
        </is>
      </c>
      <c r="E363" t="n">
        <v>4978</v>
      </c>
      <c r="F363" t="b">
        <v>1</v>
      </c>
      <c r="G363">
        <f>HYPERLINK("https://www.google.com/maps/search/?api=1&amp;query=24.68278566,46.81484869", "View Map")</f>
        <v/>
      </c>
    </row>
    <row r="364">
      <c r="A364" t="inlineStr">
        <is>
          <t>مسجد العريجاء .</t>
        </is>
      </c>
      <c r="B364" t="inlineStr">
        <is>
          <t>KFM2020660199000</t>
        </is>
      </c>
      <c r="C364" t="inlineStr">
        <is>
          <t>الرياض</t>
        </is>
      </c>
      <c r="D364" t="inlineStr">
        <is>
          <t>كلا الفترتين</t>
        </is>
      </c>
      <c r="E364" t="n">
        <v>4972</v>
      </c>
      <c r="F364" t="b">
        <v>1</v>
      </c>
      <c r="G364">
        <f>HYPERLINK("https://www.google.com/maps/search/?api=1&amp;query=24.626032,46.67015535", "View Map")</f>
        <v/>
      </c>
    </row>
    <row r="365">
      <c r="A365" t="inlineStr">
        <is>
          <t xml:space="preserve">   مسجد      عثمان     عفان .</t>
        </is>
      </c>
      <c r="B365" t="inlineStr">
        <is>
          <t>KFM2020660209522</t>
        </is>
      </c>
      <c r="C365" t="inlineStr">
        <is>
          <t>الرياض</t>
        </is>
      </c>
      <c r="D365" t="inlineStr">
        <is>
          <t>كلا الفترتين</t>
        </is>
      </c>
      <c r="E365" t="n">
        <v>4961</v>
      </c>
      <c r="F365" t="b">
        <v>0</v>
      </c>
      <c r="G365">
        <f>HYPERLINK("https://www.google.com/maps/search/?api=1&amp;query=24.76235781,46.70546629", "View Map")</f>
        <v/>
      </c>
    </row>
    <row r="366">
      <c r="A366" t="inlineStr">
        <is>
          <t>ﻤﺴﺎﺠﺩ .</t>
        </is>
      </c>
      <c r="B366" t="inlineStr">
        <is>
          <t>SMR2220661006080</t>
        </is>
      </c>
      <c r="C366" t="inlineStr">
        <is>
          <t>الرياض</t>
        </is>
      </c>
      <c r="D366" t="inlineStr">
        <is>
          <t>كلا الفترتين</t>
        </is>
      </c>
      <c r="E366" t="n">
        <v>4946</v>
      </c>
      <c r="F366" t="b">
        <v>1</v>
      </c>
      <c r="G366">
        <f>HYPERLINK("https://www.google.com/maps/search/?api=1&amp;query=24.83613636,46.60738876", "View Map")</f>
        <v/>
      </c>
    </row>
    <row r="367">
      <c r="A367" t="inlineStr">
        <is>
          <t xml:space="preserve">   مسجد حى النزهــه .</t>
        </is>
      </c>
      <c r="B367" t="inlineStr">
        <is>
          <t>KFM2020660209287</t>
        </is>
      </c>
      <c r="C367" t="inlineStr">
        <is>
          <t>الرياض</t>
        </is>
      </c>
      <c r="D367" t="inlineStr">
        <is>
          <t>كلا الفترتين</t>
        </is>
      </c>
      <c r="E367" t="n">
        <v>4945</v>
      </c>
      <c r="F367" t="b">
        <v>0</v>
      </c>
      <c r="G367">
        <f>HYPERLINK("https://www.google.com/maps/search/?api=1&amp;query=24.75013626,46.71003316", "View Map")</f>
        <v/>
      </c>
    </row>
    <row r="368">
      <c r="A368" t="inlineStr">
        <is>
          <t>ﻤﺴﺎﺠﺩ .</t>
        </is>
      </c>
      <c r="B368" t="inlineStr">
        <is>
          <t>SMR2420661038839</t>
        </is>
      </c>
      <c r="C368" t="inlineStr">
        <is>
          <t>الرياض</t>
        </is>
      </c>
      <c r="D368" t="inlineStr">
        <is>
          <t>كلا الفترتين</t>
        </is>
      </c>
      <c r="E368" t="n">
        <v>4937</v>
      </c>
      <c r="F368" t="b">
        <v>1</v>
      </c>
      <c r="G368">
        <f>HYPERLINK("https://www.google.com/maps/search/?api=1&amp;query=24.5596323,46.8080934", "View Map")</f>
        <v/>
      </c>
    </row>
    <row r="369">
      <c r="A369" t="inlineStr">
        <is>
          <t xml:space="preserve">   مسجد حي القدس .</t>
        </is>
      </c>
      <c r="B369" t="inlineStr">
        <is>
          <t>KFM2020660054511</t>
        </is>
      </c>
      <c r="C369" t="inlineStr">
        <is>
          <t>الرياض</t>
        </is>
      </c>
      <c r="D369" t="inlineStr">
        <is>
          <t>كلا الفترتين</t>
        </is>
      </c>
      <c r="E369" t="n">
        <v>4933</v>
      </c>
      <c r="F369" t="b">
        <v>0</v>
      </c>
      <c r="G369">
        <f>HYPERLINK("https://www.google.com/maps/search/?api=1&amp;query=24.75215275,46.74779009", "View Map")</f>
        <v/>
      </c>
    </row>
    <row r="370">
      <c r="A370" t="inlineStr">
        <is>
          <t>مسجد الشفاء .</t>
        </is>
      </c>
      <c r="B370" t="inlineStr">
        <is>
          <t>KFM2020660087445</t>
        </is>
      </c>
      <c r="C370" t="inlineStr">
        <is>
          <t>الرياض</t>
        </is>
      </c>
      <c r="D370" t="inlineStr">
        <is>
          <t>كلا الفترتين</t>
        </is>
      </c>
      <c r="E370" t="n">
        <v>4932</v>
      </c>
      <c r="F370" t="b">
        <v>0</v>
      </c>
      <c r="G370">
        <f>HYPERLINK("https://www.google.com/maps/search/?api=1&amp;query=24.55324627,46.68157371", "View Map")</f>
        <v/>
      </c>
    </row>
    <row r="371">
      <c r="A371" t="inlineStr">
        <is>
          <t>جامع الرميح .</t>
        </is>
      </c>
      <c r="B371" t="inlineStr">
        <is>
          <t>KFM2020660098856</t>
        </is>
      </c>
      <c r="C371" t="inlineStr">
        <is>
          <t>الرياض</t>
        </is>
      </c>
      <c r="D371" t="inlineStr">
        <is>
          <t>كلا الفترتين</t>
        </is>
      </c>
      <c r="E371" t="n">
        <v>4915</v>
      </c>
      <c r="F371" t="b">
        <v>1</v>
      </c>
      <c r="G371">
        <f>HYPERLINK("https://www.google.com/maps/search/?api=1&amp;query=24.56381494,46.70718724", "View Map")</f>
        <v/>
      </c>
    </row>
    <row r="372">
      <c r="A372" t="inlineStr">
        <is>
          <t xml:space="preserve">   مسجد حي الريان .</t>
        </is>
      </c>
      <c r="B372" t="inlineStr">
        <is>
          <t>KFM2020660167837</t>
        </is>
      </c>
      <c r="C372" t="inlineStr">
        <is>
          <t>الرياض</t>
        </is>
      </c>
      <c r="D372" t="inlineStr">
        <is>
          <t>كلا الفترتين</t>
        </is>
      </c>
      <c r="E372" t="n">
        <v>4912</v>
      </c>
      <c r="F372" t="b">
        <v>1</v>
      </c>
      <c r="G372">
        <f>HYPERLINK("https://www.google.com/maps/search/?api=1&amp;query=24.70479326,46.77123185", "View Map")</f>
        <v/>
      </c>
    </row>
    <row r="373">
      <c r="A373" t="inlineStr">
        <is>
          <t>ﻤﺴﺎﺠﺩ .</t>
        </is>
      </c>
      <c r="B373" t="inlineStr">
        <is>
          <t>KFM2020660127563</t>
        </is>
      </c>
      <c r="C373" t="inlineStr">
        <is>
          <t>الرياض</t>
        </is>
      </c>
      <c r="D373" t="inlineStr">
        <is>
          <t>كلا الفترتين</t>
        </is>
      </c>
      <c r="E373" t="n">
        <v>4906</v>
      </c>
      <c r="F373" t="b">
        <v>1</v>
      </c>
      <c r="G373">
        <f>HYPERLINK("https://www.google.com/maps/search/?api=1&amp;query=24.83227,46.64166", "View Map")</f>
        <v/>
      </c>
    </row>
    <row r="374">
      <c r="A374" t="inlineStr">
        <is>
          <t xml:space="preserve">   مسجد صالح بن غصون .</t>
        </is>
      </c>
      <c r="B374" t="inlineStr">
        <is>
          <t>KFM2020660229807</t>
        </is>
      </c>
      <c r="C374" t="inlineStr">
        <is>
          <t>الرياض</t>
        </is>
      </c>
      <c r="D374" t="inlineStr">
        <is>
          <t>كلا الفترتين</t>
        </is>
      </c>
      <c r="E374" t="n">
        <v>4889</v>
      </c>
      <c r="F374" t="b">
        <v>1</v>
      </c>
      <c r="G374">
        <f>HYPERLINK("https://www.google.com/maps/search/?api=1&amp;query=24.8252308,46.77551103", "View Map")</f>
        <v/>
      </c>
    </row>
    <row r="375">
      <c r="A375" t="inlineStr">
        <is>
          <t>ﻤﺴﺎﺠﺩ .</t>
        </is>
      </c>
      <c r="B375" t="inlineStr">
        <is>
          <t>KFM2020660201953</t>
        </is>
      </c>
      <c r="C375" t="inlineStr">
        <is>
          <t>الرياض</t>
        </is>
      </c>
      <c r="D375" t="inlineStr">
        <is>
          <t>كلا الفترتين</t>
        </is>
      </c>
      <c r="E375" t="n">
        <v>4877</v>
      </c>
      <c r="F375" t="b">
        <v>0</v>
      </c>
      <c r="G375">
        <f>HYPERLINK("https://www.google.com/maps/search/?api=1&amp;query=24.85509467,46.65538219", "View Map")</f>
        <v/>
      </c>
    </row>
    <row r="376">
      <c r="A376" t="inlineStr">
        <is>
          <t>مساجد .</t>
        </is>
      </c>
      <c r="B376" t="inlineStr">
        <is>
          <t>KFM2020660187643</t>
        </is>
      </c>
      <c r="C376" t="inlineStr">
        <is>
          <t>الرياض</t>
        </is>
      </c>
      <c r="D376" t="inlineStr">
        <is>
          <t>كلا الفترتين</t>
        </is>
      </c>
      <c r="E376" t="n">
        <v>4868</v>
      </c>
      <c r="F376" t="b">
        <v>1</v>
      </c>
      <c r="G376">
        <f>HYPERLINK("https://www.google.com/maps/search/?api=1&amp;query=24.81487507,46.61758932", "View Map")</f>
        <v/>
      </c>
    </row>
    <row r="377">
      <c r="A377" t="inlineStr">
        <is>
          <t>مسجد وزاره  الاعلام .</t>
        </is>
      </c>
      <c r="B377" t="inlineStr">
        <is>
          <t>KFM2020660014135</t>
        </is>
      </c>
      <c r="C377" t="inlineStr">
        <is>
          <t>الرياض</t>
        </is>
      </c>
      <c r="D377" t="inlineStr">
        <is>
          <t>كلا الفترتين</t>
        </is>
      </c>
      <c r="E377" t="n">
        <v>4848</v>
      </c>
      <c r="F377" t="b">
        <v>1</v>
      </c>
      <c r="G377">
        <f>HYPERLINK("https://www.google.com/maps/search/?api=1&amp;query=24.64237849,46.69975979", "View Map")</f>
        <v/>
      </c>
    </row>
    <row r="378">
      <c r="A378" t="inlineStr">
        <is>
          <t xml:space="preserve">   مسجد      ابراهيم    السالم .</t>
        </is>
      </c>
      <c r="B378" t="inlineStr">
        <is>
          <t>KFM2020660090788</t>
        </is>
      </c>
      <c r="C378" t="inlineStr">
        <is>
          <t>الرياض</t>
        </is>
      </c>
      <c r="D378" t="inlineStr">
        <is>
          <t>كلا الفترتين</t>
        </is>
      </c>
      <c r="E378" t="n">
        <v>4845</v>
      </c>
      <c r="F378" t="b">
        <v>1</v>
      </c>
      <c r="G378">
        <f>HYPERLINK("https://www.google.com/maps/search/?api=1&amp;query=24.68401806,46.67712572", "View Map")</f>
        <v/>
      </c>
    </row>
    <row r="379">
      <c r="A379" t="inlineStr">
        <is>
          <t>ﻤﺴﺎﺠﺩ .</t>
        </is>
      </c>
      <c r="B379" t="inlineStr">
        <is>
          <t>KFM2120660300605</t>
        </is>
      </c>
      <c r="C379" t="inlineStr">
        <is>
          <t>الرياض</t>
        </is>
      </c>
      <c r="D379" t="inlineStr">
        <is>
          <t>كلا الفترتين</t>
        </is>
      </c>
      <c r="E379" t="n">
        <v>4834</v>
      </c>
      <c r="F379" t="b">
        <v>0</v>
      </c>
      <c r="G379">
        <f>HYPERLINK("https://www.google.com/maps/search/?api=1&amp;query=24.69122129,46.8444315", "View Map")</f>
        <v/>
      </c>
    </row>
    <row r="380">
      <c r="A380" t="inlineStr">
        <is>
          <t xml:space="preserve">   مسجد ج حى السفارات .</t>
        </is>
      </c>
      <c r="B380" t="inlineStr">
        <is>
          <t>KFM2020660225653</t>
        </is>
      </c>
      <c r="C380" t="inlineStr">
        <is>
          <t>الرياض</t>
        </is>
      </c>
      <c r="D380" t="inlineStr">
        <is>
          <t>كلا الفترتين</t>
        </is>
      </c>
      <c r="E380" t="n">
        <v>4830</v>
      </c>
      <c r="F380" t="b">
        <v>1</v>
      </c>
      <c r="G380">
        <f>HYPERLINK("https://www.google.com/maps/search/?api=1&amp;query=24.68022,46.62634", "View Map")</f>
        <v/>
      </c>
    </row>
    <row r="381">
      <c r="A381" t="inlineStr">
        <is>
          <t xml:space="preserve">  مسجدالاميره/العنودعبدالعزيزبن جلوي .</t>
        </is>
      </c>
      <c r="B381" t="inlineStr">
        <is>
          <t>KFM2120660236101</t>
        </is>
      </c>
      <c r="C381" t="inlineStr">
        <is>
          <t>الرياض</t>
        </is>
      </c>
      <c r="D381" t="inlineStr">
        <is>
          <t>كلا الفترتين</t>
        </is>
      </c>
      <c r="E381" t="n">
        <v>4824</v>
      </c>
      <c r="F381" t="b">
        <v>0</v>
      </c>
      <c r="G381">
        <f>HYPERLINK("https://www.google.com/maps/search/?api=1&amp;query=24.71435212,46.66846967", "View Map")</f>
        <v/>
      </c>
    </row>
    <row r="382">
      <c r="A382" t="inlineStr">
        <is>
          <t xml:space="preserve">   مسجد علي محمد التركي .</t>
        </is>
      </c>
      <c r="B382" t="inlineStr">
        <is>
          <t>KFM2120660254682</t>
        </is>
      </c>
      <c r="C382" t="inlineStr">
        <is>
          <t>الرياض</t>
        </is>
      </c>
      <c r="D382" t="inlineStr">
        <is>
          <t>كلا الفترتين</t>
        </is>
      </c>
      <c r="E382" t="n">
        <v>4822</v>
      </c>
      <c r="F382" t="b">
        <v>0</v>
      </c>
      <c r="G382">
        <f>HYPERLINK("https://www.google.com/maps/search/?api=1&amp;query=24.61407213,46.85477443", "View Map")</f>
        <v/>
      </c>
    </row>
    <row r="383">
      <c r="A383" t="inlineStr">
        <is>
          <t>ﻤﺴﺎﺠﺩ .</t>
        </is>
      </c>
      <c r="B383" t="inlineStr">
        <is>
          <t>KFM2020660057094</t>
        </is>
      </c>
      <c r="C383" t="inlineStr">
        <is>
          <t>الرياض</t>
        </is>
      </c>
      <c r="D383" t="inlineStr">
        <is>
          <t>كلا الفترتين</t>
        </is>
      </c>
      <c r="E383" t="n">
        <v>4810</v>
      </c>
      <c r="F383" t="b">
        <v>1</v>
      </c>
      <c r="G383">
        <f>HYPERLINK("https://www.google.com/maps/search/?api=1&amp;query=24.81598812,46.72746", "View Map")</f>
        <v/>
      </c>
    </row>
    <row r="384">
      <c r="A384" t="inlineStr">
        <is>
          <t xml:space="preserve">   مسجد      -         الصالحيه .</t>
        </is>
      </c>
      <c r="B384" t="inlineStr">
        <is>
          <t>KFM2120660286082</t>
        </is>
      </c>
      <c r="C384" t="inlineStr">
        <is>
          <t>الرياض</t>
        </is>
      </c>
      <c r="D384" t="inlineStr">
        <is>
          <t>كلا الفترتين</t>
        </is>
      </c>
      <c r="E384" t="n">
        <v>4806</v>
      </c>
      <c r="F384" t="b">
        <v>1</v>
      </c>
      <c r="G384">
        <f>HYPERLINK("https://www.google.com/maps/search/?api=1&amp;query=24.63639813,46.73641514", "View Map")</f>
        <v/>
      </c>
    </row>
    <row r="385">
      <c r="A385" t="inlineStr">
        <is>
          <t xml:space="preserve">   مساجد .</t>
        </is>
      </c>
      <c r="B385" t="inlineStr">
        <is>
          <t>KFM2020660026981</t>
        </is>
      </c>
      <c r="C385" t="inlineStr">
        <is>
          <t>الرياض</t>
        </is>
      </c>
      <c r="D385" t="inlineStr">
        <is>
          <t>كلا الفترتين</t>
        </is>
      </c>
      <c r="E385" t="n">
        <v>4784</v>
      </c>
      <c r="F385" t="b">
        <v>1</v>
      </c>
      <c r="G385">
        <f>HYPERLINK("https://www.google.com/maps/search/?api=1&amp;query=24.81078765,46.74026016", "View Map")</f>
        <v/>
      </c>
    </row>
    <row r="386">
      <c r="A386" t="inlineStr">
        <is>
          <t xml:space="preserve">      مسجد      التركي .</t>
        </is>
      </c>
      <c r="B386" t="inlineStr">
        <is>
          <t>KFM2020660193656</t>
        </is>
      </c>
      <c r="C386" t="inlineStr">
        <is>
          <t>الرياض</t>
        </is>
      </c>
      <c r="D386" t="inlineStr">
        <is>
          <t>كلا الفترتين</t>
        </is>
      </c>
      <c r="E386" t="n">
        <v>4783</v>
      </c>
      <c r="F386" t="b">
        <v>1</v>
      </c>
      <c r="G386">
        <f>HYPERLINK("https://www.google.com/maps/search/?api=1&amp;query=24.73636058,46.78950131", "View Map")</f>
        <v/>
      </c>
    </row>
    <row r="387">
      <c r="A387" t="inlineStr">
        <is>
          <t xml:space="preserve">   مسجد   حى السفارات .</t>
        </is>
      </c>
      <c r="B387" t="inlineStr">
        <is>
          <t>KFM2120660255702</t>
        </is>
      </c>
      <c r="C387" t="inlineStr">
        <is>
          <t>الرياض</t>
        </is>
      </c>
      <c r="D387" t="inlineStr">
        <is>
          <t>كلا الفترتين</t>
        </is>
      </c>
      <c r="E387" t="n">
        <v>4782</v>
      </c>
      <c r="F387" t="b">
        <v>1</v>
      </c>
      <c r="G387">
        <f>HYPERLINK("https://www.google.com/maps/search/?api=1&amp;query=24.6807,46.61716", "View Map")</f>
        <v/>
      </c>
    </row>
    <row r="388">
      <c r="A388" t="inlineStr">
        <is>
          <t xml:space="preserve">   مسجد / عبدالله العريض .</t>
        </is>
      </c>
      <c r="B388" t="inlineStr">
        <is>
          <t>KFM2120660299637</t>
        </is>
      </c>
      <c r="C388" t="inlineStr">
        <is>
          <t>الرياض</t>
        </is>
      </c>
      <c r="D388" t="inlineStr">
        <is>
          <t>كلا الفترتين</t>
        </is>
      </c>
      <c r="E388" t="n">
        <v>4781</v>
      </c>
      <c r="F388" t="b">
        <v>1</v>
      </c>
      <c r="G388">
        <f>HYPERLINK("https://www.google.com/maps/search/?api=1&amp;query=24.65104427,46.81195515", "View Map")</f>
        <v/>
      </c>
    </row>
    <row r="389">
      <c r="A389" t="inlineStr">
        <is>
          <t xml:space="preserve">   مسجد اللحيدان .</t>
        </is>
      </c>
      <c r="B389" t="inlineStr">
        <is>
          <t>KFM2020660174498</t>
        </is>
      </c>
      <c r="C389" t="inlineStr">
        <is>
          <t>الرياض</t>
        </is>
      </c>
      <c r="D389" t="inlineStr">
        <is>
          <t>كلا الفترتين</t>
        </is>
      </c>
      <c r="E389" t="n">
        <v>4778</v>
      </c>
      <c r="F389" t="b">
        <v>1</v>
      </c>
      <c r="G389">
        <f>HYPERLINK("https://www.google.com/maps/search/?api=1&amp;query=24.7432809,46.78827508", "View Map")</f>
        <v/>
      </c>
    </row>
    <row r="390">
      <c r="A390" t="inlineStr">
        <is>
          <t xml:space="preserve">   جامع خالد الجبري .</t>
        </is>
      </c>
      <c r="B390" t="inlineStr">
        <is>
          <t>KFM2020660176815</t>
        </is>
      </c>
      <c r="C390" t="inlineStr">
        <is>
          <t>الرياض</t>
        </is>
      </c>
      <c r="D390" t="inlineStr">
        <is>
          <t>كلا الفترتين</t>
        </is>
      </c>
      <c r="E390" t="n">
        <v>4758</v>
      </c>
      <c r="F390" t="b">
        <v>1</v>
      </c>
      <c r="G390">
        <f>HYPERLINK("https://www.google.com/maps/search/?api=1&amp;query=24.62227973,46.52827251", "View Map")</f>
        <v/>
      </c>
    </row>
    <row r="391">
      <c r="A391" t="inlineStr">
        <is>
          <t xml:space="preserve">   مسجد      ذو        النورين .</t>
        </is>
      </c>
      <c r="B391" t="inlineStr">
        <is>
          <t>KFM2020660057211</t>
        </is>
      </c>
      <c r="C391" t="inlineStr">
        <is>
          <t>الرياض</t>
        </is>
      </c>
      <c r="D391" t="inlineStr">
        <is>
          <t>كلا الفترتين</t>
        </is>
      </c>
      <c r="E391" t="n">
        <v>4749</v>
      </c>
      <c r="F391" t="b">
        <v>1</v>
      </c>
      <c r="G391">
        <f>HYPERLINK("https://www.google.com/maps/search/?api=1&amp;query=24.75857819,46.75001691", "View Map")</f>
        <v/>
      </c>
    </row>
    <row r="392">
      <c r="A392" t="inlineStr">
        <is>
          <t>مسجد جامع  بن تركى .</t>
        </is>
      </c>
      <c r="B392" t="inlineStr">
        <is>
          <t>KFM2020660035609</t>
        </is>
      </c>
      <c r="C392" t="inlineStr">
        <is>
          <t>الرياض</t>
        </is>
      </c>
      <c r="D392" t="inlineStr">
        <is>
          <t>كلا الفترتين</t>
        </is>
      </c>
      <c r="E392" t="n">
        <v>4733</v>
      </c>
      <c r="F392" t="b">
        <v>1</v>
      </c>
      <c r="G392">
        <f>HYPERLINK("https://www.google.com/maps/search/?api=1&amp;query=24.57850436,46.70339837", "View Map")</f>
        <v/>
      </c>
    </row>
    <row r="393">
      <c r="A393" t="inlineStr">
        <is>
          <t xml:space="preserve">   مسجد الريان .</t>
        </is>
      </c>
      <c r="B393" t="inlineStr">
        <is>
          <t>KFM2020660178121</t>
        </is>
      </c>
      <c r="C393" t="inlineStr">
        <is>
          <t>الرياض</t>
        </is>
      </c>
      <c r="D393" t="inlineStr">
        <is>
          <t>كلا الفترتين</t>
        </is>
      </c>
      <c r="E393" t="n">
        <v>4730</v>
      </c>
      <c r="F393" t="b">
        <v>1</v>
      </c>
      <c r="G393">
        <f>HYPERLINK("https://www.google.com/maps/search/?api=1&amp;query=24.70893355,46.78726012", "View Map")</f>
        <v/>
      </c>
    </row>
    <row r="394">
      <c r="A394" t="inlineStr">
        <is>
          <t>ﻤﺴﺎﺠﺩ .</t>
        </is>
      </c>
      <c r="B394" t="inlineStr">
        <is>
          <t>SMR2420661035947</t>
        </is>
      </c>
      <c r="C394" t="inlineStr">
        <is>
          <t>الرياض</t>
        </is>
      </c>
      <c r="D394" t="inlineStr">
        <is>
          <t>كلا الفترتين</t>
        </is>
      </c>
      <c r="E394" t="n">
        <v>4729</v>
      </c>
      <c r="F394" t="b">
        <v>0</v>
      </c>
      <c r="G394">
        <f>HYPERLINK("https://www.google.com/maps/search/?api=1&amp;query=0.0,0.0", "View Map")</f>
        <v/>
      </c>
    </row>
    <row r="395">
      <c r="A395" t="inlineStr">
        <is>
          <t xml:space="preserve">   مسجد الا ندلس .</t>
        </is>
      </c>
      <c r="B395" t="inlineStr">
        <is>
          <t>KFM2020660193654</t>
        </is>
      </c>
      <c r="C395" t="inlineStr">
        <is>
          <t>الرياض</t>
        </is>
      </c>
      <c r="D395" t="inlineStr">
        <is>
          <t>كلا الفترتين</t>
        </is>
      </c>
      <c r="E395" t="n">
        <v>4717</v>
      </c>
      <c r="F395" t="b">
        <v>0</v>
      </c>
      <c r="G395">
        <f>HYPERLINK("https://www.google.com/maps/search/?api=1&amp;query=24.74185043,46.792993", "View Map")</f>
        <v/>
      </c>
    </row>
    <row r="396">
      <c r="A396" t="inlineStr">
        <is>
          <t xml:space="preserve">   مسجد حي المروج .</t>
        </is>
      </c>
      <c r="B396" t="inlineStr">
        <is>
          <t>KFM2020660213538</t>
        </is>
      </c>
      <c r="C396" t="inlineStr">
        <is>
          <t>الرياض</t>
        </is>
      </c>
      <c r="D396" t="inlineStr">
        <is>
          <t>كلا الفترتين</t>
        </is>
      </c>
      <c r="E396" t="n">
        <v>4701</v>
      </c>
      <c r="F396" t="b">
        <v>1</v>
      </c>
      <c r="G396">
        <f>HYPERLINK("https://www.google.com/maps/search/?api=1&amp;query=24.76381798,46.66711131", "View Map")</f>
        <v/>
      </c>
    </row>
    <row r="397">
      <c r="A397" t="inlineStr">
        <is>
          <t xml:space="preserve">   مسجد المشعليه .</t>
        </is>
      </c>
      <c r="B397" t="inlineStr">
        <is>
          <t>KFM2020660193556</t>
        </is>
      </c>
      <c r="C397" t="inlineStr">
        <is>
          <t>الرياض</t>
        </is>
      </c>
      <c r="D397" t="inlineStr">
        <is>
          <t>كلا الفترتين</t>
        </is>
      </c>
      <c r="E397" t="n">
        <v>4694</v>
      </c>
      <c r="F397" t="b">
        <v>1</v>
      </c>
      <c r="G397">
        <f>HYPERLINK("https://www.google.com/maps/search/?api=1&amp;query=24.71303789,46.81407533", "View Map")</f>
        <v/>
      </c>
    </row>
    <row r="398">
      <c r="A398" t="inlineStr">
        <is>
          <t>ﻤﺴﺎﺠﺩ .</t>
        </is>
      </c>
      <c r="B398" t="inlineStr">
        <is>
          <t>KFM2020660187990</t>
        </is>
      </c>
      <c r="C398" t="inlineStr">
        <is>
          <t>الدرعية</t>
        </is>
      </c>
      <c r="D398" t="inlineStr">
        <is>
          <t>كلا الفترتين</t>
        </is>
      </c>
      <c r="E398" t="n">
        <v>4684</v>
      </c>
      <c r="F398" t="b">
        <v>1</v>
      </c>
      <c r="G398">
        <f>HYPERLINK("https://www.google.com/maps/search/?api=1&amp;query=24.77072396,46.58629832", "View Map")</f>
        <v/>
      </c>
    </row>
    <row r="399">
      <c r="A399" t="inlineStr">
        <is>
          <t>ﻤﺴﺎﺠﺩ .</t>
        </is>
      </c>
      <c r="B399" t="inlineStr">
        <is>
          <t>KFM2020660202889</t>
        </is>
      </c>
      <c r="C399" t="inlineStr">
        <is>
          <t>الرياض</t>
        </is>
      </c>
      <c r="D399" t="inlineStr">
        <is>
          <t>كلا الفترتين</t>
        </is>
      </c>
      <c r="E399" t="n">
        <v>4678</v>
      </c>
      <c r="F399" t="b">
        <v>0</v>
      </c>
      <c r="G399">
        <f>HYPERLINK("https://www.google.com/maps/search/?api=1&amp;query=24.9017873,46.61425903", "View Map")</f>
        <v/>
      </c>
    </row>
    <row r="400">
      <c r="A400" t="inlineStr">
        <is>
          <t xml:space="preserve">   مسجد  ام ثامر .</t>
        </is>
      </c>
      <c r="B400" t="inlineStr">
        <is>
          <t>KFM2020660211062</t>
        </is>
      </c>
      <c r="C400" t="inlineStr">
        <is>
          <t>الرياض</t>
        </is>
      </c>
      <c r="D400" t="inlineStr">
        <is>
          <t>كلا الفترتين</t>
        </is>
      </c>
      <c r="E400" t="n">
        <v>4674</v>
      </c>
      <c r="F400" t="b">
        <v>0</v>
      </c>
      <c r="G400">
        <f>HYPERLINK("https://www.google.com/maps/search/?api=1&amp;query=24.66250716,46.72494639", "View Map")</f>
        <v/>
      </c>
    </row>
    <row r="401">
      <c r="A401" t="inlineStr">
        <is>
          <t>ﻤﺴﺎﺠﺩ .</t>
        </is>
      </c>
      <c r="B401" t="inlineStr">
        <is>
          <t>SMR2320661034619</t>
        </is>
      </c>
      <c r="C401" t="inlineStr">
        <is>
          <t>الرياض</t>
        </is>
      </c>
      <c r="D401" t="inlineStr">
        <is>
          <t>كلا الفترتين</t>
        </is>
      </c>
      <c r="E401" t="n">
        <v>4665</v>
      </c>
      <c r="F401" t="b">
        <v>1</v>
      </c>
      <c r="G401">
        <f>HYPERLINK("https://www.google.com/maps/search/?api=1&amp;query=24.8446098,46.76920555", "View Map")</f>
        <v/>
      </c>
    </row>
    <row r="402">
      <c r="A402" t="inlineStr">
        <is>
          <t xml:space="preserve">   مسجدحي التعاونومرافقه .</t>
        </is>
      </c>
      <c r="B402" t="inlineStr">
        <is>
          <t>KFM2020660160587</t>
        </is>
      </c>
      <c r="C402" t="inlineStr">
        <is>
          <t>الرياض</t>
        </is>
      </c>
      <c r="D402" t="inlineStr">
        <is>
          <t>كلا الفترتين</t>
        </is>
      </c>
      <c r="E402" t="n">
        <v>4664</v>
      </c>
      <c r="F402" t="b">
        <v>1</v>
      </c>
      <c r="G402">
        <f>HYPERLINK("https://www.google.com/maps/search/?api=1&amp;query=24.77764025,46.70036209", "View Map")</f>
        <v/>
      </c>
    </row>
    <row r="403">
      <c r="A403" t="inlineStr">
        <is>
          <t xml:space="preserve">   مساجد .</t>
        </is>
      </c>
      <c r="B403" t="inlineStr">
        <is>
          <t>SMR2320661030289</t>
        </is>
      </c>
      <c r="C403" t="inlineStr">
        <is>
          <t>الرياض</t>
        </is>
      </c>
      <c r="D403" t="inlineStr">
        <is>
          <t>كلا الفترتين</t>
        </is>
      </c>
      <c r="E403" t="n">
        <v>4660</v>
      </c>
      <c r="F403" t="b">
        <v>1</v>
      </c>
      <c r="G403">
        <f>HYPERLINK("https://www.google.com/maps/search/?api=1&amp;query=24.75162793,46.8422796", "View Map")</f>
        <v/>
      </c>
    </row>
    <row r="404">
      <c r="A404" t="inlineStr">
        <is>
          <t>جامع المعارض .</t>
        </is>
      </c>
      <c r="B404" t="inlineStr">
        <is>
          <t>KFM2020660200474</t>
        </is>
      </c>
      <c r="C404" t="inlineStr">
        <is>
          <t>الرياض</t>
        </is>
      </c>
      <c r="D404" t="inlineStr">
        <is>
          <t>كلا الفترتين</t>
        </is>
      </c>
      <c r="E404" t="n">
        <v>4658</v>
      </c>
      <c r="F404" t="b">
        <v>0</v>
      </c>
      <c r="G404">
        <f>HYPERLINK("https://www.google.com/maps/search/?api=1&amp;query=24.5502942,46.67884709", "View Map")</f>
        <v/>
      </c>
    </row>
    <row r="405">
      <c r="A405" t="inlineStr">
        <is>
          <t>مسجد ابن   قدامه      الغربي .</t>
        </is>
      </c>
      <c r="B405" t="inlineStr">
        <is>
          <t>KFM2020660051658</t>
        </is>
      </c>
      <c r="C405" t="inlineStr">
        <is>
          <t>الرياض</t>
        </is>
      </c>
      <c r="D405" t="inlineStr">
        <is>
          <t>كلا الفترتين</t>
        </is>
      </c>
      <c r="E405" t="n">
        <v>4654</v>
      </c>
      <c r="F405" t="b">
        <v>1</v>
      </c>
      <c r="G405">
        <f>HYPERLINK("https://www.google.com/maps/search/?api=1&amp;query=24.5617344,46.63880384", "View Map")</f>
        <v/>
      </c>
    </row>
    <row r="406">
      <c r="A406" t="inlineStr">
        <is>
          <t xml:space="preserve">   مسجد النور .</t>
        </is>
      </c>
      <c r="B406" t="inlineStr">
        <is>
          <t>KFM2020660129880</t>
        </is>
      </c>
      <c r="C406" t="inlineStr">
        <is>
          <t>الرياض</t>
        </is>
      </c>
      <c r="D406" t="inlineStr">
        <is>
          <t>كلا الفترتين</t>
        </is>
      </c>
      <c r="E406" t="n">
        <v>4654</v>
      </c>
      <c r="F406" t="b">
        <v>1</v>
      </c>
      <c r="G406">
        <f>HYPERLINK("https://www.google.com/maps/search/?api=1&amp;query=24.79351,46.77427", "View Map")</f>
        <v/>
      </c>
    </row>
    <row r="407">
      <c r="A407" t="inlineStr">
        <is>
          <t xml:space="preserve">   مسجدالاميرعبدالعزيزمساعدبن جلوي .</t>
        </is>
      </c>
      <c r="B407" t="inlineStr">
        <is>
          <t>KFM2120660303832</t>
        </is>
      </c>
      <c r="C407" t="inlineStr">
        <is>
          <t>الرياض</t>
        </is>
      </c>
      <c r="D407" t="inlineStr">
        <is>
          <t>كلا الفترتين</t>
        </is>
      </c>
      <c r="E407" t="n">
        <v>4650</v>
      </c>
      <c r="F407" t="b">
        <v>1</v>
      </c>
      <c r="G407">
        <f>HYPERLINK("https://www.google.com/maps/search/?api=1&amp;query=24.64942153,46.70695369", "View Map")</f>
        <v/>
      </c>
    </row>
    <row r="408">
      <c r="A408" t="inlineStr">
        <is>
          <t xml:space="preserve">   مسجد حي النخيل .</t>
        </is>
      </c>
      <c r="B408" t="inlineStr">
        <is>
          <t>KFM2120660258265</t>
        </is>
      </c>
      <c r="C408" t="inlineStr">
        <is>
          <t>الرياض</t>
        </is>
      </c>
      <c r="D408" t="inlineStr">
        <is>
          <t>كلا الفترتين</t>
        </is>
      </c>
      <c r="E408" t="n">
        <v>4639</v>
      </c>
      <c r="F408" t="b">
        <v>1</v>
      </c>
      <c r="G408">
        <f>HYPERLINK("https://www.google.com/maps/search/?api=1&amp;query=24.75492832,46.64334662", "View Map")</f>
        <v/>
      </c>
    </row>
    <row r="409">
      <c r="A409" t="inlineStr">
        <is>
          <t xml:space="preserve">   مسجد حى خنشليله .</t>
        </is>
      </c>
      <c r="B409" t="inlineStr">
        <is>
          <t>KFM2120660253473</t>
        </is>
      </c>
      <c r="C409" t="inlineStr">
        <is>
          <t>الرياض</t>
        </is>
      </c>
      <c r="D409" t="inlineStr">
        <is>
          <t>كلا الفترتين</t>
        </is>
      </c>
      <c r="E409" t="n">
        <v>4633</v>
      </c>
      <c r="F409" t="b">
        <v>1</v>
      </c>
      <c r="G409">
        <f>HYPERLINK("https://www.google.com/maps/search/?api=1&amp;query=24.61106184,46.74747155", "View Map")</f>
        <v/>
      </c>
    </row>
    <row r="410">
      <c r="A410" t="inlineStr">
        <is>
          <t xml:space="preserve">   جامع الصديق .</t>
        </is>
      </c>
      <c r="B410" t="inlineStr">
        <is>
          <t>KFM2020660210764</t>
        </is>
      </c>
      <c r="C410" t="inlineStr">
        <is>
          <t>الرياض</t>
        </is>
      </c>
      <c r="D410" t="inlineStr">
        <is>
          <t>كلا الفترتين</t>
        </is>
      </c>
      <c r="E410" t="n">
        <v>4630</v>
      </c>
      <c r="F410" t="b">
        <v>1</v>
      </c>
      <c r="G410">
        <f>HYPERLINK("https://www.google.com/maps/search/?api=1&amp;query=24.6755305,46.73820465", "View Map")</f>
        <v/>
      </c>
    </row>
    <row r="411">
      <c r="A411" t="inlineStr">
        <is>
          <t xml:space="preserve">   مسجد محمدبن زيد ين سعد الجويعد .</t>
        </is>
      </c>
      <c r="B411" t="inlineStr">
        <is>
          <t>KFM2020660162803</t>
        </is>
      </c>
      <c r="C411" t="inlineStr">
        <is>
          <t>الرياض</t>
        </is>
      </c>
      <c r="D411" t="inlineStr">
        <is>
          <t>كلا الفترتين</t>
        </is>
      </c>
      <c r="E411" t="n">
        <v>4622</v>
      </c>
      <c r="F411" t="b">
        <v>1</v>
      </c>
      <c r="G411">
        <f>HYPERLINK("https://www.google.com/maps/search/?api=1&amp;query=24.58210422,46.83014168", "View Map")</f>
        <v/>
      </c>
    </row>
    <row r="412">
      <c r="A412" t="inlineStr">
        <is>
          <t xml:space="preserve">   مسجد      القرني .</t>
        </is>
      </c>
      <c r="B412" t="inlineStr">
        <is>
          <t>KFM2020660139721</t>
        </is>
      </c>
      <c r="C412" t="inlineStr">
        <is>
          <t>الرياض</t>
        </is>
      </c>
      <c r="D412" t="inlineStr">
        <is>
          <t>كلا الفترتين</t>
        </is>
      </c>
      <c r="E412" t="n">
        <v>4617</v>
      </c>
      <c r="F412" t="b">
        <v>0</v>
      </c>
      <c r="G412">
        <f>HYPERLINK("https://www.google.com/maps/search/?api=1&amp;query=24.79239853,46.77130603", "View Map")</f>
        <v/>
      </c>
    </row>
    <row r="413">
      <c r="A413" t="inlineStr">
        <is>
          <t>مسجد ولي العهد الامير عبدالله  بن .</t>
        </is>
      </c>
      <c r="B413" t="inlineStr">
        <is>
          <t>KFM2020660189329</t>
        </is>
      </c>
      <c r="C413" t="inlineStr">
        <is>
          <t>الرياض</t>
        </is>
      </c>
      <c r="D413" t="inlineStr">
        <is>
          <t>كلا الفترتين</t>
        </is>
      </c>
      <c r="E413" t="n">
        <v>4606</v>
      </c>
      <c r="F413" t="b">
        <v>1</v>
      </c>
      <c r="G413">
        <f>HYPERLINK("https://www.google.com/maps/search/?api=1&amp;query=24.601876,46.648235", "View Map")</f>
        <v/>
      </c>
    </row>
    <row r="414">
      <c r="A414" t="inlineStr">
        <is>
          <t xml:space="preserve">   مسجد الراجحى .</t>
        </is>
      </c>
      <c r="B414" t="inlineStr">
        <is>
          <t>KFM2120660247991</t>
        </is>
      </c>
      <c r="C414" t="inlineStr">
        <is>
          <t>الرياض</t>
        </is>
      </c>
      <c r="D414" t="inlineStr">
        <is>
          <t>كلا الفترتين</t>
        </is>
      </c>
      <c r="E414" t="n">
        <v>4595</v>
      </c>
      <c r="F414" t="b">
        <v>1</v>
      </c>
      <c r="G414">
        <f>HYPERLINK("https://www.google.com/maps/search/?api=1&amp;query=24.68720105,46.75389824", "View Map")</f>
        <v/>
      </c>
    </row>
    <row r="415">
      <c r="A415" t="inlineStr">
        <is>
          <t xml:space="preserve">   مساجد .</t>
        </is>
      </c>
      <c r="B415" t="inlineStr">
        <is>
          <t>KFM2020660036398</t>
        </is>
      </c>
      <c r="C415" t="inlineStr">
        <is>
          <t>الرياض</t>
        </is>
      </c>
      <c r="D415" t="inlineStr">
        <is>
          <t>كلا الفترتين</t>
        </is>
      </c>
      <c r="E415" t="n">
        <v>4578</v>
      </c>
      <c r="F415" t="b">
        <v>1</v>
      </c>
      <c r="G415">
        <f>HYPERLINK("https://www.google.com/maps/search/?api=1&amp;query=24.70789208,46.83324805", "View Map")</f>
        <v/>
      </c>
    </row>
    <row r="416">
      <c r="A416" t="inlineStr">
        <is>
          <t>ﻤﺴﺎﺠﺩ .</t>
        </is>
      </c>
      <c r="B416" t="inlineStr">
        <is>
          <t>KFM2020660174330</t>
        </is>
      </c>
      <c r="C416" t="inlineStr">
        <is>
          <t>الرياض</t>
        </is>
      </c>
      <c r="D416" t="inlineStr">
        <is>
          <t>كلا الفترتين</t>
        </is>
      </c>
      <c r="E416" t="n">
        <v>4553</v>
      </c>
      <c r="F416" t="b">
        <v>1</v>
      </c>
      <c r="G416">
        <f>HYPERLINK("https://www.google.com/maps/search/?api=1&amp;query=24.85203405,46.82693237", "View Map")</f>
        <v/>
      </c>
    </row>
    <row r="417">
      <c r="A417" t="inlineStr">
        <is>
          <t xml:space="preserve">   مسجد موءقت .</t>
        </is>
      </c>
      <c r="B417" t="inlineStr">
        <is>
          <t>KFM2120660236611</t>
        </is>
      </c>
      <c r="C417" t="inlineStr">
        <is>
          <t>الرياض</t>
        </is>
      </c>
      <c r="D417" t="inlineStr">
        <is>
          <t>كلا الفترتين</t>
        </is>
      </c>
      <c r="E417" t="n">
        <v>4551</v>
      </c>
      <c r="F417" t="b">
        <v>1</v>
      </c>
      <c r="G417">
        <f>HYPERLINK("https://www.google.com/maps/search/?api=1&amp;query=24.5894657,46.79147885", "View Map")</f>
        <v/>
      </c>
    </row>
    <row r="418">
      <c r="A418" t="inlineStr">
        <is>
          <t xml:space="preserve">   جامع حي المروج .</t>
        </is>
      </c>
      <c r="B418" t="inlineStr">
        <is>
          <t>KFM2020660213557</t>
        </is>
      </c>
      <c r="C418" t="inlineStr">
        <is>
          <t>الرياض</t>
        </is>
      </c>
      <c r="D418" t="inlineStr">
        <is>
          <t>كلا الفترتين</t>
        </is>
      </c>
      <c r="E418" t="n">
        <v>4547</v>
      </c>
      <c r="F418" t="b">
        <v>1</v>
      </c>
      <c r="G418">
        <f>HYPERLINK("https://www.google.com/maps/search/?api=1&amp;query=24.76045268,46.66736514", "View Map")</f>
        <v/>
      </c>
    </row>
    <row r="419">
      <c r="A419" t="inlineStr">
        <is>
          <t xml:space="preserve">   مسجدالشيخ عبدالرحمن علي الجريسي .</t>
        </is>
      </c>
      <c r="B419" t="inlineStr">
        <is>
          <t>KFM2020660104165</t>
        </is>
      </c>
      <c r="C419" t="inlineStr">
        <is>
          <t>الرياض</t>
        </is>
      </c>
      <c r="D419" t="inlineStr">
        <is>
          <t>كلا الفترتين</t>
        </is>
      </c>
      <c r="E419" t="n">
        <v>4540</v>
      </c>
      <c r="F419" t="b">
        <v>1</v>
      </c>
      <c r="G419">
        <f>HYPERLINK("https://www.google.com/maps/search/?api=1&amp;query=24.79599263,46.62389353", "View Map")</f>
        <v/>
      </c>
    </row>
    <row r="420">
      <c r="A420" t="inlineStr">
        <is>
          <t xml:space="preserve">   جامع الامام احمد بن حنبل .</t>
        </is>
      </c>
      <c r="B420" t="inlineStr">
        <is>
          <t>KFM2020660175744</t>
        </is>
      </c>
      <c r="C420" t="inlineStr">
        <is>
          <t>الرياض</t>
        </is>
      </c>
      <c r="D420" t="inlineStr">
        <is>
          <t>كلا الفترتين</t>
        </is>
      </c>
      <c r="E420" t="n">
        <v>4537</v>
      </c>
      <c r="F420" t="b">
        <v>1</v>
      </c>
      <c r="G420">
        <f>HYPERLINK("https://www.google.com/maps/search/?api=1&amp;query=24.70711492,46.78274636", "View Map")</f>
        <v/>
      </c>
    </row>
    <row r="421">
      <c r="A421" t="inlineStr">
        <is>
          <t xml:space="preserve">   مسجد وسكن الامام والمؤذن وخدمات .</t>
        </is>
      </c>
      <c r="B421" t="inlineStr">
        <is>
          <t>KFM2120660271679</t>
        </is>
      </c>
      <c r="C421" t="inlineStr">
        <is>
          <t>الرياض</t>
        </is>
      </c>
      <c r="D421" t="inlineStr">
        <is>
          <t>كلا الفترتين</t>
        </is>
      </c>
      <c r="E421" t="n">
        <v>4520</v>
      </c>
      <c r="F421" t="b">
        <v>1</v>
      </c>
      <c r="G421">
        <f>HYPERLINK("https://www.google.com/maps/search/?api=1&amp;query=24.6788181,46.82417938", "View Map")</f>
        <v/>
      </c>
    </row>
    <row r="422">
      <c r="A422" t="inlineStr">
        <is>
          <t>مسجد حمود بن محمد الصالح .</t>
        </is>
      </c>
      <c r="B422" t="inlineStr">
        <is>
          <t>KFM2020660031565</t>
        </is>
      </c>
      <c r="C422" t="inlineStr">
        <is>
          <t>الرياض</t>
        </is>
      </c>
      <c r="D422" t="inlineStr">
        <is>
          <t>كلا الفترتين</t>
        </is>
      </c>
      <c r="E422" t="n">
        <v>4498</v>
      </c>
      <c r="F422" t="b">
        <v>1</v>
      </c>
      <c r="G422">
        <f>HYPERLINK("https://www.google.com/maps/search/?api=1&amp;query=24.62036701,46.80794113", "View Map")</f>
        <v/>
      </c>
    </row>
    <row r="423">
      <c r="A423" t="inlineStr">
        <is>
          <t xml:space="preserve">   مسجد اسواق طيبه .</t>
        </is>
      </c>
      <c r="B423" t="inlineStr">
        <is>
          <t>KFM2020660209167</t>
        </is>
      </c>
      <c r="C423" t="inlineStr">
        <is>
          <t>الرياض</t>
        </is>
      </c>
      <c r="D423" t="inlineStr">
        <is>
          <t>كلا الفترتين</t>
        </is>
      </c>
      <c r="E423" t="n">
        <v>4490</v>
      </c>
      <c r="F423" t="b">
        <v>1</v>
      </c>
      <c r="G423">
        <f>HYPERLINK("https://www.google.com/maps/search/?api=1&amp;query=24.73280569,46.66256694", "View Map")</f>
        <v/>
      </c>
    </row>
    <row r="424">
      <c r="A424" t="inlineStr">
        <is>
          <t>ﻭﺯﺍﺭﺓﺍﻟﺸﺌﻭﻥ ﺍﻻﺴﻼﻤﻴﺓﻭﺍﻻﻭﻗﺎﻑ .</t>
        </is>
      </c>
      <c r="B424" t="inlineStr">
        <is>
          <t>KFM2020660051385</t>
        </is>
      </c>
      <c r="C424" t="inlineStr">
        <is>
          <t>الرياض</t>
        </is>
      </c>
      <c r="D424" t="inlineStr">
        <is>
          <t>كلا الفترتين</t>
        </is>
      </c>
      <c r="E424" t="n">
        <v>4483</v>
      </c>
      <c r="F424" t="b">
        <v>1</v>
      </c>
      <c r="G424">
        <f>HYPERLINK("https://www.google.com/maps/search/?api=1&amp;query=24.51032709,46.67249126", "View Map")</f>
        <v/>
      </c>
    </row>
    <row r="425">
      <c r="A425" t="inlineStr">
        <is>
          <t xml:space="preserve">   جامع الامير سلمان بن عبدالعزيز .</t>
        </is>
      </c>
      <c r="B425" t="inlineStr">
        <is>
          <t>KFM2120660295311</t>
        </is>
      </c>
      <c r="C425" t="inlineStr">
        <is>
          <t>الرياض</t>
        </is>
      </c>
      <c r="D425" t="inlineStr">
        <is>
          <t>كلا الفترتين</t>
        </is>
      </c>
      <c r="E425" t="n">
        <v>4475</v>
      </c>
      <c r="F425" t="b">
        <v>0</v>
      </c>
      <c r="G425">
        <f>HYPERLINK("https://www.google.com/maps/search/?api=1&amp;query=24.69985,46.61384", "View Map")</f>
        <v/>
      </c>
    </row>
    <row r="426">
      <c r="A426" t="inlineStr">
        <is>
          <t>0   مسجد      بن مقرن .</t>
        </is>
      </c>
      <c r="B426" t="inlineStr">
        <is>
          <t>KFM2020660203665</t>
        </is>
      </c>
      <c r="C426" t="inlineStr">
        <is>
          <t>الرياض</t>
        </is>
      </c>
      <c r="D426" t="inlineStr">
        <is>
          <t>كلا الفترتين</t>
        </is>
      </c>
      <c r="E426" t="n">
        <v>4461</v>
      </c>
      <c r="F426" t="b">
        <v>0</v>
      </c>
      <c r="G426">
        <f>HYPERLINK("https://www.google.com/maps/search/?api=1&amp;query=24.59596687,46.63667737", "View Map")</f>
        <v/>
      </c>
    </row>
    <row r="427">
      <c r="A427" t="inlineStr">
        <is>
          <t xml:space="preserve">    جامع ابويوسف  مع سكن الا مام .</t>
        </is>
      </c>
      <c r="B427" t="inlineStr">
        <is>
          <t>KFM2020660176857</t>
        </is>
      </c>
      <c r="C427" t="inlineStr">
        <is>
          <t>الرياض</t>
        </is>
      </c>
      <c r="D427" t="inlineStr">
        <is>
          <t>كلا الفترتين</t>
        </is>
      </c>
      <c r="E427" t="n">
        <v>4460</v>
      </c>
      <c r="F427" t="b">
        <v>1</v>
      </c>
      <c r="G427">
        <f>HYPERLINK("https://www.google.com/maps/search/?api=1&amp;query=24.76349582,46.73857398", "View Map")</f>
        <v/>
      </c>
    </row>
    <row r="428">
      <c r="A428" t="inlineStr">
        <is>
          <t xml:space="preserve">   مسجد حي الروابي .</t>
        </is>
      </c>
      <c r="B428" t="inlineStr">
        <is>
          <t>KFM2020660134750</t>
        </is>
      </c>
      <c r="C428" t="inlineStr">
        <is>
          <t>الرياض</t>
        </is>
      </c>
      <c r="D428" t="inlineStr">
        <is>
          <t>كلا الفترتين</t>
        </is>
      </c>
      <c r="E428" t="n">
        <v>4458</v>
      </c>
      <c r="F428" t="b">
        <v>0</v>
      </c>
      <c r="G428">
        <f>HYPERLINK("https://www.google.com/maps/search/?api=1&amp;query=24.69494106,46.78543914", "View Map")</f>
        <v/>
      </c>
    </row>
    <row r="429">
      <c r="A429" t="inlineStr">
        <is>
          <t>ﻤﺴﺎﺠﺩ .</t>
        </is>
      </c>
      <c r="B429" t="inlineStr">
        <is>
          <t>KFM2120660256969</t>
        </is>
      </c>
      <c r="C429" t="inlineStr">
        <is>
          <t>الرياض</t>
        </is>
      </c>
      <c r="D429" t="inlineStr">
        <is>
          <t>كلا الفترتين</t>
        </is>
      </c>
      <c r="E429" t="n">
        <v>4449</v>
      </c>
      <c r="F429" t="b">
        <v>1</v>
      </c>
      <c r="G429">
        <f>HYPERLINK("https://www.google.com/maps/search/?api=1&amp;query=24.56362419,46.80326295", "View Map")</f>
        <v/>
      </c>
    </row>
    <row r="430">
      <c r="A430" t="inlineStr">
        <is>
          <t>ﻤﺴﺎﺠﺩ .</t>
        </is>
      </c>
      <c r="B430" t="inlineStr">
        <is>
          <t>KFM2020660013485</t>
        </is>
      </c>
      <c r="C430" t="inlineStr">
        <is>
          <t>الرياض</t>
        </is>
      </c>
      <c r="D430" t="inlineStr">
        <is>
          <t>كلا الفترتين</t>
        </is>
      </c>
      <c r="E430" t="n">
        <v>4439</v>
      </c>
      <c r="F430" t="b">
        <v>1</v>
      </c>
      <c r="G430">
        <f>HYPERLINK("https://www.google.com/maps/search/?api=1&amp;query=24.78699481,46.60725271", "View Map")</f>
        <v/>
      </c>
    </row>
    <row r="431">
      <c r="A431" t="inlineStr">
        <is>
          <t>ﻤﺴﺎﺠﺩ .</t>
        </is>
      </c>
      <c r="B431" t="inlineStr">
        <is>
          <t>KFM2020660193120</t>
        </is>
      </c>
      <c r="C431" t="inlineStr">
        <is>
          <t>الرياض</t>
        </is>
      </c>
      <c r="D431" t="inlineStr">
        <is>
          <t>كلا الفترتين</t>
        </is>
      </c>
      <c r="E431" t="n">
        <v>4428</v>
      </c>
      <c r="F431" t="b">
        <v>1</v>
      </c>
      <c r="G431">
        <f>HYPERLINK("https://www.google.com/maps/search/?api=1&amp;query=24.82043797,46.58948209", "View Map")</f>
        <v/>
      </c>
    </row>
    <row r="432">
      <c r="A432" t="inlineStr">
        <is>
          <t xml:space="preserve">   مسجد السبيعي متعب الفهاد .</t>
        </is>
      </c>
      <c r="B432" t="inlineStr">
        <is>
          <t>KFM2120660276280</t>
        </is>
      </c>
      <c r="C432" t="inlineStr">
        <is>
          <t>الرياض</t>
        </is>
      </c>
      <c r="D432" t="inlineStr">
        <is>
          <t>كلا الفترتين</t>
        </is>
      </c>
      <c r="E432" t="n">
        <v>4422</v>
      </c>
      <c r="F432" t="b">
        <v>1</v>
      </c>
      <c r="G432">
        <f>HYPERLINK("https://www.google.com/maps/search/?api=1&amp;query=24.5641861,46.79203736", "View Map")</f>
        <v/>
      </c>
    </row>
    <row r="433">
      <c r="A433" t="inlineStr">
        <is>
          <t>ﻤﺴﺎﺠﺩ .</t>
        </is>
      </c>
      <c r="B433" t="inlineStr">
        <is>
          <t>SMR2420661035788</t>
        </is>
      </c>
      <c r="C433" t="inlineStr">
        <is>
          <t>الرياض</t>
        </is>
      </c>
      <c r="D433" t="inlineStr">
        <is>
          <t>كلا الفترتين</t>
        </is>
      </c>
      <c r="E433" t="n">
        <v>4416</v>
      </c>
      <c r="F433" t="b">
        <v>1</v>
      </c>
      <c r="G433">
        <f>HYPERLINK("https://www.google.com/maps/search/?api=1&amp;query=0.0,0.0", "View Map")</f>
        <v/>
      </c>
    </row>
    <row r="434">
      <c r="A434" t="inlineStr">
        <is>
          <t xml:space="preserve">   مسجداحد بحي التعاون .</t>
        </is>
      </c>
      <c r="B434" t="inlineStr">
        <is>
          <t>KFM2020660213008</t>
        </is>
      </c>
      <c r="C434" t="inlineStr">
        <is>
          <t>الرياض</t>
        </is>
      </c>
      <c r="D434" t="inlineStr">
        <is>
          <t>كلا الفترتين</t>
        </is>
      </c>
      <c r="E434" t="n">
        <v>4409</v>
      </c>
      <c r="F434" t="b">
        <v>1</v>
      </c>
      <c r="G434">
        <f>HYPERLINK("https://www.google.com/maps/search/?api=1&amp;query=24.77589286,46.68995651", "View Map")</f>
        <v/>
      </c>
    </row>
    <row r="435">
      <c r="A435" t="inlineStr">
        <is>
          <t xml:space="preserve">   مسجد الرحمانيه .</t>
        </is>
      </c>
      <c r="B435" t="inlineStr">
        <is>
          <t>KFM2120660265972</t>
        </is>
      </c>
      <c r="C435" t="inlineStr">
        <is>
          <t>الرياض</t>
        </is>
      </c>
      <c r="D435" t="inlineStr">
        <is>
          <t>كلا الفترتين</t>
        </is>
      </c>
      <c r="E435" t="n">
        <v>4403</v>
      </c>
      <c r="F435" t="b">
        <v>1</v>
      </c>
      <c r="G435">
        <f>HYPERLINK("https://www.google.com/maps/search/?api=1&amp;query=24.71378224,46.66415674", "View Map")</f>
        <v/>
      </c>
    </row>
    <row r="436">
      <c r="A436" t="inlineStr">
        <is>
          <t xml:space="preserve">   مسجدمحمدوعبدالرحمن السعدالبواردي .</t>
        </is>
      </c>
      <c r="B436" t="inlineStr">
        <is>
          <t>KFM2120660256929</t>
        </is>
      </c>
      <c r="C436" t="inlineStr">
        <is>
          <t>الرياض</t>
        </is>
      </c>
      <c r="D436" t="inlineStr">
        <is>
          <t>كلا الفترتين</t>
        </is>
      </c>
      <c r="E436" t="n">
        <v>4400</v>
      </c>
      <c r="F436" t="b">
        <v>1</v>
      </c>
      <c r="G436">
        <f>HYPERLINK("https://www.google.com/maps/search/?api=1&amp;query=24.58332442,46.77322389", "View Map")</f>
        <v/>
      </c>
    </row>
    <row r="437">
      <c r="A437" t="inlineStr">
        <is>
          <t xml:space="preserve">   مسجد جامع الحائر .</t>
        </is>
      </c>
      <c r="B437" t="inlineStr">
        <is>
          <t>KFM2120660268931</t>
        </is>
      </c>
      <c r="C437" t="inlineStr">
        <is>
          <t>الرياض</t>
        </is>
      </c>
      <c r="D437" t="inlineStr">
        <is>
          <t>كلا الفترتين</t>
        </is>
      </c>
      <c r="E437" t="n">
        <v>4397</v>
      </c>
      <c r="F437" t="b">
        <v>1</v>
      </c>
      <c r="G437">
        <f>HYPERLINK("https://www.google.com/maps/search/?api=1&amp;query=24.39528917,46.83902328", "View Map")</f>
        <v/>
      </c>
    </row>
    <row r="438">
      <c r="A438" t="inlineStr">
        <is>
          <t xml:space="preserve">   مسجد حي القدس .</t>
        </is>
      </c>
      <c r="B438" t="inlineStr">
        <is>
          <t>KFM2020660056722</t>
        </is>
      </c>
      <c r="C438" t="inlineStr">
        <is>
          <t>الرياض</t>
        </is>
      </c>
      <c r="D438" t="inlineStr">
        <is>
          <t>كلا الفترتين</t>
        </is>
      </c>
      <c r="E438" t="n">
        <v>4379</v>
      </c>
      <c r="F438" t="b">
        <v>1</v>
      </c>
      <c r="G438">
        <f>HYPERLINK("https://www.google.com/maps/search/?api=1&amp;query=24.76053985,46.77389475", "View Map")</f>
        <v/>
      </c>
    </row>
    <row r="439">
      <c r="A439" t="inlineStr">
        <is>
          <t xml:space="preserve">   مسجد عمر بن الخطاب .</t>
        </is>
      </c>
      <c r="B439" t="inlineStr">
        <is>
          <t>KFM2020660090754</t>
        </is>
      </c>
      <c r="C439" t="inlineStr">
        <is>
          <t>الرياض</t>
        </is>
      </c>
      <c r="D439" t="inlineStr">
        <is>
          <t>كلا الفترتين</t>
        </is>
      </c>
      <c r="E439" t="n">
        <v>4377</v>
      </c>
      <c r="F439" t="b">
        <v>0</v>
      </c>
      <c r="G439">
        <f>HYPERLINK("https://www.google.com/maps/search/?api=1&amp;query=24.72351589,46.64698108", "View Map")</f>
        <v/>
      </c>
    </row>
    <row r="440">
      <c r="A440" t="inlineStr">
        <is>
          <t xml:space="preserve">   مسجد حي   الياسمين .</t>
        </is>
      </c>
      <c r="B440" t="inlineStr">
        <is>
          <t>KFM2020660206925</t>
        </is>
      </c>
      <c r="C440" t="inlineStr">
        <is>
          <t>الرياض</t>
        </is>
      </c>
      <c r="D440" t="inlineStr">
        <is>
          <t>كلا الفترتين</t>
        </is>
      </c>
      <c r="E440" t="n">
        <v>4377</v>
      </c>
      <c r="F440" t="b">
        <v>1</v>
      </c>
      <c r="G440">
        <f>HYPERLINK("https://www.google.com/maps/search/?api=1&amp;query=24.8063862,46.65123976", "View Map")</f>
        <v/>
      </c>
    </row>
    <row r="441">
      <c r="A441" t="inlineStr">
        <is>
          <t>ﻭﺯﺍﺭﺓﺍﻟﺸﺌﻭﻥ ﺍﻻﺴﻼﻤﻴﺓﻭﺍﻻﻭﻗﺎﻑ .</t>
        </is>
      </c>
      <c r="B441" t="inlineStr">
        <is>
          <t>KFM2020660051567</t>
        </is>
      </c>
      <c r="C441" t="inlineStr">
        <is>
          <t>الرياض</t>
        </is>
      </c>
      <c r="D441" t="inlineStr">
        <is>
          <t>كلا الفترتين</t>
        </is>
      </c>
      <c r="E441" t="n">
        <v>4375</v>
      </c>
      <c r="F441" t="b">
        <v>1</v>
      </c>
      <c r="G441">
        <f>HYPERLINK("https://www.google.com/maps/search/?api=1&amp;query=24.55574042,46.53210576", "View Map")</f>
        <v/>
      </c>
    </row>
    <row r="442">
      <c r="A442" t="inlineStr">
        <is>
          <t xml:space="preserve">   مسجد منصور  الراجحي .</t>
        </is>
      </c>
      <c r="B442" t="inlineStr">
        <is>
          <t>KFM2020660175256</t>
        </is>
      </c>
      <c r="C442" t="inlineStr">
        <is>
          <t>الرياض</t>
        </is>
      </c>
      <c r="D442" t="inlineStr">
        <is>
          <t>كلا الفترتين</t>
        </is>
      </c>
      <c r="E442" t="n">
        <v>4368</v>
      </c>
      <c r="F442" t="b">
        <v>1</v>
      </c>
      <c r="G442">
        <f>HYPERLINK("https://www.google.com/maps/search/?api=1&amp;query=24.8140633,46.80113044", "View Map")</f>
        <v/>
      </c>
    </row>
    <row r="443">
      <c r="A443" t="inlineStr">
        <is>
          <t>جامع الشويعر .</t>
        </is>
      </c>
      <c r="B443" t="inlineStr">
        <is>
          <t>KFM2020660104875</t>
        </is>
      </c>
      <c r="C443" t="inlineStr">
        <is>
          <t>الرياض</t>
        </is>
      </c>
      <c r="D443" t="inlineStr">
        <is>
          <t>كلا الفترتين</t>
        </is>
      </c>
      <c r="E443" t="n">
        <v>4360</v>
      </c>
      <c r="F443" t="b">
        <v>1</v>
      </c>
      <c r="G443">
        <f>HYPERLINK("https://www.google.com/maps/search/?api=1&amp;query=24.87572,46.58971", "View Map")</f>
        <v/>
      </c>
    </row>
    <row r="444">
      <c r="A444" t="inlineStr">
        <is>
          <t xml:space="preserve">   مسجد حي اليرموك .</t>
        </is>
      </c>
      <c r="B444" t="inlineStr">
        <is>
          <t>KFM2020660175733</t>
        </is>
      </c>
      <c r="C444" t="inlineStr">
        <is>
          <t>الرياض</t>
        </is>
      </c>
      <c r="D444" t="inlineStr">
        <is>
          <t>كلا الفترتين</t>
        </is>
      </c>
      <c r="E444" t="n">
        <v>4351</v>
      </c>
      <c r="F444" t="b">
        <v>1</v>
      </c>
      <c r="G444">
        <f>HYPERLINK("https://www.google.com/maps/search/?api=1&amp;query=24.80553186,46.76491938", "View Map")</f>
        <v/>
      </c>
    </row>
    <row r="445">
      <c r="A445" t="inlineStr">
        <is>
          <t xml:space="preserve">   مساجد .</t>
        </is>
      </c>
      <c r="B445" t="inlineStr">
        <is>
          <t>KFM2020660008678</t>
        </is>
      </c>
      <c r="C445" t="inlineStr">
        <is>
          <t>الرياض</t>
        </is>
      </c>
      <c r="D445" t="inlineStr">
        <is>
          <t>كلا الفترتين</t>
        </is>
      </c>
      <c r="E445" t="n">
        <v>4339</v>
      </c>
      <c r="F445" t="b">
        <v>1</v>
      </c>
      <c r="G445">
        <f>HYPERLINK("https://www.google.com/maps/search/?api=1&amp;query=24.82971391,46.73196701", "View Map")</f>
        <v/>
      </c>
    </row>
    <row r="446">
      <c r="A446" t="inlineStr">
        <is>
          <t>7  مسجد مخطط 8  2 بلك .</t>
        </is>
      </c>
      <c r="B446" t="inlineStr">
        <is>
          <t>KFM2020660171732</t>
        </is>
      </c>
      <c r="C446" t="inlineStr">
        <is>
          <t>الرياض</t>
        </is>
      </c>
      <c r="D446" t="inlineStr">
        <is>
          <t>كلا الفترتين</t>
        </is>
      </c>
      <c r="E446" t="n">
        <v>4327</v>
      </c>
      <c r="F446" t="b">
        <v>1</v>
      </c>
      <c r="G446">
        <f>HYPERLINK("https://www.google.com/maps/search/?api=1&amp;query=24.57652756,46.56808213", "View Map")</f>
        <v/>
      </c>
    </row>
    <row r="447">
      <c r="A447" t="inlineStr">
        <is>
          <t xml:space="preserve">   مسجد فهد علي الجميعة .</t>
        </is>
      </c>
      <c r="B447" t="inlineStr">
        <is>
          <t>KFM2020660049679</t>
        </is>
      </c>
      <c r="C447" t="inlineStr">
        <is>
          <t>الرياض</t>
        </is>
      </c>
      <c r="D447" t="inlineStr">
        <is>
          <t>كلا الفترتين</t>
        </is>
      </c>
      <c r="E447" t="n">
        <v>4308</v>
      </c>
      <c r="F447" t="b">
        <v>0</v>
      </c>
      <c r="G447">
        <f>HYPERLINK("https://www.google.com/maps/search/?api=1&amp;query=24.75329868,46.79574182", "View Map")</f>
        <v/>
      </c>
    </row>
    <row r="448">
      <c r="A448" t="inlineStr">
        <is>
          <t xml:space="preserve">   جامع وسكن الشيخ عبدالله ال كليب .</t>
        </is>
      </c>
      <c r="B448" t="inlineStr">
        <is>
          <t>KFM2020660144703</t>
        </is>
      </c>
      <c r="C448" t="inlineStr">
        <is>
          <t>الرياض</t>
        </is>
      </c>
      <c r="D448" t="inlineStr">
        <is>
          <t>كلا الفترتين</t>
        </is>
      </c>
      <c r="E448" t="n">
        <v>4290</v>
      </c>
      <c r="F448" t="b">
        <v>0</v>
      </c>
      <c r="G448">
        <f>HYPERLINK("https://www.google.com/maps/search/?api=1&amp;query=24.80429228,46.77294503", "View Map")</f>
        <v/>
      </c>
    </row>
    <row r="449">
      <c r="A449" t="inlineStr">
        <is>
          <t xml:space="preserve">   مسجد/محمد باعبدالله .</t>
        </is>
      </c>
      <c r="B449" t="inlineStr">
        <is>
          <t>KFM2020660169853</t>
        </is>
      </c>
      <c r="C449" t="inlineStr">
        <is>
          <t>الرياض</t>
        </is>
      </c>
      <c r="D449" t="inlineStr">
        <is>
          <t>كلا الفترتين</t>
        </is>
      </c>
      <c r="E449" t="n">
        <v>4282</v>
      </c>
      <c r="F449" t="b">
        <v>0</v>
      </c>
      <c r="G449">
        <f>HYPERLINK("https://www.google.com/maps/search/?api=1&amp;query=24.7526,46.70686", "View Map")</f>
        <v/>
      </c>
    </row>
    <row r="450">
      <c r="A450" t="inlineStr">
        <is>
          <t xml:space="preserve">   مسجد منيره ابراهيم العثيمين .</t>
        </is>
      </c>
      <c r="B450" t="inlineStr">
        <is>
          <t>KFM2020660123002</t>
        </is>
      </c>
      <c r="C450" t="inlineStr">
        <is>
          <t>الرياض</t>
        </is>
      </c>
      <c r="D450" t="inlineStr">
        <is>
          <t>كلا الفترتين</t>
        </is>
      </c>
      <c r="E450" t="n">
        <v>4275</v>
      </c>
      <c r="F450" t="b">
        <v>1</v>
      </c>
      <c r="G450">
        <f>HYPERLINK("https://www.google.com/maps/search/?api=1&amp;query=24.75528654,46.80413415", "View Map")</f>
        <v/>
      </c>
    </row>
    <row r="451">
      <c r="A451" t="inlineStr">
        <is>
          <t xml:space="preserve">   مسجد فراج .</t>
        </is>
      </c>
      <c r="B451" t="inlineStr">
        <is>
          <t>KFM2020660053513</t>
        </is>
      </c>
      <c r="C451" t="inlineStr">
        <is>
          <t>الرياض</t>
        </is>
      </c>
      <c r="D451" t="inlineStr">
        <is>
          <t>كلا الفترتين</t>
        </is>
      </c>
      <c r="E451" t="n">
        <v>4269</v>
      </c>
      <c r="F451" t="b">
        <v>0</v>
      </c>
      <c r="G451">
        <f>HYPERLINK("https://www.google.com/maps/search/?api=1&amp;query=24.73238448,46.7794887", "View Map")</f>
        <v/>
      </c>
    </row>
    <row r="452">
      <c r="A452" t="inlineStr">
        <is>
          <t xml:space="preserve">   مسجد منيرة عبدالله المزروع .</t>
        </is>
      </c>
      <c r="B452" t="inlineStr">
        <is>
          <t>KFM2020660049887</t>
        </is>
      </c>
      <c r="C452" t="inlineStr">
        <is>
          <t>الرياض</t>
        </is>
      </c>
      <c r="D452" t="inlineStr">
        <is>
          <t>كلا الفترتين</t>
        </is>
      </c>
      <c r="E452" t="n">
        <v>4266</v>
      </c>
      <c r="F452" t="b">
        <v>0</v>
      </c>
      <c r="G452">
        <f>HYPERLINK("https://www.google.com/maps/search/?api=1&amp;query=24.7016225,46.6596974", "View Map")</f>
        <v/>
      </c>
    </row>
    <row r="453">
      <c r="A453" t="inlineStr">
        <is>
          <t xml:space="preserve">   مسجد العجيان .</t>
        </is>
      </c>
      <c r="B453" t="inlineStr">
        <is>
          <t>KFM2120660256714</t>
        </is>
      </c>
      <c r="C453" t="inlineStr">
        <is>
          <t>الرياض</t>
        </is>
      </c>
      <c r="D453" t="inlineStr">
        <is>
          <t>كلا الفترتين</t>
        </is>
      </c>
      <c r="E453" t="n">
        <v>4258</v>
      </c>
      <c r="F453" t="b">
        <v>1</v>
      </c>
      <c r="G453">
        <f>HYPERLINK("https://www.google.com/maps/search/?api=1&amp;query=24.75112788,46.65064676", "View Map")</f>
        <v/>
      </c>
    </row>
    <row r="454">
      <c r="A454" t="inlineStr">
        <is>
          <t xml:space="preserve">   مسجد الرميزان .</t>
        </is>
      </c>
      <c r="B454" t="inlineStr">
        <is>
          <t>KFM2020660214051</t>
        </is>
      </c>
      <c r="C454" t="inlineStr">
        <is>
          <t>الرياض</t>
        </is>
      </c>
      <c r="D454" t="inlineStr">
        <is>
          <t>كلا الفترتين</t>
        </is>
      </c>
      <c r="E454" t="n">
        <v>4256</v>
      </c>
      <c r="F454" t="b">
        <v>1</v>
      </c>
      <c r="G454">
        <f>HYPERLINK("https://www.google.com/maps/search/?api=1&amp;query=24.77025071,46.66617964", "View Map")</f>
        <v/>
      </c>
    </row>
    <row r="455">
      <c r="A455" t="inlineStr">
        <is>
          <t xml:space="preserve">   مسجد السلامه بحى الصحافه .</t>
        </is>
      </c>
      <c r="B455" t="inlineStr">
        <is>
          <t>KFM2020660104266</t>
        </is>
      </c>
      <c r="C455" t="inlineStr">
        <is>
          <t>الرياض</t>
        </is>
      </c>
      <c r="D455" t="inlineStr">
        <is>
          <t>كلا الفترتين</t>
        </is>
      </c>
      <c r="E455" t="n">
        <v>4230</v>
      </c>
      <c r="F455" t="b">
        <v>0</v>
      </c>
      <c r="G455">
        <f>HYPERLINK("https://www.google.com/maps/search/?api=1&amp;query=24.80888206,46.62844027", "View Map")</f>
        <v/>
      </c>
    </row>
    <row r="456">
      <c r="A456" t="inlineStr">
        <is>
          <t>مسجد الامير هذلول  بن سعود .</t>
        </is>
      </c>
      <c r="B456" t="inlineStr">
        <is>
          <t>KFM2020660098883</t>
        </is>
      </c>
      <c r="C456" t="inlineStr">
        <is>
          <t>الرياض</t>
        </is>
      </c>
      <c r="D456" t="inlineStr">
        <is>
          <t>كلا الفترتين</t>
        </is>
      </c>
      <c r="E456" t="n">
        <v>4226</v>
      </c>
      <c r="F456" t="b">
        <v>1</v>
      </c>
      <c r="G456">
        <f>HYPERLINK("https://www.google.com/maps/search/?api=1&amp;query=24.58331852,46.61143754", "View Map")</f>
        <v/>
      </c>
    </row>
    <row r="457">
      <c r="A457" t="inlineStr">
        <is>
          <t xml:space="preserve">   مسجدمحمدوعبدالرحمن السعدالبواردي .</t>
        </is>
      </c>
      <c r="B457" t="inlineStr">
        <is>
          <t>KFM2120660299310</t>
        </is>
      </c>
      <c r="C457" t="inlineStr">
        <is>
          <t>الرياض</t>
        </is>
      </c>
      <c r="D457" t="inlineStr">
        <is>
          <t>كلا الفترتين</t>
        </is>
      </c>
      <c r="E457" t="n">
        <v>4226</v>
      </c>
      <c r="F457" t="b">
        <v>1</v>
      </c>
      <c r="G457">
        <f>HYPERLINK("https://www.google.com/maps/search/?api=1&amp;query=24.58333482,46.77321823", "View Map")</f>
        <v/>
      </c>
    </row>
    <row r="458">
      <c r="A458" t="inlineStr">
        <is>
          <t>مسجد عيسى  بن راشد بن عويسى .</t>
        </is>
      </c>
      <c r="B458" t="inlineStr">
        <is>
          <t>KFM2020660056097</t>
        </is>
      </c>
      <c r="C458" t="inlineStr">
        <is>
          <t>الرياض</t>
        </is>
      </c>
      <c r="D458" t="inlineStr">
        <is>
          <t>كلا الفترتين</t>
        </is>
      </c>
      <c r="E458" t="n">
        <v>4223</v>
      </c>
      <c r="F458" t="b">
        <v>1</v>
      </c>
      <c r="G458">
        <f>HYPERLINK("https://www.google.com/maps/search/?api=1&amp;query=24.60170897,46.69501853", "View Map")</f>
        <v/>
      </c>
    </row>
    <row r="459">
      <c r="A459" t="inlineStr">
        <is>
          <t xml:space="preserve">   جامع نورة بنت عبدالعزيزالحقباني .</t>
        </is>
      </c>
      <c r="B459" t="inlineStr">
        <is>
          <t>KFM2020660192983</t>
        </is>
      </c>
      <c r="C459" t="inlineStr">
        <is>
          <t>الرياض</t>
        </is>
      </c>
      <c r="D459" t="inlineStr">
        <is>
          <t>كلا الفترتين</t>
        </is>
      </c>
      <c r="E459" t="n">
        <v>4220</v>
      </c>
      <c r="F459" t="b">
        <v>1</v>
      </c>
      <c r="G459">
        <f>HYPERLINK("https://www.google.com/maps/search/?api=1&amp;query=24.78265071,46.58388412", "View Map")</f>
        <v/>
      </c>
    </row>
    <row r="460">
      <c r="A460" t="inlineStr">
        <is>
          <t xml:space="preserve">   مسجد      صالح      الحديثي .</t>
        </is>
      </c>
      <c r="B460" t="inlineStr">
        <is>
          <t>KFM2020660056669</t>
        </is>
      </c>
      <c r="C460" t="inlineStr">
        <is>
          <t>الرياض</t>
        </is>
      </c>
      <c r="D460" t="inlineStr">
        <is>
          <t>كلا الفترتين</t>
        </is>
      </c>
      <c r="E460" t="n">
        <v>4214</v>
      </c>
      <c r="F460" t="b">
        <v>0</v>
      </c>
      <c r="G460">
        <f>HYPERLINK("https://www.google.com/maps/search/?api=1&amp;query=24.7226486,46.79984027", "View Map")</f>
        <v/>
      </c>
    </row>
    <row r="461">
      <c r="A461" t="inlineStr">
        <is>
          <t xml:space="preserve">   مسجد لولوةبنت محمد المالك .</t>
        </is>
      </c>
      <c r="B461" t="inlineStr">
        <is>
          <t>KFM2020660191036</t>
        </is>
      </c>
      <c r="C461" t="inlineStr">
        <is>
          <t>الرياض</t>
        </is>
      </c>
      <c r="D461" t="inlineStr">
        <is>
          <t>كلا الفترتين</t>
        </is>
      </c>
      <c r="E461" t="n">
        <v>4203</v>
      </c>
      <c r="F461" t="b">
        <v>0</v>
      </c>
      <c r="G461">
        <f>HYPERLINK("https://www.google.com/maps/search/?api=1&amp;query=24.8023764,46.80238528", "View Map")</f>
        <v/>
      </c>
    </row>
    <row r="462">
      <c r="A462" t="inlineStr">
        <is>
          <t xml:space="preserve">   مسجدالسحيم مع سكن الامام والمؤذن .</t>
        </is>
      </c>
      <c r="B462" t="inlineStr">
        <is>
          <t>KFM2020660053564</t>
        </is>
      </c>
      <c r="C462" t="inlineStr">
        <is>
          <t>الرياض</t>
        </is>
      </c>
      <c r="D462" t="inlineStr">
        <is>
          <t>كلا الفترتين</t>
        </is>
      </c>
      <c r="E462" t="n">
        <v>4188</v>
      </c>
      <c r="F462" t="b">
        <v>0</v>
      </c>
      <c r="G462">
        <f>HYPERLINK("https://www.google.com/maps/search/?api=1&amp;query=24.81903905,46.72484647", "View Map")</f>
        <v/>
      </c>
    </row>
    <row r="463">
      <c r="A463" t="inlineStr">
        <is>
          <t xml:space="preserve">   وزارة الشئون الاسلاميه والاوقاف .</t>
        </is>
      </c>
      <c r="B463" t="inlineStr">
        <is>
          <t>KFM2020660213986</t>
        </is>
      </c>
      <c r="C463" t="inlineStr">
        <is>
          <t>الرياض</t>
        </is>
      </c>
      <c r="D463" t="inlineStr">
        <is>
          <t>كلا الفترتين</t>
        </is>
      </c>
      <c r="E463" t="n">
        <v>4181</v>
      </c>
      <c r="F463" t="b">
        <v>1</v>
      </c>
      <c r="G463">
        <f>HYPERLINK("https://www.google.com/maps/search/?api=1&amp;query=24.73929471,46.7187042", "View Map")</f>
        <v/>
      </c>
    </row>
    <row r="464">
      <c r="A464" t="inlineStr">
        <is>
          <t>مسجد      جامع      شبرا .</t>
        </is>
      </c>
      <c r="B464" t="inlineStr">
        <is>
          <t>KFM2020660049448</t>
        </is>
      </c>
      <c r="C464" t="inlineStr">
        <is>
          <t>الرياض</t>
        </is>
      </c>
      <c r="D464" t="inlineStr">
        <is>
          <t>كلا الفترتين</t>
        </is>
      </c>
      <c r="E464" t="n">
        <v>4181</v>
      </c>
      <c r="F464" t="b">
        <v>1</v>
      </c>
      <c r="G464">
        <f>HYPERLINK("https://www.google.com/maps/search/?api=1&amp;query=24.58650463,46.68320732", "View Map")</f>
        <v/>
      </c>
    </row>
    <row r="465">
      <c r="A465" t="inlineStr">
        <is>
          <t xml:space="preserve">   مسجدحي الربيع .</t>
        </is>
      </c>
      <c r="B465" t="inlineStr">
        <is>
          <t>KFM2020660208626</t>
        </is>
      </c>
      <c r="C465" t="inlineStr">
        <is>
          <t>الرياض</t>
        </is>
      </c>
      <c r="D465" t="inlineStr">
        <is>
          <t>كلا الفترتين</t>
        </is>
      </c>
      <c r="E465" t="n">
        <v>4172</v>
      </c>
      <c r="F465" t="b">
        <v>1</v>
      </c>
      <c r="G465">
        <f>HYPERLINK("https://www.google.com/maps/search/?api=1&amp;query=24.78812478,46.66134629", "View Map")</f>
        <v/>
      </c>
    </row>
    <row r="466">
      <c r="A466" t="inlineStr">
        <is>
          <t xml:space="preserve">   مسجد كيلو 4 بالنسيم .</t>
        </is>
      </c>
      <c r="B466" t="inlineStr">
        <is>
          <t>KFM2120660237230</t>
        </is>
      </c>
      <c r="C466" t="inlineStr">
        <is>
          <t>الرياض</t>
        </is>
      </c>
      <c r="D466" t="inlineStr">
        <is>
          <t>كلا الفترتين</t>
        </is>
      </c>
      <c r="E466" t="n">
        <v>4168</v>
      </c>
      <c r="F466" t="b">
        <v>1</v>
      </c>
      <c r="G466">
        <f>HYPERLINK("https://www.google.com/maps/search/?api=1&amp;query=24.7204502,46.84371582", "View Map")</f>
        <v/>
      </c>
    </row>
    <row r="467">
      <c r="A467" t="inlineStr">
        <is>
          <t xml:space="preserve">   مسجد عبدالرحمن الخريف .</t>
        </is>
      </c>
      <c r="B467" t="inlineStr">
        <is>
          <t>KFM2020660170095</t>
        </is>
      </c>
      <c r="C467" t="inlineStr">
        <is>
          <t>الرياض</t>
        </is>
      </c>
      <c r="D467" t="inlineStr">
        <is>
          <t>كلا الفترتين</t>
        </is>
      </c>
      <c r="E467" t="n">
        <v>4162</v>
      </c>
      <c r="F467" t="b">
        <v>0</v>
      </c>
      <c r="G467">
        <f>HYPERLINK("https://www.google.com/maps/search/?api=1&amp;query=24.69095082,46.65804247", "View Map")</f>
        <v/>
      </c>
    </row>
    <row r="468">
      <c r="A468" t="inlineStr">
        <is>
          <t>مساجد .</t>
        </is>
      </c>
      <c r="B468" t="inlineStr">
        <is>
          <t>KFM2020660176819</t>
        </is>
      </c>
      <c r="C468" t="inlineStr">
        <is>
          <t>الرياض</t>
        </is>
      </c>
      <c r="D468" t="inlineStr">
        <is>
          <t>كلا الفترتين</t>
        </is>
      </c>
      <c r="E468" t="n">
        <v>4160</v>
      </c>
      <c r="F468" t="b">
        <v>1</v>
      </c>
      <c r="G468">
        <f>HYPERLINK("https://www.google.com/maps/search/?api=1&amp;query=24.62463958,46.52681672", "View Map")</f>
        <v/>
      </c>
    </row>
    <row r="469">
      <c r="A469" t="inlineStr">
        <is>
          <t xml:space="preserve">   جامع العرنوس .</t>
        </is>
      </c>
      <c r="B469" t="inlineStr">
        <is>
          <t>KFM2020660162754</t>
        </is>
      </c>
      <c r="C469" t="inlineStr">
        <is>
          <t>الرياض</t>
        </is>
      </c>
      <c r="D469" t="inlineStr">
        <is>
          <t>كلا الفترتين</t>
        </is>
      </c>
      <c r="E469" t="n">
        <v>4158</v>
      </c>
      <c r="F469" t="b">
        <v>1</v>
      </c>
      <c r="G469">
        <f>HYPERLINK("https://www.google.com/maps/search/?api=1&amp;query=24.57960877,46.77533728", "View Map")</f>
        <v/>
      </c>
    </row>
    <row r="470">
      <c r="A470" t="inlineStr">
        <is>
          <t xml:space="preserve">   مسجدنوره الصبيح ومرافقة .</t>
        </is>
      </c>
      <c r="B470" t="inlineStr">
        <is>
          <t>KFM2020660213087</t>
        </is>
      </c>
      <c r="C470" t="inlineStr">
        <is>
          <t>الرياض</t>
        </is>
      </c>
      <c r="D470" t="inlineStr">
        <is>
          <t>كلا الفترتين</t>
        </is>
      </c>
      <c r="E470" t="n">
        <v>4155</v>
      </c>
      <c r="F470" t="b">
        <v>1</v>
      </c>
      <c r="G470">
        <f>HYPERLINK("https://www.google.com/maps/search/?api=1&amp;query=24.80815684,46.64779408", "View Map")</f>
        <v/>
      </c>
    </row>
    <row r="471">
      <c r="A471" t="inlineStr">
        <is>
          <t>ﻤﺴﺎﺠﺩ .</t>
        </is>
      </c>
      <c r="B471" t="inlineStr">
        <is>
          <t>SMR2220661018237</t>
        </is>
      </c>
      <c r="C471" t="inlineStr">
        <is>
          <t>الرياض</t>
        </is>
      </c>
      <c r="D471" t="inlineStr">
        <is>
          <t>كلا الفترتين</t>
        </is>
      </c>
      <c r="E471" t="n">
        <v>4136</v>
      </c>
      <c r="F471" t="b">
        <v>1</v>
      </c>
      <c r="G471">
        <f>HYPERLINK("https://www.google.com/maps/search/?api=1&amp;query=24.84607118,46.6320328", "View Map")</f>
        <v/>
      </c>
    </row>
    <row r="472">
      <c r="A472" t="inlineStr">
        <is>
          <t>مسجد الهدايه .</t>
        </is>
      </c>
      <c r="B472" t="inlineStr">
        <is>
          <t>KFM2020660171001</t>
        </is>
      </c>
      <c r="C472" t="inlineStr">
        <is>
          <t>الرياض</t>
        </is>
      </c>
      <c r="D472" t="inlineStr">
        <is>
          <t>كلا الفترتين</t>
        </is>
      </c>
      <c r="E472" t="n">
        <v>4132</v>
      </c>
      <c r="F472" t="b">
        <v>0</v>
      </c>
      <c r="G472">
        <f>HYPERLINK("https://www.google.com/maps/search/?api=1&amp;query=24.53272717,46.65771573", "View Map")</f>
        <v/>
      </c>
    </row>
    <row r="473">
      <c r="A473" t="inlineStr">
        <is>
          <t>ﻭﺯﺍﺭﺓﺍﻟﺸﺌﻭﻥ ﺍﻻﺴﻼﻤﻴﺓﻭﺍﻻﻭﻗﺎﻑ .</t>
        </is>
      </c>
      <c r="B473" t="inlineStr">
        <is>
          <t>KFM2020660203983</t>
        </is>
      </c>
      <c r="C473" t="inlineStr">
        <is>
          <t>الرياض</t>
        </is>
      </c>
      <c r="D473" t="inlineStr">
        <is>
          <t>كلا الفترتين</t>
        </is>
      </c>
      <c r="E473" t="n">
        <v>4129</v>
      </c>
      <c r="F473" t="b">
        <v>1</v>
      </c>
      <c r="G473">
        <f>HYPERLINK("https://www.google.com/maps/search/?api=1&amp;query=24.55106877,46.67705814", "View Map")</f>
        <v/>
      </c>
    </row>
    <row r="474">
      <c r="A474" t="inlineStr">
        <is>
          <t xml:space="preserve">   مسجد الفضيلي .</t>
        </is>
      </c>
      <c r="B474" t="inlineStr">
        <is>
          <t>KFM2020660124984</t>
        </is>
      </c>
      <c r="C474" t="inlineStr">
        <is>
          <t>الرياض</t>
        </is>
      </c>
      <c r="D474" t="inlineStr">
        <is>
          <t>كلا الفترتين</t>
        </is>
      </c>
      <c r="E474" t="n">
        <v>4126</v>
      </c>
      <c r="F474" t="b">
        <v>1</v>
      </c>
      <c r="G474">
        <f>HYPERLINK("https://www.google.com/maps/search/?api=1&amp;query=24.74282844,46.76123553", "View Map")</f>
        <v/>
      </c>
    </row>
    <row r="475">
      <c r="A475" t="inlineStr">
        <is>
          <t xml:space="preserve">   مسجد حي الريان .</t>
        </is>
      </c>
      <c r="B475" t="inlineStr">
        <is>
          <t>KFM2020660167835</t>
        </is>
      </c>
      <c r="C475" t="inlineStr">
        <is>
          <t>الرياض</t>
        </is>
      </c>
      <c r="D475" t="inlineStr">
        <is>
          <t>كلا الفترتين</t>
        </is>
      </c>
      <c r="E475" t="n">
        <v>4124</v>
      </c>
      <c r="F475" t="b">
        <v>1</v>
      </c>
      <c r="G475">
        <f>HYPERLINK("https://www.google.com/maps/search/?api=1&amp;query=24.70531838,46.76942957", "View Map")</f>
        <v/>
      </c>
    </row>
    <row r="476">
      <c r="A476" t="inlineStr">
        <is>
          <t xml:space="preserve">   مسجد/ عمر بن  عبدالعزيز .</t>
        </is>
      </c>
      <c r="B476" t="inlineStr">
        <is>
          <t>KFM2020660197660</t>
        </is>
      </c>
      <c r="C476" t="inlineStr">
        <is>
          <t>الرياض</t>
        </is>
      </c>
      <c r="D476" t="inlineStr">
        <is>
          <t>كلا الفترتين</t>
        </is>
      </c>
      <c r="E476" t="n">
        <v>4120</v>
      </c>
      <c r="F476" t="b">
        <v>1</v>
      </c>
      <c r="G476">
        <f>HYPERLINK("https://www.google.com/maps/search/?api=1&amp;query=24.73790389,46.71423975", "View Map")</f>
        <v/>
      </c>
    </row>
    <row r="477">
      <c r="A477" t="inlineStr">
        <is>
          <t xml:space="preserve">   مسجدحى الفيحاء .</t>
        </is>
      </c>
      <c r="B477" t="inlineStr">
        <is>
          <t>KFM2120660299663</t>
        </is>
      </c>
      <c r="C477" t="inlineStr">
        <is>
          <t>الرياض</t>
        </is>
      </c>
      <c r="D477" t="inlineStr">
        <is>
          <t>كلا الفترتين</t>
        </is>
      </c>
      <c r="E477" t="n">
        <v>4119</v>
      </c>
      <c r="F477" t="b">
        <v>0</v>
      </c>
      <c r="G477">
        <f>HYPERLINK("https://www.google.com/maps/search/?api=1&amp;query=24.68847054,46.82598437", "View Map")</f>
        <v/>
      </c>
    </row>
    <row r="478">
      <c r="A478" t="inlineStr">
        <is>
          <t>مسجد حي شبرا .</t>
        </is>
      </c>
      <c r="B478" t="inlineStr">
        <is>
          <t>KFM2020660039919</t>
        </is>
      </c>
      <c r="C478" t="inlineStr">
        <is>
          <t>الرياض</t>
        </is>
      </c>
      <c r="D478" t="inlineStr">
        <is>
          <t>كلا الفترتين</t>
        </is>
      </c>
      <c r="E478" t="n">
        <v>4117</v>
      </c>
      <c r="F478" t="b">
        <v>1</v>
      </c>
      <c r="G478">
        <f>HYPERLINK("https://www.google.com/maps/search/?api=1&amp;query=24.57921983,46.66917462", "View Map")</f>
        <v/>
      </c>
    </row>
    <row r="479">
      <c r="A479" t="inlineStr">
        <is>
          <t xml:space="preserve">   مسجد حي الخليج .</t>
        </is>
      </c>
      <c r="B479" t="inlineStr">
        <is>
          <t>KFM2020660190976</t>
        </is>
      </c>
      <c r="C479" t="inlineStr">
        <is>
          <t>الرياض</t>
        </is>
      </c>
      <c r="D479" t="inlineStr">
        <is>
          <t>كلا الفترتين</t>
        </is>
      </c>
      <c r="E479" t="n">
        <v>4117</v>
      </c>
      <c r="F479" t="b">
        <v>1</v>
      </c>
      <c r="G479">
        <f>HYPERLINK("https://www.google.com/maps/search/?api=1&amp;query=24.77426357,46.79551526", "View Map")</f>
        <v/>
      </c>
    </row>
    <row r="480">
      <c r="A480" t="inlineStr">
        <is>
          <t>ﺍﻟﻬﻴﺌﺓﺍﻟﻌﻟﻴﺎﻟﺘﻁﻭﻴﺭﻤﺩﻴﻨﺓﺍﻟﺭﻴﺎﺽ .</t>
        </is>
      </c>
      <c r="B480" t="inlineStr">
        <is>
          <t>KFM2120660301998</t>
        </is>
      </c>
      <c r="C480" t="inlineStr">
        <is>
          <t>الرياض</t>
        </is>
      </c>
      <c r="D480" t="inlineStr">
        <is>
          <t>كلا الفترتين</t>
        </is>
      </c>
      <c r="E480" t="n">
        <v>4114</v>
      </c>
      <c r="F480" t="b">
        <v>1</v>
      </c>
      <c r="G480">
        <f>HYPERLINK("https://www.google.com/maps/search/?api=1&amp;query=24.6757,46.63011", "View Map")</f>
        <v/>
      </c>
    </row>
    <row r="481">
      <c r="A481" t="inlineStr">
        <is>
          <t xml:space="preserve">   مسجدالفلاح .</t>
        </is>
      </c>
      <c r="B481" t="inlineStr">
        <is>
          <t>KFM2020660206988</t>
        </is>
      </c>
      <c r="C481" t="inlineStr">
        <is>
          <t>الرياض</t>
        </is>
      </c>
      <c r="D481" t="inlineStr">
        <is>
          <t>كلا الفترتين</t>
        </is>
      </c>
      <c r="E481" t="n">
        <v>4096</v>
      </c>
      <c r="F481" t="b">
        <v>1</v>
      </c>
      <c r="G481">
        <f>HYPERLINK("https://www.google.com/maps/search/?api=1&amp;query=24.80299941,46.71617693", "View Map")</f>
        <v/>
      </c>
    </row>
    <row r="482">
      <c r="A482" t="inlineStr">
        <is>
          <t>ﻤﺴﺎﺠﺩ .</t>
        </is>
      </c>
      <c r="B482" t="inlineStr">
        <is>
          <t>KFM2020660209474</t>
        </is>
      </c>
      <c r="C482" t="inlineStr">
        <is>
          <t>الرياض</t>
        </is>
      </c>
      <c r="D482" t="inlineStr">
        <is>
          <t>كلا الفترتين</t>
        </is>
      </c>
      <c r="E482" t="n">
        <v>4094</v>
      </c>
      <c r="F482" t="b">
        <v>0</v>
      </c>
      <c r="G482">
        <f>HYPERLINK("https://www.google.com/maps/search/?api=1&amp;query=24.8795,46.6381", "View Map")</f>
        <v/>
      </c>
    </row>
    <row r="483">
      <c r="A483" t="inlineStr">
        <is>
          <t xml:space="preserve"> مسجد حي السعادة مدرسة تحفيظ القرآن .</t>
        </is>
      </c>
      <c r="B483" t="inlineStr">
        <is>
          <t>KFM2120660242157</t>
        </is>
      </c>
      <c r="C483" t="inlineStr">
        <is>
          <t>الرياض</t>
        </is>
      </c>
      <c r="D483" t="inlineStr">
        <is>
          <t>كلا الفترتين</t>
        </is>
      </c>
      <c r="E483" t="n">
        <v>4091</v>
      </c>
      <c r="F483" t="b">
        <v>1</v>
      </c>
      <c r="G483">
        <f>HYPERLINK("https://www.google.com/maps/search/?api=1&amp;query=24.68549506,46.82876099", "View Map")</f>
        <v/>
      </c>
    </row>
    <row r="484">
      <c r="A484" t="inlineStr">
        <is>
          <t xml:space="preserve">   جامع الربع بالربوه .</t>
        </is>
      </c>
      <c r="B484" t="inlineStr">
        <is>
          <t>KFM2120660267447</t>
        </is>
      </c>
      <c r="C484" t="inlineStr">
        <is>
          <t>الرياض</t>
        </is>
      </c>
      <c r="D484" t="inlineStr">
        <is>
          <t>كلا الفترتين</t>
        </is>
      </c>
      <c r="E484" t="n">
        <v>4076</v>
      </c>
      <c r="F484" t="b">
        <v>1</v>
      </c>
      <c r="G484">
        <f>HYPERLINK("https://www.google.com/maps/search/?api=1&amp;query=24.69716626,46.75205603", "View Map")</f>
        <v/>
      </c>
    </row>
    <row r="485">
      <c r="A485" t="inlineStr">
        <is>
          <t xml:space="preserve">   مسجدالسلي حي الجزيره .</t>
        </is>
      </c>
      <c r="B485" t="inlineStr">
        <is>
          <t>KFM2120660271546</t>
        </is>
      </c>
      <c r="C485" t="inlineStr">
        <is>
          <t>الرياض</t>
        </is>
      </c>
      <c r="D485" t="inlineStr">
        <is>
          <t>كلا الفترتين</t>
        </is>
      </c>
      <c r="E485" t="n">
        <v>4075</v>
      </c>
      <c r="F485" t="b">
        <v>0</v>
      </c>
      <c r="G485">
        <f>HYPERLINK("https://www.google.com/maps/search/?api=1&amp;query=24.66213054,46.80220782", "View Map")</f>
        <v/>
      </c>
    </row>
    <row r="486">
      <c r="A486" t="inlineStr">
        <is>
          <t xml:space="preserve">   وزارة الشئوؤن الاسلامية/مسجدالفاضل .</t>
        </is>
      </c>
      <c r="B486" t="inlineStr">
        <is>
          <t>KFM2020660207698</t>
        </is>
      </c>
      <c r="C486" t="inlineStr">
        <is>
          <t>الرياض</t>
        </is>
      </c>
      <c r="D486" t="inlineStr">
        <is>
          <t>كلا الفترتين</t>
        </is>
      </c>
      <c r="E486" t="n">
        <v>4074</v>
      </c>
      <c r="F486" t="b">
        <v>1</v>
      </c>
      <c r="G486">
        <f>HYPERLINK("https://www.google.com/maps/search/?api=1&amp;query=24.79937955,46.69492821", "View Map")</f>
        <v/>
      </c>
    </row>
    <row r="487">
      <c r="A487" t="inlineStr">
        <is>
          <t>ﻤﺴﺎﺠﺩ .</t>
        </is>
      </c>
      <c r="B487" t="inlineStr">
        <is>
          <t>KFM2020660201690</t>
        </is>
      </c>
      <c r="C487" t="inlineStr">
        <is>
          <t>الرياض</t>
        </is>
      </c>
      <c r="D487" t="inlineStr">
        <is>
          <t>كلا الفترتين</t>
        </is>
      </c>
      <c r="E487" t="n">
        <v>4070</v>
      </c>
      <c r="F487" t="b">
        <v>1</v>
      </c>
      <c r="G487">
        <f>HYPERLINK("https://www.google.com/maps/search/?api=1&amp;query=24.84802253,46.78672859", "View Map")</f>
        <v/>
      </c>
    </row>
    <row r="488">
      <c r="A488" t="inlineStr">
        <is>
          <t xml:space="preserve"> مسجدالامير تركي بن عبدالرحمن ال سعود .</t>
        </is>
      </c>
      <c r="B488" t="inlineStr">
        <is>
          <t>KFM2020660133859</t>
        </is>
      </c>
      <c r="C488" t="inlineStr">
        <is>
          <t>الرياض</t>
        </is>
      </c>
      <c r="D488" t="inlineStr">
        <is>
          <t>كلا الفترتين</t>
        </is>
      </c>
      <c r="E488" t="n">
        <v>4062</v>
      </c>
      <c r="F488" t="b">
        <v>1</v>
      </c>
      <c r="G488">
        <f>HYPERLINK("https://www.google.com/maps/search/?api=1&amp;query=24.78505252,46.75259701", "View Map")</f>
        <v/>
      </c>
    </row>
    <row r="489">
      <c r="A489" t="inlineStr">
        <is>
          <t>ﻤﺴﺎﺠﺩ .</t>
        </is>
      </c>
      <c r="B489" t="inlineStr">
        <is>
          <t>KFM2020660052625</t>
        </is>
      </c>
      <c r="C489" t="inlineStr">
        <is>
          <t>الرياض</t>
        </is>
      </c>
      <c r="D489" t="inlineStr">
        <is>
          <t>كلا الفترتين</t>
        </is>
      </c>
      <c r="E489" t="n">
        <v>4059</v>
      </c>
      <c r="F489" t="b">
        <v>1</v>
      </c>
      <c r="G489">
        <f>HYPERLINK("https://www.google.com/maps/search/?api=1&amp;query=24.82135816,46.71911923", "View Map")</f>
        <v/>
      </c>
    </row>
    <row r="490">
      <c r="A490" t="inlineStr">
        <is>
          <t xml:space="preserve">   مسجد حي اليرموك .</t>
        </is>
      </c>
      <c r="B490" t="inlineStr">
        <is>
          <t>KFM2020660040498</t>
        </is>
      </c>
      <c r="C490" t="inlineStr">
        <is>
          <t>الرياض</t>
        </is>
      </c>
      <c r="D490" t="inlineStr">
        <is>
          <t>كلا الفترتين</t>
        </is>
      </c>
      <c r="E490" t="n">
        <v>4052</v>
      </c>
      <c r="F490" t="b">
        <v>0</v>
      </c>
      <c r="G490">
        <f>HYPERLINK("https://www.google.com/maps/search/?api=1&amp;query=24.80761151,46.76343591", "View Map")</f>
        <v/>
      </c>
    </row>
    <row r="491">
      <c r="A491" t="inlineStr">
        <is>
          <t>ﻭﺯﺍﺭﺓﺍﻟﺸﺌﻭﻥ ﺍﻻﺴﻼﻤﻴﺓﻭﺍﻻﻭﻗﺎﻑ .</t>
        </is>
      </c>
      <c r="B491" t="inlineStr">
        <is>
          <t>KFM2020660018985</t>
        </is>
      </c>
      <c r="C491" t="inlineStr">
        <is>
          <t>الرياض</t>
        </is>
      </c>
      <c r="D491" t="inlineStr">
        <is>
          <t>كلا الفترتين</t>
        </is>
      </c>
      <c r="E491" t="n">
        <v>4045</v>
      </c>
      <c r="F491" t="b">
        <v>1</v>
      </c>
      <c r="G491">
        <f>HYPERLINK("https://www.google.com/maps/search/?api=1&amp;query=24.6122,46.7017", "View Map")</f>
        <v/>
      </c>
    </row>
    <row r="492">
      <c r="A492" t="inlineStr">
        <is>
          <t xml:space="preserve">   مسجد/نورة بنت صالح الغماس .</t>
        </is>
      </c>
      <c r="B492" t="inlineStr">
        <is>
          <t>KFM2020660174201</t>
        </is>
      </c>
      <c r="C492" t="inlineStr">
        <is>
          <t>الرياض</t>
        </is>
      </c>
      <c r="D492" t="inlineStr">
        <is>
          <t>كلا الفترتين</t>
        </is>
      </c>
      <c r="E492" t="n">
        <v>4042</v>
      </c>
      <c r="F492" t="b">
        <v>0</v>
      </c>
      <c r="G492">
        <f>HYPERLINK("https://www.google.com/maps/search/?api=1&amp;query=24.74253944,46.68709447", "View Map")</f>
        <v/>
      </c>
    </row>
    <row r="493">
      <c r="A493" t="inlineStr">
        <is>
          <t>ﻤﺴﺎﺠﺩ .</t>
        </is>
      </c>
      <c r="B493" t="inlineStr">
        <is>
          <t>KFM2020660142235</t>
        </is>
      </c>
      <c r="C493" t="inlineStr">
        <is>
          <t>الرياض</t>
        </is>
      </c>
      <c r="D493" t="inlineStr">
        <is>
          <t>كلا الفترتين</t>
        </is>
      </c>
      <c r="E493" t="n">
        <v>4035</v>
      </c>
      <c r="F493" t="b">
        <v>1</v>
      </c>
      <c r="G493">
        <f>HYPERLINK("https://www.google.com/maps/search/?api=1&amp;query=24.81079056,46.74341364", "View Map")</f>
        <v/>
      </c>
    </row>
    <row r="494">
      <c r="A494" t="inlineStr">
        <is>
          <t xml:space="preserve">   مسجد سعد بن معاذ .</t>
        </is>
      </c>
      <c r="B494" t="inlineStr">
        <is>
          <t>KFM2120660281717</t>
        </is>
      </c>
      <c r="C494" t="inlineStr">
        <is>
          <t>الرياض</t>
        </is>
      </c>
      <c r="D494" t="inlineStr">
        <is>
          <t>كلا الفترتين</t>
        </is>
      </c>
      <c r="E494" t="n">
        <v>4029</v>
      </c>
      <c r="F494" t="b">
        <v>1</v>
      </c>
      <c r="G494">
        <f>HYPERLINK("https://www.google.com/maps/search/?api=1&amp;query=24.62112977,46.73223297", "View Map")</f>
        <v/>
      </c>
    </row>
    <row r="495">
      <c r="A495" t="inlineStr">
        <is>
          <t xml:space="preserve">   مسجد الامير متعب بن عبدالعزيز .</t>
        </is>
      </c>
      <c r="B495" t="inlineStr">
        <is>
          <t>KFM2120660271638</t>
        </is>
      </c>
      <c r="C495" t="inlineStr">
        <is>
          <t>الرياض</t>
        </is>
      </c>
      <c r="D495" t="inlineStr">
        <is>
          <t>كلا الفترتين</t>
        </is>
      </c>
      <c r="E495" t="n">
        <v>4024</v>
      </c>
      <c r="F495" t="b">
        <v>1</v>
      </c>
      <c r="G495">
        <f>HYPERLINK("https://www.google.com/maps/search/?api=1&amp;query=24.63679652,46.75307336", "View Map")</f>
        <v/>
      </c>
    </row>
    <row r="496">
      <c r="A496" t="inlineStr">
        <is>
          <t>مسجد النمر / الشفا .</t>
        </is>
      </c>
      <c r="B496" t="inlineStr">
        <is>
          <t>KFM2020660057837</t>
        </is>
      </c>
      <c r="C496" t="inlineStr">
        <is>
          <t>الرياض</t>
        </is>
      </c>
      <c r="D496" t="inlineStr">
        <is>
          <t>كلا الفترتين</t>
        </is>
      </c>
      <c r="E496" t="n">
        <v>4021</v>
      </c>
      <c r="F496" t="b">
        <v>0</v>
      </c>
      <c r="G496">
        <f>HYPERLINK("https://www.google.com/maps/search/?api=1&amp;query=24.56681704,46.68363232", "View Map")</f>
        <v/>
      </c>
    </row>
    <row r="497">
      <c r="A497" t="inlineStr">
        <is>
          <t xml:space="preserve">   مساجد .</t>
        </is>
      </c>
      <c r="B497" t="inlineStr">
        <is>
          <t>KFM2020660211318</t>
        </is>
      </c>
      <c r="C497" t="inlineStr">
        <is>
          <t>الرياض</t>
        </is>
      </c>
      <c r="D497" t="inlineStr">
        <is>
          <t>كلا الفترتين</t>
        </is>
      </c>
      <c r="E497" t="n">
        <v>4017</v>
      </c>
      <c r="F497" t="b">
        <v>1</v>
      </c>
      <c r="G497">
        <f>HYPERLINK("https://www.google.com/maps/search/?api=1&amp;query=24.63361025,46.53735388", "View Map")</f>
        <v/>
      </c>
    </row>
    <row r="498">
      <c r="A498" t="inlineStr">
        <is>
          <t>ﻤﺴﺎﺠﺩ .</t>
        </is>
      </c>
      <c r="B498" t="inlineStr">
        <is>
          <t>KFM2020660031548</t>
        </is>
      </c>
      <c r="C498" t="inlineStr">
        <is>
          <t>الرياض</t>
        </is>
      </c>
      <c r="D498" t="inlineStr">
        <is>
          <t>كلا الفترتين</t>
        </is>
      </c>
      <c r="E498" t="n">
        <v>4004</v>
      </c>
      <c r="F498" t="b">
        <v>0</v>
      </c>
      <c r="G498">
        <f>HYPERLINK("https://www.google.com/maps/search/?api=1&amp;query=24.61947042,46.83782531", "View Map")</f>
        <v/>
      </c>
    </row>
    <row r="499">
      <c r="A499" t="inlineStr">
        <is>
          <t xml:space="preserve">   مسجد وسكن عبدالله المغامس .</t>
        </is>
      </c>
      <c r="B499" t="inlineStr">
        <is>
          <t>KFM2020660174893</t>
        </is>
      </c>
      <c r="C499" t="inlineStr">
        <is>
          <t>الرياض</t>
        </is>
      </c>
      <c r="D499" t="inlineStr">
        <is>
          <t>كلا الفترتين</t>
        </is>
      </c>
      <c r="E499" t="n">
        <v>4003</v>
      </c>
      <c r="F499" t="b">
        <v>1</v>
      </c>
      <c r="G499">
        <f>HYPERLINK("https://www.google.com/maps/search/?api=1&amp;query=24.81650648,46.77273439", "View Map")</f>
        <v/>
      </c>
    </row>
    <row r="500">
      <c r="A500" t="inlineStr">
        <is>
          <t xml:space="preserve">   مسجد نورة حرم التويجري .</t>
        </is>
      </c>
      <c r="B500" t="inlineStr">
        <is>
          <t>KFM2020660188571</t>
        </is>
      </c>
      <c r="C500" t="inlineStr">
        <is>
          <t>الرياض</t>
        </is>
      </c>
      <c r="D500" t="inlineStr">
        <is>
          <t>كلا الفترتين</t>
        </is>
      </c>
      <c r="E500" t="n">
        <v>3989</v>
      </c>
      <c r="F500" t="b">
        <v>1</v>
      </c>
      <c r="G500">
        <f>HYPERLINK("https://www.google.com/maps/search/?api=1&amp;query=24.80437328,46.64869483", "View Map")</f>
        <v/>
      </c>
    </row>
    <row r="501">
      <c r="A501" t="inlineStr">
        <is>
          <t>-  مسجد بحي الشفاء  -العطاالله .</t>
        </is>
      </c>
      <c r="B501" t="inlineStr">
        <is>
          <t>KFM2020660019050</t>
        </is>
      </c>
      <c r="C501" t="inlineStr">
        <is>
          <t>الرياض</t>
        </is>
      </c>
      <c r="D501" t="inlineStr">
        <is>
          <t>كلا الفترتين</t>
        </is>
      </c>
      <c r="E501" t="n">
        <v>3977</v>
      </c>
      <c r="F501" t="b">
        <v>1</v>
      </c>
      <c r="G501">
        <f>HYPERLINK("https://www.google.com/maps/search/?api=1&amp;query=24.56559255,46.68669281", "View Map")</f>
        <v/>
      </c>
    </row>
    <row r="502">
      <c r="A502" t="inlineStr">
        <is>
          <t xml:space="preserve">   وزارة الشئون الاسلاميةومسجد وسكن .</t>
        </is>
      </c>
      <c r="B502" t="inlineStr">
        <is>
          <t>KFM2020660013515</t>
        </is>
      </c>
      <c r="C502" t="inlineStr">
        <is>
          <t>الرياض</t>
        </is>
      </c>
      <c r="D502" t="inlineStr">
        <is>
          <t>كلا الفترتين</t>
        </is>
      </c>
      <c r="E502" t="n">
        <v>3971</v>
      </c>
      <c r="F502" t="b">
        <v>1</v>
      </c>
      <c r="G502">
        <f>HYPERLINK("https://www.google.com/maps/search/?api=1&amp;query=24.76530146,46.62392789", "View Map")</f>
        <v/>
      </c>
    </row>
    <row r="503">
      <c r="A503" t="inlineStr">
        <is>
          <t xml:space="preserve">         مسجد    حي     الغدير .</t>
        </is>
      </c>
      <c r="B503" t="inlineStr">
        <is>
          <t>KFM2120660240848</t>
        </is>
      </c>
      <c r="C503" t="inlineStr">
        <is>
          <t>الرياض</t>
        </is>
      </c>
      <c r="D503" t="inlineStr">
        <is>
          <t>كلا الفترتين</t>
        </is>
      </c>
      <c r="E503" t="n">
        <v>3965</v>
      </c>
      <c r="F503" t="b">
        <v>1</v>
      </c>
      <c r="G503">
        <f>HYPERLINK("https://www.google.com/maps/search/?api=1&amp;query=24.77867952,46.65492895", "View Map")</f>
        <v/>
      </c>
    </row>
    <row r="504">
      <c r="A504" t="inlineStr">
        <is>
          <t>مسجد / ابن كثير .</t>
        </is>
      </c>
      <c r="B504" t="inlineStr">
        <is>
          <t>KFM2020660057783</t>
        </is>
      </c>
      <c r="C504" t="inlineStr">
        <is>
          <t>الرياض</t>
        </is>
      </c>
      <c r="D504" t="inlineStr">
        <is>
          <t>كلا الفترتين</t>
        </is>
      </c>
      <c r="E504" t="n">
        <v>3944</v>
      </c>
      <c r="F504" t="b">
        <v>1</v>
      </c>
      <c r="G504">
        <f>HYPERLINK("https://www.google.com/maps/search/?api=1&amp;query=24.58322524,46.52242644", "View Map")</f>
        <v/>
      </c>
    </row>
    <row r="505">
      <c r="A505" t="inlineStr">
        <is>
          <t xml:space="preserve">   مسجد عبدالرحمن بن ثنيان العبيكان .</t>
        </is>
      </c>
      <c r="B505" t="inlineStr">
        <is>
          <t>KFM2020660197463</t>
        </is>
      </c>
      <c r="C505" t="inlineStr">
        <is>
          <t>الرياض</t>
        </is>
      </c>
      <c r="D505" t="inlineStr">
        <is>
          <t>كلا الفترتين</t>
        </is>
      </c>
      <c r="E505" t="n">
        <v>3942</v>
      </c>
      <c r="F505" t="b">
        <v>1</v>
      </c>
      <c r="G505">
        <f>HYPERLINK("https://www.google.com/maps/search/?api=1&amp;query=24.73271,46.65093", "View Map")</f>
        <v/>
      </c>
    </row>
    <row r="506">
      <c r="A506" t="inlineStr">
        <is>
          <t>مسجد/ بن تيميه .</t>
        </is>
      </c>
      <c r="B506" t="inlineStr">
        <is>
          <t>KFM2020660098752</t>
        </is>
      </c>
      <c r="C506" t="inlineStr">
        <is>
          <t>الرياض</t>
        </is>
      </c>
      <c r="D506" t="inlineStr">
        <is>
          <t>كلا الفترتين</t>
        </is>
      </c>
      <c r="E506" t="n">
        <v>3940</v>
      </c>
      <c r="F506" t="b">
        <v>0</v>
      </c>
      <c r="G506">
        <f>HYPERLINK("https://www.google.com/maps/search/?api=1&amp;query=24.55015781,46.68665308", "View Map")</f>
        <v/>
      </c>
    </row>
    <row r="507">
      <c r="A507" t="inlineStr">
        <is>
          <t>ﻭﺯﺍﺭﺓﺍﻟﺸﺌﻭﻥ ﺍﻻﺴﻼﻤﻴﺓﻭﺍﻻﻭﻗﺎﻑ .</t>
        </is>
      </c>
      <c r="B507" t="inlineStr">
        <is>
          <t>KFM2020660056079</t>
        </is>
      </c>
      <c r="C507" t="inlineStr">
        <is>
          <t>الرياض</t>
        </is>
      </c>
      <c r="D507" t="inlineStr">
        <is>
          <t>كلا الفترتين</t>
        </is>
      </c>
      <c r="E507" t="n">
        <v>3924</v>
      </c>
      <c r="F507" t="b">
        <v>0</v>
      </c>
      <c r="G507">
        <f>HYPERLINK("https://www.google.com/maps/search/?api=1&amp;query=24.67075781,46.74287983", "View Map")</f>
        <v/>
      </c>
    </row>
    <row r="508">
      <c r="A508" t="inlineStr">
        <is>
          <t xml:space="preserve">   وزاره الشؤن الاسلاميه والاوقاف .</t>
        </is>
      </c>
      <c r="B508" t="inlineStr">
        <is>
          <t>KFM2020660031225</t>
        </is>
      </c>
      <c r="C508" t="inlineStr">
        <is>
          <t>الرياض</t>
        </is>
      </c>
      <c r="D508" t="inlineStr">
        <is>
          <t>كلا الفترتين</t>
        </is>
      </c>
      <c r="E508" t="n">
        <v>3909</v>
      </c>
      <c r="F508" t="b">
        <v>1</v>
      </c>
      <c r="G508">
        <f>HYPERLINK("https://www.google.com/maps/search/?api=1&amp;query=24.70025958,46.63927743", "View Map")</f>
        <v/>
      </c>
    </row>
    <row r="509">
      <c r="A509" t="inlineStr">
        <is>
          <t xml:space="preserve">   مسجد حي الزهره .</t>
        </is>
      </c>
      <c r="B509" t="inlineStr">
        <is>
          <t>KFM2020660057140</t>
        </is>
      </c>
      <c r="C509" t="inlineStr">
        <is>
          <t>الرياض</t>
        </is>
      </c>
      <c r="D509" t="inlineStr">
        <is>
          <t>كلا الفترتين</t>
        </is>
      </c>
      <c r="E509" t="n">
        <v>3902</v>
      </c>
      <c r="F509" t="b">
        <v>1</v>
      </c>
      <c r="G509">
        <f>HYPERLINK("https://www.google.com/maps/search/?api=1&amp;query=24.72356668,46.80803843", "View Map")</f>
        <v/>
      </c>
    </row>
    <row r="510">
      <c r="A510" t="inlineStr">
        <is>
          <t>ﻤﺴﺎﺠﺩ .</t>
        </is>
      </c>
      <c r="B510" t="inlineStr">
        <is>
          <t>SMR2220661011699</t>
        </is>
      </c>
      <c r="C510" t="inlineStr">
        <is>
          <t>الرياض</t>
        </is>
      </c>
      <c r="D510" t="inlineStr">
        <is>
          <t>كلا الفترتين</t>
        </is>
      </c>
      <c r="E510" t="n">
        <v>3899</v>
      </c>
      <c r="F510" t="b">
        <v>1</v>
      </c>
      <c r="G510">
        <f>HYPERLINK("https://www.google.com/maps/search/?api=1&amp;query=24.74721727,46.62628386", "View Map")</f>
        <v/>
      </c>
    </row>
    <row r="511">
      <c r="A511" t="inlineStr">
        <is>
          <t>مسجد الراجحي .</t>
        </is>
      </c>
      <c r="B511" t="inlineStr">
        <is>
          <t>KFM2020660191150</t>
        </is>
      </c>
      <c r="C511" t="inlineStr">
        <is>
          <t>الرياض</t>
        </is>
      </c>
      <c r="D511" t="inlineStr">
        <is>
          <t>كلا الفترتين</t>
        </is>
      </c>
      <c r="E511" t="n">
        <v>3899</v>
      </c>
      <c r="F511" t="b">
        <v>1</v>
      </c>
      <c r="G511">
        <f>HYPERLINK("https://www.google.com/maps/search/?api=1&amp;query=24.58069407,46.67935242", "View Map")</f>
        <v/>
      </c>
    </row>
    <row r="512">
      <c r="A512" t="inlineStr">
        <is>
          <t>مساجد .</t>
        </is>
      </c>
      <c r="B512" t="inlineStr">
        <is>
          <t>KFM2020660207560</t>
        </is>
      </c>
      <c r="C512" t="inlineStr">
        <is>
          <t>الرياض</t>
        </is>
      </c>
      <c r="D512" t="inlineStr">
        <is>
          <t>كلا الفترتين</t>
        </is>
      </c>
      <c r="E512" t="n">
        <v>3897</v>
      </c>
      <c r="F512" t="b">
        <v>1</v>
      </c>
      <c r="G512">
        <f>HYPERLINK("https://www.google.com/maps/search/?api=1&amp;query=24.81286174,46.68884191", "View Map")</f>
        <v/>
      </c>
    </row>
    <row r="513">
      <c r="A513" t="inlineStr">
        <is>
          <t xml:space="preserve">   مسجد محمد ال شيخ .</t>
        </is>
      </c>
      <c r="B513" t="inlineStr">
        <is>
          <t>KFM2020660195178</t>
        </is>
      </c>
      <c r="C513" t="inlineStr">
        <is>
          <t>الرياض</t>
        </is>
      </c>
      <c r="D513" t="inlineStr">
        <is>
          <t>كلا الفترتين</t>
        </is>
      </c>
      <c r="E513" t="n">
        <v>3894</v>
      </c>
      <c r="F513" t="b">
        <v>0</v>
      </c>
      <c r="G513">
        <f>HYPERLINK("https://www.google.com/maps/search/?api=1&amp;query=24.75299174,46.83199376", "View Map")</f>
        <v/>
      </c>
    </row>
    <row r="514">
      <c r="A514" t="inlineStr">
        <is>
          <t xml:space="preserve">  مسجد وزارة الشئون الاسلاميه والاوقاف .</t>
        </is>
      </c>
      <c r="B514" t="inlineStr">
        <is>
          <t>KFM2120660299280</t>
        </is>
      </c>
      <c r="C514" t="inlineStr">
        <is>
          <t>الرياض</t>
        </is>
      </c>
      <c r="D514" t="inlineStr">
        <is>
          <t>كلا الفترتين</t>
        </is>
      </c>
      <c r="E514" t="n">
        <v>3890</v>
      </c>
      <c r="F514" t="b">
        <v>1</v>
      </c>
      <c r="G514">
        <f>HYPERLINK("https://www.google.com/maps/search/?api=1&amp;query=24.63351133,46.75650956", "View Map")</f>
        <v/>
      </c>
    </row>
    <row r="515">
      <c r="A515" t="inlineStr">
        <is>
          <t>مسجد      السكيت     الشفاء .</t>
        </is>
      </c>
      <c r="B515" t="inlineStr">
        <is>
          <t>KFM2020660035608</t>
        </is>
      </c>
      <c r="C515" t="inlineStr">
        <is>
          <t>الرياض</t>
        </is>
      </c>
      <c r="D515" t="inlineStr">
        <is>
          <t>كلا الفترتين</t>
        </is>
      </c>
      <c r="E515" t="n">
        <v>3875</v>
      </c>
      <c r="F515" t="b">
        <v>0</v>
      </c>
      <c r="G515">
        <f>HYPERLINK("https://www.google.com/maps/search/?api=1&amp;query=24.57471028,46.70445909", "View Map")</f>
        <v/>
      </c>
    </row>
    <row r="516">
      <c r="A516" t="inlineStr">
        <is>
          <t>ﻤﺴﺎﺠﺩ .</t>
        </is>
      </c>
      <c r="B516" t="inlineStr">
        <is>
          <t>KFM2020660104874</t>
        </is>
      </c>
      <c r="C516" t="inlineStr">
        <is>
          <t>الرياض</t>
        </is>
      </c>
      <c r="D516" t="inlineStr">
        <is>
          <t>كلا الفترتين</t>
        </is>
      </c>
      <c r="E516" t="n">
        <v>3869</v>
      </c>
      <c r="F516" t="b">
        <v>0</v>
      </c>
      <c r="G516">
        <f>HYPERLINK("https://www.google.com/maps/search/?api=1&amp;query=24.87025862,46.61654794", "View Map")</f>
        <v/>
      </c>
    </row>
    <row r="517">
      <c r="A517" t="inlineStr">
        <is>
          <t xml:space="preserve">   مسجد باجد .</t>
        </is>
      </c>
      <c r="B517" t="inlineStr">
        <is>
          <t>KFM2020660172791</t>
        </is>
      </c>
      <c r="C517" t="inlineStr">
        <is>
          <t>الرياض</t>
        </is>
      </c>
      <c r="D517" t="inlineStr">
        <is>
          <t>كلا الفترتين</t>
        </is>
      </c>
      <c r="E517" t="n">
        <v>3867</v>
      </c>
      <c r="F517" t="b">
        <v>0</v>
      </c>
      <c r="G517">
        <f>HYPERLINK("https://www.google.com/maps/search/?api=1&amp;query=24.6896367,46.76720152", "View Map")</f>
        <v/>
      </c>
    </row>
    <row r="518">
      <c r="A518" t="inlineStr">
        <is>
          <t xml:space="preserve">   مسجد حي النهضه .</t>
        </is>
      </c>
      <c r="B518" t="inlineStr">
        <is>
          <t>KFM2020660012512</t>
        </is>
      </c>
      <c r="C518" t="inlineStr">
        <is>
          <t>الرياض</t>
        </is>
      </c>
      <c r="D518" t="inlineStr">
        <is>
          <t>كلا الفترتين</t>
        </is>
      </c>
      <c r="E518" t="n">
        <v>3865</v>
      </c>
      <c r="F518" t="b">
        <v>1</v>
      </c>
      <c r="G518">
        <f>HYPERLINK("https://www.google.com/maps/search/?api=1&amp;query=24.76372004,46.82905062", "View Map")</f>
        <v/>
      </c>
    </row>
    <row r="519">
      <c r="A519" t="inlineStr">
        <is>
          <t xml:space="preserve">   مسجد والدة الأمير تركي .</t>
        </is>
      </c>
      <c r="B519" t="inlineStr">
        <is>
          <t>KFM2020660018693</t>
        </is>
      </c>
      <c r="C519" t="inlineStr">
        <is>
          <t>الرياض</t>
        </is>
      </c>
      <c r="D519" t="inlineStr">
        <is>
          <t>كلا الفترتين</t>
        </is>
      </c>
      <c r="E519" t="n">
        <v>3862</v>
      </c>
      <c r="F519" t="b">
        <v>1</v>
      </c>
      <c r="G519">
        <f>HYPERLINK("https://www.google.com/maps/search/?api=1&amp;query=24.76100008,46.77698716", "View Map")</f>
        <v/>
      </c>
    </row>
    <row r="520">
      <c r="A520" t="inlineStr">
        <is>
          <t xml:space="preserve">   مسجد      الخلفاء   . .</t>
        </is>
      </c>
      <c r="B520" t="inlineStr">
        <is>
          <t>KFM2020660050559</t>
        </is>
      </c>
      <c r="C520" t="inlineStr">
        <is>
          <t>الدرعية</t>
        </is>
      </c>
      <c r="D520" t="inlineStr">
        <is>
          <t>كلا الفترتين</t>
        </is>
      </c>
      <c r="E520" t="n">
        <v>3845</v>
      </c>
      <c r="F520" t="b">
        <v>0</v>
      </c>
      <c r="G520">
        <f>HYPERLINK("https://www.google.com/maps/search/?api=1&amp;query=24.75831558,46.57840631", "View Map")</f>
        <v/>
      </c>
    </row>
    <row r="521">
      <c r="A521" t="inlineStr">
        <is>
          <t xml:space="preserve">    جامع الأميرة سارة بنت تركي .</t>
        </is>
      </c>
      <c r="B521" t="inlineStr">
        <is>
          <t>KFM2120660246244</t>
        </is>
      </c>
      <c r="C521" t="inlineStr">
        <is>
          <t>الرياض</t>
        </is>
      </c>
      <c r="D521" t="inlineStr">
        <is>
          <t>كلا الفترتين</t>
        </is>
      </c>
      <c r="E521" t="n">
        <v>3843</v>
      </c>
      <c r="F521" t="b">
        <v>1</v>
      </c>
      <c r="G521">
        <f>HYPERLINK("https://www.google.com/maps/search/?api=1&amp;query=24.78580006,46.64839887", "View Map")</f>
        <v/>
      </c>
    </row>
    <row r="522">
      <c r="A522" t="inlineStr">
        <is>
          <t xml:space="preserve">   مسجد      حمد       الخريف .</t>
        </is>
      </c>
      <c r="B522" t="inlineStr">
        <is>
          <t>KFM2020660139700</t>
        </is>
      </c>
      <c r="C522" t="inlineStr">
        <is>
          <t>الرياض</t>
        </is>
      </c>
      <c r="D522" t="inlineStr">
        <is>
          <t>كلا الفترتين</t>
        </is>
      </c>
      <c r="E522" t="n">
        <v>3841</v>
      </c>
      <c r="F522" t="b">
        <v>1</v>
      </c>
      <c r="G522">
        <f>HYPERLINK("https://www.google.com/maps/search/?api=1&amp;query=24.73519123,46.79249913", "View Map")</f>
        <v/>
      </c>
    </row>
    <row r="523">
      <c r="A523" t="inlineStr">
        <is>
          <t xml:space="preserve">   مسجد حي النور .</t>
        </is>
      </c>
      <c r="B523" t="inlineStr">
        <is>
          <t>KFM2120660299666</t>
        </is>
      </c>
      <c r="C523" t="inlineStr">
        <is>
          <t>الرياض</t>
        </is>
      </c>
      <c r="D523" t="inlineStr">
        <is>
          <t>كلا الفترتين</t>
        </is>
      </c>
      <c r="E523" t="n">
        <v>3838</v>
      </c>
      <c r="F523" t="b">
        <v>0</v>
      </c>
      <c r="G523">
        <f>HYPERLINK("https://www.google.com/maps/search/?api=1&amp;query=24.64718083,46.81012662", "View Map")</f>
        <v/>
      </c>
    </row>
    <row r="524">
      <c r="A524" t="inlineStr">
        <is>
          <t xml:space="preserve">   مسجدبلال .</t>
        </is>
      </c>
      <c r="B524" t="inlineStr">
        <is>
          <t>SMR2420661038941</t>
        </is>
      </c>
      <c r="C524" t="inlineStr">
        <is>
          <t>الرياض</t>
        </is>
      </c>
      <c r="D524" t="inlineStr">
        <is>
          <t>كلا الفترتين</t>
        </is>
      </c>
      <c r="E524" t="n">
        <v>3832</v>
      </c>
      <c r="F524" t="b">
        <v>1</v>
      </c>
      <c r="G524">
        <f>HYPERLINK("https://www.google.com/maps/search/?api=1&amp;query=24.65423286,46.72382132", "View Map")</f>
        <v/>
      </c>
    </row>
    <row r="525">
      <c r="A525" t="inlineStr">
        <is>
          <t xml:space="preserve">    مسجدبحي لبن وزارةالشؤون الاسلامية .</t>
        </is>
      </c>
      <c r="B525" t="inlineStr">
        <is>
          <t>KFM2020660197669</t>
        </is>
      </c>
      <c r="C525" t="inlineStr">
        <is>
          <t>الرياض</t>
        </is>
      </c>
      <c r="D525" t="inlineStr">
        <is>
          <t>كلا الفترتين</t>
        </is>
      </c>
      <c r="E525" t="n">
        <v>3824</v>
      </c>
      <c r="F525" t="b">
        <v>1</v>
      </c>
      <c r="G525">
        <f>HYPERLINK("https://www.google.com/maps/search/?api=1&amp;query=24.65289934,46.55807417", "View Map")</f>
        <v/>
      </c>
    </row>
    <row r="526">
      <c r="A526" t="inlineStr">
        <is>
          <t>ﻭﺯﺍﺭﺓﺍﻟﺸﺌﻭﻥ ﺍﻻﺴﻼﻤﻴﺓﻭﺍﻻﻭﻗﺎﻑ .</t>
        </is>
      </c>
      <c r="B526" t="inlineStr">
        <is>
          <t>KFM2020660043885</t>
        </is>
      </c>
      <c r="C526" t="inlineStr">
        <is>
          <t>الرياض</t>
        </is>
      </c>
      <c r="D526" t="inlineStr">
        <is>
          <t>كلا الفترتين</t>
        </is>
      </c>
      <c r="E526" t="n">
        <v>3822</v>
      </c>
      <c r="F526" t="b">
        <v>0</v>
      </c>
      <c r="G526">
        <f>HYPERLINK("https://www.google.com/maps/search/?api=1&amp;query=24.56143855,46.55122751", "View Map")</f>
        <v/>
      </c>
    </row>
    <row r="527">
      <c r="A527" t="inlineStr">
        <is>
          <t>ﻤﺴﺎﺠﺩ .</t>
        </is>
      </c>
      <c r="B527" t="inlineStr">
        <is>
          <t>KFM2020660231080</t>
        </is>
      </c>
      <c r="C527" t="inlineStr">
        <is>
          <t>الرياض</t>
        </is>
      </c>
      <c r="D527" t="inlineStr">
        <is>
          <t>كلا الفترتين</t>
        </is>
      </c>
      <c r="E527" t="n">
        <v>3821</v>
      </c>
      <c r="F527" t="b">
        <v>0</v>
      </c>
      <c r="G527">
        <f>HYPERLINK("https://www.google.com/maps/search/?api=1&amp;query=24.8099882,46.59869175", "View Map")</f>
        <v/>
      </c>
    </row>
    <row r="528">
      <c r="A528" t="inlineStr">
        <is>
          <t>ﻤﺴﺎﺠﺩ .</t>
        </is>
      </c>
      <c r="B528" t="inlineStr">
        <is>
          <t>KFM2020660053287</t>
        </is>
      </c>
      <c r="C528" t="inlineStr">
        <is>
          <t>الرياض</t>
        </is>
      </c>
      <c r="D528" t="inlineStr">
        <is>
          <t>كلا الفترتين</t>
        </is>
      </c>
      <c r="E528" t="n">
        <v>3811</v>
      </c>
      <c r="F528" t="b">
        <v>1</v>
      </c>
      <c r="G528">
        <f>HYPERLINK("https://www.google.com/maps/search/?api=1&amp;query=24.75768663,46.75600076", "View Map")</f>
        <v/>
      </c>
    </row>
    <row r="529">
      <c r="A529" t="inlineStr">
        <is>
          <t>ﻭﺯﺍﺭﺓﺍﻟﺸﺌﻭﻥ ﺍﻻﺴﻼﻤﻴﺓﻭﺍﻻﻭﻗﺎﻑ .</t>
        </is>
      </c>
      <c r="B529" t="inlineStr">
        <is>
          <t>SMR2320661034450</t>
        </is>
      </c>
      <c r="C529" t="inlineStr">
        <is>
          <t>الرياض</t>
        </is>
      </c>
      <c r="D529" t="inlineStr">
        <is>
          <t>كلا الفترتين</t>
        </is>
      </c>
      <c r="E529" t="n">
        <v>3810</v>
      </c>
      <c r="F529" t="b">
        <v>1</v>
      </c>
      <c r="G529">
        <f>HYPERLINK("https://www.google.com/maps/search/?api=1&amp;query=24.54279455,46.52099155", "View Map")</f>
        <v/>
      </c>
    </row>
    <row r="530">
      <c r="A530" t="inlineStr">
        <is>
          <t>مسجد الداؤد/الحزم .</t>
        </is>
      </c>
      <c r="B530" t="inlineStr">
        <is>
          <t>KFM2020660099244</t>
        </is>
      </c>
      <c r="C530" t="inlineStr">
        <is>
          <t>الرياض</t>
        </is>
      </c>
      <c r="D530" t="inlineStr">
        <is>
          <t>كلا الفترتين</t>
        </is>
      </c>
      <c r="E530" t="n">
        <v>3802</v>
      </c>
      <c r="F530" t="b">
        <v>1</v>
      </c>
      <c r="G530">
        <f>HYPERLINK("https://www.google.com/maps/search/?api=1&amp;query=24.5453159,46.66009751", "View Map")</f>
        <v/>
      </c>
    </row>
    <row r="531">
      <c r="A531" t="inlineStr">
        <is>
          <t>مسجد جامع  طلعه .</t>
        </is>
      </c>
      <c r="B531" t="inlineStr">
        <is>
          <t>KFM2020660056107</t>
        </is>
      </c>
      <c r="C531" t="inlineStr">
        <is>
          <t>الرياض</t>
        </is>
      </c>
      <c r="D531" t="inlineStr">
        <is>
          <t>كلا الفترتين</t>
        </is>
      </c>
      <c r="E531" t="n">
        <v>3801</v>
      </c>
      <c r="F531" t="b">
        <v>1</v>
      </c>
      <c r="G531">
        <f>HYPERLINK("https://www.google.com/maps/search/?api=1&amp;query=24.63186916,46.68972409", "View Map")</f>
        <v/>
      </c>
    </row>
    <row r="532">
      <c r="A532" t="inlineStr">
        <is>
          <t>وزارة الشئون الاسلامية والاوقاف .</t>
        </is>
      </c>
      <c r="B532" t="inlineStr">
        <is>
          <t>SMR2220661001868</t>
        </is>
      </c>
      <c r="C532" t="inlineStr">
        <is>
          <t>الرياض</t>
        </is>
      </c>
      <c r="D532" t="inlineStr">
        <is>
          <t>كلا الفترتين</t>
        </is>
      </c>
      <c r="E532" t="n">
        <v>3783</v>
      </c>
      <c r="F532" t="b">
        <v>0</v>
      </c>
      <c r="G532">
        <f>HYPERLINK("https://www.google.com/maps/search/?api=1&amp;query=24.79923,46.5878", "View Map")</f>
        <v/>
      </c>
    </row>
    <row r="533">
      <c r="A533" t="inlineStr">
        <is>
          <t>مسجد/احمد .</t>
        </is>
      </c>
      <c r="B533" t="inlineStr">
        <is>
          <t>KFM2020760030280</t>
        </is>
      </c>
      <c r="C533" t="inlineStr">
        <is>
          <t>الرياض</t>
        </is>
      </c>
      <c r="D533" t="inlineStr">
        <is>
          <t>كلا الفترتين</t>
        </is>
      </c>
      <c r="E533" t="n">
        <v>3782</v>
      </c>
      <c r="F533" t="b">
        <v>0</v>
      </c>
      <c r="G533">
        <f>HYPERLINK("https://www.google.com/maps/search/?api=1&amp;query=24.61055679,46.67228234", "View Map")</f>
        <v/>
      </c>
    </row>
    <row r="534">
      <c r="A534" t="inlineStr">
        <is>
          <t xml:space="preserve">   مسجد بحي الفيحاء .</t>
        </is>
      </c>
      <c r="B534" t="inlineStr">
        <is>
          <t>KFM2120660268837</t>
        </is>
      </c>
      <c r="C534" t="inlineStr">
        <is>
          <t>الرياض</t>
        </is>
      </c>
      <c r="D534" t="inlineStr">
        <is>
          <t>كلا الفترتين</t>
        </is>
      </c>
      <c r="E534" t="n">
        <v>3760</v>
      </c>
      <c r="F534" t="b">
        <v>0</v>
      </c>
      <c r="G534">
        <f>HYPERLINK("https://www.google.com/maps/search/?api=1&amp;query=24.68786992,46.81217155", "View Map")</f>
        <v/>
      </c>
    </row>
    <row r="535">
      <c r="A535" t="inlineStr">
        <is>
          <t xml:space="preserve">   مسجد التقوى .</t>
        </is>
      </c>
      <c r="B535" t="inlineStr">
        <is>
          <t>KFM2120660268846</t>
        </is>
      </c>
      <c r="C535" t="inlineStr">
        <is>
          <t>الرياض</t>
        </is>
      </c>
      <c r="D535" t="inlineStr">
        <is>
          <t>كلا الفترتين</t>
        </is>
      </c>
      <c r="E535" t="n">
        <v>3753</v>
      </c>
      <c r="F535" t="b">
        <v>1</v>
      </c>
      <c r="G535">
        <f>HYPERLINK("https://www.google.com/maps/search/?api=1&amp;query=24.67815997,46.78595487", "View Map")</f>
        <v/>
      </c>
    </row>
    <row r="536">
      <c r="A536" t="inlineStr">
        <is>
          <t>ﻤﺴﺎﺠﺩ .</t>
        </is>
      </c>
      <c r="B536" t="inlineStr">
        <is>
          <t>KFM2020760026162</t>
        </is>
      </c>
      <c r="C536" t="inlineStr">
        <is>
          <t>الرياض</t>
        </is>
      </c>
      <c r="D536" t="inlineStr">
        <is>
          <t>كلا الفترتين</t>
        </is>
      </c>
      <c r="E536" t="n">
        <v>3752</v>
      </c>
      <c r="F536" t="b">
        <v>1</v>
      </c>
      <c r="G536">
        <f>HYPERLINK("https://www.google.com/maps/search/?api=1&amp;query=24.84817858,46.82772415", "View Map")</f>
        <v/>
      </c>
    </row>
    <row r="537">
      <c r="A537" t="inlineStr">
        <is>
          <t>ﻤﺴﺎﺠﺩ .</t>
        </is>
      </c>
      <c r="B537" t="inlineStr">
        <is>
          <t>KFM2120660300948</t>
        </is>
      </c>
      <c r="C537" t="inlineStr">
        <is>
          <t>الرياض</t>
        </is>
      </c>
      <c r="D537" t="inlineStr">
        <is>
          <t>كلا الفترتين</t>
        </is>
      </c>
      <c r="E537" t="n">
        <v>3752</v>
      </c>
      <c r="F537" t="b">
        <v>1</v>
      </c>
      <c r="G537">
        <f>HYPERLINK("https://www.google.com/maps/search/?api=1&amp;query=24.85091661,46.57664797", "View Map")</f>
        <v/>
      </c>
    </row>
    <row r="538">
      <c r="A538" t="inlineStr">
        <is>
          <t xml:space="preserve">   وزارة الشئون الاسلامية والاوقاف .</t>
        </is>
      </c>
      <c r="B538" t="inlineStr">
        <is>
          <t>KFM2020660213007</t>
        </is>
      </c>
      <c r="C538" t="inlineStr">
        <is>
          <t>الدرعية</t>
        </is>
      </c>
      <c r="D538" t="inlineStr">
        <is>
          <t>كلا الفترتين</t>
        </is>
      </c>
      <c r="E538" t="n">
        <v>3749</v>
      </c>
      <c r="F538" t="b">
        <v>1</v>
      </c>
      <c r="G538">
        <f>HYPERLINK("https://www.google.com/maps/search/?api=1&amp;query=24.74331904,46.57984013", "View Map")</f>
        <v/>
      </c>
    </row>
    <row r="539">
      <c r="A539" t="inlineStr">
        <is>
          <t xml:space="preserve">   مسجد الزبير بن العوام .</t>
        </is>
      </c>
      <c r="B539" t="inlineStr">
        <is>
          <t>KFM2020660162184</t>
        </is>
      </c>
      <c r="C539" t="inlineStr">
        <is>
          <t>الرياض</t>
        </is>
      </c>
      <c r="D539" t="inlineStr">
        <is>
          <t>كلا الفترتين</t>
        </is>
      </c>
      <c r="E539" t="n">
        <v>3748</v>
      </c>
      <c r="F539" t="b">
        <v>1</v>
      </c>
      <c r="G539">
        <f>HYPERLINK("https://www.google.com/maps/search/?api=1&amp;query=24.57383797,46.78921138", "View Map")</f>
        <v/>
      </c>
    </row>
    <row r="540">
      <c r="A540" t="inlineStr">
        <is>
          <t xml:space="preserve">   مسجد التقوى .</t>
        </is>
      </c>
      <c r="B540" t="inlineStr">
        <is>
          <t>KFM2120660251608</t>
        </is>
      </c>
      <c r="C540" t="inlineStr">
        <is>
          <t>الرياض</t>
        </is>
      </c>
      <c r="D540" t="inlineStr">
        <is>
          <t>كلا الفترتين</t>
        </is>
      </c>
      <c r="E540" t="n">
        <v>3737</v>
      </c>
      <c r="F540" t="b">
        <v>1</v>
      </c>
      <c r="G540">
        <f>HYPERLINK("https://www.google.com/maps/search/?api=1&amp;query=24.71732238,46.77786977", "View Map")</f>
        <v/>
      </c>
    </row>
    <row r="541">
      <c r="A541" t="inlineStr">
        <is>
          <t xml:space="preserve">   بيت       الامام     السفارات .</t>
        </is>
      </c>
      <c r="B541" t="inlineStr">
        <is>
          <t>KFM2120660262236</t>
        </is>
      </c>
      <c r="C541" t="inlineStr">
        <is>
          <t>الرياض</t>
        </is>
      </c>
      <c r="D541" t="inlineStr">
        <is>
          <t>كلا الفترتين</t>
        </is>
      </c>
      <c r="E541" t="n">
        <v>3737</v>
      </c>
      <c r="F541" t="b">
        <v>1</v>
      </c>
      <c r="G541">
        <f>HYPERLINK("https://www.google.com/maps/search/?api=1&amp;query=24.67481433,46.64755393", "View Map")</f>
        <v/>
      </c>
    </row>
    <row r="542">
      <c r="A542" t="inlineStr">
        <is>
          <t xml:space="preserve"> وزارةالشؤن الاسلامية والاوقاف مسجدخالد .</t>
        </is>
      </c>
      <c r="B542" t="inlineStr">
        <is>
          <t>KFM2120660254665</t>
        </is>
      </c>
      <c r="C542" t="inlineStr">
        <is>
          <t>الرياض</t>
        </is>
      </c>
      <c r="D542" t="inlineStr">
        <is>
          <t>كلا الفترتين</t>
        </is>
      </c>
      <c r="E542" t="n">
        <v>3736</v>
      </c>
      <c r="F542" t="b">
        <v>0</v>
      </c>
      <c r="G542">
        <f>HYPERLINK("https://www.google.com/maps/search/?api=1&amp;query=24.68909814,46.80700506", "View Map")</f>
        <v/>
      </c>
    </row>
    <row r="543">
      <c r="A543" t="inlineStr">
        <is>
          <t xml:space="preserve">   جامع الملك عبدالعزيز .</t>
        </is>
      </c>
      <c r="B543" t="inlineStr">
        <is>
          <t>KFM2020660051196</t>
        </is>
      </c>
      <c r="C543" t="inlineStr">
        <is>
          <t>الرياض</t>
        </is>
      </c>
      <c r="D543" t="inlineStr">
        <is>
          <t>كلا الفترتين</t>
        </is>
      </c>
      <c r="E543" t="n">
        <v>3731</v>
      </c>
      <c r="F543" t="b">
        <v>0</v>
      </c>
      <c r="G543">
        <f>HYPERLINK("https://www.google.com/maps/search/?api=1&amp;query=24.68834519,46.68858984", "View Map")</f>
        <v/>
      </c>
    </row>
    <row r="544">
      <c r="A544" t="inlineStr">
        <is>
          <t>ﻤﺴﺎﺠﺩ .</t>
        </is>
      </c>
      <c r="B544" t="inlineStr">
        <is>
          <t>SMR2320661034650</t>
        </is>
      </c>
      <c r="C544" t="inlineStr">
        <is>
          <t>الرياض</t>
        </is>
      </c>
      <c r="D544" t="inlineStr">
        <is>
          <t>كلا الفترتين</t>
        </is>
      </c>
      <c r="E544" t="n">
        <v>3726</v>
      </c>
      <c r="F544" t="b">
        <v>0</v>
      </c>
      <c r="G544">
        <f>HYPERLINK("https://www.google.com/maps/search/?api=1&amp;query=24.65903778,46.81158118", "View Map")</f>
        <v/>
      </c>
    </row>
    <row r="545">
      <c r="A545" t="inlineStr">
        <is>
          <t xml:space="preserve">   مسجد جامع العزيزيه .</t>
        </is>
      </c>
      <c r="B545" t="inlineStr">
        <is>
          <t>KFM2120660235682</t>
        </is>
      </c>
      <c r="C545" t="inlineStr">
        <is>
          <t>الرياض</t>
        </is>
      </c>
      <c r="D545" t="inlineStr">
        <is>
          <t>كلا الفترتين</t>
        </is>
      </c>
      <c r="E545" t="n">
        <v>3719</v>
      </c>
      <c r="F545" t="b">
        <v>0</v>
      </c>
      <c r="G545">
        <f>HYPERLINK("https://www.google.com/maps/search/?api=1&amp;query=24.59675519,46.77607832", "View Map")</f>
        <v/>
      </c>
    </row>
    <row r="546">
      <c r="A546" t="inlineStr">
        <is>
          <t xml:space="preserve">   مسجد أمهات المؤمنين .</t>
        </is>
      </c>
      <c r="B546" t="inlineStr">
        <is>
          <t>KFM2120660274160</t>
        </is>
      </c>
      <c r="C546" t="inlineStr">
        <is>
          <t>الرياض</t>
        </is>
      </c>
      <c r="D546" t="inlineStr">
        <is>
          <t>كلا الفترتين</t>
        </is>
      </c>
      <c r="E546" t="n">
        <v>3715</v>
      </c>
      <c r="F546" t="b">
        <v>0</v>
      </c>
      <c r="G546">
        <f>HYPERLINK("https://www.google.com/maps/search/?api=1&amp;query=24.6819685,46.82093711", "View Map")</f>
        <v/>
      </c>
    </row>
    <row r="547">
      <c r="A547" t="inlineStr">
        <is>
          <t xml:space="preserve">   مساجد .</t>
        </is>
      </c>
      <c r="B547" t="inlineStr">
        <is>
          <t>KFM2020660046428</t>
        </is>
      </c>
      <c r="C547" t="inlineStr">
        <is>
          <t>الرياض</t>
        </is>
      </c>
      <c r="D547" t="inlineStr">
        <is>
          <t>كلا الفترتين</t>
        </is>
      </c>
      <c r="E547" t="n">
        <v>3713</v>
      </c>
      <c r="F547" t="b">
        <v>1</v>
      </c>
      <c r="G547">
        <f>HYPERLINK("https://www.google.com/maps/search/?api=1&amp;query=24.81519369,46.74698505", "View Map")</f>
        <v/>
      </c>
    </row>
    <row r="548">
      <c r="A548" t="inlineStr">
        <is>
          <t xml:space="preserve">   جامع      حطين      . .</t>
        </is>
      </c>
      <c r="B548" t="inlineStr">
        <is>
          <t>KFM2020660187918</t>
        </is>
      </c>
      <c r="C548" t="inlineStr">
        <is>
          <t>الرياض</t>
        </is>
      </c>
      <c r="D548" t="inlineStr">
        <is>
          <t>كلا الفترتين</t>
        </is>
      </c>
      <c r="E548" t="n">
        <v>3699</v>
      </c>
      <c r="F548" t="b">
        <v>1</v>
      </c>
      <c r="G548">
        <f>HYPERLINK("https://www.google.com/maps/search/?api=1&amp;query=24.76325194,46.61802798", "View Map")</f>
        <v/>
      </c>
    </row>
    <row r="549">
      <c r="A549" t="inlineStr">
        <is>
          <t xml:space="preserve">   مسجد أحمد بغلف .</t>
        </is>
      </c>
      <c r="B549" t="inlineStr">
        <is>
          <t>KFM2020660056784</t>
        </is>
      </c>
      <c r="C549" t="inlineStr">
        <is>
          <t>الرياض</t>
        </is>
      </c>
      <c r="D549" t="inlineStr">
        <is>
          <t>كلا الفترتين</t>
        </is>
      </c>
      <c r="E549" t="n">
        <v>3698</v>
      </c>
      <c r="F549" t="b">
        <v>1</v>
      </c>
      <c r="G549">
        <f>HYPERLINK("https://www.google.com/maps/search/?api=1&amp;query=24.720383,46.767455", "View Map")</f>
        <v/>
      </c>
    </row>
    <row r="550">
      <c r="A550" t="inlineStr">
        <is>
          <t>ﻭﺯﺍﺭﺓﺍﻟﺸﺌﻭﻥ ﺍﻻﺴﻼﻤﻴﺓﻭﺍﻻﻭﻗﺎﻑ .</t>
        </is>
      </c>
      <c r="B550" t="inlineStr">
        <is>
          <t>KFM2020660039177</t>
        </is>
      </c>
      <c r="C550" t="inlineStr">
        <is>
          <t>الرياض</t>
        </is>
      </c>
      <c r="D550" t="inlineStr">
        <is>
          <t>كلا الفترتين</t>
        </is>
      </c>
      <c r="E550" t="n">
        <v>3695</v>
      </c>
      <c r="F550" t="b">
        <v>1</v>
      </c>
      <c r="G550">
        <f>HYPERLINK("https://www.google.com/maps/search/?api=1&amp;query=24.5594289,46.54186244", "View Map")</f>
        <v/>
      </c>
    </row>
    <row r="551">
      <c r="A551" t="inlineStr">
        <is>
          <t xml:space="preserve">   مسجد وزارة الدفاع .</t>
        </is>
      </c>
      <c r="B551" t="inlineStr">
        <is>
          <t>KFM2120660303078</t>
        </is>
      </c>
      <c r="C551" t="inlineStr">
        <is>
          <t>الرياض</t>
        </is>
      </c>
      <c r="D551" t="inlineStr">
        <is>
          <t>كلا الفترتين</t>
        </is>
      </c>
      <c r="E551" t="n">
        <v>3694</v>
      </c>
      <c r="F551" t="b">
        <v>1</v>
      </c>
      <c r="G551">
        <f>HYPERLINK("https://www.google.com/maps/search/?api=1&amp;query=24.5727769,46.84791767", "View Map")</f>
        <v/>
      </c>
    </row>
    <row r="552">
      <c r="A552" t="inlineStr">
        <is>
          <t>ﻭﺯﺍﺭﺓﺍﻟﺸﺌﻭﻥ ﺍﻻﺴﻼﻤﻴﺓﻭﺍﻻﻭﻗﺎﻑ .</t>
        </is>
      </c>
      <c r="B552" t="inlineStr">
        <is>
          <t>KFM2020660173546</t>
        </is>
      </c>
      <c r="C552" t="inlineStr">
        <is>
          <t>الرياض</t>
        </is>
      </c>
      <c r="D552" t="inlineStr">
        <is>
          <t>كلا الفترتين</t>
        </is>
      </c>
      <c r="E552" t="n">
        <v>3693</v>
      </c>
      <c r="F552" t="b">
        <v>1</v>
      </c>
      <c r="G552">
        <f>HYPERLINK("https://www.google.com/maps/search/?api=1&amp;query=24.52771284,46.6906314", "View Map")</f>
        <v/>
      </c>
    </row>
    <row r="553">
      <c r="A553" t="inlineStr">
        <is>
          <t xml:space="preserve">   مسجد      عبدالله   . .</t>
        </is>
      </c>
      <c r="B553" t="inlineStr">
        <is>
          <t>KFM2020660127797</t>
        </is>
      </c>
      <c r="C553" t="inlineStr">
        <is>
          <t>الرياض</t>
        </is>
      </c>
      <c r="D553" t="inlineStr">
        <is>
          <t>كلا الفترتين</t>
        </is>
      </c>
      <c r="E553" t="n">
        <v>3693</v>
      </c>
      <c r="F553" t="b">
        <v>0</v>
      </c>
      <c r="G553">
        <f>HYPERLINK("https://www.google.com/maps/search/?api=1&amp;query=24.79262182,46.62509763", "View Map")</f>
        <v/>
      </c>
    </row>
    <row r="554">
      <c r="A554" t="inlineStr">
        <is>
          <t xml:space="preserve">   مسجد بلال بن رباح .</t>
        </is>
      </c>
      <c r="B554" t="inlineStr">
        <is>
          <t>KFM2120660247448</t>
        </is>
      </c>
      <c r="C554" t="inlineStr">
        <is>
          <t>الرياض</t>
        </is>
      </c>
      <c r="D554" t="inlineStr">
        <is>
          <t>كلا الفترتين</t>
        </is>
      </c>
      <c r="E554" t="n">
        <v>3690</v>
      </c>
      <c r="F554" t="b">
        <v>1</v>
      </c>
      <c r="G554">
        <f>HYPERLINK("https://www.google.com/maps/search/?api=1&amp;query=24.58589189,46.78317575", "View Map")</f>
        <v/>
      </c>
    </row>
    <row r="555">
      <c r="A555" t="inlineStr">
        <is>
          <t xml:space="preserve">   مسجد حي الملك فيصل .</t>
        </is>
      </c>
      <c r="B555" t="inlineStr">
        <is>
          <t>KFM2020660174551</t>
        </is>
      </c>
      <c r="C555" t="inlineStr">
        <is>
          <t>الرياض</t>
        </is>
      </c>
      <c r="D555" t="inlineStr">
        <is>
          <t>كلا الفترتين</t>
        </is>
      </c>
      <c r="E555" t="n">
        <v>3686</v>
      </c>
      <c r="F555" t="b">
        <v>1</v>
      </c>
      <c r="G555">
        <f>HYPERLINK("https://www.google.com/maps/search/?api=1&amp;query=24.7625263,46.79104833", "View Map")</f>
        <v/>
      </c>
    </row>
    <row r="556">
      <c r="A556" t="inlineStr">
        <is>
          <t xml:space="preserve">   مسجد الأمير سلطان .</t>
        </is>
      </c>
      <c r="B556" t="inlineStr">
        <is>
          <t>KFM2020660170878</t>
        </is>
      </c>
      <c r="C556" t="inlineStr">
        <is>
          <t>الرياض</t>
        </is>
      </c>
      <c r="D556" t="inlineStr">
        <is>
          <t>كلا الفترتين</t>
        </is>
      </c>
      <c r="E556" t="n">
        <v>3680</v>
      </c>
      <c r="F556" t="b">
        <v>1</v>
      </c>
      <c r="G556">
        <f>HYPERLINK("https://www.google.com/maps/search/?api=1&amp;query=24.72963194,46.75550089", "View Map")</f>
        <v/>
      </c>
    </row>
    <row r="557">
      <c r="A557" t="inlineStr">
        <is>
          <t xml:space="preserve">   مسجد غاتر تحسين الفهد .</t>
        </is>
      </c>
      <c r="B557" t="inlineStr">
        <is>
          <t>KFM2120660262663</t>
        </is>
      </c>
      <c r="C557" t="inlineStr">
        <is>
          <t>الرياض</t>
        </is>
      </c>
      <c r="D557" t="inlineStr">
        <is>
          <t>كلا الفترتين</t>
        </is>
      </c>
      <c r="E557" t="n">
        <v>3675</v>
      </c>
      <c r="F557" t="b">
        <v>0</v>
      </c>
      <c r="G557">
        <f>HYPERLINK("https://www.google.com/maps/search/?api=1&amp;query=24.67828205,46.74011348", "View Map")</f>
        <v/>
      </c>
    </row>
    <row r="558">
      <c r="A558" t="inlineStr">
        <is>
          <t xml:space="preserve">   مسجد      الاميره    بنت عبدالله .</t>
        </is>
      </c>
      <c r="B558" t="inlineStr">
        <is>
          <t>KFM2120660265990</t>
        </is>
      </c>
      <c r="C558" t="inlineStr">
        <is>
          <t>الرياض</t>
        </is>
      </c>
      <c r="D558" t="inlineStr">
        <is>
          <t>كلا الفترتين</t>
        </is>
      </c>
      <c r="E558" t="n">
        <v>3671</v>
      </c>
      <c r="F558" t="b">
        <v>1</v>
      </c>
      <c r="G558">
        <f>HYPERLINK("https://www.google.com/maps/search/?api=1&amp;query=24.74786077,46.64960265", "View Map")</f>
        <v/>
      </c>
    </row>
    <row r="559">
      <c r="A559" t="inlineStr">
        <is>
          <t>مسجد      القويز    بالبديعة .</t>
        </is>
      </c>
      <c r="B559" t="inlineStr">
        <is>
          <t>KFM2020660027238</t>
        </is>
      </c>
      <c r="C559" t="inlineStr">
        <is>
          <t>الرياض</t>
        </is>
      </c>
      <c r="D559" t="inlineStr">
        <is>
          <t>كلا الفترتين</t>
        </is>
      </c>
      <c r="E559" t="n">
        <v>3669</v>
      </c>
      <c r="F559" t="b">
        <v>0</v>
      </c>
      <c r="G559">
        <f>HYPERLINK("https://www.google.com/maps/search/?api=1&amp;query=24.61958038,46.68755354", "View Map")</f>
        <v/>
      </c>
    </row>
    <row r="560">
      <c r="A560" t="inlineStr">
        <is>
          <t xml:space="preserve">   مسجدعبدالله ناصرالصقر .</t>
        </is>
      </c>
      <c r="B560" t="inlineStr">
        <is>
          <t>SMR2220661011648</t>
        </is>
      </c>
      <c r="C560" t="inlineStr">
        <is>
          <t>الرياض</t>
        </is>
      </c>
      <c r="D560" t="inlineStr">
        <is>
          <t>كلا الفترتين</t>
        </is>
      </c>
      <c r="E560" t="n">
        <v>3662</v>
      </c>
      <c r="F560" t="b">
        <v>1</v>
      </c>
      <c r="G560">
        <f>HYPERLINK("https://www.google.com/maps/search/?api=1&amp;query=24.70092834,46.67108849", "View Map")</f>
        <v/>
      </c>
    </row>
    <row r="561">
      <c r="A561" t="inlineStr">
        <is>
          <t xml:space="preserve">   مسجد حي الريان .</t>
        </is>
      </c>
      <c r="B561" t="inlineStr">
        <is>
          <t>KFM2020660167804</t>
        </is>
      </c>
      <c r="C561" t="inlineStr">
        <is>
          <t>الرياض</t>
        </is>
      </c>
      <c r="D561" t="inlineStr">
        <is>
          <t>كلا الفترتين</t>
        </is>
      </c>
      <c r="E561" t="n">
        <v>3662</v>
      </c>
      <c r="F561" t="b">
        <v>0</v>
      </c>
      <c r="G561">
        <f>HYPERLINK("https://www.google.com/maps/search/?api=1&amp;query=24.71234783,46.77045046", "View Map")</f>
        <v/>
      </c>
    </row>
    <row r="562">
      <c r="A562" t="inlineStr">
        <is>
          <t xml:space="preserve">   مسجد  فهد محمد السعيدان .</t>
        </is>
      </c>
      <c r="B562" t="inlineStr">
        <is>
          <t>KFM2020660197005</t>
        </is>
      </c>
      <c r="C562" t="inlineStr">
        <is>
          <t>الرياض</t>
        </is>
      </c>
      <c r="D562" t="inlineStr">
        <is>
          <t>كلا الفترتين</t>
        </is>
      </c>
      <c r="E562" t="n">
        <v>3658</v>
      </c>
      <c r="F562" t="b">
        <v>1</v>
      </c>
      <c r="G562">
        <f>HYPERLINK("https://www.google.com/maps/search/?api=1&amp;query=24.73949871,46.65047424", "View Map")</f>
        <v/>
      </c>
    </row>
    <row r="563">
      <c r="A563" t="inlineStr">
        <is>
          <t xml:space="preserve">   مسجدمحمدبن سلطان .</t>
        </is>
      </c>
      <c r="B563" t="inlineStr">
        <is>
          <t>KFM2120660257389</t>
        </is>
      </c>
      <c r="C563" t="inlineStr">
        <is>
          <t>الرياض</t>
        </is>
      </c>
      <c r="D563" t="inlineStr">
        <is>
          <t>كلا الفترتين</t>
        </is>
      </c>
      <c r="E563" t="n">
        <v>3656</v>
      </c>
      <c r="F563" t="b">
        <v>1</v>
      </c>
      <c r="G563">
        <f>HYPERLINK("https://www.google.com/maps/search/?api=1&amp;query=24.8092,46.63193", "View Map")</f>
        <v/>
      </c>
    </row>
    <row r="564">
      <c r="A564" t="inlineStr">
        <is>
          <t>ﻤﺴﺎﺠﺩ .</t>
        </is>
      </c>
      <c r="B564" t="inlineStr">
        <is>
          <t>KFM2020660004034</t>
        </is>
      </c>
      <c r="C564" t="inlineStr">
        <is>
          <t>الرياض</t>
        </is>
      </c>
      <c r="D564" t="inlineStr">
        <is>
          <t>كلا الفترتين</t>
        </is>
      </c>
      <c r="E564" t="n">
        <v>3653</v>
      </c>
      <c r="F564" t="b">
        <v>1</v>
      </c>
      <c r="G564">
        <f>HYPERLINK("https://www.google.com/maps/search/?api=1&amp;query=24.84435305,46.80595562", "View Map")</f>
        <v/>
      </c>
    </row>
    <row r="565">
      <c r="A565" t="inlineStr">
        <is>
          <t xml:space="preserve">   مسجد الهزاع .</t>
        </is>
      </c>
      <c r="B565" t="inlineStr">
        <is>
          <t>KFM2020660175706</t>
        </is>
      </c>
      <c r="C565" t="inlineStr">
        <is>
          <t>الرياض</t>
        </is>
      </c>
      <c r="D565" t="inlineStr">
        <is>
          <t>كلا الفترتين</t>
        </is>
      </c>
      <c r="E565" t="n">
        <v>3645</v>
      </c>
      <c r="F565" t="b">
        <v>1</v>
      </c>
      <c r="G565">
        <f>HYPERLINK("https://www.google.com/maps/search/?api=1&amp;query=24.72266972,46.82456923", "View Map")</f>
        <v/>
      </c>
    </row>
    <row r="566">
      <c r="A566" t="inlineStr">
        <is>
          <t>ﻤﺴﺎﺠﺩ .</t>
        </is>
      </c>
      <c r="B566" t="inlineStr">
        <is>
          <t>KFM2120660302656</t>
        </is>
      </c>
      <c r="C566" t="inlineStr">
        <is>
          <t>الرياض</t>
        </is>
      </c>
      <c r="D566" t="inlineStr">
        <is>
          <t>كلا الفترتين</t>
        </is>
      </c>
      <c r="E566" t="n">
        <v>3643</v>
      </c>
      <c r="F566" t="b">
        <v>1</v>
      </c>
      <c r="G566">
        <f>HYPERLINK("https://www.google.com/maps/search/?api=1&amp;query=24.79032223,46.59870231", "View Map")</f>
        <v/>
      </c>
    </row>
    <row r="567">
      <c r="A567" t="inlineStr">
        <is>
          <t xml:space="preserve">   مسجد المغرازات .</t>
        </is>
      </c>
      <c r="B567" t="inlineStr">
        <is>
          <t>KFM2020660170821</t>
        </is>
      </c>
      <c r="C567" t="inlineStr">
        <is>
          <t>الرياض</t>
        </is>
      </c>
      <c r="D567" t="inlineStr">
        <is>
          <t>كلا الفترتين</t>
        </is>
      </c>
      <c r="E567" t="n">
        <v>3632</v>
      </c>
      <c r="F567" t="b">
        <v>1</v>
      </c>
      <c r="G567">
        <f>HYPERLINK("https://www.google.com/maps/search/?api=1&amp;query=24.76065,46.73701", "View Map")</f>
        <v/>
      </c>
    </row>
    <row r="568">
      <c r="A568" t="inlineStr">
        <is>
          <t>ﻤﺴﺎﺠﺩ .</t>
        </is>
      </c>
      <c r="B568" t="inlineStr">
        <is>
          <t>KFM2020660053286</t>
        </is>
      </c>
      <c r="C568" t="inlineStr">
        <is>
          <t>الرياض</t>
        </is>
      </c>
      <c r="D568" t="inlineStr">
        <is>
          <t>كلا الفترتين</t>
        </is>
      </c>
      <c r="E568" t="n">
        <v>3630</v>
      </c>
      <c r="F568" t="b">
        <v>1</v>
      </c>
      <c r="G568">
        <f>HYPERLINK("https://www.google.com/maps/search/?api=1&amp;query=24.74688546,46.75833224", "View Map")</f>
        <v/>
      </c>
    </row>
    <row r="569">
      <c r="A569" t="inlineStr">
        <is>
          <t>ﻤﺴﺎﺠﺩ .</t>
        </is>
      </c>
      <c r="B569" t="inlineStr">
        <is>
          <t>KFM2020660202081</t>
        </is>
      </c>
      <c r="C569" t="inlineStr">
        <is>
          <t>الرياض</t>
        </is>
      </c>
      <c r="D569" t="inlineStr">
        <is>
          <t>كلا الفترتين</t>
        </is>
      </c>
      <c r="E569" t="n">
        <v>3624</v>
      </c>
      <c r="F569" t="b">
        <v>1</v>
      </c>
      <c r="G569">
        <f>HYPERLINK("https://www.google.com/maps/search/?api=1&amp;query=24.8839,46.6358", "View Map")</f>
        <v/>
      </c>
    </row>
    <row r="570">
      <c r="A570" t="inlineStr">
        <is>
          <t>مساجد .</t>
        </is>
      </c>
      <c r="B570" t="inlineStr">
        <is>
          <t>KFM2020660031360</t>
        </is>
      </c>
      <c r="C570" t="inlineStr">
        <is>
          <t>الدرعية</t>
        </is>
      </c>
      <c r="D570" t="inlineStr">
        <is>
          <t>كلا الفترتين</t>
        </is>
      </c>
      <c r="E570" t="n">
        <v>3615</v>
      </c>
      <c r="F570" t="b">
        <v>1</v>
      </c>
      <c r="G570">
        <f>HYPERLINK("https://www.google.com/maps/search/?api=1&amp;query=24.74563765,46.59197015", "View Map")</f>
        <v/>
      </c>
    </row>
    <row r="571">
      <c r="A571" t="inlineStr">
        <is>
          <t xml:space="preserve">   مسجد حي العقيق .</t>
        </is>
      </c>
      <c r="B571" t="inlineStr">
        <is>
          <t>KFM2020660035616</t>
        </is>
      </c>
      <c r="C571" t="inlineStr">
        <is>
          <t>الرياض</t>
        </is>
      </c>
      <c r="D571" t="inlineStr">
        <is>
          <t>كلا الفترتين</t>
        </is>
      </c>
      <c r="E571" t="n">
        <v>3613</v>
      </c>
      <c r="F571" t="b">
        <v>1</v>
      </c>
      <c r="G571">
        <f>HYPERLINK("https://www.google.com/maps/search/?api=1&amp;query=24.75870156,46.62421305", "View Map")</f>
        <v/>
      </c>
    </row>
    <row r="572">
      <c r="A572" t="inlineStr">
        <is>
          <t>.    مسجد      الخرجي .</t>
        </is>
      </c>
      <c r="B572" t="inlineStr">
        <is>
          <t>KFM2020660054991</t>
        </is>
      </c>
      <c r="C572" t="inlineStr">
        <is>
          <t>الرياض</t>
        </is>
      </c>
      <c r="D572" t="inlineStr">
        <is>
          <t>كلا الفترتين</t>
        </is>
      </c>
      <c r="E572" t="n">
        <v>3612</v>
      </c>
      <c r="F572" t="b">
        <v>1</v>
      </c>
      <c r="G572">
        <f>HYPERLINK("https://www.google.com/maps/search/?api=1&amp;query=24.58082044,46.68156942", "View Map")</f>
        <v/>
      </c>
    </row>
    <row r="573">
      <c r="A573" t="inlineStr">
        <is>
          <t>مسجد      هيله       العوده .</t>
        </is>
      </c>
      <c r="B573" t="inlineStr">
        <is>
          <t>KFM2020660054999</t>
        </is>
      </c>
      <c r="C573" t="inlineStr">
        <is>
          <t>الرياض</t>
        </is>
      </c>
      <c r="D573" t="inlineStr">
        <is>
          <t>كلا الفترتين</t>
        </is>
      </c>
      <c r="E573" t="n">
        <v>3606</v>
      </c>
      <c r="F573" t="b">
        <v>1</v>
      </c>
      <c r="G573">
        <f>HYPERLINK("https://www.google.com/maps/search/?api=1&amp;query=24.57766606,46.67910207", "View Map")</f>
        <v/>
      </c>
    </row>
    <row r="574">
      <c r="A574" t="inlineStr">
        <is>
          <t xml:space="preserve">   مسجدحى المعذر .</t>
        </is>
      </c>
      <c r="B574" t="inlineStr">
        <is>
          <t>KFM2020660031211</t>
        </is>
      </c>
      <c r="C574" t="inlineStr">
        <is>
          <t>الرياض</t>
        </is>
      </c>
      <c r="D574" t="inlineStr">
        <is>
          <t>كلا الفترتين</t>
        </is>
      </c>
      <c r="E574" t="n">
        <v>3593</v>
      </c>
      <c r="F574" t="b">
        <v>1</v>
      </c>
      <c r="G574">
        <f>HYPERLINK("https://www.google.com/maps/search/?api=1&amp;query=24.68783706,46.67492904", "View Map")</f>
        <v/>
      </c>
    </row>
    <row r="575">
      <c r="A575" t="inlineStr">
        <is>
          <t xml:space="preserve">   مسجدشرقى الصالحيه .</t>
        </is>
      </c>
      <c r="B575" t="inlineStr">
        <is>
          <t>KFM2120660286077</t>
        </is>
      </c>
      <c r="C575" t="inlineStr">
        <is>
          <t>الرياض</t>
        </is>
      </c>
      <c r="D575" t="inlineStr">
        <is>
          <t>كلا الفترتين</t>
        </is>
      </c>
      <c r="E575" t="n">
        <v>3588</v>
      </c>
      <c r="F575" t="b">
        <v>1</v>
      </c>
      <c r="G575">
        <f>HYPERLINK("https://www.google.com/maps/search/?api=1&amp;query=24.63730564,46.73632813", "View Map")</f>
        <v/>
      </c>
    </row>
    <row r="576">
      <c r="A576" t="inlineStr">
        <is>
          <t>ﺍﻭﻗﺎﻑ ﻭﻤﺴﺎﺠﺩ ( ) .</t>
        </is>
      </c>
      <c r="B576" t="inlineStr">
        <is>
          <t>SMR2320661029437</t>
        </is>
      </c>
      <c r="C576" t="inlineStr">
        <is>
          <t>الرياض</t>
        </is>
      </c>
      <c r="D576" t="inlineStr">
        <is>
          <t>كلا الفترتين</t>
        </is>
      </c>
      <c r="E576" t="n">
        <v>3587</v>
      </c>
      <c r="F576" t="b">
        <v>0</v>
      </c>
      <c r="G576">
        <f>HYPERLINK("https://www.google.com/maps/search/?api=1&amp;query=0.0,0.0", "View Map")</f>
        <v/>
      </c>
    </row>
    <row r="577">
      <c r="A577" t="inlineStr">
        <is>
          <t>00     مسجد      التقوى .</t>
        </is>
      </c>
      <c r="B577" t="inlineStr">
        <is>
          <t>KFM2020660202712</t>
        </is>
      </c>
      <c r="C577" t="inlineStr">
        <is>
          <t>الرياض</t>
        </is>
      </c>
      <c r="D577" t="inlineStr">
        <is>
          <t>كلا الفترتين</t>
        </is>
      </c>
      <c r="E577" t="n">
        <v>3587</v>
      </c>
      <c r="F577" t="b">
        <v>1</v>
      </c>
      <c r="G577">
        <f>HYPERLINK("https://www.google.com/maps/search/?api=1&amp;query=24.62685783,46.6557251", "View Map")</f>
        <v/>
      </c>
    </row>
    <row r="578">
      <c r="A578" t="inlineStr">
        <is>
          <t>ﻤﺴﺎﺠﺩ .</t>
        </is>
      </c>
      <c r="B578" t="inlineStr">
        <is>
          <t>KFM2120655004282</t>
        </is>
      </c>
      <c r="C578" t="inlineStr">
        <is>
          <t>الرياض</t>
        </is>
      </c>
      <c r="D578" t="inlineStr">
        <is>
          <t>كلا الفترتين</t>
        </is>
      </c>
      <c r="E578" t="n">
        <v>3579</v>
      </c>
      <c r="F578" t="b">
        <v>0</v>
      </c>
      <c r="G578">
        <f>HYPERLINK("https://www.google.com/maps/search/?api=1&amp;query=24.88673753,46.63400258", "View Map")</f>
        <v/>
      </c>
    </row>
    <row r="579">
      <c r="A579" t="inlineStr">
        <is>
          <t xml:space="preserve">   مسجد الشيخ عبدالله البليهد .</t>
        </is>
      </c>
      <c r="B579" t="inlineStr">
        <is>
          <t>KFM2020660169927</t>
        </is>
      </c>
      <c r="C579" t="inlineStr">
        <is>
          <t>الرياض</t>
        </is>
      </c>
      <c r="D579" t="inlineStr">
        <is>
          <t>كلا الفترتين</t>
        </is>
      </c>
      <c r="E579" t="n">
        <v>3571</v>
      </c>
      <c r="F579" t="b">
        <v>1</v>
      </c>
      <c r="G579">
        <f>HYPERLINK("https://www.google.com/maps/search/?api=1&amp;query=24.68188405,46.68902352", "View Map")</f>
        <v/>
      </c>
    </row>
    <row r="580">
      <c r="A580" t="inlineStr">
        <is>
          <t xml:space="preserve">   مسجد      حمزه  بن  عبدالمطلب .</t>
        </is>
      </c>
      <c r="B580" t="inlineStr">
        <is>
          <t>KFM2020660193613</t>
        </is>
      </c>
      <c r="C580" t="inlineStr">
        <is>
          <t>الرياض</t>
        </is>
      </c>
      <c r="D580" t="inlineStr">
        <is>
          <t>كلا الفترتين</t>
        </is>
      </c>
      <c r="E580" t="n">
        <v>3553</v>
      </c>
      <c r="F580" t="b">
        <v>0</v>
      </c>
      <c r="G580">
        <f>HYPERLINK("https://www.google.com/maps/search/?api=1&amp;query=24.69643018,46.86031652", "View Map")</f>
        <v/>
      </c>
    </row>
    <row r="581">
      <c r="A581" t="inlineStr">
        <is>
          <t xml:space="preserve">   مسجد حي العزيزية .</t>
        </is>
      </c>
      <c r="B581" t="inlineStr">
        <is>
          <t>KFM2120660256931</t>
        </is>
      </c>
      <c r="C581" t="inlineStr">
        <is>
          <t>الرياض</t>
        </is>
      </c>
      <c r="D581" t="inlineStr">
        <is>
          <t>كلا الفترتين</t>
        </is>
      </c>
      <c r="E581" t="n">
        <v>3537</v>
      </c>
      <c r="F581" t="b">
        <v>1</v>
      </c>
      <c r="G581">
        <f>HYPERLINK("https://www.google.com/maps/search/?api=1&amp;query=24.58050058,46.76986772", "View Map")</f>
        <v/>
      </c>
    </row>
    <row r="582">
      <c r="A582" t="inlineStr">
        <is>
          <t xml:space="preserve">   مسجدالوادي ومرافقه .</t>
        </is>
      </c>
      <c r="B582" t="inlineStr">
        <is>
          <t>KFM2020660211389</t>
        </is>
      </c>
      <c r="C582" t="inlineStr">
        <is>
          <t>الرياض</t>
        </is>
      </c>
      <c r="D582" t="inlineStr">
        <is>
          <t>كلا الفترتين</t>
        </is>
      </c>
      <c r="E582" t="n">
        <v>3535</v>
      </c>
      <c r="F582" t="b">
        <v>0</v>
      </c>
      <c r="G582">
        <f>HYPERLINK("https://www.google.com/maps/search/?api=1&amp;query=24.79528635,46.69282761", "View Map")</f>
        <v/>
      </c>
    </row>
    <row r="583">
      <c r="A583" t="inlineStr">
        <is>
          <t xml:space="preserve">   مسجد سعد بن معاذ .</t>
        </is>
      </c>
      <c r="B583" t="inlineStr">
        <is>
          <t>KFM2020660060430</t>
        </is>
      </c>
      <c r="C583" t="inlineStr">
        <is>
          <t>الرياض</t>
        </is>
      </c>
      <c r="D583" t="inlineStr">
        <is>
          <t>كلا الفترتين</t>
        </is>
      </c>
      <c r="E583" t="n">
        <v>3535</v>
      </c>
      <c r="F583" t="b">
        <v>1</v>
      </c>
      <c r="G583">
        <f>HYPERLINK("https://www.google.com/maps/search/?api=1&amp;query=24.66000596,46.72130472", "View Map")</f>
        <v/>
      </c>
    </row>
    <row r="584">
      <c r="A584" t="inlineStr">
        <is>
          <t xml:space="preserve">   مسجد حى الازدهار .</t>
        </is>
      </c>
      <c r="B584" t="inlineStr">
        <is>
          <t>KFM2020660173140</t>
        </is>
      </c>
      <c r="C584" t="inlineStr">
        <is>
          <t>الرياض</t>
        </is>
      </c>
      <c r="D584" t="inlineStr">
        <is>
          <t>كلا الفترتين</t>
        </is>
      </c>
      <c r="E584" t="n">
        <v>3532</v>
      </c>
      <c r="F584" t="b">
        <v>1</v>
      </c>
      <c r="G584">
        <f>HYPERLINK("https://www.google.com/maps/search/?api=1&amp;query=24.77451704,46.71654556", "View Map")</f>
        <v/>
      </c>
    </row>
    <row r="585">
      <c r="A585" t="inlineStr">
        <is>
          <t>مسجد المنصوريات .</t>
        </is>
      </c>
      <c r="B585" t="inlineStr">
        <is>
          <t>KFM2020660039193</t>
        </is>
      </c>
      <c r="C585" t="inlineStr">
        <is>
          <t>الرياض</t>
        </is>
      </c>
      <c r="D585" t="inlineStr">
        <is>
          <t>كلا الفترتين</t>
        </is>
      </c>
      <c r="E585" t="n">
        <v>3529</v>
      </c>
      <c r="F585" t="b">
        <v>1</v>
      </c>
      <c r="G585">
        <f>HYPERLINK("https://www.google.com/maps/search/?api=1&amp;query=24.64,46.6964", "View Map")</f>
        <v/>
      </c>
    </row>
    <row r="586">
      <c r="A586" t="inlineStr">
        <is>
          <t>ﻤﺴﺎﺠﺩ .</t>
        </is>
      </c>
      <c r="B586" t="inlineStr">
        <is>
          <t>KFM2020660174454</t>
        </is>
      </c>
      <c r="C586" t="inlineStr">
        <is>
          <t>الرياض</t>
        </is>
      </c>
      <c r="D586" t="inlineStr">
        <is>
          <t>كلا الفترتين</t>
        </is>
      </c>
      <c r="E586" t="n">
        <v>3524</v>
      </c>
      <c r="F586" t="b">
        <v>1</v>
      </c>
      <c r="G586">
        <f>HYPERLINK("https://www.google.com/maps/search/?api=1&amp;query=24.79683667,46.7940238", "View Map")</f>
        <v/>
      </c>
    </row>
    <row r="587">
      <c r="A587" t="inlineStr">
        <is>
          <t xml:space="preserve">   مسجد      علي       د .</t>
        </is>
      </c>
      <c r="B587" t="inlineStr">
        <is>
          <t>KFM2020660188134</t>
        </is>
      </c>
      <c r="C587" t="inlineStr">
        <is>
          <t>الرياض</t>
        </is>
      </c>
      <c r="D587" t="inlineStr">
        <is>
          <t>كلا الفترتين</t>
        </is>
      </c>
      <c r="E587" t="n">
        <v>3523</v>
      </c>
      <c r="F587" t="b">
        <v>1</v>
      </c>
      <c r="G587">
        <f>HYPERLINK("https://www.google.com/maps/search/?api=1&amp;query=24.66450296,46.70559509", "View Map")</f>
        <v/>
      </c>
    </row>
    <row r="588">
      <c r="A588" t="inlineStr">
        <is>
          <t xml:space="preserve">   مسجد الوهيبي .</t>
        </is>
      </c>
      <c r="B588" t="inlineStr">
        <is>
          <t>KFM2020660202886</t>
        </is>
      </c>
      <c r="C588" t="inlineStr">
        <is>
          <t>الرياض</t>
        </is>
      </c>
      <c r="D588" t="inlineStr">
        <is>
          <t>كلا الفترتين</t>
        </is>
      </c>
      <c r="E588" t="n">
        <v>3522</v>
      </c>
      <c r="F588" t="b">
        <v>0</v>
      </c>
      <c r="G588">
        <f>HYPERLINK("https://www.google.com/maps/search/?api=1&amp;query=24.80948888,46.63975357", "View Map")</f>
        <v/>
      </c>
    </row>
    <row r="589">
      <c r="A589" t="inlineStr">
        <is>
          <t>مسجد بن عدوان .</t>
        </is>
      </c>
      <c r="B589" t="inlineStr">
        <is>
          <t>KFM2020660198930</t>
        </is>
      </c>
      <c r="C589" t="inlineStr">
        <is>
          <t>الرياض</t>
        </is>
      </c>
      <c r="D589" t="inlineStr">
        <is>
          <t>كلا الفترتين</t>
        </is>
      </c>
      <c r="E589" t="n">
        <v>3522</v>
      </c>
      <c r="F589" t="b">
        <v>1</v>
      </c>
      <c r="G589">
        <f>HYPERLINK("https://www.google.com/maps/search/?api=1&amp;query=24.63499109,46.69101628", "View Map")</f>
        <v/>
      </c>
    </row>
    <row r="590">
      <c r="A590" t="inlineStr">
        <is>
          <t>ﻤﺴﺎﺠﺩ .</t>
        </is>
      </c>
      <c r="B590" t="inlineStr">
        <is>
          <t>SMR2320661028757</t>
        </is>
      </c>
      <c r="C590" t="inlineStr">
        <is>
          <t>الرياض</t>
        </is>
      </c>
      <c r="D590" t="inlineStr">
        <is>
          <t>كلا الفترتين</t>
        </is>
      </c>
      <c r="E590" t="n">
        <v>3522</v>
      </c>
      <c r="F590" t="b">
        <v>1</v>
      </c>
      <c r="G590">
        <f>HYPERLINK("https://www.google.com/maps/search/?api=1&amp;query=24.81538117,46.8052495", "View Map")</f>
        <v/>
      </c>
    </row>
    <row r="591">
      <c r="A591" t="inlineStr">
        <is>
          <t xml:space="preserve">   جامع باجد .</t>
        </is>
      </c>
      <c r="B591" t="inlineStr">
        <is>
          <t>KFM2020660145764</t>
        </is>
      </c>
      <c r="C591" t="inlineStr">
        <is>
          <t>الرياض</t>
        </is>
      </c>
      <c r="D591" t="inlineStr">
        <is>
          <t>كلا الفترتين</t>
        </is>
      </c>
      <c r="E591" t="n">
        <v>3508</v>
      </c>
      <c r="F591" t="b">
        <v>1</v>
      </c>
      <c r="G591">
        <f>HYPERLINK("https://www.google.com/maps/search/?api=1&amp;query=24.77965298,46.78322262", "View Map")</f>
        <v/>
      </c>
    </row>
    <row r="592">
      <c r="A592" t="inlineStr">
        <is>
          <t>ﻭﺯﺍﺭﺓﺍﻟﺸﺌﻭﻥ ﺍﻻﺴﻼﻤﻴﺓﻭﺍﻻﻭﻗﺎﻑ .</t>
        </is>
      </c>
      <c r="B592" t="inlineStr">
        <is>
          <t>KFM2020660053113</t>
        </is>
      </c>
      <c r="C592" t="inlineStr">
        <is>
          <t>الرياض</t>
        </is>
      </c>
      <c r="D592" t="inlineStr">
        <is>
          <t>كلا الفترتين</t>
        </is>
      </c>
      <c r="E592" t="n">
        <v>3500</v>
      </c>
      <c r="F592" t="b">
        <v>1</v>
      </c>
      <c r="G592">
        <f>HYPERLINK("https://www.google.com/maps/search/?api=1&amp;query=24.61958456,46.71918604", "View Map")</f>
        <v/>
      </c>
    </row>
    <row r="593">
      <c r="A593" t="inlineStr">
        <is>
          <t>ﻤﺴﺎﺠﺩ .</t>
        </is>
      </c>
      <c r="B593" t="inlineStr">
        <is>
          <t>KFM2120655004579</t>
        </is>
      </c>
      <c r="C593" t="inlineStr">
        <is>
          <t>الرياض</t>
        </is>
      </c>
      <c r="D593" t="inlineStr">
        <is>
          <t>كلا الفترتين</t>
        </is>
      </c>
      <c r="E593" t="n">
        <v>3499</v>
      </c>
      <c r="F593" t="b">
        <v>1</v>
      </c>
      <c r="G593">
        <f>HYPERLINK("https://www.google.com/maps/search/?api=1&amp;query=24.92525789,46.82341566", "View Map")</f>
        <v/>
      </c>
    </row>
    <row r="594">
      <c r="A594" t="inlineStr">
        <is>
          <t xml:space="preserve">   مسجد حى الازدهار .</t>
        </is>
      </c>
      <c r="B594" t="inlineStr">
        <is>
          <t>KFM2020660173125</t>
        </is>
      </c>
      <c r="C594" t="inlineStr">
        <is>
          <t>الرياض</t>
        </is>
      </c>
      <c r="D594" t="inlineStr">
        <is>
          <t>كلا الفترتين</t>
        </is>
      </c>
      <c r="E594" t="n">
        <v>3486</v>
      </c>
      <c r="F594" t="b">
        <v>1</v>
      </c>
      <c r="G594">
        <f>HYPERLINK("https://www.google.com/maps/search/?api=1&amp;query=24.77869471,46.72186221", "View Map")</f>
        <v/>
      </c>
    </row>
    <row r="595">
      <c r="A595" t="inlineStr">
        <is>
          <t xml:space="preserve">   مسجد جوزاء جدي الحريول .</t>
        </is>
      </c>
      <c r="B595" t="inlineStr">
        <is>
          <t>KFM2020660174894</t>
        </is>
      </c>
      <c r="C595" t="inlineStr">
        <is>
          <t>الرياض</t>
        </is>
      </c>
      <c r="D595" t="inlineStr">
        <is>
          <t>كلا الفترتين</t>
        </is>
      </c>
      <c r="E595" t="n">
        <v>3479</v>
      </c>
      <c r="F595" t="b">
        <v>1</v>
      </c>
      <c r="G595">
        <f>HYPERLINK("https://www.google.com/maps/search/?api=1&amp;query=24.81973682,46.77088875", "View Map")</f>
        <v/>
      </c>
    </row>
    <row r="596">
      <c r="A596" t="inlineStr">
        <is>
          <t>ﻤﺴﺎﺠﺩ .</t>
        </is>
      </c>
      <c r="B596" t="inlineStr">
        <is>
          <t>SMR2220661007268</t>
        </is>
      </c>
      <c r="C596" t="inlineStr">
        <is>
          <t>الرياض</t>
        </is>
      </c>
      <c r="D596" t="inlineStr">
        <is>
          <t>كلا الفترتين</t>
        </is>
      </c>
      <c r="E596" t="n">
        <v>3478</v>
      </c>
      <c r="F596" t="b">
        <v>1</v>
      </c>
      <c r="G596">
        <f>HYPERLINK("https://www.google.com/maps/search/?api=1&amp;query=24.67053403,46.54612797", "View Map")</f>
        <v/>
      </c>
    </row>
    <row r="597">
      <c r="A597" t="inlineStr">
        <is>
          <t xml:space="preserve">      مسجدالشيخ/عبدالرحمن بن حسن بن .</t>
        </is>
      </c>
      <c r="B597" t="inlineStr">
        <is>
          <t>KFM2020660057017</t>
        </is>
      </c>
      <c r="C597" t="inlineStr">
        <is>
          <t>الرياض</t>
        </is>
      </c>
      <c r="D597" t="inlineStr">
        <is>
          <t>كلا الفترتين</t>
        </is>
      </c>
      <c r="E597" t="n">
        <v>3469</v>
      </c>
      <c r="F597" t="b">
        <v>0</v>
      </c>
      <c r="G597">
        <f>HYPERLINK("https://www.google.com/maps/search/?api=1&amp;query=24.77542057,46.74452977", "View Map")</f>
        <v/>
      </c>
    </row>
    <row r="598">
      <c r="A598" t="inlineStr">
        <is>
          <t xml:space="preserve">   مسجد ابوبكر الصديق .</t>
        </is>
      </c>
      <c r="B598" t="inlineStr">
        <is>
          <t>KFM2020660192234</t>
        </is>
      </c>
      <c r="C598" t="inlineStr">
        <is>
          <t>الرياض</t>
        </is>
      </c>
      <c r="D598" t="inlineStr">
        <is>
          <t>كلا الفترتين</t>
        </is>
      </c>
      <c r="E598" t="n">
        <v>3465</v>
      </c>
      <c r="F598" t="b">
        <v>1</v>
      </c>
      <c r="G598">
        <f>HYPERLINK("https://www.google.com/maps/search/?api=1&amp;query=24.78801414,46.62810331", "View Map")</f>
        <v/>
      </c>
    </row>
    <row r="599">
      <c r="A599" t="inlineStr">
        <is>
          <t>مسجدالعقيلى .</t>
        </is>
      </c>
      <c r="B599" t="inlineStr">
        <is>
          <t>KFM2020660201629</t>
        </is>
      </c>
      <c r="C599" t="inlineStr">
        <is>
          <t>الرياض</t>
        </is>
      </c>
      <c r="D599" t="inlineStr">
        <is>
          <t>كلا الفترتين</t>
        </is>
      </c>
      <c r="E599" t="n">
        <v>3464</v>
      </c>
      <c r="F599" t="b">
        <v>1</v>
      </c>
      <c r="G599">
        <f>HYPERLINK("https://www.google.com/maps/search/?api=1&amp;query=24.5419,46.7028", "View Map")</f>
        <v/>
      </c>
    </row>
    <row r="600">
      <c r="A600" t="inlineStr">
        <is>
          <t xml:space="preserve">   مسجدجامع حله العنوز .</t>
        </is>
      </c>
      <c r="B600" t="inlineStr">
        <is>
          <t>KFM2120660267537</t>
        </is>
      </c>
      <c r="C600" t="inlineStr">
        <is>
          <t>الرياض</t>
        </is>
      </c>
      <c r="D600" t="inlineStr">
        <is>
          <t>كلا الفترتين</t>
        </is>
      </c>
      <c r="E600" t="n">
        <v>3462</v>
      </c>
      <c r="F600" t="b">
        <v>0</v>
      </c>
      <c r="G600">
        <f>HYPERLINK("https://www.google.com/maps/search/?api=1&amp;query=24.62920244,46.74461055", "View Map")</f>
        <v/>
      </c>
    </row>
    <row r="601">
      <c r="A601" t="inlineStr">
        <is>
          <t xml:space="preserve">   مسجد سعد بن معاذ .</t>
        </is>
      </c>
      <c r="B601" t="inlineStr">
        <is>
          <t>KFM2120660242770</t>
        </is>
      </c>
      <c r="C601" t="inlineStr">
        <is>
          <t>الرياض</t>
        </is>
      </c>
      <c r="D601" t="inlineStr">
        <is>
          <t>كلا الفترتين</t>
        </is>
      </c>
      <c r="E601" t="n">
        <v>3461</v>
      </c>
      <c r="F601" t="b">
        <v>1</v>
      </c>
      <c r="G601">
        <f>HYPERLINK("https://www.google.com/maps/search/?api=1&amp;query=24.72069939,46.78038202", "View Map")</f>
        <v/>
      </c>
    </row>
    <row r="602">
      <c r="A602" t="inlineStr">
        <is>
          <t>ﻤﺴﺎﺠﺩ .</t>
        </is>
      </c>
      <c r="B602" t="inlineStr">
        <is>
          <t>KFM2020660104891</t>
        </is>
      </c>
      <c r="C602" t="inlineStr">
        <is>
          <t>الرياض</t>
        </is>
      </c>
      <c r="D602" t="inlineStr">
        <is>
          <t>كلا الفترتين</t>
        </is>
      </c>
      <c r="E602" t="n">
        <v>3461</v>
      </c>
      <c r="F602" t="b">
        <v>1</v>
      </c>
      <c r="G602">
        <f>HYPERLINK("https://www.google.com/maps/search/?api=1&amp;query=24.8808,46.6236", "View Map")</f>
        <v/>
      </c>
    </row>
    <row r="603">
      <c r="A603" t="inlineStr">
        <is>
          <t xml:space="preserve">   مسجد بحي الدار البيضاء .</t>
        </is>
      </c>
      <c r="B603" t="inlineStr">
        <is>
          <t>KFM2020660161702</t>
        </is>
      </c>
      <c r="C603" t="inlineStr">
        <is>
          <t>الرياض</t>
        </is>
      </c>
      <c r="D603" t="inlineStr">
        <is>
          <t>كلا الفترتين</t>
        </is>
      </c>
      <c r="E603" t="n">
        <v>3459</v>
      </c>
      <c r="F603" t="b">
        <v>0</v>
      </c>
      <c r="G603">
        <f>HYPERLINK("https://www.google.com/maps/search/?api=1&amp;query=24.56168925,46.79831275", "View Map")</f>
        <v/>
      </c>
    </row>
    <row r="604">
      <c r="A604" t="inlineStr">
        <is>
          <t>وزارة الشئون الا سلا مية والا اوقاف .</t>
        </is>
      </c>
      <c r="B604" t="inlineStr">
        <is>
          <t>KFM2020660007882</t>
        </is>
      </c>
      <c r="C604" t="inlineStr">
        <is>
          <t>الرياض</t>
        </is>
      </c>
      <c r="D604" t="inlineStr">
        <is>
          <t>كلا الفترتين</t>
        </is>
      </c>
      <c r="E604" t="n">
        <v>3458</v>
      </c>
      <c r="F604" t="b">
        <v>1</v>
      </c>
      <c r="G604">
        <f>HYPERLINK("https://www.google.com/maps/search/?api=1&amp;query=24.55676043,46.5226673", "View Map")</f>
        <v/>
      </c>
    </row>
    <row r="605">
      <c r="A605" t="inlineStr">
        <is>
          <t xml:space="preserve">   مسجد اسواق الهودج .</t>
        </is>
      </c>
      <c r="B605" t="inlineStr">
        <is>
          <t>KFM2120660268731</t>
        </is>
      </c>
      <c r="C605" t="inlineStr">
        <is>
          <t>الرياض</t>
        </is>
      </c>
      <c r="D605" t="inlineStr">
        <is>
          <t>كلا الفترتين</t>
        </is>
      </c>
      <c r="E605" t="n">
        <v>3453</v>
      </c>
      <c r="F605" t="b">
        <v>1</v>
      </c>
      <c r="G605">
        <f>HYPERLINK("https://www.google.com/maps/search/?api=1&amp;query=24.69873387,46.76547353", "View Map")</f>
        <v/>
      </c>
    </row>
    <row r="606">
      <c r="A606" t="inlineStr">
        <is>
          <t xml:space="preserve">   مسجد فهد عبدالله ال حسين .</t>
        </is>
      </c>
      <c r="B606" t="inlineStr">
        <is>
          <t>KFM2120660305455</t>
        </is>
      </c>
      <c r="C606" t="inlineStr">
        <is>
          <t>الرياض</t>
        </is>
      </c>
      <c r="D606" t="inlineStr">
        <is>
          <t>كلا الفترتين</t>
        </is>
      </c>
      <c r="E606" t="n">
        <v>3450</v>
      </c>
      <c r="F606" t="b">
        <v>1</v>
      </c>
      <c r="G606">
        <f>HYPERLINK("https://www.google.com/maps/search/?api=1&amp;query=24.59371774,46.76144005", "View Map")</f>
        <v/>
      </c>
    </row>
    <row r="607">
      <c r="A607" t="inlineStr">
        <is>
          <t>مسجد الفارس .</t>
        </is>
      </c>
      <c r="B607" t="inlineStr">
        <is>
          <t>KFM2020660019170</t>
        </is>
      </c>
      <c r="C607" t="inlineStr">
        <is>
          <t>الرياض</t>
        </is>
      </c>
      <c r="D607" t="inlineStr">
        <is>
          <t>كلا الفترتين</t>
        </is>
      </c>
      <c r="E607" t="n">
        <v>3450</v>
      </c>
      <c r="F607" t="b">
        <v>1</v>
      </c>
      <c r="G607">
        <f>HYPERLINK("https://www.google.com/maps/search/?api=1&amp;query=24.57091572,46.66374636", "View Map")</f>
        <v/>
      </c>
    </row>
    <row r="608">
      <c r="A608" t="inlineStr">
        <is>
          <t xml:space="preserve">   مسجد حي التعاون مخطط 1822 بلك 10 .</t>
        </is>
      </c>
      <c r="B608" t="inlineStr">
        <is>
          <t>KFM2020660160610</t>
        </is>
      </c>
      <c r="C608" t="inlineStr">
        <is>
          <t>الرياض</t>
        </is>
      </c>
      <c r="D608" t="inlineStr">
        <is>
          <t>كلا الفترتين</t>
        </is>
      </c>
      <c r="E608" t="n">
        <v>3449</v>
      </c>
      <c r="F608" t="b">
        <v>0</v>
      </c>
      <c r="G608">
        <f>HYPERLINK("https://www.google.com/maps/search/?api=1&amp;query=24.76882229,46.70801249", "View Map")</f>
        <v/>
      </c>
    </row>
    <row r="609">
      <c r="A609" t="inlineStr">
        <is>
          <t xml:space="preserve">   مسجد ابو ايوب الانصاري . .</t>
        </is>
      </c>
      <c r="B609" t="inlineStr">
        <is>
          <t>KFM2020660232955</t>
        </is>
      </c>
      <c r="C609" t="inlineStr">
        <is>
          <t>الرياض</t>
        </is>
      </c>
      <c r="D609" t="inlineStr">
        <is>
          <t>كلا الفترتين</t>
        </is>
      </c>
      <c r="E609" t="n">
        <v>3443</v>
      </c>
      <c r="F609" t="b">
        <v>1</v>
      </c>
      <c r="G609">
        <f>HYPERLINK("https://www.google.com/maps/search/?api=1&amp;query=24.72666641,46.85361565", "View Map")</f>
        <v/>
      </c>
    </row>
    <row r="610">
      <c r="A610" t="inlineStr">
        <is>
          <t xml:space="preserve">         مسجدسليمان القزلان حىالفلاح .</t>
        </is>
      </c>
      <c r="B610" t="inlineStr">
        <is>
          <t>KFM2020660214092</t>
        </is>
      </c>
      <c r="C610" t="inlineStr">
        <is>
          <t>الرياض</t>
        </is>
      </c>
      <c r="D610" t="inlineStr">
        <is>
          <t>كلا الفترتين</t>
        </is>
      </c>
      <c r="E610" t="n">
        <v>3439</v>
      </c>
      <c r="F610" t="b">
        <v>1</v>
      </c>
      <c r="G610">
        <f>HYPERLINK("https://www.google.com/maps/search/?api=1&amp;query=24.78875116,46.70551882", "View Map")</f>
        <v/>
      </c>
    </row>
    <row r="611">
      <c r="A611" t="inlineStr">
        <is>
          <t xml:space="preserve">   مسجد الشهيد ايمن الفتى .</t>
        </is>
      </c>
      <c r="B611" t="inlineStr">
        <is>
          <t>KFM2120660247053</t>
        </is>
      </c>
      <c r="C611" t="inlineStr">
        <is>
          <t>الرياض</t>
        </is>
      </c>
      <c r="D611" t="inlineStr">
        <is>
          <t>كلا الفترتين</t>
        </is>
      </c>
      <c r="E611" t="n">
        <v>3439</v>
      </c>
      <c r="F611" t="b">
        <v>1</v>
      </c>
      <c r="G611">
        <f>HYPERLINK("https://www.google.com/maps/search/?api=1&amp;query=24.697,46.68687", "View Map")</f>
        <v/>
      </c>
    </row>
    <row r="612">
      <c r="A612" t="inlineStr">
        <is>
          <t xml:space="preserve">   مسـجد وزارة الدفاع والطيران .</t>
        </is>
      </c>
      <c r="B612" t="inlineStr">
        <is>
          <t>KFM2020660160544</t>
        </is>
      </c>
      <c r="C612" t="inlineStr">
        <is>
          <t>الرياض</t>
        </is>
      </c>
      <c r="D612" t="inlineStr">
        <is>
          <t>كلا الفترتين</t>
        </is>
      </c>
      <c r="E612" t="n">
        <v>3435</v>
      </c>
      <c r="F612" t="b">
        <v>1</v>
      </c>
      <c r="G612">
        <f>HYPERLINK("https://www.google.com/maps/search/?api=1&amp;query=24.67259,46.71596", "View Map")</f>
        <v/>
      </c>
    </row>
    <row r="613">
      <c r="A613" t="inlineStr">
        <is>
          <t>مسجد حى  الشفاء .</t>
        </is>
      </c>
      <c r="B613" t="inlineStr">
        <is>
          <t>KFM2020660176000</t>
        </is>
      </c>
      <c r="C613" t="inlineStr">
        <is>
          <t>الرياض</t>
        </is>
      </c>
      <c r="D613" t="inlineStr">
        <is>
          <t>كلا الفترتين</t>
        </is>
      </c>
      <c r="E613" t="n">
        <v>3417</v>
      </c>
      <c r="F613" t="b">
        <v>1</v>
      </c>
      <c r="G613">
        <f>HYPERLINK("https://www.google.com/maps/search/?api=1&amp;query=24.56388862,46.71046769", "View Map")</f>
        <v/>
      </c>
    </row>
    <row r="614">
      <c r="A614" t="inlineStr">
        <is>
          <t xml:space="preserve">   مسجدموسى عبدالرحمن ال اسماعيل .</t>
        </is>
      </c>
      <c r="B614" t="inlineStr">
        <is>
          <t>KFM2020660130020</t>
        </is>
      </c>
      <c r="C614" t="inlineStr">
        <is>
          <t>الرياض</t>
        </is>
      </c>
      <c r="D614" t="inlineStr">
        <is>
          <t>كلا الفترتين</t>
        </is>
      </c>
      <c r="E614" t="n">
        <v>3416</v>
      </c>
      <c r="F614" t="b">
        <v>1</v>
      </c>
      <c r="G614">
        <f>HYPERLINK("https://www.google.com/maps/search/?api=1&amp;query=24.75376616,46.70238851", "View Map")</f>
        <v/>
      </c>
    </row>
    <row r="615">
      <c r="A615" t="inlineStr">
        <is>
          <t xml:space="preserve">   مسجد وسكن عبدالمحسن المهيدب .</t>
        </is>
      </c>
      <c r="B615" t="inlineStr">
        <is>
          <t>KFM2020660012634</t>
        </is>
      </c>
      <c r="C615" t="inlineStr">
        <is>
          <t>الرياض</t>
        </is>
      </c>
      <c r="D615" t="inlineStr">
        <is>
          <t>كلا الفترتين</t>
        </is>
      </c>
      <c r="E615" t="n">
        <v>3416</v>
      </c>
      <c r="F615" t="b">
        <v>1</v>
      </c>
      <c r="G615">
        <f>HYPERLINK("https://www.google.com/maps/search/?api=1&amp;query=24.77136506,46.77602207", "View Map")</f>
        <v/>
      </c>
    </row>
    <row r="616">
      <c r="A616" t="inlineStr">
        <is>
          <t xml:space="preserve">   مسجد/ ابراهيم بن عبدالله الجريسي .</t>
        </is>
      </c>
      <c r="B616" t="inlineStr">
        <is>
          <t>KFM2020660212123</t>
        </is>
      </c>
      <c r="C616" t="inlineStr">
        <is>
          <t>الرياض</t>
        </is>
      </c>
      <c r="D616" t="inlineStr">
        <is>
          <t>كلا الفترتين</t>
        </is>
      </c>
      <c r="E616" t="n">
        <v>3414</v>
      </c>
      <c r="F616" t="b">
        <v>1</v>
      </c>
      <c r="G616">
        <f>HYPERLINK("https://www.google.com/maps/search/?api=1&amp;query=24.67528726,46.58276208", "View Map")</f>
        <v/>
      </c>
    </row>
    <row r="617">
      <c r="A617" t="inlineStr">
        <is>
          <t xml:space="preserve">   مسجد حي العقيق .</t>
        </is>
      </c>
      <c r="B617" t="inlineStr">
        <is>
          <t>KFM2020660052218</t>
        </is>
      </c>
      <c r="C617" t="inlineStr">
        <is>
          <t>الرياض</t>
        </is>
      </c>
      <c r="D617" t="inlineStr">
        <is>
          <t>كلا الفترتين</t>
        </is>
      </c>
      <c r="E617" t="n">
        <v>3413</v>
      </c>
      <c r="F617" t="b">
        <v>0</v>
      </c>
      <c r="G617">
        <f>HYPERLINK("https://www.google.com/maps/search/?api=1&amp;query=24.75797935,46.63136185", "View Map")</f>
        <v/>
      </c>
    </row>
    <row r="618">
      <c r="A618" t="inlineStr">
        <is>
          <t xml:space="preserve">   مسجدسموالاميرعبدالرحمن عبدالله ال .</t>
        </is>
      </c>
      <c r="B618" t="inlineStr">
        <is>
          <t>KFM2120660300814</t>
        </is>
      </c>
      <c r="C618" t="inlineStr">
        <is>
          <t>الرياض</t>
        </is>
      </c>
      <c r="D618" t="inlineStr">
        <is>
          <t>كلا الفترتين</t>
        </is>
      </c>
      <c r="E618" t="n">
        <v>3411</v>
      </c>
      <c r="F618" t="b">
        <v>1</v>
      </c>
      <c r="G618">
        <f>HYPERLINK("https://www.google.com/maps/search/?api=1&amp;query=24.68439801,46.66427217", "View Map")</f>
        <v/>
      </c>
    </row>
    <row r="619">
      <c r="A619" t="inlineStr">
        <is>
          <t xml:space="preserve">   مسجد/عقبه بن نافع .</t>
        </is>
      </c>
      <c r="B619" t="inlineStr">
        <is>
          <t>KFM2020660038155</t>
        </is>
      </c>
      <c r="C619" t="inlineStr">
        <is>
          <t>الرياض</t>
        </is>
      </c>
      <c r="D619" t="inlineStr">
        <is>
          <t>كلا الفترتين</t>
        </is>
      </c>
      <c r="E619" t="n">
        <v>3411</v>
      </c>
      <c r="F619" t="b">
        <v>0</v>
      </c>
      <c r="G619">
        <f>HYPERLINK("https://www.google.com/maps/search/?api=1&amp;query=24.78099291,46.7864211", "View Map")</f>
        <v/>
      </c>
    </row>
    <row r="620">
      <c r="A620" t="inlineStr">
        <is>
          <t xml:space="preserve">   مسجد حي الملك فيصل .</t>
        </is>
      </c>
      <c r="B620" t="inlineStr">
        <is>
          <t>KFM2020660035966</t>
        </is>
      </c>
      <c r="C620" t="inlineStr">
        <is>
          <t>الرياض</t>
        </is>
      </c>
      <c r="D620" t="inlineStr">
        <is>
          <t>كلا الفترتين</t>
        </is>
      </c>
      <c r="E620" t="n">
        <v>3410</v>
      </c>
      <c r="F620" t="b">
        <v>0</v>
      </c>
      <c r="G620">
        <f>HYPERLINK("https://www.google.com/maps/search/?api=1&amp;query=24.76956795,46.77294623", "View Map")</f>
        <v/>
      </c>
    </row>
    <row r="621">
      <c r="A621" t="inlineStr">
        <is>
          <t>ﻤﺴﺎﺠﺩ .</t>
        </is>
      </c>
      <c r="B621" t="inlineStr">
        <is>
          <t>KFM2020660061118</t>
        </is>
      </c>
      <c r="C621" t="inlineStr">
        <is>
          <t>الرياض</t>
        </is>
      </c>
      <c r="D621" t="inlineStr">
        <is>
          <t>كلا الفترتين</t>
        </is>
      </c>
      <c r="E621" t="n">
        <v>3406</v>
      </c>
      <c r="F621" t="b">
        <v>1</v>
      </c>
      <c r="G621">
        <f>HYPERLINK("https://www.google.com/maps/search/?api=1&amp;query=24.87214561,46.63960209", "View Map")</f>
        <v/>
      </c>
    </row>
    <row r="622">
      <c r="A622" t="inlineStr">
        <is>
          <t>مسجد / محمد ابوشنق .</t>
        </is>
      </c>
      <c r="B622" t="inlineStr">
        <is>
          <t>KFM2020660013836</t>
        </is>
      </c>
      <c r="C622" t="inlineStr">
        <is>
          <t>الرياض</t>
        </is>
      </c>
      <c r="D622" t="inlineStr">
        <is>
          <t>كلا الفترتين</t>
        </is>
      </c>
      <c r="E622" t="n">
        <v>3402</v>
      </c>
      <c r="F622" t="b">
        <v>1</v>
      </c>
      <c r="G622">
        <f>HYPERLINK("https://www.google.com/maps/search/?api=1&amp;query=24.57247204,46.61897024", "View Map")</f>
        <v/>
      </c>
    </row>
    <row r="623">
      <c r="A623" t="inlineStr">
        <is>
          <t xml:space="preserve">   مسجد  حي اليرموك .</t>
        </is>
      </c>
      <c r="B623" t="inlineStr">
        <is>
          <t>KFM2120660256032</t>
        </is>
      </c>
      <c r="C623" t="inlineStr">
        <is>
          <t>الرياض</t>
        </is>
      </c>
      <c r="D623" t="inlineStr">
        <is>
          <t>كلا الفترتين</t>
        </is>
      </c>
      <c r="E623" t="n">
        <v>3399</v>
      </c>
      <c r="F623" t="b">
        <v>0</v>
      </c>
      <c r="G623">
        <f>HYPERLINK("https://www.google.com/maps/search/?api=1&amp;query=24.79910457,46.76993008", "View Map")</f>
        <v/>
      </c>
    </row>
    <row r="624">
      <c r="A624" t="inlineStr">
        <is>
          <t xml:space="preserve">   مســــــــجد / على بن ابى طالب .</t>
        </is>
      </c>
      <c r="B624" t="inlineStr">
        <is>
          <t>KFM2020660135772</t>
        </is>
      </c>
      <c r="C624" t="inlineStr">
        <is>
          <t>الرياض</t>
        </is>
      </c>
      <c r="D624" t="inlineStr">
        <is>
          <t>كلا الفترتين</t>
        </is>
      </c>
      <c r="E624" t="n">
        <v>3398</v>
      </c>
      <c r="F624" t="b">
        <v>1</v>
      </c>
      <c r="G624">
        <f>HYPERLINK("https://www.google.com/maps/search/?api=1&amp;query=24.69234504,46.80164413", "View Map")</f>
        <v/>
      </c>
    </row>
    <row r="625">
      <c r="A625" t="inlineStr">
        <is>
          <t>مساجد .</t>
        </is>
      </c>
      <c r="B625" t="inlineStr">
        <is>
          <t>KFM2020660211476</t>
        </is>
      </c>
      <c r="C625" t="inlineStr">
        <is>
          <t>الرياض</t>
        </is>
      </c>
      <c r="D625" t="inlineStr">
        <is>
          <t>كلا الفترتين</t>
        </is>
      </c>
      <c r="E625" t="n">
        <v>3395</v>
      </c>
      <c r="F625" t="b">
        <v>1</v>
      </c>
      <c r="G625">
        <f>HYPERLINK("https://www.google.com/maps/search/?api=1&amp;query=24.81157258,46.66226254", "View Map")</f>
        <v/>
      </c>
    </row>
    <row r="626">
      <c r="A626" t="inlineStr">
        <is>
          <t xml:space="preserve">   مسجد      عبدالرحمن اليوسف .</t>
        </is>
      </c>
      <c r="B626" t="inlineStr">
        <is>
          <t>KFM2020660047344</t>
        </is>
      </c>
      <c r="C626" t="inlineStr">
        <is>
          <t>الدرعية</t>
        </is>
      </c>
      <c r="D626" t="inlineStr">
        <is>
          <t>كلا الفترتين</t>
        </is>
      </c>
      <c r="E626" t="n">
        <v>3394</v>
      </c>
      <c r="F626" t="b">
        <v>1</v>
      </c>
      <c r="G626">
        <f>HYPERLINK("https://www.google.com/maps/search/?api=1&amp;query=24.74833913,46.5328365", "View Map")</f>
        <v/>
      </c>
    </row>
    <row r="627">
      <c r="A627" t="inlineStr">
        <is>
          <t>وزارة الشئون الا سلا مية والااوقاف .</t>
        </is>
      </c>
      <c r="B627" t="inlineStr">
        <is>
          <t>KFM2020660051461</t>
        </is>
      </c>
      <c r="C627" t="inlineStr">
        <is>
          <t>الرياض</t>
        </is>
      </c>
      <c r="D627" t="inlineStr">
        <is>
          <t>كلا الفترتين</t>
        </is>
      </c>
      <c r="E627" t="n">
        <v>3393</v>
      </c>
      <c r="F627" t="b">
        <v>1</v>
      </c>
      <c r="G627">
        <f>HYPERLINK("https://www.google.com/maps/search/?api=1&amp;query=24.52107792,46.66468675", "View Map")</f>
        <v/>
      </c>
    </row>
    <row r="628">
      <c r="A628" t="inlineStr">
        <is>
          <t xml:space="preserve">   مسجدحي الفلاح .</t>
        </is>
      </c>
      <c r="B628" t="inlineStr">
        <is>
          <t>KFM2020660206949</t>
        </is>
      </c>
      <c r="C628" t="inlineStr">
        <is>
          <t>الرياض</t>
        </is>
      </c>
      <c r="D628" t="inlineStr">
        <is>
          <t>كلا الفترتين</t>
        </is>
      </c>
      <c r="E628" t="n">
        <v>3381</v>
      </c>
      <c r="F628" t="b">
        <v>1</v>
      </c>
      <c r="G628">
        <f>HYPERLINK("https://www.google.com/maps/search/?api=1&amp;query=24.79630775,46.7139173", "View Map")</f>
        <v/>
      </c>
    </row>
    <row r="629">
      <c r="A629" t="inlineStr">
        <is>
          <t xml:space="preserve">   مسجد علي الفهد الهزاع .</t>
        </is>
      </c>
      <c r="B629" t="inlineStr">
        <is>
          <t>KFM2020660191774</t>
        </is>
      </c>
      <c r="C629" t="inlineStr">
        <is>
          <t>الرياض</t>
        </is>
      </c>
      <c r="D629" t="inlineStr">
        <is>
          <t>كلا الفترتين</t>
        </is>
      </c>
      <c r="E629" t="n">
        <v>3376</v>
      </c>
      <c r="F629" t="b">
        <v>0</v>
      </c>
      <c r="G629">
        <f>HYPERLINK("https://www.google.com/maps/search/?api=1&amp;query=24.73914909,46.82461504", "View Map")</f>
        <v/>
      </c>
    </row>
    <row r="630">
      <c r="A630" t="inlineStr">
        <is>
          <t xml:space="preserve">   مسجد/ ذات النطاقين .</t>
        </is>
      </c>
      <c r="B630" t="inlineStr">
        <is>
          <t>KFM2020660041276</t>
        </is>
      </c>
      <c r="C630" t="inlineStr">
        <is>
          <t>الرياض</t>
        </is>
      </c>
      <c r="D630" t="inlineStr">
        <is>
          <t>كلا الفترتين</t>
        </is>
      </c>
      <c r="E630" t="n">
        <v>3375</v>
      </c>
      <c r="F630" t="b">
        <v>1</v>
      </c>
      <c r="G630">
        <f>HYPERLINK("https://www.google.com/maps/search/?api=1&amp;query=24.81112149,46.79641324", "View Map")</f>
        <v/>
      </c>
    </row>
    <row r="631">
      <c r="A631" t="inlineStr">
        <is>
          <t xml:space="preserve">   مسجد اشبيليه .</t>
        </is>
      </c>
      <c r="B631" t="inlineStr">
        <is>
          <t>KFM2020660040837</t>
        </is>
      </c>
      <c r="C631" t="inlineStr">
        <is>
          <t>الرياض</t>
        </is>
      </c>
      <c r="D631" t="inlineStr">
        <is>
          <t>كلا الفترتين</t>
        </is>
      </c>
      <c r="E631" t="n">
        <v>3373</v>
      </c>
      <c r="F631" t="b">
        <v>1</v>
      </c>
      <c r="G631">
        <f>HYPERLINK("https://www.google.com/maps/search/?api=1&amp;query=24.7861178,46.79299834", "View Map")</f>
        <v/>
      </c>
    </row>
    <row r="632">
      <c r="A632" t="inlineStr">
        <is>
          <t>وزارة      الشئون    مسجد .</t>
        </is>
      </c>
      <c r="B632" t="inlineStr">
        <is>
          <t>KFM2020660043887</t>
        </is>
      </c>
      <c r="C632" t="inlineStr">
        <is>
          <t>الرياض</t>
        </is>
      </c>
      <c r="D632" t="inlineStr">
        <is>
          <t>كلا الفترتين</t>
        </is>
      </c>
      <c r="E632" t="n">
        <v>3366</v>
      </c>
      <c r="F632" t="b">
        <v>0</v>
      </c>
      <c r="G632">
        <f>HYPERLINK("https://www.google.com/maps/search/?api=1&amp;query=24.5558,46.5514", "View Map")</f>
        <v/>
      </c>
    </row>
    <row r="633">
      <c r="A633" t="inlineStr">
        <is>
          <t>ﻤﺴﺎﺠﺩ .</t>
        </is>
      </c>
      <c r="B633" t="inlineStr">
        <is>
          <t>KFM2020660193111</t>
        </is>
      </c>
      <c r="C633" t="inlineStr">
        <is>
          <t>الرياض</t>
        </is>
      </c>
      <c r="D633" t="inlineStr">
        <is>
          <t>كلا الفترتين</t>
        </is>
      </c>
      <c r="E633" t="n">
        <v>3361</v>
      </c>
      <c r="F633" t="b">
        <v>1</v>
      </c>
      <c r="G633">
        <f>HYPERLINK("https://www.google.com/maps/search/?api=1&amp;query=24.82635582,46.60725652", "View Map")</f>
        <v/>
      </c>
    </row>
    <row r="634">
      <c r="A634" t="inlineStr">
        <is>
          <t xml:space="preserve">   مسجدعثمان بن عفان بحي العقيق .</t>
        </is>
      </c>
      <c r="B634" t="inlineStr">
        <is>
          <t>KFM2020660131348</t>
        </is>
      </c>
      <c r="C634" t="inlineStr">
        <is>
          <t>الرياض</t>
        </is>
      </c>
      <c r="D634" t="inlineStr">
        <is>
          <t>كلا الفترتين</t>
        </is>
      </c>
      <c r="E634" t="n">
        <v>3361</v>
      </c>
      <c r="F634" t="b">
        <v>0</v>
      </c>
      <c r="G634">
        <f>HYPERLINK("https://www.google.com/maps/search/?api=1&amp;query=24.77325101,46.62159992", "View Map")</f>
        <v/>
      </c>
    </row>
    <row r="635">
      <c r="A635" t="inlineStr">
        <is>
          <t xml:space="preserve">   مسجد عبدالله يوسف .</t>
        </is>
      </c>
      <c r="B635" t="inlineStr">
        <is>
          <t>KFM2020660042001</t>
        </is>
      </c>
      <c r="C635" t="inlineStr">
        <is>
          <t>الرياض</t>
        </is>
      </c>
      <c r="D635" t="inlineStr">
        <is>
          <t>كلا الفترتين</t>
        </is>
      </c>
      <c r="E635" t="n">
        <v>3361</v>
      </c>
      <c r="F635" t="b">
        <v>1</v>
      </c>
      <c r="G635">
        <f>HYPERLINK("https://www.google.com/maps/search/?api=1&amp;query=24.73725396,46.80359199", "View Map")</f>
        <v/>
      </c>
    </row>
    <row r="636">
      <c r="A636" t="inlineStr">
        <is>
          <t xml:space="preserve">   مسجدوسكن الامام والمؤذن الصحافه .</t>
        </is>
      </c>
      <c r="B636" t="inlineStr">
        <is>
          <t>KFM2120660250942</t>
        </is>
      </c>
      <c r="C636" t="inlineStr">
        <is>
          <t>الرياض</t>
        </is>
      </c>
      <c r="D636" t="inlineStr">
        <is>
          <t>كلا الفترتين</t>
        </is>
      </c>
      <c r="E636" t="n">
        <v>3358</v>
      </c>
      <c r="F636" t="b">
        <v>1</v>
      </c>
      <c r="G636">
        <f>HYPERLINK("https://www.google.com/maps/search/?api=1&amp;query=24.79958821,46.63371581", "View Map")</f>
        <v/>
      </c>
    </row>
    <row r="637">
      <c r="A637" t="inlineStr">
        <is>
          <t>ﻤﺴﺎﺠﺩ .</t>
        </is>
      </c>
      <c r="B637" t="inlineStr">
        <is>
          <t>KFM2120660255401</t>
        </is>
      </c>
      <c r="C637" t="inlineStr">
        <is>
          <t>الرياض</t>
        </is>
      </c>
      <c r="D637" t="inlineStr">
        <is>
          <t>كلا الفترتين</t>
        </is>
      </c>
      <c r="E637" t="n">
        <v>3356</v>
      </c>
      <c r="F637" t="b">
        <v>1</v>
      </c>
      <c r="G637">
        <f>HYPERLINK("https://www.google.com/maps/search/?api=1&amp;query=24.83131162,46.58232585", "View Map")</f>
        <v/>
      </c>
    </row>
    <row r="638">
      <c r="A638" t="inlineStr">
        <is>
          <t xml:space="preserve">   مسجد حي المليحيه .</t>
        </is>
      </c>
      <c r="B638" t="inlineStr">
        <is>
          <t>KFM2020660040867</t>
        </is>
      </c>
      <c r="C638" t="inlineStr">
        <is>
          <t>الرياض</t>
        </is>
      </c>
      <c r="D638" t="inlineStr">
        <is>
          <t>كلا الفترتين</t>
        </is>
      </c>
      <c r="E638" t="n">
        <v>3352</v>
      </c>
      <c r="F638" t="b">
        <v>1</v>
      </c>
      <c r="G638">
        <f>HYPERLINK("https://www.google.com/maps/search/?api=1&amp;query=24.82343327,46.66038619", "View Map")</f>
        <v/>
      </c>
    </row>
    <row r="639">
      <c r="A639" t="inlineStr">
        <is>
          <t xml:space="preserve">   جامع عبدالله المبيريك .</t>
        </is>
      </c>
      <c r="B639" t="inlineStr">
        <is>
          <t>KFM2020660193524</t>
        </is>
      </c>
      <c r="C639" t="inlineStr">
        <is>
          <t>الرياض</t>
        </is>
      </c>
      <c r="D639" t="inlineStr">
        <is>
          <t>كلا الفترتين</t>
        </is>
      </c>
      <c r="E639" t="n">
        <v>3350</v>
      </c>
      <c r="F639" t="b">
        <v>0</v>
      </c>
      <c r="G639">
        <f>HYPERLINK("https://www.google.com/maps/search/?api=1&amp;query=24.7977096,46.88642291", "View Map")</f>
        <v/>
      </c>
    </row>
    <row r="640">
      <c r="A640" t="inlineStr">
        <is>
          <t xml:space="preserve">   مسجد رجاء العتيبي .</t>
        </is>
      </c>
      <c r="B640" t="inlineStr">
        <is>
          <t>KFM2020660161276</t>
        </is>
      </c>
      <c r="C640" t="inlineStr">
        <is>
          <t>الرياض</t>
        </is>
      </c>
      <c r="D640" t="inlineStr">
        <is>
          <t>كلا الفترتين</t>
        </is>
      </c>
      <c r="E640" t="n">
        <v>3348</v>
      </c>
      <c r="F640" t="b">
        <v>1</v>
      </c>
      <c r="G640">
        <f>HYPERLINK("https://www.google.com/maps/search/?api=1&amp;query=24.74067191,46.82436082", "View Map")</f>
        <v/>
      </c>
    </row>
    <row r="641">
      <c r="A641" t="inlineStr">
        <is>
          <t xml:space="preserve">   مسجد نايف الحديثي .</t>
        </is>
      </c>
      <c r="B641" t="inlineStr">
        <is>
          <t>KFM2020660060079</t>
        </is>
      </c>
      <c r="C641" t="inlineStr">
        <is>
          <t>الرياض</t>
        </is>
      </c>
      <c r="D641" t="inlineStr">
        <is>
          <t>كلا الفترتين</t>
        </is>
      </c>
      <c r="E641" t="n">
        <v>3344</v>
      </c>
      <c r="F641" t="b">
        <v>1</v>
      </c>
      <c r="G641">
        <f>HYPERLINK("https://www.google.com/maps/search/?api=1&amp;query=24.75000313,46.74563075", "View Map")</f>
        <v/>
      </c>
    </row>
    <row r="642">
      <c r="A642" t="inlineStr">
        <is>
          <t xml:space="preserve">   مسجد ابي عبدالله البخاري .</t>
        </is>
      </c>
      <c r="B642" t="inlineStr">
        <is>
          <t>KFM2020660049737</t>
        </is>
      </c>
      <c r="C642" t="inlineStr">
        <is>
          <t>الرياض</t>
        </is>
      </c>
      <c r="D642" t="inlineStr">
        <is>
          <t>كلا الفترتين</t>
        </is>
      </c>
      <c r="E642" t="n">
        <v>3342</v>
      </c>
      <c r="F642" t="b">
        <v>1</v>
      </c>
      <c r="G642">
        <f>HYPERLINK("https://www.google.com/maps/search/?api=1&amp;query=24.77013796,46.82593766", "View Map")</f>
        <v/>
      </c>
    </row>
    <row r="643">
      <c r="A643" t="inlineStr">
        <is>
          <t xml:space="preserve">   مسجد ابو بكر الصديق .</t>
        </is>
      </c>
      <c r="B643" t="inlineStr">
        <is>
          <t>KFM2020660132820</t>
        </is>
      </c>
      <c r="C643" t="inlineStr">
        <is>
          <t>الرياض</t>
        </is>
      </c>
      <c r="D643" t="inlineStr">
        <is>
          <t>كلا الفترتين</t>
        </is>
      </c>
      <c r="E643" t="n">
        <v>3339</v>
      </c>
      <c r="F643" t="b">
        <v>1</v>
      </c>
      <c r="G643">
        <f>HYPERLINK("https://www.google.com/maps/search/?api=1&amp;query=24.68959898,46.78564211", "View Map")</f>
        <v/>
      </c>
    </row>
    <row r="644">
      <c r="A644" t="inlineStr">
        <is>
          <t xml:space="preserve">   وزارة الشئون الاسلامية مسجدالواصل .</t>
        </is>
      </c>
      <c r="B644" t="inlineStr">
        <is>
          <t>KFM2020660202785</t>
        </is>
      </c>
      <c r="C644" t="inlineStr">
        <is>
          <t>الرياض</t>
        </is>
      </c>
      <c r="D644" t="inlineStr">
        <is>
          <t>كلا الفترتين</t>
        </is>
      </c>
      <c r="E644" t="n">
        <v>3333</v>
      </c>
      <c r="F644" t="b">
        <v>1</v>
      </c>
      <c r="G644">
        <f>HYPERLINK("https://www.google.com/maps/search/?api=1&amp;query=24.8128698,46.65727134", "View Map")</f>
        <v/>
      </c>
    </row>
    <row r="645">
      <c r="A645" t="inlineStr">
        <is>
          <t xml:space="preserve">   مسجد التقوى .</t>
        </is>
      </c>
      <c r="B645" t="inlineStr">
        <is>
          <t>KFM2020660139696</t>
        </is>
      </c>
      <c r="C645" t="inlineStr">
        <is>
          <t>الرياض</t>
        </is>
      </c>
      <c r="D645" t="inlineStr">
        <is>
          <t>كلا الفترتين</t>
        </is>
      </c>
      <c r="E645" t="n">
        <v>3327</v>
      </c>
      <c r="F645" t="b">
        <v>1</v>
      </c>
      <c r="G645">
        <f>HYPERLINK("https://www.google.com/maps/search/?api=1&amp;query=24.73369854,46.78811198", "View Map")</f>
        <v/>
      </c>
    </row>
    <row r="646">
      <c r="A646" t="inlineStr">
        <is>
          <t xml:space="preserve">   مسجد الازدهار .</t>
        </is>
      </c>
      <c r="B646" t="inlineStr">
        <is>
          <t>KFM2020660173132</t>
        </is>
      </c>
      <c r="C646" t="inlineStr">
        <is>
          <t>الرياض</t>
        </is>
      </c>
      <c r="D646" t="inlineStr">
        <is>
          <t>كلا الفترتين</t>
        </is>
      </c>
      <c r="E646" t="n">
        <v>3326</v>
      </c>
      <c r="F646" t="b">
        <v>0</v>
      </c>
      <c r="G646">
        <f>HYPERLINK("https://www.google.com/maps/search/?api=1&amp;query=24.77201105,46.71580526", "View Map")</f>
        <v/>
      </c>
    </row>
    <row r="647">
      <c r="A647" t="inlineStr">
        <is>
          <t>وزارة     الشؤن     مسجد    الف .</t>
        </is>
      </c>
      <c r="B647" t="inlineStr">
        <is>
          <t>KFM2020660173451</t>
        </is>
      </c>
      <c r="C647" t="inlineStr">
        <is>
          <t>الرياض</t>
        </is>
      </c>
      <c r="D647" t="inlineStr">
        <is>
          <t>كلا الفترتين</t>
        </is>
      </c>
      <c r="E647" t="n">
        <v>3318</v>
      </c>
      <c r="F647" t="b">
        <v>0</v>
      </c>
      <c r="G647">
        <f>HYPERLINK("https://www.google.com/maps/search/?api=1&amp;query=24.67754261,46.5914872", "View Map")</f>
        <v/>
      </c>
    </row>
    <row r="648">
      <c r="A648" t="inlineStr">
        <is>
          <t xml:space="preserve">   مسجد/ محمد بن سعيدان .</t>
        </is>
      </c>
      <c r="B648" t="inlineStr">
        <is>
          <t>KFM2020660008664</t>
        </is>
      </c>
      <c r="C648" t="inlineStr">
        <is>
          <t>الرياض</t>
        </is>
      </c>
      <c r="D648" t="inlineStr">
        <is>
          <t>كلا الفترتين</t>
        </is>
      </c>
      <c r="E648" t="n">
        <v>3314</v>
      </c>
      <c r="F648" t="b">
        <v>1</v>
      </c>
      <c r="G648">
        <f>HYPERLINK("https://www.google.com/maps/search/?api=1&amp;query=24.87258727,46.80882715", "View Map")</f>
        <v/>
      </c>
    </row>
    <row r="649">
      <c r="A649" t="inlineStr">
        <is>
          <t xml:space="preserve">   مساجد .</t>
        </is>
      </c>
      <c r="B649" t="inlineStr">
        <is>
          <t>KFM2020660046433</t>
        </is>
      </c>
      <c r="C649" t="inlineStr">
        <is>
          <t>الرياض</t>
        </is>
      </c>
      <c r="D649" t="inlineStr">
        <is>
          <t>كلا الفترتين</t>
        </is>
      </c>
      <c r="E649" t="n">
        <v>3313</v>
      </c>
      <c r="F649" t="b">
        <v>1</v>
      </c>
      <c r="G649">
        <f>HYPERLINK("https://www.google.com/maps/search/?api=1&amp;query=24.82608047,46.75326701", "View Map")</f>
        <v/>
      </c>
    </row>
    <row r="650">
      <c r="A650" t="inlineStr">
        <is>
          <t xml:space="preserve">   مسجد حي القادسية .</t>
        </is>
      </c>
      <c r="B650" t="inlineStr">
        <is>
          <t>KFM2020660038840</t>
        </is>
      </c>
      <c r="C650" t="inlineStr">
        <is>
          <t>الرياض</t>
        </is>
      </c>
      <c r="D650" t="inlineStr">
        <is>
          <t>كلا الفترتين</t>
        </is>
      </c>
      <c r="E650" t="n">
        <v>3310</v>
      </c>
      <c r="F650" t="b">
        <v>1</v>
      </c>
      <c r="G650">
        <f>HYPERLINK("https://www.google.com/maps/search/?api=1&amp;query=24.82657066,46.81154922", "View Map")</f>
        <v/>
      </c>
    </row>
    <row r="651">
      <c r="A651" t="inlineStr">
        <is>
          <t xml:space="preserve">   مسـجد الشـيخ ناصر الشـثرى .</t>
        </is>
      </c>
      <c r="B651" t="inlineStr">
        <is>
          <t>KFM2020660201414</t>
        </is>
      </c>
      <c r="C651" t="inlineStr">
        <is>
          <t>الرياض</t>
        </is>
      </c>
      <c r="D651" t="inlineStr">
        <is>
          <t>كلا الفترتين</t>
        </is>
      </c>
      <c r="E651" t="n">
        <v>3304</v>
      </c>
      <c r="F651" t="b">
        <v>1</v>
      </c>
      <c r="G651">
        <f>HYPERLINK("https://www.google.com/maps/search/?api=1&amp;query=24.67914182,46.67245604", "View Map")</f>
        <v/>
      </c>
    </row>
    <row r="652">
      <c r="A652" t="inlineStr">
        <is>
          <t xml:space="preserve">   مسجد حي الرفيعه .</t>
        </is>
      </c>
      <c r="B652" t="inlineStr">
        <is>
          <t>KFM2020660202740</t>
        </is>
      </c>
      <c r="C652" t="inlineStr">
        <is>
          <t>الرياض</t>
        </is>
      </c>
      <c r="D652" t="inlineStr">
        <is>
          <t>كلا الفترتين</t>
        </is>
      </c>
      <c r="E652" t="n">
        <v>3303</v>
      </c>
      <c r="F652" t="b">
        <v>1</v>
      </c>
      <c r="G652">
        <f>HYPERLINK("https://www.google.com/maps/search/?api=1&amp;query=24.64895845,46.66863506", "View Map")</f>
        <v/>
      </c>
    </row>
    <row r="653">
      <c r="A653" t="inlineStr">
        <is>
          <t>مسجد بضاحية  العريجا .</t>
        </is>
      </c>
      <c r="B653" t="inlineStr">
        <is>
          <t>KFM2020660198275</t>
        </is>
      </c>
      <c r="C653" t="inlineStr">
        <is>
          <t>الرياض</t>
        </is>
      </c>
      <c r="D653" t="inlineStr">
        <is>
          <t>كلا الفترتين</t>
        </is>
      </c>
      <c r="E653" t="n">
        <v>3301</v>
      </c>
      <c r="F653" t="b">
        <v>1</v>
      </c>
      <c r="G653">
        <f>HYPERLINK("https://www.google.com/maps/search/?api=1&amp;query=24.5950431,46.5771202", "View Map")</f>
        <v/>
      </c>
    </row>
    <row r="654">
      <c r="A654" t="inlineStr">
        <is>
          <t xml:space="preserve">   مسجد محمدالحمدالاصفر .</t>
        </is>
      </c>
      <c r="B654" t="inlineStr">
        <is>
          <t>KFM2120660274163</t>
        </is>
      </c>
      <c r="C654" t="inlineStr">
        <is>
          <t>الرياض</t>
        </is>
      </c>
      <c r="D654" t="inlineStr">
        <is>
          <t>كلا الفترتين</t>
        </is>
      </c>
      <c r="E654" t="n">
        <v>3297</v>
      </c>
      <c r="F654" t="b">
        <v>1</v>
      </c>
      <c r="G654">
        <f>HYPERLINK("https://www.google.com/maps/search/?api=1&amp;query=24.67468812,46.81850128", "View Map")</f>
        <v/>
      </c>
    </row>
    <row r="655">
      <c r="A655" t="inlineStr">
        <is>
          <t>مساجد .</t>
        </is>
      </c>
      <c r="B655" t="inlineStr">
        <is>
          <t>KFM2020660213610</t>
        </is>
      </c>
      <c r="C655" t="inlineStr">
        <is>
          <t>الرياض</t>
        </is>
      </c>
      <c r="D655" t="inlineStr">
        <is>
          <t>كلا الفترتين</t>
        </is>
      </c>
      <c r="E655" t="n">
        <v>3296</v>
      </c>
      <c r="F655" t="b">
        <v>1</v>
      </c>
      <c r="G655">
        <f>HYPERLINK("https://www.google.com/maps/search/?api=1&amp;query=24.8319,46.6525", "View Map")</f>
        <v/>
      </c>
    </row>
    <row r="656">
      <c r="A656" t="inlineStr">
        <is>
          <t>ﻭﺯﺍﺭﺓﺍﻟﺸﺌﻭﻥ ﺍﻻﺴﻼﻤﻴﺓﻭﺍﻻﻭﻗﺎﻑ .</t>
        </is>
      </c>
      <c r="B656" t="inlineStr">
        <is>
          <t>KFM2020660203739</t>
        </is>
      </c>
      <c r="C656" t="inlineStr">
        <is>
          <t>الرياض</t>
        </is>
      </c>
      <c r="D656" t="inlineStr">
        <is>
          <t>كلا الفترتين</t>
        </is>
      </c>
      <c r="E656" t="n">
        <v>3296</v>
      </c>
      <c r="F656" t="b">
        <v>1</v>
      </c>
      <c r="G656">
        <f>HYPERLINK("https://www.google.com/maps/search/?api=1&amp;query=24.53493221,46.71747365", "View Map")</f>
        <v/>
      </c>
    </row>
    <row r="657">
      <c r="A657" t="inlineStr">
        <is>
          <t>ﻭﺯﺍﺭﺓﺍﻟﺸﺌﻭﻥ ﺍﻻﺴﻼﻤﻴﺓﻭﺍﻻﻭﻗﺎﻑ .</t>
        </is>
      </c>
      <c r="B657" t="inlineStr">
        <is>
          <t>KFM2120660279945</t>
        </is>
      </c>
      <c r="C657" t="inlineStr">
        <is>
          <t>الرياض</t>
        </is>
      </c>
      <c r="D657" t="inlineStr">
        <is>
          <t>كلا الفترتين</t>
        </is>
      </c>
      <c r="E657" t="n">
        <v>3294</v>
      </c>
      <c r="F657" t="b">
        <v>0</v>
      </c>
      <c r="G657">
        <f>HYPERLINK("https://www.google.com/maps/search/?api=1&amp;query=24.5281,46.6942", "View Map")</f>
        <v/>
      </c>
    </row>
    <row r="658">
      <c r="A658" t="inlineStr">
        <is>
          <t xml:space="preserve">   مسجد اسواق العويس .</t>
        </is>
      </c>
      <c r="B658" t="inlineStr">
        <is>
          <t>KFM2020660014356</t>
        </is>
      </c>
      <c r="C658" t="inlineStr">
        <is>
          <t>الرياض</t>
        </is>
      </c>
      <c r="D658" t="inlineStr">
        <is>
          <t>كلا الفترتين</t>
        </is>
      </c>
      <c r="E658" t="n">
        <v>3293</v>
      </c>
      <c r="F658" t="b">
        <v>1</v>
      </c>
      <c r="G658">
        <f>HYPERLINK("https://www.google.com/maps/search/?api=1&amp;query=24.73681019,46.66074584", "View Map")</f>
        <v/>
      </c>
    </row>
    <row r="659">
      <c r="A659" t="inlineStr">
        <is>
          <t xml:space="preserve">   جامع السحيباني .</t>
        </is>
      </c>
      <c r="B659" t="inlineStr">
        <is>
          <t>KFM2120660301608</t>
        </is>
      </c>
      <c r="C659" t="inlineStr">
        <is>
          <t>الرياض</t>
        </is>
      </c>
      <c r="D659" t="inlineStr">
        <is>
          <t>كلا الفترتين</t>
        </is>
      </c>
      <c r="E659" t="n">
        <v>3274</v>
      </c>
      <c r="F659" t="b">
        <v>1</v>
      </c>
      <c r="G659">
        <f>HYPERLINK("https://www.google.com/maps/search/?api=1&amp;query=24.63539422,46.72565958", "View Map")</f>
        <v/>
      </c>
    </row>
    <row r="660">
      <c r="A660" t="inlineStr">
        <is>
          <t>مسجد  حي الحزم .</t>
        </is>
      </c>
      <c r="B660" t="inlineStr">
        <is>
          <t>KFM2020660051512</t>
        </is>
      </c>
      <c r="C660" t="inlineStr">
        <is>
          <t>الرياض</t>
        </is>
      </c>
      <c r="D660" t="inlineStr">
        <is>
          <t>كلا الفترتين</t>
        </is>
      </c>
      <c r="E660" t="n">
        <v>3271</v>
      </c>
      <c r="F660" t="b">
        <v>1</v>
      </c>
      <c r="G660">
        <f>HYPERLINK("https://www.google.com/maps/search/?api=1&amp;query=24.6122,46.7019", "View Map")</f>
        <v/>
      </c>
    </row>
    <row r="661">
      <c r="A661" t="inlineStr">
        <is>
          <t xml:space="preserve">   مسجد حي النسيم .</t>
        </is>
      </c>
      <c r="B661" t="inlineStr">
        <is>
          <t>KFM2020660007771</t>
        </is>
      </c>
      <c r="C661" t="inlineStr">
        <is>
          <t>الرياض</t>
        </is>
      </c>
      <c r="D661" t="inlineStr">
        <is>
          <t>كلا الفترتين</t>
        </is>
      </c>
      <c r="E661" t="n">
        <v>3270</v>
      </c>
      <c r="F661" t="b">
        <v>0</v>
      </c>
      <c r="G661">
        <f>HYPERLINK("https://www.google.com/maps/search/?api=1&amp;query=24.74449693,46.82619363", "View Map")</f>
        <v/>
      </c>
    </row>
    <row r="662">
      <c r="A662" t="inlineStr">
        <is>
          <t xml:space="preserve">   جامع الصديق .</t>
        </is>
      </c>
      <c r="B662" t="inlineStr">
        <is>
          <t>KFM2020660210766</t>
        </is>
      </c>
      <c r="C662" t="inlineStr">
        <is>
          <t>الرياض</t>
        </is>
      </c>
      <c r="D662" t="inlineStr">
        <is>
          <t>كلا الفترتين</t>
        </is>
      </c>
      <c r="E662" t="n">
        <v>3268</v>
      </c>
      <c r="F662" t="b">
        <v>1</v>
      </c>
      <c r="G662">
        <f>HYPERLINK("https://www.google.com/maps/search/?api=1&amp;query=24.67557452,46.73825129", "View Map")</f>
        <v/>
      </c>
    </row>
    <row r="663">
      <c r="A663" t="inlineStr">
        <is>
          <t xml:space="preserve">   مسجد هيا الحسن ومرافقه بحي الفلاح .</t>
        </is>
      </c>
      <c r="B663" t="inlineStr">
        <is>
          <t>KFM2020660213478</t>
        </is>
      </c>
      <c r="C663" t="inlineStr">
        <is>
          <t>الرياض</t>
        </is>
      </c>
      <c r="D663" t="inlineStr">
        <is>
          <t>كلا الفترتين</t>
        </is>
      </c>
      <c r="E663" t="n">
        <v>3263</v>
      </c>
      <c r="F663" t="b">
        <v>1</v>
      </c>
      <c r="G663">
        <f>HYPERLINK("https://www.google.com/maps/search/?api=1&amp;query=24.79833816,46.70643161", "View Map")</f>
        <v/>
      </c>
    </row>
    <row r="664">
      <c r="A664" t="inlineStr">
        <is>
          <t>مسجدبن سعيد .</t>
        </is>
      </c>
      <c r="B664" t="inlineStr">
        <is>
          <t>KFM2020660200405</t>
        </is>
      </c>
      <c r="C664" t="inlineStr">
        <is>
          <t>الرياض</t>
        </is>
      </c>
      <c r="D664" t="inlineStr">
        <is>
          <t>كلا الفترتين</t>
        </is>
      </c>
      <c r="E664" t="n">
        <v>3262</v>
      </c>
      <c r="F664" t="b">
        <v>1</v>
      </c>
      <c r="G664">
        <f>HYPERLINK("https://www.google.com/maps/search/?api=1&amp;query=24.56970915,46.65257787", "View Map")</f>
        <v/>
      </c>
    </row>
    <row r="665">
      <c r="A665" t="inlineStr">
        <is>
          <t>ﻭﺯﺍﺭﺓﺍﻟﺸﺌﻭﻥ ﺍﻻﺴﻼﻤﻴﺓﻭﺍﻻﻭﻗﺎﻑ .</t>
        </is>
      </c>
      <c r="B665" t="inlineStr">
        <is>
          <t>KFM2020660007873</t>
        </is>
      </c>
      <c r="C665" t="inlineStr">
        <is>
          <t>الرياض</t>
        </is>
      </c>
      <c r="D665" t="inlineStr">
        <is>
          <t>كلا الفترتين</t>
        </is>
      </c>
      <c r="E665" t="n">
        <v>3261</v>
      </c>
      <c r="F665" t="b">
        <v>0</v>
      </c>
      <c r="G665">
        <f>HYPERLINK("https://www.google.com/maps/search/?api=1&amp;query=24.54953302,46.51187358", "View Map")</f>
        <v/>
      </c>
    </row>
    <row r="666">
      <c r="A666" t="inlineStr">
        <is>
          <t>مسجد عبدالعزيز التويجرى .</t>
        </is>
      </c>
      <c r="B666" t="inlineStr">
        <is>
          <t>KFM2020660054763</t>
        </is>
      </c>
      <c r="C666" t="inlineStr">
        <is>
          <t>الرياض</t>
        </is>
      </c>
      <c r="D666" t="inlineStr">
        <is>
          <t>كلا الفترتين</t>
        </is>
      </c>
      <c r="E666" t="n">
        <v>3260</v>
      </c>
      <c r="F666" t="b">
        <v>1</v>
      </c>
      <c r="G666">
        <f>HYPERLINK("https://www.google.com/maps/search/?api=1&amp;query=24.57545013,46.6309083", "View Map")</f>
        <v/>
      </c>
    </row>
    <row r="667">
      <c r="A667" t="inlineStr">
        <is>
          <t xml:space="preserve">     مسجد  بندر  بن عميره .</t>
        </is>
      </c>
      <c r="B667" t="inlineStr">
        <is>
          <t>KFM2020660061593</t>
        </is>
      </c>
      <c r="C667" t="inlineStr">
        <is>
          <t>الرياض</t>
        </is>
      </c>
      <c r="D667" t="inlineStr">
        <is>
          <t>كلا الفترتين</t>
        </is>
      </c>
      <c r="E667" t="n">
        <v>3260</v>
      </c>
      <c r="F667" t="b">
        <v>0</v>
      </c>
      <c r="G667">
        <f>HYPERLINK("https://www.google.com/maps/search/?api=1&amp;query=24.77773437,46.7627915", "View Map")</f>
        <v/>
      </c>
    </row>
    <row r="668">
      <c r="A668" t="inlineStr">
        <is>
          <t xml:space="preserve">   وزارة الشئون الاسلاميه والاوقاف .</t>
        </is>
      </c>
      <c r="B668" t="inlineStr">
        <is>
          <t>KFM2020660187619</t>
        </is>
      </c>
      <c r="C668" t="inlineStr">
        <is>
          <t>الرياض</t>
        </is>
      </c>
      <c r="D668" t="inlineStr">
        <is>
          <t>كلا الفترتين</t>
        </is>
      </c>
      <c r="E668" t="n">
        <v>3259</v>
      </c>
      <c r="F668" t="b">
        <v>1</v>
      </c>
      <c r="G668">
        <f>HYPERLINK("https://www.google.com/maps/search/?api=1&amp;query=24.77581432,46.58818802", "View Map")</f>
        <v/>
      </c>
    </row>
    <row r="669">
      <c r="A669" t="inlineStr">
        <is>
          <t xml:space="preserve">   وزارةالشئون الاسلاميه بناء مسجد .</t>
        </is>
      </c>
      <c r="B669" t="inlineStr">
        <is>
          <t>KFM2120660264183</t>
        </is>
      </c>
      <c r="C669" t="inlineStr">
        <is>
          <t>الرياض</t>
        </is>
      </c>
      <c r="D669" t="inlineStr">
        <is>
          <t>كلا الفترتين</t>
        </is>
      </c>
      <c r="E669" t="n">
        <v>3258</v>
      </c>
      <c r="F669" t="b">
        <v>0</v>
      </c>
      <c r="G669">
        <f>HYPERLINK("https://www.google.com/maps/search/?api=1&amp;query=24.58888553,46.78430336", "View Map")</f>
        <v/>
      </c>
    </row>
    <row r="670">
      <c r="A670" t="inlineStr">
        <is>
          <t xml:space="preserve">   مسجد الخليفه .</t>
        </is>
      </c>
      <c r="B670" t="inlineStr">
        <is>
          <t>KFM2020660104203</t>
        </is>
      </c>
      <c r="C670" t="inlineStr">
        <is>
          <t>الرياض</t>
        </is>
      </c>
      <c r="D670" t="inlineStr">
        <is>
          <t>كلا الفترتين</t>
        </is>
      </c>
      <c r="E670" t="n">
        <v>3252</v>
      </c>
      <c r="F670" t="b">
        <v>0</v>
      </c>
      <c r="G670">
        <f>HYPERLINK("https://www.google.com/maps/search/?api=1&amp;query=24.70087307,46.79353336", "View Map")</f>
        <v/>
      </c>
    </row>
    <row r="671">
      <c r="A671" t="inlineStr">
        <is>
          <t xml:space="preserve">   مسجد الناصر .</t>
        </is>
      </c>
      <c r="B671" t="inlineStr">
        <is>
          <t>KFM2020660044941</t>
        </is>
      </c>
      <c r="C671" t="inlineStr">
        <is>
          <t>الرياض</t>
        </is>
      </c>
      <c r="D671" t="inlineStr">
        <is>
          <t>كلا الفترتين</t>
        </is>
      </c>
      <c r="E671" t="n">
        <v>3249</v>
      </c>
      <c r="F671" t="b">
        <v>1</v>
      </c>
      <c r="G671">
        <f>HYPERLINK("https://www.google.com/maps/search/?api=1&amp;query=24.80595262,46.60508968", "View Map")</f>
        <v/>
      </c>
    </row>
    <row r="672">
      <c r="A672" t="inlineStr">
        <is>
          <t xml:space="preserve">   مسجد /عبدالله علي بن سلمه .</t>
        </is>
      </c>
      <c r="B672" t="inlineStr">
        <is>
          <t>KFM2020660006131</t>
        </is>
      </c>
      <c r="C672" t="inlineStr">
        <is>
          <t>الرياض</t>
        </is>
      </c>
      <c r="D672" t="inlineStr">
        <is>
          <t>كلا الفترتين</t>
        </is>
      </c>
      <c r="E672" t="n">
        <v>3246</v>
      </c>
      <c r="F672" t="b">
        <v>1</v>
      </c>
      <c r="G672">
        <f>HYPERLINK("https://www.google.com/maps/search/?api=1&amp;query=24.67519209,46.79597774", "View Map")</f>
        <v/>
      </c>
    </row>
    <row r="673">
      <c r="A673" t="inlineStr">
        <is>
          <t xml:space="preserve">   مسجد عبدالله ولوالديه .</t>
        </is>
      </c>
      <c r="B673" t="inlineStr">
        <is>
          <t>KFM2020660060675</t>
        </is>
      </c>
      <c r="C673" t="inlineStr">
        <is>
          <t>الرياض</t>
        </is>
      </c>
      <c r="D673" t="inlineStr">
        <is>
          <t>كلا الفترتين</t>
        </is>
      </c>
      <c r="E673" t="n">
        <v>3246</v>
      </c>
      <c r="F673" t="b">
        <v>0</v>
      </c>
      <c r="G673">
        <f>HYPERLINK("https://www.google.com/maps/search/?api=1&amp;query=24.79035264,46.81383299", "View Map")</f>
        <v/>
      </c>
    </row>
    <row r="674">
      <c r="A674" t="inlineStr">
        <is>
          <t xml:space="preserve">   مسجد الطيار .</t>
        </is>
      </c>
      <c r="B674" t="inlineStr">
        <is>
          <t>KFM2120660268853</t>
        </is>
      </c>
      <c r="C674" t="inlineStr">
        <is>
          <t>الرياض</t>
        </is>
      </c>
      <c r="D674" t="inlineStr">
        <is>
          <t>كلا الفترتين</t>
        </is>
      </c>
      <c r="E674" t="n">
        <v>3245</v>
      </c>
      <c r="F674" t="b">
        <v>1</v>
      </c>
      <c r="G674">
        <f>HYPERLINK("https://www.google.com/maps/search/?api=1&amp;query=24.68219483,46.79184304", "View Map")</f>
        <v/>
      </c>
    </row>
    <row r="675">
      <c r="A675" t="inlineStr">
        <is>
          <t>مسجد      علي       بن خميس .</t>
        </is>
      </c>
      <c r="B675" t="inlineStr">
        <is>
          <t>KFM2020660037773</t>
        </is>
      </c>
      <c r="C675" t="inlineStr">
        <is>
          <t>الرياض</t>
        </is>
      </c>
      <c r="D675" t="inlineStr">
        <is>
          <t>كلا الفترتين</t>
        </is>
      </c>
      <c r="E675" t="n">
        <v>3243</v>
      </c>
      <c r="F675" t="b">
        <v>0</v>
      </c>
      <c r="G675">
        <f>HYPERLINK("https://www.google.com/maps/search/?api=1&amp;query=24.58844824,46.68656278", "View Map")</f>
        <v/>
      </c>
    </row>
    <row r="676">
      <c r="A676" t="inlineStr">
        <is>
          <t>مسجد البجادى .</t>
        </is>
      </c>
      <c r="B676" t="inlineStr">
        <is>
          <t>KFM2020660039911</t>
        </is>
      </c>
      <c r="C676" t="inlineStr">
        <is>
          <t>الرياض</t>
        </is>
      </c>
      <c r="D676" t="inlineStr">
        <is>
          <t>كلا الفترتين</t>
        </is>
      </c>
      <c r="E676" t="n">
        <v>3240</v>
      </c>
      <c r="F676" t="b">
        <v>0</v>
      </c>
      <c r="G676">
        <f>HYPERLINK("https://www.google.com/maps/search/?api=1&amp;query=24.59449782,46.66248612", "View Map")</f>
        <v/>
      </c>
    </row>
    <row r="677">
      <c r="A677" t="inlineStr">
        <is>
          <t xml:space="preserve">   بيت الامام المسجد ة .</t>
        </is>
      </c>
      <c r="B677" t="inlineStr">
        <is>
          <t>KFM2120660255697</t>
        </is>
      </c>
      <c r="C677" t="inlineStr">
        <is>
          <t>الرياض</t>
        </is>
      </c>
      <c r="D677" t="inlineStr">
        <is>
          <t>كلا الفترتين</t>
        </is>
      </c>
      <c r="E677" t="n">
        <v>3239</v>
      </c>
      <c r="F677" t="b">
        <v>1</v>
      </c>
      <c r="G677">
        <f>HYPERLINK("https://www.google.com/maps/search/?api=1&amp;query=24.81829816,46.63466773", "View Map")</f>
        <v/>
      </c>
    </row>
    <row r="678">
      <c r="A678" t="inlineStr">
        <is>
          <t xml:space="preserve">    مسجد حي الصحافه .</t>
        </is>
      </c>
      <c r="B678" t="inlineStr">
        <is>
          <t>KFM2120660257388</t>
        </is>
      </c>
      <c r="C678" t="inlineStr">
        <is>
          <t>الرياض</t>
        </is>
      </c>
      <c r="D678" t="inlineStr">
        <is>
          <t>كلا الفترتين</t>
        </is>
      </c>
      <c r="E678" t="n">
        <v>3238</v>
      </c>
      <c r="F678" t="b">
        <v>1</v>
      </c>
      <c r="G678">
        <f>HYPERLINK("https://www.google.com/maps/search/?api=1&amp;query=24.79288283,46.64229655", "View Map")</f>
        <v/>
      </c>
    </row>
    <row r="679">
      <c r="A679" t="inlineStr">
        <is>
          <t>مساجد .</t>
        </is>
      </c>
      <c r="B679" t="inlineStr">
        <is>
          <t>KFM2020660190456</t>
        </is>
      </c>
      <c r="C679" t="inlineStr">
        <is>
          <t>الرياض</t>
        </is>
      </c>
      <c r="D679" t="inlineStr">
        <is>
          <t>كلا الفترتين</t>
        </is>
      </c>
      <c r="E679" t="n">
        <v>3236</v>
      </c>
      <c r="F679" t="b">
        <v>1</v>
      </c>
      <c r="G679">
        <f>HYPERLINK("https://www.google.com/maps/search/?api=1&amp;query=24.86015672,46.62968782", "View Map")</f>
        <v/>
      </c>
    </row>
    <row r="680">
      <c r="A680" t="inlineStr">
        <is>
          <t xml:space="preserve">   مسجد الصحافة وبيتي الا مام0المؤذن .</t>
        </is>
      </c>
      <c r="B680" t="inlineStr">
        <is>
          <t>KFM2020660202881</t>
        </is>
      </c>
      <c r="C680" t="inlineStr">
        <is>
          <t>الرياض</t>
        </is>
      </c>
      <c r="D680" t="inlineStr">
        <is>
          <t>كلا الفترتين</t>
        </is>
      </c>
      <c r="E680" t="n">
        <v>3232</v>
      </c>
      <c r="F680" t="b">
        <v>0</v>
      </c>
      <c r="G680">
        <f>HYPERLINK("https://www.google.com/maps/search/?api=1&amp;query=24.80292605,46.64339475", "View Map")</f>
        <v/>
      </c>
    </row>
    <row r="681">
      <c r="A681" t="inlineStr">
        <is>
          <t xml:space="preserve">   مسجد حي المنصورة .</t>
        </is>
      </c>
      <c r="B681" t="inlineStr">
        <is>
          <t>KFM2120660290531</t>
        </is>
      </c>
      <c r="C681" t="inlineStr">
        <is>
          <t>الرياض</t>
        </is>
      </c>
      <c r="D681" t="inlineStr">
        <is>
          <t>كلا الفترتين</t>
        </is>
      </c>
      <c r="E681" t="n">
        <v>3232</v>
      </c>
      <c r="F681" t="b">
        <v>1</v>
      </c>
      <c r="G681">
        <f>HYPERLINK("https://www.google.com/maps/search/?api=1&amp;query=24.60894509,46.74114648", "View Map")</f>
        <v/>
      </c>
    </row>
    <row r="682">
      <c r="A682" t="inlineStr">
        <is>
          <t xml:space="preserve">   مسجد فهيد المخلفي .</t>
        </is>
      </c>
      <c r="B682" t="inlineStr">
        <is>
          <t>KFM2020660050045</t>
        </is>
      </c>
      <c r="C682" t="inlineStr">
        <is>
          <t>الرياض</t>
        </is>
      </c>
      <c r="D682" t="inlineStr">
        <is>
          <t>كلا الفترتين</t>
        </is>
      </c>
      <c r="E682" t="n">
        <v>3231</v>
      </c>
      <c r="F682" t="b">
        <v>1</v>
      </c>
      <c r="G682">
        <f>HYPERLINK("https://www.google.com/maps/search/?api=1&amp;query=24.78074525,46.79005083", "View Map")</f>
        <v/>
      </c>
    </row>
    <row r="683">
      <c r="A683" t="inlineStr">
        <is>
          <t xml:space="preserve">   مسجد العقيق .</t>
        </is>
      </c>
      <c r="B683" t="inlineStr">
        <is>
          <t>KFM2020660187994</t>
        </is>
      </c>
      <c r="C683" t="inlineStr">
        <is>
          <t>الرياض</t>
        </is>
      </c>
      <c r="D683" t="inlineStr">
        <is>
          <t>كلا الفترتين</t>
        </is>
      </c>
      <c r="E683" t="n">
        <v>3227</v>
      </c>
      <c r="F683" t="b">
        <v>1</v>
      </c>
      <c r="G683">
        <f>HYPERLINK("https://www.google.com/maps/search/?api=1&amp;query=24.78226,46.62534", "View Map")</f>
        <v/>
      </c>
    </row>
    <row r="684">
      <c r="A684" t="inlineStr">
        <is>
          <t>ﻤﺴﺎﺠﺩ .</t>
        </is>
      </c>
      <c r="B684" t="inlineStr">
        <is>
          <t>KFM2020660191027</t>
        </is>
      </c>
      <c r="C684" t="inlineStr">
        <is>
          <t>الرياض</t>
        </is>
      </c>
      <c r="D684" t="inlineStr">
        <is>
          <t>كلا الفترتين</t>
        </is>
      </c>
      <c r="E684" t="n">
        <v>3227</v>
      </c>
      <c r="F684" t="b">
        <v>0</v>
      </c>
      <c r="G684">
        <f>HYPERLINK("https://www.google.com/maps/search/?api=1&amp;query=24.79635053,46.76679333", "View Map")</f>
        <v/>
      </c>
    </row>
    <row r="685">
      <c r="A685" t="inlineStr">
        <is>
          <t xml:space="preserve">   مسجد عبدالله الجعيثن .</t>
        </is>
      </c>
      <c r="B685" t="inlineStr">
        <is>
          <t>KFM2020660145832</t>
        </is>
      </c>
      <c r="C685" t="inlineStr">
        <is>
          <t>الرياض</t>
        </is>
      </c>
      <c r="D685" t="inlineStr">
        <is>
          <t>كلا الفترتين</t>
        </is>
      </c>
      <c r="E685" t="n">
        <v>3220</v>
      </c>
      <c r="F685" t="b">
        <v>0</v>
      </c>
      <c r="G685">
        <f>HYPERLINK("https://www.google.com/maps/search/?api=1&amp;query=24.70282583,46.82400919", "View Map")</f>
        <v/>
      </c>
    </row>
    <row r="686">
      <c r="A686" t="inlineStr">
        <is>
          <t xml:space="preserve">   مسجد سعد بن أبي وقاص .</t>
        </is>
      </c>
      <c r="B686" t="inlineStr">
        <is>
          <t>KFM2020660193592</t>
        </is>
      </c>
      <c r="C686" t="inlineStr">
        <is>
          <t>الرياض</t>
        </is>
      </c>
      <c r="D686" t="inlineStr">
        <is>
          <t>كلا الفترتين</t>
        </is>
      </c>
      <c r="E686" t="n">
        <v>3216</v>
      </c>
      <c r="F686" t="b">
        <v>0</v>
      </c>
      <c r="G686">
        <f>HYPERLINK("https://www.google.com/maps/search/?api=1&amp;query=24.70187815,46.85983424", "View Map")</f>
        <v/>
      </c>
    </row>
    <row r="687">
      <c r="A687" t="inlineStr">
        <is>
          <t>مسجد الجراديه .</t>
        </is>
      </c>
      <c r="B687" t="inlineStr">
        <is>
          <t>KFM2020660098976</t>
        </is>
      </c>
      <c r="C687" t="inlineStr">
        <is>
          <t>الرياض</t>
        </is>
      </c>
      <c r="D687" t="inlineStr">
        <is>
          <t>كلا الفترتين</t>
        </is>
      </c>
      <c r="E687" t="n">
        <v>3205</v>
      </c>
      <c r="F687" t="b">
        <v>1</v>
      </c>
      <c r="G687">
        <f>HYPERLINK("https://www.google.com/maps/search/?api=1&amp;query=24.61552342,46.69592561", "View Map")</f>
        <v/>
      </c>
    </row>
    <row r="688">
      <c r="A688" t="inlineStr">
        <is>
          <t xml:space="preserve">   جامع الامير/ تركي بن عبدالله ال س .</t>
        </is>
      </c>
      <c r="B688" t="inlineStr">
        <is>
          <t>KFM2120660273710</t>
        </is>
      </c>
      <c r="C688" t="inlineStr">
        <is>
          <t>الرياض</t>
        </is>
      </c>
      <c r="D688" t="inlineStr">
        <is>
          <t>كلا الفترتين</t>
        </is>
      </c>
      <c r="E688" t="n">
        <v>3197</v>
      </c>
      <c r="F688" t="b">
        <v>0</v>
      </c>
      <c r="G688">
        <f>HYPERLINK("https://www.google.com/maps/search/?api=1&amp;query=24.71878225,46.7552068", "View Map")</f>
        <v/>
      </c>
    </row>
    <row r="689">
      <c r="A689" t="inlineStr">
        <is>
          <t xml:space="preserve">   مسجدابراهيم بن أدهم .</t>
        </is>
      </c>
      <c r="B689" t="inlineStr">
        <is>
          <t>KFM2020660056983</t>
        </is>
      </c>
      <c r="C689" t="inlineStr">
        <is>
          <t>الرياض</t>
        </is>
      </c>
      <c r="D689" t="inlineStr">
        <is>
          <t>كلا الفترتين</t>
        </is>
      </c>
      <c r="E689" t="n">
        <v>3196</v>
      </c>
      <c r="F689" t="b">
        <v>0</v>
      </c>
      <c r="G689">
        <f>HYPERLINK("https://www.google.com/maps/search/?api=1&amp;query=24.76900782,46.75974478", "View Map")</f>
        <v/>
      </c>
    </row>
    <row r="690">
      <c r="A690" t="inlineStr">
        <is>
          <t xml:space="preserve">   جامع طيبةالطيبة .</t>
        </is>
      </c>
      <c r="B690" t="inlineStr">
        <is>
          <t>KFM2020660141799</t>
        </is>
      </c>
      <c r="C690" t="inlineStr">
        <is>
          <t>الرياض</t>
        </is>
      </c>
      <c r="D690" t="inlineStr">
        <is>
          <t>كلا الفترتين</t>
        </is>
      </c>
      <c r="E690" t="n">
        <v>3193</v>
      </c>
      <c r="F690" t="b">
        <v>1</v>
      </c>
      <c r="G690">
        <f>HYPERLINK("https://www.google.com/maps/search/?api=1&amp;query=24.68324188,46.78661618", "View Map")</f>
        <v/>
      </c>
    </row>
    <row r="691">
      <c r="A691" t="inlineStr">
        <is>
          <t xml:space="preserve">   وزاراة الشئون الاسلامية والاوقاف .</t>
        </is>
      </c>
      <c r="B691" t="inlineStr">
        <is>
          <t>KFM2020660201312</t>
        </is>
      </c>
      <c r="C691" t="inlineStr">
        <is>
          <t>الرياض</t>
        </is>
      </c>
      <c r="D691" t="inlineStr">
        <is>
          <t>كلا الفترتين</t>
        </is>
      </c>
      <c r="E691" t="n">
        <v>3192</v>
      </c>
      <c r="F691" t="b">
        <v>1</v>
      </c>
      <c r="G691">
        <f>HYPERLINK("https://www.google.com/maps/search/?api=1&amp;query=24.62391126,46.54828732", "View Map")</f>
        <v/>
      </c>
    </row>
    <row r="692">
      <c r="A692" t="inlineStr">
        <is>
          <t xml:space="preserve">   مسجد  السليمانيه .</t>
        </is>
      </c>
      <c r="B692" t="inlineStr">
        <is>
          <t>SMR2420661038482</t>
        </is>
      </c>
      <c r="C692" t="inlineStr">
        <is>
          <t>الرياض</t>
        </is>
      </c>
      <c r="D692" t="inlineStr">
        <is>
          <t>كلا الفترتين</t>
        </is>
      </c>
      <c r="E692" t="n">
        <v>3189</v>
      </c>
      <c r="F692" t="b">
        <v>0</v>
      </c>
      <c r="G692">
        <f>HYPERLINK("https://www.google.com/maps/search/?api=1&amp;query=24.71517356,46.68629492", "View Map")</f>
        <v/>
      </c>
    </row>
    <row r="693">
      <c r="A693" t="inlineStr">
        <is>
          <t>ﻤﺴﺎﺠﺩ .</t>
        </is>
      </c>
      <c r="B693" t="inlineStr">
        <is>
          <t>SMR2220661001531</t>
        </is>
      </c>
      <c r="C693" t="inlineStr">
        <is>
          <t>الرياض</t>
        </is>
      </c>
      <c r="D693" t="inlineStr">
        <is>
          <t>كلا الفترتين</t>
        </is>
      </c>
      <c r="E693" t="n">
        <v>3188</v>
      </c>
      <c r="F693" t="b">
        <v>1</v>
      </c>
      <c r="G693">
        <f>HYPERLINK("https://www.google.com/maps/search/?api=1&amp;query=24.84074605,46.75160164", "View Map")</f>
        <v/>
      </c>
    </row>
    <row r="694">
      <c r="A694" t="inlineStr">
        <is>
          <t>ﻭﺯﺍﺭﺓﺍﻟﺸﺌﻭﻥ ﺍﻻﺴﻼﻤﻴﺓﻭﺍﻻﻭﻗﺎﻑ .</t>
        </is>
      </c>
      <c r="B694" t="inlineStr">
        <is>
          <t>KFM2120660270726</t>
        </is>
      </c>
      <c r="C694" t="inlineStr">
        <is>
          <t>الرياض</t>
        </is>
      </c>
      <c r="D694" t="inlineStr">
        <is>
          <t>كلا الفترتين</t>
        </is>
      </c>
      <c r="E694" t="n">
        <v>3185</v>
      </c>
      <c r="F694" t="b">
        <v>1</v>
      </c>
      <c r="G694">
        <f>HYPERLINK("https://www.google.com/maps/search/?api=1&amp;query=24.58203389,46.59985164", "View Map")</f>
        <v/>
      </c>
    </row>
    <row r="695">
      <c r="A695" t="inlineStr">
        <is>
          <t>ﻤﺴﺎﺠﺩ .</t>
        </is>
      </c>
      <c r="B695" t="inlineStr">
        <is>
          <t>KFM2020660174865</t>
        </is>
      </c>
      <c r="C695" t="inlineStr">
        <is>
          <t>الرياض</t>
        </is>
      </c>
      <c r="D695" t="inlineStr">
        <is>
          <t>كلا الفترتين</t>
        </is>
      </c>
      <c r="E695" t="n">
        <v>3183</v>
      </c>
      <c r="F695" t="b">
        <v>0</v>
      </c>
      <c r="G695">
        <f>HYPERLINK("https://www.google.com/maps/search/?api=1&amp;query=24.81972881,46.75291477", "View Map")</f>
        <v/>
      </c>
    </row>
    <row r="696">
      <c r="A696" t="inlineStr">
        <is>
          <t xml:space="preserve">   مسجد المشعليه .</t>
        </is>
      </c>
      <c r="B696" t="inlineStr">
        <is>
          <t>KFM2020660133789</t>
        </is>
      </c>
      <c r="C696" t="inlineStr">
        <is>
          <t>الرياض</t>
        </is>
      </c>
      <c r="D696" t="inlineStr">
        <is>
          <t>كلا الفترتين</t>
        </is>
      </c>
      <c r="E696" t="n">
        <v>3181</v>
      </c>
      <c r="F696" t="b">
        <v>1</v>
      </c>
      <c r="G696">
        <f>HYPERLINK("https://www.google.com/maps/search/?api=1&amp;query=24.71118916,46.80532115", "View Map")</f>
        <v/>
      </c>
    </row>
    <row r="697">
      <c r="A697" t="inlineStr">
        <is>
          <t>ﻤﺴﺎﺠﺩ .</t>
        </is>
      </c>
      <c r="B697" t="inlineStr">
        <is>
          <t>KFM2020660047215</t>
        </is>
      </c>
      <c r="C697" t="inlineStr">
        <is>
          <t>الدرعية</t>
        </is>
      </c>
      <c r="D697" t="inlineStr">
        <is>
          <t>كلا الفترتين</t>
        </is>
      </c>
      <c r="E697" t="n">
        <v>3173</v>
      </c>
      <c r="F697" t="b">
        <v>1</v>
      </c>
      <c r="G697">
        <f>HYPERLINK("https://www.google.com/maps/search/?api=1&amp;query=24.78281,46.56064", "View Map")</f>
        <v/>
      </c>
    </row>
    <row r="698">
      <c r="A698" t="inlineStr">
        <is>
          <t>ﻭﺯﺍﺭﺓﺍﻟﺸﺌﻭﻥ ﺍﻻﺴﻼﻤﻴﺓﻭﺍﻻﻭﻗﺎﻑ .</t>
        </is>
      </c>
      <c r="B698" t="inlineStr">
        <is>
          <t>KFM2120660254489</t>
        </is>
      </c>
      <c r="C698" t="inlineStr">
        <is>
          <t>الرياض</t>
        </is>
      </c>
      <c r="D698" t="inlineStr">
        <is>
          <t>كلا الفترتين</t>
        </is>
      </c>
      <c r="E698" t="n">
        <v>3172</v>
      </c>
      <c r="F698" t="b">
        <v>0</v>
      </c>
      <c r="G698">
        <f>HYPERLINK("https://www.google.com/maps/search/?api=1&amp;query=24.69169,46.57999", "View Map")</f>
        <v/>
      </c>
    </row>
    <row r="699">
      <c r="A699" t="inlineStr">
        <is>
          <t xml:space="preserve"> مسجد الامير فيصل بن طلال بن عبدالعزيز .</t>
        </is>
      </c>
      <c r="B699" t="inlineStr">
        <is>
          <t>KFM2020660202768</t>
        </is>
      </c>
      <c r="C699" t="inlineStr">
        <is>
          <t>الرياض</t>
        </is>
      </c>
      <c r="D699" t="inlineStr">
        <is>
          <t>كلا الفترتين</t>
        </is>
      </c>
      <c r="E699" t="n">
        <v>3162</v>
      </c>
      <c r="F699" t="b">
        <v>1</v>
      </c>
      <c r="G699">
        <f>HYPERLINK("https://www.google.com/maps/search/?api=1&amp;query=24.76161484,46.70948484", "View Map")</f>
        <v/>
      </c>
    </row>
    <row r="700">
      <c r="A700" t="inlineStr">
        <is>
          <t xml:space="preserve">   مسجد النفل .</t>
        </is>
      </c>
      <c r="B700" t="inlineStr">
        <is>
          <t>KFM2020660095458</t>
        </is>
      </c>
      <c r="C700" t="inlineStr">
        <is>
          <t>الرياض</t>
        </is>
      </c>
      <c r="D700" t="inlineStr">
        <is>
          <t>كلا الفترتين</t>
        </is>
      </c>
      <c r="E700" t="n">
        <v>3153</v>
      </c>
      <c r="F700" t="b">
        <v>1</v>
      </c>
      <c r="G700">
        <f>HYPERLINK("https://www.google.com/maps/search/?api=1&amp;query=24.77811662,46.66856117", "View Map")</f>
        <v/>
      </c>
    </row>
    <row r="701">
      <c r="A701" t="inlineStr">
        <is>
          <t>مساجد .</t>
        </is>
      </c>
      <c r="B701" t="inlineStr">
        <is>
          <t>KFM2120660257448</t>
        </is>
      </c>
      <c r="C701" t="inlineStr">
        <is>
          <t>الرياض</t>
        </is>
      </c>
      <c r="D701" t="inlineStr">
        <is>
          <t>كلا الفترتين</t>
        </is>
      </c>
      <c r="E701" t="n">
        <v>3151</v>
      </c>
      <c r="F701" t="b">
        <v>1</v>
      </c>
      <c r="G701">
        <f>HYPERLINK("https://www.google.com/maps/search/?api=1&amp;query=24.84151273,46.6844907", "View Map")</f>
        <v/>
      </c>
    </row>
    <row r="702">
      <c r="A702" t="inlineStr">
        <is>
          <t>ﻭﺯﺍﺭﺓﺍﻟﺸﺌﻭﻥ ﺍﻻﺴﻼﻤﻴﺓﻭﺍﻻﻭﻗﺎﻑ .</t>
        </is>
      </c>
      <c r="B702" t="inlineStr">
        <is>
          <t>KFM2020660198530</t>
        </is>
      </c>
      <c r="C702" t="inlineStr">
        <is>
          <t>الرياض</t>
        </is>
      </c>
      <c r="D702" t="inlineStr">
        <is>
          <t>كلا الفترتين</t>
        </is>
      </c>
      <c r="E702" t="n">
        <v>3150</v>
      </c>
      <c r="F702" t="b">
        <v>1</v>
      </c>
      <c r="G702">
        <f>HYPERLINK("https://www.google.com/maps/search/?api=1&amp;query=24.6125,46.7017", "View Map")</f>
        <v/>
      </c>
    </row>
    <row r="703">
      <c r="A703" t="inlineStr">
        <is>
          <t xml:space="preserve">   وزارة الشئون الاسلامية والاوقاف .</t>
        </is>
      </c>
      <c r="B703" t="inlineStr">
        <is>
          <t>KFM2020660145887</t>
        </is>
      </c>
      <c r="C703" t="inlineStr">
        <is>
          <t>الرياض</t>
        </is>
      </c>
      <c r="D703" t="inlineStr">
        <is>
          <t>كلا الفترتين</t>
        </is>
      </c>
      <c r="E703" t="n">
        <v>3147</v>
      </c>
      <c r="F703" t="b">
        <v>1</v>
      </c>
      <c r="G703">
        <f>HYPERLINK("https://www.google.com/maps/search/?api=1&amp;query=24.86124226,46.64060644", "View Map")</f>
        <v/>
      </c>
    </row>
    <row r="704">
      <c r="A704" t="inlineStr">
        <is>
          <t>ﻤﺴﺎﺠﺩ .</t>
        </is>
      </c>
      <c r="B704" t="inlineStr">
        <is>
          <t>KFM2020660192898</t>
        </is>
      </c>
      <c r="C704" t="inlineStr">
        <is>
          <t>الرياض</t>
        </is>
      </c>
      <c r="D704" t="inlineStr">
        <is>
          <t>كلا الفترتين</t>
        </is>
      </c>
      <c r="E704" t="n">
        <v>3147</v>
      </c>
      <c r="F704" t="b">
        <v>1</v>
      </c>
      <c r="G704">
        <f>HYPERLINK("https://www.google.com/maps/search/?api=1&amp;query=24.92651732,46.81035049", "View Map")</f>
        <v/>
      </c>
    </row>
    <row r="705">
      <c r="A705" t="inlineStr">
        <is>
          <t xml:space="preserve">   مسجد الامام عبدالرحمن الفيصل سعود .</t>
        </is>
      </c>
      <c r="B705" t="inlineStr">
        <is>
          <t>KFM2020660189585</t>
        </is>
      </c>
      <c r="C705" t="inlineStr">
        <is>
          <t>الرياض</t>
        </is>
      </c>
      <c r="D705" t="inlineStr">
        <is>
          <t>كلا الفترتين</t>
        </is>
      </c>
      <c r="E705" t="n">
        <v>3132</v>
      </c>
      <c r="F705" t="b">
        <v>1</v>
      </c>
      <c r="G705">
        <f>HYPERLINK("https://www.google.com/maps/search/?api=1&amp;query=24.7820034,46.63845924", "View Map")</f>
        <v/>
      </c>
    </row>
    <row r="706">
      <c r="A706" t="inlineStr">
        <is>
          <t xml:space="preserve">   مسجد ابراهيم المعمر .</t>
        </is>
      </c>
      <c r="B706" t="inlineStr">
        <is>
          <t>KFM2020660175146</t>
        </is>
      </c>
      <c r="C706" t="inlineStr">
        <is>
          <t>الرياض</t>
        </is>
      </c>
      <c r="D706" t="inlineStr">
        <is>
          <t>كلا الفترتين</t>
        </is>
      </c>
      <c r="E706" t="n">
        <v>3131</v>
      </c>
      <c r="F706" t="b">
        <v>1</v>
      </c>
      <c r="G706">
        <f>HYPERLINK("https://www.google.com/maps/search/?api=1&amp;query=24.78612007,46.71853143", "View Map")</f>
        <v/>
      </c>
    </row>
    <row r="707">
      <c r="A707" t="inlineStr">
        <is>
          <t xml:space="preserve">   مسجد الأمير سلمان .</t>
        </is>
      </c>
      <c r="B707" t="inlineStr">
        <is>
          <t>KFM2020660042545</t>
        </is>
      </c>
      <c r="C707" t="inlineStr">
        <is>
          <t>الرياض</t>
        </is>
      </c>
      <c r="D707" t="inlineStr">
        <is>
          <t>كلا الفترتين</t>
        </is>
      </c>
      <c r="E707" t="n">
        <v>3130</v>
      </c>
      <c r="F707" t="b">
        <v>1</v>
      </c>
      <c r="G707">
        <f>HYPERLINK("https://www.google.com/maps/search/?api=1&amp;query=24.73437013,46.82422422", "View Map")</f>
        <v/>
      </c>
    </row>
    <row r="708">
      <c r="A708" t="inlineStr">
        <is>
          <t>ﻤﺴﺎﺠﺩ .</t>
        </is>
      </c>
      <c r="B708" t="inlineStr">
        <is>
          <t>KFM2120660304567</t>
        </is>
      </c>
      <c r="C708" t="inlineStr">
        <is>
          <t>الرياض</t>
        </is>
      </c>
      <c r="D708" t="inlineStr">
        <is>
          <t>كلا الفترتين</t>
        </is>
      </c>
      <c r="E708" t="n">
        <v>3128</v>
      </c>
      <c r="F708" t="b">
        <v>1</v>
      </c>
      <c r="G708">
        <f>HYPERLINK("https://www.google.com/maps/search/?api=1&amp;query=24.55998194,46.80414634", "View Map")</f>
        <v/>
      </c>
    </row>
    <row r="709">
      <c r="A709" t="inlineStr">
        <is>
          <t xml:space="preserve">   مسجد حي حطين .</t>
        </is>
      </c>
      <c r="B709" t="inlineStr">
        <is>
          <t>KFM2020660031810</t>
        </is>
      </c>
      <c r="C709" t="inlineStr">
        <is>
          <t>الدرعية</t>
        </is>
      </c>
      <c r="D709" t="inlineStr">
        <is>
          <t>كلا الفترتين</t>
        </is>
      </c>
      <c r="E709" t="n">
        <v>3125</v>
      </c>
      <c r="F709" t="b">
        <v>1</v>
      </c>
      <c r="G709">
        <f>HYPERLINK("https://www.google.com/maps/search/?api=1&amp;query=24.77658931,46.57349104", "View Map")</f>
        <v/>
      </c>
    </row>
    <row r="710">
      <c r="A710" t="inlineStr">
        <is>
          <t xml:space="preserve">   مسجد حي العقيق .</t>
        </is>
      </c>
      <c r="B710" t="inlineStr">
        <is>
          <t>KFM2020660104337</t>
        </is>
      </c>
      <c r="C710" t="inlineStr">
        <is>
          <t>الرياض</t>
        </is>
      </c>
      <c r="D710" t="inlineStr">
        <is>
          <t>كلا الفترتين</t>
        </is>
      </c>
      <c r="E710" t="n">
        <v>3122</v>
      </c>
      <c r="F710" t="b">
        <v>0</v>
      </c>
      <c r="G710">
        <f>HYPERLINK("https://www.google.com/maps/search/?api=1&amp;query=24.78410798,46.6294559", "View Map")</f>
        <v/>
      </c>
    </row>
    <row r="711">
      <c r="A711" t="inlineStr">
        <is>
          <t xml:space="preserve">   مسجد  ابو  ذر الغفاري .</t>
        </is>
      </c>
      <c r="B711" t="inlineStr">
        <is>
          <t>KFM2020660054758</t>
        </is>
      </c>
      <c r="C711" t="inlineStr">
        <is>
          <t>الرياض</t>
        </is>
      </c>
      <c r="D711" t="inlineStr">
        <is>
          <t>كلا الفترتين</t>
        </is>
      </c>
      <c r="E711" t="n">
        <v>3121</v>
      </c>
      <c r="F711" t="b">
        <v>1</v>
      </c>
      <c r="G711">
        <f>HYPERLINK("https://www.google.com/maps/search/?api=1&amp;query=24.75305819,46.8368532", "View Map")</f>
        <v/>
      </c>
    </row>
    <row r="712">
      <c r="A712" t="inlineStr">
        <is>
          <t>مسجد البديعه  وسكن الامام  والمؤذن .</t>
        </is>
      </c>
      <c r="B712" t="inlineStr">
        <is>
          <t>KFM2020660173520</t>
        </is>
      </c>
      <c r="C712" t="inlineStr">
        <is>
          <t>الرياض</t>
        </is>
      </c>
      <c r="D712" t="inlineStr">
        <is>
          <t>كلا الفترتين</t>
        </is>
      </c>
      <c r="E712" t="n">
        <v>3121</v>
      </c>
      <c r="F712" t="b">
        <v>1</v>
      </c>
      <c r="G712">
        <f>HYPERLINK("https://www.google.com/maps/search/?api=1&amp;query=24.59719193,46.65401444", "View Map")</f>
        <v/>
      </c>
    </row>
    <row r="713">
      <c r="A713" t="inlineStr">
        <is>
          <t xml:space="preserve">   مسجد الشيخ عبدالعزيز ال الشيخ .</t>
        </is>
      </c>
      <c r="B713" t="inlineStr">
        <is>
          <t>KFM2020660174026</t>
        </is>
      </c>
      <c r="C713" t="inlineStr">
        <is>
          <t>الرياض</t>
        </is>
      </c>
      <c r="D713" t="inlineStr">
        <is>
          <t>كلا الفترتين</t>
        </is>
      </c>
      <c r="E713" t="n">
        <v>3117</v>
      </c>
      <c r="F713" t="b">
        <v>1</v>
      </c>
      <c r="G713">
        <f>HYPERLINK("https://www.google.com/maps/search/?api=1&amp;query=24.75424432,46.66459586", "View Map")</f>
        <v/>
      </c>
    </row>
    <row r="714">
      <c r="A714" t="inlineStr">
        <is>
          <t xml:space="preserve">   مسجدالبصير .</t>
        </is>
      </c>
      <c r="B714" t="inlineStr">
        <is>
          <t>KFM2120660305399</t>
        </is>
      </c>
      <c r="C714" t="inlineStr">
        <is>
          <t>الرياض</t>
        </is>
      </c>
      <c r="D714" t="inlineStr">
        <is>
          <t>كلا الفترتين</t>
        </is>
      </c>
      <c r="E714" t="n">
        <v>3117</v>
      </c>
      <c r="F714" t="b">
        <v>1</v>
      </c>
      <c r="G714">
        <f>HYPERLINK("https://www.google.com/maps/search/?api=1&amp;query=24.63565497,46.73478913", "View Map")</f>
        <v/>
      </c>
    </row>
    <row r="715">
      <c r="A715" t="inlineStr">
        <is>
          <t>مساجد .</t>
        </is>
      </c>
      <c r="B715" t="inlineStr">
        <is>
          <t>KFM2120660253612</t>
        </is>
      </c>
      <c r="C715" t="inlineStr">
        <is>
          <t>الرياض</t>
        </is>
      </c>
      <c r="D715" t="inlineStr">
        <is>
          <t>كلا الفترتين</t>
        </is>
      </c>
      <c r="E715" t="n">
        <v>3114</v>
      </c>
      <c r="F715" t="b">
        <v>0</v>
      </c>
      <c r="G715">
        <f>HYPERLINK("https://www.google.com/maps/search/?api=1&amp;query=24.60974482,46.75899631", "View Map")</f>
        <v/>
      </c>
    </row>
    <row r="716">
      <c r="A716" t="inlineStr">
        <is>
          <t xml:space="preserve"> وزاره الشئون والاوقاف (مسجدحي النفل) .</t>
        </is>
      </c>
      <c r="B716" t="inlineStr">
        <is>
          <t>KFM2020660052796</t>
        </is>
      </c>
      <c r="C716" t="inlineStr">
        <is>
          <t>الرياض</t>
        </is>
      </c>
      <c r="D716" t="inlineStr">
        <is>
          <t>كلا الفترتين</t>
        </is>
      </c>
      <c r="E716" t="n">
        <v>3110</v>
      </c>
      <c r="F716" t="b">
        <v>1</v>
      </c>
      <c r="G716">
        <f>HYPERLINK("https://www.google.com/maps/search/?api=1&amp;query=24.78023049,46.67701325", "View Map")</f>
        <v/>
      </c>
    </row>
    <row r="717">
      <c r="A717" t="inlineStr">
        <is>
          <t xml:space="preserve">   مسجد منصور التركي .</t>
        </is>
      </c>
      <c r="B717" t="inlineStr">
        <is>
          <t>KFM2020660057166</t>
        </is>
      </c>
      <c r="C717" t="inlineStr">
        <is>
          <t>الرياض</t>
        </is>
      </c>
      <c r="D717" t="inlineStr">
        <is>
          <t>كلا الفترتين</t>
        </is>
      </c>
      <c r="E717" t="n">
        <v>3109</v>
      </c>
      <c r="F717" t="b">
        <v>0</v>
      </c>
      <c r="G717">
        <f>HYPERLINK("https://www.google.com/maps/search/?api=1&amp;query=24.76157554,46.74725419", "View Map")</f>
        <v/>
      </c>
    </row>
    <row r="718">
      <c r="A718" t="inlineStr">
        <is>
          <t>مسجدالشيخ  حمود التويجري .</t>
        </is>
      </c>
      <c r="B718" t="inlineStr">
        <is>
          <t>KFM2020660177040</t>
        </is>
      </c>
      <c r="C718" t="inlineStr">
        <is>
          <t>الرياض</t>
        </is>
      </c>
      <c r="D718" t="inlineStr">
        <is>
          <t>كلا الفترتين</t>
        </is>
      </c>
      <c r="E718" t="n">
        <v>3107</v>
      </c>
      <c r="F718" t="b">
        <v>1</v>
      </c>
      <c r="G718">
        <f>HYPERLINK("https://www.google.com/maps/search/?api=1&amp;query=24.57764299,46.54183285", "View Map")</f>
        <v/>
      </c>
    </row>
    <row r="719">
      <c r="A719" t="inlineStr">
        <is>
          <t xml:space="preserve"> مسجد الامير سعود بن فهد بن عبدالعزيز .</t>
        </is>
      </c>
      <c r="B719" t="inlineStr">
        <is>
          <t>KFM2020660043469</t>
        </is>
      </c>
      <c r="C719" t="inlineStr">
        <is>
          <t>الرياض</t>
        </is>
      </c>
      <c r="D719" t="inlineStr">
        <is>
          <t>كلا الفترتين</t>
        </is>
      </c>
      <c r="E719" t="n">
        <v>3106</v>
      </c>
      <c r="F719" t="b">
        <v>1</v>
      </c>
      <c r="G719">
        <f>HYPERLINK("https://www.google.com/maps/search/?api=1&amp;query=24.6834691,46.7412753", "View Map")</f>
        <v/>
      </c>
    </row>
    <row r="720">
      <c r="A720" t="inlineStr">
        <is>
          <t xml:space="preserve">   جامع      التقوى    الروضه .</t>
        </is>
      </c>
      <c r="B720" t="inlineStr">
        <is>
          <t>KFM2020660057006</t>
        </is>
      </c>
      <c r="C720" t="inlineStr">
        <is>
          <t>الرياض</t>
        </is>
      </c>
      <c r="D720" t="inlineStr">
        <is>
          <t>كلا الفترتين</t>
        </is>
      </c>
      <c r="E720" t="n">
        <v>3106</v>
      </c>
      <c r="F720" t="b">
        <v>0</v>
      </c>
      <c r="G720">
        <f>HYPERLINK("https://www.google.com/maps/search/?api=1&amp;query=24.72750417,46.7666192", "View Map")</f>
        <v/>
      </c>
    </row>
    <row r="721">
      <c r="A721" t="inlineStr">
        <is>
          <t>ﻤﺴﺎﺠﺩ .</t>
        </is>
      </c>
      <c r="B721" t="inlineStr">
        <is>
          <t>KFM2020660104917</t>
        </is>
      </c>
      <c r="C721" t="inlineStr">
        <is>
          <t>الرياض</t>
        </is>
      </c>
      <c r="D721" t="inlineStr">
        <is>
          <t>كلا الفترتين</t>
        </is>
      </c>
      <c r="E721" t="n">
        <v>3103</v>
      </c>
      <c r="F721" t="b">
        <v>0</v>
      </c>
      <c r="G721">
        <f>HYPERLINK("https://www.google.com/maps/search/?api=1&amp;query=24.8756,46.6261", "View Map")</f>
        <v/>
      </c>
    </row>
    <row r="722">
      <c r="A722" t="inlineStr">
        <is>
          <t xml:space="preserve">   مسجد حي المنصورة .</t>
        </is>
      </c>
      <c r="B722" t="inlineStr">
        <is>
          <t>KFM2120660253465</t>
        </is>
      </c>
      <c r="C722" t="inlineStr">
        <is>
          <t>الرياض</t>
        </is>
      </c>
      <c r="D722" t="inlineStr">
        <is>
          <t>كلا الفترتين</t>
        </is>
      </c>
      <c r="E722" t="n">
        <v>3102</v>
      </c>
      <c r="F722" t="b">
        <v>1</v>
      </c>
      <c r="G722">
        <f>HYPERLINK("https://www.google.com/maps/search/?api=1&amp;query=24.61213759,46.74080914", "View Map")</f>
        <v/>
      </c>
    </row>
    <row r="723">
      <c r="A723" t="inlineStr">
        <is>
          <t xml:space="preserve">   مسجد الامير متعب بن عبدالعزيز .</t>
        </is>
      </c>
      <c r="B723" t="inlineStr">
        <is>
          <t>KFM2120660303781</t>
        </is>
      </c>
      <c r="C723" t="inlineStr">
        <is>
          <t>الرياض</t>
        </is>
      </c>
      <c r="D723" t="inlineStr">
        <is>
          <t>كلا الفترتين</t>
        </is>
      </c>
      <c r="E723" t="n">
        <v>3100</v>
      </c>
      <c r="F723" t="b">
        <v>1</v>
      </c>
      <c r="G723">
        <f>HYPERLINK("https://www.google.com/maps/search/?api=1&amp;query=24.6528115,46.75738867", "View Map")</f>
        <v/>
      </c>
    </row>
    <row r="724">
      <c r="A724" t="inlineStr">
        <is>
          <t xml:space="preserve">   مساجد .</t>
        </is>
      </c>
      <c r="B724" t="inlineStr">
        <is>
          <t>KFM2020660091185</t>
        </is>
      </c>
      <c r="C724" t="inlineStr">
        <is>
          <t>الرياض</t>
        </is>
      </c>
      <c r="D724" t="inlineStr">
        <is>
          <t>كلا الفترتين</t>
        </is>
      </c>
      <c r="E724" t="n">
        <v>3098</v>
      </c>
      <c r="F724" t="b">
        <v>1</v>
      </c>
      <c r="G724">
        <f>HYPERLINK("https://www.google.com/maps/search/?api=1&amp;query=24.82038687,46.60498046", "View Map")</f>
        <v/>
      </c>
    </row>
    <row r="725">
      <c r="A725" t="inlineStr">
        <is>
          <t>مسجد بن سعيد .</t>
        </is>
      </c>
      <c r="B725" t="inlineStr">
        <is>
          <t>KFM2020660056025</t>
        </is>
      </c>
      <c r="C725" t="inlineStr">
        <is>
          <t>الرياض</t>
        </is>
      </c>
      <c r="D725" t="inlineStr">
        <is>
          <t>كلا الفترتين</t>
        </is>
      </c>
      <c r="E725" t="n">
        <v>3097</v>
      </c>
      <c r="F725" t="b">
        <v>1</v>
      </c>
      <c r="G725">
        <f>HYPERLINK("https://www.google.com/maps/search/?api=1&amp;query=24.6269,46.6867", "View Map")</f>
        <v/>
      </c>
    </row>
    <row r="726">
      <c r="A726" t="inlineStr">
        <is>
          <t>ﻤﺴﺎﺠﺩ .</t>
        </is>
      </c>
      <c r="B726" t="inlineStr">
        <is>
          <t>KFM2020660191653</t>
        </is>
      </c>
      <c r="C726" t="inlineStr">
        <is>
          <t>الرياض</t>
        </is>
      </c>
      <c r="D726" t="inlineStr">
        <is>
          <t>كلا الفترتين</t>
        </is>
      </c>
      <c r="E726" t="n">
        <v>3095</v>
      </c>
      <c r="F726" t="b">
        <v>1</v>
      </c>
      <c r="G726">
        <f>HYPERLINK("https://www.google.com/maps/search/?api=1&amp;query=24.84452324,46.62858748", "View Map")</f>
        <v/>
      </c>
    </row>
    <row r="727">
      <c r="A727" t="inlineStr">
        <is>
          <t>مسجد الوالديـــــــن .</t>
        </is>
      </c>
      <c r="B727" t="inlineStr">
        <is>
          <t>KFM2020660038714</t>
        </is>
      </c>
      <c r="C727" t="inlineStr">
        <is>
          <t>الرياض</t>
        </is>
      </c>
      <c r="D727" t="inlineStr">
        <is>
          <t>كلا الفترتين</t>
        </is>
      </c>
      <c r="E727" t="n">
        <v>3094</v>
      </c>
      <c r="F727" t="b">
        <v>0</v>
      </c>
      <c r="G727">
        <f>HYPERLINK("https://www.google.com/maps/search/?api=1&amp;query=24.58771465,46.64476095", "View Map")</f>
        <v/>
      </c>
    </row>
    <row r="728">
      <c r="A728" t="inlineStr">
        <is>
          <t xml:space="preserve">   جامع  هجرة سمحه .</t>
        </is>
      </c>
      <c r="B728" t="inlineStr">
        <is>
          <t>KFM2020660211277</t>
        </is>
      </c>
      <c r="C728" t="inlineStr">
        <is>
          <t>الدرعية</t>
        </is>
      </c>
      <c r="D728" t="inlineStr">
        <is>
          <t>كلا الفترتين</t>
        </is>
      </c>
      <c r="E728" t="n">
        <v>3094</v>
      </c>
      <c r="F728" t="b">
        <v>1</v>
      </c>
      <c r="G728">
        <f>HYPERLINK("https://www.google.com/maps/search/?api=1&amp;query=24.78929589,46.4258794", "View Map")</f>
        <v/>
      </c>
    </row>
    <row r="729">
      <c r="A729" t="inlineStr">
        <is>
          <t>ﻤﺴﺎﺠﺩ .</t>
        </is>
      </c>
      <c r="B729" t="inlineStr">
        <is>
          <t>KFM2020660191698</t>
        </is>
      </c>
      <c r="C729" t="inlineStr">
        <is>
          <t>الرياض</t>
        </is>
      </c>
      <c r="D729" t="inlineStr">
        <is>
          <t>كلا الفترتين</t>
        </is>
      </c>
      <c r="E729" t="n">
        <v>3093</v>
      </c>
      <c r="F729" t="b">
        <v>0</v>
      </c>
      <c r="G729">
        <f>HYPERLINK("https://www.google.com/maps/search/?api=1&amp;query=24.69772,46.67663", "View Map")</f>
        <v/>
      </c>
    </row>
    <row r="730">
      <c r="A730" t="inlineStr">
        <is>
          <t xml:space="preserve">   مسجد سعود بن سمار 5/3145</t>
        </is>
      </c>
      <c r="B730" t="inlineStr">
        <is>
          <t>KFM2120660279589</t>
        </is>
      </c>
      <c r="C730" t="inlineStr">
        <is>
          <t>الرياض</t>
        </is>
      </c>
      <c r="D730" t="inlineStr">
        <is>
          <t>كلا الفترتين</t>
        </is>
      </c>
      <c r="E730" t="n">
        <v>3092</v>
      </c>
      <c r="F730" t="b">
        <v>1</v>
      </c>
      <c r="G730">
        <f>HYPERLINK("https://www.google.com/maps/search/?api=1&amp;query=24.6729878,46.75500375", "View Map")</f>
        <v/>
      </c>
    </row>
    <row r="731">
      <c r="A731" t="inlineStr">
        <is>
          <t xml:space="preserve">   مسجد  عبدالله بن مسعود .</t>
        </is>
      </c>
      <c r="B731" t="inlineStr">
        <is>
          <t>KFM2120660257446</t>
        </is>
      </c>
      <c r="C731" t="inlineStr">
        <is>
          <t>الرياض</t>
        </is>
      </c>
      <c r="D731" t="inlineStr">
        <is>
          <t>كلا الفترتين</t>
        </is>
      </c>
      <c r="E731" t="n">
        <v>3090</v>
      </c>
      <c r="F731" t="b">
        <v>1</v>
      </c>
      <c r="G731">
        <f>HYPERLINK("https://www.google.com/maps/search/?api=1&amp;query=24.77052623,46.65025996", "View Map")</f>
        <v/>
      </c>
    </row>
    <row r="732">
      <c r="A732" t="inlineStr">
        <is>
          <t xml:space="preserve">   مسجد عبدالله السديس .</t>
        </is>
      </c>
      <c r="B732" t="inlineStr">
        <is>
          <t>KFM2020660145073</t>
        </is>
      </c>
      <c r="C732" t="inlineStr">
        <is>
          <t>الرياض</t>
        </is>
      </c>
      <c r="D732" t="inlineStr">
        <is>
          <t>كلا الفترتين</t>
        </is>
      </c>
      <c r="E732" t="n">
        <v>3087</v>
      </c>
      <c r="F732" t="b">
        <v>0</v>
      </c>
      <c r="G732">
        <f>HYPERLINK("https://www.google.com/maps/search/?api=1&amp;query=24.68348817,46.77779585", "View Map")</f>
        <v/>
      </c>
    </row>
    <row r="733">
      <c r="A733" t="inlineStr">
        <is>
          <t>جامع      فاطمه      الحمدان .</t>
        </is>
      </c>
      <c r="B733" t="inlineStr">
        <is>
          <t>KFM2020660191112</t>
        </is>
      </c>
      <c r="C733" t="inlineStr">
        <is>
          <t>الرياض</t>
        </is>
      </c>
      <c r="D733" t="inlineStr">
        <is>
          <t>كلا الفترتين</t>
        </is>
      </c>
      <c r="E733" t="n">
        <v>3085</v>
      </c>
      <c r="F733" t="b">
        <v>0</v>
      </c>
      <c r="G733">
        <f>HYPERLINK("https://www.google.com/maps/search/?api=1&amp;query=24.53392485,46.6891485", "View Map")</f>
        <v/>
      </c>
    </row>
    <row r="734">
      <c r="A734" t="inlineStr">
        <is>
          <t>ﻤﺴﺎﺠﺩ .</t>
        </is>
      </c>
      <c r="B734" t="inlineStr">
        <is>
          <t>SMR2220661007624</t>
        </is>
      </c>
      <c r="C734" t="inlineStr">
        <is>
          <t>الرياض</t>
        </is>
      </c>
      <c r="D734" t="inlineStr">
        <is>
          <t>كلا الفترتين</t>
        </is>
      </c>
      <c r="E734" t="n">
        <v>3085</v>
      </c>
      <c r="F734" t="b">
        <v>1</v>
      </c>
      <c r="G734">
        <f>HYPERLINK("https://www.google.com/maps/search/?api=1&amp;query=24.6192,46.5272", "View Map")</f>
        <v/>
      </c>
    </row>
    <row r="735">
      <c r="A735" t="inlineStr">
        <is>
          <t xml:space="preserve">   مسجدعلي ابراهيم الحديثي .</t>
        </is>
      </c>
      <c r="B735" t="inlineStr">
        <is>
          <t>KFM2020660193565</t>
        </is>
      </c>
      <c r="C735" t="inlineStr">
        <is>
          <t>الرياض</t>
        </is>
      </c>
      <c r="D735" t="inlineStr">
        <is>
          <t>كلا الفترتين</t>
        </is>
      </c>
      <c r="E735" t="n">
        <v>3082</v>
      </c>
      <c r="F735" t="b">
        <v>1</v>
      </c>
      <c r="G735">
        <f>HYPERLINK("https://www.google.com/maps/search/?api=1&amp;query=24.79472957,46.87509731", "View Map")</f>
        <v/>
      </c>
    </row>
    <row r="736">
      <c r="A736" t="inlineStr">
        <is>
          <t xml:space="preserve">   مسجد الامير بندر عبدالعزيزال سعود .</t>
        </is>
      </c>
      <c r="B736" t="inlineStr">
        <is>
          <t>KFM2020660043453</t>
        </is>
      </c>
      <c r="C736" t="inlineStr">
        <is>
          <t>الرياض</t>
        </is>
      </c>
      <c r="D736" t="inlineStr">
        <is>
          <t>صباحا</t>
        </is>
      </c>
      <c r="E736" t="n">
        <v>3079</v>
      </c>
      <c r="F736" t="b">
        <v>0</v>
      </c>
      <c r="G736">
        <f>HYPERLINK("https://www.google.com/maps/search/?api=1&amp;query=24.67094519,46.74232063", "View Map")</f>
        <v/>
      </c>
    </row>
    <row r="737">
      <c r="A737" t="inlineStr">
        <is>
          <t xml:space="preserve">   مسجدوالدة الامير سعد محمدال سعود .</t>
        </is>
      </c>
      <c r="B737" t="inlineStr">
        <is>
          <t>KFM2020660052077</t>
        </is>
      </c>
      <c r="C737" t="inlineStr">
        <is>
          <t>الرياض</t>
        </is>
      </c>
      <c r="D737" t="inlineStr">
        <is>
          <t>كلا الفترتين</t>
        </is>
      </c>
      <c r="E737" t="n">
        <v>3075</v>
      </c>
      <c r="F737" t="b">
        <v>1</v>
      </c>
      <c r="G737">
        <f>HYPERLINK("https://www.google.com/maps/search/?api=1&amp;query=24.74898477,46.62586132", "View Map")</f>
        <v/>
      </c>
    </row>
    <row r="738">
      <c r="A738" t="inlineStr">
        <is>
          <t xml:space="preserve">    مسجد حي الملقا .</t>
        </is>
      </c>
      <c r="B738" t="inlineStr">
        <is>
          <t>KFM2020660045241</t>
        </is>
      </c>
      <c r="C738" t="inlineStr">
        <is>
          <t>الرياض</t>
        </is>
      </c>
      <c r="D738" t="inlineStr">
        <is>
          <t>كلا الفترتين</t>
        </is>
      </c>
      <c r="E738" t="n">
        <v>3070</v>
      </c>
      <c r="F738" t="b">
        <v>1</v>
      </c>
      <c r="G738">
        <f>HYPERLINK("https://www.google.com/maps/search/?api=1&amp;query=24.82202884,46.62588032", "View Map")</f>
        <v/>
      </c>
    </row>
    <row r="739">
      <c r="A739" t="inlineStr">
        <is>
          <t xml:space="preserve">   مسجد      سليمان    اليحي .</t>
        </is>
      </c>
      <c r="B739" t="inlineStr">
        <is>
          <t>KFM2020660008315</t>
        </is>
      </c>
      <c r="C739" t="inlineStr">
        <is>
          <t>الرياض</t>
        </is>
      </c>
      <c r="D739" t="inlineStr">
        <is>
          <t>كلا الفترتين</t>
        </is>
      </c>
      <c r="E739" t="n">
        <v>3067</v>
      </c>
      <c r="F739" t="b">
        <v>1</v>
      </c>
      <c r="G739">
        <f>HYPERLINK("https://www.google.com/maps/search/?api=1&amp;query=24.77985182,46.66452388", "View Map")</f>
        <v/>
      </c>
    </row>
    <row r="740">
      <c r="A740" t="inlineStr">
        <is>
          <t>مسجد سارة .</t>
        </is>
      </c>
      <c r="B740" t="inlineStr">
        <is>
          <t>KFM2020660013320</t>
        </is>
      </c>
      <c r="C740" t="inlineStr">
        <is>
          <t>الرياض</t>
        </is>
      </c>
      <c r="D740" t="inlineStr">
        <is>
          <t>كلا الفترتين</t>
        </is>
      </c>
      <c r="E740" t="n">
        <v>3066</v>
      </c>
      <c r="F740" t="b">
        <v>1</v>
      </c>
      <c r="G740">
        <f>HYPERLINK("https://www.google.com/maps/search/?api=1&amp;query=24.62082927,46.68125453", "View Map")</f>
        <v/>
      </c>
    </row>
    <row r="741">
      <c r="A741" t="inlineStr">
        <is>
          <t xml:space="preserve">   مسجد حي المروج .</t>
        </is>
      </c>
      <c r="B741" t="inlineStr">
        <is>
          <t>KFM2020660207607</t>
        </is>
      </c>
      <c r="C741" t="inlineStr">
        <is>
          <t>الرياض</t>
        </is>
      </c>
      <c r="D741" t="inlineStr">
        <is>
          <t>كلا الفترتين</t>
        </is>
      </c>
      <c r="E741" t="n">
        <v>3065</v>
      </c>
      <c r="F741" t="b">
        <v>1</v>
      </c>
      <c r="G741">
        <f>HYPERLINK("https://www.google.com/maps/search/?api=1&amp;query=24.75684631,46.65556172", "View Map")</f>
        <v/>
      </c>
    </row>
    <row r="742">
      <c r="A742" t="inlineStr">
        <is>
          <t>ﻤﺴﺎﺠﺩ .</t>
        </is>
      </c>
      <c r="B742" t="inlineStr">
        <is>
          <t>KFM2020660191937</t>
        </is>
      </c>
      <c r="C742" t="inlineStr">
        <is>
          <t>الرياض</t>
        </is>
      </c>
      <c r="D742" t="inlineStr">
        <is>
          <t>كلا الفترتين</t>
        </is>
      </c>
      <c r="E742" t="n">
        <v>3060</v>
      </c>
      <c r="F742" t="b">
        <v>1</v>
      </c>
      <c r="G742">
        <f>HYPERLINK("https://www.google.com/maps/search/?api=1&amp;query=24.78988799,46.69180053", "View Map")</f>
        <v/>
      </c>
    </row>
    <row r="743">
      <c r="A743" t="inlineStr">
        <is>
          <t xml:space="preserve">   مسجد أبي بكر الصديق .</t>
        </is>
      </c>
      <c r="B743" t="inlineStr">
        <is>
          <t>KFM2020660138390</t>
        </is>
      </c>
      <c r="C743" t="inlineStr">
        <is>
          <t>الرياض</t>
        </is>
      </c>
      <c r="D743" t="inlineStr">
        <is>
          <t>كلا الفترتين</t>
        </is>
      </c>
      <c r="E743" t="n">
        <v>3058</v>
      </c>
      <c r="F743" t="b">
        <v>1</v>
      </c>
      <c r="G743">
        <f>HYPERLINK("https://www.google.com/maps/search/?api=1&amp;query=24.69498401,46.78966611", "View Map")</f>
        <v/>
      </c>
    </row>
    <row r="744">
      <c r="A744" t="inlineStr">
        <is>
          <t xml:space="preserve">   مسجد الريس   00 .</t>
        </is>
      </c>
      <c r="B744" t="inlineStr">
        <is>
          <t>KFM2020660175133</t>
        </is>
      </c>
      <c r="C744" t="inlineStr">
        <is>
          <t>الرياض</t>
        </is>
      </c>
      <c r="D744" t="inlineStr">
        <is>
          <t>كلا الفترتين</t>
        </is>
      </c>
      <c r="E744" t="n">
        <v>3055</v>
      </c>
      <c r="F744" t="b">
        <v>1</v>
      </c>
      <c r="G744">
        <f>HYPERLINK("https://www.google.com/maps/search/?api=1&amp;query=24.6197,46.59", "View Map")</f>
        <v/>
      </c>
    </row>
    <row r="745">
      <c r="A745" t="inlineStr">
        <is>
          <t xml:space="preserve">    مسجد حي الحمراءوسكن الا مام المؤ .</t>
        </is>
      </c>
      <c r="B745" t="inlineStr">
        <is>
          <t>KFM2020660060017</t>
        </is>
      </c>
      <c r="C745" t="inlineStr">
        <is>
          <t>الرياض</t>
        </is>
      </c>
      <c r="D745" t="inlineStr">
        <is>
          <t>كلا الفترتين</t>
        </is>
      </c>
      <c r="E745" t="n">
        <v>3055</v>
      </c>
      <c r="F745" t="b">
        <v>1</v>
      </c>
      <c r="G745">
        <f>HYPERLINK("https://www.google.com/maps/search/?api=1&amp;query=24.78347449,46.75415077", "View Map")</f>
        <v/>
      </c>
    </row>
    <row r="746">
      <c r="A746" t="inlineStr">
        <is>
          <t>ﻤﺴﺎﺠﺩ .</t>
        </is>
      </c>
      <c r="B746" t="inlineStr">
        <is>
          <t>KFM2020660209225</t>
        </is>
      </c>
      <c r="C746" t="inlineStr">
        <is>
          <t>الرياض</t>
        </is>
      </c>
      <c r="D746" t="inlineStr">
        <is>
          <t>كلا الفترتين</t>
        </is>
      </c>
      <c r="E746" t="n">
        <v>3053</v>
      </c>
      <c r="F746" t="b">
        <v>1</v>
      </c>
      <c r="G746">
        <f>HYPERLINK("https://www.google.com/maps/search/?api=1&amp;query=24.83705,46.65104", "View Map")</f>
        <v/>
      </c>
    </row>
    <row r="747">
      <c r="A747" t="inlineStr">
        <is>
          <t xml:space="preserve">   مسجد الياسمين .</t>
        </is>
      </c>
      <c r="B747" t="inlineStr">
        <is>
          <t>KFM2120660240863</t>
        </is>
      </c>
      <c r="C747" t="inlineStr">
        <is>
          <t>الرياض</t>
        </is>
      </c>
      <c r="D747" t="inlineStr">
        <is>
          <t>كلا الفترتين</t>
        </is>
      </c>
      <c r="E747" t="n">
        <v>3052</v>
      </c>
      <c r="F747" t="b">
        <v>1</v>
      </c>
      <c r="G747">
        <f>HYPERLINK("https://www.google.com/maps/search/?api=1&amp;query=24.8124717,46.63054777", "View Map")</f>
        <v/>
      </c>
    </row>
    <row r="748">
      <c r="A748" t="inlineStr">
        <is>
          <t>ﻭﺯﺍﺭﺓﺍﻟﺸﺌﻭﻥ ﺍﻻﺴﻼﻤﻴﺓﻭﺍﻻﻭﻗﺎﻑ .</t>
        </is>
      </c>
      <c r="B748" t="inlineStr">
        <is>
          <t>KFM2020660049451</t>
        </is>
      </c>
      <c r="C748" t="inlineStr">
        <is>
          <t>الرياض</t>
        </is>
      </c>
      <c r="D748" t="inlineStr">
        <is>
          <t>كلا الفترتين</t>
        </is>
      </c>
      <c r="E748" t="n">
        <v>3052</v>
      </c>
      <c r="F748" t="b">
        <v>0</v>
      </c>
      <c r="G748">
        <f>HYPERLINK("https://www.google.com/maps/search/?api=1&amp;query=24.54906702,46.57560674", "View Map")</f>
        <v/>
      </c>
    </row>
    <row r="749">
      <c r="A749" t="inlineStr">
        <is>
          <t xml:space="preserve">   مسجدسموالاميرمتعب بن عبدالعزيز .</t>
        </is>
      </c>
      <c r="B749" t="inlineStr">
        <is>
          <t>KFM2020660210862</t>
        </is>
      </c>
      <c r="C749" t="inlineStr">
        <is>
          <t>الرياض</t>
        </is>
      </c>
      <c r="D749" t="inlineStr">
        <is>
          <t>كلا الفترتين</t>
        </is>
      </c>
      <c r="E749" t="n">
        <v>3051</v>
      </c>
      <c r="F749" t="b">
        <v>1</v>
      </c>
      <c r="G749">
        <f>HYPERLINK("https://www.google.com/maps/search/?api=1&amp;query=24.65659264,46.74825675", "View Map")</f>
        <v/>
      </c>
    </row>
    <row r="750">
      <c r="A750" t="inlineStr">
        <is>
          <t xml:space="preserve">   مسجد حي الملك فيصل .</t>
        </is>
      </c>
      <c r="B750" t="inlineStr">
        <is>
          <t>KFM2020660190982</t>
        </is>
      </c>
      <c r="C750" t="inlineStr">
        <is>
          <t>الرياض</t>
        </is>
      </c>
      <c r="D750" t="inlineStr">
        <is>
          <t>كلا الفترتين</t>
        </is>
      </c>
      <c r="E750" t="n">
        <v>3049</v>
      </c>
      <c r="F750" t="b">
        <v>1</v>
      </c>
      <c r="G750">
        <f>HYPERLINK("https://www.google.com/maps/search/?api=1&amp;query=24.76531804,46.7630721", "View Map")</f>
        <v/>
      </c>
    </row>
    <row r="751">
      <c r="A751" t="inlineStr">
        <is>
          <t>ﻤﺴﺎﺠﺩ .</t>
        </is>
      </c>
      <c r="B751" t="inlineStr">
        <is>
          <t>KFM2020660174867</t>
        </is>
      </c>
      <c r="C751" t="inlineStr">
        <is>
          <t>الرياض</t>
        </is>
      </c>
      <c r="D751" t="inlineStr">
        <is>
          <t>كلا الفترتين</t>
        </is>
      </c>
      <c r="E751" t="n">
        <v>3045</v>
      </c>
      <c r="F751" t="b">
        <v>1</v>
      </c>
      <c r="G751">
        <f>HYPERLINK("https://www.google.com/maps/search/?api=1&amp;query=24.83657073,46.74370043", "View Map")</f>
        <v/>
      </c>
    </row>
    <row r="752">
      <c r="A752" t="inlineStr">
        <is>
          <t xml:space="preserve">   مساجد .</t>
        </is>
      </c>
      <c r="B752" t="inlineStr">
        <is>
          <t>KFM2020660145256</t>
        </is>
      </c>
      <c r="C752" t="inlineStr">
        <is>
          <t>الرياض</t>
        </is>
      </c>
      <c r="D752" t="inlineStr">
        <is>
          <t>كلا الفترتين</t>
        </is>
      </c>
      <c r="E752" t="n">
        <v>3038</v>
      </c>
      <c r="F752" t="b">
        <v>1</v>
      </c>
      <c r="G752">
        <f>HYPERLINK("https://www.google.com/maps/search/?api=1&amp;query=24.82267215,46.78085607", "View Map")</f>
        <v/>
      </c>
    </row>
    <row r="753">
      <c r="A753" t="inlineStr">
        <is>
          <t xml:space="preserve">   مسجدالامير سلطان ابن ال سعود .</t>
        </is>
      </c>
      <c r="B753" t="inlineStr">
        <is>
          <t>KFM2120660262259</t>
        </is>
      </c>
      <c r="C753" t="inlineStr">
        <is>
          <t>الرياض</t>
        </is>
      </c>
      <c r="D753" t="inlineStr">
        <is>
          <t>كلا الفترتين</t>
        </is>
      </c>
      <c r="E753" t="n">
        <v>3031</v>
      </c>
      <c r="F753" t="b">
        <v>1</v>
      </c>
      <c r="G753">
        <f>HYPERLINK("https://www.google.com/maps/search/?api=1&amp;query=24.68306407,46.71265569", "View Map")</f>
        <v/>
      </c>
    </row>
    <row r="754">
      <c r="A754" t="inlineStr">
        <is>
          <t xml:space="preserve">   مسجد حى النزهه .</t>
        </is>
      </c>
      <c r="B754" t="inlineStr">
        <is>
          <t>KFM2120660255555</t>
        </is>
      </c>
      <c r="C754" t="inlineStr">
        <is>
          <t>الرياض</t>
        </is>
      </c>
      <c r="D754" t="inlineStr">
        <is>
          <t>كلا الفترتين</t>
        </is>
      </c>
      <c r="E754" t="n">
        <v>3029</v>
      </c>
      <c r="F754" t="b">
        <v>1</v>
      </c>
      <c r="G754">
        <f>HYPERLINK("https://www.google.com/maps/search/?api=1&amp;query=24.74961923,46.70270009", "View Map")</f>
        <v/>
      </c>
    </row>
    <row r="755">
      <c r="A755" t="inlineStr">
        <is>
          <t xml:space="preserve"> مسجدالامير/تركى بن عبدالعزيزال سعود .</t>
        </is>
      </c>
      <c r="B755" t="inlineStr">
        <is>
          <t>KFM2120660246121</t>
        </is>
      </c>
      <c r="C755" t="inlineStr">
        <is>
          <t>الرياض</t>
        </is>
      </c>
      <c r="D755" t="inlineStr">
        <is>
          <t>كلا الفترتين</t>
        </is>
      </c>
      <c r="E755" t="n">
        <v>3026</v>
      </c>
      <c r="F755" t="b">
        <v>1</v>
      </c>
      <c r="G755">
        <f>HYPERLINK("https://www.google.com/maps/search/?api=1&amp;query=24.68594,46.6705", "View Map")</f>
        <v/>
      </c>
    </row>
    <row r="756">
      <c r="A756" t="inlineStr">
        <is>
          <t xml:space="preserve">   مسجد      ام        ال .</t>
        </is>
      </c>
      <c r="B756" t="inlineStr">
        <is>
          <t>KFM2020660104394</t>
        </is>
      </c>
      <c r="C756" t="inlineStr">
        <is>
          <t>الرياض</t>
        </is>
      </c>
      <c r="D756" t="inlineStr">
        <is>
          <t>كلا الفترتين</t>
        </is>
      </c>
      <c r="E756" t="n">
        <v>3026</v>
      </c>
      <c r="F756" t="b">
        <v>1</v>
      </c>
      <c r="G756">
        <f>HYPERLINK("https://www.google.com/maps/search/?api=1&amp;query=24.8213314,46.62972164", "View Map")</f>
        <v/>
      </c>
    </row>
    <row r="757">
      <c r="A757" t="inlineStr">
        <is>
          <t>ﻤﺴﺎﺠﺩ .</t>
        </is>
      </c>
      <c r="B757" t="inlineStr">
        <is>
          <t>KFM2020660192901</t>
        </is>
      </c>
      <c r="C757" t="inlineStr">
        <is>
          <t>الرياض</t>
        </is>
      </c>
      <c r="D757" t="inlineStr">
        <is>
          <t>كلا الفترتين</t>
        </is>
      </c>
      <c r="E757" t="n">
        <v>3024</v>
      </c>
      <c r="F757" t="b">
        <v>1</v>
      </c>
      <c r="G757">
        <f>HYPERLINK("https://www.google.com/maps/search/?api=1&amp;query=24.85334648,46.82699941", "View Map")</f>
        <v/>
      </c>
    </row>
    <row r="758">
      <c r="A758" t="inlineStr">
        <is>
          <t>مسجد غرب شارع    1 العريجاء .</t>
        </is>
      </c>
      <c r="B758" t="inlineStr">
        <is>
          <t>KFM2020660171801</t>
        </is>
      </c>
      <c r="C758" t="inlineStr">
        <is>
          <t>الرياض</t>
        </is>
      </c>
      <c r="D758" t="inlineStr">
        <is>
          <t>كلا الفترتين</t>
        </is>
      </c>
      <c r="E758" t="n">
        <v>3024</v>
      </c>
      <c r="F758" t="b">
        <v>0</v>
      </c>
      <c r="G758">
        <f>HYPERLINK("https://www.google.com/maps/search/?api=1&amp;query=24.57716248,46.52478901", "View Map")</f>
        <v/>
      </c>
    </row>
    <row r="759">
      <c r="A759" t="inlineStr">
        <is>
          <t xml:space="preserve">   وزاره الشؤون الاسلاميه =مسجدالمروج .</t>
        </is>
      </c>
      <c r="B759" t="inlineStr">
        <is>
          <t>KFM2020660207302</t>
        </is>
      </c>
      <c r="C759" t="inlineStr">
        <is>
          <t>الرياض</t>
        </is>
      </c>
      <c r="D759" t="inlineStr">
        <is>
          <t>كلا الفترتين</t>
        </is>
      </c>
      <c r="E759" t="n">
        <v>3022</v>
      </c>
      <c r="F759" t="b">
        <v>1</v>
      </c>
      <c r="G759">
        <f>HYPERLINK("https://www.google.com/maps/search/?api=1&amp;query=24.75102533,46.66455953", "View Map")</f>
        <v/>
      </c>
    </row>
    <row r="760">
      <c r="A760" t="inlineStr">
        <is>
          <t xml:space="preserve">   مسجد فيصل الثاني .</t>
        </is>
      </c>
      <c r="B760" t="inlineStr">
        <is>
          <t>KFM2020660167816</t>
        </is>
      </c>
      <c r="C760" t="inlineStr">
        <is>
          <t>الرياض</t>
        </is>
      </c>
      <c r="D760" t="inlineStr">
        <is>
          <t>كلا الفترتين</t>
        </is>
      </c>
      <c r="E760" t="n">
        <v>3019</v>
      </c>
      <c r="F760" t="b">
        <v>1</v>
      </c>
      <c r="G760">
        <f>HYPERLINK("https://www.google.com/maps/search/?api=1&amp;query=24.7328067,46.82586604", "View Map")</f>
        <v/>
      </c>
    </row>
    <row r="761">
      <c r="A761" t="inlineStr">
        <is>
          <t>وزارة الشئون الا سلا مية والااوقاف .</t>
        </is>
      </c>
      <c r="B761" t="inlineStr">
        <is>
          <t>KFM2020660202496</t>
        </is>
      </c>
      <c r="C761" t="inlineStr">
        <is>
          <t>الرياض</t>
        </is>
      </c>
      <c r="D761" t="inlineStr">
        <is>
          <t>كلا الفترتين</t>
        </is>
      </c>
      <c r="E761" t="n">
        <v>3019</v>
      </c>
      <c r="F761" t="b">
        <v>1</v>
      </c>
      <c r="G761">
        <f>HYPERLINK("https://www.google.com/maps/search/?api=1&amp;query=24.56920344,46.5368839", "View Map")</f>
        <v/>
      </c>
    </row>
    <row r="762">
      <c r="A762" t="inlineStr">
        <is>
          <t>ﻤﺴﺎﺠﺩ .</t>
        </is>
      </c>
      <c r="B762" t="inlineStr">
        <is>
          <t>KFM2020660128831</t>
        </is>
      </c>
      <c r="C762" t="inlineStr">
        <is>
          <t>الرياض</t>
        </is>
      </c>
      <c r="D762" t="inlineStr">
        <is>
          <t>كلا الفترتين</t>
        </is>
      </c>
      <c r="E762" t="n">
        <v>3018</v>
      </c>
      <c r="F762" t="b">
        <v>0</v>
      </c>
      <c r="G762">
        <f>HYPERLINK("https://www.google.com/maps/search/?api=1&amp;query=24.69686076,46.59503573", "View Map")</f>
        <v/>
      </c>
    </row>
    <row r="763">
      <c r="A763" t="inlineStr">
        <is>
          <t xml:space="preserve">   مسجدالجامع الجديدبالملز .</t>
        </is>
      </c>
      <c r="B763" t="inlineStr">
        <is>
          <t>KFM2020660229334</t>
        </is>
      </c>
      <c r="C763" t="inlineStr">
        <is>
          <t>الرياض</t>
        </is>
      </c>
      <c r="D763" t="inlineStr">
        <is>
          <t>كلا الفترتين</t>
        </is>
      </c>
      <c r="E763" t="n">
        <v>3008</v>
      </c>
      <c r="F763" t="b">
        <v>1</v>
      </c>
      <c r="G763">
        <f>HYPERLINK("https://www.google.com/maps/search/?api=1&amp;query=24.65812398,46.73017836", "View Map")</f>
        <v/>
      </c>
    </row>
    <row r="764">
      <c r="A764" t="inlineStr">
        <is>
          <t>هيئة تطوير بوابة الدرعيه .</t>
        </is>
      </c>
      <c r="B764" t="inlineStr">
        <is>
          <t>KFM2020660027828</t>
        </is>
      </c>
      <c r="C764" t="inlineStr">
        <is>
          <t>الدرعية</t>
        </is>
      </c>
      <c r="D764" t="inlineStr">
        <is>
          <t>كلا الفترتين</t>
        </is>
      </c>
      <c r="E764" t="n">
        <v>3007</v>
      </c>
      <c r="F764" t="b">
        <v>0</v>
      </c>
      <c r="G764">
        <f>HYPERLINK("https://www.google.com/maps/search/?api=1&amp;query=24.74095,46.57136", "View Map")</f>
        <v/>
      </c>
    </row>
    <row r="765">
      <c r="A765" t="inlineStr">
        <is>
          <t>مسجد      عبدالله  بن رواحـــــه .</t>
        </is>
      </c>
      <c r="B765" t="inlineStr">
        <is>
          <t>KFM2020660177036</t>
        </is>
      </c>
      <c r="C765" t="inlineStr">
        <is>
          <t>الرياض</t>
        </is>
      </c>
      <c r="D765" t="inlineStr">
        <is>
          <t>كلا الفترتين</t>
        </is>
      </c>
      <c r="E765" t="n">
        <v>3007</v>
      </c>
      <c r="F765" t="b">
        <v>1</v>
      </c>
      <c r="G765">
        <f>HYPERLINK("https://www.google.com/maps/search/?api=1&amp;query=24.57478232,46.54426344", "View Map")</f>
        <v/>
      </c>
    </row>
    <row r="766">
      <c r="A766" t="inlineStr">
        <is>
          <t xml:space="preserve">   مسجدجامع شمال المربع .</t>
        </is>
      </c>
      <c r="B766" t="inlineStr">
        <is>
          <t>KFM2020660209652</t>
        </is>
      </c>
      <c r="C766" t="inlineStr">
        <is>
          <t>الرياض</t>
        </is>
      </c>
      <c r="D766" t="inlineStr">
        <is>
          <t>كلا الفترتين</t>
        </is>
      </c>
      <c r="E766" t="n">
        <v>3007</v>
      </c>
      <c r="F766" t="b">
        <v>0</v>
      </c>
      <c r="G766">
        <f>HYPERLINK("https://www.google.com/maps/search/?api=1&amp;query=24.66795984,46.70400926", "View Map")</f>
        <v/>
      </c>
    </row>
    <row r="767">
      <c r="A767" t="inlineStr">
        <is>
          <t>مسجد الاميرمنصور بن عبد العزيز .</t>
        </is>
      </c>
      <c r="B767" t="inlineStr">
        <is>
          <t>KFM2020660203004</t>
        </is>
      </c>
      <c r="C767" t="inlineStr">
        <is>
          <t>الرياض</t>
        </is>
      </c>
      <c r="D767" t="inlineStr">
        <is>
          <t>كلا الفترتين</t>
        </is>
      </c>
      <c r="E767" t="n">
        <v>3003</v>
      </c>
      <c r="F767" t="b">
        <v>1</v>
      </c>
      <c r="G767">
        <f>HYPERLINK("https://www.google.com/maps/search/?api=1&amp;query=24.63504009,46.71130222", "View Map")</f>
        <v/>
      </c>
    </row>
    <row r="768">
      <c r="A768" t="inlineStr">
        <is>
          <t xml:space="preserve">   مسجد اللحيدان .</t>
        </is>
      </c>
      <c r="B768" t="inlineStr">
        <is>
          <t>KFM2020660170792</t>
        </is>
      </c>
      <c r="C768" t="inlineStr">
        <is>
          <t>الرياض</t>
        </is>
      </c>
      <c r="D768" t="inlineStr">
        <is>
          <t>كلا الفترتين</t>
        </is>
      </c>
      <c r="E768" t="n">
        <v>3002</v>
      </c>
      <c r="F768" t="b">
        <v>1</v>
      </c>
      <c r="G768">
        <f>HYPERLINK("https://www.google.com/maps/search/?api=1&amp;query=24.754226,46.77333975", "View Map")</f>
        <v/>
      </c>
    </row>
    <row r="769">
      <c r="A769" t="inlineStr">
        <is>
          <t xml:space="preserve">   مسجدناصرابراهيم التمامي .</t>
        </is>
      </c>
      <c r="B769" t="inlineStr">
        <is>
          <t>KFM2020660197722</t>
        </is>
      </c>
      <c r="C769" t="inlineStr">
        <is>
          <t>الرياض</t>
        </is>
      </c>
      <c r="D769" t="inlineStr">
        <is>
          <t>كلا الفترتين</t>
        </is>
      </c>
      <c r="E769" t="n">
        <v>3001</v>
      </c>
      <c r="F769" t="b">
        <v>1</v>
      </c>
      <c r="G769">
        <f>HYPERLINK("https://www.google.com/maps/search/?api=1&amp;query=24.64057863,46.5964005", "View Map")</f>
        <v/>
      </c>
    </row>
    <row r="770">
      <c r="A770" t="inlineStr">
        <is>
          <t xml:space="preserve">   مسجد حي النظيم .</t>
        </is>
      </c>
      <c r="B770" t="inlineStr">
        <is>
          <t>KFM2020660191587</t>
        </is>
      </c>
      <c r="C770" t="inlineStr">
        <is>
          <t>الرياض</t>
        </is>
      </c>
      <c r="D770" t="inlineStr">
        <is>
          <t>كلا الفترتين</t>
        </is>
      </c>
      <c r="E770" t="n">
        <v>3000</v>
      </c>
      <c r="F770" t="b">
        <v>1</v>
      </c>
      <c r="G770">
        <f>HYPERLINK("https://www.google.com/maps/search/?api=1&amp;query=24.79919183,46.90345477", "View Map")</f>
        <v/>
      </c>
    </row>
    <row r="771">
      <c r="A771" t="inlineStr">
        <is>
          <t xml:space="preserve"> مسجدحىالنخيل الشئون الاسلاميه والاوقاف .</t>
        </is>
      </c>
      <c r="B771" t="inlineStr">
        <is>
          <t>KFM2020660012277</t>
        </is>
      </c>
      <c r="C771" t="inlineStr">
        <is>
          <t>الرياض</t>
        </is>
      </c>
      <c r="D771" t="inlineStr">
        <is>
          <t>كلا الفترتين</t>
        </is>
      </c>
      <c r="E771" t="n">
        <v>2999</v>
      </c>
      <c r="F771" t="b">
        <v>0</v>
      </c>
      <c r="G771">
        <f>HYPERLINK("https://www.google.com/maps/search/?api=1&amp;query=24.7340109,46.6118178", "View Map")</f>
        <v/>
      </c>
    </row>
    <row r="772">
      <c r="A772" t="inlineStr">
        <is>
          <t xml:space="preserve">   مسجد حى النور .</t>
        </is>
      </c>
      <c r="B772" t="inlineStr">
        <is>
          <t>KFM2120660301501</t>
        </is>
      </c>
      <c r="C772" t="inlineStr">
        <is>
          <t>الرياض</t>
        </is>
      </c>
      <c r="D772" t="inlineStr">
        <is>
          <t>كلا الفترتين</t>
        </is>
      </c>
      <c r="E772" t="n">
        <v>2993</v>
      </c>
      <c r="F772" t="b">
        <v>1</v>
      </c>
      <c r="G772">
        <f>HYPERLINK("https://www.google.com/maps/search/?api=1&amp;query=24.6494479,46.76635901", "View Map")</f>
        <v/>
      </c>
    </row>
    <row r="773">
      <c r="A773" t="inlineStr">
        <is>
          <t>ﻤﺴﺎﺠﺩ ﺍﻟﺨﻤﺎﺴﻴﻥ .</t>
        </is>
      </c>
      <c r="B773" t="inlineStr">
        <is>
          <t>SMR2320661030815</t>
        </is>
      </c>
      <c r="C773" t="inlineStr">
        <is>
          <t>الرياض</t>
        </is>
      </c>
      <c r="D773" t="inlineStr">
        <is>
          <t>كلا الفترتين</t>
        </is>
      </c>
      <c r="E773" t="n">
        <v>2992</v>
      </c>
      <c r="F773" t="b">
        <v>1</v>
      </c>
      <c r="G773">
        <f>HYPERLINK("https://www.google.com/maps/search/?api=1&amp;query=0.0,0.0", "View Map")</f>
        <v/>
      </c>
    </row>
    <row r="774">
      <c r="A774" t="inlineStr">
        <is>
          <t xml:space="preserve">   مساجد .</t>
        </is>
      </c>
      <c r="B774" t="inlineStr">
        <is>
          <t>KFM2020660129784</t>
        </is>
      </c>
      <c r="C774" t="inlineStr">
        <is>
          <t>الرياض</t>
        </is>
      </c>
      <c r="D774" t="inlineStr">
        <is>
          <t>كلا الفترتين</t>
        </is>
      </c>
      <c r="E774" t="n">
        <v>2990</v>
      </c>
      <c r="F774" t="b">
        <v>1</v>
      </c>
      <c r="G774">
        <f>HYPERLINK("https://www.google.com/maps/search/?api=1&amp;query=24.80272639,46.87163955", "View Map")</f>
        <v/>
      </c>
    </row>
    <row r="775">
      <c r="A775" t="inlineStr">
        <is>
          <t xml:space="preserve">   جامع ابوبكر الصديق .</t>
        </is>
      </c>
      <c r="B775" t="inlineStr">
        <is>
          <t>KFM2020660012592</t>
        </is>
      </c>
      <c r="C775" t="inlineStr">
        <is>
          <t>الرياض</t>
        </is>
      </c>
      <c r="D775" t="inlineStr">
        <is>
          <t>كلا الفترتين</t>
        </is>
      </c>
      <c r="E775" t="n">
        <v>2988</v>
      </c>
      <c r="F775" t="b">
        <v>1</v>
      </c>
      <c r="G775">
        <f>HYPERLINK("https://www.google.com/maps/search/?api=1&amp;query=24.81092439,46.85793814", "View Map")</f>
        <v/>
      </c>
    </row>
    <row r="776">
      <c r="A776" t="inlineStr">
        <is>
          <t xml:space="preserve">   مسجد عبدالهادي الصفوق .</t>
        </is>
      </c>
      <c r="B776" t="inlineStr">
        <is>
          <t>KFM2120660246741</t>
        </is>
      </c>
      <c r="C776" t="inlineStr">
        <is>
          <t>الرياض</t>
        </is>
      </c>
      <c r="D776" t="inlineStr">
        <is>
          <t>كلا الفترتين</t>
        </is>
      </c>
      <c r="E776" t="n">
        <v>2985</v>
      </c>
      <c r="F776" t="b">
        <v>1</v>
      </c>
      <c r="G776">
        <f>HYPERLINK("https://www.google.com/maps/search/?api=1&amp;query=24.78350463,46.66439239", "View Map")</f>
        <v/>
      </c>
    </row>
    <row r="777">
      <c r="A777" t="inlineStr">
        <is>
          <t xml:space="preserve">   مسجد الدار البيضاء .</t>
        </is>
      </c>
      <c r="B777" t="inlineStr">
        <is>
          <t>KFM2020660162799</t>
        </is>
      </c>
      <c r="C777" t="inlineStr">
        <is>
          <t>الرياض</t>
        </is>
      </c>
      <c r="D777" t="inlineStr">
        <is>
          <t>كلا الفترتين</t>
        </is>
      </c>
      <c r="E777" t="n">
        <v>2983</v>
      </c>
      <c r="F777" t="b">
        <v>0</v>
      </c>
      <c r="G777">
        <f>HYPERLINK("https://www.google.com/maps/search/?api=1&amp;query=24.55822512,46.78889101", "View Map")</f>
        <v/>
      </c>
    </row>
    <row r="778">
      <c r="A778" t="inlineStr">
        <is>
          <t>مسجد .</t>
        </is>
      </c>
      <c r="B778" t="inlineStr">
        <is>
          <t>KFM2020660027770</t>
        </is>
      </c>
      <c r="C778" t="inlineStr">
        <is>
          <t>الدرعية</t>
        </is>
      </c>
      <c r="D778" t="inlineStr">
        <is>
          <t>كلا الفترتين</t>
        </is>
      </c>
      <c r="E778" t="n">
        <v>2973</v>
      </c>
      <c r="F778" t="b">
        <v>0</v>
      </c>
      <c r="G778">
        <f>HYPERLINK("https://www.google.com/maps/search/?api=1&amp;query=24.74338814,46.51367712", "View Map")</f>
        <v/>
      </c>
    </row>
    <row r="779">
      <c r="A779" t="inlineStr">
        <is>
          <t xml:space="preserve">   مسجد اليرموك .</t>
        </is>
      </c>
      <c r="B779" t="inlineStr">
        <is>
          <t>KFM2020660040865</t>
        </is>
      </c>
      <c r="C779" t="inlineStr">
        <is>
          <t>الرياض</t>
        </is>
      </c>
      <c r="D779" t="inlineStr">
        <is>
          <t>كلا الفترتين</t>
        </is>
      </c>
      <c r="E779" t="n">
        <v>2973</v>
      </c>
      <c r="F779" t="b">
        <v>0</v>
      </c>
      <c r="G779">
        <f>HYPERLINK("https://www.google.com/maps/search/?api=1&amp;query=24.80523134,46.79547907", "View Map")</f>
        <v/>
      </c>
    </row>
    <row r="780">
      <c r="A780" t="inlineStr">
        <is>
          <t xml:space="preserve">   وزاره الشؤون الاسلاميه -مسجدالفلاح .</t>
        </is>
      </c>
      <c r="B780" t="inlineStr">
        <is>
          <t>KFM2020660211499</t>
        </is>
      </c>
      <c r="C780" t="inlineStr">
        <is>
          <t>الرياض</t>
        </is>
      </c>
      <c r="D780" t="inlineStr">
        <is>
          <t>كلا الفترتين</t>
        </is>
      </c>
      <c r="E780" t="n">
        <v>2971</v>
      </c>
      <c r="F780" t="b">
        <v>1</v>
      </c>
      <c r="G780">
        <f>HYPERLINK("https://www.google.com/maps/search/?api=1&amp;query=24.80549012,46.70952652", "View Map")</f>
        <v/>
      </c>
    </row>
    <row r="781">
      <c r="A781" t="inlineStr">
        <is>
          <t>وزاره      الشئون    مسجد ال  مقرن .</t>
        </is>
      </c>
      <c r="B781" t="inlineStr">
        <is>
          <t>KFM2020660208077</t>
        </is>
      </c>
      <c r="C781" t="inlineStr">
        <is>
          <t>الرياض</t>
        </is>
      </c>
      <c r="D781" t="inlineStr">
        <is>
          <t>كلا الفترتين</t>
        </is>
      </c>
      <c r="E781" t="n">
        <v>2968</v>
      </c>
      <c r="F781" t="b">
        <v>1</v>
      </c>
      <c r="G781">
        <f>HYPERLINK("https://www.google.com/maps/search/?api=1&amp;query=24.57374243,46.59319472", "View Map")</f>
        <v/>
      </c>
    </row>
    <row r="782">
      <c r="A782" t="inlineStr">
        <is>
          <t xml:space="preserve">   مسجد      الياسمين  . .</t>
        </is>
      </c>
      <c r="B782" t="inlineStr">
        <is>
          <t>KFM2020660104277</t>
        </is>
      </c>
      <c r="C782" t="inlineStr">
        <is>
          <t>الرياض</t>
        </is>
      </c>
      <c r="D782" t="inlineStr">
        <is>
          <t>كلا الفترتين</t>
        </is>
      </c>
      <c r="E782" t="n">
        <v>2968</v>
      </c>
      <c r="F782" t="b">
        <v>1</v>
      </c>
      <c r="G782">
        <f>HYPERLINK("https://www.google.com/maps/search/?api=1&amp;query=24.81908134,46.6605319", "View Map")</f>
        <v/>
      </c>
    </row>
    <row r="783">
      <c r="A783" t="inlineStr">
        <is>
          <t>ﻤﺴﺎﺠﺩ .</t>
        </is>
      </c>
      <c r="B783" t="inlineStr">
        <is>
          <t>KFM2020660213540</t>
        </is>
      </c>
      <c r="C783" t="inlineStr">
        <is>
          <t>الرياض</t>
        </is>
      </c>
      <c r="D783" t="inlineStr">
        <is>
          <t>كلا الفترتين</t>
        </is>
      </c>
      <c r="E783" t="n">
        <v>2968</v>
      </c>
      <c r="F783" t="b">
        <v>1</v>
      </c>
      <c r="G783">
        <f>HYPERLINK("https://www.google.com/maps/search/?api=1&amp;query=24.86500454,46.64300251", "View Map")</f>
        <v/>
      </c>
    </row>
    <row r="784">
      <c r="A784" t="inlineStr">
        <is>
          <t xml:space="preserve">    مسجد      المقبل .</t>
        </is>
      </c>
      <c r="B784" t="inlineStr">
        <is>
          <t>KFM2020660057168</t>
        </is>
      </c>
      <c r="C784" t="inlineStr">
        <is>
          <t>الرياض</t>
        </is>
      </c>
      <c r="D784" t="inlineStr">
        <is>
          <t>كلا الفترتين</t>
        </is>
      </c>
      <c r="E784" t="n">
        <v>2959</v>
      </c>
      <c r="F784" t="b">
        <v>1</v>
      </c>
      <c r="G784">
        <f>HYPERLINK("https://www.google.com/maps/search/?api=1&amp;query=24.75578177,46.74512079", "View Map")</f>
        <v/>
      </c>
    </row>
    <row r="785">
      <c r="A785" t="inlineStr">
        <is>
          <t xml:space="preserve">      مسجد فهد العويضه ومرافقه .</t>
        </is>
      </c>
      <c r="B785" t="inlineStr">
        <is>
          <t>KFM2020660169616</t>
        </is>
      </c>
      <c r="C785" t="inlineStr">
        <is>
          <t>الرياض</t>
        </is>
      </c>
      <c r="D785" t="inlineStr">
        <is>
          <t>كلا الفترتين</t>
        </is>
      </c>
      <c r="E785" t="n">
        <v>2956</v>
      </c>
      <c r="F785" t="b">
        <v>1</v>
      </c>
      <c r="G785">
        <f>HYPERLINK("https://www.google.com/maps/search/?api=1&amp;query=24.75029505,46.72127648", "View Map")</f>
        <v/>
      </c>
    </row>
    <row r="786">
      <c r="A786" t="inlineStr">
        <is>
          <t xml:space="preserve">   مسجد حي الروابي .</t>
        </is>
      </c>
      <c r="B786" t="inlineStr">
        <is>
          <t>KFM2020660193634</t>
        </is>
      </c>
      <c r="C786" t="inlineStr">
        <is>
          <t>الرياض</t>
        </is>
      </c>
      <c r="D786" t="inlineStr">
        <is>
          <t>كلا الفترتين</t>
        </is>
      </c>
      <c r="E786" t="n">
        <v>2956</v>
      </c>
      <c r="F786" t="b">
        <v>1</v>
      </c>
      <c r="G786">
        <f>HYPERLINK("https://www.google.com/maps/search/?api=1&amp;query=24.69013529,46.78902388", "View Map")</f>
        <v/>
      </c>
    </row>
    <row r="787">
      <c r="A787" t="inlineStr">
        <is>
          <t xml:space="preserve">   جامع الملك عبدالعزيز .</t>
        </is>
      </c>
      <c r="B787" t="inlineStr">
        <is>
          <t>KFM2020660051198</t>
        </is>
      </c>
      <c r="C787" t="inlineStr">
        <is>
          <t>الرياض</t>
        </is>
      </c>
      <c r="D787" t="inlineStr">
        <is>
          <t>كلا الفترتين</t>
        </is>
      </c>
      <c r="E787" t="n">
        <v>2950</v>
      </c>
      <c r="F787" t="b">
        <v>1</v>
      </c>
      <c r="G787">
        <f>HYPERLINK("https://www.google.com/maps/search/?api=1&amp;query=24.68834519,46.68858984", "View Map")</f>
        <v/>
      </c>
    </row>
    <row r="788">
      <c r="A788" t="inlineStr">
        <is>
          <t xml:space="preserve">   مسجد الفداء .</t>
        </is>
      </c>
      <c r="B788" t="inlineStr">
        <is>
          <t>KFM2120660273783</t>
        </is>
      </c>
      <c r="C788" t="inlineStr">
        <is>
          <t>الرياض</t>
        </is>
      </c>
      <c r="D788" t="inlineStr">
        <is>
          <t>كلا الفترتين</t>
        </is>
      </c>
      <c r="E788" t="n">
        <v>2949</v>
      </c>
      <c r="F788" t="b">
        <v>1</v>
      </c>
      <c r="G788">
        <f>HYPERLINK("https://www.google.com/maps/search/?api=1&amp;query=24.67257506,46.78733377", "View Map")</f>
        <v/>
      </c>
    </row>
    <row r="789">
      <c r="A789" t="inlineStr">
        <is>
          <t>مساجد .</t>
        </is>
      </c>
      <c r="B789" t="inlineStr">
        <is>
          <t>KFM2120660262525</t>
        </is>
      </c>
      <c r="C789" t="inlineStr">
        <is>
          <t>الرياض</t>
        </is>
      </c>
      <c r="D789" t="inlineStr">
        <is>
          <t>كلا الفترتين</t>
        </is>
      </c>
      <c r="E789" t="n">
        <v>2945</v>
      </c>
      <c r="F789" t="b">
        <v>1</v>
      </c>
      <c r="G789">
        <f>HYPERLINK("https://www.google.com/maps/search/?api=1&amp;query=24.62372231,46.51273174", "View Map")</f>
        <v/>
      </c>
    </row>
    <row r="790">
      <c r="A790" t="inlineStr">
        <is>
          <t xml:space="preserve">   مساجد .</t>
        </is>
      </c>
      <c r="B790" t="inlineStr">
        <is>
          <t>KFM2020660195114</t>
        </is>
      </c>
      <c r="C790" t="inlineStr">
        <is>
          <t>الرياض</t>
        </is>
      </c>
      <c r="D790" t="inlineStr">
        <is>
          <t>كلا الفترتين</t>
        </is>
      </c>
      <c r="E790" t="n">
        <v>2944</v>
      </c>
      <c r="F790" t="b">
        <v>1</v>
      </c>
      <c r="G790">
        <f>HYPERLINK("https://www.google.com/maps/search/?api=1&amp;query=24.81463592,46.9093383", "View Map")</f>
        <v/>
      </c>
    </row>
    <row r="791">
      <c r="A791" t="inlineStr">
        <is>
          <t xml:space="preserve">   المسجد الشمالى الشرقى .</t>
        </is>
      </c>
      <c r="B791" t="inlineStr">
        <is>
          <t>KFM2120660268784</t>
        </is>
      </c>
      <c r="C791" t="inlineStr">
        <is>
          <t>الرياض</t>
        </is>
      </c>
      <c r="D791" t="inlineStr">
        <is>
          <t>كلا الفترتين</t>
        </is>
      </c>
      <c r="E791" t="n">
        <v>2933</v>
      </c>
      <c r="F791" t="b">
        <v>0</v>
      </c>
      <c r="G791">
        <f>HYPERLINK("https://www.google.com/maps/search/?api=1&amp;query=24.56704379,46.76661186", "View Map")</f>
        <v/>
      </c>
    </row>
    <row r="792">
      <c r="A792" t="inlineStr">
        <is>
          <t xml:space="preserve">         مسجد نبي الرحمه .</t>
        </is>
      </c>
      <c r="B792" t="inlineStr">
        <is>
          <t>KFM2020660174515</t>
        </is>
      </c>
      <c r="C792" t="inlineStr">
        <is>
          <t>الرياض</t>
        </is>
      </c>
      <c r="D792" t="inlineStr">
        <is>
          <t>كلا الفترتين</t>
        </is>
      </c>
      <c r="E792" t="n">
        <v>2931</v>
      </c>
      <c r="F792" t="b">
        <v>1</v>
      </c>
      <c r="G792">
        <f>HYPERLINK("https://www.google.com/maps/search/?api=1&amp;query=24.79017132,46.78155278", "View Map")</f>
        <v/>
      </c>
    </row>
    <row r="793">
      <c r="A793" t="inlineStr">
        <is>
          <t xml:space="preserve">   مسجد الشايع .</t>
        </is>
      </c>
      <c r="B793" t="inlineStr">
        <is>
          <t>KFM2120660242239</t>
        </is>
      </c>
      <c r="C793" t="inlineStr">
        <is>
          <t>الرياض</t>
        </is>
      </c>
      <c r="D793" t="inlineStr">
        <is>
          <t>كلا الفترتين</t>
        </is>
      </c>
      <c r="E793" t="n">
        <v>2931</v>
      </c>
      <c r="F793" t="b">
        <v>0</v>
      </c>
      <c r="G793">
        <f>HYPERLINK("https://www.google.com/maps/search/?api=1&amp;query=24.69966945,46.76617788", "View Map")</f>
        <v/>
      </c>
    </row>
    <row r="794">
      <c r="A794" t="inlineStr">
        <is>
          <t xml:space="preserve">   مسجد حى النزهه .</t>
        </is>
      </c>
      <c r="B794" t="inlineStr">
        <is>
          <t>KFM2020660130014</t>
        </is>
      </c>
      <c r="C794" t="inlineStr">
        <is>
          <t>الرياض</t>
        </is>
      </c>
      <c r="D794" t="inlineStr">
        <is>
          <t>كلا الفترتين</t>
        </is>
      </c>
      <c r="E794" t="n">
        <v>2923</v>
      </c>
      <c r="F794" t="b">
        <v>0</v>
      </c>
      <c r="G794">
        <f>HYPERLINK("https://www.google.com/maps/search/?api=1&amp;query=24.75411,46.71576", "View Map")</f>
        <v/>
      </c>
    </row>
    <row r="795">
      <c r="A795" t="inlineStr">
        <is>
          <t xml:space="preserve">   مسجد الشريم .</t>
        </is>
      </c>
      <c r="B795" t="inlineStr">
        <is>
          <t>KFM2020660057178</t>
        </is>
      </c>
      <c r="C795" t="inlineStr">
        <is>
          <t>الرياض</t>
        </is>
      </c>
      <c r="D795" t="inlineStr">
        <is>
          <t>كلا الفترتين</t>
        </is>
      </c>
      <c r="E795" t="n">
        <v>2921</v>
      </c>
      <c r="F795" t="b">
        <v>0</v>
      </c>
      <c r="G795">
        <f>HYPERLINK("https://www.google.com/maps/search/?api=1&amp;query=24.75281494,46.8119573", "View Map")</f>
        <v/>
      </c>
    </row>
    <row r="796">
      <c r="A796" t="inlineStr">
        <is>
          <t xml:space="preserve">   مسجد مانع الجهني .</t>
        </is>
      </c>
      <c r="B796" t="inlineStr">
        <is>
          <t>KFM2020660173032</t>
        </is>
      </c>
      <c r="C796" t="inlineStr">
        <is>
          <t>الرياض</t>
        </is>
      </c>
      <c r="D796" t="inlineStr">
        <is>
          <t>كلا الفترتين</t>
        </is>
      </c>
      <c r="E796" t="n">
        <v>2921</v>
      </c>
      <c r="F796" t="b">
        <v>1</v>
      </c>
      <c r="G796">
        <f>HYPERLINK("https://www.google.com/maps/search/?api=1&amp;query=24.7835667,46.71021498", "View Map")</f>
        <v/>
      </c>
    </row>
    <row r="797">
      <c r="A797" t="inlineStr">
        <is>
          <t>ﻤﺴﺎﺠﺩ .</t>
        </is>
      </c>
      <c r="B797" t="inlineStr">
        <is>
          <t>KFM2020660202796</t>
        </is>
      </c>
      <c r="C797" t="inlineStr">
        <is>
          <t>الرياض</t>
        </is>
      </c>
      <c r="D797" t="inlineStr">
        <is>
          <t>كلا الفترتين</t>
        </is>
      </c>
      <c r="E797" t="n">
        <v>2921</v>
      </c>
      <c r="F797" t="b">
        <v>1</v>
      </c>
      <c r="G797">
        <f>HYPERLINK("https://www.google.com/maps/search/?api=1&amp;query=24.78781431,46.60127892", "View Map")</f>
        <v/>
      </c>
    </row>
    <row r="798">
      <c r="A798" t="inlineStr">
        <is>
          <t>ﻤﺴﺎﺠﺩ .</t>
        </is>
      </c>
      <c r="B798" t="inlineStr">
        <is>
          <t>KFM2020660207641</t>
        </is>
      </c>
      <c r="C798" t="inlineStr">
        <is>
          <t>الدرعية</t>
        </is>
      </c>
      <c r="D798" t="inlineStr">
        <is>
          <t>كلا الفترتين</t>
        </is>
      </c>
      <c r="E798" t="n">
        <v>2920</v>
      </c>
      <c r="F798" t="b">
        <v>1</v>
      </c>
      <c r="G798">
        <f>HYPERLINK("https://www.google.com/maps/search/?api=1&amp;query=24.755,46.5667", "View Map")</f>
        <v/>
      </c>
    </row>
    <row r="799">
      <c r="A799" t="inlineStr">
        <is>
          <t>ﻤﺴﺎﺠﺩ .</t>
        </is>
      </c>
      <c r="B799" t="inlineStr">
        <is>
          <t>SMR2220621002032</t>
        </is>
      </c>
      <c r="C799" t="inlineStr">
        <is>
          <t>الرياض</t>
        </is>
      </c>
      <c r="D799" t="inlineStr">
        <is>
          <t>كلا الفترتين</t>
        </is>
      </c>
      <c r="E799" t="n">
        <v>2915</v>
      </c>
      <c r="F799" t="b">
        <v>0</v>
      </c>
      <c r="G799">
        <f>HYPERLINK("https://www.google.com/maps/search/?api=1&amp;query=24.8007155,46.72669667", "View Map")</f>
        <v/>
      </c>
    </row>
    <row r="800">
      <c r="A800" t="inlineStr">
        <is>
          <t>مسجد السويدي .</t>
        </is>
      </c>
      <c r="B800" t="inlineStr">
        <is>
          <t>KFM2020660060646</t>
        </is>
      </c>
      <c r="C800" t="inlineStr">
        <is>
          <t>الرياض</t>
        </is>
      </c>
      <c r="D800" t="inlineStr">
        <is>
          <t>كلا الفترتين</t>
        </is>
      </c>
      <c r="E800" t="n">
        <v>2913</v>
      </c>
      <c r="F800" t="b">
        <v>1</v>
      </c>
      <c r="G800">
        <f>HYPERLINK("https://www.google.com/maps/search/?api=1&amp;query=24.56821711,46.64846579", "View Map")</f>
        <v/>
      </c>
    </row>
    <row r="801">
      <c r="A801" t="inlineStr">
        <is>
          <t>ﻤﺴﺎﺠﺩ .</t>
        </is>
      </c>
      <c r="B801" t="inlineStr">
        <is>
          <t>KFM2020660043388</t>
        </is>
      </c>
      <c r="C801" t="inlineStr">
        <is>
          <t>الرياض</t>
        </is>
      </c>
      <c r="D801" t="inlineStr">
        <is>
          <t>كلا الفترتين</t>
        </is>
      </c>
      <c r="E801" t="n">
        <v>2908</v>
      </c>
      <c r="F801" t="b">
        <v>1</v>
      </c>
      <c r="G801">
        <f>HYPERLINK("https://www.google.com/maps/search/?api=1&amp;query=24.67755331,46.74678615", "View Map")</f>
        <v/>
      </c>
    </row>
    <row r="802">
      <c r="A802" t="inlineStr">
        <is>
          <t xml:space="preserve">   مسجد محمد بن ماجد .</t>
        </is>
      </c>
      <c r="B802" t="inlineStr">
        <is>
          <t>SMR2220661017943</t>
        </is>
      </c>
      <c r="C802" t="inlineStr">
        <is>
          <t>الرياض</t>
        </is>
      </c>
      <c r="D802" t="inlineStr">
        <is>
          <t>كلا الفترتين</t>
        </is>
      </c>
      <c r="E802" t="n">
        <v>2907</v>
      </c>
      <c r="F802" t="b">
        <v>0</v>
      </c>
      <c r="G802">
        <f>HYPERLINK("https://www.google.com/maps/search/?api=1&amp;query=24.75648514,46.66023933", "View Map")</f>
        <v/>
      </c>
    </row>
    <row r="803">
      <c r="A803" t="inlineStr">
        <is>
          <t xml:space="preserve">   مسجد سليمان محمد الجوير .</t>
        </is>
      </c>
      <c r="B803" t="inlineStr">
        <is>
          <t>KFM2020660195505</t>
        </is>
      </c>
      <c r="C803" t="inlineStr">
        <is>
          <t>الرياض</t>
        </is>
      </c>
      <c r="D803" t="inlineStr">
        <is>
          <t>كلا الفترتين</t>
        </is>
      </c>
      <c r="E803" t="n">
        <v>2905</v>
      </c>
      <c r="F803" t="b">
        <v>1</v>
      </c>
      <c r="G803">
        <f>HYPERLINK("https://www.google.com/maps/search/?api=1&amp;query=24.67867249,46.79019099", "View Map")</f>
        <v/>
      </c>
    </row>
    <row r="804">
      <c r="A804" t="inlineStr">
        <is>
          <t xml:space="preserve">   مسجد خالد بن الوليد .</t>
        </is>
      </c>
      <c r="B804" t="inlineStr">
        <is>
          <t>KFM2020660041926</t>
        </is>
      </c>
      <c r="C804" t="inlineStr">
        <is>
          <t>الرياض</t>
        </is>
      </c>
      <c r="D804" t="inlineStr">
        <is>
          <t>كلا الفترتين</t>
        </is>
      </c>
      <c r="E804" t="n">
        <v>2905</v>
      </c>
      <c r="F804" t="b">
        <v>1</v>
      </c>
      <c r="G804">
        <f>HYPERLINK("https://www.google.com/maps/search/?api=1&amp;query=24.71807026,46.83111536", "View Map")</f>
        <v/>
      </c>
    </row>
    <row r="805">
      <c r="A805" t="inlineStr">
        <is>
          <t>مساجد .</t>
        </is>
      </c>
      <c r="B805" t="inlineStr">
        <is>
          <t>KFM2020660211238</t>
        </is>
      </c>
      <c r="C805" t="inlineStr">
        <is>
          <t>الرياض</t>
        </is>
      </c>
      <c r="D805" t="inlineStr">
        <is>
          <t>كلا الفترتين</t>
        </is>
      </c>
      <c r="E805" t="n">
        <v>2904</v>
      </c>
      <c r="F805" t="b">
        <v>1</v>
      </c>
      <c r="G805">
        <f>HYPERLINK("https://www.google.com/maps/search/?api=1&amp;query=24.63850329,46.58642776", "View Map")</f>
        <v/>
      </c>
    </row>
    <row r="806">
      <c r="A806" t="inlineStr">
        <is>
          <t xml:space="preserve">   مسجد حي  اسكان الجزيره .</t>
        </is>
      </c>
      <c r="B806" t="inlineStr">
        <is>
          <t>KFM2120660271548</t>
        </is>
      </c>
      <c r="C806" t="inlineStr">
        <is>
          <t>الرياض</t>
        </is>
      </c>
      <c r="D806" t="inlineStr">
        <is>
          <t>كلا الفترتين</t>
        </is>
      </c>
      <c r="E806" t="n">
        <v>2899</v>
      </c>
      <c r="F806" t="b">
        <v>0</v>
      </c>
      <c r="G806">
        <f>HYPERLINK("https://www.google.com/maps/search/?api=1&amp;query=24.65704623,46.79380421", "View Map")</f>
        <v/>
      </c>
    </row>
    <row r="807">
      <c r="A807" t="inlineStr">
        <is>
          <t>مسجد ابوبكر الصديق .</t>
        </is>
      </c>
      <c r="B807" t="inlineStr">
        <is>
          <t>KFM2020660042285</t>
        </is>
      </c>
      <c r="C807" t="inlineStr">
        <is>
          <t>الرياض</t>
        </is>
      </c>
      <c r="D807" t="inlineStr">
        <is>
          <t>كلا الفترتين</t>
        </is>
      </c>
      <c r="E807" t="n">
        <v>2898</v>
      </c>
      <c r="F807" t="b">
        <v>1</v>
      </c>
      <c r="G807">
        <f>HYPERLINK("https://www.google.com/maps/search/?api=1&amp;query=24.57945465,46.60578049", "View Map")</f>
        <v/>
      </c>
    </row>
    <row r="808">
      <c r="A808" t="inlineStr">
        <is>
          <t xml:space="preserve">   مسجدالشيخ الشقحاء .</t>
        </is>
      </c>
      <c r="B808" t="inlineStr">
        <is>
          <t>KFM2020660208624</t>
        </is>
      </c>
      <c r="C808" t="inlineStr">
        <is>
          <t>الرياض</t>
        </is>
      </c>
      <c r="D808" t="inlineStr">
        <is>
          <t>كلا الفترتين</t>
        </is>
      </c>
      <c r="E808" t="n">
        <v>2895</v>
      </c>
      <c r="F808" t="b">
        <v>0</v>
      </c>
      <c r="G808">
        <f>HYPERLINK("https://www.google.com/maps/search/?api=1&amp;query=24.78854595,46.65750142", "View Map")</f>
        <v/>
      </c>
    </row>
    <row r="809">
      <c r="A809" t="inlineStr">
        <is>
          <t xml:space="preserve">   مسجد أنس  بن مالك .</t>
        </is>
      </c>
      <c r="B809" t="inlineStr">
        <is>
          <t>KFM2020660166586</t>
        </is>
      </c>
      <c r="C809" t="inlineStr">
        <is>
          <t>الرياض</t>
        </is>
      </c>
      <c r="D809" t="inlineStr">
        <is>
          <t>كلا الفترتين</t>
        </is>
      </c>
      <c r="E809" t="n">
        <v>2890</v>
      </c>
      <c r="F809" t="b">
        <v>1</v>
      </c>
      <c r="G809">
        <f>HYPERLINK("https://www.google.com/maps/search/?api=1&amp;query=24.76978416,46.77890583", "View Map")</f>
        <v/>
      </c>
    </row>
    <row r="810">
      <c r="A810" t="inlineStr">
        <is>
          <t>مسجد      الامير     بن عبدالعزيز .</t>
        </is>
      </c>
      <c r="B810" t="inlineStr">
        <is>
          <t>KFM2020660196444</t>
        </is>
      </c>
      <c r="C810" t="inlineStr">
        <is>
          <t>الرياض</t>
        </is>
      </c>
      <c r="D810" t="inlineStr">
        <is>
          <t>كلا الفترتين</t>
        </is>
      </c>
      <c r="E810" t="n">
        <v>2888</v>
      </c>
      <c r="F810" t="b">
        <v>1</v>
      </c>
      <c r="G810">
        <f>HYPERLINK("https://www.google.com/maps/search/?api=1&amp;query=24.57151923,46.6304919", "View Map")</f>
        <v/>
      </c>
    </row>
    <row r="811">
      <c r="A811" t="inlineStr">
        <is>
          <t xml:space="preserve">    مسجد  ال سعيدان .</t>
        </is>
      </c>
      <c r="B811" t="inlineStr">
        <is>
          <t>KFM2120660256805</t>
        </is>
      </c>
      <c r="C811" t="inlineStr">
        <is>
          <t>الرياض</t>
        </is>
      </c>
      <c r="D811" t="inlineStr">
        <is>
          <t>كلا الفترتين</t>
        </is>
      </c>
      <c r="E811" t="n">
        <v>2873</v>
      </c>
      <c r="F811" t="b">
        <v>1</v>
      </c>
      <c r="G811">
        <f>HYPERLINK("https://www.google.com/maps/search/?api=1&amp;query=24.7585534,46.65049362", "View Map")</f>
        <v/>
      </c>
    </row>
    <row r="812">
      <c r="A812" t="inlineStr">
        <is>
          <t>ﻤﺴﺎﺠﺩ .</t>
        </is>
      </c>
      <c r="B812" t="inlineStr">
        <is>
          <t>SMR2220661002529</t>
        </is>
      </c>
      <c r="C812" t="inlineStr">
        <is>
          <t>الرياض</t>
        </is>
      </c>
      <c r="D812" t="inlineStr">
        <is>
          <t>كلا الفترتين</t>
        </is>
      </c>
      <c r="E812" t="n">
        <v>2869</v>
      </c>
      <c r="F812" t="b">
        <v>1</v>
      </c>
      <c r="G812">
        <f>HYPERLINK("https://www.google.com/maps/search/?api=1&amp;query=24.8797477,46.60346858", "View Map")</f>
        <v/>
      </c>
    </row>
    <row r="813">
      <c r="A813" t="inlineStr">
        <is>
          <t xml:space="preserve">   مسجد محمد المرزوق .</t>
        </is>
      </c>
      <c r="B813" t="inlineStr">
        <is>
          <t>KFM2120660287437</t>
        </is>
      </c>
      <c r="C813" t="inlineStr">
        <is>
          <t>الرياض</t>
        </is>
      </c>
      <c r="D813" t="inlineStr">
        <is>
          <t>كلا الفترتين</t>
        </is>
      </c>
      <c r="E813" t="n">
        <v>2867</v>
      </c>
      <c r="F813" t="b">
        <v>0</v>
      </c>
      <c r="G813">
        <f>HYPERLINK("https://www.google.com/maps/search/?api=1&amp;query=24.78109607,46.68228071", "View Map")</f>
        <v/>
      </c>
    </row>
    <row r="814">
      <c r="A814" t="inlineStr">
        <is>
          <t xml:space="preserve">   مساجد .</t>
        </is>
      </c>
      <c r="B814" t="inlineStr">
        <is>
          <t>KFM2020660195084</t>
        </is>
      </c>
      <c r="C814" t="inlineStr">
        <is>
          <t>الرياض</t>
        </is>
      </c>
      <c r="D814" t="inlineStr">
        <is>
          <t>كلا الفترتين</t>
        </is>
      </c>
      <c r="E814" t="n">
        <v>2861</v>
      </c>
      <c r="F814" t="b">
        <v>0</v>
      </c>
      <c r="G814">
        <f>HYPERLINK("https://www.google.com/maps/search/?api=1&amp;query=24.80862069,46.87011952", "View Map")</f>
        <v/>
      </c>
    </row>
    <row r="815">
      <c r="A815" t="inlineStr">
        <is>
          <t xml:space="preserve">   مسجد      ال جري    - .</t>
        </is>
      </c>
      <c r="B815" t="inlineStr">
        <is>
          <t>KFM2120660299300</t>
        </is>
      </c>
      <c r="C815" t="inlineStr">
        <is>
          <t>الرياض</t>
        </is>
      </c>
      <c r="D815" t="inlineStr">
        <is>
          <t>كلا الفترتين</t>
        </is>
      </c>
      <c r="E815" t="n">
        <v>2859</v>
      </c>
      <c r="F815" t="b">
        <v>1</v>
      </c>
      <c r="G815">
        <f>HYPERLINK("https://www.google.com/maps/search/?api=1&amp;query=24.54885924,46.86622893", "View Map")</f>
        <v/>
      </c>
    </row>
    <row r="816">
      <c r="A816" t="inlineStr">
        <is>
          <t xml:space="preserve">      مسجد   محمد  حمد صالح المطوع .</t>
        </is>
      </c>
      <c r="B816" t="inlineStr">
        <is>
          <t>KFM2020660053285</t>
        </is>
      </c>
      <c r="C816" t="inlineStr">
        <is>
          <t>الرياض</t>
        </is>
      </c>
      <c r="D816" t="inlineStr">
        <is>
          <t>كلا الفترتين</t>
        </is>
      </c>
      <c r="E816" t="n">
        <v>2853</v>
      </c>
      <c r="F816" t="b">
        <v>1</v>
      </c>
      <c r="G816">
        <f>HYPERLINK("https://www.google.com/maps/search/?api=1&amp;query=24.75799798,46.75921396", "View Map")</f>
        <v/>
      </c>
    </row>
    <row r="817">
      <c r="A817" t="inlineStr">
        <is>
          <t xml:space="preserve">   مسجد العريني .</t>
        </is>
      </c>
      <c r="B817" t="inlineStr">
        <is>
          <t>KFM2020660201377</t>
        </is>
      </c>
      <c r="C817" t="inlineStr">
        <is>
          <t>الرياض</t>
        </is>
      </c>
      <c r="D817" t="inlineStr">
        <is>
          <t>كلا الفترتين</t>
        </is>
      </c>
      <c r="E817" t="n">
        <v>2852</v>
      </c>
      <c r="F817" t="b">
        <v>1</v>
      </c>
      <c r="G817">
        <f>HYPERLINK("https://www.google.com/maps/search/?api=1&amp;query=24.62934081,46.56368136", "View Map")</f>
        <v/>
      </c>
    </row>
    <row r="818">
      <c r="A818" t="inlineStr">
        <is>
          <t>مسجد/ الامير محمد بن سعود الكبير .</t>
        </is>
      </c>
      <c r="B818" t="inlineStr">
        <is>
          <t>KFM2020660198342</t>
        </is>
      </c>
      <c r="C818" t="inlineStr">
        <is>
          <t>الرياض</t>
        </is>
      </c>
      <c r="D818" t="inlineStr">
        <is>
          <t>كلا الفترتين</t>
        </is>
      </c>
      <c r="E818" t="n">
        <v>2848</v>
      </c>
      <c r="F818" t="b">
        <v>1</v>
      </c>
      <c r="G818">
        <f>HYPERLINK("https://www.google.com/maps/search/?api=1&amp;query=24.62124237,46.67574559", "View Map")</f>
        <v/>
      </c>
    </row>
    <row r="819">
      <c r="A819" t="inlineStr">
        <is>
          <t>مسجد شمال  شرق  الخزان .</t>
        </is>
      </c>
      <c r="B819" t="inlineStr">
        <is>
          <t>KFM2120660264474</t>
        </is>
      </c>
      <c r="C819" t="inlineStr">
        <is>
          <t>الرياض</t>
        </is>
      </c>
      <c r="D819" t="inlineStr">
        <is>
          <t>كلا الفترتين</t>
        </is>
      </c>
      <c r="E819" t="n">
        <v>2846</v>
      </c>
      <c r="F819" t="b">
        <v>1</v>
      </c>
      <c r="G819">
        <f>HYPERLINK("https://www.google.com/maps/search/?api=1&amp;query=24.57878307,46.6626018", "View Map")</f>
        <v/>
      </c>
    </row>
    <row r="820">
      <c r="A820" t="inlineStr">
        <is>
          <t xml:space="preserve">   مسجد ام الحمام شرق مجلس التعاون .</t>
        </is>
      </c>
      <c r="B820" t="inlineStr">
        <is>
          <t>KFM2020660175533</t>
        </is>
      </c>
      <c r="C820" t="inlineStr">
        <is>
          <t>الرياض</t>
        </is>
      </c>
      <c r="D820" t="inlineStr">
        <is>
          <t>كلا الفترتين</t>
        </is>
      </c>
      <c r="E820" t="n">
        <v>2843</v>
      </c>
      <c r="F820" t="b">
        <v>1</v>
      </c>
      <c r="G820">
        <f>HYPERLINK("https://www.google.com/maps/search/?api=1&amp;query=24.68403664,46.64290979", "View Map")</f>
        <v/>
      </c>
    </row>
    <row r="821">
      <c r="A821" t="inlineStr">
        <is>
          <t>ﻤﺴﺎﺠﺩ .</t>
        </is>
      </c>
      <c r="B821" t="inlineStr">
        <is>
          <t>KFM2020660137727</t>
        </is>
      </c>
      <c r="C821" t="inlineStr">
        <is>
          <t>الرياض</t>
        </is>
      </c>
      <c r="D821" t="inlineStr">
        <is>
          <t>كلا الفترتين</t>
        </is>
      </c>
      <c r="E821" t="n">
        <v>2841</v>
      </c>
      <c r="F821" t="b">
        <v>1</v>
      </c>
      <c r="G821">
        <f>HYPERLINK("https://www.google.com/maps/search/?api=1&amp;query=24.82519516,46.57665367", "View Map")</f>
        <v/>
      </c>
    </row>
    <row r="822">
      <c r="A822" t="inlineStr">
        <is>
          <t xml:space="preserve">   مسجد الحمودي .</t>
        </is>
      </c>
      <c r="B822" t="inlineStr">
        <is>
          <t>KFM2020660049861</t>
        </is>
      </c>
      <c r="C822" t="inlineStr">
        <is>
          <t>الرياض</t>
        </is>
      </c>
      <c r="D822" t="inlineStr">
        <is>
          <t>كلا الفترتين</t>
        </is>
      </c>
      <c r="E822" t="n">
        <v>2836</v>
      </c>
      <c r="F822" t="b">
        <v>0</v>
      </c>
      <c r="G822">
        <f>HYPERLINK("https://www.google.com/maps/search/?api=1&amp;query=24.71793968,46.65749159", "View Map")</f>
        <v/>
      </c>
    </row>
    <row r="823">
      <c r="A823" t="inlineStr">
        <is>
          <t>مسجد الداخله .</t>
        </is>
      </c>
      <c r="B823" t="inlineStr">
        <is>
          <t>KFM2020660098990</t>
        </is>
      </c>
      <c r="C823" t="inlineStr">
        <is>
          <t>الرياض</t>
        </is>
      </c>
      <c r="D823" t="inlineStr">
        <is>
          <t>كلا الفترتين</t>
        </is>
      </c>
      <c r="E823" t="n">
        <v>2835</v>
      </c>
      <c r="F823" t="b">
        <v>1</v>
      </c>
      <c r="G823">
        <f>HYPERLINK("https://www.google.com/maps/search/?api=1&amp;query=24.63100061,46.70569836", "View Map")</f>
        <v/>
      </c>
    </row>
    <row r="824">
      <c r="A824" t="inlineStr">
        <is>
          <t>مسجد بن فريان .</t>
        </is>
      </c>
      <c r="B824" t="inlineStr">
        <is>
          <t>KFM2020660013386</t>
        </is>
      </c>
      <c r="C824" t="inlineStr">
        <is>
          <t>الرياض</t>
        </is>
      </c>
      <c r="D824" t="inlineStr">
        <is>
          <t>كلا الفترتين</t>
        </is>
      </c>
      <c r="E824" t="n">
        <v>2834</v>
      </c>
      <c r="F824" t="b">
        <v>0</v>
      </c>
      <c r="G824">
        <f>HYPERLINK("https://www.google.com/maps/search/?api=1&amp;query=24.60253779,46.68690294", "View Map")</f>
        <v/>
      </c>
    </row>
    <row r="825">
      <c r="A825" t="inlineStr">
        <is>
          <t xml:space="preserve">     مسجدالحبيب .</t>
        </is>
      </c>
      <c r="B825" t="inlineStr">
        <is>
          <t>KFM2020660193114</t>
        </is>
      </c>
      <c r="C825" t="inlineStr">
        <is>
          <t>الرياض</t>
        </is>
      </c>
      <c r="D825" t="inlineStr">
        <is>
          <t>كلا الفترتين</t>
        </is>
      </c>
      <c r="E825" t="n">
        <v>2833</v>
      </c>
      <c r="F825" t="b">
        <v>1</v>
      </c>
      <c r="G825">
        <f>HYPERLINK("https://www.google.com/maps/search/?api=1&amp;query=24.78050639,46.63293172", "View Map")</f>
        <v/>
      </c>
    </row>
    <row r="826">
      <c r="A826" t="inlineStr">
        <is>
          <t xml:space="preserve">   مسجد حي الأندلس .</t>
        </is>
      </c>
      <c r="B826" t="inlineStr">
        <is>
          <t>KFM2020660139698</t>
        </is>
      </c>
      <c r="C826" t="inlineStr">
        <is>
          <t>الرياض</t>
        </is>
      </c>
      <c r="D826" t="inlineStr">
        <is>
          <t>كلا الفترتين</t>
        </is>
      </c>
      <c r="E826" t="n">
        <v>2832</v>
      </c>
      <c r="F826" t="b">
        <v>1</v>
      </c>
      <c r="G826">
        <f>HYPERLINK("https://www.google.com/maps/search/?api=1&amp;query=24.73894872,46.78983778", "View Map")</f>
        <v/>
      </c>
    </row>
    <row r="827">
      <c r="A827" t="inlineStr">
        <is>
          <t xml:space="preserve">   مسجد / عبدالله العامرى .</t>
        </is>
      </c>
      <c r="B827" t="inlineStr">
        <is>
          <t>KFM2020660206421</t>
        </is>
      </c>
      <c r="C827" t="inlineStr">
        <is>
          <t>الرياض</t>
        </is>
      </c>
      <c r="D827" t="inlineStr">
        <is>
          <t>كلا الفترتين</t>
        </is>
      </c>
      <c r="E827" t="n">
        <v>2829</v>
      </c>
      <c r="F827" t="b">
        <v>0</v>
      </c>
      <c r="G827">
        <f>HYPERLINK("https://www.google.com/maps/search/?api=1&amp;query=24.79119023,46.63903953", "View Map")</f>
        <v/>
      </c>
    </row>
    <row r="828">
      <c r="A828" t="inlineStr">
        <is>
          <t>مساجد .</t>
        </is>
      </c>
      <c r="B828" t="inlineStr">
        <is>
          <t>KFM2020660190352</t>
        </is>
      </c>
      <c r="C828" t="inlineStr">
        <is>
          <t>الرياض</t>
        </is>
      </c>
      <c r="D828" t="inlineStr">
        <is>
          <t>كلا الفترتين</t>
        </is>
      </c>
      <c r="E828" t="n">
        <v>2828</v>
      </c>
      <c r="F828" t="b">
        <v>1</v>
      </c>
      <c r="G828">
        <f>HYPERLINK("https://www.google.com/maps/search/?api=1&amp;query=24.8443878,46.66892788", "View Map")</f>
        <v/>
      </c>
    </row>
    <row r="829">
      <c r="A829" t="inlineStr">
        <is>
          <t xml:space="preserve">   مسجد الصفوة وبيتي الامام والمؤذن .</t>
        </is>
      </c>
      <c r="B829" t="inlineStr">
        <is>
          <t>KFM2020660031455</t>
        </is>
      </c>
      <c r="C829" t="inlineStr">
        <is>
          <t>الرياض</t>
        </is>
      </c>
      <c r="D829" t="inlineStr">
        <is>
          <t>كلا الفترتين</t>
        </is>
      </c>
      <c r="E829" t="n">
        <v>2824</v>
      </c>
      <c r="F829" t="b">
        <v>1</v>
      </c>
      <c r="G829">
        <f>HYPERLINK("https://www.google.com/maps/search/?api=1&amp;query=24.7014662,46.64439781", "View Map")</f>
        <v/>
      </c>
    </row>
    <row r="830">
      <c r="A830" t="inlineStr">
        <is>
          <t xml:space="preserve">   مسجد ابراهيم مسند المسند .</t>
        </is>
      </c>
      <c r="B830" t="inlineStr">
        <is>
          <t>KFM2020660012595</t>
        </is>
      </c>
      <c r="C830" t="inlineStr">
        <is>
          <t>الرياض</t>
        </is>
      </c>
      <c r="D830" t="inlineStr">
        <is>
          <t>كلا الفترتين</t>
        </is>
      </c>
      <c r="E830" t="n">
        <v>2821</v>
      </c>
      <c r="F830" t="b">
        <v>0</v>
      </c>
      <c r="G830">
        <f>HYPERLINK("https://www.google.com/maps/search/?api=1&amp;query=24.80796988,46.85509319", "View Map")</f>
        <v/>
      </c>
    </row>
    <row r="831">
      <c r="A831" t="inlineStr">
        <is>
          <t xml:space="preserve">   مسجد الشويب القديم .</t>
        </is>
      </c>
      <c r="B831" t="inlineStr">
        <is>
          <t>KFM2020660054725</t>
        </is>
      </c>
      <c r="C831" t="inlineStr">
        <is>
          <t>الرياض</t>
        </is>
      </c>
      <c r="D831" t="inlineStr">
        <is>
          <t>كلا الفترتين</t>
        </is>
      </c>
      <c r="E831" t="n">
        <v>2816</v>
      </c>
      <c r="F831" t="b">
        <v>1</v>
      </c>
      <c r="G831">
        <f>HYPERLINK("https://www.google.com/maps/search/?api=1&amp;query=24.65642147,46.74074333", "View Map")</f>
        <v/>
      </c>
    </row>
    <row r="832">
      <c r="A832" t="inlineStr">
        <is>
          <t xml:space="preserve">   مسجد      احمد      القبس .</t>
        </is>
      </c>
      <c r="B832" t="inlineStr">
        <is>
          <t>KFM2020660187667</t>
        </is>
      </c>
      <c r="C832" t="inlineStr">
        <is>
          <t>الرياض</t>
        </is>
      </c>
      <c r="D832" t="inlineStr">
        <is>
          <t>كلا الفترتين</t>
        </is>
      </c>
      <c r="E832" t="n">
        <v>2814</v>
      </c>
      <c r="F832" t="b">
        <v>1</v>
      </c>
      <c r="G832">
        <f>HYPERLINK("https://www.google.com/maps/search/?api=1&amp;query=24.63736913,46.55090118", "View Map")</f>
        <v/>
      </c>
    </row>
    <row r="833">
      <c r="A833" t="inlineStr">
        <is>
          <t xml:space="preserve">   مشروع الاسكان العاجل / المسجد .</t>
        </is>
      </c>
      <c r="B833" t="inlineStr">
        <is>
          <t>KFM2020660188427</t>
        </is>
      </c>
      <c r="C833" t="inlineStr">
        <is>
          <t>الرياض</t>
        </is>
      </c>
      <c r="D833" t="inlineStr">
        <is>
          <t>كلا الفترتين</t>
        </is>
      </c>
      <c r="E833" t="n">
        <v>2811</v>
      </c>
      <c r="F833" t="b">
        <v>1</v>
      </c>
      <c r="G833">
        <f>HYPERLINK("https://www.google.com/maps/search/?api=1&amp;query=24.67875292,46.70016142", "View Map")</f>
        <v/>
      </c>
    </row>
    <row r="834">
      <c r="A834" t="inlineStr">
        <is>
          <t xml:space="preserve">   وزارة الشئون الاسلامية والاوقاف .</t>
        </is>
      </c>
      <c r="B834" t="inlineStr">
        <is>
          <t>KFM2120660246993</t>
        </is>
      </c>
      <c r="C834" t="inlineStr">
        <is>
          <t>الرياض</t>
        </is>
      </c>
      <c r="D834" t="inlineStr">
        <is>
          <t>كلا الفترتين</t>
        </is>
      </c>
      <c r="E834" t="n">
        <v>2811</v>
      </c>
      <c r="F834" t="b">
        <v>1</v>
      </c>
      <c r="G834">
        <f>HYPERLINK("https://www.google.com/maps/search/?api=1&amp;query=24.72690278,46.70476956", "View Map")</f>
        <v/>
      </c>
    </row>
    <row r="835">
      <c r="A835" t="inlineStr">
        <is>
          <t>مسجد حي الدريهميه /المنجم .</t>
        </is>
      </c>
      <c r="B835" t="inlineStr">
        <is>
          <t>KFM2020660202602</t>
        </is>
      </c>
      <c r="C835" t="inlineStr">
        <is>
          <t>الرياض</t>
        </is>
      </c>
      <c r="D835" t="inlineStr">
        <is>
          <t>كلا الفترتين</t>
        </is>
      </c>
      <c r="E835" t="n">
        <v>2809</v>
      </c>
      <c r="F835" t="b">
        <v>0</v>
      </c>
      <c r="G835">
        <f>HYPERLINK("https://www.google.com/maps/search/?api=1&amp;query=24.58295174,46.69785351", "View Map")</f>
        <v/>
      </c>
    </row>
    <row r="836">
      <c r="A836" t="inlineStr">
        <is>
          <t xml:space="preserve">   مسجد اليسرى .</t>
        </is>
      </c>
      <c r="B836" t="inlineStr">
        <is>
          <t>KFM2020660192574</t>
        </is>
      </c>
      <c r="C836" t="inlineStr">
        <is>
          <t>الرياض</t>
        </is>
      </c>
      <c r="D836" t="inlineStr">
        <is>
          <t>كلا الفترتين</t>
        </is>
      </c>
      <c r="E836" t="n">
        <v>2809</v>
      </c>
      <c r="F836" t="b">
        <v>0</v>
      </c>
      <c r="G836">
        <f>HYPERLINK("https://www.google.com/maps/search/?api=1&amp;query=24.65144119,46.57818116", "View Map")</f>
        <v/>
      </c>
    </row>
    <row r="837">
      <c r="A837" t="inlineStr">
        <is>
          <t xml:space="preserve">   مساجد .</t>
        </is>
      </c>
      <c r="B837" t="inlineStr">
        <is>
          <t>SMR2220661000484</t>
        </is>
      </c>
      <c r="C837" t="inlineStr">
        <is>
          <t>الرياض</t>
        </is>
      </c>
      <c r="D837" t="inlineStr">
        <is>
          <t>كلا الفترتين</t>
        </is>
      </c>
      <c r="E837" t="n">
        <v>2807</v>
      </c>
      <c r="F837" t="b">
        <v>1</v>
      </c>
      <c r="G837">
        <f>HYPERLINK("https://www.google.com/maps/search/?api=1&amp;query=24.823577,46.734064", "View Map")</f>
        <v/>
      </c>
    </row>
    <row r="838">
      <c r="A838" t="inlineStr">
        <is>
          <t>مسجد      عبدالله    بن عمار .</t>
        </is>
      </c>
      <c r="B838" t="inlineStr">
        <is>
          <t>KFM2020660057777</t>
        </is>
      </c>
      <c r="C838" t="inlineStr">
        <is>
          <t>الرياض</t>
        </is>
      </c>
      <c r="D838" t="inlineStr">
        <is>
          <t>كلا الفترتين</t>
        </is>
      </c>
      <c r="E838" t="n">
        <v>2807</v>
      </c>
      <c r="F838" t="b">
        <v>0</v>
      </c>
      <c r="G838">
        <f>HYPERLINK("https://www.google.com/maps/search/?api=1&amp;query=24.57658581,46.61862011", "View Map")</f>
        <v/>
      </c>
    </row>
    <row r="839">
      <c r="A839" t="inlineStr">
        <is>
          <t xml:space="preserve">   مسجدحى الضباط .</t>
        </is>
      </c>
      <c r="B839" t="inlineStr">
        <is>
          <t>KFM2020660162708</t>
        </is>
      </c>
      <c r="C839" t="inlineStr">
        <is>
          <t>الرياض</t>
        </is>
      </c>
      <c r="D839" t="inlineStr">
        <is>
          <t>كلا الفترتين</t>
        </is>
      </c>
      <c r="E839" t="n">
        <v>2805</v>
      </c>
      <c r="F839" t="b">
        <v>1</v>
      </c>
      <c r="G839">
        <f>HYPERLINK("https://www.google.com/maps/search/?api=1&amp;query=24.67720409,46.72228396", "View Map")</f>
        <v/>
      </c>
    </row>
    <row r="840">
      <c r="A840" t="inlineStr">
        <is>
          <t xml:space="preserve">   مسجد جامع الملك عبدالعزيز .</t>
        </is>
      </c>
      <c r="B840" t="inlineStr">
        <is>
          <t>KFM2020660188675</t>
        </is>
      </c>
      <c r="C840" t="inlineStr">
        <is>
          <t>الرياض</t>
        </is>
      </c>
      <c r="D840" t="inlineStr">
        <is>
          <t>كلا الفترتين</t>
        </is>
      </c>
      <c r="E840" t="n">
        <v>2804</v>
      </c>
      <c r="F840" t="b">
        <v>1</v>
      </c>
      <c r="G840">
        <f>HYPERLINK("https://www.google.com/maps/search/?api=1&amp;query=24.64598,46.70929", "View Map")</f>
        <v/>
      </c>
    </row>
    <row r="841">
      <c r="A841" t="inlineStr">
        <is>
          <t xml:space="preserve">     وزارة الشئون الاسلامية والاوقاف .</t>
        </is>
      </c>
      <c r="B841" t="inlineStr">
        <is>
          <t>KFM2020660187948</t>
        </is>
      </c>
      <c r="C841" t="inlineStr">
        <is>
          <t>الرياض</t>
        </is>
      </c>
      <c r="D841" t="inlineStr">
        <is>
          <t>كلا الفترتين</t>
        </is>
      </c>
      <c r="E841" t="n">
        <v>2803</v>
      </c>
      <c r="F841" t="b">
        <v>1</v>
      </c>
      <c r="G841">
        <f>HYPERLINK("https://www.google.com/maps/search/?api=1&amp;query=24.82493525,46.60410168", "View Map")</f>
        <v/>
      </c>
    </row>
    <row r="842">
      <c r="A842" t="inlineStr">
        <is>
          <t>مسجد حى  بدر الجنوبى .</t>
        </is>
      </c>
      <c r="B842" t="inlineStr">
        <is>
          <t>KFM2020660013285</t>
        </is>
      </c>
      <c r="C842" t="inlineStr">
        <is>
          <t>الرياض</t>
        </is>
      </c>
      <c r="D842" t="inlineStr">
        <is>
          <t>كلا الفترتين</t>
        </is>
      </c>
      <c r="E842" t="n">
        <v>2801</v>
      </c>
      <c r="F842" t="b">
        <v>0</v>
      </c>
      <c r="G842">
        <f>HYPERLINK("https://www.google.com/maps/search/?api=1&amp;query=24.5947,46.685", "View Map")</f>
        <v/>
      </c>
    </row>
    <row r="843">
      <c r="A843" t="inlineStr">
        <is>
          <t>ﻤﺴﺎﺠﺩ .</t>
        </is>
      </c>
      <c r="B843" t="inlineStr">
        <is>
          <t>KFM2020660018865</t>
        </is>
      </c>
      <c r="C843" t="inlineStr">
        <is>
          <t>الرياض</t>
        </is>
      </c>
      <c r="D843" t="inlineStr">
        <is>
          <t>كلا الفترتين</t>
        </is>
      </c>
      <c r="E843" t="n">
        <v>2800</v>
      </c>
      <c r="F843" t="b">
        <v>1</v>
      </c>
      <c r="G843">
        <f>HYPERLINK("https://www.google.com/maps/search/?api=1&amp;query=24.8034611,46.84307362", "View Map")</f>
        <v/>
      </c>
    </row>
    <row r="844">
      <c r="A844" t="inlineStr">
        <is>
          <t>ﻭﺯﺍﺭﺓﺍﻟﺸﺌﻭﻥ ﺍﻻﺴﻼﻤﻴﺓﻭﺍﻻﻭﻗﺎﻑ .</t>
        </is>
      </c>
      <c r="B844" t="inlineStr">
        <is>
          <t>KFM2020660098728</t>
        </is>
      </c>
      <c r="C844" t="inlineStr">
        <is>
          <t>الرياض</t>
        </is>
      </c>
      <c r="D844" t="inlineStr">
        <is>
          <t>كلا الفترتين</t>
        </is>
      </c>
      <c r="E844" t="n">
        <v>2796</v>
      </c>
      <c r="F844" t="b">
        <v>1</v>
      </c>
      <c r="G844">
        <f>HYPERLINK("https://www.google.com/maps/search/?api=1&amp;query=24.57820144,46.51800233", "View Map")</f>
        <v/>
      </c>
    </row>
    <row r="845">
      <c r="A845" t="inlineStr">
        <is>
          <t xml:space="preserve">  مسجدوالدةالامير/ ماجد بن عبدالعزيز .</t>
        </is>
      </c>
      <c r="B845" t="inlineStr">
        <is>
          <t>KFM2120660299075</t>
        </is>
      </c>
      <c r="C845" t="inlineStr">
        <is>
          <t>الرياض</t>
        </is>
      </c>
      <c r="D845" t="inlineStr">
        <is>
          <t>كلا الفترتين</t>
        </is>
      </c>
      <c r="E845" t="n">
        <v>2795</v>
      </c>
      <c r="F845" t="b">
        <v>1</v>
      </c>
      <c r="G845">
        <f>HYPERLINK("https://www.google.com/maps/search/?api=1&amp;query=24.57357787,46.75189298", "View Map")</f>
        <v/>
      </c>
    </row>
    <row r="846">
      <c r="A846" t="inlineStr">
        <is>
          <t xml:space="preserve">   مسجد عبدالله بن جوهر بن سرهيد .</t>
        </is>
      </c>
      <c r="B846" t="inlineStr">
        <is>
          <t>KFM2020660197721</t>
        </is>
      </c>
      <c r="C846" t="inlineStr">
        <is>
          <t>الرياض</t>
        </is>
      </c>
      <c r="D846" t="inlineStr">
        <is>
          <t>كلا الفترتين</t>
        </is>
      </c>
      <c r="E846" t="n">
        <v>2795</v>
      </c>
      <c r="F846" t="b">
        <v>0</v>
      </c>
      <c r="G846">
        <f>HYPERLINK("https://www.google.com/maps/search/?api=1&amp;query=24.70136121,46.68967755", "View Map")</f>
        <v/>
      </c>
    </row>
    <row r="847">
      <c r="A847" t="inlineStr">
        <is>
          <t xml:space="preserve">   مسجد      ابراهيم   الشويعر .</t>
        </is>
      </c>
      <c r="B847" t="inlineStr">
        <is>
          <t>KFM2020660061503</t>
        </is>
      </c>
      <c r="C847" t="inlineStr">
        <is>
          <t>الرياض</t>
        </is>
      </c>
      <c r="D847" t="inlineStr">
        <is>
          <t>كلا الفترتين</t>
        </is>
      </c>
      <c r="E847" t="n">
        <v>2784</v>
      </c>
      <c r="F847" t="b">
        <v>1</v>
      </c>
      <c r="G847">
        <f>HYPERLINK("https://www.google.com/maps/search/?api=1&amp;query=24.78786,46.75252646", "View Map")</f>
        <v/>
      </c>
    </row>
    <row r="848">
      <c r="A848" t="inlineStr">
        <is>
          <t>ﻤﺴﺎﺠﺩ .</t>
        </is>
      </c>
      <c r="B848" t="inlineStr">
        <is>
          <t>KFM2020660178134</t>
        </is>
      </c>
      <c r="C848" t="inlineStr">
        <is>
          <t>الرياض</t>
        </is>
      </c>
      <c r="D848" t="inlineStr">
        <is>
          <t>كلا الفترتين</t>
        </is>
      </c>
      <c r="E848" t="n">
        <v>2784</v>
      </c>
      <c r="F848" t="b">
        <v>1</v>
      </c>
      <c r="G848">
        <f>HYPERLINK("https://www.google.com/maps/search/?api=1&amp;query=24.83867618,46.77747984", "View Map")</f>
        <v/>
      </c>
    </row>
    <row r="849">
      <c r="A849" t="inlineStr">
        <is>
          <t>مسجدشيخ  الاسلام  بن تيميه .</t>
        </is>
      </c>
      <c r="B849" t="inlineStr">
        <is>
          <t>KFM2020660203967</t>
        </is>
      </c>
      <c r="C849" t="inlineStr">
        <is>
          <t>الرياض</t>
        </is>
      </c>
      <c r="D849" t="inlineStr">
        <is>
          <t>كلا الفترتين</t>
        </is>
      </c>
      <c r="E849" t="n">
        <v>2783</v>
      </c>
      <c r="F849" t="b">
        <v>1</v>
      </c>
      <c r="G849">
        <f>HYPERLINK("https://www.google.com/maps/search/?api=1&amp;query=24.60057902,46.67514172", "View Map")</f>
        <v/>
      </c>
    </row>
    <row r="850">
      <c r="A850" t="inlineStr">
        <is>
          <t xml:space="preserve">   مسجد الريان .</t>
        </is>
      </c>
      <c r="B850" t="inlineStr">
        <is>
          <t>KFM2120760245256</t>
        </is>
      </c>
      <c r="C850" t="inlineStr">
        <is>
          <t>الرياض</t>
        </is>
      </c>
      <c r="D850" t="inlineStr">
        <is>
          <t>كلا الفترتين</t>
        </is>
      </c>
      <c r="E850" t="n">
        <v>2782</v>
      </c>
      <c r="F850" t="b">
        <v>1</v>
      </c>
      <c r="G850">
        <f>HYPERLINK("https://www.google.com/maps/search/?api=1&amp;query=24.70747689,46.77644849", "View Map")</f>
        <v/>
      </c>
    </row>
    <row r="851">
      <c r="A851" t="inlineStr">
        <is>
          <t>مسجدالشيخ  عبدالله  القرعاوي .</t>
        </is>
      </c>
      <c r="B851" t="inlineStr">
        <is>
          <t>KFM2020660174963</t>
        </is>
      </c>
      <c r="C851" t="inlineStr">
        <is>
          <t>الرياض</t>
        </is>
      </c>
      <c r="D851" t="inlineStr">
        <is>
          <t>كلا الفترتين</t>
        </is>
      </c>
      <c r="E851" t="n">
        <v>2781</v>
      </c>
      <c r="F851" t="b">
        <v>1</v>
      </c>
      <c r="G851">
        <f>HYPERLINK("https://www.google.com/maps/search/?api=1&amp;query=24.61821528,46.68802054", "View Map")</f>
        <v/>
      </c>
    </row>
    <row r="852">
      <c r="A852" t="inlineStr">
        <is>
          <t>ﻤﺴﺎﺠﺩ .</t>
        </is>
      </c>
      <c r="B852" t="inlineStr">
        <is>
          <t>KFM2120660291770</t>
        </is>
      </c>
      <c r="C852" t="inlineStr">
        <is>
          <t>الرياض</t>
        </is>
      </c>
      <c r="D852" t="inlineStr">
        <is>
          <t>كلا الفترتين</t>
        </is>
      </c>
      <c r="E852" t="n">
        <v>2780</v>
      </c>
      <c r="F852" t="b">
        <v>0</v>
      </c>
      <c r="G852">
        <f>HYPERLINK("https://www.google.com/maps/search/?api=1&amp;query=24.89167,46.61803", "View Map")</f>
        <v/>
      </c>
    </row>
    <row r="853">
      <c r="A853" t="inlineStr">
        <is>
          <t xml:space="preserve">   وزارةالشؤون الاسلامية مسجد و سكن .</t>
        </is>
      </c>
      <c r="B853" t="inlineStr">
        <is>
          <t>KFM2020660193040</t>
        </is>
      </c>
      <c r="C853" t="inlineStr">
        <is>
          <t>الرياض</t>
        </is>
      </c>
      <c r="D853" t="inlineStr">
        <is>
          <t>كلا الفترتين</t>
        </is>
      </c>
      <c r="E853" t="n">
        <v>2776</v>
      </c>
      <c r="F853" t="b">
        <v>1</v>
      </c>
      <c r="G853">
        <f>HYPERLINK("https://www.google.com/maps/search/?api=1&amp;query=24.75824694,46.60633316", "View Map")</f>
        <v/>
      </c>
    </row>
    <row r="854">
      <c r="A854" t="inlineStr">
        <is>
          <t xml:space="preserve">   مسجد شمال حى الرحمانيه .</t>
        </is>
      </c>
      <c r="B854" t="inlineStr">
        <is>
          <t>KFM2020660203047</t>
        </is>
      </c>
      <c r="C854" t="inlineStr">
        <is>
          <t>الرياض</t>
        </is>
      </c>
      <c r="D854" t="inlineStr">
        <is>
          <t>كلا الفترتين</t>
        </is>
      </c>
      <c r="E854" t="n">
        <v>2773</v>
      </c>
      <c r="F854" t="b">
        <v>1</v>
      </c>
      <c r="G854">
        <f>HYPERLINK("https://www.google.com/maps/search/?api=1&amp;query=24.71556644,46.6618734", "View Map")</f>
        <v/>
      </c>
    </row>
    <row r="855">
      <c r="A855" t="inlineStr">
        <is>
          <t xml:space="preserve">   مسجد ابراهيم الحصين ومرافقه .</t>
        </is>
      </c>
      <c r="B855" t="inlineStr">
        <is>
          <t>ECC2020810865795</t>
        </is>
      </c>
      <c r="C855" t="inlineStr">
        <is>
          <t>الرياض</t>
        </is>
      </c>
      <c r="D855" t="inlineStr">
        <is>
          <t>كلا الفترتين</t>
        </is>
      </c>
      <c r="E855" t="n">
        <v>2772</v>
      </c>
      <c r="F855" t="b">
        <v>1</v>
      </c>
      <c r="G855">
        <f>HYPERLINK("https://www.google.com/maps/search/?api=1&amp;query=24.79632194,46.70051198", "View Map")</f>
        <v/>
      </c>
    </row>
    <row r="856">
      <c r="A856" t="inlineStr">
        <is>
          <t>.    مسجد      الطرباق .</t>
        </is>
      </c>
      <c r="B856" t="inlineStr">
        <is>
          <t>KFM2020660203684</t>
        </is>
      </c>
      <c r="C856" t="inlineStr">
        <is>
          <t>الرياض</t>
        </is>
      </c>
      <c r="D856" t="inlineStr">
        <is>
          <t>كلا الفترتين</t>
        </is>
      </c>
      <c r="E856" t="n">
        <v>2771</v>
      </c>
      <c r="F856" t="b">
        <v>1</v>
      </c>
      <c r="G856">
        <f>HYPERLINK("https://www.google.com/maps/search/?api=1&amp;query=24.60161561,46.72360367", "View Map")</f>
        <v/>
      </c>
    </row>
    <row r="857">
      <c r="A857" t="inlineStr">
        <is>
          <t xml:space="preserve">   مسجد  ام ثامر .</t>
        </is>
      </c>
      <c r="B857" t="inlineStr">
        <is>
          <t>KFM2020660211070</t>
        </is>
      </c>
      <c r="C857" t="inlineStr">
        <is>
          <t>الرياض</t>
        </is>
      </c>
      <c r="D857" t="inlineStr">
        <is>
          <t>كلا الفترتين</t>
        </is>
      </c>
      <c r="E857" t="n">
        <v>2767</v>
      </c>
      <c r="F857" t="b">
        <v>0</v>
      </c>
      <c r="G857">
        <f>HYPERLINK("https://www.google.com/maps/search/?api=1&amp;query=24.66250716,46.72494639", "View Map")</f>
        <v/>
      </c>
    </row>
    <row r="858">
      <c r="A858" t="inlineStr">
        <is>
          <t>مسجد الرويل .</t>
        </is>
      </c>
      <c r="B858" t="inlineStr">
        <is>
          <t>KFM2020660177086</t>
        </is>
      </c>
      <c r="C858" t="inlineStr">
        <is>
          <t>الرياض</t>
        </is>
      </c>
      <c r="D858" t="inlineStr">
        <is>
          <t>كلا الفترتين</t>
        </is>
      </c>
      <c r="E858" t="n">
        <v>2767</v>
      </c>
      <c r="F858" t="b">
        <v>0</v>
      </c>
      <c r="G858">
        <f>HYPERLINK("https://www.google.com/maps/search/?api=1&amp;query=24.61841604,46.72202659", "View Map")</f>
        <v/>
      </c>
    </row>
    <row r="859">
      <c r="A859" t="inlineStr">
        <is>
          <t>ﻤﺴﺎﺠﺩ .</t>
        </is>
      </c>
      <c r="B859" t="inlineStr">
        <is>
          <t>KFM2020660097628</t>
        </is>
      </c>
      <c r="C859" t="inlineStr">
        <is>
          <t>الرياض</t>
        </is>
      </c>
      <c r="D859" t="inlineStr">
        <is>
          <t>كلا الفترتين</t>
        </is>
      </c>
      <c r="E859" t="n">
        <v>2765</v>
      </c>
      <c r="F859" t="b">
        <v>1</v>
      </c>
      <c r="G859">
        <f>HYPERLINK("https://www.google.com/maps/search/?api=1&amp;query=24.70035436,46.69717708", "View Map")</f>
        <v/>
      </c>
    </row>
    <row r="860">
      <c r="A860" t="inlineStr">
        <is>
          <t xml:space="preserve">   مسجدمحمديوسف المصري .</t>
        </is>
      </c>
      <c r="B860" t="inlineStr">
        <is>
          <t>KFM2020660049068</t>
        </is>
      </c>
      <c r="C860" t="inlineStr">
        <is>
          <t>الرياض</t>
        </is>
      </c>
      <c r="D860" t="inlineStr">
        <is>
          <t>كلا الفترتين</t>
        </is>
      </c>
      <c r="E860" t="n">
        <v>2758</v>
      </c>
      <c r="F860" t="b">
        <v>1</v>
      </c>
      <c r="G860">
        <f>HYPERLINK("https://www.google.com/maps/search/?api=1&amp;query=24.76056813,46.60082157", "View Map")</f>
        <v/>
      </c>
    </row>
    <row r="861">
      <c r="A861" t="inlineStr">
        <is>
          <t xml:space="preserve">    مسجد العليا .</t>
        </is>
      </c>
      <c r="B861" t="inlineStr">
        <is>
          <t>KFM2020660165482</t>
        </is>
      </c>
      <c r="C861" t="inlineStr">
        <is>
          <t>الرياض</t>
        </is>
      </c>
      <c r="D861" t="inlineStr">
        <is>
          <t>كلا الفترتين</t>
        </is>
      </c>
      <c r="E861" t="n">
        <v>2757</v>
      </c>
      <c r="F861" t="b">
        <v>1</v>
      </c>
      <c r="G861">
        <f>HYPERLINK("https://www.google.com/maps/search/?api=1&amp;query=24.69849762,46.686346", "View Map")</f>
        <v/>
      </c>
    </row>
    <row r="862">
      <c r="A862" t="inlineStr">
        <is>
          <t xml:space="preserve">   مسجد حي السلي .</t>
        </is>
      </c>
      <c r="B862" t="inlineStr">
        <is>
          <t>KFM2120660258996</t>
        </is>
      </c>
      <c r="C862" t="inlineStr">
        <is>
          <t>الرياض</t>
        </is>
      </c>
      <c r="D862" t="inlineStr">
        <is>
          <t>كلا الفترتين</t>
        </is>
      </c>
      <c r="E862" t="n">
        <v>2757</v>
      </c>
      <c r="F862" t="b">
        <v>0</v>
      </c>
      <c r="G862">
        <f>HYPERLINK("https://www.google.com/maps/search/?api=1&amp;query=24.67200042,46.85038169", "View Map")</f>
        <v/>
      </c>
    </row>
    <row r="863">
      <c r="A863" t="inlineStr">
        <is>
          <t>جامع الامير طلا ل بن فهد بن محمد .</t>
        </is>
      </c>
      <c r="B863" t="inlineStr">
        <is>
          <t>KFM2020660191333</t>
        </is>
      </c>
      <c r="C863" t="inlineStr">
        <is>
          <t>الرياض</t>
        </is>
      </c>
      <c r="D863" t="inlineStr">
        <is>
          <t>كلا الفترتين</t>
        </is>
      </c>
      <c r="E863" t="n">
        <v>2750</v>
      </c>
      <c r="F863" t="b">
        <v>1</v>
      </c>
      <c r="G863">
        <f>HYPERLINK("https://www.google.com/maps/search/?api=1&amp;query=24.55182071,46.76246338", "View Map")</f>
        <v/>
      </c>
    </row>
    <row r="864">
      <c r="A864" t="inlineStr">
        <is>
          <t xml:space="preserve">   مسجد/ عمر بن عبدالعزيز .</t>
        </is>
      </c>
      <c r="B864" t="inlineStr">
        <is>
          <t>KFM2020660135568</t>
        </is>
      </c>
      <c r="C864" t="inlineStr">
        <is>
          <t>الرياض</t>
        </is>
      </c>
      <c r="D864" t="inlineStr">
        <is>
          <t>كلا الفترتين</t>
        </is>
      </c>
      <c r="E864" t="n">
        <v>2744</v>
      </c>
      <c r="F864" t="b">
        <v>0</v>
      </c>
      <c r="G864">
        <f>HYPERLINK("https://www.google.com/maps/search/?api=1&amp;query=24.77727932,46.8304126", "View Map")</f>
        <v/>
      </c>
    </row>
    <row r="865">
      <c r="A865" t="inlineStr">
        <is>
          <t xml:space="preserve">   مسجد اللحيدان .</t>
        </is>
      </c>
      <c r="B865" t="inlineStr">
        <is>
          <t>KFM2020660193741</t>
        </is>
      </c>
      <c r="C865" t="inlineStr">
        <is>
          <t>الرياض</t>
        </is>
      </c>
      <c r="D865" t="inlineStr">
        <is>
          <t>كلا الفترتين</t>
        </is>
      </c>
      <c r="E865" t="n">
        <v>2739</v>
      </c>
      <c r="F865" t="b">
        <v>1</v>
      </c>
      <c r="G865">
        <f>HYPERLINK("https://www.google.com/maps/search/?api=1&amp;query=24.75101427,46.80759035", "View Map")</f>
        <v/>
      </c>
    </row>
    <row r="866">
      <c r="A866" t="inlineStr">
        <is>
          <t>ﻤﺴﺎﺠﺩ .</t>
        </is>
      </c>
      <c r="B866" t="inlineStr">
        <is>
          <t>KFM2120660257404</t>
        </is>
      </c>
      <c r="C866" t="inlineStr">
        <is>
          <t>الرياض</t>
        </is>
      </c>
      <c r="D866" t="inlineStr">
        <is>
          <t>كلا الفترتين</t>
        </is>
      </c>
      <c r="E866" t="n">
        <v>2735</v>
      </c>
      <c r="F866" t="b">
        <v>1</v>
      </c>
      <c r="G866">
        <f>HYPERLINK("https://www.google.com/maps/search/?api=1&amp;query=24.83307,46.68694", "View Map")</f>
        <v/>
      </c>
    </row>
    <row r="867">
      <c r="A867" t="inlineStr">
        <is>
          <t>ﻤﺴﺎﺠﺩ .</t>
        </is>
      </c>
      <c r="B867" t="inlineStr">
        <is>
          <t>KFM2020660213549</t>
        </is>
      </c>
      <c r="C867" t="inlineStr">
        <is>
          <t>الرياض</t>
        </is>
      </c>
      <c r="D867" t="inlineStr">
        <is>
          <t>كلا الفترتين</t>
        </is>
      </c>
      <c r="E867" t="n">
        <v>2730</v>
      </c>
      <c r="F867" t="b">
        <v>1</v>
      </c>
      <c r="G867">
        <f>HYPERLINK("https://www.google.com/maps/search/?api=1&amp;query=24.89492274,46.60397661", "View Map")</f>
        <v/>
      </c>
    </row>
    <row r="868">
      <c r="A868" t="inlineStr">
        <is>
          <t xml:space="preserve">   مسجد   النهضه .</t>
        </is>
      </c>
      <c r="B868" t="inlineStr">
        <is>
          <t>KFM2020660119277</t>
        </is>
      </c>
      <c r="C868" t="inlineStr">
        <is>
          <t>الرياض</t>
        </is>
      </c>
      <c r="D868" t="inlineStr">
        <is>
          <t>كلا الفترتين</t>
        </is>
      </c>
      <c r="E868" t="n">
        <v>2727</v>
      </c>
      <c r="F868" t="b">
        <v>1</v>
      </c>
      <c r="G868">
        <f>HYPERLINK("https://www.google.com/maps/search/?api=1&amp;query=24.74523184,46.79897044", "View Map")</f>
        <v/>
      </c>
    </row>
    <row r="869">
      <c r="A869" t="inlineStr">
        <is>
          <t>مسجد عبدالعزيز عبدالله العسكر .</t>
        </is>
      </c>
      <c r="B869" t="inlineStr">
        <is>
          <t>SMR2220621001359</t>
        </is>
      </c>
      <c r="C869" t="inlineStr">
        <is>
          <t>الرياض</t>
        </is>
      </c>
      <c r="D869" t="inlineStr">
        <is>
          <t>كلا الفترتين</t>
        </is>
      </c>
      <c r="E869" t="n">
        <v>2724</v>
      </c>
      <c r="F869" t="b">
        <v>0</v>
      </c>
      <c r="G869">
        <f>HYPERLINK("https://www.google.com/maps/search/?api=1&amp;query=24.55521717,46.7860748", "View Map")</f>
        <v/>
      </c>
    </row>
    <row r="870">
      <c r="A870" t="inlineStr">
        <is>
          <t>ﻤﺴﺎﺠﺩ .</t>
        </is>
      </c>
      <c r="B870" t="inlineStr">
        <is>
          <t>KFM2120660262712</t>
        </is>
      </c>
      <c r="C870" t="inlineStr">
        <is>
          <t>الرياض</t>
        </is>
      </c>
      <c r="D870" t="inlineStr">
        <is>
          <t>كلا الفترتين</t>
        </is>
      </c>
      <c r="E870" t="n">
        <v>2722</v>
      </c>
      <c r="F870" t="b">
        <v>0</v>
      </c>
      <c r="G870">
        <f>HYPERLINK("https://www.google.com/maps/search/?api=1&amp;query=24.66616227,46.68107825", "View Map")</f>
        <v/>
      </c>
    </row>
    <row r="871">
      <c r="A871" t="inlineStr">
        <is>
          <t xml:space="preserve">   مسجد حي الجنادريه .</t>
        </is>
      </c>
      <c r="B871" t="inlineStr">
        <is>
          <t>KFM2020660133881</t>
        </is>
      </c>
      <c r="C871" t="inlineStr">
        <is>
          <t>الرياض</t>
        </is>
      </c>
      <c r="D871" t="inlineStr">
        <is>
          <t>كلا الفترتين</t>
        </is>
      </c>
      <c r="E871" t="n">
        <v>2721</v>
      </c>
      <c r="F871" t="b">
        <v>1</v>
      </c>
      <c r="G871">
        <f>HYPERLINK("https://www.google.com/maps/search/?api=1&amp;query=24.80221509,46.8580866", "View Map")</f>
        <v/>
      </c>
    </row>
    <row r="872">
      <c r="A872" t="inlineStr">
        <is>
          <t>ﻭﺯﺍﺭﺓﺍﻟﺸﺌﻭﻥ ﺍﻻﺴﻼﻤﻴﺓﻭﺍﻻﻭﻗﺎﻑ .</t>
        </is>
      </c>
      <c r="B872" t="inlineStr">
        <is>
          <t>KFM2020660053846</t>
        </is>
      </c>
      <c r="C872" t="inlineStr">
        <is>
          <t>الرياض</t>
        </is>
      </c>
      <c r="D872" t="inlineStr">
        <is>
          <t>كلا الفترتين</t>
        </is>
      </c>
      <c r="E872" t="n">
        <v>2719</v>
      </c>
      <c r="F872" t="b">
        <v>1</v>
      </c>
      <c r="G872">
        <f>HYPERLINK("https://www.google.com/maps/search/?api=1&amp;query=24.56314833,46.59821793", "View Map")</f>
        <v/>
      </c>
    </row>
    <row r="873">
      <c r="A873" t="inlineStr">
        <is>
          <t xml:space="preserve">   مسجد عبدالعزيز السنيدى .</t>
        </is>
      </c>
      <c r="B873" t="inlineStr">
        <is>
          <t>KFM2020660041769</t>
        </is>
      </c>
      <c r="C873" t="inlineStr">
        <is>
          <t>الرياض</t>
        </is>
      </c>
      <c r="D873" t="inlineStr">
        <is>
          <t>كلا الفترتين</t>
        </is>
      </c>
      <c r="E873" t="n">
        <v>2714</v>
      </c>
      <c r="F873" t="b">
        <v>0</v>
      </c>
      <c r="G873">
        <f>HYPERLINK("https://www.google.com/maps/search/?api=1&amp;query=24.71792452,46.81783059", "View Map")</f>
        <v/>
      </c>
    </row>
    <row r="874">
      <c r="A874" t="inlineStr">
        <is>
          <t>ﻤﺴﺎﺠﺩ .</t>
        </is>
      </c>
      <c r="B874" t="inlineStr">
        <is>
          <t>KFM2020660192923</t>
        </is>
      </c>
      <c r="C874" t="inlineStr">
        <is>
          <t>الرياض</t>
        </is>
      </c>
      <c r="D874" t="inlineStr">
        <is>
          <t>كلا الفترتين</t>
        </is>
      </c>
      <c r="E874" t="n">
        <v>2712</v>
      </c>
      <c r="F874" t="b">
        <v>0</v>
      </c>
      <c r="G874">
        <f>HYPERLINK("https://www.google.com/maps/search/?api=1&amp;query=24.92241907,46.81864276", "View Map")</f>
        <v/>
      </c>
    </row>
    <row r="875">
      <c r="A875" t="inlineStr">
        <is>
          <t xml:space="preserve">   مسجد      حي        الملك فيصل .</t>
        </is>
      </c>
      <c r="B875" t="inlineStr">
        <is>
          <t>KFM2020660012579</t>
        </is>
      </c>
      <c r="C875" t="inlineStr">
        <is>
          <t>الرياض</t>
        </is>
      </c>
      <c r="D875" t="inlineStr">
        <is>
          <t>كلا الفترتين</t>
        </is>
      </c>
      <c r="E875" t="n">
        <v>2706</v>
      </c>
      <c r="F875" t="b">
        <v>1</v>
      </c>
      <c r="G875">
        <f>HYPERLINK("https://www.google.com/maps/search/?api=1&amp;query=24.7573069,46.76949974", "View Map")</f>
        <v/>
      </c>
    </row>
    <row r="876">
      <c r="A876" t="inlineStr">
        <is>
          <t>مسجد سعود الزير .</t>
        </is>
      </c>
      <c r="B876" t="inlineStr">
        <is>
          <t>KFM2020660013603</t>
        </is>
      </c>
      <c r="C876" t="inlineStr">
        <is>
          <t>الرياض</t>
        </is>
      </c>
      <c r="D876" t="inlineStr">
        <is>
          <t>كلا الفترتين</t>
        </is>
      </c>
      <c r="E876" t="n">
        <v>2704</v>
      </c>
      <c r="F876" t="b">
        <v>0</v>
      </c>
      <c r="G876">
        <f>HYPERLINK("https://www.google.com/maps/search/?api=1&amp;query=24.56232098,46.69868457", "View Map")</f>
        <v/>
      </c>
    </row>
    <row r="877">
      <c r="A877" t="inlineStr">
        <is>
          <t xml:space="preserve">   مسجدام الحمام الغربيه .</t>
        </is>
      </c>
      <c r="B877" t="inlineStr">
        <is>
          <t>KFM2020660188561</t>
        </is>
      </c>
      <c r="C877" t="inlineStr">
        <is>
          <t>الرياض</t>
        </is>
      </c>
      <c r="D877" t="inlineStr">
        <is>
          <t>كلا الفترتين</t>
        </is>
      </c>
      <c r="E877" t="n">
        <v>2701</v>
      </c>
      <c r="F877" t="b">
        <v>1</v>
      </c>
      <c r="G877">
        <f>HYPERLINK("https://www.google.com/maps/search/?api=1&amp;query=24.69581022,46.64611761", "View Map")</f>
        <v/>
      </c>
    </row>
    <row r="878">
      <c r="A878" t="inlineStr">
        <is>
          <t xml:space="preserve">   مسجد الشيخ / عبدالعزيز بن باز .</t>
        </is>
      </c>
      <c r="B878" t="inlineStr">
        <is>
          <t>KFM2020660173780</t>
        </is>
      </c>
      <c r="C878" t="inlineStr">
        <is>
          <t>الدرعية</t>
        </is>
      </c>
      <c r="D878" t="inlineStr">
        <is>
          <t>كلا الفترتين</t>
        </is>
      </c>
      <c r="E878" t="n">
        <v>2700</v>
      </c>
      <c r="F878" t="b">
        <v>0</v>
      </c>
      <c r="G878">
        <f>HYPERLINK("https://www.google.com/maps/search/?api=1&amp;query=24.75535609,46.54448737", "View Map")</f>
        <v/>
      </c>
    </row>
    <row r="879">
      <c r="A879" t="inlineStr">
        <is>
          <t xml:space="preserve">   مسجد العيدان .</t>
        </is>
      </c>
      <c r="B879" t="inlineStr">
        <is>
          <t>KFM2020660191697</t>
        </is>
      </c>
      <c r="C879" t="inlineStr">
        <is>
          <t>الرياض</t>
        </is>
      </c>
      <c r="D879" t="inlineStr">
        <is>
          <t>كلا الفترتين</t>
        </is>
      </c>
      <c r="E879" t="n">
        <v>2698</v>
      </c>
      <c r="F879" t="b">
        <v>0</v>
      </c>
      <c r="G879">
        <f>HYPERLINK("https://www.google.com/maps/search/?api=1&amp;query=24.69832435,46.67139115", "View Map")</f>
        <v/>
      </c>
    </row>
    <row r="880">
      <c r="A880" t="inlineStr">
        <is>
          <t xml:space="preserve">   مسجد جامع خديجة بنت خويلد .</t>
        </is>
      </c>
      <c r="B880" t="inlineStr">
        <is>
          <t>KFM2020660162854</t>
        </is>
      </c>
      <c r="C880" t="inlineStr">
        <is>
          <t>الرياض</t>
        </is>
      </c>
      <c r="D880" t="inlineStr">
        <is>
          <t>كلا الفترتين</t>
        </is>
      </c>
      <c r="E880" t="n">
        <v>2692</v>
      </c>
      <c r="F880" t="b">
        <v>0</v>
      </c>
      <c r="G880">
        <f>HYPERLINK("https://www.google.com/maps/search/?api=1&amp;query=24.5755028,46.83939399", "View Map")</f>
        <v/>
      </c>
    </row>
    <row r="881">
      <c r="A881" t="inlineStr">
        <is>
          <t xml:space="preserve">   مسجدمحسن الصالح .</t>
        </is>
      </c>
      <c r="B881" t="inlineStr">
        <is>
          <t>KFM2020660057244</t>
        </is>
      </c>
      <c r="C881" t="inlineStr">
        <is>
          <t>الرياض</t>
        </is>
      </c>
      <c r="D881" t="inlineStr">
        <is>
          <t>كلا الفترتين</t>
        </is>
      </c>
      <c r="E881" t="n">
        <v>2690</v>
      </c>
      <c r="F881" t="b">
        <v>0</v>
      </c>
      <c r="G881">
        <f>HYPERLINK("https://www.google.com/maps/search/?api=1&amp;query=24.80012464,46.79699528", "View Map")</f>
        <v/>
      </c>
    </row>
    <row r="882">
      <c r="A882" t="inlineStr">
        <is>
          <t>مسجد      عثمان     عفان .</t>
        </is>
      </c>
      <c r="B882" t="inlineStr">
        <is>
          <t>KFM2020660200654</t>
        </is>
      </c>
      <c r="C882" t="inlineStr">
        <is>
          <t>الرياض</t>
        </is>
      </c>
      <c r="D882" t="inlineStr">
        <is>
          <t>كلا الفترتين</t>
        </is>
      </c>
      <c r="E882" t="n">
        <v>2687</v>
      </c>
      <c r="F882" t="b">
        <v>0</v>
      </c>
      <c r="G882">
        <f>HYPERLINK("https://www.google.com/maps/search/?api=1&amp;query=24.5557612,46.72303303", "View Map")</f>
        <v/>
      </c>
    </row>
    <row r="883">
      <c r="A883" t="inlineStr">
        <is>
          <t xml:space="preserve">   وزارة الشئون الاسلامية والاوقاف .</t>
        </is>
      </c>
      <c r="B883" t="inlineStr">
        <is>
          <t>KFM2020660211319</t>
        </is>
      </c>
      <c r="C883" t="inlineStr">
        <is>
          <t>الرياض</t>
        </is>
      </c>
      <c r="D883" t="inlineStr">
        <is>
          <t>كلا الفترتين</t>
        </is>
      </c>
      <c r="E883" t="n">
        <v>2682</v>
      </c>
      <c r="F883" t="b">
        <v>0</v>
      </c>
      <c r="G883">
        <f>HYPERLINK("https://www.google.com/maps/search/?api=1&amp;query=24.62884491,46.5406288", "View Map")</f>
        <v/>
      </c>
    </row>
    <row r="884">
      <c r="A884" t="inlineStr">
        <is>
          <t xml:space="preserve"> مسجدالامير/سلطان بن عبدالعزيزال سعود .</t>
        </is>
      </c>
      <c r="B884" t="inlineStr">
        <is>
          <t>KFM2120660292214</t>
        </is>
      </c>
      <c r="C884" t="inlineStr">
        <is>
          <t>الدرعية</t>
        </is>
      </c>
      <c r="D884" t="inlineStr">
        <is>
          <t>كلا الفترتين</t>
        </is>
      </c>
      <c r="E884" t="n">
        <v>2681</v>
      </c>
      <c r="F884" t="b">
        <v>0</v>
      </c>
      <c r="G884">
        <f>HYPERLINK("https://www.google.com/maps/search/?api=1&amp;query=24.90454,46.38851", "View Map")</f>
        <v/>
      </c>
    </row>
    <row r="885">
      <c r="A885" t="inlineStr">
        <is>
          <t xml:space="preserve">   مسجدابن القيم .</t>
        </is>
      </c>
      <c r="B885" t="inlineStr">
        <is>
          <t>KFM2020660133317</t>
        </is>
      </c>
      <c r="C885" t="inlineStr">
        <is>
          <t>الرياض</t>
        </is>
      </c>
      <c r="D885" t="inlineStr">
        <is>
          <t>كلا الفترتين</t>
        </is>
      </c>
      <c r="E885" t="n">
        <v>2680</v>
      </c>
      <c r="F885" t="b">
        <v>1</v>
      </c>
      <c r="G885">
        <f>HYPERLINK("https://www.google.com/maps/search/?api=1&amp;query=24.72207968,46.80221719", "View Map")</f>
        <v/>
      </c>
    </row>
    <row r="886">
      <c r="A886" t="inlineStr">
        <is>
          <t xml:space="preserve">   مسجدالخزامى ( بحي الخزامى ) .</t>
        </is>
      </c>
      <c r="B886" t="inlineStr">
        <is>
          <t>KFM2020660035309</t>
        </is>
      </c>
      <c r="C886" t="inlineStr">
        <is>
          <t>الرياض</t>
        </is>
      </c>
      <c r="D886" t="inlineStr">
        <is>
          <t>كلا الفترتين</t>
        </is>
      </c>
      <c r="E886" t="n">
        <v>2680</v>
      </c>
      <c r="F886" t="b">
        <v>1</v>
      </c>
      <c r="G886">
        <f>HYPERLINK("https://www.google.com/maps/search/?api=1&amp;query=24.710044,46.61807074", "View Map")</f>
        <v/>
      </c>
    </row>
    <row r="887">
      <c r="A887" t="inlineStr">
        <is>
          <t xml:space="preserve">   مسجد منيره الحميد .</t>
        </is>
      </c>
      <c r="B887" t="inlineStr">
        <is>
          <t>KFM2120660300563</t>
        </is>
      </c>
      <c r="C887" t="inlineStr">
        <is>
          <t>الرياض</t>
        </is>
      </c>
      <c r="D887" t="inlineStr">
        <is>
          <t>كلا الفترتين</t>
        </is>
      </c>
      <c r="E887" t="n">
        <v>2679</v>
      </c>
      <c r="F887" t="b">
        <v>1</v>
      </c>
      <c r="G887">
        <f>HYPERLINK("https://www.google.com/maps/search/?api=1&amp;query=24.56863421,46.80182417", "View Map")</f>
        <v/>
      </c>
    </row>
    <row r="888">
      <c r="A888" t="inlineStr">
        <is>
          <t xml:space="preserve">   مسجد محمد الرشيد .</t>
        </is>
      </c>
      <c r="B888" t="inlineStr">
        <is>
          <t>KFM2120660267533</t>
        </is>
      </c>
      <c r="C888" t="inlineStr">
        <is>
          <t>الرياض</t>
        </is>
      </c>
      <c r="D888" t="inlineStr">
        <is>
          <t>كلا الفترتين</t>
        </is>
      </c>
      <c r="E888" t="n">
        <v>2679</v>
      </c>
      <c r="F888" t="b">
        <v>0</v>
      </c>
      <c r="G888">
        <f>HYPERLINK("https://www.google.com/maps/search/?api=1&amp;query=24.63805306,46.75003848", "View Map")</f>
        <v/>
      </c>
    </row>
    <row r="889">
      <c r="A889" t="inlineStr">
        <is>
          <t>ﻤﺴﺎﺠﺩ .</t>
        </is>
      </c>
      <c r="B889" t="inlineStr">
        <is>
          <t>KFM2120660246943</t>
        </is>
      </c>
      <c r="C889" t="inlineStr">
        <is>
          <t>الرياض</t>
        </is>
      </c>
      <c r="D889" t="inlineStr">
        <is>
          <t>كلا الفترتين</t>
        </is>
      </c>
      <c r="E889" t="n">
        <v>2678</v>
      </c>
      <c r="F889" t="b">
        <v>1</v>
      </c>
      <c r="G889">
        <f>HYPERLINK("https://www.google.com/maps/search/?api=1&amp;query=24.61917,46.50129", "View Map")</f>
        <v/>
      </c>
    </row>
    <row r="890">
      <c r="A890" t="inlineStr">
        <is>
          <t xml:space="preserve">   مسجد خليل السبعان .</t>
        </is>
      </c>
      <c r="B890" t="inlineStr">
        <is>
          <t>KFM2020660197213</t>
        </is>
      </c>
      <c r="C890" t="inlineStr">
        <is>
          <t>الرياض</t>
        </is>
      </c>
      <c r="D890" t="inlineStr">
        <is>
          <t>كلا الفترتين</t>
        </is>
      </c>
      <c r="E890" t="n">
        <v>2672</v>
      </c>
      <c r="F890" t="b">
        <v>0</v>
      </c>
      <c r="G890">
        <f>HYPERLINK("https://www.google.com/maps/search/?api=1&amp;query=24.72529694,46.66042227", "View Map")</f>
        <v/>
      </c>
    </row>
    <row r="891">
      <c r="A891" t="inlineStr">
        <is>
          <t xml:space="preserve">   مسجد حي النسيم .</t>
        </is>
      </c>
      <c r="B891" t="inlineStr">
        <is>
          <t>KFM2020660056996</t>
        </is>
      </c>
      <c r="C891" t="inlineStr">
        <is>
          <t>الرياض</t>
        </is>
      </c>
      <c r="D891" t="inlineStr">
        <is>
          <t>كلا الفترتين</t>
        </is>
      </c>
      <c r="E891" t="n">
        <v>2672</v>
      </c>
      <c r="F891" t="b">
        <v>0</v>
      </c>
      <c r="G891">
        <f>HYPERLINK("https://www.google.com/maps/search/?api=1&amp;query=24.7297,46.8486", "View Map")</f>
        <v/>
      </c>
    </row>
    <row r="892">
      <c r="A892" t="inlineStr">
        <is>
          <t>00  مسجدالمديميغ .</t>
        </is>
      </c>
      <c r="B892" t="inlineStr">
        <is>
          <t>KFM2020660191347</t>
        </is>
      </c>
      <c r="C892" t="inlineStr">
        <is>
          <t>الرياض</t>
        </is>
      </c>
      <c r="D892" t="inlineStr">
        <is>
          <t>كلا الفترتين</t>
        </is>
      </c>
      <c r="E892" t="n">
        <v>2671</v>
      </c>
      <c r="F892" t="b">
        <v>1</v>
      </c>
      <c r="G892">
        <f>HYPERLINK("https://www.google.com/maps/search/?api=1&amp;query=24.5807133,46.63335888", "View Map")</f>
        <v/>
      </c>
    </row>
    <row r="893">
      <c r="A893" t="inlineStr">
        <is>
          <t xml:space="preserve">   مسجد المنار .</t>
        </is>
      </c>
      <c r="B893" t="inlineStr">
        <is>
          <t>KFM2020660058496</t>
        </is>
      </c>
      <c r="C893" t="inlineStr">
        <is>
          <t>الرياض</t>
        </is>
      </c>
      <c r="D893" t="inlineStr">
        <is>
          <t>كلا الفترتين</t>
        </is>
      </c>
      <c r="E893" t="n">
        <v>2670</v>
      </c>
      <c r="F893" t="b">
        <v>1</v>
      </c>
      <c r="G893">
        <f>HYPERLINK("https://www.google.com/maps/search/?api=1&amp;query=24.72548506,46.78920127", "View Map")</f>
        <v/>
      </c>
    </row>
    <row r="894">
      <c r="A894" t="inlineStr">
        <is>
          <t xml:space="preserve">   مسجد حي الضباط .</t>
        </is>
      </c>
      <c r="B894" t="inlineStr">
        <is>
          <t>KFM2020660192117</t>
        </is>
      </c>
      <c r="C894" t="inlineStr">
        <is>
          <t>الرياض</t>
        </is>
      </c>
      <c r="D894" t="inlineStr">
        <is>
          <t>كلا الفترتين</t>
        </is>
      </c>
      <c r="E894" t="n">
        <v>2670</v>
      </c>
      <c r="F894" t="b">
        <v>1</v>
      </c>
      <c r="G894">
        <f>HYPERLINK("https://www.google.com/maps/search/?api=1&amp;query=24.69948418,46.85979804", "View Map")</f>
        <v/>
      </c>
    </row>
    <row r="895">
      <c r="A895" t="inlineStr">
        <is>
          <t>0    مسجد      الرومي .</t>
        </is>
      </c>
      <c r="B895" t="inlineStr">
        <is>
          <t>KFM2020660055013</t>
        </is>
      </c>
      <c r="C895" t="inlineStr">
        <is>
          <t>الرياض</t>
        </is>
      </c>
      <c r="D895" t="inlineStr">
        <is>
          <t>كلا الفترتين</t>
        </is>
      </c>
      <c r="E895" t="n">
        <v>2667</v>
      </c>
      <c r="F895" t="b">
        <v>1</v>
      </c>
      <c r="G895">
        <f>HYPERLINK("https://www.google.com/maps/search/?api=1&amp;query=24.60070906,46.64569344", "View Map")</f>
        <v/>
      </c>
    </row>
    <row r="896">
      <c r="A896" t="inlineStr">
        <is>
          <t xml:space="preserve">   مسجد/ عبدالله البقمي .</t>
        </is>
      </c>
      <c r="B896" t="inlineStr">
        <is>
          <t>KFM2020660040639</t>
        </is>
      </c>
      <c r="C896" t="inlineStr">
        <is>
          <t>الرياض</t>
        </is>
      </c>
      <c r="D896" t="inlineStr">
        <is>
          <t>كلا الفترتين</t>
        </is>
      </c>
      <c r="E896" t="n">
        <v>2667</v>
      </c>
      <c r="F896" t="b">
        <v>1</v>
      </c>
      <c r="G896">
        <f>HYPERLINK("https://www.google.com/maps/search/?api=1&amp;query=24.78423236,46.77885377", "View Map")</f>
        <v/>
      </c>
    </row>
    <row r="897">
      <c r="A897" t="inlineStr">
        <is>
          <t xml:space="preserve">   مسجد بن ملافخ .</t>
        </is>
      </c>
      <c r="B897" t="inlineStr">
        <is>
          <t>KFM2020660167851</t>
        </is>
      </c>
      <c r="C897" t="inlineStr">
        <is>
          <t>الرياض</t>
        </is>
      </c>
      <c r="D897" t="inlineStr">
        <is>
          <t>كلا الفترتين</t>
        </is>
      </c>
      <c r="E897" t="n">
        <v>2663</v>
      </c>
      <c r="F897" t="b">
        <v>1</v>
      </c>
      <c r="G897">
        <f>HYPERLINK("https://www.google.com/maps/search/?api=1&amp;query=24.73394748,46.76699091", "View Map")</f>
        <v/>
      </c>
    </row>
    <row r="898">
      <c r="A898" t="inlineStr">
        <is>
          <t>ﻤﺴﺎﺠﺩ .</t>
        </is>
      </c>
      <c r="B898" t="inlineStr">
        <is>
          <t>KFM2020660202031</t>
        </is>
      </c>
      <c r="C898" t="inlineStr">
        <is>
          <t>الرياض</t>
        </is>
      </c>
      <c r="D898" t="inlineStr">
        <is>
          <t>كلا الفترتين</t>
        </is>
      </c>
      <c r="E898" t="n">
        <v>2663</v>
      </c>
      <c r="F898" t="b">
        <v>0</v>
      </c>
      <c r="G898">
        <f>HYPERLINK("https://www.google.com/maps/search/?api=1&amp;query=24.85791676,46.64793352", "View Map")</f>
        <v/>
      </c>
    </row>
    <row r="899">
      <c r="A899" t="inlineStr">
        <is>
          <t xml:space="preserve">   مسجد الشلفان .</t>
        </is>
      </c>
      <c r="B899" t="inlineStr">
        <is>
          <t>KFM2020660193119</t>
        </is>
      </c>
      <c r="C899" t="inlineStr">
        <is>
          <t>الرياض</t>
        </is>
      </c>
      <c r="D899" t="inlineStr">
        <is>
          <t>كلا الفترتين</t>
        </is>
      </c>
      <c r="E899" t="n">
        <v>2662</v>
      </c>
      <c r="F899" t="b">
        <v>0</v>
      </c>
      <c r="G899">
        <f>HYPERLINK("https://www.google.com/maps/search/?api=1&amp;query=24.77883873,46.62993097", "View Map")</f>
        <v/>
      </c>
    </row>
    <row r="900">
      <c r="A900" t="inlineStr">
        <is>
          <t xml:space="preserve">   مسجدالمورقي مع سكن الامام والمؤذن .</t>
        </is>
      </c>
      <c r="B900" t="inlineStr">
        <is>
          <t>KFM2020660007002</t>
        </is>
      </c>
      <c r="C900" t="inlineStr">
        <is>
          <t>الرياض</t>
        </is>
      </c>
      <c r="D900" t="inlineStr">
        <is>
          <t>كلا الفترتين</t>
        </is>
      </c>
      <c r="E900" t="n">
        <v>2661</v>
      </c>
      <c r="F900" t="b">
        <v>1</v>
      </c>
      <c r="G900">
        <f>HYPERLINK("https://www.google.com/maps/search/?api=1&amp;query=24.79302535,46.88215924", "View Map")</f>
        <v/>
      </c>
    </row>
    <row r="901">
      <c r="A901" t="inlineStr">
        <is>
          <t>مسجد حمد  عبدالله    الموسى .</t>
        </is>
      </c>
      <c r="B901" t="inlineStr">
        <is>
          <t>MMF2020800008887</t>
        </is>
      </c>
      <c r="C901" t="inlineStr">
        <is>
          <t>الرياض</t>
        </is>
      </c>
      <c r="D901" t="inlineStr">
        <is>
          <t>كلا الفترتين</t>
        </is>
      </c>
      <c r="E901" t="n">
        <v>2661</v>
      </c>
      <c r="F901" t="b">
        <v>1</v>
      </c>
      <c r="G901">
        <f>HYPERLINK("https://www.google.com/maps/search/?api=1&amp;query=24.61892393,46.65474334", "View Map")</f>
        <v/>
      </c>
    </row>
    <row r="902">
      <c r="A902" t="inlineStr">
        <is>
          <t>مساجد .</t>
        </is>
      </c>
      <c r="B902" t="inlineStr">
        <is>
          <t>KFM2120660260335</t>
        </is>
      </c>
      <c r="C902" t="inlineStr">
        <is>
          <t>الرياض</t>
        </is>
      </c>
      <c r="D902" t="inlineStr">
        <is>
          <t>كلا الفترتين</t>
        </is>
      </c>
      <c r="E902" t="n">
        <v>2656</v>
      </c>
      <c r="F902" t="b">
        <v>1</v>
      </c>
      <c r="G902">
        <f>HYPERLINK("https://www.google.com/maps/search/?api=1&amp;query=24.65968414,46.79532928", "View Map")</f>
        <v/>
      </c>
    </row>
    <row r="903">
      <c r="A903" t="inlineStr">
        <is>
          <t>مسجدوالده  اللواءالفرائضي .</t>
        </is>
      </c>
      <c r="B903" t="inlineStr">
        <is>
          <t>KFM2020660049575</t>
        </is>
      </c>
      <c r="C903" t="inlineStr">
        <is>
          <t>الرياض</t>
        </is>
      </c>
      <c r="D903" t="inlineStr">
        <is>
          <t>كلا الفترتين</t>
        </is>
      </c>
      <c r="E903" t="n">
        <v>2654</v>
      </c>
      <c r="F903" t="b">
        <v>0</v>
      </c>
      <c r="G903">
        <f>HYPERLINK("https://www.google.com/maps/search/?api=1&amp;query=24.58894586,46.57478517", "View Map")</f>
        <v/>
      </c>
    </row>
    <row r="904">
      <c r="A904" t="inlineStr">
        <is>
          <t>مساجد .</t>
        </is>
      </c>
      <c r="B904" t="inlineStr">
        <is>
          <t>KFM2120660247025</t>
        </is>
      </c>
      <c r="C904" t="inlineStr">
        <is>
          <t>الدرعية</t>
        </is>
      </c>
      <c r="D904" t="inlineStr">
        <is>
          <t>كلا الفترتين</t>
        </is>
      </c>
      <c r="E904" t="n">
        <v>2652</v>
      </c>
      <c r="F904" t="b">
        <v>1</v>
      </c>
      <c r="G904">
        <f>HYPERLINK("https://www.google.com/maps/search/?api=1&amp;query=24.7453,46.5272", "View Map")</f>
        <v/>
      </c>
    </row>
    <row r="905">
      <c r="A905" t="inlineStr">
        <is>
          <t>مسجد حي الرفيعه .</t>
        </is>
      </c>
      <c r="B905" t="inlineStr">
        <is>
          <t>KFM2120660304421</t>
        </is>
      </c>
      <c r="C905" t="inlineStr">
        <is>
          <t>الرياض</t>
        </is>
      </c>
      <c r="D905" t="inlineStr">
        <is>
          <t>كلا الفترتين</t>
        </is>
      </c>
      <c r="E905" t="n">
        <v>2652</v>
      </c>
      <c r="F905" t="b">
        <v>1</v>
      </c>
      <c r="G905">
        <f>HYPERLINK("https://www.google.com/maps/search/?api=1&amp;query=24.63693425,46.66294383", "View Map")</f>
        <v/>
      </c>
    </row>
    <row r="906">
      <c r="A906" t="inlineStr">
        <is>
          <t xml:space="preserve">   مسجد حي السلام الشرقي .</t>
        </is>
      </c>
      <c r="B906" t="inlineStr">
        <is>
          <t>KFM2020660145825</t>
        </is>
      </c>
      <c r="C906" t="inlineStr">
        <is>
          <t>الرياض</t>
        </is>
      </c>
      <c r="D906" t="inlineStr">
        <is>
          <t>كلا الفترتين</t>
        </is>
      </c>
      <c r="E906" t="n">
        <v>2649</v>
      </c>
      <c r="F906" t="b">
        <v>1</v>
      </c>
      <c r="G906">
        <f>HYPERLINK("https://www.google.com/maps/search/?api=1&amp;query=24.70161253,46.81505033", "View Map")</f>
        <v/>
      </c>
    </row>
    <row r="907">
      <c r="A907" t="inlineStr">
        <is>
          <t>مسجد      الاميره     ساره .</t>
        </is>
      </c>
      <c r="B907" t="inlineStr">
        <is>
          <t>KFM2020660171608</t>
        </is>
      </c>
      <c r="C907" t="inlineStr">
        <is>
          <t>الرياض</t>
        </is>
      </c>
      <c r="D907" t="inlineStr">
        <is>
          <t>كلا الفترتين</t>
        </is>
      </c>
      <c r="E907" t="n">
        <v>2648</v>
      </c>
      <c r="F907" t="b">
        <v>1</v>
      </c>
      <c r="G907">
        <f>HYPERLINK("https://www.google.com/maps/search/?api=1&amp;query=24.5520857,46.70207179", "View Map")</f>
        <v/>
      </c>
    </row>
    <row r="908">
      <c r="A908" t="inlineStr">
        <is>
          <t>مسجدجامع  الحى .</t>
        </is>
      </c>
      <c r="B908" t="inlineStr">
        <is>
          <t>KFM2020660200355</t>
        </is>
      </c>
      <c r="C908" t="inlineStr">
        <is>
          <t>الرياض</t>
        </is>
      </c>
      <c r="D908" t="inlineStr">
        <is>
          <t>كلا الفترتين</t>
        </is>
      </c>
      <c r="E908" t="n">
        <v>2646</v>
      </c>
      <c r="F908" t="b">
        <v>1</v>
      </c>
      <c r="G908">
        <f>HYPERLINK("https://www.google.com/maps/search/?api=1&amp;query=24.6325,46.7156", "View Map")</f>
        <v/>
      </c>
    </row>
    <row r="909">
      <c r="A909" t="inlineStr">
        <is>
          <t xml:space="preserve">   مسجد العزيزية .</t>
        </is>
      </c>
      <c r="B909" t="inlineStr">
        <is>
          <t>KFM2120660299057</t>
        </is>
      </c>
      <c r="C909" t="inlineStr">
        <is>
          <t>الرياض</t>
        </is>
      </c>
      <c r="D909" t="inlineStr">
        <is>
          <t>كلا الفترتين</t>
        </is>
      </c>
      <c r="E909" t="n">
        <v>2645</v>
      </c>
      <c r="F909" t="b">
        <v>1</v>
      </c>
      <c r="G909">
        <f>HYPERLINK("https://www.google.com/maps/search/?api=1&amp;query=24.57489369,46.76836296", "View Map")</f>
        <v/>
      </c>
    </row>
    <row r="910">
      <c r="A910" t="inlineStr">
        <is>
          <t xml:space="preserve">   مساجد .</t>
        </is>
      </c>
      <c r="B910" t="inlineStr">
        <is>
          <t>KFM2020660051349</t>
        </is>
      </c>
      <c r="C910" t="inlineStr">
        <is>
          <t>الرياض</t>
        </is>
      </c>
      <c r="D910" t="inlineStr">
        <is>
          <t>كلا الفترتين</t>
        </is>
      </c>
      <c r="E910" t="n">
        <v>2644</v>
      </c>
      <c r="F910" t="b">
        <v>0</v>
      </c>
      <c r="G910">
        <f>HYPERLINK("https://www.google.com/maps/search/?api=1&amp;query=24.68923446,46.57416266", "View Map")</f>
        <v/>
      </c>
    </row>
    <row r="911">
      <c r="A911" t="inlineStr">
        <is>
          <t>ﻭﺯﺍﺭﺓﺍﻟﺸﺌﻭﻥ ﺍﻻﺴﻼﻤﻴﺓﻭﺍﻻﻭﻗﺎﻑ .</t>
        </is>
      </c>
      <c r="B911" t="inlineStr">
        <is>
          <t>KFM2020660171810</t>
        </is>
      </c>
      <c r="C911" t="inlineStr">
        <is>
          <t>الرياض</t>
        </is>
      </c>
      <c r="D911" t="inlineStr">
        <is>
          <t>كلا الفترتين</t>
        </is>
      </c>
      <c r="E911" t="n">
        <v>2642</v>
      </c>
      <c r="F911" t="b">
        <v>1</v>
      </c>
      <c r="G911">
        <f>HYPERLINK("https://www.google.com/maps/search/?api=1&amp;query=24.55584605,46.61643833", "View Map")</f>
        <v/>
      </c>
    </row>
    <row r="912">
      <c r="A912" t="inlineStr">
        <is>
          <t xml:space="preserve">   مسجد الرشيد .</t>
        </is>
      </c>
      <c r="B912" t="inlineStr">
        <is>
          <t>KFM2020660027517</t>
        </is>
      </c>
      <c r="C912" t="inlineStr">
        <is>
          <t>الرياض</t>
        </is>
      </c>
      <c r="D912" t="inlineStr">
        <is>
          <t>كلا الفترتين</t>
        </is>
      </c>
      <c r="E912" t="n">
        <v>2641</v>
      </c>
      <c r="F912" t="b">
        <v>1</v>
      </c>
      <c r="G912">
        <f>HYPERLINK("https://www.google.com/maps/search/?api=1&amp;query=24.76315013,46.62212029", "View Map")</f>
        <v/>
      </c>
    </row>
    <row r="913">
      <c r="A913" t="inlineStr">
        <is>
          <t xml:space="preserve">   مسجد      انس     بن مالك .</t>
        </is>
      </c>
      <c r="B913" t="inlineStr">
        <is>
          <t>KFM2020660056863</t>
        </is>
      </c>
      <c r="C913" t="inlineStr">
        <is>
          <t>الرياض</t>
        </is>
      </c>
      <c r="D913" t="inlineStr">
        <is>
          <t>كلا الفترتين</t>
        </is>
      </c>
      <c r="E913" t="n">
        <v>2636</v>
      </c>
      <c r="F913" t="b">
        <v>1</v>
      </c>
      <c r="G913">
        <f>HYPERLINK("https://www.google.com/maps/search/?api=1&amp;query=24.76137489,46.81414004", "View Map")</f>
        <v/>
      </c>
    </row>
    <row r="914">
      <c r="A914" t="inlineStr">
        <is>
          <t xml:space="preserve">   وزارة الشئون الاسلاميه والاوقاف .</t>
        </is>
      </c>
      <c r="B914" t="inlineStr">
        <is>
          <t>KFM2020660197296</t>
        </is>
      </c>
      <c r="C914" t="inlineStr">
        <is>
          <t>الرياض</t>
        </is>
      </c>
      <c r="D914" t="inlineStr">
        <is>
          <t>كلا الفترتين</t>
        </is>
      </c>
      <c r="E914" t="n">
        <v>2635</v>
      </c>
      <c r="F914" t="b">
        <v>1</v>
      </c>
      <c r="G914">
        <f>HYPERLINK("https://www.google.com/maps/search/?api=1&amp;query=24.80040817,46.61245204", "View Map")</f>
        <v/>
      </c>
    </row>
    <row r="915">
      <c r="A915" t="inlineStr">
        <is>
          <t>جامع الا مير محمد بن عبدالعزيز .</t>
        </is>
      </c>
      <c r="B915" t="inlineStr">
        <is>
          <t>KFM2020660212031</t>
        </is>
      </c>
      <c r="C915" t="inlineStr">
        <is>
          <t>الرياض</t>
        </is>
      </c>
      <c r="D915" t="inlineStr">
        <is>
          <t>كلا الفترتين</t>
        </is>
      </c>
      <c r="E915" t="n">
        <v>2631</v>
      </c>
      <c r="F915" t="b">
        <v>1</v>
      </c>
      <c r="G915">
        <f>HYPERLINK("https://www.google.com/maps/search/?api=1&amp;query=24.6929258,46.66634433", "View Map")</f>
        <v/>
      </c>
    </row>
    <row r="916">
      <c r="A916" t="inlineStr">
        <is>
          <t>مسجد      محمد      الماجد .</t>
        </is>
      </c>
      <c r="B916" t="inlineStr">
        <is>
          <t>KFM2020660015351</t>
        </is>
      </c>
      <c r="C916" t="inlineStr">
        <is>
          <t>الرياض</t>
        </is>
      </c>
      <c r="D916" t="inlineStr">
        <is>
          <t>كلا الفترتين</t>
        </is>
      </c>
      <c r="E916" t="n">
        <v>2629</v>
      </c>
      <c r="F916" t="b">
        <v>1</v>
      </c>
      <c r="G916">
        <f>HYPERLINK("https://www.google.com/maps/search/?api=1&amp;query=24.60389191,46.68976118", "View Map")</f>
        <v/>
      </c>
    </row>
    <row r="917">
      <c r="A917" t="inlineStr">
        <is>
          <t>مساجد .</t>
        </is>
      </c>
      <c r="B917" t="inlineStr">
        <is>
          <t>MMF2020800227443</t>
        </is>
      </c>
      <c r="C917" t="inlineStr">
        <is>
          <t>الرياض</t>
        </is>
      </c>
      <c r="D917" t="inlineStr">
        <is>
          <t>كلا الفترتين</t>
        </is>
      </c>
      <c r="E917" t="n">
        <v>2628</v>
      </c>
      <c r="F917" t="b">
        <v>1</v>
      </c>
      <c r="G917">
        <f>HYPERLINK("https://www.google.com/maps/search/?api=1&amp;query=24.6636443,46.74780097", "View Map")</f>
        <v/>
      </c>
    </row>
    <row r="918">
      <c r="A918" t="inlineStr">
        <is>
          <t xml:space="preserve">   وزارة الشئون الاسلاميه والاوقاف .</t>
        </is>
      </c>
      <c r="B918" t="inlineStr">
        <is>
          <t>KFM2020660104172</t>
        </is>
      </c>
      <c r="C918" t="inlineStr">
        <is>
          <t>الرياض</t>
        </is>
      </c>
      <c r="D918" t="inlineStr">
        <is>
          <t>كلا الفترتين</t>
        </is>
      </c>
      <c r="E918" t="n">
        <v>2626</v>
      </c>
      <c r="F918" t="b">
        <v>0</v>
      </c>
      <c r="G918">
        <f>HYPERLINK("https://www.google.com/maps/search/?api=1&amp;query=24.83112837,46.6431487", "View Map")</f>
        <v/>
      </c>
    </row>
    <row r="919">
      <c r="A919" t="inlineStr">
        <is>
          <t>مسجدالاميرة  الجوهرة  بنت تركى .</t>
        </is>
      </c>
      <c r="B919" t="inlineStr">
        <is>
          <t>KFM2020660051603</t>
        </is>
      </c>
      <c r="C919" t="inlineStr">
        <is>
          <t>الرياض</t>
        </is>
      </c>
      <c r="D919" t="inlineStr">
        <is>
          <t>كلا الفترتين</t>
        </is>
      </c>
      <c r="E919" t="n">
        <v>2624</v>
      </c>
      <c r="F919" t="b">
        <v>1</v>
      </c>
      <c r="G919">
        <f>HYPERLINK("https://www.google.com/maps/search/?api=1&amp;query=24.54825086,46.66671335", "View Map")</f>
        <v/>
      </c>
    </row>
    <row r="920">
      <c r="A920" t="inlineStr">
        <is>
          <t xml:space="preserve">   مسجد عبدالله بن الزبير .</t>
        </is>
      </c>
      <c r="B920" t="inlineStr">
        <is>
          <t>KFM2020660096586</t>
        </is>
      </c>
      <c r="C920" t="inlineStr">
        <is>
          <t>الرياض</t>
        </is>
      </c>
      <c r="D920" t="inlineStr">
        <is>
          <t>كلا الفترتين</t>
        </is>
      </c>
      <c r="E920" t="n">
        <v>2621</v>
      </c>
      <c r="F920" t="b">
        <v>0</v>
      </c>
      <c r="G920">
        <f>HYPERLINK("https://www.google.com/maps/search/?api=1&amp;query=24.74552817,46.83964266", "View Map")</f>
        <v/>
      </c>
    </row>
    <row r="921">
      <c r="A921" t="inlineStr">
        <is>
          <t xml:space="preserve">   مسجد حي حطين .</t>
        </is>
      </c>
      <c r="B921" t="inlineStr">
        <is>
          <t>KFM2020660187550</t>
        </is>
      </c>
      <c r="C921" t="inlineStr">
        <is>
          <t>الرياض</t>
        </is>
      </c>
      <c r="D921" t="inlineStr">
        <is>
          <t>كلا الفترتين</t>
        </is>
      </c>
      <c r="E921" t="n">
        <v>2621</v>
      </c>
      <c r="F921" t="b">
        <v>1</v>
      </c>
      <c r="G921">
        <f>HYPERLINK("https://www.google.com/maps/search/?api=1&amp;query=24.77067089,46.61820953", "View Map")</f>
        <v/>
      </c>
    </row>
    <row r="922">
      <c r="A922" t="inlineStr">
        <is>
          <t xml:space="preserve">   وزارةالشئؤون الاسلامية مسجدالغدير .</t>
        </is>
      </c>
      <c r="B922" t="inlineStr">
        <is>
          <t>KFM2020660209512</t>
        </is>
      </c>
      <c r="C922" t="inlineStr">
        <is>
          <t>الرياض</t>
        </is>
      </c>
      <c r="D922" t="inlineStr">
        <is>
          <t>كلا الفترتين</t>
        </is>
      </c>
      <c r="E922" t="n">
        <v>2620</v>
      </c>
      <c r="F922" t="b">
        <v>1</v>
      </c>
      <c r="G922">
        <f>HYPERLINK("https://www.google.com/maps/search/?api=1&amp;query=24.7753332,46.66127253", "View Map")</f>
        <v/>
      </c>
    </row>
    <row r="923">
      <c r="A923" t="inlineStr">
        <is>
          <t xml:space="preserve">   جامع الريس    // دعوة الجاليات .</t>
        </is>
      </c>
      <c r="B923" t="inlineStr">
        <is>
          <t>KFM2120660253462</t>
        </is>
      </c>
      <c r="C923" t="inlineStr">
        <is>
          <t>الرياض</t>
        </is>
      </c>
      <c r="D923" t="inlineStr">
        <is>
          <t>كلا الفترتين</t>
        </is>
      </c>
      <c r="E923" t="n">
        <v>2619</v>
      </c>
      <c r="F923" t="b">
        <v>1</v>
      </c>
      <c r="G923">
        <f>HYPERLINK("https://www.google.com/maps/search/?api=1&amp;query=24.5919537,46.7471375", "View Map")</f>
        <v/>
      </c>
    </row>
    <row r="924">
      <c r="A924" t="inlineStr">
        <is>
          <t>ﻤﺴﺎﺠﺩ .</t>
        </is>
      </c>
      <c r="B924" t="inlineStr">
        <is>
          <t>KFM2120660299308</t>
        </is>
      </c>
      <c r="C924" t="inlineStr">
        <is>
          <t>الرياض</t>
        </is>
      </c>
      <c r="D924" t="inlineStr">
        <is>
          <t>كلا الفترتين</t>
        </is>
      </c>
      <c r="E924" t="n">
        <v>2619</v>
      </c>
      <c r="F924" t="b">
        <v>1</v>
      </c>
      <c r="G924">
        <f>HYPERLINK("https://www.google.com/maps/search/?api=1&amp;query=24.61704107,46.72934435", "View Map")</f>
        <v/>
      </c>
    </row>
    <row r="925">
      <c r="A925" t="inlineStr">
        <is>
          <t>مسجد الاميرة  الجوهرة .</t>
        </is>
      </c>
      <c r="B925" t="inlineStr">
        <is>
          <t>KFM2020660198456</t>
        </is>
      </c>
      <c r="C925" t="inlineStr">
        <is>
          <t>الرياض</t>
        </is>
      </c>
      <c r="D925" t="inlineStr">
        <is>
          <t>كلا الفترتين</t>
        </is>
      </c>
      <c r="E925" t="n">
        <v>2612</v>
      </c>
      <c r="F925" t="b">
        <v>0</v>
      </c>
      <c r="G925">
        <f>HYPERLINK("https://www.google.com/maps/search/?api=1&amp;query=24.6378,46.7019", "View Map")</f>
        <v/>
      </c>
    </row>
    <row r="926">
      <c r="A926" t="inlineStr">
        <is>
          <t>ﻤﺴﺎﺠﺩ .</t>
        </is>
      </c>
      <c r="B926" t="inlineStr">
        <is>
          <t>KFM2020660192907</t>
        </is>
      </c>
      <c r="C926" t="inlineStr">
        <is>
          <t>الرياض</t>
        </is>
      </c>
      <c r="D926" t="inlineStr">
        <is>
          <t>كلا الفترتين</t>
        </is>
      </c>
      <c r="E926" t="n">
        <v>2612</v>
      </c>
      <c r="F926" t="b">
        <v>1</v>
      </c>
      <c r="G926">
        <f>HYPERLINK("https://www.google.com/maps/search/?api=1&amp;query=24.8482008,46.81758944", "View Map")</f>
        <v/>
      </c>
    </row>
    <row r="927">
      <c r="A927" t="inlineStr">
        <is>
          <t xml:space="preserve">   مسجد      سعد بن    معاذ .</t>
        </is>
      </c>
      <c r="B927" t="inlineStr">
        <is>
          <t>KFM2020660056844</t>
        </is>
      </c>
      <c r="C927" t="inlineStr">
        <is>
          <t>الرياض</t>
        </is>
      </c>
      <c r="D927" t="inlineStr">
        <is>
          <t>كلا الفترتين</t>
        </is>
      </c>
      <c r="E927" t="n">
        <v>2608</v>
      </c>
      <c r="F927" t="b">
        <v>1</v>
      </c>
      <c r="G927">
        <f>HYPERLINK("https://www.google.com/maps/search/?api=1&amp;query=24.72772256,46.77760433", "View Map")</f>
        <v/>
      </c>
    </row>
    <row r="928">
      <c r="A928" t="inlineStr">
        <is>
          <t xml:space="preserve">   مسجد حي السلام .</t>
        </is>
      </c>
      <c r="B928" t="inlineStr">
        <is>
          <t>KFM2020660145821</t>
        </is>
      </c>
      <c r="C928" t="inlineStr">
        <is>
          <t>الرياض</t>
        </is>
      </c>
      <c r="D928" t="inlineStr">
        <is>
          <t>كلا الفترتين</t>
        </is>
      </c>
      <c r="E928" t="n">
        <v>2608</v>
      </c>
      <c r="F928" t="b">
        <v>1</v>
      </c>
      <c r="G928">
        <f>HYPERLINK("https://www.google.com/maps/search/?api=1&amp;query=24.70084072,46.80484557", "View Map")</f>
        <v/>
      </c>
    </row>
    <row r="929">
      <c r="A929" t="inlineStr">
        <is>
          <t xml:space="preserve">   مسجد الزيد .</t>
        </is>
      </c>
      <c r="B929" t="inlineStr">
        <is>
          <t>KFM2020660048217</t>
        </is>
      </c>
      <c r="C929" t="inlineStr">
        <is>
          <t>الرياض</t>
        </is>
      </c>
      <c r="D929" t="inlineStr">
        <is>
          <t>كلا الفترتين</t>
        </is>
      </c>
      <c r="E929" t="n">
        <v>2607</v>
      </c>
      <c r="F929" t="b">
        <v>0</v>
      </c>
      <c r="G929">
        <f>HYPERLINK("https://www.google.com/maps/search/?api=1&amp;query=24.80359883,46.6223745", "View Map")</f>
        <v/>
      </c>
    </row>
    <row r="930">
      <c r="A930" t="inlineStr">
        <is>
          <t xml:space="preserve">   مسجد/والدة نهار فيصل المنديل .</t>
        </is>
      </c>
      <c r="B930" t="inlineStr">
        <is>
          <t>KFM2020660127756</t>
        </is>
      </c>
      <c r="C930" t="inlineStr">
        <is>
          <t>الرياض</t>
        </is>
      </c>
      <c r="D930" t="inlineStr">
        <is>
          <t>كلا الفترتين</t>
        </is>
      </c>
      <c r="E930" t="n">
        <v>2606</v>
      </c>
      <c r="F930" t="b">
        <v>0</v>
      </c>
      <c r="G930">
        <f>HYPERLINK("https://www.google.com/maps/search/?api=1&amp;query=24.78286639,46.6186074", "View Map")</f>
        <v/>
      </c>
    </row>
    <row r="931">
      <c r="A931" t="inlineStr">
        <is>
          <t xml:space="preserve">   مسجد/حي النهضه .</t>
        </is>
      </c>
      <c r="B931" t="inlineStr">
        <is>
          <t>KFM2020660040500</t>
        </is>
      </c>
      <c r="C931" t="inlineStr">
        <is>
          <t>الرياض</t>
        </is>
      </c>
      <c r="D931" t="inlineStr">
        <is>
          <t>كلا الفترتين</t>
        </is>
      </c>
      <c r="E931" t="n">
        <v>2603</v>
      </c>
      <c r="F931" t="b">
        <v>0</v>
      </c>
      <c r="G931">
        <f>HYPERLINK("https://www.google.com/maps/search/?api=1&amp;query=24.75667299,46.81252454", "View Map")</f>
        <v/>
      </c>
    </row>
    <row r="932">
      <c r="A932" t="inlineStr">
        <is>
          <t xml:space="preserve">   مسجد عدي بن حاتم - رضي الله عنه .</t>
        </is>
      </c>
      <c r="B932" t="inlineStr">
        <is>
          <t>KFM2020660129791</t>
        </is>
      </c>
      <c r="C932" t="inlineStr">
        <is>
          <t>الرياض</t>
        </is>
      </c>
      <c r="D932" t="inlineStr">
        <is>
          <t>كلا الفترتين</t>
        </is>
      </c>
      <c r="E932" t="n">
        <v>2600</v>
      </c>
      <c r="F932" t="b">
        <v>1</v>
      </c>
      <c r="G932">
        <f>HYPERLINK("https://www.google.com/maps/search/?api=1&amp;query=24.69238149,46.78632073", "View Map")</f>
        <v/>
      </c>
    </row>
    <row r="933">
      <c r="A933" t="inlineStr">
        <is>
          <t>مسجد      حي        السويدي .</t>
        </is>
      </c>
      <c r="B933" t="inlineStr">
        <is>
          <t>KFM2020660051615</t>
        </is>
      </c>
      <c r="C933" t="inlineStr">
        <is>
          <t>الرياض</t>
        </is>
      </c>
      <c r="D933" t="inlineStr">
        <is>
          <t>كلا الفترتين</t>
        </is>
      </c>
      <c r="E933" t="n">
        <v>2598</v>
      </c>
      <c r="F933" t="b">
        <v>0</v>
      </c>
      <c r="G933">
        <f>HYPERLINK("https://www.google.com/maps/search/?api=1&amp;query=24.57951555,46.6602676", "View Map")</f>
        <v/>
      </c>
    </row>
    <row r="934">
      <c r="A934" t="inlineStr">
        <is>
          <t>مسجد ابي عبيده .</t>
        </is>
      </c>
      <c r="B934" t="inlineStr">
        <is>
          <t>KFM2020660189399</t>
        </is>
      </c>
      <c r="C934" t="inlineStr">
        <is>
          <t>الرياض</t>
        </is>
      </c>
      <c r="D934" t="inlineStr">
        <is>
          <t>كلا الفترتين</t>
        </is>
      </c>
      <c r="E934" t="n">
        <v>2588</v>
      </c>
      <c r="F934" t="b">
        <v>0</v>
      </c>
      <c r="G934">
        <f>HYPERLINK("https://www.google.com/maps/search/?api=1&amp;query=24.56090148,46.69284659", "View Map")</f>
        <v/>
      </c>
    </row>
    <row r="935">
      <c r="A935" t="inlineStr">
        <is>
          <t>ﻤﺴﺎﺠﺩﺍﻟﺨـﺭﺝ .</t>
        </is>
      </c>
      <c r="B935" t="inlineStr">
        <is>
          <t>SMR2420761036038</t>
        </is>
      </c>
      <c r="C935" t="inlineStr">
        <is>
          <t>الرياض</t>
        </is>
      </c>
      <c r="D935" t="inlineStr">
        <is>
          <t>كلا الفترتين</t>
        </is>
      </c>
      <c r="E935" t="n">
        <v>2588</v>
      </c>
      <c r="F935" t="b">
        <v>0</v>
      </c>
      <c r="G935">
        <f>HYPERLINK("https://www.google.com/maps/search/?api=1&amp;query=0.0,0.0", "View Map")</f>
        <v/>
      </c>
    </row>
    <row r="936">
      <c r="A936" t="inlineStr">
        <is>
          <t xml:space="preserve">   مساجد .</t>
        </is>
      </c>
      <c r="B936" t="inlineStr">
        <is>
          <t>KFM2020766061246</t>
        </is>
      </c>
      <c r="C936" t="inlineStr">
        <is>
          <t>الرياض</t>
        </is>
      </c>
      <c r="D936" t="inlineStr">
        <is>
          <t>كلا الفترتين</t>
        </is>
      </c>
      <c r="E936" t="n">
        <v>2586</v>
      </c>
      <c r="F936" t="b">
        <v>1</v>
      </c>
      <c r="G936">
        <f>HYPERLINK("https://www.google.com/maps/search/?api=1&amp;query=24.83158964,46.76052856", "View Map")</f>
        <v/>
      </c>
    </row>
    <row r="937">
      <c r="A937" t="inlineStr">
        <is>
          <t>ﻤﺴﺎﺠﺩ .</t>
        </is>
      </c>
      <c r="B937" t="inlineStr">
        <is>
          <t>KFM2020660060980</t>
        </is>
      </c>
      <c r="C937" t="inlineStr">
        <is>
          <t>الرياض</t>
        </is>
      </c>
      <c r="D937" t="inlineStr">
        <is>
          <t>كلا الفترتين</t>
        </is>
      </c>
      <c r="E937" t="n">
        <v>2580</v>
      </c>
      <c r="F937" t="b">
        <v>0</v>
      </c>
      <c r="G937">
        <f>HYPERLINK("https://www.google.com/maps/search/?api=1&amp;query=24.85989178,46.65345324", "View Map")</f>
        <v/>
      </c>
    </row>
    <row r="938">
      <c r="A938" t="inlineStr">
        <is>
          <t>ﻭﺯﺍﺭﺓﺍﻟﺸﺌﻭﻥ ﺍﻻﺴﻼﻤﻴﺓﻭﺍﻻﻭﻗﺎﻑ .</t>
        </is>
      </c>
      <c r="B938" t="inlineStr">
        <is>
          <t>SMR2420661038673</t>
        </is>
      </c>
      <c r="C938" t="inlineStr">
        <is>
          <t>الرياض</t>
        </is>
      </c>
      <c r="D938" t="inlineStr">
        <is>
          <t>كلا الفترتين</t>
        </is>
      </c>
      <c r="E938" t="n">
        <v>2580</v>
      </c>
      <c r="F938" t="b">
        <v>1</v>
      </c>
      <c r="G938">
        <f>HYPERLINK("https://www.google.com/maps/search/?api=1&amp;query=24.56043057,46.72315106", "View Map")</f>
        <v/>
      </c>
    </row>
    <row r="939">
      <c r="A939" t="inlineStr">
        <is>
          <t xml:space="preserve">   مسجد      صالح      العيدان .</t>
        </is>
      </c>
      <c r="B939" t="inlineStr">
        <is>
          <t>KFM2020660193602</t>
        </is>
      </c>
      <c r="C939" t="inlineStr">
        <is>
          <t>الرياض</t>
        </is>
      </c>
      <c r="D939" t="inlineStr">
        <is>
          <t>كلا الفترتين</t>
        </is>
      </c>
      <c r="E939" t="n">
        <v>2578</v>
      </c>
      <c r="F939" t="b">
        <v>0</v>
      </c>
      <c r="G939">
        <f>HYPERLINK("https://www.google.com/maps/search/?api=1&amp;query=24.82374455,46.8053947", "View Map")</f>
        <v/>
      </c>
    </row>
    <row r="940">
      <c r="A940" t="inlineStr">
        <is>
          <t xml:space="preserve">   مسجد حي السعادة .</t>
        </is>
      </c>
      <c r="B940" t="inlineStr">
        <is>
          <t>KFM2120660260287</t>
        </is>
      </c>
      <c r="C940" t="inlineStr">
        <is>
          <t>الرياض</t>
        </is>
      </c>
      <c r="D940" t="inlineStr">
        <is>
          <t>كلا الفترتين</t>
        </is>
      </c>
      <c r="E940" t="n">
        <v>2578</v>
      </c>
      <c r="F940" t="b">
        <v>0</v>
      </c>
      <c r="G940">
        <f>HYPERLINK("https://www.google.com/maps/search/?api=1&amp;query=24.68418988,46.83977357", "View Map")</f>
        <v/>
      </c>
    </row>
    <row r="941">
      <c r="A941" t="inlineStr">
        <is>
          <t>مسجد بن رويشد حى  اليمامه .</t>
        </is>
      </c>
      <c r="B941" t="inlineStr">
        <is>
          <t>KFM2020760038148</t>
        </is>
      </c>
      <c r="C941" t="inlineStr">
        <is>
          <t>الرياض</t>
        </is>
      </c>
      <c r="D941" t="inlineStr">
        <is>
          <t>كلا الفترتين</t>
        </is>
      </c>
      <c r="E941" t="n">
        <v>2575</v>
      </c>
      <c r="F941" t="b">
        <v>1</v>
      </c>
      <c r="G941">
        <f>HYPERLINK("https://www.google.com/maps/search/?api=1&amp;query=24.63109463,46.69367426", "View Map")</f>
        <v/>
      </c>
    </row>
    <row r="942">
      <c r="A942" t="inlineStr">
        <is>
          <t>ﻤﺴﺎﺠﺩ .</t>
        </is>
      </c>
      <c r="B942" t="inlineStr">
        <is>
          <t>KFM2020660037589</t>
        </is>
      </c>
      <c r="C942" t="inlineStr">
        <is>
          <t>الرياض</t>
        </is>
      </c>
      <c r="D942" t="inlineStr">
        <is>
          <t>كلا الفترتين</t>
        </is>
      </c>
      <c r="E942" t="n">
        <v>2575</v>
      </c>
      <c r="F942" t="b">
        <v>1</v>
      </c>
      <c r="G942">
        <f>HYPERLINK("https://www.google.com/maps/search/?api=1&amp;query=24.81797816,46.72120351", "View Map")</f>
        <v/>
      </c>
    </row>
    <row r="943">
      <c r="A943" t="inlineStr">
        <is>
          <t xml:space="preserve">   مسجد العلياء .</t>
        </is>
      </c>
      <c r="B943" t="inlineStr">
        <is>
          <t>KFM2120660236030</t>
        </is>
      </c>
      <c r="C943" t="inlineStr">
        <is>
          <t>الرياض</t>
        </is>
      </c>
      <c r="D943" t="inlineStr">
        <is>
          <t>كلا الفترتين</t>
        </is>
      </c>
      <c r="E943" t="n">
        <v>2572</v>
      </c>
      <c r="F943" t="b">
        <v>1</v>
      </c>
      <c r="G943">
        <f>HYPERLINK("https://www.google.com/maps/search/?api=1&amp;query=24.69763043,46.67411699", "View Map")</f>
        <v/>
      </c>
    </row>
    <row r="944">
      <c r="A944" t="inlineStr">
        <is>
          <t xml:space="preserve">   مسجد بحى المصيف .</t>
        </is>
      </c>
      <c r="B944" t="inlineStr">
        <is>
          <t>KFM2020660100106</t>
        </is>
      </c>
      <c r="C944" t="inlineStr">
        <is>
          <t>الرياض</t>
        </is>
      </c>
      <c r="D944" t="inlineStr">
        <is>
          <t>كلا الفترتين</t>
        </is>
      </c>
      <c r="E944" t="n">
        <v>2569</v>
      </c>
      <c r="F944" t="b">
        <v>0</v>
      </c>
      <c r="G944">
        <f>HYPERLINK("https://www.google.com/maps/search/?api=1&amp;query=24.7639598,46.68871681", "View Map")</f>
        <v/>
      </c>
    </row>
    <row r="945">
      <c r="A945" t="inlineStr">
        <is>
          <t xml:space="preserve">   مسجد حي المناخ /مؤسسة الحرمين .</t>
        </is>
      </c>
      <c r="B945" t="inlineStr">
        <is>
          <t>KFM2120660264438</t>
        </is>
      </c>
      <c r="C945" t="inlineStr">
        <is>
          <t>الرياض</t>
        </is>
      </c>
      <c r="D945" t="inlineStr">
        <is>
          <t>كلا الفترتين</t>
        </is>
      </c>
      <c r="E945" t="n">
        <v>2567</v>
      </c>
      <c r="F945" t="b">
        <v>1</v>
      </c>
      <c r="G945">
        <f>HYPERLINK("https://www.google.com/maps/search/?api=1&amp;query=24.62634393,46.79037156", "View Map")</f>
        <v/>
      </c>
    </row>
    <row r="946">
      <c r="A946" t="inlineStr">
        <is>
          <t>ﻭﺯﺍﺭﺓﺍﻟﺸﺌﻭﻥ ﺍﻻﺴﻼﻤﻴﺓﻭﺍﻻﻭﻗﺎﻑ .</t>
        </is>
      </c>
      <c r="B946" t="inlineStr">
        <is>
          <t>SMR2120765020708</t>
        </is>
      </c>
      <c r="C946" t="inlineStr">
        <is>
          <t>الرياض</t>
        </is>
      </c>
      <c r="D946" t="inlineStr">
        <is>
          <t>كلا الفترتين</t>
        </is>
      </c>
      <c r="E946" t="n">
        <v>2563</v>
      </c>
      <c r="F946" t="b">
        <v>0</v>
      </c>
      <c r="G946">
        <f>HYPERLINK("https://www.google.com/maps/search/?api=1&amp;query=24.4889,46.6319", "View Map")</f>
        <v/>
      </c>
    </row>
    <row r="947">
      <c r="A947" t="inlineStr">
        <is>
          <t>ﻤﺴﺎﺠﺩ .</t>
        </is>
      </c>
      <c r="B947" t="inlineStr">
        <is>
          <t>ECC2020811040251</t>
        </is>
      </c>
      <c r="C947" t="inlineStr">
        <is>
          <t>الرياض</t>
        </is>
      </c>
      <c r="D947" t="inlineStr">
        <is>
          <t>كلا الفترتين</t>
        </is>
      </c>
      <c r="E947" t="n">
        <v>2560</v>
      </c>
      <c r="F947" t="b">
        <v>0</v>
      </c>
      <c r="G947">
        <f>HYPERLINK("https://www.google.com/maps/search/?api=1&amp;query=24.64740864,46.79714669", "View Map")</f>
        <v/>
      </c>
    </row>
    <row r="948">
      <c r="A948" t="inlineStr">
        <is>
          <t xml:space="preserve">   مسجد جامع ظهرة الحاير .</t>
        </is>
      </c>
      <c r="B948" t="inlineStr">
        <is>
          <t>KFM2120660282701</t>
        </is>
      </c>
      <c r="C948" t="inlineStr">
        <is>
          <t>الرياض</t>
        </is>
      </c>
      <c r="D948" t="inlineStr">
        <is>
          <t>كلا الفترتين</t>
        </is>
      </c>
      <c r="E948" t="n">
        <v>2555</v>
      </c>
      <c r="F948" t="b">
        <v>1</v>
      </c>
      <c r="G948">
        <f>HYPERLINK("https://www.google.com/maps/search/?api=1&amp;query=24.39639471,46.83362787", "View Map")</f>
        <v/>
      </c>
    </row>
    <row r="949">
      <c r="A949" t="inlineStr">
        <is>
          <t xml:space="preserve">   مسجد حي السلام .</t>
        </is>
      </c>
      <c r="B949" t="inlineStr">
        <is>
          <t>KFM2020660036431</t>
        </is>
      </c>
      <c r="C949" t="inlineStr">
        <is>
          <t>الرياض</t>
        </is>
      </c>
      <c r="D949" t="inlineStr">
        <is>
          <t>كلا الفترتين</t>
        </is>
      </c>
      <c r="E949" t="n">
        <v>2554</v>
      </c>
      <c r="F949" t="b">
        <v>0</v>
      </c>
      <c r="G949">
        <f>HYPERLINK("https://www.google.com/maps/search/?api=1&amp;query=24.7160165,46.80830358", "View Map")</f>
        <v/>
      </c>
    </row>
    <row r="950">
      <c r="A950" t="inlineStr">
        <is>
          <t xml:space="preserve">   مسجد علي الجميعه .</t>
        </is>
      </c>
      <c r="B950" t="inlineStr">
        <is>
          <t>KFM2020660037487</t>
        </is>
      </c>
      <c r="C950" t="inlineStr">
        <is>
          <t>الرياض</t>
        </is>
      </c>
      <c r="D950" t="inlineStr">
        <is>
          <t>كلا الفترتين</t>
        </is>
      </c>
      <c r="E950" t="n">
        <v>2554</v>
      </c>
      <c r="F950" t="b">
        <v>1</v>
      </c>
      <c r="G950">
        <f>HYPERLINK("https://www.google.com/maps/search/?api=1&amp;query=24.7488239,46.78776709", "View Map")</f>
        <v/>
      </c>
    </row>
    <row r="951">
      <c r="A951" t="inlineStr">
        <is>
          <t xml:space="preserve">   مسجد عمر بن الخطاب .</t>
        </is>
      </c>
      <c r="B951" t="inlineStr">
        <is>
          <t>KFM2020660041143</t>
        </is>
      </c>
      <c r="C951" t="inlineStr">
        <is>
          <t>الرياض</t>
        </is>
      </c>
      <c r="D951" t="inlineStr">
        <is>
          <t>كلا الفترتين</t>
        </is>
      </c>
      <c r="E951" t="n">
        <v>2554</v>
      </c>
      <c r="F951" t="b">
        <v>1</v>
      </c>
      <c r="G951">
        <f>HYPERLINK("https://www.google.com/maps/search/?api=1&amp;query=24.75744134,46.82088493", "View Map")</f>
        <v/>
      </c>
    </row>
    <row r="952">
      <c r="A952" t="inlineStr">
        <is>
          <t>مسجد مريم اليوسف .</t>
        </is>
      </c>
      <c r="B952" t="inlineStr">
        <is>
          <t>KFM2120660300431</t>
        </is>
      </c>
      <c r="C952" t="inlineStr">
        <is>
          <t>الرياض</t>
        </is>
      </c>
      <c r="D952" t="inlineStr">
        <is>
          <t>كلا الفترتين</t>
        </is>
      </c>
      <c r="E952" t="n">
        <v>2553</v>
      </c>
      <c r="F952" t="b">
        <v>1</v>
      </c>
      <c r="G952">
        <f>HYPERLINK("https://www.google.com/maps/search/?api=1&amp;query=24.7339594,46.74493408", "View Map")</f>
        <v/>
      </c>
    </row>
    <row r="953">
      <c r="A953" t="inlineStr">
        <is>
          <t>مسجد الملك  سعود .</t>
        </is>
      </c>
      <c r="B953" t="inlineStr">
        <is>
          <t>KFM2020660167669</t>
        </is>
      </c>
      <c r="C953" t="inlineStr">
        <is>
          <t>الرياض</t>
        </is>
      </c>
      <c r="D953" t="inlineStr">
        <is>
          <t>كلا الفترتين</t>
        </is>
      </c>
      <c r="E953" t="n">
        <v>2550</v>
      </c>
      <c r="F953" t="b">
        <v>0</v>
      </c>
      <c r="G953">
        <f>HYPERLINK("https://www.google.com/maps/search/?api=1&amp;query=24.57384886,46.71337917", "View Map")</f>
        <v/>
      </c>
    </row>
    <row r="954">
      <c r="A954" t="inlineStr">
        <is>
          <t>مسجدعليشة .</t>
        </is>
      </c>
      <c r="B954" t="inlineStr">
        <is>
          <t>KFM2020660053806</t>
        </is>
      </c>
      <c r="C954" t="inlineStr">
        <is>
          <t>الرياض</t>
        </is>
      </c>
      <c r="D954" t="inlineStr">
        <is>
          <t>كلا الفترتين</t>
        </is>
      </c>
      <c r="E954" t="n">
        <v>2549</v>
      </c>
      <c r="F954" t="b">
        <v>0</v>
      </c>
      <c r="G954">
        <f>HYPERLINK("https://www.google.com/maps/search/?api=1&amp;query=24.63771824,46.68647305", "View Map")</f>
        <v/>
      </c>
    </row>
    <row r="955">
      <c r="A955" t="inlineStr">
        <is>
          <t xml:space="preserve">   وزارة الشئون الاسلامية والاوقاف .</t>
        </is>
      </c>
      <c r="B955" t="inlineStr">
        <is>
          <t>KFM2020660127526</t>
        </is>
      </c>
      <c r="C955" t="inlineStr">
        <is>
          <t>الرياض</t>
        </is>
      </c>
      <c r="D955" t="inlineStr">
        <is>
          <t>كلا الفترتين</t>
        </is>
      </c>
      <c r="E955" t="n">
        <v>2549</v>
      </c>
      <c r="F955" t="b">
        <v>0</v>
      </c>
      <c r="G955">
        <f>HYPERLINK("https://www.google.com/maps/search/?api=1&amp;query=24.83175644,46.63592022", "View Map")</f>
        <v/>
      </c>
    </row>
    <row r="956">
      <c r="A956" t="inlineStr">
        <is>
          <t xml:space="preserve">   مسجد جامع السلي .</t>
        </is>
      </c>
      <c r="B956" t="inlineStr">
        <is>
          <t>KFM2120660236572</t>
        </is>
      </c>
      <c r="C956" t="inlineStr">
        <is>
          <t>الرياض</t>
        </is>
      </c>
      <c r="D956" t="inlineStr">
        <is>
          <t>كلا الفترتين</t>
        </is>
      </c>
      <c r="E956" t="n">
        <v>2547</v>
      </c>
      <c r="F956" t="b">
        <v>0</v>
      </c>
      <c r="G956">
        <f>HYPERLINK("https://www.google.com/maps/search/?api=1&amp;query=24.70246352,46.83920778", "View Map")</f>
        <v/>
      </c>
    </row>
    <row r="957">
      <c r="A957" t="inlineStr">
        <is>
          <t>ﻭﺯﺍﺭﺓﺍﻟﺸﺌﻭﻥ ﺍﻻﺴﻼﻤﻴﺓﻭﺍﻻﻭﻗﺎﻑ .</t>
        </is>
      </c>
      <c r="B957" t="inlineStr">
        <is>
          <t>SMR2220661007472</t>
        </is>
      </c>
      <c r="C957" t="inlineStr">
        <is>
          <t>الرياض</t>
        </is>
      </c>
      <c r="D957" t="inlineStr">
        <is>
          <t>كلا الفترتين</t>
        </is>
      </c>
      <c r="E957" t="n">
        <v>2546</v>
      </c>
      <c r="F957" t="b">
        <v>0</v>
      </c>
      <c r="G957">
        <f>HYPERLINK("https://www.google.com/maps/search/?api=1&amp;query=24.5667,46.5228", "View Map")</f>
        <v/>
      </c>
    </row>
    <row r="958">
      <c r="A958" t="inlineStr">
        <is>
          <t xml:space="preserve">   مسجد احمد بن حنبل .</t>
        </is>
      </c>
      <c r="B958" t="inlineStr">
        <is>
          <t>KFM2020660127747</t>
        </is>
      </c>
      <c r="C958" t="inlineStr">
        <is>
          <t>الرياض</t>
        </is>
      </c>
      <c r="D958" t="inlineStr">
        <is>
          <t>كلا الفترتين</t>
        </is>
      </c>
      <c r="E958" t="n">
        <v>2546</v>
      </c>
      <c r="F958" t="b">
        <v>1</v>
      </c>
      <c r="G958">
        <f>HYPERLINK("https://www.google.com/maps/search/?api=1&amp;query=24.78738884,46.62578337", "View Map")</f>
        <v/>
      </c>
    </row>
    <row r="959">
      <c r="A959" t="inlineStr">
        <is>
          <t xml:space="preserve">   مسجد حي الخالديه  و مرفقاته .</t>
        </is>
      </c>
      <c r="B959" t="inlineStr">
        <is>
          <t>KFM2120660287345</t>
        </is>
      </c>
      <c r="C959" t="inlineStr">
        <is>
          <t>الرياض</t>
        </is>
      </c>
      <c r="D959" t="inlineStr">
        <is>
          <t>كلا الفترتين</t>
        </is>
      </c>
      <c r="E959" t="n">
        <v>2543</v>
      </c>
      <c r="F959" t="b">
        <v>1</v>
      </c>
      <c r="G959">
        <f>HYPERLINK("https://www.google.com/maps/search/?api=1&amp;query=24.6224902,46.75413262", "View Map")</f>
        <v/>
      </c>
    </row>
    <row r="960">
      <c r="A960" t="inlineStr">
        <is>
          <t xml:space="preserve">   وزارة الشئون الاسلامية والاوقاف .</t>
        </is>
      </c>
      <c r="B960" t="inlineStr">
        <is>
          <t>KFM2020660192644</t>
        </is>
      </c>
      <c r="C960" t="inlineStr">
        <is>
          <t>الرياض</t>
        </is>
      </c>
      <c r="D960" t="inlineStr">
        <is>
          <t>كلا الفترتين</t>
        </is>
      </c>
      <c r="E960" t="n">
        <v>2542</v>
      </c>
      <c r="F960" t="b">
        <v>0</v>
      </c>
      <c r="G960">
        <f>HYPERLINK("https://www.google.com/maps/search/?api=1&amp;query=24.63719621,46.60634979", "View Map")</f>
        <v/>
      </c>
    </row>
    <row r="961">
      <c r="A961" t="inlineStr">
        <is>
          <t>مسجد      عبدالله    السعدون .</t>
        </is>
      </c>
      <c r="B961" t="inlineStr">
        <is>
          <t>KFM2020660044533</t>
        </is>
      </c>
      <c r="C961" t="inlineStr">
        <is>
          <t>الرياض</t>
        </is>
      </c>
      <c r="D961" t="inlineStr">
        <is>
          <t>كلا الفترتين</t>
        </is>
      </c>
      <c r="E961" t="n">
        <v>2539</v>
      </c>
      <c r="F961" t="b">
        <v>0</v>
      </c>
      <c r="G961">
        <f>HYPERLINK("https://www.google.com/maps/search/?api=1&amp;query=24.62408399,46.7153048", "View Map")</f>
        <v/>
      </c>
    </row>
    <row r="962">
      <c r="A962" t="inlineStr">
        <is>
          <t>ﻤﺴﺎﺠﺩ .</t>
        </is>
      </c>
      <c r="B962" t="inlineStr">
        <is>
          <t>KFM2020660053126</t>
        </is>
      </c>
      <c r="C962" t="inlineStr">
        <is>
          <t>الرياض</t>
        </is>
      </c>
      <c r="D962" t="inlineStr">
        <is>
          <t>كلا الفترتين</t>
        </is>
      </c>
      <c r="E962" t="n">
        <v>2534</v>
      </c>
      <c r="F962" t="b">
        <v>0</v>
      </c>
      <c r="G962">
        <f>HYPERLINK("https://www.google.com/maps/search/?api=1&amp;query=24.80220958,46.74242305", "View Map")</f>
        <v/>
      </c>
    </row>
    <row r="963">
      <c r="A963" t="inlineStr">
        <is>
          <t>مسجد الدريهمى .</t>
        </is>
      </c>
      <c r="B963" t="inlineStr">
        <is>
          <t>KFM2020660051593</t>
        </is>
      </c>
      <c r="C963" t="inlineStr">
        <is>
          <t>الرياض</t>
        </is>
      </c>
      <c r="D963" t="inlineStr">
        <is>
          <t>كلا الفترتين</t>
        </is>
      </c>
      <c r="E963" t="n">
        <v>2533</v>
      </c>
      <c r="F963" t="b">
        <v>1</v>
      </c>
      <c r="G963">
        <f>HYPERLINK("https://www.google.com/maps/search/?api=1&amp;query=24.59691053,46.70225699", "View Map")</f>
        <v/>
      </c>
    </row>
    <row r="964">
      <c r="A964" t="inlineStr">
        <is>
          <t>ﻤﺴﺎﺠﺩ .</t>
        </is>
      </c>
      <c r="B964" t="inlineStr">
        <is>
          <t>KFM2020660100037</t>
        </is>
      </c>
      <c r="C964" t="inlineStr">
        <is>
          <t>الرياض</t>
        </is>
      </c>
      <c r="D964" t="inlineStr">
        <is>
          <t>كلا الفترتين</t>
        </is>
      </c>
      <c r="E964" t="n">
        <v>2533</v>
      </c>
      <c r="F964" t="b">
        <v>1</v>
      </c>
      <c r="G964">
        <f>HYPERLINK("https://www.google.com/maps/search/?api=1&amp;query=24.87392999,46.61298512", "View Map")</f>
        <v/>
      </c>
    </row>
    <row r="965">
      <c r="A965" t="inlineStr">
        <is>
          <t xml:space="preserve"> تحفيظ القرآن مسجد عبدالله اللحيدان .</t>
        </is>
      </c>
      <c r="B965" t="inlineStr">
        <is>
          <t>KFM2020660193750</t>
        </is>
      </c>
      <c r="C965" t="inlineStr">
        <is>
          <t>الرياض</t>
        </is>
      </c>
      <c r="D965" t="inlineStr">
        <is>
          <t>كلا الفترتين</t>
        </is>
      </c>
      <c r="E965" t="n">
        <v>2531</v>
      </c>
      <c r="F965" t="b">
        <v>1</v>
      </c>
      <c r="G965">
        <f>HYPERLINK("https://www.google.com/maps/search/?api=1&amp;query=24.7475353,46.80367648", "View Map")</f>
        <v/>
      </c>
    </row>
    <row r="966">
      <c r="A966" t="inlineStr">
        <is>
          <t>مساجد .</t>
        </is>
      </c>
      <c r="B966" t="inlineStr">
        <is>
          <t>KFM2120660251280</t>
        </is>
      </c>
      <c r="C966" t="inlineStr">
        <is>
          <t>الرياض</t>
        </is>
      </c>
      <c r="D966" t="inlineStr">
        <is>
          <t>كلا الفترتين</t>
        </is>
      </c>
      <c r="E966" t="n">
        <v>2530</v>
      </c>
      <c r="F966" t="b">
        <v>1</v>
      </c>
      <c r="G966">
        <f>HYPERLINK("https://www.google.com/maps/search/?api=1&amp;query=24.85592841,46.63178187", "View Map")</f>
        <v/>
      </c>
    </row>
    <row r="967">
      <c r="A967" t="inlineStr">
        <is>
          <t xml:space="preserve">   مسجد الثنيان .</t>
        </is>
      </c>
      <c r="B967" t="inlineStr">
        <is>
          <t>KFM2120660252992</t>
        </is>
      </c>
      <c r="C967" t="inlineStr">
        <is>
          <t>الرياض</t>
        </is>
      </c>
      <c r="D967" t="inlineStr">
        <is>
          <t>كلا الفترتين</t>
        </is>
      </c>
      <c r="E967" t="n">
        <v>2528</v>
      </c>
      <c r="F967" t="b">
        <v>1</v>
      </c>
      <c r="G967">
        <f>HYPERLINK("https://www.google.com/maps/search/?api=1&amp;query=24.62056377,46.54295943", "View Map")</f>
        <v/>
      </c>
    </row>
    <row r="968">
      <c r="A968" t="inlineStr">
        <is>
          <t xml:space="preserve">   مسجدالسوق التجارى .</t>
        </is>
      </c>
      <c r="B968" t="inlineStr">
        <is>
          <t>KFM2020660229443</t>
        </is>
      </c>
      <c r="C968" t="inlineStr">
        <is>
          <t>الرياض</t>
        </is>
      </c>
      <c r="D968" t="inlineStr">
        <is>
          <t>كلا الفترتين</t>
        </is>
      </c>
      <c r="E968" t="n">
        <v>2528</v>
      </c>
      <c r="F968" t="b">
        <v>1</v>
      </c>
      <c r="G968">
        <f>HYPERLINK("https://www.google.com/maps/search/?api=1&amp;query=24.66875972,46.73301653", "View Map")</f>
        <v/>
      </c>
    </row>
    <row r="969">
      <c r="A969" t="inlineStr">
        <is>
          <t>ﻤﺴﺎﺠﺩ .</t>
        </is>
      </c>
      <c r="B969" t="inlineStr">
        <is>
          <t>KFM2020660061077</t>
        </is>
      </c>
      <c r="C969" t="inlineStr">
        <is>
          <t>الرياض</t>
        </is>
      </c>
      <c r="D969" t="inlineStr">
        <is>
          <t>كلا الفترتين</t>
        </is>
      </c>
      <c r="E969" t="n">
        <v>2528</v>
      </c>
      <c r="F969" t="b">
        <v>1</v>
      </c>
      <c r="G969">
        <f>HYPERLINK("https://www.google.com/maps/search/?api=1&amp;query=24.86567163,46.65031705", "View Map")</f>
        <v/>
      </c>
    </row>
    <row r="970">
      <c r="A970" t="inlineStr">
        <is>
          <t xml:space="preserve">   مسجد السليمانيه .</t>
        </is>
      </c>
      <c r="B970" t="inlineStr">
        <is>
          <t>KFM2020660188416</t>
        </is>
      </c>
      <c r="C970" t="inlineStr">
        <is>
          <t>الرياض</t>
        </is>
      </c>
      <c r="D970" t="inlineStr">
        <is>
          <t>كلا الفترتين</t>
        </is>
      </c>
      <c r="E970" t="n">
        <v>2519</v>
      </c>
      <c r="F970" t="b">
        <v>1</v>
      </c>
      <c r="G970">
        <f>HYPERLINK("https://www.google.com/maps/search/?api=1&amp;query=24.69798989,46.71405306", "View Map")</f>
        <v/>
      </c>
    </row>
    <row r="971">
      <c r="A971" t="inlineStr">
        <is>
          <t xml:space="preserve">   مسجد حى النسيم .</t>
        </is>
      </c>
      <c r="B971" t="inlineStr">
        <is>
          <t>KFM2020660018671</t>
        </is>
      </c>
      <c r="C971" t="inlineStr">
        <is>
          <t>الرياض</t>
        </is>
      </c>
      <c r="D971" t="inlineStr">
        <is>
          <t>كلا الفترتين</t>
        </is>
      </c>
      <c r="E971" t="n">
        <v>2514</v>
      </c>
      <c r="F971" t="b">
        <v>1</v>
      </c>
      <c r="G971">
        <f>HYPERLINK("https://www.google.com/maps/search/?api=1&amp;query=24.74494592,46.83091449", "View Map")</f>
        <v/>
      </c>
    </row>
    <row r="972">
      <c r="A972" t="inlineStr">
        <is>
          <t xml:space="preserve">   جامع الريس    // افطار صائم .</t>
        </is>
      </c>
      <c r="B972" t="inlineStr">
        <is>
          <t>KFM2120660253464</t>
        </is>
      </c>
      <c r="C972" t="inlineStr">
        <is>
          <t>الرياض</t>
        </is>
      </c>
      <c r="D972" t="inlineStr">
        <is>
          <t>كلا الفترتين</t>
        </is>
      </c>
      <c r="E972" t="n">
        <v>2511</v>
      </c>
      <c r="F972" t="b">
        <v>1</v>
      </c>
      <c r="G972">
        <f>HYPERLINK("https://www.google.com/maps/search/?api=1&amp;query=24.5919537,46.7471375", "View Map")</f>
        <v/>
      </c>
    </row>
    <row r="973">
      <c r="A973" t="inlineStr">
        <is>
          <t xml:space="preserve">   مسجدعبدالله النملة ومرافقيه .</t>
        </is>
      </c>
      <c r="B973" t="inlineStr">
        <is>
          <t>KFM2120660253018</t>
        </is>
      </c>
      <c r="C973" t="inlineStr">
        <is>
          <t>الرياض</t>
        </is>
      </c>
      <c r="D973" t="inlineStr">
        <is>
          <t>كلا الفترتين</t>
        </is>
      </c>
      <c r="E973" t="n">
        <v>2511</v>
      </c>
      <c r="F973" t="b">
        <v>1</v>
      </c>
      <c r="G973">
        <f>HYPERLINK("https://www.google.com/maps/search/?api=1&amp;query=24.77379701,46.67295", "View Map")</f>
        <v/>
      </c>
    </row>
    <row r="974">
      <c r="A974" t="inlineStr">
        <is>
          <t xml:space="preserve">   مسجد ام القرى .</t>
        </is>
      </c>
      <c r="B974" t="inlineStr">
        <is>
          <t>KFM2120660239324</t>
        </is>
      </c>
      <c r="C974" t="inlineStr">
        <is>
          <t>الرياض</t>
        </is>
      </c>
      <c r="D974" t="inlineStr">
        <is>
          <t>كلا الفترتين</t>
        </is>
      </c>
      <c r="E974" t="n">
        <v>2511</v>
      </c>
      <c r="F974" t="b">
        <v>0</v>
      </c>
      <c r="G974">
        <f>HYPERLINK("https://www.google.com/maps/search/?api=1&amp;query=24.71509161,46.78822783", "View Map")</f>
        <v/>
      </c>
    </row>
    <row r="975">
      <c r="A975" t="inlineStr">
        <is>
          <t>مسجد فهد بن كريديس .</t>
        </is>
      </c>
      <c r="B975" t="inlineStr">
        <is>
          <t>KFM2020660045044</t>
        </is>
      </c>
      <c r="C975" t="inlineStr">
        <is>
          <t>الرياض</t>
        </is>
      </c>
      <c r="D975" t="inlineStr">
        <is>
          <t>كلا الفترتين</t>
        </is>
      </c>
      <c r="E975" t="n">
        <v>2510</v>
      </c>
      <c r="F975" t="b">
        <v>0</v>
      </c>
      <c r="G975">
        <f>HYPERLINK("https://www.google.com/maps/search/?api=1&amp;query=24.63608326,46.70658558", "View Map")</f>
        <v/>
      </c>
    </row>
    <row r="976">
      <c r="A976" t="inlineStr">
        <is>
          <t>مسجد ظهرة البديعه .</t>
        </is>
      </c>
      <c r="B976" t="inlineStr">
        <is>
          <t>KFM2020660054949</t>
        </is>
      </c>
      <c r="C976" t="inlineStr">
        <is>
          <t>الرياض</t>
        </is>
      </c>
      <c r="D976" t="inlineStr">
        <is>
          <t>كلا الفترتين</t>
        </is>
      </c>
      <c r="E976" t="n">
        <v>2509</v>
      </c>
      <c r="F976" t="b">
        <v>0</v>
      </c>
      <c r="G976">
        <f>HYPERLINK("https://www.google.com/maps/search/?api=1&amp;query=24.60156908,46.65453849", "View Map")</f>
        <v/>
      </c>
    </row>
    <row r="977">
      <c r="A977" t="inlineStr">
        <is>
          <t xml:space="preserve">   مسجد حي المنار .</t>
        </is>
      </c>
      <c r="B977" t="inlineStr">
        <is>
          <t>KFM2020660133318</t>
        </is>
      </c>
      <c r="C977" t="inlineStr">
        <is>
          <t>الرياض</t>
        </is>
      </c>
      <c r="D977" t="inlineStr">
        <is>
          <t>كلا الفترتين</t>
        </is>
      </c>
      <c r="E977" t="n">
        <v>2508</v>
      </c>
      <c r="F977" t="b">
        <v>0</v>
      </c>
      <c r="G977">
        <f>HYPERLINK("https://www.google.com/maps/search/?api=1&amp;query=24.71890152,46.79571922", "View Map")</f>
        <v/>
      </c>
    </row>
    <row r="978">
      <c r="A978" t="inlineStr">
        <is>
          <t>وزارة     الشئون    والاوقاف .</t>
        </is>
      </c>
      <c r="B978" t="inlineStr">
        <is>
          <t>KFM2120660270636</t>
        </is>
      </c>
      <c r="C978" t="inlineStr">
        <is>
          <t>الرياض</t>
        </is>
      </c>
      <c r="D978" t="inlineStr">
        <is>
          <t>كلا الفترتين</t>
        </is>
      </c>
      <c r="E978" t="n">
        <v>2507</v>
      </c>
      <c r="F978" t="b">
        <v>1</v>
      </c>
      <c r="G978">
        <f>HYPERLINK("https://www.google.com/maps/search/?api=1&amp;query=24.68787843,46.57693484", "View Map")</f>
        <v/>
      </c>
    </row>
    <row r="979">
      <c r="A979" t="inlineStr">
        <is>
          <t>ﻤﺴﺎﺠﺩ .</t>
        </is>
      </c>
      <c r="B979" t="inlineStr">
        <is>
          <t>KFM2020660195086</t>
        </is>
      </c>
      <c r="C979" t="inlineStr">
        <is>
          <t>الرياض</t>
        </is>
      </c>
      <c r="D979" t="inlineStr">
        <is>
          <t>كلا الفترتين</t>
        </is>
      </c>
      <c r="E979" t="n">
        <v>2507</v>
      </c>
      <c r="F979" t="b">
        <v>0</v>
      </c>
      <c r="G979">
        <f>HYPERLINK("https://www.google.com/maps/search/?api=1&amp;query=24.8135129,46.87169413", "View Map")</f>
        <v/>
      </c>
    </row>
    <row r="980">
      <c r="A980" t="inlineStr">
        <is>
          <t xml:space="preserve">   مسجد خالد بن الوليد .</t>
        </is>
      </c>
      <c r="B980" t="inlineStr">
        <is>
          <t>KFM2020660190965</t>
        </is>
      </c>
      <c r="C980" t="inlineStr">
        <is>
          <t>الرياض</t>
        </is>
      </c>
      <c r="D980" t="inlineStr">
        <is>
          <t>كلا الفترتين</t>
        </is>
      </c>
      <c r="E980" t="n">
        <v>2505</v>
      </c>
      <c r="F980" t="b">
        <v>1</v>
      </c>
      <c r="G980">
        <f>HYPERLINK("https://www.google.com/maps/search/?api=1&amp;query=24.76727367,46.78654093", "View Map")</f>
        <v/>
      </c>
    </row>
    <row r="981">
      <c r="A981" t="inlineStr">
        <is>
          <t xml:space="preserve">   جامع بن صالح .</t>
        </is>
      </c>
      <c r="B981" t="inlineStr">
        <is>
          <t>KFM2020660174154</t>
        </is>
      </c>
      <c r="C981" t="inlineStr">
        <is>
          <t>الرياض</t>
        </is>
      </c>
      <c r="D981" t="inlineStr">
        <is>
          <t>كلا الفترتين</t>
        </is>
      </c>
      <c r="E981" t="n">
        <v>2504</v>
      </c>
      <c r="F981" t="b">
        <v>0</v>
      </c>
      <c r="G981">
        <f>HYPERLINK("https://www.google.com/maps/search/?api=1&amp;query=24.66047004,46.6948098", "View Map")</f>
        <v/>
      </c>
    </row>
    <row r="982">
      <c r="A982" t="inlineStr">
        <is>
          <t xml:space="preserve">   مسجد عمر بن الخطاب .</t>
        </is>
      </c>
      <c r="B982" t="inlineStr">
        <is>
          <t>KFM2020660012509</t>
        </is>
      </c>
      <c r="C982" t="inlineStr">
        <is>
          <t>الرياض</t>
        </is>
      </c>
      <c r="D982" t="inlineStr">
        <is>
          <t>كلا الفترتين</t>
        </is>
      </c>
      <c r="E982" t="n">
        <v>2497</v>
      </c>
      <c r="F982" t="b">
        <v>0</v>
      </c>
      <c r="G982">
        <f>HYPERLINK("https://www.google.com/maps/search/?api=1&amp;query=24.80795647,46.86424322", "View Map")</f>
        <v/>
      </c>
    </row>
    <row r="983">
      <c r="A983" t="inlineStr">
        <is>
          <t xml:space="preserve">   مسجد السديري .</t>
        </is>
      </c>
      <c r="B983" t="inlineStr">
        <is>
          <t>KFM2120660236542</t>
        </is>
      </c>
      <c r="C983" t="inlineStr">
        <is>
          <t>الرياض</t>
        </is>
      </c>
      <c r="D983" t="inlineStr">
        <is>
          <t>كلا الفترتين</t>
        </is>
      </c>
      <c r="E983" t="n">
        <v>2496</v>
      </c>
      <c r="F983" t="b">
        <v>1</v>
      </c>
      <c r="G983">
        <f>HYPERLINK("https://www.google.com/maps/search/?api=1&amp;query=24.68310064,46.77263798", "View Map")</f>
        <v/>
      </c>
    </row>
    <row r="984">
      <c r="A984" t="inlineStr">
        <is>
          <t>مسجدالنعيم .</t>
        </is>
      </c>
      <c r="B984" t="inlineStr">
        <is>
          <t>KFM2020660098941</t>
        </is>
      </c>
      <c r="C984" t="inlineStr">
        <is>
          <t>الرياض</t>
        </is>
      </c>
      <c r="D984" t="inlineStr">
        <is>
          <t>كلا الفترتين</t>
        </is>
      </c>
      <c r="E984" t="n">
        <v>2496</v>
      </c>
      <c r="F984" t="b">
        <v>1</v>
      </c>
      <c r="G984">
        <f>HYPERLINK("https://www.google.com/maps/search/?api=1&amp;query=24.55190546,46.65689037", "View Map")</f>
        <v/>
      </c>
    </row>
    <row r="985">
      <c r="A985" t="inlineStr">
        <is>
          <t>مسجد حي نمار .</t>
        </is>
      </c>
      <c r="B985" t="inlineStr">
        <is>
          <t>KFM2020660083825</t>
        </is>
      </c>
      <c r="C985" t="inlineStr">
        <is>
          <t>الرياض</t>
        </is>
      </c>
      <c r="D985" t="inlineStr">
        <is>
          <t>كلا الفترتين</t>
        </is>
      </c>
      <c r="E985" t="n">
        <v>2496</v>
      </c>
      <c r="F985" t="b">
        <v>1</v>
      </c>
      <c r="G985">
        <f>HYPERLINK("https://www.google.com/maps/search/?api=1&amp;query=24.55261447,46.49174604", "View Map")</f>
        <v/>
      </c>
    </row>
    <row r="986">
      <c r="A986" t="inlineStr">
        <is>
          <t xml:space="preserve">   مسجد المغرزات .</t>
        </is>
      </c>
      <c r="B986" t="inlineStr">
        <is>
          <t>KFM2120660258397</t>
        </is>
      </c>
      <c r="C986" t="inlineStr">
        <is>
          <t>الرياض</t>
        </is>
      </c>
      <c r="D986" t="inlineStr">
        <is>
          <t>كلا الفترتين</t>
        </is>
      </c>
      <c r="E986" t="n">
        <v>2495</v>
      </c>
      <c r="F986" t="b">
        <v>0</v>
      </c>
      <c r="G986">
        <f>HYPERLINK("https://www.google.com/maps/search/?api=1&amp;query=24.76304,46.72238", "View Map")</f>
        <v/>
      </c>
    </row>
    <row r="987">
      <c r="A987" t="inlineStr">
        <is>
          <t>ﻤﺴﺎﺠﺩ .</t>
        </is>
      </c>
      <c r="B987" t="inlineStr">
        <is>
          <t>SMR2220661007391</t>
        </is>
      </c>
      <c r="C987" t="inlineStr">
        <is>
          <t>الرياض</t>
        </is>
      </c>
      <c r="D987" t="inlineStr">
        <is>
          <t>كلا الفترتين</t>
        </is>
      </c>
      <c r="E987" t="n">
        <v>2492</v>
      </c>
      <c r="F987" t="b">
        <v>0</v>
      </c>
      <c r="G987">
        <f>HYPERLINK("https://www.google.com/maps/search/?api=1&amp;query=24.6903,46.5869", "View Map")</f>
        <v/>
      </c>
    </row>
    <row r="988">
      <c r="A988" t="inlineStr">
        <is>
          <t xml:space="preserve">   مسجد الاميرة دليل بنت عبدالرحمن .</t>
        </is>
      </c>
      <c r="B988" t="inlineStr">
        <is>
          <t>KFM2120660299478</t>
        </is>
      </c>
      <c r="C988" t="inlineStr">
        <is>
          <t>الرياض</t>
        </is>
      </c>
      <c r="D988" t="inlineStr">
        <is>
          <t>كلا الفترتين</t>
        </is>
      </c>
      <c r="E988" t="n">
        <v>2491</v>
      </c>
      <c r="F988" t="b">
        <v>1</v>
      </c>
      <c r="G988">
        <f>HYPERLINK("https://www.google.com/maps/search/?api=1&amp;query=24.61121842,46.75690634", "View Map")</f>
        <v/>
      </c>
    </row>
    <row r="989">
      <c r="A989" t="inlineStr">
        <is>
          <t>مسجدالراجحى .</t>
        </is>
      </c>
      <c r="B989" t="inlineStr">
        <is>
          <t>KFM2020660099036</t>
        </is>
      </c>
      <c r="C989" t="inlineStr">
        <is>
          <t>الرياض</t>
        </is>
      </c>
      <c r="D989" t="inlineStr">
        <is>
          <t>كلا الفترتين</t>
        </is>
      </c>
      <c r="E989" t="n">
        <v>2488</v>
      </c>
      <c r="F989" t="b">
        <v>0</v>
      </c>
      <c r="G989">
        <f>HYPERLINK("https://www.google.com/maps/search/?api=1&amp;query=24.59807471,46.66745211", "View Map")</f>
        <v/>
      </c>
    </row>
    <row r="990">
      <c r="A990" t="inlineStr">
        <is>
          <t xml:space="preserve">  مسجد/عبدالرحمن فهد صالح الكريديس .</t>
        </is>
      </c>
      <c r="B990" t="inlineStr">
        <is>
          <t>KFM2120660242173</t>
        </is>
      </c>
      <c r="C990" t="inlineStr">
        <is>
          <t>الرياض</t>
        </is>
      </c>
      <c r="D990" t="inlineStr">
        <is>
          <t>كلا الفترتين</t>
        </is>
      </c>
      <c r="E990" t="n">
        <v>2484</v>
      </c>
      <c r="F990" t="b">
        <v>1</v>
      </c>
      <c r="G990">
        <f>HYPERLINK("https://www.google.com/maps/search/?api=1&amp;query=24.69040432,46.60629368", "View Map")</f>
        <v/>
      </c>
    </row>
    <row r="991">
      <c r="A991" t="inlineStr">
        <is>
          <t xml:space="preserve">   مسجد الاخلاص .</t>
        </is>
      </c>
      <c r="B991" t="inlineStr">
        <is>
          <t>KFM2020660195094</t>
        </is>
      </c>
      <c r="C991" t="inlineStr">
        <is>
          <t>الرياض</t>
        </is>
      </c>
      <c r="D991" t="inlineStr">
        <is>
          <t>كلا الفترتين</t>
        </is>
      </c>
      <c r="E991" t="n">
        <v>2481</v>
      </c>
      <c r="F991" t="b">
        <v>1</v>
      </c>
      <c r="G991">
        <f>HYPERLINK("https://www.google.com/maps/search/?api=1&amp;query=24.81262105,46.88175377", "View Map")</f>
        <v/>
      </c>
    </row>
    <row r="992">
      <c r="A992" t="inlineStr">
        <is>
          <t>ﻤﺴﺎﺠﺩ .</t>
        </is>
      </c>
      <c r="B992" t="inlineStr">
        <is>
          <t>KFM2020660160575</t>
        </is>
      </c>
      <c r="C992" t="inlineStr">
        <is>
          <t>الرياض</t>
        </is>
      </c>
      <c r="D992" t="inlineStr">
        <is>
          <t>كلا الفترتين</t>
        </is>
      </c>
      <c r="E992" t="n">
        <v>2481</v>
      </c>
      <c r="F992" t="b">
        <v>1</v>
      </c>
      <c r="G992">
        <f>HYPERLINK("https://www.google.com/maps/search/?api=1&amp;query=24.76371,46.69553", "View Map")</f>
        <v/>
      </c>
    </row>
    <row r="993">
      <c r="A993" t="inlineStr">
        <is>
          <t xml:space="preserve">   مسجد سالم عبدالرحمن السالم .</t>
        </is>
      </c>
      <c r="B993" t="inlineStr">
        <is>
          <t>KFM2120660267475</t>
        </is>
      </c>
      <c r="C993" t="inlineStr">
        <is>
          <t>الرياض</t>
        </is>
      </c>
      <c r="D993" t="inlineStr">
        <is>
          <t>كلا الفترتين</t>
        </is>
      </c>
      <c r="E993" t="n">
        <v>2476</v>
      </c>
      <c r="F993" t="b">
        <v>1</v>
      </c>
      <c r="G993">
        <f>HYPERLINK("https://www.google.com/maps/search/?api=1&amp;query=24.69067085,46.81740514", "View Map")</f>
        <v/>
      </c>
    </row>
    <row r="994">
      <c r="A994" t="inlineStr">
        <is>
          <t>ﻭﺯﺍﺭﺓﺍﻟﺸﺌﻭﻥ ﺍﻻﺴﻼﻤﻴﺓﻭﺍﻻﻭﻗﺎﻑ .</t>
        </is>
      </c>
      <c r="B994" t="inlineStr">
        <is>
          <t>SMR2420868021151</t>
        </is>
      </c>
      <c r="C994" t="inlineStr">
        <is>
          <t>الرياض</t>
        </is>
      </c>
      <c r="D994" t="inlineStr">
        <is>
          <t>كلا الفترتين</t>
        </is>
      </c>
      <c r="E994" t="n">
        <v>2475</v>
      </c>
      <c r="F994" t="b">
        <v>1</v>
      </c>
      <c r="G994">
        <f>HYPERLINK("https://www.google.com/maps/search/?api=1&amp;query=24.68195315,46.57841689", "View Map")</f>
        <v/>
      </c>
    </row>
    <row r="995">
      <c r="A995" t="inlineStr">
        <is>
          <t>خدمات مسجدالامير متعب بن عبدالله آل سعود .</t>
        </is>
      </c>
      <c r="B995" t="inlineStr">
        <is>
          <t>KFM2120660236638</t>
        </is>
      </c>
      <c r="C995" t="inlineStr">
        <is>
          <t>الرياض</t>
        </is>
      </c>
      <c r="D995" t="inlineStr">
        <is>
          <t>كلا الفترتين</t>
        </is>
      </c>
      <c r="E995" t="n">
        <v>2474</v>
      </c>
      <c r="F995" t="b">
        <v>1</v>
      </c>
      <c r="G995">
        <f>HYPERLINK("https://www.google.com/maps/search/?api=1&amp;query=24.71256,46.74539", "View Map")</f>
        <v/>
      </c>
    </row>
    <row r="996">
      <c r="A996" t="inlineStr">
        <is>
          <t xml:space="preserve">   مسجد وسكن السلطان .</t>
        </is>
      </c>
      <c r="B996" t="inlineStr">
        <is>
          <t>KFM2020660144708</t>
        </is>
      </c>
      <c r="C996" t="inlineStr">
        <is>
          <t>الرياض</t>
        </is>
      </c>
      <c r="D996" t="inlineStr">
        <is>
          <t>كلا الفترتين</t>
        </is>
      </c>
      <c r="E996" t="n">
        <v>2472</v>
      </c>
      <c r="F996" t="b">
        <v>0</v>
      </c>
      <c r="G996">
        <f>HYPERLINK("https://www.google.com/maps/search/?api=1&amp;query=24.80429228,46.77294503", "View Map")</f>
        <v/>
      </c>
    </row>
    <row r="997">
      <c r="A997" t="inlineStr">
        <is>
          <t xml:space="preserve">   مسجد العريني .</t>
        </is>
      </c>
      <c r="B997" t="inlineStr">
        <is>
          <t>KFM2020660018691</t>
        </is>
      </c>
      <c r="C997" t="inlineStr">
        <is>
          <t>الرياض</t>
        </is>
      </c>
      <c r="D997" t="inlineStr">
        <is>
          <t>كلا الفترتين</t>
        </is>
      </c>
      <c r="E997" t="n">
        <v>2471</v>
      </c>
      <c r="F997" t="b">
        <v>1</v>
      </c>
      <c r="G997">
        <f>HYPERLINK("https://www.google.com/maps/search/?api=1&amp;query=24.76648616,46.78203754", "View Map")</f>
        <v/>
      </c>
    </row>
    <row r="998">
      <c r="A998" t="inlineStr">
        <is>
          <t xml:space="preserve">   مسجد      موضى      . .</t>
        </is>
      </c>
      <c r="B998" t="inlineStr">
        <is>
          <t>KFM2020660060523</t>
        </is>
      </c>
      <c r="C998" t="inlineStr">
        <is>
          <t>الدرعية</t>
        </is>
      </c>
      <c r="D998" t="inlineStr">
        <is>
          <t>كلا الفترتين</t>
        </is>
      </c>
      <c r="E998" t="n">
        <v>2470</v>
      </c>
      <c r="F998" t="b">
        <v>1</v>
      </c>
      <c r="G998">
        <f>HYPERLINK("https://www.google.com/maps/search/?api=1&amp;query=24.75189835,46.57878527", "View Map")</f>
        <v/>
      </c>
    </row>
    <row r="999">
      <c r="A999" t="inlineStr">
        <is>
          <t xml:space="preserve">   مسجد بخيت  بحي النسيم .</t>
        </is>
      </c>
      <c r="B999" t="inlineStr">
        <is>
          <t>KFM2020660042187</t>
        </is>
      </c>
      <c r="C999" t="inlineStr">
        <is>
          <t>الرياض</t>
        </is>
      </c>
      <c r="D999" t="inlineStr">
        <is>
          <t>كلا الفترتين</t>
        </is>
      </c>
      <c r="E999" t="n">
        <v>2470</v>
      </c>
      <c r="F999" t="b">
        <v>0</v>
      </c>
      <c r="G999">
        <f>HYPERLINK("https://www.google.com/maps/search/?api=1&amp;query=24.74764861,46.83726737", "View Map")</f>
        <v/>
      </c>
    </row>
    <row r="1000">
      <c r="A1000" t="inlineStr">
        <is>
          <t>ﻭﺯﺍﺭﺓﺍﻟﺸﺌﻭﻥ ﺍﻻﺴﻼﻤﻴﺓﻭﺍﻻﻭﻗﺎﻑ .</t>
        </is>
      </c>
      <c r="B1000" t="inlineStr">
        <is>
          <t>KFM2120660256970</t>
        </is>
      </c>
      <c r="C1000" t="inlineStr">
        <is>
          <t>الرياض</t>
        </is>
      </c>
      <c r="D1000" t="inlineStr">
        <is>
          <t>كلا الفترتين</t>
        </is>
      </c>
      <c r="E1000" t="n">
        <v>2469</v>
      </c>
      <c r="F1000" t="b">
        <v>0</v>
      </c>
      <c r="G1000">
        <f>HYPERLINK("https://www.google.com/maps/search/?api=1&amp;query=24.56395998,46.81127406", "View Map")</f>
        <v/>
      </c>
    </row>
    <row r="1001">
      <c r="A1001" t="inlineStr">
        <is>
          <t xml:space="preserve">   مسجد حي الندى .</t>
        </is>
      </c>
      <c r="B1001" t="inlineStr">
        <is>
          <t>KFM2020660211449</t>
        </is>
      </c>
      <c r="C1001" t="inlineStr">
        <is>
          <t>الرياض</t>
        </is>
      </c>
      <c r="D1001" t="inlineStr">
        <is>
          <t>كلا الفترتين</t>
        </is>
      </c>
      <c r="E1001" t="n">
        <v>2469</v>
      </c>
      <c r="F1001" t="b">
        <v>0</v>
      </c>
      <c r="G1001">
        <f>HYPERLINK("https://www.google.com/maps/search/?api=1&amp;query=24.80458154,46.69120757", "View Map")</f>
        <v/>
      </c>
    </row>
    <row r="1002">
      <c r="A1002" t="inlineStr">
        <is>
          <t xml:space="preserve">   مسجد جامع المحيسن .</t>
        </is>
      </c>
      <c r="B1002" t="inlineStr">
        <is>
          <t>KFM2020660209030</t>
        </is>
      </c>
      <c r="C1002" t="inlineStr">
        <is>
          <t>الرياض</t>
        </is>
      </c>
      <c r="D1002" t="inlineStr">
        <is>
          <t>كلا الفترتين</t>
        </is>
      </c>
      <c r="E1002" t="n">
        <v>2466</v>
      </c>
      <c r="F1002" t="b">
        <v>0</v>
      </c>
      <c r="G1002">
        <f>HYPERLINK("https://www.google.com/maps/search/?api=1&amp;query=24.73600851,46.69288173", "View Map")</f>
        <v/>
      </c>
    </row>
    <row r="1003">
      <c r="A1003" t="inlineStr">
        <is>
          <t>مسجد الهدى .</t>
        </is>
      </c>
      <c r="B1003" t="inlineStr">
        <is>
          <t>KFM2020660165556</t>
        </is>
      </c>
      <c r="C1003" t="inlineStr">
        <is>
          <t>الرياض</t>
        </is>
      </c>
      <c r="D1003" t="inlineStr">
        <is>
          <t>كلا الفترتين</t>
        </is>
      </c>
      <c r="E1003" t="n">
        <v>2463</v>
      </c>
      <c r="F1003" t="b">
        <v>1</v>
      </c>
      <c r="G1003">
        <f>HYPERLINK("https://www.google.com/maps/search/?api=1&amp;query=24.73947482,46.67952217", "View Map")</f>
        <v/>
      </c>
    </row>
    <row r="1004">
      <c r="A1004" t="inlineStr">
        <is>
          <t xml:space="preserve">   مسجد 6 حي الجزيرة .</t>
        </is>
      </c>
      <c r="B1004" t="inlineStr">
        <is>
          <t>KFM2120660282721</t>
        </is>
      </c>
      <c r="C1004" t="inlineStr">
        <is>
          <t>الرياض</t>
        </is>
      </c>
      <c r="D1004" t="inlineStr">
        <is>
          <t>كلا الفترتين</t>
        </is>
      </c>
      <c r="E1004" t="n">
        <v>2461</v>
      </c>
      <c r="F1004" t="b">
        <v>1</v>
      </c>
      <c r="G1004">
        <f>HYPERLINK("https://www.google.com/maps/search/?api=1&amp;query=24.66026452,46.79987258", "View Map")</f>
        <v/>
      </c>
    </row>
    <row r="1005">
      <c r="A1005" t="inlineStr">
        <is>
          <t>مسجد الشيخ  عبدالله  الحجي مع السكن .</t>
        </is>
      </c>
      <c r="B1005" t="inlineStr">
        <is>
          <t>KFM2020660200442</t>
        </is>
      </c>
      <c r="C1005" t="inlineStr">
        <is>
          <t>الرياض</t>
        </is>
      </c>
      <c r="D1005" t="inlineStr">
        <is>
          <t>كلا الفترتين</t>
        </is>
      </c>
      <c r="E1005" t="n">
        <v>2460</v>
      </c>
      <c r="F1005" t="b">
        <v>1</v>
      </c>
      <c r="G1005">
        <f>HYPERLINK("https://www.google.com/maps/search/?api=1&amp;query=24.59860619,46.60744027", "View Map")</f>
        <v/>
      </c>
    </row>
    <row r="1006">
      <c r="A1006" t="inlineStr">
        <is>
          <t xml:space="preserve">   مسجد حي الريان .</t>
        </is>
      </c>
      <c r="B1006" t="inlineStr">
        <is>
          <t>KFM2020660167839</t>
        </is>
      </c>
      <c r="C1006" t="inlineStr">
        <is>
          <t>الرياض</t>
        </is>
      </c>
      <c r="D1006" t="inlineStr">
        <is>
          <t>كلا الفترتين</t>
        </is>
      </c>
      <c r="E1006" t="n">
        <v>2454</v>
      </c>
      <c r="F1006" t="b">
        <v>1</v>
      </c>
      <c r="G1006">
        <f>HYPERLINK("https://www.google.com/maps/search/?api=1&amp;query=24.70732799,46.77285643", "View Map")</f>
        <v/>
      </c>
    </row>
    <row r="1007">
      <c r="A1007" t="inlineStr">
        <is>
          <t xml:space="preserve">   مسـجد الراجحـي .</t>
        </is>
      </c>
      <c r="B1007" t="inlineStr">
        <is>
          <t>KFM2120660256944</t>
        </is>
      </c>
      <c r="C1007" t="inlineStr">
        <is>
          <t>الرياض</t>
        </is>
      </c>
      <c r="D1007" t="inlineStr">
        <is>
          <t>كلا الفترتين</t>
        </is>
      </c>
      <c r="E1007" t="n">
        <v>2453</v>
      </c>
      <c r="F1007" t="b">
        <v>1</v>
      </c>
      <c r="G1007">
        <f>HYPERLINK("https://www.google.com/maps/search/?api=1&amp;query=24.70066703,46.752692", "View Map")</f>
        <v/>
      </c>
    </row>
    <row r="1008">
      <c r="A1008" t="inlineStr">
        <is>
          <t xml:space="preserve">     مسجد قحصان محمد اليامي .</t>
        </is>
      </c>
      <c r="B1008" t="inlineStr">
        <is>
          <t>KFM2020660170742</t>
        </is>
      </c>
      <c r="C1008" t="inlineStr">
        <is>
          <t>الرياض</t>
        </is>
      </c>
      <c r="D1008" t="inlineStr">
        <is>
          <t>كلا الفترتين</t>
        </is>
      </c>
      <c r="E1008" t="n">
        <v>2453</v>
      </c>
      <c r="F1008" t="b">
        <v>1</v>
      </c>
      <c r="G1008">
        <f>HYPERLINK("https://www.google.com/maps/search/?api=1&amp;query=24.7786849,46.77117956", "View Map")</f>
        <v/>
      </c>
    </row>
    <row r="1009">
      <c r="A1009" t="inlineStr">
        <is>
          <t>ﻤﺴﺎﺠﺩ .</t>
        </is>
      </c>
      <c r="B1009" t="inlineStr">
        <is>
          <t>SMR2220661006778</t>
        </is>
      </c>
      <c r="C1009" t="inlineStr">
        <is>
          <t>الرياض</t>
        </is>
      </c>
      <c r="D1009" t="inlineStr">
        <is>
          <t>كلا الفترتين</t>
        </is>
      </c>
      <c r="E1009" t="n">
        <v>2452</v>
      </c>
      <c r="F1009" t="b">
        <v>1</v>
      </c>
      <c r="G1009">
        <f>HYPERLINK("https://www.google.com/maps/search/?api=1&amp;query=24.74721727,46.62628386", "View Map")</f>
        <v/>
      </c>
    </row>
    <row r="1010">
      <c r="A1010" t="inlineStr">
        <is>
          <t xml:space="preserve">   مسجد الا ميرة نورة بنت مشعل .</t>
        </is>
      </c>
      <c r="B1010" t="inlineStr">
        <is>
          <t>KFM2020660139693</t>
        </is>
      </c>
      <c r="C1010" t="inlineStr">
        <is>
          <t>الرياض</t>
        </is>
      </c>
      <c r="D1010" t="inlineStr">
        <is>
          <t>كلا الفترتين</t>
        </is>
      </c>
      <c r="E1010" t="n">
        <v>2450</v>
      </c>
      <c r="F1010" t="b">
        <v>1</v>
      </c>
      <c r="G1010">
        <f>HYPERLINK("https://www.google.com/maps/search/?api=1&amp;query=24.74132249,46.78830507", "View Map")</f>
        <v/>
      </c>
    </row>
    <row r="1011">
      <c r="A1011" t="inlineStr">
        <is>
          <t xml:space="preserve">   مسجدابوسفيان .</t>
        </is>
      </c>
      <c r="B1011" t="inlineStr">
        <is>
          <t>KFM2020660171228</t>
        </is>
      </c>
      <c r="C1011" t="inlineStr">
        <is>
          <t>الرياض</t>
        </is>
      </c>
      <c r="D1011" t="inlineStr">
        <is>
          <t>كلا الفترتين</t>
        </is>
      </c>
      <c r="E1011" t="n">
        <v>2447</v>
      </c>
      <c r="F1011" t="b">
        <v>1</v>
      </c>
      <c r="G1011">
        <f>HYPERLINK("https://www.google.com/maps/search/?api=1&amp;query=24.73137056,46.85275576", "View Map")</f>
        <v/>
      </c>
    </row>
    <row r="1012">
      <c r="A1012" t="inlineStr">
        <is>
          <t>ﻤﺴﺎﺠﺩ .</t>
        </is>
      </c>
      <c r="B1012" t="inlineStr">
        <is>
          <t>KFM2020660170643</t>
        </is>
      </c>
      <c r="C1012" t="inlineStr">
        <is>
          <t>الرياض</t>
        </is>
      </c>
      <c r="D1012" t="inlineStr">
        <is>
          <t>كلا الفترتين</t>
        </is>
      </c>
      <c r="E1012" t="n">
        <v>2446</v>
      </c>
      <c r="F1012" t="b">
        <v>1</v>
      </c>
      <c r="G1012">
        <f>HYPERLINK("https://www.google.com/maps/search/?api=1&amp;query=24.83270518,46.75637819", "View Map")</f>
        <v/>
      </c>
    </row>
    <row r="1013">
      <c r="A1013" t="inlineStr">
        <is>
          <t xml:space="preserve">   مسجد شرق الربوه .</t>
        </is>
      </c>
      <c r="B1013" t="inlineStr">
        <is>
          <t>KFM2020660130970</t>
        </is>
      </c>
      <c r="C1013" t="inlineStr">
        <is>
          <t>الرياض</t>
        </is>
      </c>
      <c r="D1013" t="inlineStr">
        <is>
          <t>كلا الفترتين</t>
        </is>
      </c>
      <c r="E1013" t="n">
        <v>2444</v>
      </c>
      <c r="F1013" t="b">
        <v>1</v>
      </c>
      <c r="G1013">
        <f>HYPERLINK("https://www.google.com/maps/search/?api=1&amp;query=24.70415088,46.78257565", "View Map")</f>
        <v/>
      </c>
    </row>
    <row r="1014">
      <c r="A1014" t="inlineStr">
        <is>
          <t xml:space="preserve">   مسجد المصيريعى 5/2777</t>
        </is>
      </c>
      <c r="B1014" t="inlineStr">
        <is>
          <t>KFM2120660301611</t>
        </is>
      </c>
      <c r="C1014" t="inlineStr">
        <is>
          <t>الرياض</t>
        </is>
      </c>
      <c r="D1014" t="inlineStr">
        <is>
          <t>كلا الفترتين</t>
        </is>
      </c>
      <c r="E1014" t="n">
        <v>2443</v>
      </c>
      <c r="F1014" t="b">
        <v>1</v>
      </c>
      <c r="G1014">
        <f>HYPERLINK("https://www.google.com/maps/search/?api=1&amp;query=24.62866987,46.72821145", "View Map")</f>
        <v/>
      </c>
    </row>
    <row r="1015">
      <c r="A1015" t="inlineStr">
        <is>
          <t xml:space="preserve">   مسجد عمر بن عبدالعزيز .</t>
        </is>
      </c>
      <c r="B1015" t="inlineStr">
        <is>
          <t>KFM2020660191811</t>
        </is>
      </c>
      <c r="C1015" t="inlineStr">
        <is>
          <t>الرياض</t>
        </is>
      </c>
      <c r="D1015" t="inlineStr">
        <is>
          <t>كلا الفترتين</t>
        </is>
      </c>
      <c r="E1015" t="n">
        <v>2443</v>
      </c>
      <c r="F1015" t="b">
        <v>1</v>
      </c>
      <c r="G1015">
        <f>HYPERLINK("https://www.google.com/maps/search/?api=1&amp;query=24.70369435,46.80415082", "View Map")</f>
        <v/>
      </c>
    </row>
    <row r="1016">
      <c r="A1016" t="inlineStr">
        <is>
          <t>مسجد السويدي .</t>
        </is>
      </c>
      <c r="B1016" t="inlineStr">
        <is>
          <t>KFM2020660051670</t>
        </is>
      </c>
      <c r="C1016" t="inlineStr">
        <is>
          <t>الرياض</t>
        </is>
      </c>
      <c r="D1016" t="inlineStr">
        <is>
          <t>كلا الفترتين</t>
        </is>
      </c>
      <c r="E1016" t="n">
        <v>2442</v>
      </c>
      <c r="F1016" t="b">
        <v>0</v>
      </c>
      <c r="G1016">
        <f>HYPERLINK("https://www.google.com/maps/search/?api=1&amp;query=24.58311375,46.67311891", "View Map")</f>
        <v/>
      </c>
    </row>
    <row r="1017">
      <c r="A1017" t="inlineStr">
        <is>
          <t>.     مسجد      القاسم .</t>
        </is>
      </c>
      <c r="B1017" t="inlineStr">
        <is>
          <t>KFM2020660203426</t>
        </is>
      </c>
      <c r="C1017" t="inlineStr">
        <is>
          <t>الرياض</t>
        </is>
      </c>
      <c r="D1017" t="inlineStr">
        <is>
          <t>كلا الفترتين</t>
        </is>
      </c>
      <c r="E1017" t="n">
        <v>2442</v>
      </c>
      <c r="F1017" t="b">
        <v>1</v>
      </c>
      <c r="G1017">
        <f>HYPERLINK("https://www.google.com/maps/search/?api=1&amp;query=24.57561083,46.70002752", "View Map")</f>
        <v/>
      </c>
    </row>
    <row r="1018">
      <c r="A1018" t="inlineStr">
        <is>
          <t xml:space="preserve">   مسجد الخالديه /بالدرعيه .</t>
        </is>
      </c>
      <c r="B1018" t="inlineStr">
        <is>
          <t>KFM2020660027759</t>
        </is>
      </c>
      <c r="C1018" t="inlineStr">
        <is>
          <t>الدرعية</t>
        </is>
      </c>
      <c r="D1018" t="inlineStr">
        <is>
          <t>كلا الفترتين</t>
        </is>
      </c>
      <c r="E1018" t="n">
        <v>2442</v>
      </c>
      <c r="F1018" t="b">
        <v>1</v>
      </c>
      <c r="G1018">
        <f>HYPERLINK("https://www.google.com/maps/search/?api=1&amp;query=24.7532337,46.57687528", "View Map")</f>
        <v/>
      </c>
    </row>
    <row r="1019">
      <c r="A1019" t="inlineStr">
        <is>
          <t xml:space="preserve">   مسجد راشد التميمي .</t>
        </is>
      </c>
      <c r="B1019" t="inlineStr">
        <is>
          <t>KFM2020660031676</t>
        </is>
      </c>
      <c r="C1019" t="inlineStr">
        <is>
          <t>الرياض</t>
        </is>
      </c>
      <c r="D1019" t="inlineStr">
        <is>
          <t>كلا الفترتين</t>
        </is>
      </c>
      <c r="E1019" t="n">
        <v>2439</v>
      </c>
      <c r="F1019" t="b">
        <v>0</v>
      </c>
      <c r="G1019">
        <f>HYPERLINK("https://www.google.com/maps/search/?api=1&amp;query=24.61708804,46.82126102", "View Map")</f>
        <v/>
      </c>
    </row>
    <row r="1020">
      <c r="A1020" t="inlineStr">
        <is>
          <t xml:space="preserve">   مسجد / عبدالله ال براهيم .</t>
        </is>
      </c>
      <c r="B1020" t="inlineStr">
        <is>
          <t>KFM2020660174301</t>
        </is>
      </c>
      <c r="C1020" t="inlineStr">
        <is>
          <t>الرياض</t>
        </is>
      </c>
      <c r="D1020" t="inlineStr">
        <is>
          <t>كلا الفترتين</t>
        </is>
      </c>
      <c r="E1020" t="n">
        <v>2436</v>
      </c>
      <c r="F1020" t="b">
        <v>1</v>
      </c>
      <c r="G1020">
        <f>HYPERLINK("https://www.google.com/maps/search/?api=1&amp;query=24.79925151,46.75696958", "View Map")</f>
        <v/>
      </c>
    </row>
    <row r="1021">
      <c r="A1021" t="inlineStr">
        <is>
          <t>ﻤﺴﺎﺠﺩ .</t>
        </is>
      </c>
      <c r="B1021" t="inlineStr">
        <is>
          <t>SMR2320661020739</t>
        </is>
      </c>
      <c r="C1021" t="inlineStr">
        <is>
          <t>الرياض</t>
        </is>
      </c>
      <c r="D1021" t="inlineStr">
        <is>
          <t>كلا الفترتين</t>
        </is>
      </c>
      <c r="E1021" t="n">
        <v>2436</v>
      </c>
      <c r="F1021" t="b">
        <v>1</v>
      </c>
      <c r="G1021">
        <f>HYPERLINK("https://www.google.com/maps/search/?api=1&amp;query=24.63936591,46.48995104", "View Map")</f>
        <v/>
      </c>
    </row>
    <row r="1022">
      <c r="A1022" t="inlineStr">
        <is>
          <t xml:space="preserve">   مسجد الامير متعب بن عبدالعزيز .</t>
        </is>
      </c>
      <c r="B1022" t="inlineStr">
        <is>
          <t>KFM2120660276222</t>
        </is>
      </c>
      <c r="C1022" t="inlineStr">
        <is>
          <t>الرياض</t>
        </is>
      </c>
      <c r="D1022" t="inlineStr">
        <is>
          <t>كلا الفترتين</t>
        </is>
      </c>
      <c r="E1022" t="n">
        <v>2433</v>
      </c>
      <c r="F1022" t="b">
        <v>1</v>
      </c>
      <c r="G1022">
        <f>HYPERLINK("https://www.google.com/maps/search/?api=1&amp;query=24.67811386,46.70644698", "View Map")</f>
        <v/>
      </c>
    </row>
    <row r="1023">
      <c r="A1023" t="inlineStr">
        <is>
          <t xml:space="preserve">   مسجد متعب الدعجاني .</t>
        </is>
      </c>
      <c r="B1023" t="inlineStr">
        <is>
          <t>KFM2020660054529</t>
        </is>
      </c>
      <c r="C1023" t="inlineStr">
        <is>
          <t>الرياض</t>
        </is>
      </c>
      <c r="D1023" t="inlineStr">
        <is>
          <t>كلا الفترتين</t>
        </is>
      </c>
      <c r="E1023" t="n">
        <v>2432</v>
      </c>
      <c r="F1023" t="b">
        <v>1</v>
      </c>
      <c r="G1023">
        <f>HYPERLINK("https://www.google.com/maps/search/?api=1&amp;query=24.610464,46.71866615", "View Map")</f>
        <v/>
      </c>
    </row>
    <row r="1024">
      <c r="A1024" t="inlineStr">
        <is>
          <t>مسجد محمد عبدالله  العشوخ .</t>
        </is>
      </c>
      <c r="B1024" t="inlineStr">
        <is>
          <t>KFM2020660055021</t>
        </is>
      </c>
      <c r="C1024" t="inlineStr">
        <is>
          <t>الرياض</t>
        </is>
      </c>
      <c r="D1024" t="inlineStr">
        <is>
          <t>كلا الفترتين</t>
        </is>
      </c>
      <c r="E1024" t="n">
        <v>2430</v>
      </c>
      <c r="F1024" t="b">
        <v>1</v>
      </c>
      <c r="G1024">
        <f>HYPERLINK("https://www.google.com/maps/search/?api=1&amp;query=24.58363943,46.67838005", "View Map")</f>
        <v/>
      </c>
    </row>
    <row r="1025">
      <c r="A1025" t="inlineStr">
        <is>
          <t>ﻤﺴﺎﺠﺩ .</t>
        </is>
      </c>
      <c r="B1025" t="inlineStr">
        <is>
          <t>KFM2120655002498</t>
        </is>
      </c>
      <c r="C1025" t="inlineStr">
        <is>
          <t>الرياض</t>
        </is>
      </c>
      <c r="D1025" t="inlineStr">
        <is>
          <t>كلا الفترتين</t>
        </is>
      </c>
      <c r="E1025" t="n">
        <v>2430</v>
      </c>
      <c r="F1025" t="b">
        <v>1</v>
      </c>
      <c r="G1025">
        <f>HYPERLINK("https://www.google.com/maps/search/?api=1&amp;query=24.85522799,46.62433144", "View Map")</f>
        <v/>
      </c>
    </row>
    <row r="1026">
      <c r="A1026" t="inlineStr">
        <is>
          <t xml:space="preserve">   مسجد فهيد دعيج المطيري ومرافقه .</t>
        </is>
      </c>
      <c r="B1026" t="inlineStr">
        <is>
          <t>KFM2020660211324</t>
        </is>
      </c>
      <c r="C1026" t="inlineStr">
        <is>
          <t>الرياض</t>
        </is>
      </c>
      <c r="D1026" t="inlineStr">
        <is>
          <t>كلا الفترتين</t>
        </is>
      </c>
      <c r="E1026" t="n">
        <v>2428</v>
      </c>
      <c r="F1026" t="b">
        <v>1</v>
      </c>
      <c r="G1026">
        <f>HYPERLINK("https://www.google.com/maps/search/?api=1&amp;query=24.62948346,46.55079822", "View Map")</f>
        <v/>
      </c>
    </row>
    <row r="1027">
      <c r="A1027" t="inlineStr">
        <is>
          <t xml:space="preserve">   مسجد صالح العليان .</t>
        </is>
      </c>
      <c r="B1027" t="inlineStr">
        <is>
          <t>KFM2020660018703</t>
        </is>
      </c>
      <c r="C1027" t="inlineStr">
        <is>
          <t>الرياض</t>
        </is>
      </c>
      <c r="D1027" t="inlineStr">
        <is>
          <t>كلا الفترتين</t>
        </is>
      </c>
      <c r="E1027" t="n">
        <v>2424</v>
      </c>
      <c r="F1027" t="b">
        <v>1</v>
      </c>
      <c r="G1027">
        <f>HYPERLINK("https://www.google.com/maps/search/?api=1&amp;query=24.70904817,46.8313787", "View Map")</f>
        <v/>
      </c>
    </row>
    <row r="1028">
      <c r="A1028" t="inlineStr">
        <is>
          <t>ﻤﺴﺎﺠﺩ .</t>
        </is>
      </c>
      <c r="B1028" t="inlineStr">
        <is>
          <t>KFM2020660195214</t>
        </is>
      </c>
      <c r="C1028" t="inlineStr">
        <is>
          <t>الرياض</t>
        </is>
      </c>
      <c r="D1028" t="inlineStr">
        <is>
          <t>كلا الفترتين</t>
        </is>
      </c>
      <c r="E1028" t="n">
        <v>2422</v>
      </c>
      <c r="F1028" t="b">
        <v>1</v>
      </c>
      <c r="G1028">
        <f>HYPERLINK("https://www.google.com/maps/search/?api=1&amp;query=24.8067,46.8792", "View Map")</f>
        <v/>
      </c>
    </row>
    <row r="1029">
      <c r="A1029" t="inlineStr">
        <is>
          <t xml:space="preserve">   مسجد الشيخ عبدالعزيز ال الشيخ .</t>
        </is>
      </c>
      <c r="B1029" t="inlineStr">
        <is>
          <t>KFM2020660053610</t>
        </is>
      </c>
      <c r="C1029" t="inlineStr">
        <is>
          <t>الرياض</t>
        </is>
      </c>
      <c r="D1029" t="inlineStr">
        <is>
          <t>كلا الفترتين</t>
        </is>
      </c>
      <c r="E1029" t="n">
        <v>2421</v>
      </c>
      <c r="F1029" t="b">
        <v>0</v>
      </c>
      <c r="G1029">
        <f>HYPERLINK("https://www.google.com/maps/search/?api=1&amp;query=24.79855301,46.61681285", "View Map")</f>
        <v/>
      </c>
    </row>
    <row r="1030">
      <c r="A1030" t="inlineStr">
        <is>
          <t>ﻭﺯﺍﺭﺓﺍﻟﺸﺌﻭﻥ ﺍﻻﺴﻼﻤﻴﺓﻭﺍﻻﻭﻗﺎﻑ .</t>
        </is>
      </c>
      <c r="B1030" t="inlineStr">
        <is>
          <t>KFM2120660257430</t>
        </is>
      </c>
      <c r="C1030" t="inlineStr">
        <is>
          <t>الرياض</t>
        </is>
      </c>
      <c r="D1030" t="inlineStr">
        <is>
          <t>كلا الفترتين</t>
        </is>
      </c>
      <c r="E1030" t="n">
        <v>2421</v>
      </c>
      <c r="F1030" t="b">
        <v>1</v>
      </c>
      <c r="G1030">
        <f>HYPERLINK("https://www.google.com/maps/search/?api=1&amp;query=24.68303487,46.57086891", "View Map")</f>
        <v/>
      </c>
    </row>
    <row r="1031">
      <c r="A1031" t="inlineStr">
        <is>
          <t>ﻤﺴﺎﺠﺩ .</t>
        </is>
      </c>
      <c r="B1031" t="inlineStr">
        <is>
          <t>KFM2020660201999</t>
        </is>
      </c>
      <c r="C1031" t="inlineStr">
        <is>
          <t>الرياض</t>
        </is>
      </c>
      <c r="D1031" t="inlineStr">
        <is>
          <t>كلا الفترتين</t>
        </is>
      </c>
      <c r="E1031" t="n">
        <v>2420</v>
      </c>
      <c r="F1031" t="b">
        <v>0</v>
      </c>
      <c r="G1031">
        <f>HYPERLINK("https://www.google.com/maps/search/?api=1&amp;query=24.8714,46.6583", "View Map")</f>
        <v/>
      </c>
    </row>
    <row r="1032">
      <c r="A1032" t="inlineStr">
        <is>
          <t>ﻤﺴﺎﺠﺩ .</t>
        </is>
      </c>
      <c r="B1032" t="inlineStr">
        <is>
          <t>KFM2120660286878</t>
        </is>
      </c>
      <c r="C1032" t="inlineStr">
        <is>
          <t>الرياض</t>
        </is>
      </c>
      <c r="D1032" t="inlineStr">
        <is>
          <t>كلا الفترتين</t>
        </is>
      </c>
      <c r="E1032" t="n">
        <v>2417</v>
      </c>
      <c r="F1032" t="b">
        <v>1</v>
      </c>
      <c r="G1032">
        <f>HYPERLINK("https://www.google.com/maps/search/?api=1&amp;query=24.79224368,46.59500959", "View Map")</f>
        <v/>
      </c>
    </row>
    <row r="1033">
      <c r="A1033" t="inlineStr">
        <is>
          <t xml:space="preserve">   مسجد حي  الخليج .</t>
        </is>
      </c>
      <c r="B1033" t="inlineStr">
        <is>
          <t>KFM2020660047186</t>
        </is>
      </c>
      <c r="C1033" t="inlineStr">
        <is>
          <t>الرياض</t>
        </is>
      </c>
      <c r="D1033" t="inlineStr">
        <is>
          <t>كلا الفترتين</t>
        </is>
      </c>
      <c r="E1033" t="n">
        <v>2417</v>
      </c>
      <c r="F1033" t="b">
        <v>1</v>
      </c>
      <c r="G1033">
        <f>HYPERLINK("https://www.google.com/maps/search/?api=1&amp;query=24.78899029,46.82223183", "View Map")</f>
        <v/>
      </c>
    </row>
    <row r="1034">
      <c r="A1034" t="inlineStr">
        <is>
          <t xml:space="preserve">   مسجد محمد الأمين .</t>
        </is>
      </c>
      <c r="B1034" t="inlineStr">
        <is>
          <t>KFM2020660142082</t>
        </is>
      </c>
      <c r="C1034" t="inlineStr">
        <is>
          <t>الرياض</t>
        </is>
      </c>
      <c r="D1034" t="inlineStr">
        <is>
          <t>كلا الفترتين</t>
        </is>
      </c>
      <c r="E1034" t="n">
        <v>2417</v>
      </c>
      <c r="F1034" t="b">
        <v>1</v>
      </c>
      <c r="G1034">
        <f>HYPERLINK("https://www.google.com/maps/search/?api=1&amp;query=24.69826097,46.80339704", "View Map")</f>
        <v/>
      </c>
    </row>
    <row r="1035">
      <c r="A1035" t="inlineStr">
        <is>
          <t>مسجد حي العريجاء .</t>
        </is>
      </c>
      <c r="B1035" t="inlineStr">
        <is>
          <t>KFM2020660057901</t>
        </is>
      </c>
      <c r="C1035" t="inlineStr">
        <is>
          <t>الرياض</t>
        </is>
      </c>
      <c r="D1035" t="inlineStr">
        <is>
          <t>كلا الفترتين</t>
        </is>
      </c>
      <c r="E1035" t="n">
        <v>2416</v>
      </c>
      <c r="F1035" t="b">
        <v>1</v>
      </c>
      <c r="G1035">
        <f>HYPERLINK("https://www.google.com/maps/search/?api=1&amp;query=24.58115827,46.57092668", "View Map")</f>
        <v/>
      </c>
    </row>
    <row r="1036">
      <c r="A1036" t="inlineStr">
        <is>
          <t xml:space="preserve">   مسجد جامع الملز الاول .</t>
        </is>
      </c>
      <c r="B1036" t="inlineStr">
        <is>
          <t>KFM2120660282676</t>
        </is>
      </c>
      <c r="C1036" t="inlineStr">
        <is>
          <t>الرياض</t>
        </is>
      </c>
      <c r="D1036" t="inlineStr">
        <is>
          <t>كلا الفترتين</t>
        </is>
      </c>
      <c r="E1036" t="n">
        <v>2416</v>
      </c>
      <c r="F1036" t="b">
        <v>1</v>
      </c>
      <c r="G1036">
        <f>HYPERLINK("https://www.google.com/maps/search/?api=1&amp;query=24.67397487,46.72966388", "View Map")</f>
        <v/>
      </c>
    </row>
    <row r="1037">
      <c r="A1037" t="inlineStr">
        <is>
          <t>ﻤﺴﺎﺠﺩ .</t>
        </is>
      </c>
      <c r="B1037" t="inlineStr">
        <is>
          <t>KFM2120660304077</t>
        </is>
      </c>
      <c r="C1037" t="inlineStr">
        <is>
          <t>الرياض</t>
        </is>
      </c>
      <c r="D1037" t="inlineStr">
        <is>
          <t>كلا الفترتين</t>
        </is>
      </c>
      <c r="E1037" t="n">
        <v>2414</v>
      </c>
      <c r="F1037" t="b">
        <v>0</v>
      </c>
      <c r="G1037">
        <f>HYPERLINK("https://www.google.com/maps/search/?api=1&amp;query=24.63814347,46.73476715", "View Map")</f>
        <v/>
      </c>
    </row>
    <row r="1038">
      <c r="A1038" t="inlineStr">
        <is>
          <t xml:space="preserve">   مسجد ذوالنورين .</t>
        </is>
      </c>
      <c r="B1038" t="inlineStr">
        <is>
          <t>KFM2020660195173</t>
        </is>
      </c>
      <c r="C1038" t="inlineStr">
        <is>
          <t>الرياض</t>
        </is>
      </c>
      <c r="D1038" t="inlineStr">
        <is>
          <t>كلا الفترتين</t>
        </is>
      </c>
      <c r="E1038" t="n">
        <v>2413</v>
      </c>
      <c r="F1038" t="b">
        <v>1</v>
      </c>
      <c r="G1038">
        <f>HYPERLINK("https://www.google.com/maps/search/?api=1&amp;query=24.69963299,46.80964405", "View Map")</f>
        <v/>
      </c>
    </row>
    <row r="1039">
      <c r="A1039" t="inlineStr">
        <is>
          <t xml:space="preserve">   مسجد عكاشه .</t>
        </is>
      </c>
      <c r="B1039" t="inlineStr">
        <is>
          <t>KFM2120660258945</t>
        </is>
      </c>
      <c r="C1039" t="inlineStr">
        <is>
          <t>الرياض</t>
        </is>
      </c>
      <c r="D1039" t="inlineStr">
        <is>
          <t>كلا الفترتين</t>
        </is>
      </c>
      <c r="E1039" t="n">
        <v>2410</v>
      </c>
      <c r="F1039" t="b">
        <v>1</v>
      </c>
      <c r="G1039">
        <f>HYPERLINK("https://www.google.com/maps/search/?api=1&amp;query=24.67065671,46.80566227", "View Map")</f>
        <v/>
      </c>
    </row>
    <row r="1040">
      <c r="A1040" t="inlineStr">
        <is>
          <t xml:space="preserve">   مسجد المحيسن .</t>
        </is>
      </c>
      <c r="B1040" t="inlineStr">
        <is>
          <t>KFM2020660191626</t>
        </is>
      </c>
      <c r="C1040" t="inlineStr">
        <is>
          <t>الرياض</t>
        </is>
      </c>
      <c r="D1040" t="inlineStr">
        <is>
          <t>كلا الفترتين</t>
        </is>
      </c>
      <c r="E1040" t="n">
        <v>2406</v>
      </c>
      <c r="F1040" t="b">
        <v>1</v>
      </c>
      <c r="G1040">
        <f>HYPERLINK("https://www.google.com/maps/search/?api=1&amp;query=24.75823602,46.72582692", "View Map")</f>
        <v/>
      </c>
    </row>
    <row r="1041">
      <c r="A1041" t="inlineStr">
        <is>
          <t>ﻤﺴﺎﺠﺩ .</t>
        </is>
      </c>
      <c r="B1041" t="inlineStr">
        <is>
          <t>KFM2020660044643</t>
        </is>
      </c>
      <c r="C1041" t="inlineStr">
        <is>
          <t>الرياض</t>
        </is>
      </c>
      <c r="D1041" t="inlineStr">
        <is>
          <t>كلا الفترتين</t>
        </is>
      </c>
      <c r="E1041" t="n">
        <v>2406</v>
      </c>
      <c r="F1041" t="b">
        <v>1</v>
      </c>
      <c r="G1041">
        <f>HYPERLINK("https://www.google.com/maps/search/?api=1&amp;query=24.64417295,46.79255834", "View Map")</f>
        <v/>
      </c>
    </row>
    <row r="1042">
      <c r="A1042" t="inlineStr">
        <is>
          <t>مسجد غرب شبراء .</t>
        </is>
      </c>
      <c r="B1042" t="inlineStr">
        <is>
          <t>KFM2020660099037</t>
        </is>
      </c>
      <c r="C1042" t="inlineStr">
        <is>
          <t>الرياض</t>
        </is>
      </c>
      <c r="D1042" t="inlineStr">
        <is>
          <t>كلا الفترتين</t>
        </is>
      </c>
      <c r="E1042" t="n">
        <v>2402</v>
      </c>
      <c r="F1042" t="b">
        <v>1</v>
      </c>
      <c r="G1042">
        <f>HYPERLINK("https://www.google.com/maps/search/?api=1&amp;query=24.58361235,46.6761238", "View Map")</f>
        <v/>
      </c>
    </row>
    <row r="1043">
      <c r="A1043" t="inlineStr">
        <is>
          <t xml:space="preserve">   مسجدالامام الذهبى .</t>
        </is>
      </c>
      <c r="B1043" t="inlineStr">
        <is>
          <t>KFM2120660290437</t>
        </is>
      </c>
      <c r="C1043" t="inlineStr">
        <is>
          <t>الرياض</t>
        </is>
      </c>
      <c r="D1043" t="inlineStr">
        <is>
          <t>كلا الفترتين</t>
        </is>
      </c>
      <c r="E1043" t="n">
        <v>2401</v>
      </c>
      <c r="F1043" t="b">
        <v>0</v>
      </c>
      <c r="G1043">
        <f>HYPERLINK("https://www.google.com/maps/search/?api=1&amp;query=24.60851882,46.7603353", "View Map")</f>
        <v/>
      </c>
    </row>
    <row r="1044">
      <c r="A1044" t="inlineStr">
        <is>
          <t xml:space="preserve">   مسجد فطيمة منصور العساف .</t>
        </is>
      </c>
      <c r="B1044" t="inlineStr">
        <is>
          <t>KFM2120660290426</t>
        </is>
      </c>
      <c r="C1044" t="inlineStr">
        <is>
          <t>الرياض</t>
        </is>
      </c>
      <c r="D1044" t="inlineStr">
        <is>
          <t>كلا الفترتين</t>
        </is>
      </c>
      <c r="E1044" t="n">
        <v>2400</v>
      </c>
      <c r="F1044" t="b">
        <v>1</v>
      </c>
      <c r="G1044">
        <f>HYPERLINK("https://www.google.com/maps/search/?api=1&amp;query=24.56846012,46.76360115", "View Map")</f>
        <v/>
      </c>
    </row>
    <row r="1045">
      <c r="A1045" t="inlineStr">
        <is>
          <t xml:space="preserve">   مسجد حي الملك فيصل .</t>
        </is>
      </c>
      <c r="B1045" t="inlineStr">
        <is>
          <t>KFM2020660166549</t>
        </is>
      </c>
      <c r="C1045" t="inlineStr">
        <is>
          <t>الرياض</t>
        </is>
      </c>
      <c r="D1045" t="inlineStr">
        <is>
          <t>كلا الفترتين</t>
        </is>
      </c>
      <c r="E1045" t="n">
        <v>2399</v>
      </c>
      <c r="F1045" t="b">
        <v>1</v>
      </c>
      <c r="G1045">
        <f>HYPERLINK("https://www.google.com/maps/search/?api=1&amp;query=24.75987601,46.77954643", "View Map")</f>
        <v/>
      </c>
    </row>
    <row r="1046">
      <c r="A1046" t="inlineStr">
        <is>
          <t xml:space="preserve">   مسجد مركز المملكةالعليا .</t>
        </is>
      </c>
      <c r="B1046" t="inlineStr">
        <is>
          <t>KFM2020660173459</t>
        </is>
      </c>
      <c r="C1046" t="inlineStr">
        <is>
          <t>الرياض</t>
        </is>
      </c>
      <c r="D1046" t="inlineStr">
        <is>
          <t>كلا الفترتين</t>
        </is>
      </c>
      <c r="E1046" t="n">
        <v>2398</v>
      </c>
      <c r="F1046" t="b">
        <v>1</v>
      </c>
      <c r="G1046">
        <f>HYPERLINK("https://www.google.com/maps/search/?api=1&amp;query=24.70771,46.67637", "View Map")</f>
        <v/>
      </c>
    </row>
    <row r="1047">
      <c r="A1047" t="inlineStr">
        <is>
          <t>مسجد محمد العلي .</t>
        </is>
      </c>
      <c r="B1047" t="inlineStr">
        <is>
          <t>KFM2020660054940</t>
        </is>
      </c>
      <c r="C1047" t="inlineStr">
        <is>
          <t>الرياض</t>
        </is>
      </c>
      <c r="D1047" t="inlineStr">
        <is>
          <t>كلا الفترتين</t>
        </is>
      </c>
      <c r="E1047" t="n">
        <v>2397</v>
      </c>
      <c r="F1047" t="b">
        <v>1</v>
      </c>
      <c r="G1047">
        <f>HYPERLINK("https://www.google.com/maps/search/?api=1&amp;query=24.58751513,46.66182911", "View Map")</f>
        <v/>
      </c>
    </row>
    <row r="1048">
      <c r="A1048" t="inlineStr">
        <is>
          <t>مسجد المروه .</t>
        </is>
      </c>
      <c r="B1048" t="inlineStr">
        <is>
          <t>KFM2020760230769</t>
        </is>
      </c>
      <c r="C1048" t="inlineStr">
        <is>
          <t>الرياض</t>
        </is>
      </c>
      <c r="D1048" t="inlineStr">
        <is>
          <t>كلا الفترتين</t>
        </is>
      </c>
      <c r="E1048" t="n">
        <v>2397</v>
      </c>
      <c r="F1048" t="b">
        <v>0</v>
      </c>
      <c r="G1048">
        <f>HYPERLINK("https://www.google.com/maps/search/?api=1&amp;query=24.55279457,46.67561901", "View Map")</f>
        <v/>
      </c>
    </row>
    <row r="1049">
      <c r="A1049" t="inlineStr">
        <is>
          <t xml:space="preserve">   مسجد  طالبات المملكه .</t>
        </is>
      </c>
      <c r="B1049" t="inlineStr">
        <is>
          <t>KFM2020660061266</t>
        </is>
      </c>
      <c r="C1049" t="inlineStr">
        <is>
          <t>الرياض</t>
        </is>
      </c>
      <c r="D1049" t="inlineStr">
        <is>
          <t>كلا الفترتين</t>
        </is>
      </c>
      <c r="E1049" t="n">
        <v>2397</v>
      </c>
      <c r="F1049" t="b">
        <v>1</v>
      </c>
      <c r="G1049">
        <f>HYPERLINK("https://www.google.com/maps/search/?api=1&amp;query=24.78322693,46.76769617", "View Map")</f>
        <v/>
      </c>
    </row>
    <row r="1050">
      <c r="A1050" t="inlineStr">
        <is>
          <t xml:space="preserve">   مسجد /الشيخ عبدالله الهويش .</t>
        </is>
      </c>
      <c r="B1050" t="inlineStr">
        <is>
          <t>KFM2120660279591</t>
        </is>
      </c>
      <c r="C1050" t="inlineStr">
        <is>
          <t>الرياض</t>
        </is>
      </c>
      <c r="D1050" t="inlineStr">
        <is>
          <t>مساءا</t>
        </is>
      </c>
      <c r="E1050" t="n">
        <v>2395</v>
      </c>
      <c r="F1050" t="b">
        <v>1</v>
      </c>
      <c r="G1050">
        <f>HYPERLINK("https://www.google.com/maps/search/?api=1&amp;query=24.6742582,46.75742232", "View Map")</f>
        <v/>
      </c>
    </row>
    <row r="1051">
      <c r="A1051" t="inlineStr">
        <is>
          <t>مسجد وزاره  الشئون الاسلاميه .</t>
        </is>
      </c>
      <c r="B1051" t="inlineStr">
        <is>
          <t>KFM2120660284006</t>
        </is>
      </c>
      <c r="C1051" t="inlineStr">
        <is>
          <t>الرياض</t>
        </is>
      </c>
      <c r="D1051" t="inlineStr">
        <is>
          <t>كلا الفترتين</t>
        </is>
      </c>
      <c r="E1051" t="n">
        <v>2395</v>
      </c>
      <c r="F1051" t="b">
        <v>1</v>
      </c>
      <c r="G1051">
        <f>HYPERLINK("https://www.google.com/maps/search/?api=1&amp;query=24.5363744,46.64409573", "View Map")</f>
        <v/>
      </c>
    </row>
    <row r="1052">
      <c r="A1052" t="inlineStr">
        <is>
          <t xml:space="preserve">   مسجد وجامع حى الفيصلية 2905/5</t>
        </is>
      </c>
      <c r="B1052" t="inlineStr">
        <is>
          <t>KFM2020660053950</t>
        </is>
      </c>
      <c r="C1052" t="inlineStr">
        <is>
          <t>الرياض</t>
        </is>
      </c>
      <c r="D1052" t="inlineStr">
        <is>
          <t>كلا الفترتين</t>
        </is>
      </c>
      <c r="E1052" t="n">
        <v>2388</v>
      </c>
      <c r="F1052" t="b">
        <v>1</v>
      </c>
      <c r="G1052">
        <f>HYPERLINK("https://www.google.com/maps/search/?api=1&amp;query=24.63964814,46.78593666", "View Map")</f>
        <v/>
      </c>
    </row>
    <row r="1053">
      <c r="A1053" t="inlineStr">
        <is>
          <t xml:space="preserve">   مسجد عائشه أم المؤمنين .</t>
        </is>
      </c>
      <c r="B1053" t="inlineStr">
        <is>
          <t>KFM2020660171223</t>
        </is>
      </c>
      <c r="C1053" t="inlineStr">
        <is>
          <t>الرياض</t>
        </is>
      </c>
      <c r="D1053" t="inlineStr">
        <is>
          <t>كلا الفترتين</t>
        </is>
      </c>
      <c r="E1053" t="n">
        <v>2387</v>
      </c>
      <c r="F1053" t="b">
        <v>1</v>
      </c>
      <c r="G1053">
        <f>HYPERLINK("https://www.google.com/maps/search/?api=1&amp;query=24.74081802,46.84435842", "View Map")</f>
        <v/>
      </c>
    </row>
    <row r="1054">
      <c r="A1054" t="inlineStr">
        <is>
          <t xml:space="preserve">   مسجدالقادسيه .</t>
        </is>
      </c>
      <c r="B1054" t="inlineStr">
        <is>
          <t>KFM2120660267500</t>
        </is>
      </c>
      <c r="C1054" t="inlineStr">
        <is>
          <t>الرياض</t>
        </is>
      </c>
      <c r="D1054" t="inlineStr">
        <is>
          <t>كلا الفترتين</t>
        </is>
      </c>
      <c r="E1054" t="n">
        <v>2386</v>
      </c>
      <c r="F1054" t="b">
        <v>1</v>
      </c>
      <c r="G1054">
        <f>HYPERLINK("https://www.google.com/maps/search/?api=1&amp;query=24.62069505,46.76202884", "View Map")</f>
        <v/>
      </c>
    </row>
    <row r="1055">
      <c r="A1055" t="inlineStr">
        <is>
          <t xml:space="preserve">   مسجد حمد عبدالعزيز العثيمين .</t>
        </is>
      </c>
      <c r="B1055" t="inlineStr">
        <is>
          <t>KFM2020660193780</t>
        </is>
      </c>
      <c r="C1055" t="inlineStr">
        <is>
          <t>الرياض</t>
        </is>
      </c>
      <c r="D1055" t="inlineStr">
        <is>
          <t>كلا الفترتين</t>
        </is>
      </c>
      <c r="E1055" t="n">
        <v>2384</v>
      </c>
      <c r="F1055" t="b">
        <v>1</v>
      </c>
      <c r="G1055">
        <f>HYPERLINK("https://www.google.com/maps/search/?api=1&amp;query=24.72949646,46.77480097", "View Map")</f>
        <v/>
      </c>
    </row>
    <row r="1056">
      <c r="A1056" t="inlineStr">
        <is>
          <t xml:space="preserve">   مسجد الوهيبي .</t>
        </is>
      </c>
      <c r="B1056" t="inlineStr">
        <is>
          <t>KFM2020660043125</t>
        </is>
      </c>
      <c r="C1056" t="inlineStr">
        <is>
          <t>الرياض</t>
        </is>
      </c>
      <c r="D1056" t="inlineStr">
        <is>
          <t>كلا الفترتين</t>
        </is>
      </c>
      <c r="E1056" t="n">
        <v>2383</v>
      </c>
      <c r="F1056" t="b">
        <v>1</v>
      </c>
      <c r="G1056">
        <f>HYPERLINK("https://www.google.com/maps/search/?api=1&amp;query=24.69238976,46.75732329", "View Map")</f>
        <v/>
      </c>
    </row>
    <row r="1057">
      <c r="A1057" t="inlineStr">
        <is>
          <t xml:space="preserve">   مسجدحي الغدير .</t>
        </is>
      </c>
      <c r="B1057" t="inlineStr">
        <is>
          <t>KFM2020660210858</t>
        </is>
      </c>
      <c r="C1057" t="inlineStr">
        <is>
          <t>الرياض</t>
        </is>
      </c>
      <c r="D1057" t="inlineStr">
        <is>
          <t>كلا الفترتين</t>
        </is>
      </c>
      <c r="E1057" t="n">
        <v>2380</v>
      </c>
      <c r="F1057" t="b">
        <v>1</v>
      </c>
      <c r="G1057">
        <f>HYPERLINK("https://www.google.com/maps/search/?api=1&amp;query=24.77162154,46.66114227", "View Map")</f>
        <v/>
      </c>
    </row>
    <row r="1058">
      <c r="A1058" t="inlineStr">
        <is>
          <t>ﻤﺴﺎﺠﺩ .</t>
        </is>
      </c>
      <c r="B1058" t="inlineStr">
        <is>
          <t>KFM2120660301763</t>
        </is>
      </c>
      <c r="C1058" t="inlineStr">
        <is>
          <t>الرياض</t>
        </is>
      </c>
      <c r="D1058" t="inlineStr">
        <is>
          <t>كلا الفترتين</t>
        </is>
      </c>
      <c r="E1058" t="n">
        <v>2378</v>
      </c>
      <c r="F1058" t="b">
        <v>0</v>
      </c>
      <c r="G1058">
        <f>HYPERLINK("https://www.google.com/maps/search/?api=1&amp;query=24.90322617,46.64243701", "View Map")</f>
        <v/>
      </c>
    </row>
    <row r="1059">
      <c r="A1059" t="inlineStr">
        <is>
          <t>ﻤﺴﺎﺠﺩ .</t>
        </is>
      </c>
      <c r="B1059" t="inlineStr">
        <is>
          <t>KFM2020660027399</t>
        </is>
      </c>
      <c r="C1059" t="inlineStr">
        <is>
          <t>الرياض</t>
        </is>
      </c>
      <c r="D1059" t="inlineStr">
        <is>
          <t>كلا الفترتين</t>
        </is>
      </c>
      <c r="E1059" t="n">
        <v>2375</v>
      </c>
      <c r="F1059" t="b">
        <v>0</v>
      </c>
      <c r="G1059">
        <f>HYPERLINK("https://www.google.com/maps/search/?api=1&amp;query=24.7949643,46.6001964", "View Map")</f>
        <v/>
      </c>
    </row>
    <row r="1060">
      <c r="A1060" t="inlineStr">
        <is>
          <t xml:space="preserve">   مسجد احمد بن تيمية - رحمه الله .</t>
        </is>
      </c>
      <c r="B1060" t="inlineStr">
        <is>
          <t>KFM2020660141793</t>
        </is>
      </c>
      <c r="C1060" t="inlineStr">
        <is>
          <t>الرياض</t>
        </is>
      </c>
      <c r="D1060" t="inlineStr">
        <is>
          <t>كلا الفترتين</t>
        </is>
      </c>
      <c r="E1060" t="n">
        <v>2375</v>
      </c>
      <c r="F1060" t="b">
        <v>1</v>
      </c>
      <c r="G1060">
        <f>HYPERLINK("https://www.google.com/maps/search/?api=1&amp;query=24.68521954,46.78836918", "View Map")</f>
        <v/>
      </c>
    </row>
    <row r="1061">
      <c r="A1061" t="inlineStr">
        <is>
          <t>ﻤﺴﺎﺠﺩ .</t>
        </is>
      </c>
      <c r="B1061" t="inlineStr">
        <is>
          <t>SMR2420661036137</t>
        </is>
      </c>
      <c r="C1061" t="inlineStr">
        <is>
          <t>الرياض</t>
        </is>
      </c>
      <c r="D1061" t="inlineStr">
        <is>
          <t>كلا الفترتين</t>
        </is>
      </c>
      <c r="E1061" t="n">
        <v>2374</v>
      </c>
      <c r="F1061" t="b">
        <v>1</v>
      </c>
      <c r="G1061">
        <f>HYPERLINK("https://www.google.com/maps/search/?api=1&amp;query=0.0,0.0", "View Map")</f>
        <v/>
      </c>
    </row>
    <row r="1062">
      <c r="A1062" t="inlineStr">
        <is>
          <t>ﻤﺴﺎﺠﺩ .</t>
        </is>
      </c>
      <c r="B1062" t="inlineStr">
        <is>
          <t>KFM2020660197752</t>
        </is>
      </c>
      <c r="C1062" t="inlineStr">
        <is>
          <t>الرياض</t>
        </is>
      </c>
      <c r="D1062" t="inlineStr">
        <is>
          <t>كلا الفترتين</t>
        </is>
      </c>
      <c r="E1062" t="n">
        <v>2374</v>
      </c>
      <c r="F1062" t="b">
        <v>1</v>
      </c>
      <c r="G1062">
        <f>HYPERLINK("https://www.google.com/maps/search/?api=1&amp;query=24.64479596,46.55154994", "View Map")</f>
        <v/>
      </c>
    </row>
    <row r="1063">
      <c r="A1063" t="inlineStr">
        <is>
          <t xml:space="preserve">   مسجد الملقا وبيتي الامام والمؤذن .</t>
        </is>
      </c>
      <c r="B1063" t="inlineStr">
        <is>
          <t>KFM2020660127830</t>
        </is>
      </c>
      <c r="C1063" t="inlineStr">
        <is>
          <t>الرياض</t>
        </is>
      </c>
      <c r="D1063" t="inlineStr">
        <is>
          <t>كلا الفترتين</t>
        </is>
      </c>
      <c r="E1063" t="n">
        <v>2373</v>
      </c>
      <c r="F1063" t="b">
        <v>1</v>
      </c>
      <c r="G1063">
        <f>HYPERLINK("https://www.google.com/maps/search/?api=1&amp;query=24.79321913,46.62678256", "View Map")</f>
        <v/>
      </c>
    </row>
    <row r="1064">
      <c r="A1064" t="inlineStr">
        <is>
          <t xml:space="preserve">   مسجد حي النهضه .</t>
        </is>
      </c>
      <c r="B1064" t="inlineStr">
        <is>
          <t>KFM2020660123004</t>
        </is>
      </c>
      <c r="C1064" t="inlineStr">
        <is>
          <t>الرياض</t>
        </is>
      </c>
      <c r="D1064" t="inlineStr">
        <is>
          <t>كلا الفترتين</t>
        </is>
      </c>
      <c r="E1064" t="n">
        <v>2371</v>
      </c>
      <c r="F1064" t="b">
        <v>1</v>
      </c>
      <c r="G1064">
        <f>HYPERLINK("https://www.google.com/maps/search/?api=1&amp;query=24.76040933,46.80472769", "View Map")</f>
        <v/>
      </c>
    </row>
    <row r="1065">
      <c r="A1065" t="inlineStr">
        <is>
          <t xml:space="preserve">   مسجد حي الياسمين .</t>
        </is>
      </c>
      <c r="B1065" t="inlineStr">
        <is>
          <t>SMR2420661038947</t>
        </is>
      </c>
      <c r="C1065" t="inlineStr">
        <is>
          <t>الرياض</t>
        </is>
      </c>
      <c r="D1065" t="inlineStr">
        <is>
          <t>كلا الفترتين</t>
        </is>
      </c>
      <c r="E1065" t="n">
        <v>2370</v>
      </c>
      <c r="F1065" t="b">
        <v>1</v>
      </c>
      <c r="G1065">
        <f>HYPERLINK("https://www.google.com/maps/search/?api=1&amp;query=24.81095782,46.66806303", "View Map")</f>
        <v/>
      </c>
    </row>
    <row r="1066">
      <c r="A1066" t="inlineStr">
        <is>
          <t>ﻤﺴﺎﺠﺩ .</t>
        </is>
      </c>
      <c r="B1066" t="inlineStr">
        <is>
          <t>KFM2020660203017</t>
        </is>
      </c>
      <c r="C1066" t="inlineStr">
        <is>
          <t>الرياض</t>
        </is>
      </c>
      <c r="D1066" t="inlineStr">
        <is>
          <t>كلا الفترتين</t>
        </is>
      </c>
      <c r="E1066" t="n">
        <v>2367</v>
      </c>
      <c r="F1066" t="b">
        <v>0</v>
      </c>
      <c r="G1066">
        <f>HYPERLINK("https://www.google.com/maps/search/?api=1&amp;query=24.6061,46.4833", "View Map")</f>
        <v/>
      </c>
    </row>
    <row r="1067">
      <c r="A1067" t="inlineStr">
        <is>
          <t xml:space="preserve"> مسجد محمدعبدالوهاب(دارتحفيظ القرآن) .</t>
        </is>
      </c>
      <c r="B1067" t="inlineStr">
        <is>
          <t>KFM2020660165557</t>
        </is>
      </c>
      <c r="C1067" t="inlineStr">
        <is>
          <t>الرياض</t>
        </is>
      </c>
      <c r="D1067" t="inlineStr">
        <is>
          <t>كلا الفترتين</t>
        </is>
      </c>
      <c r="E1067" t="n">
        <v>2366</v>
      </c>
      <c r="F1067" t="b">
        <v>0</v>
      </c>
      <c r="G1067">
        <f>HYPERLINK("https://www.google.com/maps/search/?api=1&amp;query=24.73709417,46.6789625", "View Map")</f>
        <v/>
      </c>
    </row>
    <row r="1068">
      <c r="A1068" t="inlineStr">
        <is>
          <t xml:space="preserve">   مسجد قرطبه .</t>
        </is>
      </c>
      <c r="B1068" t="inlineStr">
        <is>
          <t>KFM2020660170709</t>
        </is>
      </c>
      <c r="C1068" t="inlineStr">
        <is>
          <t>الرياض</t>
        </is>
      </c>
      <c r="D1068" t="inlineStr">
        <is>
          <t>كلا الفترتين</t>
        </is>
      </c>
      <c r="E1068" t="n">
        <v>2365</v>
      </c>
      <c r="F1068" t="b">
        <v>0</v>
      </c>
      <c r="G1068">
        <f>HYPERLINK("https://www.google.com/maps/search/?api=1&amp;query=24.77088626,46.78336067", "View Map")</f>
        <v/>
      </c>
    </row>
    <row r="1069">
      <c r="A1069" t="inlineStr">
        <is>
          <t xml:space="preserve">    مسجد حى اشبيليا .</t>
        </is>
      </c>
      <c r="B1069" t="inlineStr">
        <is>
          <t>KFM2020660171291</t>
        </is>
      </c>
      <c r="C1069" t="inlineStr">
        <is>
          <t>الرياض</t>
        </is>
      </c>
      <c r="D1069" t="inlineStr">
        <is>
          <t>كلا الفترتين</t>
        </is>
      </c>
      <c r="E1069" t="n">
        <v>2363</v>
      </c>
      <c r="F1069" t="b">
        <v>1</v>
      </c>
      <c r="G1069">
        <f>HYPERLINK("https://www.google.com/maps/search/?api=1&amp;query=24.79693803,46.79002441", "View Map")</f>
        <v/>
      </c>
    </row>
    <row r="1070">
      <c r="A1070" t="inlineStr">
        <is>
          <t xml:space="preserve">   مسجد      حى        . .</t>
        </is>
      </c>
      <c r="B1070" t="inlineStr">
        <is>
          <t>KFM2020660173367</t>
        </is>
      </c>
      <c r="C1070" t="inlineStr">
        <is>
          <t>الرياض</t>
        </is>
      </c>
      <c r="D1070" t="inlineStr">
        <is>
          <t>كلا الفترتين</t>
        </is>
      </c>
      <c r="E1070" t="n">
        <v>2360</v>
      </c>
      <c r="F1070" t="b">
        <v>0</v>
      </c>
      <c r="G1070">
        <f>HYPERLINK("https://www.google.com/maps/search/?api=1&amp;query=24.68479353,46.68288632", "View Map")</f>
        <v/>
      </c>
    </row>
    <row r="1071">
      <c r="A1071" t="inlineStr">
        <is>
          <t xml:space="preserve">   مسجد سعد مبارك الغنام .</t>
        </is>
      </c>
      <c r="B1071" t="inlineStr">
        <is>
          <t>KFM2120660299069</t>
        </is>
      </c>
      <c r="C1071" t="inlineStr">
        <is>
          <t>الرياض</t>
        </is>
      </c>
      <c r="D1071" t="inlineStr">
        <is>
          <t>كلا الفترتين</t>
        </is>
      </c>
      <c r="E1071" t="n">
        <v>2360</v>
      </c>
      <c r="F1071" t="b">
        <v>0</v>
      </c>
      <c r="G1071">
        <f>HYPERLINK("https://www.google.com/maps/search/?api=1&amp;query=24.57271975,46.76291581", "View Map")</f>
        <v/>
      </c>
    </row>
    <row r="1072">
      <c r="A1072" t="inlineStr">
        <is>
          <t xml:space="preserve">   مسجد/ محمد الجميعه .</t>
        </is>
      </c>
      <c r="B1072" t="inlineStr">
        <is>
          <t>KFM2020660166492</t>
        </is>
      </c>
      <c r="C1072" t="inlineStr">
        <is>
          <t>الرياض</t>
        </is>
      </c>
      <c r="D1072" t="inlineStr">
        <is>
          <t>كلا الفترتين</t>
        </is>
      </c>
      <c r="E1072" t="n">
        <v>2359</v>
      </c>
      <c r="F1072" t="b">
        <v>0</v>
      </c>
      <c r="G1072">
        <f>HYPERLINK("https://www.google.com/maps/search/?api=1&amp;query=24.75562052,46.79947296", "View Map")</f>
        <v/>
      </c>
    </row>
    <row r="1073">
      <c r="A1073" t="inlineStr">
        <is>
          <t xml:space="preserve">   مسجد المحيسن .</t>
        </is>
      </c>
      <c r="B1073" t="inlineStr">
        <is>
          <t>KFM2020660211132</t>
        </is>
      </c>
      <c r="C1073" t="inlineStr">
        <is>
          <t>الرياض</t>
        </is>
      </c>
      <c r="D1073" t="inlineStr">
        <is>
          <t>كلا الفترتين</t>
        </is>
      </c>
      <c r="E1073" t="n">
        <v>2358</v>
      </c>
      <c r="F1073" t="b">
        <v>0</v>
      </c>
      <c r="G1073">
        <f>HYPERLINK("https://www.google.com/maps/search/?api=1&amp;query=24.68785637,46.77270771", "View Map")</f>
        <v/>
      </c>
    </row>
    <row r="1074">
      <c r="A1074" t="inlineStr">
        <is>
          <t xml:space="preserve">   مسجد العبدالمنعم .</t>
        </is>
      </c>
      <c r="B1074" t="inlineStr">
        <is>
          <t>KFM2120660282663</t>
        </is>
      </c>
      <c r="C1074" t="inlineStr">
        <is>
          <t>الرياض</t>
        </is>
      </c>
      <c r="D1074" t="inlineStr">
        <is>
          <t>كلا الفترتين</t>
        </is>
      </c>
      <c r="E1074" t="n">
        <v>2357</v>
      </c>
      <c r="F1074" t="b">
        <v>0</v>
      </c>
      <c r="G1074">
        <f>HYPERLINK("https://www.google.com/maps/search/?api=1&amp;query=24.63420434,46.73399719", "View Map")</f>
        <v/>
      </c>
    </row>
    <row r="1075">
      <c r="A1075" t="inlineStr">
        <is>
          <t>مسجد  /محمد سعد ال  فريان .</t>
        </is>
      </c>
      <c r="B1075" t="inlineStr">
        <is>
          <t>KFM2020660054959</t>
        </is>
      </c>
      <c r="C1075" t="inlineStr">
        <is>
          <t>الرياض</t>
        </is>
      </c>
      <c r="D1075" t="inlineStr">
        <is>
          <t>كلا الفترتين</t>
        </is>
      </c>
      <c r="E1075" t="n">
        <v>2357</v>
      </c>
      <c r="F1075" t="b">
        <v>1</v>
      </c>
      <c r="G1075">
        <f>HYPERLINK("https://www.google.com/maps/search/?api=1&amp;query=24.56862568,46.62866045", "View Map")</f>
        <v/>
      </c>
    </row>
    <row r="1076">
      <c r="A1076" t="inlineStr">
        <is>
          <t xml:space="preserve">   مسجد سعود الفالح واخوانه .</t>
        </is>
      </c>
      <c r="B1076" t="inlineStr">
        <is>
          <t>KFM2020660054437</t>
        </is>
      </c>
      <c r="C1076" t="inlineStr">
        <is>
          <t>الرياض</t>
        </is>
      </c>
      <c r="D1076" t="inlineStr">
        <is>
          <t>كلا الفترتين</t>
        </is>
      </c>
      <c r="E1076" t="n">
        <v>2352</v>
      </c>
      <c r="F1076" t="b">
        <v>1</v>
      </c>
      <c r="G1076">
        <f>HYPERLINK("https://www.google.com/maps/search/?api=1&amp;query=24.69049771,46.77193113", "View Map")</f>
        <v/>
      </c>
    </row>
    <row r="1077">
      <c r="A1077" t="inlineStr">
        <is>
          <t xml:space="preserve">   مسجدالشيخ / عبدالله النصيبى .</t>
        </is>
      </c>
      <c r="B1077" t="inlineStr">
        <is>
          <t>KFM2020660193061</t>
        </is>
      </c>
      <c r="C1077" t="inlineStr">
        <is>
          <t>الرياض</t>
        </is>
      </c>
      <c r="D1077" t="inlineStr">
        <is>
          <t>كلا الفترتين</t>
        </is>
      </c>
      <c r="E1077" t="n">
        <v>2351</v>
      </c>
      <c r="F1077" t="b">
        <v>0</v>
      </c>
      <c r="G1077">
        <f>HYPERLINK("https://www.google.com/maps/search/?api=1&amp;query=24.7740432,46.6345697", "View Map")</f>
        <v/>
      </c>
    </row>
    <row r="1078">
      <c r="A1078" t="inlineStr">
        <is>
          <t xml:space="preserve">   مسجد المنصورة (سعود الدوسري) .</t>
        </is>
      </c>
      <c r="B1078" t="inlineStr">
        <is>
          <t>KFM2120660253605</t>
        </is>
      </c>
      <c r="C1078" t="inlineStr">
        <is>
          <t>الرياض</t>
        </is>
      </c>
      <c r="D1078" t="inlineStr">
        <is>
          <t>كلا الفترتين</t>
        </is>
      </c>
      <c r="E1078" t="n">
        <v>2349</v>
      </c>
      <c r="F1078" t="b">
        <v>1</v>
      </c>
      <c r="G1078">
        <f>HYPERLINK("https://www.google.com/maps/search/?api=1&amp;query=24.60629086,46.74003516", "View Map")</f>
        <v/>
      </c>
    </row>
    <row r="1079">
      <c r="A1079" t="inlineStr">
        <is>
          <t>مسجدفهدمحمدبن عبدالعزيز .</t>
        </is>
      </c>
      <c r="B1079" t="inlineStr">
        <is>
          <t>KFM2020660034103</t>
        </is>
      </c>
      <c r="C1079" t="inlineStr">
        <is>
          <t>الرياض</t>
        </is>
      </c>
      <c r="D1079" t="inlineStr">
        <is>
          <t>كلا الفترتين</t>
        </is>
      </c>
      <c r="E1079" t="n">
        <v>2349</v>
      </c>
      <c r="F1079" t="b">
        <v>1</v>
      </c>
      <c r="G1079">
        <f>HYPERLINK("https://www.google.com/maps/search/?api=1&amp;query=24.63558934,46.68807658", "View Map")</f>
        <v/>
      </c>
    </row>
    <row r="1080">
      <c r="A1080" t="inlineStr">
        <is>
          <t xml:space="preserve">   مسجد      زياد      وزوجته عتقاء .</t>
        </is>
      </c>
      <c r="B1080" t="inlineStr">
        <is>
          <t>KFM2020660193470</t>
        </is>
      </c>
      <c r="C1080" t="inlineStr">
        <is>
          <t>الرياض</t>
        </is>
      </c>
      <c r="D1080" t="inlineStr">
        <is>
          <t>كلا الفترتين</t>
        </is>
      </c>
      <c r="E1080" t="n">
        <v>2348</v>
      </c>
      <c r="F1080" t="b">
        <v>1</v>
      </c>
      <c r="G1080">
        <f>HYPERLINK("https://www.google.com/maps/search/?api=1&amp;query=24.79970292,46.80872302", "View Map")</f>
        <v/>
      </c>
    </row>
    <row r="1081">
      <c r="A1081" t="inlineStr">
        <is>
          <t xml:space="preserve">   مسجد فوزان محمد الفوزان .</t>
        </is>
      </c>
      <c r="B1081" t="inlineStr">
        <is>
          <t>KFM2120660271673</t>
        </is>
      </c>
      <c r="C1081" t="inlineStr">
        <is>
          <t>الرياض</t>
        </is>
      </c>
      <c r="D1081" t="inlineStr">
        <is>
          <t>كلا الفترتين</t>
        </is>
      </c>
      <c r="E1081" t="n">
        <v>2345</v>
      </c>
      <c r="F1081" t="b">
        <v>0</v>
      </c>
      <c r="G1081">
        <f>HYPERLINK("https://www.google.com/maps/search/?api=1&amp;query=24.67514376,46.80769179", "View Map")</f>
        <v/>
      </c>
    </row>
    <row r="1082">
      <c r="A1082" t="inlineStr">
        <is>
          <t>مسجد حي السويدي .</t>
        </is>
      </c>
      <c r="B1082" t="inlineStr">
        <is>
          <t>KFM2020660039981</t>
        </is>
      </c>
      <c r="C1082" t="inlineStr">
        <is>
          <t>الرياض</t>
        </is>
      </c>
      <c r="D1082" t="inlineStr">
        <is>
          <t>كلا الفترتين</t>
        </is>
      </c>
      <c r="E1082" t="n">
        <v>2340</v>
      </c>
      <c r="F1082" t="b">
        <v>0</v>
      </c>
      <c r="G1082">
        <f>HYPERLINK("https://www.google.com/maps/search/?api=1&amp;query=24.57631085,46.66646059", "View Map")</f>
        <v/>
      </c>
    </row>
    <row r="1083">
      <c r="A1083" t="inlineStr">
        <is>
          <t>مسجدسلمان بن محمد .</t>
        </is>
      </c>
      <c r="B1083" t="inlineStr">
        <is>
          <t>KFM2020660198265</t>
        </is>
      </c>
      <c r="C1083" t="inlineStr">
        <is>
          <t>الرياض</t>
        </is>
      </c>
      <c r="D1083" t="inlineStr">
        <is>
          <t>كلا الفترتين</t>
        </is>
      </c>
      <c r="E1083" t="n">
        <v>2339</v>
      </c>
      <c r="F1083" t="b">
        <v>1</v>
      </c>
      <c r="G1083">
        <f>HYPERLINK("https://www.google.com/maps/search/?api=1&amp;query=24.6256551,46.69616648", "View Map")</f>
        <v/>
      </c>
    </row>
    <row r="1084">
      <c r="A1084" t="inlineStr">
        <is>
          <t xml:space="preserve">   مسجد الشيخ / عبدالعزيز بن باز .</t>
        </is>
      </c>
      <c r="B1084" t="inlineStr">
        <is>
          <t>KFM2020660197487</t>
        </is>
      </c>
      <c r="C1084" t="inlineStr">
        <is>
          <t>الرياض</t>
        </is>
      </c>
      <c r="D1084" t="inlineStr">
        <is>
          <t>كلا الفترتين</t>
        </is>
      </c>
      <c r="E1084" t="n">
        <v>2332</v>
      </c>
      <c r="F1084" t="b">
        <v>1</v>
      </c>
      <c r="G1084">
        <f>HYPERLINK("https://www.google.com/maps/search/?api=1&amp;query=24.73645164,46.64181861", "View Map")</f>
        <v/>
      </c>
    </row>
    <row r="1085">
      <c r="A1085" t="inlineStr">
        <is>
          <t xml:space="preserve">   مسجد الصالحيه الشمالى .</t>
        </is>
      </c>
      <c r="B1085" t="inlineStr">
        <is>
          <t>KFM2120660299362</t>
        </is>
      </c>
      <c r="C1085" t="inlineStr">
        <is>
          <t>الرياض</t>
        </is>
      </c>
      <c r="D1085" t="inlineStr">
        <is>
          <t>كلا الفترتين</t>
        </is>
      </c>
      <c r="E1085" t="n">
        <v>2331</v>
      </c>
      <c r="F1085" t="b">
        <v>0</v>
      </c>
      <c r="G1085">
        <f>HYPERLINK("https://www.google.com/maps/search/?api=1&amp;query=24.63484656,46.73278558", "View Map")</f>
        <v/>
      </c>
    </row>
    <row r="1086">
      <c r="A1086" t="inlineStr">
        <is>
          <t xml:space="preserve">   مساجد .</t>
        </is>
      </c>
      <c r="B1086" t="inlineStr">
        <is>
          <t>KFM2020660143085</t>
        </is>
      </c>
      <c r="C1086" t="inlineStr">
        <is>
          <t>الرياض</t>
        </is>
      </c>
      <c r="D1086" t="inlineStr">
        <is>
          <t>كلا الفترتين</t>
        </is>
      </c>
      <c r="E1086" t="n">
        <v>2330</v>
      </c>
      <c r="F1086" t="b">
        <v>1</v>
      </c>
      <c r="G1086">
        <f>HYPERLINK("https://www.google.com/maps/search/?api=1&amp;query=24.82137947,46.75631389", "View Map")</f>
        <v/>
      </c>
    </row>
    <row r="1087">
      <c r="A1087" t="inlineStr">
        <is>
          <t xml:space="preserve">   مسجد راجح العتيبي .</t>
        </is>
      </c>
      <c r="B1087" t="inlineStr">
        <is>
          <t>KFM2020660042134</t>
        </is>
      </c>
      <c r="C1087" t="inlineStr">
        <is>
          <t>الرياض</t>
        </is>
      </c>
      <c r="D1087" t="inlineStr">
        <is>
          <t>كلا الفترتين</t>
        </is>
      </c>
      <c r="E1087" t="n">
        <v>2329</v>
      </c>
      <c r="F1087" t="b">
        <v>0</v>
      </c>
      <c r="G1087">
        <f>HYPERLINK("https://www.google.com/maps/search/?api=1&amp;query=24.77080906,46.77694569", "View Map")</f>
        <v/>
      </c>
    </row>
    <row r="1088">
      <c r="A1088" t="inlineStr">
        <is>
          <t xml:space="preserve">   مسجد حي  الصحافه .</t>
        </is>
      </c>
      <c r="B1088" t="inlineStr">
        <is>
          <t>KFM2020660188612</t>
        </is>
      </c>
      <c r="C1088" t="inlineStr">
        <is>
          <t>الرياض</t>
        </is>
      </c>
      <c r="D1088" t="inlineStr">
        <is>
          <t>كلا الفترتين</t>
        </is>
      </c>
      <c r="E1088" t="n">
        <v>2328</v>
      </c>
      <c r="F1088" t="b">
        <v>0</v>
      </c>
      <c r="G1088">
        <f>HYPERLINK("https://www.google.com/maps/search/?api=1&amp;query=24.81540608,46.63750237", "View Map")</f>
        <v/>
      </c>
    </row>
    <row r="1089">
      <c r="A1089" t="inlineStr">
        <is>
          <t xml:space="preserve">   مسجد حي المنار .</t>
        </is>
      </c>
      <c r="B1089" t="inlineStr">
        <is>
          <t>SMR2220621002000</t>
        </is>
      </c>
      <c r="C1089" t="inlineStr">
        <is>
          <t>الرياض</t>
        </is>
      </c>
      <c r="D1089" t="inlineStr">
        <is>
          <t>كلا الفترتين</t>
        </is>
      </c>
      <c r="E1089" t="n">
        <v>2327</v>
      </c>
      <c r="F1089" t="b">
        <v>1</v>
      </c>
      <c r="G1089">
        <f>HYPERLINK("https://www.google.com/maps/search/?api=1&amp;query=24.72754218,46.79429586", "View Map")</f>
        <v/>
      </c>
    </row>
    <row r="1090">
      <c r="A1090" t="inlineStr">
        <is>
          <t>ﻭﺯﺍﺭﺓﺍﻟﺸﺌﻭﻥ ﺍﻻﺴﻼﻤﻴﺓﻭﺍﻻﻭﻗﺎﻑ .</t>
        </is>
      </c>
      <c r="B1090" t="inlineStr">
        <is>
          <t>SMR2220661001505</t>
        </is>
      </c>
      <c r="C1090" t="inlineStr">
        <is>
          <t>الرياض</t>
        </is>
      </c>
      <c r="D1090" t="inlineStr">
        <is>
          <t>كلا الفترتين</t>
        </is>
      </c>
      <c r="E1090" t="n">
        <v>2327</v>
      </c>
      <c r="F1090" t="b">
        <v>1</v>
      </c>
      <c r="G1090">
        <f>HYPERLINK("https://www.google.com/maps/search/?api=1&amp;query=24.5575,46.625", "View Map")</f>
        <v/>
      </c>
    </row>
    <row r="1091">
      <c r="A1091" t="inlineStr">
        <is>
          <t>1 مسجد بلك  2008 ـ 3 ـ .</t>
        </is>
      </c>
      <c r="B1091" t="inlineStr">
        <is>
          <t>KFM2020660054389</t>
        </is>
      </c>
      <c r="C1091" t="inlineStr">
        <is>
          <t>الرياض</t>
        </is>
      </c>
      <c r="D1091" t="inlineStr">
        <is>
          <t>كلا الفترتين</t>
        </is>
      </c>
      <c r="E1091" t="n">
        <v>2326</v>
      </c>
      <c r="F1091" t="b">
        <v>0</v>
      </c>
      <c r="G1091">
        <f>HYPERLINK("https://www.google.com/maps/search/?api=1&amp;query=24.57897632,46.58187586", "View Map")</f>
        <v/>
      </c>
    </row>
    <row r="1092">
      <c r="A1092" t="inlineStr">
        <is>
          <t xml:space="preserve">   مسجد علي بن ابي طالب .</t>
        </is>
      </c>
      <c r="B1092" t="inlineStr">
        <is>
          <t>KFM2020660162856</t>
        </is>
      </c>
      <c r="C1092" t="inlineStr">
        <is>
          <t>الرياض</t>
        </is>
      </c>
      <c r="D1092" t="inlineStr">
        <is>
          <t>كلا الفترتين</t>
        </is>
      </c>
      <c r="E1092" t="n">
        <v>2324</v>
      </c>
      <c r="F1092" t="b">
        <v>1</v>
      </c>
      <c r="G1092">
        <f>HYPERLINK("https://www.google.com/maps/search/?api=1&amp;query=24.57608323,46.83532588", "View Map")</f>
        <v/>
      </c>
    </row>
    <row r="1093">
      <c r="A1093" t="inlineStr">
        <is>
          <t xml:space="preserve">   مسجد غرمان عبدالعزيز الشهرى .</t>
        </is>
      </c>
      <c r="B1093" t="inlineStr">
        <is>
          <t>KFM2020660123119</t>
        </is>
      </c>
      <c r="C1093" t="inlineStr">
        <is>
          <t>الرياض</t>
        </is>
      </c>
      <c r="D1093" t="inlineStr">
        <is>
          <t>كلا الفترتين</t>
        </is>
      </c>
      <c r="E1093" t="n">
        <v>2323</v>
      </c>
      <c r="F1093" t="b">
        <v>1</v>
      </c>
      <c r="G1093">
        <f>HYPERLINK("https://www.google.com/maps/search/?api=1&amp;query=24.74877729,46.6816209", "View Map")</f>
        <v/>
      </c>
    </row>
    <row r="1094">
      <c r="A1094" t="inlineStr">
        <is>
          <t xml:space="preserve">   مسجد ابراهيم سعد الموسى .</t>
        </is>
      </c>
      <c r="B1094" t="inlineStr">
        <is>
          <t>KFM2020660193046</t>
        </is>
      </c>
      <c r="C1094" t="inlineStr">
        <is>
          <t>الرياض</t>
        </is>
      </c>
      <c r="D1094" t="inlineStr">
        <is>
          <t>كلا الفترتين</t>
        </is>
      </c>
      <c r="E1094" t="n">
        <v>2323</v>
      </c>
      <c r="F1094" t="b">
        <v>0</v>
      </c>
      <c r="G1094">
        <f>HYPERLINK("https://www.google.com/maps/search/?api=1&amp;query=24.66323449,46.69626984", "View Map")</f>
        <v/>
      </c>
    </row>
    <row r="1095">
      <c r="A1095" t="inlineStr">
        <is>
          <t>ﻤﺴﺎﺠﺩ .</t>
        </is>
      </c>
      <c r="B1095" t="inlineStr">
        <is>
          <t>SMR2320661020622</t>
        </is>
      </c>
      <c r="C1095" t="inlineStr">
        <is>
          <t>الرياض</t>
        </is>
      </c>
      <c r="D1095" t="inlineStr">
        <is>
          <t>كلا الفترتين</t>
        </is>
      </c>
      <c r="E1095" t="n">
        <v>2323</v>
      </c>
      <c r="F1095" t="b">
        <v>1</v>
      </c>
      <c r="G1095">
        <f>HYPERLINK("https://www.google.com/maps/search/?api=1&amp;query=24.83465468,46.66039893", "View Map")</f>
        <v/>
      </c>
    </row>
    <row r="1096">
      <c r="A1096" t="inlineStr">
        <is>
          <t>مسجد ام  الامير طلال .</t>
        </is>
      </c>
      <c r="B1096" t="inlineStr">
        <is>
          <t>KFM2020660198262</t>
        </is>
      </c>
      <c r="C1096" t="inlineStr">
        <is>
          <t>الرياض</t>
        </is>
      </c>
      <c r="D1096" t="inlineStr">
        <is>
          <t>كلا الفترتين</t>
        </is>
      </c>
      <c r="E1096" t="n">
        <v>2319</v>
      </c>
      <c r="F1096" t="b">
        <v>1</v>
      </c>
      <c r="G1096">
        <f>HYPERLINK("https://www.google.com/maps/search/?api=1&amp;query=24.62823722,46.69525798", "View Map")</f>
        <v/>
      </c>
    </row>
    <row r="1097">
      <c r="A1097" t="inlineStr">
        <is>
          <t xml:space="preserve">   مسجد بن جبير .</t>
        </is>
      </c>
      <c r="B1097" t="inlineStr">
        <is>
          <t>KFM2020660006217</t>
        </is>
      </c>
      <c r="C1097" t="inlineStr">
        <is>
          <t>الرياض</t>
        </is>
      </c>
      <c r="D1097" t="inlineStr">
        <is>
          <t>كلا الفترتين</t>
        </is>
      </c>
      <c r="E1097" t="n">
        <v>2318</v>
      </c>
      <c r="F1097" t="b">
        <v>0</v>
      </c>
      <c r="G1097">
        <f>HYPERLINK("https://www.google.com/maps/search/?api=1&amp;query=24.7376352,46.67489319", "View Map")</f>
        <v/>
      </c>
    </row>
    <row r="1098">
      <c r="A1098" t="inlineStr">
        <is>
          <t>وزارة الشئون الاسلامية و الاوقاف .</t>
        </is>
      </c>
      <c r="B1098" t="inlineStr">
        <is>
          <t>KFM2020660136220</t>
        </is>
      </c>
      <c r="C1098" t="inlineStr">
        <is>
          <t>الرياض</t>
        </is>
      </c>
      <c r="D1098" t="inlineStr">
        <is>
          <t>كلا الفترتين</t>
        </is>
      </c>
      <c r="E1098" t="n">
        <v>2317</v>
      </c>
      <c r="F1098" t="b">
        <v>0</v>
      </c>
      <c r="G1098">
        <f>HYPERLINK("https://www.google.com/maps/search/?api=1&amp;query=24.55673478,46.61292399", "View Map")</f>
        <v/>
      </c>
    </row>
    <row r="1099">
      <c r="A1099" t="inlineStr">
        <is>
          <t>مسجد العرفج .</t>
        </is>
      </c>
      <c r="B1099" t="inlineStr">
        <is>
          <t>KFM2020660200400</t>
        </is>
      </c>
      <c r="C1099" t="inlineStr">
        <is>
          <t>الرياض</t>
        </is>
      </c>
      <c r="D1099" t="inlineStr">
        <is>
          <t>كلا الفترتين</t>
        </is>
      </c>
      <c r="E1099" t="n">
        <v>2316</v>
      </c>
      <c r="F1099" t="b">
        <v>0</v>
      </c>
      <c r="G1099">
        <f>HYPERLINK("https://www.google.com/maps/search/?api=1&amp;query=24.55287095,46.71891376", "View Map")</f>
        <v/>
      </c>
    </row>
    <row r="1100">
      <c r="A1100" t="inlineStr">
        <is>
          <t xml:space="preserve">   جامع الشيخ سعد الختلان .</t>
        </is>
      </c>
      <c r="B1100" t="inlineStr">
        <is>
          <t>KFM2020660190889</t>
        </is>
      </c>
      <c r="C1100" t="inlineStr">
        <is>
          <t>الرياض</t>
        </is>
      </c>
      <c r="D1100" t="inlineStr">
        <is>
          <t>كلا الفترتين</t>
        </is>
      </c>
      <c r="E1100" t="n">
        <v>2315</v>
      </c>
      <c r="F1100" t="b">
        <v>1</v>
      </c>
      <c r="G1100">
        <f>HYPERLINK("https://www.google.com/maps/search/?api=1&amp;query=24.80937133,46.65371925", "View Map")</f>
        <v/>
      </c>
    </row>
    <row r="1101">
      <c r="A1101" t="inlineStr">
        <is>
          <t xml:space="preserve">   مسجدعثمان العثمان .</t>
        </is>
      </c>
      <c r="B1101" t="inlineStr">
        <is>
          <t>KFM2020660126296</t>
        </is>
      </c>
      <c r="C1101" t="inlineStr">
        <is>
          <t>الرياض</t>
        </is>
      </c>
      <c r="D1101" t="inlineStr">
        <is>
          <t>كلا الفترتين</t>
        </is>
      </c>
      <c r="E1101" t="n">
        <v>2315</v>
      </c>
      <c r="F1101" t="b">
        <v>1</v>
      </c>
      <c r="G1101">
        <f>HYPERLINK("https://www.google.com/maps/search/?api=1&amp;query=24.78884288,46.68571218", "View Map")</f>
        <v/>
      </c>
    </row>
    <row r="1102">
      <c r="A1102" t="inlineStr">
        <is>
          <t xml:space="preserve">   مسجد فهد العثمان .</t>
        </is>
      </c>
      <c r="B1102" t="inlineStr">
        <is>
          <t>KFM2120660252991</t>
        </is>
      </c>
      <c r="C1102" t="inlineStr">
        <is>
          <t>الرياض</t>
        </is>
      </c>
      <c r="D1102" t="inlineStr">
        <is>
          <t>كلا الفترتين</t>
        </is>
      </c>
      <c r="E1102" t="n">
        <v>2314</v>
      </c>
      <c r="F1102" t="b">
        <v>0</v>
      </c>
      <c r="G1102">
        <f>HYPERLINK("https://www.google.com/maps/search/?api=1&amp;query=24.6174008,46.53902272", "View Map")</f>
        <v/>
      </c>
    </row>
    <row r="1103">
      <c r="A1103" t="inlineStr">
        <is>
          <t xml:space="preserve">   مسجد الضلعان .</t>
        </is>
      </c>
      <c r="B1103" t="inlineStr">
        <is>
          <t>KFM2020660056810</t>
        </is>
      </c>
      <c r="C1103" t="inlineStr">
        <is>
          <t>الرياض</t>
        </is>
      </c>
      <c r="D1103" t="inlineStr">
        <is>
          <t>كلا الفترتين</t>
        </is>
      </c>
      <c r="E1103" t="n">
        <v>2313</v>
      </c>
      <c r="F1103" t="b">
        <v>1</v>
      </c>
      <c r="G1103">
        <f>HYPERLINK("https://www.google.com/maps/search/?api=1&amp;query=24.73660421,46.76481192", "View Map")</f>
        <v/>
      </c>
    </row>
    <row r="1104">
      <c r="A1104" t="inlineStr">
        <is>
          <t xml:space="preserve">   مسجد غرناطة .</t>
        </is>
      </c>
      <c r="B1104" t="inlineStr">
        <is>
          <t>KFM2020660178231</t>
        </is>
      </c>
      <c r="C1104" t="inlineStr">
        <is>
          <t>الرياض</t>
        </is>
      </c>
      <c r="D1104" t="inlineStr">
        <is>
          <t>كلا الفترتين</t>
        </is>
      </c>
      <c r="E1104" t="n">
        <v>2312</v>
      </c>
      <c r="F1104" t="b">
        <v>1</v>
      </c>
      <c r="G1104">
        <f>HYPERLINK("https://www.google.com/maps/search/?api=1&amp;query=24.78560178,46.736722", "View Map")</f>
        <v/>
      </c>
    </row>
    <row r="1105">
      <c r="A1105" t="inlineStr">
        <is>
          <t xml:space="preserve"> المسجد    الموقت  جامع العوده .</t>
        </is>
      </c>
      <c r="B1105" t="inlineStr">
        <is>
          <t>KFM2020660198408</t>
        </is>
      </c>
      <c r="C1105" t="inlineStr">
        <is>
          <t>الرياض</t>
        </is>
      </c>
      <c r="D1105" t="inlineStr">
        <is>
          <t>كلا الفترتين</t>
        </is>
      </c>
      <c r="E1105" t="n">
        <v>2312</v>
      </c>
      <c r="F1105" t="b">
        <v>1</v>
      </c>
      <c r="G1105">
        <f>HYPERLINK("https://www.google.com/maps/search/?api=1&amp;query=24.57215663,46.58360309", "View Map")</f>
        <v/>
      </c>
    </row>
    <row r="1106">
      <c r="A1106" t="inlineStr">
        <is>
          <t xml:space="preserve">   مسجد المعيذر .</t>
        </is>
      </c>
      <c r="B1106" t="inlineStr">
        <is>
          <t>KFM2020660018863</t>
        </is>
      </c>
      <c r="C1106" t="inlineStr">
        <is>
          <t>الرياض</t>
        </is>
      </c>
      <c r="D1106" t="inlineStr">
        <is>
          <t>كلا الفترتين</t>
        </is>
      </c>
      <c r="E1106" t="n">
        <v>2311</v>
      </c>
      <c r="F1106" t="b">
        <v>0</v>
      </c>
      <c r="G1106">
        <f>HYPERLINK("https://www.google.com/maps/search/?api=1&amp;query=24.8150759,46.79136976", "View Map")</f>
        <v/>
      </c>
    </row>
    <row r="1107">
      <c r="A1107" t="inlineStr">
        <is>
          <t xml:space="preserve">   مسجد/ خليفة ابو بكر الصديق .</t>
        </is>
      </c>
      <c r="B1107" t="inlineStr">
        <is>
          <t>KFM2020660171226</t>
        </is>
      </c>
      <c r="C1107" t="inlineStr">
        <is>
          <t>الرياض</t>
        </is>
      </c>
      <c r="D1107" t="inlineStr">
        <is>
          <t>كلا الفترتين</t>
        </is>
      </c>
      <c r="E1107" t="n">
        <v>2310</v>
      </c>
      <c r="F1107" t="b">
        <v>0</v>
      </c>
      <c r="G1107">
        <f>HYPERLINK("https://www.google.com/maps/search/?api=1&amp;query=24.73249627,46.84929082", "View Map")</f>
        <v/>
      </c>
    </row>
    <row r="1108">
      <c r="A1108" t="inlineStr">
        <is>
          <t xml:space="preserve">   مسجد عبدالكريم جميلي .</t>
        </is>
      </c>
      <c r="B1108" t="inlineStr">
        <is>
          <t>KFM2020660061445</t>
        </is>
      </c>
      <c r="C1108" t="inlineStr">
        <is>
          <t>الرياض</t>
        </is>
      </c>
      <c r="D1108" t="inlineStr">
        <is>
          <t>كلا الفترتين</t>
        </is>
      </c>
      <c r="E1108" t="n">
        <v>2309</v>
      </c>
      <c r="F1108" t="b">
        <v>1</v>
      </c>
      <c r="G1108">
        <f>HYPERLINK("https://www.google.com/maps/search/?api=1&amp;query=24.72327384,46.81496584", "View Map")</f>
        <v/>
      </c>
    </row>
    <row r="1109">
      <c r="A1109" t="inlineStr">
        <is>
          <t xml:space="preserve">   مسجدعبدالله محمدالشدى .</t>
        </is>
      </c>
      <c r="B1109" t="inlineStr">
        <is>
          <t>KFM2120660247042</t>
        </is>
      </c>
      <c r="C1109" t="inlineStr">
        <is>
          <t>الرياض</t>
        </is>
      </c>
      <c r="D1109" t="inlineStr">
        <is>
          <t>كلا الفترتين</t>
        </is>
      </c>
      <c r="E1109" t="n">
        <v>2308</v>
      </c>
      <c r="F1109" t="b">
        <v>0</v>
      </c>
      <c r="G1109">
        <f>HYPERLINK("https://www.google.com/maps/search/?api=1&amp;query=24.68954053,46.64155291", "View Map")</f>
        <v/>
      </c>
    </row>
    <row r="1110">
      <c r="A1110" t="inlineStr">
        <is>
          <t xml:space="preserve">   مسجد حي غبيراء .</t>
        </is>
      </c>
      <c r="B1110" t="inlineStr">
        <is>
          <t>KFM2120660281774</t>
        </is>
      </c>
      <c r="C1110" t="inlineStr">
        <is>
          <t>الرياض</t>
        </is>
      </c>
      <c r="D1110" t="inlineStr">
        <is>
          <t>كلا الفترتين</t>
        </is>
      </c>
      <c r="E1110" t="n">
        <v>2308</v>
      </c>
      <c r="F1110" t="b">
        <v>0</v>
      </c>
      <c r="G1110">
        <f>HYPERLINK("https://www.google.com/maps/search/?api=1&amp;query=24.61657229,46.73618587", "View Map")</f>
        <v/>
      </c>
    </row>
    <row r="1111">
      <c r="A1111" t="inlineStr">
        <is>
          <t xml:space="preserve">   وزارة     الشؤن     مسجد الواحة .</t>
        </is>
      </c>
      <c r="B1111" t="inlineStr">
        <is>
          <t>KFM2020660190503</t>
        </is>
      </c>
      <c r="C1111" t="inlineStr">
        <is>
          <t>الرياض</t>
        </is>
      </c>
      <c r="D1111" t="inlineStr">
        <is>
          <t>كلا الفترتين</t>
        </is>
      </c>
      <c r="E1111" t="n">
        <v>2305</v>
      </c>
      <c r="F1111" t="b">
        <v>0</v>
      </c>
      <c r="G1111">
        <f>HYPERLINK("https://www.google.com/maps/search/?api=1&amp;query=24.74603712,46.72554078", "View Map")</f>
        <v/>
      </c>
    </row>
    <row r="1112">
      <c r="A1112" t="inlineStr">
        <is>
          <t xml:space="preserve">   وزارة الشئون الاسلاميه جامع النور .</t>
        </is>
      </c>
      <c r="B1112" t="inlineStr">
        <is>
          <t>KFM2120660256934</t>
        </is>
      </c>
      <c r="C1112" t="inlineStr">
        <is>
          <t>الرياض</t>
        </is>
      </c>
      <c r="D1112" t="inlineStr">
        <is>
          <t>كلا الفترتين</t>
        </is>
      </c>
      <c r="E1112" t="n">
        <v>2304</v>
      </c>
      <c r="F1112" t="b">
        <v>1</v>
      </c>
      <c r="G1112">
        <f>HYPERLINK("https://www.google.com/maps/search/?api=1&amp;query=24.57767904,46.77713849", "View Map")</f>
        <v/>
      </c>
    </row>
    <row r="1113">
      <c r="A1113" t="inlineStr">
        <is>
          <t xml:space="preserve">   مساجد .</t>
        </is>
      </c>
      <c r="B1113" t="inlineStr">
        <is>
          <t>KFM2020660061251</t>
        </is>
      </c>
      <c r="C1113" t="inlineStr">
        <is>
          <t>الرياض</t>
        </is>
      </c>
      <c r="D1113" t="inlineStr">
        <is>
          <t>كلا الفترتين</t>
        </is>
      </c>
      <c r="E1113" t="n">
        <v>2303</v>
      </c>
      <c r="F1113" t="b">
        <v>1</v>
      </c>
      <c r="G1113">
        <f>HYPERLINK("https://www.google.com/maps/search/?api=1&amp;query=24.81358583,46.78162619", "View Map")</f>
        <v/>
      </c>
    </row>
    <row r="1114">
      <c r="A1114" t="inlineStr">
        <is>
          <t>ﻤﺴﺎﺠﺩ .</t>
        </is>
      </c>
      <c r="B1114" t="inlineStr">
        <is>
          <t>KFM2120660255403</t>
        </is>
      </c>
      <c r="C1114" t="inlineStr">
        <is>
          <t>الرياض</t>
        </is>
      </c>
      <c r="D1114" t="inlineStr">
        <is>
          <t>كلا الفترتين</t>
        </is>
      </c>
      <c r="E1114" t="n">
        <v>2301</v>
      </c>
      <c r="F1114" t="b">
        <v>1</v>
      </c>
      <c r="G1114">
        <f>HYPERLINK("https://www.google.com/maps/search/?api=1&amp;query=24.8259204,46.58849274", "View Map")</f>
        <v/>
      </c>
    </row>
    <row r="1115">
      <c r="A1115" t="inlineStr">
        <is>
          <t xml:space="preserve">   مسجد خالد بن الوليد .</t>
        </is>
      </c>
      <c r="B1115" t="inlineStr">
        <is>
          <t>KFM2020660012520</t>
        </is>
      </c>
      <c r="C1115" t="inlineStr">
        <is>
          <t>الرياض</t>
        </is>
      </c>
      <c r="D1115" t="inlineStr">
        <is>
          <t>كلا الفترتين</t>
        </is>
      </c>
      <c r="E1115" t="n">
        <v>2301</v>
      </c>
      <c r="F1115" t="b">
        <v>0</v>
      </c>
      <c r="G1115">
        <f>HYPERLINK("https://www.google.com/maps/search/?api=1&amp;query=24.76677296,46.82896855", "View Map")</f>
        <v/>
      </c>
    </row>
    <row r="1116">
      <c r="A1116" t="inlineStr">
        <is>
          <t xml:space="preserve">   جامع الهجره .</t>
        </is>
      </c>
      <c r="B1116" t="inlineStr">
        <is>
          <t>KFM2020760203044</t>
        </is>
      </c>
      <c r="C1116" t="inlineStr">
        <is>
          <t>الدرعية</t>
        </is>
      </c>
      <c r="D1116" t="inlineStr">
        <is>
          <t>كلا الفترتين</t>
        </is>
      </c>
      <c r="E1116" t="n">
        <v>2297</v>
      </c>
      <c r="F1116" t="b">
        <v>1</v>
      </c>
      <c r="G1116">
        <f>HYPERLINK("https://www.google.com/maps/search/?api=1&amp;query=24.89695548,46.29572851", "View Map")</f>
        <v/>
      </c>
    </row>
    <row r="1117">
      <c r="A1117" t="inlineStr">
        <is>
          <t>وزارة الشئون الاسلامية والاوقاف .</t>
        </is>
      </c>
      <c r="B1117" t="inlineStr">
        <is>
          <t>KFM2020660173436</t>
        </is>
      </c>
      <c r="C1117" t="inlineStr">
        <is>
          <t>الرياض</t>
        </is>
      </c>
      <c r="D1117" t="inlineStr">
        <is>
          <t>كلا الفترتين</t>
        </is>
      </c>
      <c r="E1117" t="n">
        <v>2297</v>
      </c>
      <c r="F1117" t="b">
        <v>1</v>
      </c>
      <c r="G1117">
        <f>HYPERLINK("https://www.google.com/maps/search/?api=1&amp;query=24.69129537,46.6507574", "View Map")</f>
        <v/>
      </c>
    </row>
    <row r="1118">
      <c r="A1118" t="inlineStr">
        <is>
          <t xml:space="preserve">   مسجد حي النور .</t>
        </is>
      </c>
      <c r="B1118" t="inlineStr">
        <is>
          <t>KFM2120660242216</t>
        </is>
      </c>
      <c r="C1118" t="inlineStr">
        <is>
          <t>الرياض</t>
        </is>
      </c>
      <c r="D1118" t="inlineStr">
        <is>
          <t>كلا الفترتين</t>
        </is>
      </c>
      <c r="E1118" t="n">
        <v>2296</v>
      </c>
      <c r="F1118" t="b">
        <v>1</v>
      </c>
      <c r="G1118">
        <f>HYPERLINK("https://www.google.com/maps/search/?api=1&amp;query=24.64885868,46.80072088", "View Map")</f>
        <v/>
      </c>
    </row>
    <row r="1119">
      <c r="A1119" t="inlineStr">
        <is>
          <t xml:space="preserve">   جامع المصيف .</t>
        </is>
      </c>
      <c r="B1119" t="inlineStr">
        <is>
          <t>KFM2020660173819</t>
        </is>
      </c>
      <c r="C1119" t="inlineStr">
        <is>
          <t>الرياض</t>
        </is>
      </c>
      <c r="D1119" t="inlineStr">
        <is>
          <t>كلا الفترتين</t>
        </is>
      </c>
      <c r="E1119" t="n">
        <v>2296</v>
      </c>
      <c r="F1119" t="b">
        <v>1</v>
      </c>
      <c r="G1119">
        <f>HYPERLINK("https://www.google.com/maps/search/?api=1&amp;query=24.75885056,46.67936433", "View Map")</f>
        <v/>
      </c>
    </row>
    <row r="1120">
      <c r="A1120" t="inlineStr">
        <is>
          <t xml:space="preserve">  مسجد  الثمريه   الفيصل .</t>
        </is>
      </c>
      <c r="B1120" t="inlineStr">
        <is>
          <t>KFM2020660013843</t>
        </is>
      </c>
      <c r="C1120" t="inlineStr">
        <is>
          <t>الرياض</t>
        </is>
      </c>
      <c r="D1120" t="inlineStr">
        <is>
          <t>كلا الفترتين</t>
        </is>
      </c>
      <c r="E1120" t="n">
        <v>2295</v>
      </c>
      <c r="F1120" t="b">
        <v>1</v>
      </c>
      <c r="G1120">
        <f>HYPERLINK("https://www.google.com/maps/search/?api=1&amp;query=24.63134889,46.70200098", "View Map")</f>
        <v/>
      </c>
    </row>
    <row r="1121">
      <c r="A1121" t="inlineStr">
        <is>
          <t>مسجد نورالاسلام       العريجاء .</t>
        </is>
      </c>
      <c r="B1121" t="inlineStr">
        <is>
          <t>KFM2020660202459</t>
        </is>
      </c>
      <c r="C1121" t="inlineStr">
        <is>
          <t>الرياض</t>
        </is>
      </c>
      <c r="D1121" t="inlineStr">
        <is>
          <t>كلا الفترتين</t>
        </is>
      </c>
      <c r="E1121" t="n">
        <v>2293</v>
      </c>
      <c r="F1121" t="b">
        <v>0</v>
      </c>
      <c r="G1121">
        <f>HYPERLINK("https://www.google.com/maps/search/?api=1&amp;query=24.57100564,46.54200447", "View Map")</f>
        <v/>
      </c>
    </row>
    <row r="1122">
      <c r="A1122" t="inlineStr">
        <is>
          <t xml:space="preserve">   مسجد / منيرة بنت ناصر .</t>
        </is>
      </c>
      <c r="B1122" t="inlineStr">
        <is>
          <t>KFM2020660175148</t>
        </is>
      </c>
      <c r="C1122" t="inlineStr">
        <is>
          <t>الرياض</t>
        </is>
      </c>
      <c r="D1122" t="inlineStr">
        <is>
          <t>كلا الفترتين</t>
        </is>
      </c>
      <c r="E1122" t="n">
        <v>2292</v>
      </c>
      <c r="F1122" t="b">
        <v>0</v>
      </c>
      <c r="G1122">
        <f>HYPERLINK("https://www.google.com/maps/search/?api=1&amp;query=24.78472701,46.71993151", "View Map")</f>
        <v/>
      </c>
    </row>
    <row r="1123">
      <c r="A1123" t="inlineStr">
        <is>
          <t xml:space="preserve">   مسجد مصلح الحربي .</t>
        </is>
      </c>
      <c r="B1123" t="inlineStr">
        <is>
          <t>KFM2120660293122</t>
        </is>
      </c>
      <c r="C1123" t="inlineStr">
        <is>
          <t>الرياض</t>
        </is>
      </c>
      <c r="D1123" t="inlineStr">
        <is>
          <t>كلا الفترتين</t>
        </is>
      </c>
      <c r="E1123" t="n">
        <v>2290</v>
      </c>
      <c r="F1123" t="b">
        <v>1</v>
      </c>
      <c r="G1123">
        <f>HYPERLINK("https://www.google.com/maps/search/?api=1&amp;query=24.59597271,46.76104792", "View Map")</f>
        <v/>
      </c>
    </row>
    <row r="1124">
      <c r="A1124" t="inlineStr">
        <is>
          <t xml:space="preserve">   وزارة ألشئون ألاسلاميه ولاوقاف .</t>
        </is>
      </c>
      <c r="B1124" t="inlineStr">
        <is>
          <t>KFM2020660211383</t>
        </is>
      </c>
      <c r="C1124" t="inlineStr">
        <is>
          <t>الرياض</t>
        </is>
      </c>
      <c r="D1124" t="inlineStr">
        <is>
          <t>كلا الفترتين</t>
        </is>
      </c>
      <c r="E1124" t="n">
        <v>2288</v>
      </c>
      <c r="F1124" t="b">
        <v>1</v>
      </c>
      <c r="G1124">
        <f>HYPERLINK("https://www.google.com/maps/search/?api=1&amp;query=24.7912034,46.68409053", "View Map")</f>
        <v/>
      </c>
    </row>
    <row r="1125">
      <c r="A1125" t="inlineStr">
        <is>
          <t xml:space="preserve">     مسجد الفوزان و سكن امام و مؤذن .</t>
        </is>
      </c>
      <c r="B1125" t="inlineStr">
        <is>
          <t>KFM2020660060137</t>
        </is>
      </c>
      <c r="C1125" t="inlineStr">
        <is>
          <t>الرياض</t>
        </is>
      </c>
      <c r="D1125" t="inlineStr">
        <is>
          <t>كلا الفترتين</t>
        </is>
      </c>
      <c r="E1125" t="n">
        <v>2288</v>
      </c>
      <c r="F1125" t="b">
        <v>1</v>
      </c>
      <c r="G1125">
        <f>HYPERLINK("https://www.google.com/maps/search/?api=1&amp;query=24.76598521,46.74771817", "View Map")</f>
        <v/>
      </c>
    </row>
    <row r="1126">
      <c r="A1126" t="inlineStr">
        <is>
          <t xml:space="preserve">   مسجد علي بن أبي طالب .</t>
        </is>
      </c>
      <c r="B1126" t="inlineStr">
        <is>
          <t>KFM2020660190914</t>
        </is>
      </c>
      <c r="C1126" t="inlineStr">
        <is>
          <t>الرياض</t>
        </is>
      </c>
      <c r="D1126" t="inlineStr">
        <is>
          <t>كلا الفترتين</t>
        </is>
      </c>
      <c r="E1126" t="n">
        <v>2286</v>
      </c>
      <c r="F1126" t="b">
        <v>1</v>
      </c>
      <c r="G1126">
        <f>HYPERLINK("https://www.google.com/maps/search/?api=1&amp;query=24.76040456,46.8216772", "View Map")</f>
        <v/>
      </c>
    </row>
    <row r="1127">
      <c r="A1127" t="inlineStr">
        <is>
          <t>ﻤﺴﺎﺠﺩ .</t>
        </is>
      </c>
      <c r="B1127" t="inlineStr">
        <is>
          <t>KFM2020660190356</t>
        </is>
      </c>
      <c r="C1127" t="inlineStr">
        <is>
          <t>الرياض</t>
        </is>
      </c>
      <c r="D1127" t="inlineStr">
        <is>
          <t>كلا الفترتين</t>
        </is>
      </c>
      <c r="E1127" t="n">
        <v>2284</v>
      </c>
      <c r="F1127" t="b">
        <v>1</v>
      </c>
      <c r="G1127">
        <f>HYPERLINK("https://www.google.com/maps/search/?api=1&amp;query=24.83516737,46.67086883", "View Map")</f>
        <v/>
      </c>
    </row>
    <row r="1128">
      <c r="A1128" t="inlineStr">
        <is>
          <t xml:space="preserve">   مسجد      محمد      الموسى .</t>
        </is>
      </c>
      <c r="B1128" t="inlineStr">
        <is>
          <t>KFM2020660198005</t>
        </is>
      </c>
      <c r="C1128" t="inlineStr">
        <is>
          <t>الرياض</t>
        </is>
      </c>
      <c r="D1128" t="inlineStr">
        <is>
          <t>كلا الفترتين</t>
        </is>
      </c>
      <c r="E1128" t="n">
        <v>2274</v>
      </c>
      <c r="F1128" t="b">
        <v>1</v>
      </c>
      <c r="G1128">
        <f>HYPERLINK("https://www.google.com/maps/search/?api=1&amp;query=24.74905368,46.62230801", "View Map")</f>
        <v/>
      </c>
    </row>
    <row r="1129">
      <c r="A1129" t="inlineStr">
        <is>
          <t xml:space="preserve">   مسجد الخويطر .</t>
        </is>
      </c>
      <c r="B1129" t="inlineStr">
        <is>
          <t>KFM2020660170753</t>
        </is>
      </c>
      <c r="C1129" t="inlineStr">
        <is>
          <t>الرياض</t>
        </is>
      </c>
      <c r="D1129" t="inlineStr">
        <is>
          <t>كلا الفترتين</t>
        </is>
      </c>
      <c r="E1129" t="n">
        <v>2274</v>
      </c>
      <c r="F1129" t="b">
        <v>1</v>
      </c>
      <c r="G1129">
        <f>HYPERLINK("https://www.google.com/maps/search/?api=1&amp;query=24.7681246,46.80888843", "View Map")</f>
        <v/>
      </c>
    </row>
    <row r="1130">
      <c r="A1130" t="inlineStr">
        <is>
          <t>مسجد العريجاء .</t>
        </is>
      </c>
      <c r="B1130" t="inlineStr">
        <is>
          <t>KFM2020660043894</t>
        </is>
      </c>
      <c r="C1130" t="inlineStr">
        <is>
          <t>الرياض</t>
        </is>
      </c>
      <c r="D1130" t="inlineStr">
        <is>
          <t>كلا الفترتين</t>
        </is>
      </c>
      <c r="E1130" t="n">
        <v>2274</v>
      </c>
      <c r="F1130" t="b">
        <v>1</v>
      </c>
      <c r="G1130">
        <f>HYPERLINK("https://www.google.com/maps/search/?api=1&amp;query=24.58944915,46.58230989", "View Map")</f>
        <v/>
      </c>
    </row>
    <row r="1131">
      <c r="A1131" t="inlineStr">
        <is>
          <t>مساجد .</t>
        </is>
      </c>
      <c r="B1131" t="inlineStr">
        <is>
          <t>KFM2020660187628</t>
        </is>
      </c>
      <c r="C1131" t="inlineStr">
        <is>
          <t>الرياض</t>
        </is>
      </c>
      <c r="D1131" t="inlineStr">
        <is>
          <t>كلا الفترتين</t>
        </is>
      </c>
      <c r="E1131" t="n">
        <v>2271</v>
      </c>
      <c r="F1131" t="b">
        <v>1</v>
      </c>
      <c r="G1131">
        <f>HYPERLINK("https://www.google.com/maps/search/?api=1&amp;query=24.8265293,46.59987905", "View Map")</f>
        <v/>
      </c>
    </row>
    <row r="1132">
      <c r="A1132" t="inlineStr">
        <is>
          <t>ﻭﺯﺍﺭﺓﺍﻟﺸﺌﻭﻥ ﺍﻻﺴﻼﻤﻴﺓﻭﺍﻻﻭﻗﺎﻑ .</t>
        </is>
      </c>
      <c r="B1132" t="inlineStr">
        <is>
          <t>KFM2020660051657</t>
        </is>
      </c>
      <c r="C1132" t="inlineStr">
        <is>
          <t>الرياض</t>
        </is>
      </c>
      <c r="D1132" t="inlineStr">
        <is>
          <t>كلا الفترتين</t>
        </is>
      </c>
      <c r="E1132" t="n">
        <v>2269</v>
      </c>
      <c r="F1132" t="b">
        <v>1</v>
      </c>
      <c r="G1132">
        <f>HYPERLINK("https://www.google.com/maps/search/?api=1&amp;query=24.57827001,46.67196013", "View Map")</f>
        <v/>
      </c>
    </row>
    <row r="1133">
      <c r="A1133" t="inlineStr">
        <is>
          <t>مسجد ابوهريرة .</t>
        </is>
      </c>
      <c r="B1133" t="inlineStr">
        <is>
          <t>KFM2020660051572</t>
        </is>
      </c>
      <c r="C1133" t="inlineStr">
        <is>
          <t>الرياض</t>
        </is>
      </c>
      <c r="D1133" t="inlineStr">
        <is>
          <t>كلا الفترتين</t>
        </is>
      </c>
      <c r="E1133" t="n">
        <v>2268</v>
      </c>
      <c r="F1133" t="b">
        <v>0</v>
      </c>
      <c r="G1133">
        <f>HYPERLINK("https://www.google.com/maps/search/?api=1&amp;query=24.59065551,46.61463001", "View Map")</f>
        <v/>
      </c>
    </row>
    <row r="1134">
      <c r="A1134" t="inlineStr">
        <is>
          <t xml:space="preserve">   مسجد ابن عثيمين .</t>
        </is>
      </c>
      <c r="B1134" t="inlineStr">
        <is>
          <t>KFM2020660197702</t>
        </is>
      </c>
      <c r="C1134" t="inlineStr">
        <is>
          <t>الرياض</t>
        </is>
      </c>
      <c r="D1134" t="inlineStr">
        <is>
          <t>كلا الفترتين</t>
        </is>
      </c>
      <c r="E1134" t="n">
        <v>2267</v>
      </c>
      <c r="F1134" t="b">
        <v>0</v>
      </c>
      <c r="G1134">
        <f>HYPERLINK("https://www.google.com/maps/search/?api=1&amp;query=24.65014502,46.55361744", "View Map")</f>
        <v/>
      </c>
    </row>
    <row r="1135">
      <c r="A1135" t="inlineStr">
        <is>
          <t>مسجد النميلات .</t>
        </is>
      </c>
      <c r="B1135" t="inlineStr">
        <is>
          <t>KFM2020660087399</t>
        </is>
      </c>
      <c r="C1135" t="inlineStr">
        <is>
          <t>الرياض</t>
        </is>
      </c>
      <c r="D1135" t="inlineStr">
        <is>
          <t>كلا الفترتين</t>
        </is>
      </c>
      <c r="E1135" t="n">
        <v>2267</v>
      </c>
      <c r="F1135" t="b">
        <v>0</v>
      </c>
      <c r="G1135">
        <f>HYPERLINK("https://www.google.com/maps/search/?api=1&amp;query=24.5689183,46.70834998", "View Map")</f>
        <v/>
      </c>
    </row>
    <row r="1136">
      <c r="A1136" t="inlineStr">
        <is>
          <t xml:space="preserve">   مسجد/ابو بكرالصديق .</t>
        </is>
      </c>
      <c r="B1136" t="inlineStr">
        <is>
          <t>KFM2020660192885</t>
        </is>
      </c>
      <c r="C1136" t="inlineStr">
        <is>
          <t>الرياض</t>
        </is>
      </c>
      <c r="D1136" t="inlineStr">
        <is>
          <t>كلا الفترتين</t>
        </is>
      </c>
      <c r="E1136" t="n">
        <v>2266</v>
      </c>
      <c r="F1136" t="b">
        <v>0</v>
      </c>
      <c r="G1136">
        <f>HYPERLINK("https://www.google.com/maps/search/?api=1&amp;query=24.84015919,46.80501704", "View Map")</f>
        <v/>
      </c>
    </row>
    <row r="1137">
      <c r="A1137" t="inlineStr">
        <is>
          <t xml:space="preserve">   مسجد الرومي .</t>
        </is>
      </c>
      <c r="B1137" t="inlineStr">
        <is>
          <t>KFM2020660191030</t>
        </is>
      </c>
      <c r="C1137" t="inlineStr">
        <is>
          <t>الرياض</t>
        </is>
      </c>
      <c r="D1137" t="inlineStr">
        <is>
          <t>كلا الفترتين</t>
        </is>
      </c>
      <c r="E1137" t="n">
        <v>2263</v>
      </c>
      <c r="F1137" t="b">
        <v>1</v>
      </c>
      <c r="G1137">
        <f>HYPERLINK("https://www.google.com/maps/search/?api=1&amp;query=24.78433462,46.79192822", "View Map")</f>
        <v/>
      </c>
    </row>
    <row r="1138">
      <c r="A1138" t="inlineStr">
        <is>
          <t xml:space="preserve">   مسجد حي الخليج .</t>
        </is>
      </c>
      <c r="B1138" t="inlineStr">
        <is>
          <t>KFM2020660025458</t>
        </is>
      </c>
      <c r="C1138" t="inlineStr">
        <is>
          <t>الرياض</t>
        </is>
      </c>
      <c r="D1138" t="inlineStr">
        <is>
          <t>كلا الفترتين</t>
        </is>
      </c>
      <c r="E1138" t="n">
        <v>2262</v>
      </c>
      <c r="F1138" t="b">
        <v>1</v>
      </c>
      <c r="G1138">
        <f>HYPERLINK("https://www.google.com/maps/search/?api=1&amp;query=24.77575861,46.80511905", "View Map")</f>
        <v/>
      </c>
    </row>
    <row r="1139">
      <c r="A1139" t="inlineStr">
        <is>
          <t xml:space="preserve">   مسجد الوسيدي .</t>
        </is>
      </c>
      <c r="B1139" t="inlineStr">
        <is>
          <t>KFM2020660171466</t>
        </is>
      </c>
      <c r="C1139" t="inlineStr">
        <is>
          <t>الرياض</t>
        </is>
      </c>
      <c r="D1139" t="inlineStr">
        <is>
          <t>كلا الفترتين</t>
        </is>
      </c>
      <c r="E1139" t="n">
        <v>2261</v>
      </c>
      <c r="F1139" t="b">
        <v>1</v>
      </c>
      <c r="G1139">
        <f>HYPERLINK("https://www.google.com/maps/search/?api=1&amp;query=24.69711241,46.78146253", "View Map")</f>
        <v/>
      </c>
    </row>
    <row r="1140">
      <c r="A1140" t="inlineStr">
        <is>
          <t xml:space="preserve">   مسجد عمر بن عبدالعزيز .</t>
        </is>
      </c>
      <c r="B1140" t="inlineStr">
        <is>
          <t>KFM2020660040632</t>
        </is>
      </c>
      <c r="C1140" t="inlineStr">
        <is>
          <t>الرياض</t>
        </is>
      </c>
      <c r="D1140" t="inlineStr">
        <is>
          <t>كلا الفترتين</t>
        </is>
      </c>
      <c r="E1140" t="n">
        <v>2259</v>
      </c>
      <c r="F1140" t="b">
        <v>0</v>
      </c>
      <c r="G1140">
        <f>HYPERLINK("https://www.google.com/maps/search/?api=1&amp;query=24.78422683,46.77884073", "View Map")</f>
        <v/>
      </c>
    </row>
    <row r="1141">
      <c r="A1141" t="inlineStr">
        <is>
          <t xml:space="preserve">   مسجد حمزه بن عبدالمطلب .</t>
        </is>
      </c>
      <c r="B1141" t="inlineStr">
        <is>
          <t>KFM2020660193645</t>
        </is>
      </c>
      <c r="C1141" t="inlineStr">
        <is>
          <t>الرياض</t>
        </is>
      </c>
      <c r="D1141" t="inlineStr">
        <is>
          <t>كلا الفترتين</t>
        </is>
      </c>
      <c r="E1141" t="n">
        <v>2258</v>
      </c>
      <c r="F1141" t="b">
        <v>1</v>
      </c>
      <c r="G1141">
        <f>HYPERLINK("https://www.google.com/maps/search/?api=1&amp;query=24.7703171,46.73542049", "View Map")</f>
        <v/>
      </c>
    </row>
    <row r="1142">
      <c r="A1142" t="inlineStr">
        <is>
          <t>مسجد      .         الهويمل .</t>
        </is>
      </c>
      <c r="B1142" t="inlineStr">
        <is>
          <t>KFM2020660025691</t>
        </is>
      </c>
      <c r="C1142" t="inlineStr">
        <is>
          <t>الرياض</t>
        </is>
      </c>
      <c r="D1142" t="inlineStr">
        <is>
          <t>كلا الفترتين</t>
        </is>
      </c>
      <c r="E1142" t="n">
        <v>2258</v>
      </c>
      <c r="F1142" t="b">
        <v>1</v>
      </c>
      <c r="G1142">
        <f>HYPERLINK("https://www.google.com/maps/search/?api=1&amp;query=24.60263241,46.66814416", "View Map")</f>
        <v/>
      </c>
    </row>
    <row r="1143">
      <c r="A1143" t="inlineStr">
        <is>
          <t>مسجد المجمع التجاري  /حراج  بن قاسم .</t>
        </is>
      </c>
      <c r="B1143" t="inlineStr">
        <is>
          <t>KFM2020660166230</t>
        </is>
      </c>
      <c r="C1143" t="inlineStr">
        <is>
          <t>الرياض</t>
        </is>
      </c>
      <c r="D1143" t="inlineStr">
        <is>
          <t>كلا الفترتين</t>
        </is>
      </c>
      <c r="E1143" t="n">
        <v>2255</v>
      </c>
      <c r="F1143" t="b">
        <v>1</v>
      </c>
      <c r="G1143">
        <f>HYPERLINK("https://www.google.com/maps/search/?api=1&amp;query=24.59689984,46.72986151", "View Map")</f>
        <v/>
      </c>
    </row>
    <row r="1144">
      <c r="A1144" t="inlineStr">
        <is>
          <t>مسجد نورة  العجلان .</t>
        </is>
      </c>
      <c r="B1144" t="inlineStr">
        <is>
          <t>KFM2020660196776</t>
        </is>
      </c>
      <c r="C1144" t="inlineStr">
        <is>
          <t>الرياض</t>
        </is>
      </c>
      <c r="D1144" t="inlineStr">
        <is>
          <t>كلا الفترتين</t>
        </is>
      </c>
      <c r="E1144" t="n">
        <v>2254</v>
      </c>
      <c r="F1144" t="b">
        <v>1</v>
      </c>
      <c r="G1144">
        <f>HYPERLINK("https://www.google.com/maps/search/?api=1&amp;query=24.5376302,46.64505804", "View Map")</f>
        <v/>
      </c>
    </row>
    <row r="1145">
      <c r="A1145" t="inlineStr">
        <is>
          <t>مسجد جنوب الشفاء .</t>
        </is>
      </c>
      <c r="B1145" t="inlineStr">
        <is>
          <t>KFM2020660171574</t>
        </is>
      </c>
      <c r="C1145" t="inlineStr">
        <is>
          <t>الرياض</t>
        </is>
      </c>
      <c r="D1145" t="inlineStr">
        <is>
          <t>كلا الفترتين</t>
        </is>
      </c>
      <c r="E1145" t="n">
        <v>2253</v>
      </c>
      <c r="F1145" t="b">
        <v>1</v>
      </c>
      <c r="G1145">
        <f>HYPERLINK("https://www.google.com/maps/search/?api=1&amp;query=24.5483376,46.70362731", "View Map")</f>
        <v/>
      </c>
    </row>
    <row r="1146">
      <c r="A1146" t="inlineStr">
        <is>
          <t>ﻤﺴﺎﺠﺩ .</t>
        </is>
      </c>
      <c r="B1146" t="inlineStr">
        <is>
          <t>KFM2020660191830</t>
        </is>
      </c>
      <c r="C1146" t="inlineStr">
        <is>
          <t>الرياض</t>
        </is>
      </c>
      <c r="D1146" t="inlineStr">
        <is>
          <t>كلا الفترتين</t>
        </is>
      </c>
      <c r="E1146" t="n">
        <v>2252</v>
      </c>
      <c r="F1146" t="b">
        <v>1</v>
      </c>
      <c r="G1146">
        <f>HYPERLINK("https://www.google.com/maps/search/?api=1&amp;query=24.8482485,46.82373402", "View Map")</f>
        <v/>
      </c>
    </row>
    <row r="1147">
      <c r="A1147" t="inlineStr">
        <is>
          <t xml:space="preserve">   مسجد عمر بن الخطاب .</t>
        </is>
      </c>
      <c r="B1147" t="inlineStr">
        <is>
          <t>KFM2020660061519</t>
        </is>
      </c>
      <c r="C1147" t="inlineStr">
        <is>
          <t>الرياض</t>
        </is>
      </c>
      <c r="D1147" t="inlineStr">
        <is>
          <t>كلا الفترتين</t>
        </is>
      </c>
      <c r="E1147" t="n">
        <v>2252</v>
      </c>
      <c r="F1147" t="b">
        <v>0</v>
      </c>
      <c r="G1147">
        <f>HYPERLINK("https://www.google.com/maps/search/?api=1&amp;query=24.76691639,46.76630882", "View Map")</f>
        <v/>
      </c>
    </row>
    <row r="1148">
      <c r="A1148" t="inlineStr">
        <is>
          <t>ﻤﺴﺎﺠﺩ .</t>
        </is>
      </c>
      <c r="B1148" t="inlineStr">
        <is>
          <t>KFM2020660060579</t>
        </is>
      </c>
      <c r="C1148" t="inlineStr">
        <is>
          <t>الدرعية</t>
        </is>
      </c>
      <c r="D1148" t="inlineStr">
        <is>
          <t>كلا الفترتين</t>
        </is>
      </c>
      <c r="E1148" t="n">
        <v>2250</v>
      </c>
      <c r="F1148" t="b">
        <v>1</v>
      </c>
      <c r="G1148">
        <f>HYPERLINK("https://www.google.com/maps/search/?api=1&amp;query=24.775971,46.56946824", "View Map")</f>
        <v/>
      </c>
    </row>
    <row r="1149">
      <c r="A1149" t="inlineStr">
        <is>
          <t xml:space="preserve">   مسجدحي الوادي .</t>
        </is>
      </c>
      <c r="B1149" t="inlineStr">
        <is>
          <t>KFM2020660211384</t>
        </is>
      </c>
      <c r="C1149" t="inlineStr">
        <is>
          <t>الرياض</t>
        </is>
      </c>
      <c r="D1149" t="inlineStr">
        <is>
          <t>كلا الفترتين</t>
        </is>
      </c>
      <c r="E1149" t="n">
        <v>2250</v>
      </c>
      <c r="F1149" t="b">
        <v>0</v>
      </c>
      <c r="G1149">
        <f>HYPERLINK("https://www.google.com/maps/search/?api=1&amp;query=24.79445521,46.69715011", "View Map")</f>
        <v/>
      </c>
    </row>
    <row r="1150">
      <c r="A1150" t="inlineStr">
        <is>
          <t xml:space="preserve">   مسجد الشيخ صالح بن غصون .</t>
        </is>
      </c>
      <c r="B1150" t="inlineStr">
        <is>
          <t>KFM2020660045984</t>
        </is>
      </c>
      <c r="C1150" t="inlineStr">
        <is>
          <t>الرياض</t>
        </is>
      </c>
      <c r="D1150" t="inlineStr">
        <is>
          <t>كلا الفترتين</t>
        </is>
      </c>
      <c r="E1150" t="n">
        <v>2249</v>
      </c>
      <c r="F1150" t="b">
        <v>0</v>
      </c>
      <c r="G1150">
        <f>HYPERLINK("https://www.google.com/maps/search/?api=1&amp;query=24.70431421,46.81820488", "View Map")</f>
        <v/>
      </c>
    </row>
    <row r="1151">
      <c r="A1151" t="inlineStr">
        <is>
          <t>مسجد المخطط2 بالبديعه .</t>
        </is>
      </c>
      <c r="B1151" t="inlineStr">
        <is>
          <t>KFM2020660054945</t>
        </is>
      </c>
      <c r="C1151" t="inlineStr">
        <is>
          <t>الرياض</t>
        </is>
      </c>
      <c r="D1151" t="inlineStr">
        <is>
          <t>كلا الفترتين</t>
        </is>
      </c>
      <c r="E1151" t="n">
        <v>2248</v>
      </c>
      <c r="F1151" t="b">
        <v>0</v>
      </c>
      <c r="G1151">
        <f>HYPERLINK("https://www.google.com/maps/search/?api=1&amp;query=24.59685742,46.65816017", "View Map")</f>
        <v/>
      </c>
    </row>
    <row r="1152">
      <c r="A1152" t="inlineStr">
        <is>
          <t xml:space="preserve">   مسجد هياء راشد الحسين .</t>
        </is>
      </c>
      <c r="B1152" t="inlineStr">
        <is>
          <t>KFM2020660191584</t>
        </is>
      </c>
      <c r="C1152" t="inlineStr">
        <is>
          <t>الرياض</t>
        </is>
      </c>
      <c r="D1152" t="inlineStr">
        <is>
          <t>كلا الفترتين</t>
        </is>
      </c>
      <c r="E1152" t="n">
        <v>2248</v>
      </c>
      <c r="F1152" t="b">
        <v>0</v>
      </c>
      <c r="G1152">
        <f>HYPERLINK("https://www.google.com/maps/search/?api=1&amp;query=24.78701492,46.73868576", "View Map")</f>
        <v/>
      </c>
    </row>
    <row r="1153">
      <c r="A1153" t="inlineStr">
        <is>
          <t xml:space="preserve">              مسجد وسكن  حي الحمراء .</t>
        </is>
      </c>
      <c r="B1153" t="inlineStr">
        <is>
          <t>KFM2020660060117</t>
        </is>
      </c>
      <c r="C1153" t="inlineStr">
        <is>
          <t>الرياض</t>
        </is>
      </c>
      <c r="D1153" t="inlineStr">
        <is>
          <t>كلا الفترتين</t>
        </is>
      </c>
      <c r="E1153" t="n">
        <v>2248</v>
      </c>
      <c r="F1153" t="b">
        <v>1</v>
      </c>
      <c r="G1153">
        <f>HYPERLINK("https://www.google.com/maps/search/?api=1&amp;query=24.77573178,46.75846052", "View Map")</f>
        <v/>
      </c>
    </row>
    <row r="1154">
      <c r="A1154" t="inlineStr">
        <is>
          <t>ﻭﺯﺍﺭﺓﺍﻟﺸﺌﻭﻥ ﺍﻻﺴﻼﻤﻴﺓﻭﺍﻻﻭﻗﺎﻑ .</t>
        </is>
      </c>
      <c r="B1154" t="inlineStr">
        <is>
          <t>KFM2020660051564</t>
        </is>
      </c>
      <c r="C1154" t="inlineStr">
        <is>
          <t>الرياض</t>
        </is>
      </c>
      <c r="D1154" t="inlineStr">
        <is>
          <t>كلا الفترتين</t>
        </is>
      </c>
      <c r="E1154" t="n">
        <v>2248</v>
      </c>
      <c r="F1154" t="b">
        <v>1</v>
      </c>
      <c r="G1154">
        <f>HYPERLINK("https://www.google.com/maps/search/?api=1&amp;query=24.55454811,46.63405477", "View Map")</f>
        <v/>
      </c>
    </row>
    <row r="1155">
      <c r="A1155" t="inlineStr">
        <is>
          <t xml:space="preserve">   مسجدالرميح .</t>
        </is>
      </c>
      <c r="B1155" t="inlineStr">
        <is>
          <t>KFM2120660282907</t>
        </is>
      </c>
      <c r="C1155" t="inlineStr">
        <is>
          <t>الرياض</t>
        </is>
      </c>
      <c r="D1155" t="inlineStr">
        <is>
          <t>كلا الفترتين</t>
        </is>
      </c>
      <c r="E1155" t="n">
        <v>2243</v>
      </c>
      <c r="F1155" t="b">
        <v>1</v>
      </c>
      <c r="G1155">
        <f>HYPERLINK("https://www.google.com/maps/search/?api=1&amp;query=24.63661924,46.74131099", "View Map")</f>
        <v/>
      </c>
    </row>
    <row r="1156">
      <c r="A1156" t="inlineStr">
        <is>
          <t>مسجدخالدبن الوليدوسكن الامام  والم .</t>
        </is>
      </c>
      <c r="B1156" t="inlineStr">
        <is>
          <t>KFM2020660196908</t>
        </is>
      </c>
      <c r="C1156" t="inlineStr">
        <is>
          <t>الرياض</t>
        </is>
      </c>
      <c r="D1156" t="inlineStr">
        <is>
          <t>كلا الفترتين</t>
        </is>
      </c>
      <c r="E1156" t="n">
        <v>2242</v>
      </c>
      <c r="F1156" t="b">
        <v>0</v>
      </c>
      <c r="G1156">
        <f>HYPERLINK("https://www.google.com/maps/search/?api=1&amp;query=24.4844033,46.63315748", "View Map")</f>
        <v/>
      </c>
    </row>
    <row r="1157">
      <c r="A1157" t="inlineStr">
        <is>
          <t xml:space="preserve">   مسجد الامام/ عبد الله بن المبارك .</t>
        </is>
      </c>
      <c r="B1157" t="inlineStr">
        <is>
          <t>KFM2120655004161</t>
        </is>
      </c>
      <c r="C1157" t="inlineStr">
        <is>
          <t>الرياض</t>
        </is>
      </c>
      <c r="D1157" t="inlineStr">
        <is>
          <t>كلا الفترتين</t>
        </is>
      </c>
      <c r="E1157" t="n">
        <v>2242</v>
      </c>
      <c r="F1157" t="b">
        <v>1</v>
      </c>
      <c r="G1157">
        <f>HYPERLINK("https://www.google.com/maps/search/?api=1&amp;query=24.7248084,46.80294878", "View Map")</f>
        <v/>
      </c>
    </row>
    <row r="1158">
      <c r="A1158" t="inlineStr">
        <is>
          <t xml:space="preserve">   مسجدالعزيزيه .</t>
        </is>
      </c>
      <c r="B1158" t="inlineStr">
        <is>
          <t>KFM2120660299058</t>
        </is>
      </c>
      <c r="C1158" t="inlineStr">
        <is>
          <t>الرياض</t>
        </is>
      </c>
      <c r="D1158" t="inlineStr">
        <is>
          <t>كلا الفترتين</t>
        </is>
      </c>
      <c r="E1158" t="n">
        <v>2240</v>
      </c>
      <c r="F1158" t="b">
        <v>0</v>
      </c>
      <c r="G1158">
        <f>HYPERLINK("https://www.google.com/maps/search/?api=1&amp;query=24.57897636,46.75765783", "View Map")</f>
        <v/>
      </c>
    </row>
    <row r="1159">
      <c r="A1159" t="inlineStr">
        <is>
          <t xml:space="preserve">   مسجد نورة زيدالغملاس .</t>
        </is>
      </c>
      <c r="B1159" t="inlineStr">
        <is>
          <t>KFM2020660201104</t>
        </is>
      </c>
      <c r="C1159" t="inlineStr">
        <is>
          <t>الرياض</t>
        </is>
      </c>
      <c r="D1159" t="inlineStr">
        <is>
          <t>كلا الفترتين</t>
        </is>
      </c>
      <c r="E1159" t="n">
        <v>2240</v>
      </c>
      <c r="F1159" t="b">
        <v>1</v>
      </c>
      <c r="G1159">
        <f>HYPERLINK("https://www.google.com/maps/search/?api=1&amp;query=24.78268326,46.69424282", "View Map")</f>
        <v/>
      </c>
    </row>
    <row r="1160">
      <c r="A1160" t="inlineStr">
        <is>
          <t>ﻤﺴﺎﺠﺩ .</t>
        </is>
      </c>
      <c r="B1160" t="inlineStr">
        <is>
          <t>KFM2020660191717</t>
        </is>
      </c>
      <c r="C1160" t="inlineStr">
        <is>
          <t>الرياض</t>
        </is>
      </c>
      <c r="D1160" t="inlineStr">
        <is>
          <t>كلا الفترتين</t>
        </is>
      </c>
      <c r="E1160" t="n">
        <v>2239</v>
      </c>
      <c r="F1160" t="b">
        <v>0</v>
      </c>
      <c r="G1160">
        <f>HYPERLINK("https://www.google.com/maps/search/?api=1&amp;query=24.77526334,46.8374993", "View Map")</f>
        <v/>
      </c>
    </row>
    <row r="1161">
      <c r="A1161" t="inlineStr">
        <is>
          <t xml:space="preserve">   مسجدشاهه .</t>
        </is>
      </c>
      <c r="B1161" t="inlineStr">
        <is>
          <t>KFM2020660234227</t>
        </is>
      </c>
      <c r="C1161" t="inlineStr">
        <is>
          <t>الرياض</t>
        </is>
      </c>
      <c r="D1161" t="inlineStr">
        <is>
          <t>كلا الفترتين</t>
        </is>
      </c>
      <c r="E1161" t="n">
        <v>2239</v>
      </c>
      <c r="F1161" t="b">
        <v>0</v>
      </c>
      <c r="G1161">
        <f>HYPERLINK("https://www.google.com/maps/search/?api=1&amp;query=24.64266918,46.72813691", "View Map")</f>
        <v/>
      </c>
    </row>
    <row r="1162">
      <c r="A1162" t="inlineStr">
        <is>
          <t>.  مسجد      ال  فريان .</t>
        </is>
      </c>
      <c r="B1162" t="inlineStr">
        <is>
          <t>KFM2020660173462</t>
        </is>
      </c>
      <c r="C1162" t="inlineStr">
        <is>
          <t>الرياض</t>
        </is>
      </c>
      <c r="D1162" t="inlineStr">
        <is>
          <t>كلا الفترتين</t>
        </is>
      </c>
      <c r="E1162" t="n">
        <v>2237</v>
      </c>
      <c r="F1162" t="b">
        <v>0</v>
      </c>
      <c r="G1162">
        <f>HYPERLINK("https://www.google.com/maps/search/?api=1&amp;query=24.62156169,46.71424394", "View Map")</f>
        <v/>
      </c>
    </row>
    <row r="1163">
      <c r="A1163" t="inlineStr">
        <is>
          <t xml:space="preserve">   مسجد الشريف طراد الحارثي .</t>
        </is>
      </c>
      <c r="B1163" t="inlineStr">
        <is>
          <t>KFM2020660041686</t>
        </is>
      </c>
      <c r="C1163" t="inlineStr">
        <is>
          <t>الرياض</t>
        </is>
      </c>
      <c r="D1163" t="inlineStr">
        <is>
          <t>كلا الفترتين</t>
        </is>
      </c>
      <c r="E1163" t="n">
        <v>2237</v>
      </c>
      <c r="F1163" t="b">
        <v>1</v>
      </c>
      <c r="G1163">
        <f>HYPERLINK("https://www.google.com/maps/search/?api=1&amp;query=24.80313311,46.81063206", "View Map")</f>
        <v/>
      </c>
    </row>
    <row r="1164">
      <c r="A1164" t="inlineStr">
        <is>
          <t xml:space="preserve">   مسجد / محمد صالح الرويلي .</t>
        </is>
      </c>
      <c r="B1164" t="inlineStr">
        <is>
          <t>KFM2020660060140</t>
        </is>
      </c>
      <c r="C1164" t="inlineStr">
        <is>
          <t>الرياض</t>
        </is>
      </c>
      <c r="D1164" t="inlineStr">
        <is>
          <t>كلا الفترتين</t>
        </is>
      </c>
      <c r="E1164" t="n">
        <v>2235</v>
      </c>
      <c r="F1164" t="b">
        <v>1</v>
      </c>
      <c r="G1164">
        <f>HYPERLINK("https://www.google.com/maps/search/?api=1&amp;query=24.76765253,46.74998904", "View Map")</f>
        <v/>
      </c>
    </row>
    <row r="1165">
      <c r="A1165" t="inlineStr">
        <is>
          <t>ﻭﺯﺍﺭﺓﺍﻟﺸﺌﻭﻥ ﺍﻻﺴﻼﻤﻴﺓﻭﺍﻻﻭﻗﺎﻑ .</t>
        </is>
      </c>
      <c r="B1165" t="inlineStr">
        <is>
          <t>KFM2020660200418</t>
        </is>
      </c>
      <c r="C1165" t="inlineStr">
        <is>
          <t>الرياض</t>
        </is>
      </c>
      <c r="D1165" t="inlineStr">
        <is>
          <t>كلا الفترتين</t>
        </is>
      </c>
      <c r="E1165" t="n">
        <v>2234</v>
      </c>
      <c r="F1165" t="b">
        <v>1</v>
      </c>
      <c r="G1165">
        <f>HYPERLINK("https://www.google.com/maps/search/?api=1&amp;query=24.55537117,46.56147134", "View Map")</f>
        <v/>
      </c>
    </row>
    <row r="1166">
      <c r="A1166" t="inlineStr">
        <is>
          <t xml:space="preserve">   مسجد الزغيبي .</t>
        </is>
      </c>
      <c r="B1166" t="inlineStr">
        <is>
          <t>KFM2020660054066</t>
        </is>
      </c>
      <c r="C1166" t="inlineStr">
        <is>
          <t>الرياض</t>
        </is>
      </c>
      <c r="D1166" t="inlineStr">
        <is>
          <t>كلا الفترتين</t>
        </is>
      </c>
      <c r="E1166" t="n">
        <v>2232</v>
      </c>
      <c r="F1166" t="b">
        <v>0</v>
      </c>
      <c r="G1166">
        <f>HYPERLINK("https://www.google.com/maps/search/?api=1&amp;query=24.68448551,46.74623529", "View Map")</f>
        <v/>
      </c>
    </row>
    <row r="1167">
      <c r="A1167" t="inlineStr">
        <is>
          <t xml:space="preserve">   مسجد أنس  بن مالك .</t>
        </is>
      </c>
      <c r="B1167" t="inlineStr">
        <is>
          <t>KFM2020660061232</t>
        </is>
      </c>
      <c r="C1167" t="inlineStr">
        <is>
          <t>الرياض</t>
        </is>
      </c>
      <c r="D1167" t="inlineStr">
        <is>
          <t>كلا الفترتين</t>
        </is>
      </c>
      <c r="E1167" t="n">
        <v>2229</v>
      </c>
      <c r="F1167" t="b">
        <v>1</v>
      </c>
      <c r="G1167">
        <f>HYPERLINK("https://www.google.com/maps/search/?api=1&amp;query=24.77286418,46.75116341", "View Map")</f>
        <v/>
      </c>
    </row>
    <row r="1168">
      <c r="A1168" t="inlineStr">
        <is>
          <t>ﻤﺴﺎﺠﺩ .</t>
        </is>
      </c>
      <c r="B1168" t="inlineStr">
        <is>
          <t>KFM2020660123007</t>
        </is>
      </c>
      <c r="C1168" t="inlineStr">
        <is>
          <t>الرياض</t>
        </is>
      </c>
      <c r="D1168" t="inlineStr">
        <is>
          <t>كلا الفترتين</t>
        </is>
      </c>
      <c r="E1168" t="n">
        <v>2226</v>
      </c>
      <c r="F1168" t="b">
        <v>1</v>
      </c>
      <c r="G1168">
        <f>HYPERLINK("https://www.google.com/maps/search/?api=1&amp;query=24.75990983,46.80886356", "View Map")</f>
        <v/>
      </c>
    </row>
    <row r="1169">
      <c r="A1169" t="inlineStr">
        <is>
          <t>ﻤﺴﺎﺠﺩ .</t>
        </is>
      </c>
      <c r="B1169" t="inlineStr">
        <is>
          <t>KFM2120660302040</t>
        </is>
      </c>
      <c r="C1169" t="inlineStr">
        <is>
          <t>الرياض</t>
        </is>
      </c>
      <c r="D1169" t="inlineStr">
        <is>
          <t>كلا الفترتين</t>
        </is>
      </c>
      <c r="E1169" t="n">
        <v>2225</v>
      </c>
      <c r="F1169" t="b">
        <v>1</v>
      </c>
      <c r="G1169">
        <f>HYPERLINK("https://www.google.com/maps/search/?api=1&amp;query=24.83112837,46.6431487", "View Map")</f>
        <v/>
      </c>
    </row>
    <row r="1170">
      <c r="A1170" t="inlineStr">
        <is>
          <t>ﻤﺴﺎﺠﺩ .</t>
        </is>
      </c>
      <c r="B1170" t="inlineStr">
        <is>
          <t>KFM2020660190472</t>
        </is>
      </c>
      <c r="C1170" t="inlineStr">
        <is>
          <t>الرياض</t>
        </is>
      </c>
      <c r="D1170" t="inlineStr">
        <is>
          <t>كلا الفترتين</t>
        </is>
      </c>
      <c r="E1170" t="n">
        <v>2223</v>
      </c>
      <c r="F1170" t="b">
        <v>0</v>
      </c>
      <c r="G1170">
        <f>HYPERLINK("https://www.google.com/maps/search/?api=1&amp;query=24.64157218,46.66129257", "View Map")</f>
        <v/>
      </c>
    </row>
    <row r="1171">
      <c r="A1171" t="inlineStr">
        <is>
          <t xml:space="preserve">   مسجد جامع السلام .</t>
        </is>
      </c>
      <c r="B1171" t="inlineStr">
        <is>
          <t>KFM2020660214046</t>
        </is>
      </c>
      <c r="C1171" t="inlineStr">
        <is>
          <t>الرياض</t>
        </is>
      </c>
      <c r="D1171" t="inlineStr">
        <is>
          <t>كلا الفترتين</t>
        </is>
      </c>
      <c r="E1171" t="n">
        <v>2221</v>
      </c>
      <c r="F1171" t="b">
        <v>0</v>
      </c>
      <c r="G1171">
        <f>HYPERLINK("https://www.google.com/maps/search/?api=1&amp;query=24.80230639,46.67065823", "View Map")</f>
        <v/>
      </c>
    </row>
    <row r="1172">
      <c r="A1172" t="inlineStr">
        <is>
          <t xml:space="preserve">   مسجد      ابي       الانصاري .</t>
        </is>
      </c>
      <c r="B1172" t="inlineStr">
        <is>
          <t>KFM2020660133879</t>
        </is>
      </c>
      <c r="C1172" t="inlineStr">
        <is>
          <t>الرياض</t>
        </is>
      </c>
      <c r="D1172" t="inlineStr">
        <is>
          <t>كلا الفترتين</t>
        </is>
      </c>
      <c r="E1172" t="n">
        <v>2220</v>
      </c>
      <c r="F1172" t="b">
        <v>1</v>
      </c>
      <c r="G1172">
        <f>HYPERLINK("https://www.google.com/maps/search/?api=1&amp;query=24.76982841,46.75012222", "View Map")</f>
        <v/>
      </c>
    </row>
    <row r="1173">
      <c r="A1173" t="inlineStr">
        <is>
          <t xml:space="preserve">   مسجد      القرني .</t>
        </is>
      </c>
      <c r="B1173" t="inlineStr">
        <is>
          <t>KFM2020660139722</t>
        </is>
      </c>
      <c r="C1173" t="inlineStr">
        <is>
          <t>الرياض</t>
        </is>
      </c>
      <c r="D1173" t="inlineStr">
        <is>
          <t>كلا الفترتين</t>
        </is>
      </c>
      <c r="E1173" t="n">
        <v>2220</v>
      </c>
      <c r="F1173" t="b">
        <v>1</v>
      </c>
      <c r="G1173">
        <f>HYPERLINK("https://www.google.com/maps/search/?api=1&amp;query=24.79240461,46.7713202", "View Map")</f>
        <v/>
      </c>
    </row>
    <row r="1174">
      <c r="A1174" t="inlineStr">
        <is>
          <t xml:space="preserve">   مسجدوالدةعبدالله المطيري .</t>
        </is>
      </c>
      <c r="B1174" t="inlineStr">
        <is>
          <t>KFM2020660008241</t>
        </is>
      </c>
      <c r="C1174" t="inlineStr">
        <is>
          <t>الرياض</t>
        </is>
      </c>
      <c r="D1174" t="inlineStr">
        <is>
          <t>كلا الفترتين</t>
        </is>
      </c>
      <c r="E1174" t="n">
        <v>2218</v>
      </c>
      <c r="F1174" t="b">
        <v>0</v>
      </c>
      <c r="G1174">
        <f>HYPERLINK("https://www.google.com/maps/search/?api=1&amp;query=24.78601768,46.66993738", "View Map")</f>
        <v/>
      </c>
    </row>
    <row r="1175">
      <c r="A1175" t="inlineStr">
        <is>
          <t xml:space="preserve">   مسجد جزاء ثنيان  العتيبي .</t>
        </is>
      </c>
      <c r="B1175" t="inlineStr">
        <is>
          <t>KFM2020660174448</t>
        </is>
      </c>
      <c r="C1175" t="inlineStr">
        <is>
          <t>الرياض</t>
        </is>
      </c>
      <c r="D1175" t="inlineStr">
        <is>
          <t>كلا الفترتين</t>
        </is>
      </c>
      <c r="E1175" t="n">
        <v>2217</v>
      </c>
      <c r="F1175" t="b">
        <v>1</v>
      </c>
      <c r="G1175">
        <f>HYPERLINK("https://www.google.com/maps/search/?api=1&amp;query=24.78967807,46.77506996", "View Map")</f>
        <v/>
      </c>
    </row>
    <row r="1176">
      <c r="A1176" t="inlineStr">
        <is>
          <t>حصه سعود عبدالعزيز الربيعة .</t>
        </is>
      </c>
      <c r="B1176" t="inlineStr">
        <is>
          <t>KFM2020660229422</t>
        </is>
      </c>
      <c r="C1176" t="inlineStr">
        <is>
          <t>الرياض</t>
        </is>
      </c>
      <c r="D1176" t="inlineStr">
        <is>
          <t>كلا الفترتين</t>
        </is>
      </c>
      <c r="E1176" t="n">
        <v>2216</v>
      </c>
      <c r="F1176" t="b">
        <v>0</v>
      </c>
      <c r="G1176">
        <f>HYPERLINK("https://www.google.com/maps/search/?api=1&amp;query=24.65742346,46.72664967", "View Map")</f>
        <v/>
      </c>
    </row>
    <row r="1177">
      <c r="A1177" t="inlineStr">
        <is>
          <t>ﻤﺴﺎﺠﺩ .</t>
        </is>
      </c>
      <c r="B1177" t="inlineStr">
        <is>
          <t>KFM2120660299060</t>
        </is>
      </c>
      <c r="C1177" t="inlineStr">
        <is>
          <t>الرياض</t>
        </is>
      </c>
      <c r="D1177" t="inlineStr">
        <is>
          <t>كلا الفترتين</t>
        </is>
      </c>
      <c r="E1177" t="n">
        <v>2216</v>
      </c>
      <c r="F1177" t="b">
        <v>1</v>
      </c>
      <c r="G1177">
        <f>HYPERLINK("https://www.google.com/maps/search/?api=1&amp;query=24.57921565,46.76080623", "View Map")</f>
        <v/>
      </c>
    </row>
    <row r="1178">
      <c r="A1178" t="inlineStr">
        <is>
          <t>ﻭﺯﺍﺭﺓﺍﻟﺸﺌﻭﻥ ﺍﻻﺴﻼﻤﻴﺓﻭﺍﻻﻭﻗﺎﻑ .</t>
        </is>
      </c>
      <c r="B1178" t="inlineStr">
        <is>
          <t>KFM2020660049570</t>
        </is>
      </c>
      <c r="C1178" t="inlineStr">
        <is>
          <t>الرياض</t>
        </is>
      </c>
      <c r="D1178" t="inlineStr">
        <is>
          <t>كلا الفترتين</t>
        </is>
      </c>
      <c r="E1178" t="n">
        <v>2212</v>
      </c>
      <c r="F1178" t="b">
        <v>0</v>
      </c>
      <c r="G1178">
        <f>HYPERLINK("https://www.google.com/maps/search/?api=1&amp;query=24.55634645,46.56924403", "View Map")</f>
        <v/>
      </c>
    </row>
    <row r="1179">
      <c r="A1179" t="inlineStr">
        <is>
          <t>مسجدالفوارة  الجنوبي .</t>
        </is>
      </c>
      <c r="B1179" t="inlineStr">
        <is>
          <t>KFM2020660171798</t>
        </is>
      </c>
      <c r="C1179" t="inlineStr">
        <is>
          <t>الرياض</t>
        </is>
      </c>
      <c r="D1179" t="inlineStr">
        <is>
          <t>كلا الفترتين</t>
        </is>
      </c>
      <c r="E1179" t="n">
        <v>2211</v>
      </c>
      <c r="F1179" t="b">
        <v>1</v>
      </c>
      <c r="G1179">
        <f>HYPERLINK("https://www.google.com/maps/search/?api=1&amp;query=24.64167992,46.68568093", "View Map")</f>
        <v/>
      </c>
    </row>
    <row r="1180">
      <c r="A1180" t="inlineStr">
        <is>
          <t xml:space="preserve">   وزارةالشئون الاسلامية مسجد الموسى .</t>
        </is>
      </c>
      <c r="B1180" t="inlineStr">
        <is>
          <t>KFM2020660173333</t>
        </is>
      </c>
      <c r="C1180" t="inlineStr">
        <is>
          <t>الرياض</t>
        </is>
      </c>
      <c r="D1180" t="inlineStr">
        <is>
          <t>كلا الفترتين</t>
        </is>
      </c>
      <c r="E1180" t="n">
        <v>2211</v>
      </c>
      <c r="F1180" t="b">
        <v>0</v>
      </c>
      <c r="G1180">
        <f>HYPERLINK("https://www.google.com/maps/search/?api=1&amp;query=24.68744178,46.67166272", "View Map")</f>
        <v/>
      </c>
    </row>
    <row r="1181">
      <c r="A1181" t="inlineStr">
        <is>
          <t xml:space="preserve">   مسجد حى الملك فهد .</t>
        </is>
      </c>
      <c r="B1181" t="inlineStr">
        <is>
          <t>KFM2020660163056</t>
        </is>
      </c>
      <c r="C1181" t="inlineStr">
        <is>
          <t>الرياض</t>
        </is>
      </c>
      <c r="D1181" t="inlineStr">
        <is>
          <t>كلا الفترتين</t>
        </is>
      </c>
      <c r="E1181" t="n">
        <v>2210</v>
      </c>
      <c r="F1181" t="b">
        <v>0</v>
      </c>
      <c r="G1181">
        <f>HYPERLINK("https://www.google.com/maps/search/?api=1&amp;query=24.74580397,46.66669321", "View Map")</f>
        <v/>
      </c>
    </row>
    <row r="1182">
      <c r="A1182" t="inlineStr">
        <is>
          <t>ﻤﺴﺎﺠﺩ .</t>
        </is>
      </c>
      <c r="B1182" t="inlineStr">
        <is>
          <t>KFM2020660190431</t>
        </is>
      </c>
      <c r="C1182" t="inlineStr">
        <is>
          <t>الرياض</t>
        </is>
      </c>
      <c r="D1182" t="inlineStr">
        <is>
          <t>كلا الفترتين</t>
        </is>
      </c>
      <c r="E1182" t="n">
        <v>2209</v>
      </c>
      <c r="F1182" t="b">
        <v>1</v>
      </c>
      <c r="G1182">
        <f>HYPERLINK("https://www.google.com/maps/search/?api=1&amp;query=24.79557939,46.61727517", "View Map")</f>
        <v/>
      </c>
    </row>
    <row r="1183">
      <c r="A1183" t="inlineStr">
        <is>
          <t xml:space="preserve"> مسجد الأمير/فهد عبدالله بن عبدالرحمن .</t>
        </is>
      </c>
      <c r="B1183" t="inlineStr">
        <is>
          <t>KFM2120660250079</t>
        </is>
      </c>
      <c r="C1183" t="inlineStr">
        <is>
          <t>الرياض</t>
        </is>
      </c>
      <c r="D1183" t="inlineStr">
        <is>
          <t>كلا الفترتين</t>
        </is>
      </c>
      <c r="E1183" t="n">
        <v>2208</v>
      </c>
      <c r="F1183" t="b">
        <v>1</v>
      </c>
      <c r="G1183">
        <f>HYPERLINK("https://www.google.com/maps/search/?api=1&amp;query=24.78142229,46.71765395", "View Map")</f>
        <v/>
      </c>
    </row>
    <row r="1184">
      <c r="A1184" t="inlineStr">
        <is>
          <t>ﻭﺯﺍﺭﺓﺍﻟﺸﺌﻭﻥ ﺍﻻﺴﻼﻤﻴﺓﻭﺍﻻﻭﻗﺎﻑ .</t>
        </is>
      </c>
      <c r="B1184" t="inlineStr">
        <is>
          <t>KFM2020660196923</t>
        </is>
      </c>
      <c r="C1184" t="inlineStr">
        <is>
          <t>الرياض</t>
        </is>
      </c>
      <c r="D1184" t="inlineStr">
        <is>
          <t>كلا الفترتين</t>
        </is>
      </c>
      <c r="E1184" t="n">
        <v>2207</v>
      </c>
      <c r="F1184" t="b">
        <v>1</v>
      </c>
      <c r="G1184">
        <f>HYPERLINK("https://www.google.com/maps/search/?api=1&amp;query=24.5508,46.5658", "View Map")</f>
        <v/>
      </c>
    </row>
    <row r="1185">
      <c r="A1185" t="inlineStr">
        <is>
          <t xml:space="preserve">   مسجد / والدة ناصر بن سعد الدخيل .</t>
        </is>
      </c>
      <c r="B1185" t="inlineStr">
        <is>
          <t>KFM2020660026259</t>
        </is>
      </c>
      <c r="C1185" t="inlineStr">
        <is>
          <t>الدرعية</t>
        </is>
      </c>
      <c r="D1185" t="inlineStr">
        <is>
          <t>كلا الفترتين</t>
        </is>
      </c>
      <c r="E1185" t="n">
        <v>2206</v>
      </c>
      <c r="F1185" t="b">
        <v>1</v>
      </c>
      <c r="G1185">
        <f>HYPERLINK("https://www.google.com/maps/search/?api=1&amp;query=24.7567641,46.5746134", "View Map")</f>
        <v/>
      </c>
    </row>
    <row r="1186">
      <c r="A1186" t="inlineStr">
        <is>
          <t>ﻤﺴﺎﺠﺩ .</t>
        </is>
      </c>
      <c r="B1186" t="inlineStr">
        <is>
          <t>KFM2020660187656</t>
        </is>
      </c>
      <c r="C1186" t="inlineStr">
        <is>
          <t>الرياض</t>
        </is>
      </c>
      <c r="D1186" t="inlineStr">
        <is>
          <t>كلا الفترتين</t>
        </is>
      </c>
      <c r="E1186" t="n">
        <v>2205</v>
      </c>
      <c r="F1186" t="b">
        <v>1</v>
      </c>
      <c r="G1186">
        <f>HYPERLINK("https://www.google.com/maps/search/?api=1&amp;query=24.83047201,46.60662697", "View Map")</f>
        <v/>
      </c>
    </row>
    <row r="1187">
      <c r="A1187" t="inlineStr">
        <is>
          <t xml:space="preserve">   مسجدالملز الجنوبي 5/3150</t>
        </is>
      </c>
      <c r="B1187" t="inlineStr">
        <is>
          <t>KFM2020660057333</t>
        </is>
      </c>
      <c r="C1187" t="inlineStr">
        <is>
          <t>الرياض</t>
        </is>
      </c>
      <c r="D1187" t="inlineStr">
        <is>
          <t>كلا الفترتين</t>
        </is>
      </c>
      <c r="E1187" t="n">
        <v>2204</v>
      </c>
      <c r="F1187" t="b">
        <v>1</v>
      </c>
      <c r="G1187">
        <f>HYPERLINK("https://www.google.com/maps/search/?api=1&amp;query=24.65445903,46.73400105", "View Map")</f>
        <v/>
      </c>
    </row>
    <row r="1188">
      <c r="A1188" t="inlineStr">
        <is>
          <t xml:space="preserve">   مسجدرشيد بن جبر .</t>
        </is>
      </c>
      <c r="B1188" t="inlineStr">
        <is>
          <t>KFM2020660187773</t>
        </is>
      </c>
      <c r="C1188" t="inlineStr">
        <is>
          <t>الرياض</t>
        </is>
      </c>
      <c r="D1188" t="inlineStr">
        <is>
          <t>كلا الفترتين</t>
        </is>
      </c>
      <c r="E1188" t="n">
        <v>2203</v>
      </c>
      <c r="F1188" t="b">
        <v>1</v>
      </c>
      <c r="G1188">
        <f>HYPERLINK("https://www.google.com/maps/search/?api=1&amp;query=24.66241953,46.70152815", "View Map")</f>
        <v/>
      </c>
    </row>
    <row r="1189">
      <c r="A1189" t="inlineStr">
        <is>
          <t>مسجدوالدمحمدبن عبدالرحمن .</t>
        </is>
      </c>
      <c r="B1189" t="inlineStr">
        <is>
          <t>KFM2020760030256</t>
        </is>
      </c>
      <c r="C1189" t="inlineStr">
        <is>
          <t>الرياض</t>
        </is>
      </c>
      <c r="D1189" t="inlineStr">
        <is>
          <t>كلا الفترتين</t>
        </is>
      </c>
      <c r="E1189" t="n">
        <v>2202</v>
      </c>
      <c r="F1189" t="b">
        <v>0</v>
      </c>
      <c r="G1189">
        <f>HYPERLINK("https://www.google.com/maps/search/?api=1&amp;query=24.59949314,46.70537345", "View Map")</f>
        <v/>
      </c>
    </row>
    <row r="1190">
      <c r="A1190" t="inlineStr">
        <is>
          <t>مساجد .</t>
        </is>
      </c>
      <c r="B1190" t="inlineStr">
        <is>
          <t>KFM2020660192196</t>
        </is>
      </c>
      <c r="C1190" t="inlineStr">
        <is>
          <t>الرياض</t>
        </is>
      </c>
      <c r="D1190" t="inlineStr">
        <is>
          <t>كلا الفترتين</t>
        </is>
      </c>
      <c r="E1190" t="n">
        <v>2202</v>
      </c>
      <c r="F1190" t="b">
        <v>1</v>
      </c>
      <c r="G1190">
        <f>HYPERLINK("https://www.google.com/maps/search/?api=1&amp;query=24.79599343,46.60470606", "View Map")</f>
        <v/>
      </c>
    </row>
    <row r="1191">
      <c r="A1191" t="inlineStr">
        <is>
          <t>ﻤﺴﺎﺠﺩ .</t>
        </is>
      </c>
      <c r="B1191" t="inlineStr">
        <is>
          <t>SMR2220661007067</t>
        </is>
      </c>
      <c r="C1191" t="inlineStr">
        <is>
          <t>الرياض</t>
        </is>
      </c>
      <c r="D1191" t="inlineStr">
        <is>
          <t>كلا الفترتين</t>
        </is>
      </c>
      <c r="E1191" t="n">
        <v>2197</v>
      </c>
      <c r="F1191" t="b">
        <v>0</v>
      </c>
      <c r="G1191">
        <f>HYPERLINK("https://www.google.com/maps/search/?api=1&amp;query=24.84057362,46.88259005", "View Map")</f>
        <v/>
      </c>
    </row>
    <row r="1192">
      <c r="A1192" t="inlineStr">
        <is>
          <t xml:space="preserve">   مسجد عبدالعزيز الجميح .</t>
        </is>
      </c>
      <c r="B1192" t="inlineStr">
        <is>
          <t>KFM2120660235681</t>
        </is>
      </c>
      <c r="C1192" t="inlineStr">
        <is>
          <t>الرياض</t>
        </is>
      </c>
      <c r="D1192" t="inlineStr">
        <is>
          <t>كلا الفترتين</t>
        </is>
      </c>
      <c r="E1192" t="n">
        <v>2194</v>
      </c>
      <c r="F1192" t="b">
        <v>1</v>
      </c>
      <c r="G1192">
        <f>HYPERLINK("https://www.google.com/maps/search/?api=1&amp;query=24.59711476,46.78066055", "View Map")</f>
        <v/>
      </c>
    </row>
    <row r="1193">
      <c r="A1193" t="inlineStr">
        <is>
          <t xml:space="preserve">   مسجد مزنه العتيبي .</t>
        </is>
      </c>
      <c r="B1193" t="inlineStr">
        <is>
          <t>KFM2020660061171</t>
        </is>
      </c>
      <c r="C1193" t="inlineStr">
        <is>
          <t>الرياض</t>
        </is>
      </c>
      <c r="D1193" t="inlineStr">
        <is>
          <t>كلا الفترتين</t>
        </is>
      </c>
      <c r="E1193" t="n">
        <v>2194</v>
      </c>
      <c r="F1193" t="b">
        <v>0</v>
      </c>
      <c r="G1193">
        <f>HYPERLINK("https://www.google.com/maps/search/?api=1&amp;query=24.75652679,46.82470708", "View Map")</f>
        <v/>
      </c>
    </row>
    <row r="1194">
      <c r="A1194" t="inlineStr">
        <is>
          <t>مسجدالجوهرة العبد السلام .</t>
        </is>
      </c>
      <c r="B1194" t="inlineStr">
        <is>
          <t>KFM2020660051458</t>
        </is>
      </c>
      <c r="C1194" t="inlineStr">
        <is>
          <t>الرياض</t>
        </is>
      </c>
      <c r="D1194" t="inlineStr">
        <is>
          <t>كلا الفترتين</t>
        </is>
      </c>
      <c r="E1194" t="n">
        <v>2193</v>
      </c>
      <c r="F1194" t="b">
        <v>0</v>
      </c>
      <c r="G1194">
        <f>HYPERLINK("https://www.google.com/maps/search/?api=1&amp;query=24.59085342,46.69686152", "View Map")</f>
        <v/>
      </c>
    </row>
    <row r="1195">
      <c r="A1195" t="inlineStr">
        <is>
          <t>ﻭﺯﺍﺭﺓﺍﻟﺸﺌﻭﻥ ﺍﻻﺴﻼﻤﻴﺓﻭﺍﻻﻭﻗﺎﻑ .</t>
        </is>
      </c>
      <c r="B1195" t="inlineStr">
        <is>
          <t>SMR2320661022778</t>
        </is>
      </c>
      <c r="C1195" t="inlineStr">
        <is>
          <t>الرياض</t>
        </is>
      </c>
      <c r="D1195" t="inlineStr">
        <is>
          <t>كلا الفترتين</t>
        </is>
      </c>
      <c r="E1195" t="n">
        <v>2188</v>
      </c>
      <c r="F1195" t="b">
        <v>0</v>
      </c>
      <c r="G1195">
        <f>HYPERLINK("https://www.google.com/maps/search/?api=1&amp;query=24.55634248,46.658621", "View Map")</f>
        <v/>
      </c>
    </row>
    <row r="1196">
      <c r="A1196" t="inlineStr">
        <is>
          <t xml:space="preserve">   مسجد /الشيخ محمد الحميدى .</t>
        </is>
      </c>
      <c r="B1196" t="inlineStr">
        <is>
          <t>KFM2020660050046</t>
        </is>
      </c>
      <c r="C1196" t="inlineStr">
        <is>
          <t>الرياض</t>
        </is>
      </c>
      <c r="D1196" t="inlineStr">
        <is>
          <t>كلا الفترتين</t>
        </is>
      </c>
      <c r="E1196" t="n">
        <v>2188</v>
      </c>
      <c r="F1196" t="b">
        <v>0</v>
      </c>
      <c r="G1196">
        <f>HYPERLINK("https://www.google.com/maps/search/?api=1&amp;query=24.78143019,46.77591533", "View Map")</f>
        <v/>
      </c>
    </row>
    <row r="1197">
      <c r="A1197" t="inlineStr">
        <is>
          <t xml:space="preserve">   مسجد      حجاب      / .</t>
        </is>
      </c>
      <c r="B1197" t="inlineStr">
        <is>
          <t>KFM2020660132572</t>
        </is>
      </c>
      <c r="C1197" t="inlineStr">
        <is>
          <t>الرياض</t>
        </is>
      </c>
      <c r="D1197" t="inlineStr">
        <is>
          <t>كلا الفترتين</t>
        </is>
      </c>
      <c r="E1197" t="n">
        <v>2188</v>
      </c>
      <c r="F1197" t="b">
        <v>1</v>
      </c>
      <c r="G1197">
        <f>HYPERLINK("https://www.google.com/maps/search/?api=1&amp;query=24.7280551,46.82088315", "View Map")</f>
        <v/>
      </c>
    </row>
    <row r="1198">
      <c r="A1198" t="inlineStr">
        <is>
          <t xml:space="preserve">   مسجد عمربن عبدالعزيزومرافقه .</t>
        </is>
      </c>
      <c r="B1198" t="inlineStr">
        <is>
          <t>KFM2020660192576</t>
        </is>
      </c>
      <c r="C1198" t="inlineStr">
        <is>
          <t>الرياض</t>
        </is>
      </c>
      <c r="D1198" t="inlineStr">
        <is>
          <t>كلا الفترتين</t>
        </is>
      </c>
      <c r="E1198" t="n">
        <v>2187</v>
      </c>
      <c r="F1198" t="b">
        <v>1</v>
      </c>
      <c r="G1198">
        <f>HYPERLINK("https://www.google.com/maps/search/?api=1&amp;query=24.65552959,46.58225583", "View Map")</f>
        <v/>
      </c>
    </row>
    <row r="1199">
      <c r="A1199" t="inlineStr">
        <is>
          <t xml:space="preserve">   مسجد ابراهيم السويلم .</t>
        </is>
      </c>
      <c r="B1199" t="inlineStr">
        <is>
          <t>KFM2020660209177</t>
        </is>
      </c>
      <c r="C1199" t="inlineStr">
        <is>
          <t>الرياض</t>
        </is>
      </c>
      <c r="D1199" t="inlineStr">
        <is>
          <t>كلا الفترتين</t>
        </is>
      </c>
      <c r="E1199" t="n">
        <v>2185</v>
      </c>
      <c r="F1199" t="b">
        <v>1</v>
      </c>
      <c r="G1199">
        <f>HYPERLINK("https://www.google.com/maps/search/?api=1&amp;query=24.80938896,46.68705046", "View Map")</f>
        <v/>
      </c>
    </row>
    <row r="1200">
      <c r="A1200" t="inlineStr">
        <is>
          <t xml:space="preserve">   وزارة الشئون الاسلامية والاوقاف .</t>
        </is>
      </c>
      <c r="B1200" t="inlineStr">
        <is>
          <t>KFM2020660197181</t>
        </is>
      </c>
      <c r="C1200" t="inlineStr">
        <is>
          <t>الرياض</t>
        </is>
      </c>
      <c r="D1200" t="inlineStr">
        <is>
          <t>كلا الفترتين</t>
        </is>
      </c>
      <c r="E1200" t="n">
        <v>2185</v>
      </c>
      <c r="F1200" t="b">
        <v>0</v>
      </c>
      <c r="G1200">
        <f>HYPERLINK("https://www.google.com/maps/search/?api=1&amp;query=24.64007616,46.54326218", "View Map")</f>
        <v/>
      </c>
    </row>
    <row r="1201">
      <c r="A1201" t="inlineStr">
        <is>
          <t xml:space="preserve">   مسجدعمر   بن        عبدالعزيز .</t>
        </is>
      </c>
      <c r="B1201" t="inlineStr">
        <is>
          <t>KFM2020660036973</t>
        </is>
      </c>
      <c r="C1201" t="inlineStr">
        <is>
          <t>الرياض</t>
        </is>
      </c>
      <c r="D1201" t="inlineStr">
        <is>
          <t>كلا الفترتين</t>
        </is>
      </c>
      <c r="E1201" t="n">
        <v>2179</v>
      </c>
      <c r="F1201" t="b">
        <v>1</v>
      </c>
      <c r="G1201">
        <f>HYPERLINK("https://www.google.com/maps/search/?api=1&amp;query=24.76467804,46.82075889", "View Map")</f>
        <v/>
      </c>
    </row>
    <row r="1202">
      <c r="A1202" t="inlineStr">
        <is>
          <t>مسجد ال  الشيخ .</t>
        </is>
      </c>
      <c r="B1202" t="inlineStr">
        <is>
          <t>KFM2020660098927</t>
        </is>
      </c>
      <c r="C1202" t="inlineStr">
        <is>
          <t>الرياض</t>
        </is>
      </c>
      <c r="D1202" t="inlineStr">
        <is>
          <t>كلا الفترتين</t>
        </is>
      </c>
      <c r="E1202" t="n">
        <v>2179</v>
      </c>
      <c r="F1202" t="b">
        <v>0</v>
      </c>
      <c r="G1202">
        <f>HYPERLINK("https://www.google.com/maps/search/?api=1&amp;query=24.58572068,46.61544731", "View Map")</f>
        <v/>
      </c>
    </row>
    <row r="1203">
      <c r="A1203" t="inlineStr">
        <is>
          <t>ﻤﺴﺎﺠﺩ .</t>
        </is>
      </c>
      <c r="B1203" t="inlineStr">
        <is>
          <t>KFM2020660132821</t>
        </is>
      </c>
      <c r="C1203" t="inlineStr">
        <is>
          <t>الرياض</t>
        </is>
      </c>
      <c r="D1203" t="inlineStr">
        <is>
          <t>كلا الفترتين</t>
        </is>
      </c>
      <c r="E1203" t="n">
        <v>2175</v>
      </c>
      <c r="F1203" t="b">
        <v>1</v>
      </c>
      <c r="G1203">
        <f>HYPERLINK("https://www.google.com/maps/search/?api=1&amp;query=24.83368578,46.78245431", "View Map")</f>
        <v/>
      </c>
    </row>
    <row r="1204">
      <c r="A1204" t="inlineStr">
        <is>
          <t xml:space="preserve">   مسجد الايمان   بالسلي .</t>
        </is>
      </c>
      <c r="B1204" t="inlineStr">
        <is>
          <t>KFM2120660258950</t>
        </is>
      </c>
      <c r="C1204" t="inlineStr">
        <is>
          <t>الرياض</t>
        </is>
      </c>
      <c r="D1204" t="inlineStr">
        <is>
          <t>كلا الفترتين</t>
        </is>
      </c>
      <c r="E1204" t="n">
        <v>2174</v>
      </c>
      <c r="F1204" t="b">
        <v>0</v>
      </c>
      <c r="G1204">
        <f>HYPERLINK("https://www.google.com/maps/search/?api=1&amp;query=24.67307386,46.81517151", "View Map")</f>
        <v/>
      </c>
    </row>
    <row r="1205">
      <c r="A1205" t="inlineStr">
        <is>
          <t>ﻭﺯﺍﺭﺓﺍﻟﺸﺌﻭﻥ ﺍﻻﺴﻼﻤﻴﺓﻭﺍﻻﻭﻗﺎﻑ .</t>
        </is>
      </c>
      <c r="B1205" t="inlineStr">
        <is>
          <t>SMR2220661018623</t>
        </is>
      </c>
      <c r="C1205" t="inlineStr">
        <is>
          <t>الرياض</t>
        </is>
      </c>
      <c r="D1205" t="inlineStr">
        <is>
          <t>كلا الفترتين</t>
        </is>
      </c>
      <c r="E1205" t="n">
        <v>2173</v>
      </c>
      <c r="F1205" t="b">
        <v>1</v>
      </c>
      <c r="G1205">
        <f>HYPERLINK("https://www.google.com/maps/search/?api=1&amp;query=24.56326244,46.57380798", "View Map")</f>
        <v/>
      </c>
    </row>
    <row r="1206">
      <c r="A1206" t="inlineStr">
        <is>
          <t xml:space="preserve">   مسجد ام المؤمنين عائشه .</t>
        </is>
      </c>
      <c r="B1206" t="inlineStr">
        <is>
          <t>KFM2020660057984</t>
        </is>
      </c>
      <c r="C1206" t="inlineStr">
        <is>
          <t>الرياض</t>
        </is>
      </c>
      <c r="D1206" t="inlineStr">
        <is>
          <t>كلا الفترتين</t>
        </is>
      </c>
      <c r="E1206" t="n">
        <v>2172</v>
      </c>
      <c r="F1206" t="b">
        <v>0</v>
      </c>
      <c r="G1206">
        <f>HYPERLINK("https://www.google.com/maps/search/?api=1&amp;query=24.76962761,46.76587473", "View Map")</f>
        <v/>
      </c>
    </row>
    <row r="1207">
      <c r="A1207" t="inlineStr">
        <is>
          <t xml:space="preserve">   مساجد .</t>
        </is>
      </c>
      <c r="B1207" t="inlineStr">
        <is>
          <t>KFM2020660192875</t>
        </is>
      </c>
      <c r="C1207" t="inlineStr">
        <is>
          <t>الرياض</t>
        </is>
      </c>
      <c r="D1207" t="inlineStr">
        <is>
          <t>كلا الفترتين</t>
        </is>
      </c>
      <c r="E1207" t="n">
        <v>2170</v>
      </c>
      <c r="F1207" t="b">
        <v>0</v>
      </c>
      <c r="G1207">
        <f>HYPERLINK("https://www.google.com/maps/search/?api=1&amp;query=24.92253463,46.82486407", "View Map")</f>
        <v/>
      </c>
    </row>
    <row r="1208">
      <c r="A1208" t="inlineStr">
        <is>
          <t>ﻤﺴﺎﺠﺩ .</t>
        </is>
      </c>
      <c r="B1208" t="inlineStr">
        <is>
          <t>KFM2020660044523</t>
        </is>
      </c>
      <c r="C1208" t="inlineStr">
        <is>
          <t>الرياض</t>
        </is>
      </c>
      <c r="D1208" t="inlineStr">
        <is>
          <t>كلا الفترتين</t>
        </is>
      </c>
      <c r="E1208" t="n">
        <v>2170</v>
      </c>
      <c r="F1208" t="b">
        <v>1</v>
      </c>
      <c r="G1208">
        <f>HYPERLINK("https://www.google.com/maps/search/?api=1&amp;query=24.85931823,46.82822139", "View Map")</f>
        <v/>
      </c>
    </row>
    <row r="1209">
      <c r="A1209" t="inlineStr">
        <is>
          <t xml:space="preserve">   مسجدالاميرمشعل .</t>
        </is>
      </c>
      <c r="B1209" t="inlineStr">
        <is>
          <t>KFM2120660242899</t>
        </is>
      </c>
      <c r="C1209" t="inlineStr">
        <is>
          <t>الرياض</t>
        </is>
      </c>
      <c r="D1209" t="inlineStr">
        <is>
          <t>كلا الفترتين</t>
        </is>
      </c>
      <c r="E1209" t="n">
        <v>2169</v>
      </c>
      <c r="F1209" t="b">
        <v>0</v>
      </c>
      <c r="G1209">
        <f>HYPERLINK("https://www.google.com/maps/search/?api=1&amp;query=24.69021976,46.60102555", "View Map")</f>
        <v/>
      </c>
    </row>
    <row r="1210">
      <c r="A1210" t="inlineStr">
        <is>
          <t xml:space="preserve">   مسجد الخشمان .</t>
        </is>
      </c>
      <c r="B1210" t="inlineStr">
        <is>
          <t>KFM2020660162166</t>
        </is>
      </c>
      <c r="C1210" t="inlineStr">
        <is>
          <t>الرياض</t>
        </is>
      </c>
      <c r="D1210" t="inlineStr">
        <is>
          <t>كلا الفترتين</t>
        </is>
      </c>
      <c r="E1210" t="n">
        <v>2169</v>
      </c>
      <c r="F1210" t="b">
        <v>0</v>
      </c>
      <c r="G1210">
        <f>HYPERLINK("https://www.google.com/maps/search/?api=1&amp;query=24.56964938,46.79819056", "View Map")</f>
        <v/>
      </c>
    </row>
    <row r="1211">
      <c r="A1211" t="inlineStr">
        <is>
          <t>مسجد الشيخ  عبدالعزيز الموسى .</t>
        </is>
      </c>
      <c r="B1211" t="inlineStr">
        <is>
          <t>KFM2020660191252</t>
        </is>
      </c>
      <c r="C1211" t="inlineStr">
        <is>
          <t>الرياض</t>
        </is>
      </c>
      <c r="D1211" t="inlineStr">
        <is>
          <t>كلا الفترتين</t>
        </is>
      </c>
      <c r="E1211" t="n">
        <v>2165</v>
      </c>
      <c r="F1211" t="b">
        <v>0</v>
      </c>
      <c r="G1211">
        <f>HYPERLINK("https://www.google.com/maps/search/?api=1&amp;query=24.57816014,46.64125817", "View Map")</f>
        <v/>
      </c>
    </row>
    <row r="1212">
      <c r="A1212" t="inlineStr">
        <is>
          <t>ﻭﺯﺍﺭﺓﺍﻟﺸﺌﻭﻥ ﺍﻻﺴﻼﻤﻴﺓﻭﺍﻻﻭﻗﺎﻑ .</t>
        </is>
      </c>
      <c r="B1212" t="inlineStr">
        <is>
          <t>KFM2020660175014</t>
        </is>
      </c>
      <c r="C1212" t="inlineStr">
        <is>
          <t>الرياض</t>
        </is>
      </c>
      <c r="D1212" t="inlineStr">
        <is>
          <t>كلا الفترتين</t>
        </is>
      </c>
      <c r="E1212" t="n">
        <v>2162</v>
      </c>
      <c r="F1212" t="b">
        <v>1</v>
      </c>
      <c r="G1212">
        <f>HYPERLINK("https://www.google.com/maps/search/?api=1&amp;query=24.5736,46.5356", "View Map")</f>
        <v/>
      </c>
    </row>
    <row r="1213">
      <c r="A1213" t="inlineStr">
        <is>
          <t xml:space="preserve">    مسجد وسكن  نوره    الشقير .</t>
        </is>
      </c>
      <c r="B1213" t="inlineStr">
        <is>
          <t>KFM2020660190931</t>
        </is>
      </c>
      <c r="C1213" t="inlineStr">
        <is>
          <t>الرياض</t>
        </is>
      </c>
      <c r="D1213" t="inlineStr">
        <is>
          <t>كلا الفترتين</t>
        </is>
      </c>
      <c r="E1213" t="n">
        <v>2162</v>
      </c>
      <c r="F1213" t="b">
        <v>1</v>
      </c>
      <c r="G1213">
        <f>HYPERLINK("https://www.google.com/maps/search/?api=1&amp;query=24.79987267,46.87013012", "View Map")</f>
        <v/>
      </c>
    </row>
    <row r="1214">
      <c r="A1214" t="inlineStr">
        <is>
          <t>مسجد حى  الشفاء .</t>
        </is>
      </c>
      <c r="B1214" t="inlineStr">
        <is>
          <t>KFM2020660166691</t>
        </is>
      </c>
      <c r="C1214" t="inlineStr">
        <is>
          <t>الرياض</t>
        </is>
      </c>
      <c r="D1214" t="inlineStr">
        <is>
          <t>كلا الفترتين</t>
        </is>
      </c>
      <c r="E1214" t="n">
        <v>2159</v>
      </c>
      <c r="F1214" t="b">
        <v>1</v>
      </c>
      <c r="G1214">
        <f>HYPERLINK("https://www.google.com/maps/search/?api=1&amp;query=24.55837181,46.68229848", "View Map")</f>
        <v/>
      </c>
    </row>
    <row r="1215">
      <c r="A1215" t="inlineStr">
        <is>
          <t>مساجد .</t>
        </is>
      </c>
      <c r="B1215" t="inlineStr">
        <is>
          <t>KFM2020660037641</t>
        </is>
      </c>
      <c r="C1215" t="inlineStr">
        <is>
          <t>الرياض</t>
        </is>
      </c>
      <c r="D1215" t="inlineStr">
        <is>
          <t>كلا الفترتين</t>
        </is>
      </c>
      <c r="E1215" t="n">
        <v>2159</v>
      </c>
      <c r="F1215" t="b">
        <v>1</v>
      </c>
      <c r="G1215">
        <f>HYPERLINK("https://www.google.com/maps/search/?api=1&amp;query=24.81336981,46.60082727", "View Map")</f>
        <v/>
      </c>
    </row>
    <row r="1216">
      <c r="A1216" t="inlineStr">
        <is>
          <t>مسجد حي الشفاء .</t>
        </is>
      </c>
      <c r="B1216" t="inlineStr">
        <is>
          <t>KFM2020660200476</t>
        </is>
      </c>
      <c r="C1216" t="inlineStr">
        <is>
          <t>الرياض</t>
        </is>
      </c>
      <c r="D1216" t="inlineStr">
        <is>
          <t>كلا الفترتين</t>
        </is>
      </c>
      <c r="E1216" t="n">
        <v>2156</v>
      </c>
      <c r="F1216" t="b">
        <v>1</v>
      </c>
      <c r="G1216">
        <f>HYPERLINK("https://www.google.com/maps/search/?api=1&amp;query=24.54508074,46.6916449", "View Map")</f>
        <v/>
      </c>
    </row>
    <row r="1217">
      <c r="A1217" t="inlineStr">
        <is>
          <t xml:space="preserve">   جامع الصديق .</t>
        </is>
      </c>
      <c r="B1217" t="inlineStr">
        <is>
          <t>KFM2120660270032</t>
        </is>
      </c>
      <c r="C1217" t="inlineStr">
        <is>
          <t>الرياض</t>
        </is>
      </c>
      <c r="D1217" t="inlineStr">
        <is>
          <t>كلا الفترتين</t>
        </is>
      </c>
      <c r="E1217" t="n">
        <v>2155</v>
      </c>
      <c r="F1217" t="b">
        <v>1</v>
      </c>
      <c r="G1217">
        <f>HYPERLINK("https://www.google.com/maps/search/?api=1&amp;query=24.77802,46.81731", "View Map")</f>
        <v/>
      </c>
    </row>
    <row r="1218">
      <c r="A1218" t="inlineStr">
        <is>
          <t>جامع الشيخ ابراهيم العجلا ن .</t>
        </is>
      </c>
      <c r="B1218" t="inlineStr">
        <is>
          <t>KFM2020660187693</t>
        </is>
      </c>
      <c r="C1218" t="inlineStr">
        <is>
          <t>الرياض</t>
        </is>
      </c>
      <c r="D1218" t="inlineStr">
        <is>
          <t>كلا الفترتين</t>
        </is>
      </c>
      <c r="E1218" t="n">
        <v>2153</v>
      </c>
      <c r="F1218" t="b">
        <v>0</v>
      </c>
      <c r="G1218">
        <f>HYPERLINK("https://www.google.com/maps/search/?api=1&amp;query=24.76524922,46.6271013", "View Map")</f>
        <v/>
      </c>
    </row>
    <row r="1219">
      <c r="A1219" t="inlineStr">
        <is>
          <t xml:space="preserve">   مسجد      الامير     بن محمد .</t>
        </is>
      </c>
      <c r="B1219" t="inlineStr">
        <is>
          <t>KFM2120660265987</t>
        </is>
      </c>
      <c r="C1219" t="inlineStr">
        <is>
          <t>الرياض</t>
        </is>
      </c>
      <c r="D1219" t="inlineStr">
        <is>
          <t>كلا الفترتين</t>
        </is>
      </c>
      <c r="E1219" t="n">
        <v>2153</v>
      </c>
      <c r="F1219" t="b">
        <v>1</v>
      </c>
      <c r="G1219">
        <f>HYPERLINK("https://www.google.com/maps/search/?api=1&amp;query=24.74466858,46.64722074", "View Map")</f>
        <v/>
      </c>
    </row>
    <row r="1220">
      <c r="A1220" t="inlineStr">
        <is>
          <t xml:space="preserve">   مسجد صالح الفوزان .</t>
        </is>
      </c>
      <c r="B1220" t="inlineStr">
        <is>
          <t>KFM2120660270412</t>
        </is>
      </c>
      <c r="C1220" t="inlineStr">
        <is>
          <t>الرياض</t>
        </is>
      </c>
      <c r="D1220" t="inlineStr">
        <is>
          <t>كلا الفترتين</t>
        </is>
      </c>
      <c r="E1220" t="n">
        <v>2153</v>
      </c>
      <c r="F1220" t="b">
        <v>1</v>
      </c>
      <c r="G1220">
        <f>HYPERLINK("https://www.google.com/maps/search/?api=1&amp;query=24.68195724,46.80076332", "View Map")</f>
        <v/>
      </c>
    </row>
    <row r="1221">
      <c r="A1221" t="inlineStr">
        <is>
          <t xml:space="preserve">   مسجد   سلمه ابن  الآكوع .</t>
        </is>
      </c>
      <c r="B1221" t="inlineStr">
        <is>
          <t>KFM2020660127239</t>
        </is>
      </c>
      <c r="C1221" t="inlineStr">
        <is>
          <t>الرياض</t>
        </is>
      </c>
      <c r="D1221" t="inlineStr">
        <is>
          <t>كلا الفترتين</t>
        </is>
      </c>
      <c r="E1221" t="n">
        <v>2152</v>
      </c>
      <c r="F1221" t="b">
        <v>1</v>
      </c>
      <c r="G1221">
        <f>HYPERLINK("https://www.google.com/maps/search/?api=1&amp;query=24.71092091,46.83455047", "View Map")</f>
        <v/>
      </c>
    </row>
    <row r="1222">
      <c r="A1222" t="inlineStr">
        <is>
          <t>مسجد /طريق  الملك  فهد .</t>
        </is>
      </c>
      <c r="B1222" t="inlineStr">
        <is>
          <t>KFM2020660201735</t>
        </is>
      </c>
      <c r="C1222" t="inlineStr">
        <is>
          <t>الرياض</t>
        </is>
      </c>
      <c r="D1222" t="inlineStr">
        <is>
          <t>كلا الفترتين</t>
        </is>
      </c>
      <c r="E1222" t="n">
        <v>2149</v>
      </c>
      <c r="F1222" t="b">
        <v>1</v>
      </c>
      <c r="G1222">
        <f>HYPERLINK("https://www.google.com/maps/search/?api=1&amp;query=24.62797559,46.70421321", "View Map")</f>
        <v/>
      </c>
    </row>
    <row r="1223">
      <c r="A1223" t="inlineStr">
        <is>
          <t>ﻤﺴﺎﺠﺩ .</t>
        </is>
      </c>
      <c r="B1223" t="inlineStr">
        <is>
          <t>SMR2220621001627</t>
        </is>
      </c>
      <c r="C1223" t="inlineStr">
        <is>
          <t>الرياض</t>
        </is>
      </c>
      <c r="D1223" t="inlineStr">
        <is>
          <t>كلا الفترتين</t>
        </is>
      </c>
      <c r="E1223" t="n">
        <v>2149</v>
      </c>
      <c r="F1223" t="b">
        <v>0</v>
      </c>
      <c r="G1223">
        <f>HYPERLINK("https://www.google.com/maps/search/?api=1&amp;query=24.85562724,46.84151737", "View Map")</f>
        <v/>
      </c>
    </row>
    <row r="1224">
      <c r="A1224" t="inlineStr">
        <is>
          <t xml:space="preserve">   مسجد ابراهيم الحصين ومرافقه .</t>
        </is>
      </c>
      <c r="B1224" t="inlineStr">
        <is>
          <t>ECC2020810865794</t>
        </is>
      </c>
      <c r="C1224" t="inlineStr">
        <is>
          <t>الرياض</t>
        </is>
      </c>
      <c r="D1224" t="inlineStr">
        <is>
          <t>كلا الفترتين</t>
        </is>
      </c>
      <c r="E1224" t="n">
        <v>2147</v>
      </c>
      <c r="F1224" t="b">
        <v>1</v>
      </c>
      <c r="G1224">
        <f>HYPERLINK("https://www.google.com/maps/search/?api=1&amp;query=24.79597795,46.70048079", "View Map")</f>
        <v/>
      </c>
    </row>
    <row r="1225">
      <c r="A1225" t="inlineStr">
        <is>
          <t xml:space="preserve">   مسجدزيدبن ثابت /ابرهيم اليابس .</t>
        </is>
      </c>
      <c r="B1225" t="inlineStr">
        <is>
          <t>KFM2120655004423</t>
        </is>
      </c>
      <c r="C1225" t="inlineStr">
        <is>
          <t>الرياض</t>
        </is>
      </c>
      <c r="D1225" t="inlineStr">
        <is>
          <t>كلا الفترتين</t>
        </is>
      </c>
      <c r="E1225" t="n">
        <v>2147</v>
      </c>
      <c r="F1225" t="b">
        <v>1</v>
      </c>
      <c r="G1225">
        <f>HYPERLINK("https://www.google.com/maps/search/?api=1&amp;query=24.68583329,46.80294072", "View Map")</f>
        <v/>
      </c>
    </row>
    <row r="1226">
      <c r="A1226" t="inlineStr">
        <is>
          <t>ﻤﺴﺎﺠﺩ .</t>
        </is>
      </c>
      <c r="B1226" t="inlineStr">
        <is>
          <t>KFM2020660201335</t>
        </is>
      </c>
      <c r="C1226" t="inlineStr">
        <is>
          <t>الرياض</t>
        </is>
      </c>
      <c r="D1226" t="inlineStr">
        <is>
          <t>كلا الفترتين</t>
        </is>
      </c>
      <c r="E1226" t="n">
        <v>2147</v>
      </c>
      <c r="F1226" t="b">
        <v>1</v>
      </c>
      <c r="G1226">
        <f>HYPERLINK("https://www.google.com/maps/search/?api=1&amp;query=24.6110802,46.5055734", "View Map")</f>
        <v/>
      </c>
    </row>
    <row r="1227">
      <c r="A1227" t="inlineStr">
        <is>
          <t xml:space="preserve">   مسجد الروابي و سكن الامام والمؤذن .</t>
        </is>
      </c>
      <c r="B1227" t="inlineStr">
        <is>
          <t>KFM2020660144794</t>
        </is>
      </c>
      <c r="C1227" t="inlineStr">
        <is>
          <t>الرياض</t>
        </is>
      </c>
      <c r="D1227" t="inlineStr">
        <is>
          <t>كلا الفترتين</t>
        </is>
      </c>
      <c r="E1227" t="n">
        <v>2146</v>
      </c>
      <c r="F1227" t="b">
        <v>0</v>
      </c>
      <c r="G1227">
        <f>HYPERLINK("https://www.google.com/maps/search/?api=1&amp;query=24.69999857,46.80127742", "View Map")</f>
        <v/>
      </c>
    </row>
    <row r="1228">
      <c r="A1228" t="inlineStr">
        <is>
          <t xml:space="preserve">   مسجد عثمان بن عفان .</t>
        </is>
      </c>
      <c r="B1228" t="inlineStr">
        <is>
          <t>KFM2020660038802</t>
        </is>
      </c>
      <c r="C1228" t="inlineStr">
        <is>
          <t>الرياض</t>
        </is>
      </c>
      <c r="D1228" t="inlineStr">
        <is>
          <t>كلا الفترتين</t>
        </is>
      </c>
      <c r="E1228" t="n">
        <v>2146</v>
      </c>
      <c r="F1228" t="b">
        <v>1</v>
      </c>
      <c r="G1228">
        <f>HYPERLINK("https://www.google.com/maps/search/?api=1&amp;query=24.79404111,46.74193226", "View Map")</f>
        <v/>
      </c>
    </row>
    <row r="1229">
      <c r="A1229" t="inlineStr">
        <is>
          <t>مساجد .</t>
        </is>
      </c>
      <c r="B1229" t="inlineStr">
        <is>
          <t>KFM2020660187884</t>
        </is>
      </c>
      <c r="C1229" t="inlineStr">
        <is>
          <t>الرياض</t>
        </is>
      </c>
      <c r="D1229" t="inlineStr">
        <is>
          <t>كلا الفترتين</t>
        </is>
      </c>
      <c r="E1229" t="n">
        <v>2144</v>
      </c>
      <c r="F1229" t="b">
        <v>1</v>
      </c>
      <c r="G1229">
        <f>HYPERLINK("https://www.google.com/maps/search/?api=1&amp;query=24.82283085,46.59988485", "View Map")</f>
        <v/>
      </c>
    </row>
    <row r="1230">
      <c r="A1230" t="inlineStr">
        <is>
          <t>مسجد بن دنان .</t>
        </is>
      </c>
      <c r="B1230" t="inlineStr">
        <is>
          <t>KFM2020660038655</t>
        </is>
      </c>
      <c r="C1230" t="inlineStr">
        <is>
          <t>الرياض</t>
        </is>
      </c>
      <c r="D1230" t="inlineStr">
        <is>
          <t>كلا الفترتين</t>
        </is>
      </c>
      <c r="E1230" t="n">
        <v>2142</v>
      </c>
      <c r="F1230" t="b">
        <v>0</v>
      </c>
      <c r="G1230">
        <f>HYPERLINK("https://www.google.com/maps/search/?api=1&amp;query=24.63077482,46.68537339", "View Map")</f>
        <v/>
      </c>
    </row>
    <row r="1231">
      <c r="A1231" t="inlineStr">
        <is>
          <t xml:space="preserve">   مسجد      حي        الجنادريه .</t>
        </is>
      </c>
      <c r="B1231" t="inlineStr">
        <is>
          <t>KFM2020660133884</t>
        </is>
      </c>
      <c r="C1231" t="inlineStr">
        <is>
          <t>الرياض</t>
        </is>
      </c>
      <c r="D1231" t="inlineStr">
        <is>
          <t>كلا الفترتين</t>
        </is>
      </c>
      <c r="E1231" t="n">
        <v>2142</v>
      </c>
      <c r="F1231" t="b">
        <v>1</v>
      </c>
      <c r="G1231">
        <f>HYPERLINK("https://www.google.com/maps/search/?api=1&amp;query=24.79669619,46.85184418", "View Map")</f>
        <v/>
      </c>
    </row>
    <row r="1232">
      <c r="A1232" t="inlineStr">
        <is>
          <t xml:space="preserve">   مسجد/سعيد بن زيد .</t>
        </is>
      </c>
      <c r="B1232" t="inlineStr">
        <is>
          <t>KFM2020660190961</t>
        </is>
      </c>
      <c r="C1232" t="inlineStr">
        <is>
          <t>الرياض</t>
        </is>
      </c>
      <c r="D1232" t="inlineStr">
        <is>
          <t>كلا الفترتين</t>
        </is>
      </c>
      <c r="E1232" t="n">
        <v>2141</v>
      </c>
      <c r="F1232" t="b">
        <v>0</v>
      </c>
      <c r="G1232">
        <f>HYPERLINK("https://www.google.com/maps/search/?api=1&amp;query=24.76981515,46.78986917", "View Map")</f>
        <v/>
      </c>
    </row>
    <row r="1233">
      <c r="A1233" t="inlineStr">
        <is>
          <t>مسجد شبرا .</t>
        </is>
      </c>
      <c r="B1233" t="inlineStr">
        <is>
          <t>KFM2020660044986</t>
        </is>
      </c>
      <c r="C1233" t="inlineStr">
        <is>
          <t>الرياض</t>
        </is>
      </c>
      <c r="D1233" t="inlineStr">
        <is>
          <t>كلا الفترتين</t>
        </is>
      </c>
      <c r="E1233" t="n">
        <v>2141</v>
      </c>
      <c r="F1233" t="b">
        <v>1</v>
      </c>
      <c r="G1233">
        <f>HYPERLINK("https://www.google.com/maps/search/?api=1&amp;query=24.59147088,46.68608856", "View Map")</f>
        <v/>
      </c>
    </row>
    <row r="1234">
      <c r="A1234" t="inlineStr">
        <is>
          <t>مسجد ناصر العمار .</t>
        </is>
      </c>
      <c r="B1234" t="inlineStr">
        <is>
          <t>KFM2020660171634</t>
        </is>
      </c>
      <c r="C1234" t="inlineStr">
        <is>
          <t>الرياض</t>
        </is>
      </c>
      <c r="D1234" t="inlineStr">
        <is>
          <t>كلا الفترتين</t>
        </is>
      </c>
      <c r="E1234" t="n">
        <v>2141</v>
      </c>
      <c r="F1234" t="b">
        <v>1</v>
      </c>
      <c r="G1234">
        <f>HYPERLINK("https://www.google.com/maps/search/?api=1&amp;query=24.53702639,46.65281047", "View Map")</f>
        <v/>
      </c>
    </row>
    <row r="1235">
      <c r="A1235" t="inlineStr">
        <is>
          <t xml:space="preserve">   مسجد الدخيل .</t>
        </is>
      </c>
      <c r="B1235" t="inlineStr">
        <is>
          <t>KFM2020660191703</t>
        </is>
      </c>
      <c r="C1235" t="inlineStr">
        <is>
          <t>الرياض</t>
        </is>
      </c>
      <c r="D1235" t="inlineStr">
        <is>
          <t>كلا الفترتين</t>
        </is>
      </c>
      <c r="E1235" t="n">
        <v>2141</v>
      </c>
      <c r="F1235" t="b">
        <v>1</v>
      </c>
      <c r="G1235">
        <f>HYPERLINK("https://www.google.com/maps/search/?api=1&amp;query=24.72898476,46.81507056", "View Map")</f>
        <v/>
      </c>
    </row>
    <row r="1236">
      <c r="A1236" t="inlineStr">
        <is>
          <t xml:space="preserve">   مسجد حي السلي .</t>
        </is>
      </c>
      <c r="B1236" t="inlineStr">
        <is>
          <t>KFM2120660253623</t>
        </is>
      </c>
      <c r="C1236" t="inlineStr">
        <is>
          <t>الرياض</t>
        </is>
      </c>
      <c r="D1236" t="inlineStr">
        <is>
          <t>كلا الفترتين</t>
        </is>
      </c>
      <c r="E1236" t="n">
        <v>2140</v>
      </c>
      <c r="F1236" t="b">
        <v>1</v>
      </c>
      <c r="G1236">
        <f>HYPERLINK("https://www.google.com/maps/search/?api=1&amp;query=24.67533,46.85330097", "View Map")</f>
        <v/>
      </c>
    </row>
    <row r="1237">
      <c r="A1237" t="inlineStr">
        <is>
          <t>ﻤﺴﺎﺠﺩ .</t>
        </is>
      </c>
      <c r="B1237" t="inlineStr">
        <is>
          <t>SMR2420661036116</t>
        </is>
      </c>
      <c r="C1237" t="inlineStr">
        <is>
          <t>الرياض</t>
        </is>
      </c>
      <c r="D1237" t="inlineStr">
        <is>
          <t>كلا الفترتين</t>
        </is>
      </c>
      <c r="E1237" t="n">
        <v>2139</v>
      </c>
      <c r="F1237" t="b">
        <v>1</v>
      </c>
      <c r="G1237">
        <f>HYPERLINK("https://www.google.com/maps/search/?api=1&amp;query=24.80921122,46.67418771", "View Map")</f>
        <v/>
      </c>
    </row>
    <row r="1238">
      <c r="A1238" t="inlineStr">
        <is>
          <t>مسجد والدة  الاميرسطام  بن عبدالعزيز .</t>
        </is>
      </c>
      <c r="B1238" t="inlineStr">
        <is>
          <t>KFM2120660283966</t>
        </is>
      </c>
      <c r="C1238" t="inlineStr">
        <is>
          <t>الرياض</t>
        </is>
      </c>
      <c r="D1238" t="inlineStr">
        <is>
          <t>كلا الفترتين</t>
        </is>
      </c>
      <c r="E1238" t="n">
        <v>2136</v>
      </c>
      <c r="F1238" t="b">
        <v>1</v>
      </c>
      <c r="G1238">
        <f>HYPERLINK("https://www.google.com/maps/search/?api=1&amp;query=24.62540948,46.70816725", "View Map")</f>
        <v/>
      </c>
    </row>
    <row r="1239">
      <c r="A1239" t="inlineStr">
        <is>
          <t xml:space="preserve">   جامع      الغزي     / .</t>
        </is>
      </c>
      <c r="B1239" t="inlineStr">
        <is>
          <t>KFM2020660057210</t>
        </is>
      </c>
      <c r="C1239" t="inlineStr">
        <is>
          <t>الرياض</t>
        </is>
      </c>
      <c r="D1239" t="inlineStr">
        <is>
          <t>كلا الفترتين</t>
        </is>
      </c>
      <c r="E1239" t="n">
        <v>2136</v>
      </c>
      <c r="F1239" t="b">
        <v>0</v>
      </c>
      <c r="G1239">
        <f>HYPERLINK("https://www.google.com/maps/search/?api=1&amp;query=24.70598691,46.8031689", "View Map")</f>
        <v/>
      </c>
    </row>
    <row r="1240">
      <c r="A1240" t="inlineStr">
        <is>
          <t>ﻭﺯﺍﺭﺓﺍﻟﺸﺌﻭﻥ ﺍﻻﺴﻼﻤﻴﺓﻭﺍﻻﻭﻗﺎﻑ .</t>
        </is>
      </c>
      <c r="B1240" t="inlineStr">
        <is>
          <t>SMR2320761034326</t>
        </is>
      </c>
      <c r="C1240" t="inlineStr">
        <is>
          <t>الرياض</t>
        </is>
      </c>
      <c r="D1240" t="inlineStr">
        <is>
          <t>كلا الفترتين</t>
        </is>
      </c>
      <c r="E1240" t="n">
        <v>2135</v>
      </c>
      <c r="F1240" t="b">
        <v>0</v>
      </c>
      <c r="G1240">
        <f>HYPERLINK("https://www.google.com/maps/search/?api=1&amp;query=24.57471172,46.71625806", "View Map")</f>
        <v/>
      </c>
    </row>
    <row r="1241">
      <c r="A1241" t="inlineStr">
        <is>
          <t>مسجد حي بدر .</t>
        </is>
      </c>
      <c r="B1241" t="inlineStr">
        <is>
          <t>KFM2020660203232</t>
        </is>
      </c>
      <c r="C1241" t="inlineStr">
        <is>
          <t>الرياض</t>
        </is>
      </c>
      <c r="D1241" t="inlineStr">
        <is>
          <t>كلا الفترتين</t>
        </is>
      </c>
      <c r="E1241" t="n">
        <v>2135</v>
      </c>
      <c r="F1241" t="b">
        <v>1</v>
      </c>
      <c r="G1241">
        <f>HYPERLINK("https://www.google.com/maps/search/?api=1&amp;query=24.52613511,46.70057587", "View Map")</f>
        <v/>
      </c>
    </row>
    <row r="1242">
      <c r="A1242" t="inlineStr">
        <is>
          <t xml:space="preserve">   مسجد  الشئون الاسلاميةوالاوقاف .</t>
        </is>
      </c>
      <c r="B1242" t="inlineStr">
        <is>
          <t>KFM2020660187642</t>
        </is>
      </c>
      <c r="C1242" t="inlineStr">
        <is>
          <t>الرياض</t>
        </is>
      </c>
      <c r="D1242" t="inlineStr">
        <is>
          <t>كلا الفترتين</t>
        </is>
      </c>
      <c r="E1242" t="n">
        <v>2135</v>
      </c>
      <c r="F1242" t="b">
        <v>0</v>
      </c>
      <c r="G1242">
        <f>HYPERLINK("https://www.google.com/maps/search/?api=1&amp;query=24.81905692,46.61572325", "View Map")</f>
        <v/>
      </c>
    </row>
    <row r="1243">
      <c r="A1243" t="inlineStr">
        <is>
          <t>مساجد .</t>
        </is>
      </c>
      <c r="B1243" t="inlineStr">
        <is>
          <t>KFM2020760040879</t>
        </is>
      </c>
      <c r="C1243" t="inlineStr">
        <is>
          <t>الرياض</t>
        </is>
      </c>
      <c r="D1243" t="inlineStr">
        <is>
          <t>كلا الفترتين</t>
        </is>
      </c>
      <c r="E1243" t="n">
        <v>2133</v>
      </c>
      <c r="F1243" t="b">
        <v>0</v>
      </c>
      <c r="G1243">
        <f>HYPERLINK("https://www.google.com/maps/search/?api=1&amp;query=24.59180147,46.76817156", "View Map")</f>
        <v/>
      </c>
    </row>
    <row r="1244">
      <c r="A1244" t="inlineStr">
        <is>
          <t>مسجد المنيع  بالبديعه .</t>
        </is>
      </c>
      <c r="B1244" t="inlineStr">
        <is>
          <t>KFM2020660052978</t>
        </is>
      </c>
      <c r="C1244" t="inlineStr">
        <is>
          <t>الرياض</t>
        </is>
      </c>
      <c r="D1244" t="inlineStr">
        <is>
          <t>كلا الفترتين</t>
        </is>
      </c>
      <c r="E1244" t="n">
        <v>2131</v>
      </c>
      <c r="F1244" t="b">
        <v>1</v>
      </c>
      <c r="G1244">
        <f>HYPERLINK("https://www.google.com/maps/search/?api=1&amp;query=24.58434024,46.63381265", "View Map")</f>
        <v/>
      </c>
    </row>
    <row r="1245">
      <c r="A1245" t="inlineStr">
        <is>
          <t>مسجدجامع  عبيكان .</t>
        </is>
      </c>
      <c r="B1245" t="inlineStr">
        <is>
          <t>KFM2020660038596</t>
        </is>
      </c>
      <c r="C1245" t="inlineStr">
        <is>
          <t>الرياض</t>
        </is>
      </c>
      <c r="D1245" t="inlineStr">
        <is>
          <t>كلا الفترتين</t>
        </is>
      </c>
      <c r="E1245" t="n">
        <v>2130</v>
      </c>
      <c r="F1245" t="b">
        <v>0</v>
      </c>
      <c r="G1245">
        <f>HYPERLINK("https://www.google.com/maps/search/?api=1&amp;query=24.6247,46.6886", "View Map")</f>
        <v/>
      </c>
    </row>
    <row r="1246">
      <c r="A1246" t="inlineStr">
        <is>
          <t>ﻭﺯﺍﺭﺓﺍﻟﺸﺌﻭﻥ ﺍﻻﺴﻼﻤﻴﺓﻭﺍﻻﻭﻗﺎﻑ .</t>
        </is>
      </c>
      <c r="B1246" t="inlineStr">
        <is>
          <t>KFM2020660203286</t>
        </is>
      </c>
      <c r="C1246" t="inlineStr">
        <is>
          <t>الرياض</t>
        </is>
      </c>
      <c r="D1246" t="inlineStr">
        <is>
          <t>كلا الفترتين</t>
        </is>
      </c>
      <c r="E1246" t="n">
        <v>2125</v>
      </c>
      <c r="F1246" t="b">
        <v>1</v>
      </c>
      <c r="G1246">
        <f>HYPERLINK("https://www.google.com/maps/search/?api=1&amp;query=24.55488805,46.58872846", "View Map")</f>
        <v/>
      </c>
    </row>
    <row r="1247">
      <c r="A1247" t="inlineStr">
        <is>
          <t>ﻤﺴﺎﺠﺩ .</t>
        </is>
      </c>
      <c r="B1247" t="inlineStr">
        <is>
          <t>KFM2120660249225</t>
        </is>
      </c>
      <c r="C1247" t="inlineStr">
        <is>
          <t>الرياض</t>
        </is>
      </c>
      <c r="D1247" t="inlineStr">
        <is>
          <t>كلا الفترتين</t>
        </is>
      </c>
      <c r="E1247" t="n">
        <v>2123</v>
      </c>
      <c r="F1247" t="b">
        <v>1</v>
      </c>
      <c r="G1247">
        <f>HYPERLINK("https://www.google.com/maps/search/?api=1&amp;query=24.87142205,46.62866069", "View Map")</f>
        <v/>
      </c>
    </row>
    <row r="1248">
      <c r="A1248" t="inlineStr">
        <is>
          <t xml:space="preserve">   مسجد/ صالح  الرشيد .</t>
        </is>
      </c>
      <c r="B1248" t="inlineStr">
        <is>
          <t>KFM2020660174076</t>
        </is>
      </c>
      <c r="C1248" t="inlineStr">
        <is>
          <t>الرياض</t>
        </is>
      </c>
      <c r="D1248" t="inlineStr">
        <is>
          <t>كلا الفترتين</t>
        </is>
      </c>
      <c r="E1248" t="n">
        <v>2123</v>
      </c>
      <c r="F1248" t="b">
        <v>1</v>
      </c>
      <c r="G1248">
        <f>HYPERLINK("https://www.google.com/maps/search/?api=1&amp;query=24.80897569,46.88102771", "View Map")</f>
        <v/>
      </c>
    </row>
    <row r="1249">
      <c r="A1249" t="inlineStr">
        <is>
          <t xml:space="preserve">   مساجد .</t>
        </is>
      </c>
      <c r="B1249" t="inlineStr">
        <is>
          <t>KFM2020660037787</t>
        </is>
      </c>
      <c r="C1249" t="inlineStr">
        <is>
          <t>الرياض</t>
        </is>
      </c>
      <c r="D1249" t="inlineStr">
        <is>
          <t>كلا الفترتين</t>
        </is>
      </c>
      <c r="E1249" t="n">
        <v>2122</v>
      </c>
      <c r="F1249" t="b">
        <v>1</v>
      </c>
      <c r="G1249">
        <f>HYPERLINK("https://www.google.com/maps/search/?api=1&amp;query=24.81411014,46.61353973", "View Map")</f>
        <v/>
      </c>
    </row>
    <row r="1250">
      <c r="A1250" t="inlineStr">
        <is>
          <t xml:space="preserve"> مسجد/الاميرفيصل بن سلطان بن عبدالعزي .</t>
        </is>
      </c>
      <c r="B1250" t="inlineStr">
        <is>
          <t>KFM2120660246201</t>
        </is>
      </c>
      <c r="C1250" t="inlineStr">
        <is>
          <t>الرياض</t>
        </is>
      </c>
      <c r="D1250" t="inlineStr">
        <is>
          <t>كلا الفترتين</t>
        </is>
      </c>
      <c r="E1250" t="n">
        <v>2121</v>
      </c>
      <c r="F1250" t="b">
        <v>1</v>
      </c>
      <c r="G1250">
        <f>HYPERLINK("https://www.google.com/maps/search/?api=1&amp;query=24.75131436,46.59576032", "View Map")</f>
        <v/>
      </c>
    </row>
    <row r="1251">
      <c r="A1251" t="inlineStr">
        <is>
          <t>ﻭﺯﺍﺭﺓﺍﻟﺸﺌﻭﻥ ﺍﻻﺴﻼﻤﻴﺓﻭﺍﻻﻭﻗﺎﻑ .</t>
        </is>
      </c>
      <c r="B1251" t="inlineStr">
        <is>
          <t>KFM2020660203524</t>
        </is>
      </c>
      <c r="C1251" t="inlineStr">
        <is>
          <t>الرياض</t>
        </is>
      </c>
      <c r="D1251" t="inlineStr">
        <is>
          <t>كلا الفترتين</t>
        </is>
      </c>
      <c r="E1251" t="n">
        <v>2119</v>
      </c>
      <c r="F1251" t="b">
        <v>1</v>
      </c>
      <c r="G1251">
        <f>HYPERLINK("https://www.google.com/maps/search/?api=1&amp;query=24.64706997,46.69197153", "View Map")</f>
        <v/>
      </c>
    </row>
    <row r="1252">
      <c r="A1252" t="inlineStr">
        <is>
          <t xml:space="preserve">   مسجد محمد عبدالعزيز الرواف .</t>
        </is>
      </c>
      <c r="B1252" t="inlineStr">
        <is>
          <t>KFM2020660051312</t>
        </is>
      </c>
      <c r="C1252" t="inlineStr">
        <is>
          <t>الرياض</t>
        </is>
      </c>
      <c r="D1252" t="inlineStr">
        <is>
          <t>كلا الفترتين</t>
        </is>
      </c>
      <c r="E1252" t="n">
        <v>2119</v>
      </c>
      <c r="F1252" t="b">
        <v>0</v>
      </c>
      <c r="G1252">
        <f>HYPERLINK("https://www.google.com/maps/search/?api=1&amp;query=24.67323691,46.58947592", "View Map")</f>
        <v/>
      </c>
    </row>
    <row r="1253">
      <c r="A1253" t="inlineStr">
        <is>
          <t>وزارة     الشئون    والاوقاف .</t>
        </is>
      </c>
      <c r="B1253" t="inlineStr">
        <is>
          <t>KFM2020660051295</t>
        </is>
      </c>
      <c r="C1253" t="inlineStr">
        <is>
          <t>الرياض</t>
        </is>
      </c>
      <c r="D1253" t="inlineStr">
        <is>
          <t>كلا الفترتين</t>
        </is>
      </c>
      <c r="E1253" t="n">
        <v>2118</v>
      </c>
      <c r="F1253" t="b">
        <v>1</v>
      </c>
      <c r="G1253">
        <f>HYPERLINK("https://www.google.com/maps/search/?api=1&amp;query=24.67908754,46.59760152", "View Map")</f>
        <v/>
      </c>
    </row>
    <row r="1254">
      <c r="A1254" t="inlineStr">
        <is>
          <t xml:space="preserve">        مسجد راشد المبارك .</t>
        </is>
      </c>
      <c r="B1254" t="inlineStr">
        <is>
          <t>KFM2020660206450</t>
        </is>
      </c>
      <c r="C1254" t="inlineStr">
        <is>
          <t>الرياض</t>
        </is>
      </c>
      <c r="D1254" t="inlineStr">
        <is>
          <t>كلا الفترتين</t>
        </is>
      </c>
      <c r="E1254" t="n">
        <v>2111</v>
      </c>
      <c r="F1254" t="b">
        <v>1</v>
      </c>
      <c r="G1254">
        <f>HYPERLINK("https://www.google.com/maps/search/?api=1&amp;query=24.79960344,46.67065048", "View Map")</f>
        <v/>
      </c>
    </row>
    <row r="1255">
      <c r="A1255" t="inlineStr">
        <is>
          <t xml:space="preserve">   مسجد معاذ بن جبل .</t>
        </is>
      </c>
      <c r="B1255" t="inlineStr">
        <is>
          <t>KFM2020660054517</t>
        </is>
      </c>
      <c r="C1255" t="inlineStr">
        <is>
          <t>الرياض</t>
        </is>
      </c>
      <c r="D1255" t="inlineStr">
        <is>
          <t>كلا الفترتين</t>
        </is>
      </c>
      <c r="E1255" t="n">
        <v>2110</v>
      </c>
      <c r="F1255" t="b">
        <v>1</v>
      </c>
      <c r="G1255">
        <f>HYPERLINK("https://www.google.com/maps/search/?api=1&amp;query=24.75253842,46.77390533", "View Map")</f>
        <v/>
      </c>
    </row>
    <row r="1256">
      <c r="A1256" t="inlineStr">
        <is>
          <t>ﻤﺴﺎﺠﺩ .</t>
        </is>
      </c>
      <c r="B1256" t="inlineStr">
        <is>
          <t>SMR2320661029504</t>
        </is>
      </c>
      <c r="C1256" t="inlineStr">
        <is>
          <t>الرياض</t>
        </is>
      </c>
      <c r="D1256" t="inlineStr">
        <is>
          <t>كلا الفترتين</t>
        </is>
      </c>
      <c r="E1256" t="n">
        <v>2110</v>
      </c>
      <c r="F1256" t="b">
        <v>0</v>
      </c>
      <c r="G1256">
        <f>HYPERLINK("https://www.google.com/maps/search/?api=1&amp;query=24.64892181,46.57835699", "View Map")</f>
        <v/>
      </c>
    </row>
    <row r="1257">
      <c r="A1257" t="inlineStr">
        <is>
          <t xml:space="preserve">   مسجد عبدالله ابراهيم النقيثيان .</t>
        </is>
      </c>
      <c r="B1257" t="inlineStr">
        <is>
          <t>KFM2120660286468</t>
        </is>
      </c>
      <c r="C1257" t="inlineStr">
        <is>
          <t>الرياض</t>
        </is>
      </c>
      <c r="D1257" t="inlineStr">
        <is>
          <t>كلا الفترتين</t>
        </is>
      </c>
      <c r="E1257" t="n">
        <v>2109</v>
      </c>
      <c r="F1257" t="b">
        <v>1</v>
      </c>
      <c r="G1257">
        <f>HYPERLINK("https://www.google.com/maps/search/?api=1&amp;query=24.60056404,46.75534812", "View Map")</f>
        <v/>
      </c>
    </row>
    <row r="1258">
      <c r="A1258" t="inlineStr">
        <is>
          <t xml:space="preserve">   مسجد الفردوس .</t>
        </is>
      </c>
      <c r="B1258" t="inlineStr">
        <is>
          <t>KFM2020660145801</t>
        </is>
      </c>
      <c r="C1258" t="inlineStr">
        <is>
          <t>الرياض</t>
        </is>
      </c>
      <c r="D1258" t="inlineStr">
        <is>
          <t>كلا الفترتين</t>
        </is>
      </c>
      <c r="E1258" t="n">
        <v>2108</v>
      </c>
      <c r="F1258" t="b">
        <v>0</v>
      </c>
      <c r="G1258">
        <f>HYPERLINK("https://www.google.com/maps/search/?api=1&amp;query=24.76929878,46.83061247", "View Map")</f>
        <v/>
      </c>
    </row>
    <row r="1259">
      <c r="A1259" t="inlineStr">
        <is>
          <t>ﻤﺴﺎﺠﺩ .</t>
        </is>
      </c>
      <c r="B1259" t="inlineStr">
        <is>
          <t>SMR2220661002776</t>
        </is>
      </c>
      <c r="C1259" t="inlineStr">
        <is>
          <t>الرياض</t>
        </is>
      </c>
      <c r="D1259" t="inlineStr">
        <is>
          <t>كلا الفترتين</t>
        </is>
      </c>
      <c r="E1259" t="n">
        <v>2107</v>
      </c>
      <c r="F1259" t="b">
        <v>1</v>
      </c>
      <c r="G1259">
        <f>HYPERLINK("https://www.google.com/maps/search/?api=1&amp;query=24.92334319,46.82037301", "View Map")</f>
        <v/>
      </c>
    </row>
    <row r="1260">
      <c r="A1260" t="inlineStr">
        <is>
          <t xml:space="preserve">   مسجد حي الملك فيصل .</t>
        </is>
      </c>
      <c r="B1260" t="inlineStr">
        <is>
          <t>KFM2020660047087</t>
        </is>
      </c>
      <c r="C1260" t="inlineStr">
        <is>
          <t>الرياض</t>
        </is>
      </c>
      <c r="D1260" t="inlineStr">
        <is>
          <t>كلا الفترتين</t>
        </is>
      </c>
      <c r="E1260" t="n">
        <v>2106</v>
      </c>
      <c r="F1260" t="b">
        <v>0</v>
      </c>
      <c r="G1260">
        <f>HYPERLINK("https://www.google.com/maps/search/?api=1&amp;query=24.7437355,46.77996039", "View Map")</f>
        <v/>
      </c>
    </row>
    <row r="1261">
      <c r="A1261" t="inlineStr">
        <is>
          <t xml:space="preserve">   مسجد سعيد مهدى الغامدى .</t>
        </is>
      </c>
      <c r="B1261" t="inlineStr">
        <is>
          <t>KFM2020760068924</t>
        </is>
      </c>
      <c r="C1261" t="inlineStr">
        <is>
          <t>الرياض</t>
        </is>
      </c>
      <c r="D1261" t="inlineStr">
        <is>
          <t>كلا الفترتين</t>
        </is>
      </c>
      <c r="E1261" t="n">
        <v>2103</v>
      </c>
      <c r="F1261" t="b">
        <v>1</v>
      </c>
      <c r="G1261">
        <f>HYPERLINK("https://www.google.com/maps/search/?api=1&amp;query=24.56304492,46.75907001", "View Map")</f>
        <v/>
      </c>
    </row>
    <row r="1262">
      <c r="A1262" t="inlineStr">
        <is>
          <t xml:space="preserve">   مسجد  على شارع رقم 4 .</t>
        </is>
      </c>
      <c r="B1262" t="inlineStr">
        <is>
          <t>KFM2120660260342</t>
        </is>
      </c>
      <c r="C1262" t="inlineStr">
        <is>
          <t>الرياض</t>
        </is>
      </c>
      <c r="D1262" t="inlineStr">
        <is>
          <t>كلا الفترتين</t>
        </is>
      </c>
      <c r="E1262" t="n">
        <v>2102</v>
      </c>
      <c r="F1262" t="b">
        <v>1</v>
      </c>
      <c r="G1262">
        <f>HYPERLINK("https://www.google.com/maps/search/?api=1&amp;query=24.66192178,46.79476876", "View Map")</f>
        <v/>
      </c>
    </row>
    <row r="1263">
      <c r="A1263" t="inlineStr">
        <is>
          <t xml:space="preserve">   مسجد سعيد القحطانى / حى الوزارات .</t>
        </is>
      </c>
      <c r="B1263" t="inlineStr">
        <is>
          <t>KFM2020660170074</t>
        </is>
      </c>
      <c r="C1263" t="inlineStr">
        <is>
          <t>الرياض</t>
        </is>
      </c>
      <c r="D1263" t="inlineStr">
        <is>
          <t>كلا الفترتين</t>
        </is>
      </c>
      <c r="E1263" t="n">
        <v>2101</v>
      </c>
      <c r="F1263" t="b">
        <v>1</v>
      </c>
      <c r="G1263">
        <f>HYPERLINK("https://www.google.com/maps/search/?api=1&amp;query=24.665809,46.71244387", "View Map")</f>
        <v/>
      </c>
    </row>
    <row r="1264">
      <c r="A1264" t="inlineStr">
        <is>
          <t>مساجد .</t>
        </is>
      </c>
      <c r="B1264" t="inlineStr">
        <is>
          <t>KFM2020660191296</t>
        </is>
      </c>
      <c r="C1264" t="inlineStr">
        <is>
          <t>الدرعية</t>
        </is>
      </c>
      <c r="D1264" t="inlineStr">
        <is>
          <t>كلا الفترتين</t>
        </is>
      </c>
      <c r="E1264" t="n">
        <v>2101</v>
      </c>
      <c r="F1264" t="b">
        <v>1</v>
      </c>
      <c r="G1264">
        <f>HYPERLINK("https://www.google.com/maps/search/?api=1&amp;query=24.7731,46.5667", "View Map")</f>
        <v/>
      </c>
    </row>
    <row r="1265">
      <c r="A1265" t="inlineStr">
        <is>
          <t xml:space="preserve">   مسجد حي الجزيرة .</t>
        </is>
      </c>
      <c r="B1265" t="inlineStr">
        <is>
          <t>KFM2120660271670</t>
        </is>
      </c>
      <c r="C1265" t="inlineStr">
        <is>
          <t>الرياض</t>
        </is>
      </c>
      <c r="D1265" t="inlineStr">
        <is>
          <t>كلا الفترتين</t>
        </is>
      </c>
      <c r="E1265" t="n">
        <v>2101</v>
      </c>
      <c r="F1265" t="b">
        <v>1</v>
      </c>
      <c r="G1265">
        <f>HYPERLINK("https://www.google.com/maps/search/?api=1&amp;query=24.67778147,46.79428715", "View Map")</f>
        <v/>
      </c>
    </row>
    <row r="1266">
      <c r="A1266" t="inlineStr">
        <is>
          <t>مسجد بحي الحزم .</t>
        </is>
      </c>
      <c r="B1266" t="inlineStr">
        <is>
          <t>KFM2020660098894</t>
        </is>
      </c>
      <c r="C1266" t="inlineStr">
        <is>
          <t>الرياض</t>
        </is>
      </c>
      <c r="D1266" t="inlineStr">
        <is>
          <t>كلا الفترتين</t>
        </is>
      </c>
      <c r="E1266" t="n">
        <v>2100</v>
      </c>
      <c r="F1266" t="b">
        <v>1</v>
      </c>
      <c r="G1266">
        <f>HYPERLINK("https://www.google.com/maps/search/?api=1&amp;query=24.55258167,46.6535492", "View Map")</f>
        <v/>
      </c>
    </row>
    <row r="1267">
      <c r="A1267" t="inlineStr">
        <is>
          <t>ﻤﺴﺎﺠﺩ .</t>
        </is>
      </c>
      <c r="B1267" t="inlineStr">
        <is>
          <t>KFM2020660054033</t>
        </is>
      </c>
      <c r="C1267" t="inlineStr">
        <is>
          <t>الرياض</t>
        </is>
      </c>
      <c r="D1267" t="inlineStr">
        <is>
          <t>كلا الفترتين</t>
        </is>
      </c>
      <c r="E1267" t="n">
        <v>2098</v>
      </c>
      <c r="F1267" t="b">
        <v>1</v>
      </c>
      <c r="G1267">
        <f>HYPERLINK("https://www.google.com/maps/search/?api=1&amp;query=24.64848249,46.7927488", "View Map")</f>
        <v/>
      </c>
    </row>
    <row r="1268">
      <c r="A1268" t="inlineStr">
        <is>
          <t xml:space="preserve">   مسجد  ابراهيم الوزان .</t>
        </is>
      </c>
      <c r="B1268" t="inlineStr">
        <is>
          <t>KFM2120660274162</t>
        </is>
      </c>
      <c r="C1268" t="inlineStr">
        <is>
          <t>الرياض</t>
        </is>
      </c>
      <c r="D1268" t="inlineStr">
        <is>
          <t>كلا الفترتين</t>
        </is>
      </c>
      <c r="E1268" t="n">
        <v>2096</v>
      </c>
      <c r="F1268" t="b">
        <v>1</v>
      </c>
      <c r="G1268">
        <f>HYPERLINK("https://www.google.com/maps/search/?api=1&amp;query=24.67620514,46.82159739", "View Map")</f>
        <v/>
      </c>
    </row>
    <row r="1269">
      <c r="A1269" t="inlineStr">
        <is>
          <t>مسجد محمد الفاتح .</t>
        </is>
      </c>
      <c r="B1269" t="inlineStr">
        <is>
          <t>KFM2020660176981</t>
        </is>
      </c>
      <c r="C1269" t="inlineStr">
        <is>
          <t>الرياض</t>
        </is>
      </c>
      <c r="D1269" t="inlineStr">
        <is>
          <t>كلا الفترتين</t>
        </is>
      </c>
      <c r="E1269" t="n">
        <v>2094</v>
      </c>
      <c r="F1269" t="b">
        <v>0</v>
      </c>
      <c r="G1269">
        <f>HYPERLINK("https://www.google.com/maps/search/?api=1&amp;query=24.60780761,46.59942933", "View Map")</f>
        <v/>
      </c>
    </row>
    <row r="1270">
      <c r="A1270" t="inlineStr">
        <is>
          <t xml:space="preserve">   مسجد      محمد      العطير .</t>
        </is>
      </c>
      <c r="B1270" t="inlineStr">
        <is>
          <t>KFM2020660145201</t>
        </is>
      </c>
      <c r="C1270" t="inlineStr">
        <is>
          <t>الرياض</t>
        </is>
      </c>
      <c r="D1270" t="inlineStr">
        <is>
          <t>كلا الفترتين</t>
        </is>
      </c>
      <c r="E1270" t="n">
        <v>2094</v>
      </c>
      <c r="F1270" t="b">
        <v>0</v>
      </c>
      <c r="G1270">
        <f>HYPERLINK("https://www.google.com/maps/search/?api=1&amp;query=24.82222788,46.79064717", "View Map")</f>
        <v/>
      </c>
    </row>
    <row r="1271">
      <c r="A1271" t="inlineStr">
        <is>
          <t>ﻤﺴﺎﺠﺩ .</t>
        </is>
      </c>
      <c r="B1271" t="inlineStr">
        <is>
          <t>SMR2320661021148</t>
        </is>
      </c>
      <c r="C1271" t="inlineStr">
        <is>
          <t>الرياض</t>
        </is>
      </c>
      <c r="D1271" t="inlineStr">
        <is>
          <t>كلا الفترتين</t>
        </is>
      </c>
      <c r="E1271" t="n">
        <v>2093</v>
      </c>
      <c r="F1271" t="b">
        <v>1</v>
      </c>
      <c r="G1271">
        <f>HYPERLINK("https://www.google.com/maps/search/?api=1&amp;query=24.92525789,46.82341566", "View Map")</f>
        <v/>
      </c>
    </row>
    <row r="1272">
      <c r="A1272" t="inlineStr">
        <is>
          <t>مسجد عبدالله الفوزان .</t>
        </is>
      </c>
      <c r="B1272" t="inlineStr">
        <is>
          <t>KFM2020660031541</t>
        </is>
      </c>
      <c r="C1272" t="inlineStr">
        <is>
          <t>الرياض</t>
        </is>
      </c>
      <c r="D1272" t="inlineStr">
        <is>
          <t>كلا الفترتين</t>
        </is>
      </c>
      <c r="E1272" t="n">
        <v>2092</v>
      </c>
      <c r="F1272" t="b">
        <v>1</v>
      </c>
      <c r="G1272">
        <f>HYPERLINK("https://www.google.com/maps/search/?api=1&amp;query=24.64139568,46.84214511", "View Map")</f>
        <v/>
      </c>
    </row>
    <row r="1273">
      <c r="A1273" t="inlineStr">
        <is>
          <t xml:space="preserve">   مسجد والدة محمد بن فيحان الرقاص .</t>
        </is>
      </c>
      <c r="B1273" t="inlineStr">
        <is>
          <t>KFM2020660031732</t>
        </is>
      </c>
      <c r="C1273" t="inlineStr">
        <is>
          <t>الدرعية</t>
        </is>
      </c>
      <c r="D1273" t="inlineStr">
        <is>
          <t>كلا الفترتين</t>
        </is>
      </c>
      <c r="E1273" t="n">
        <v>2091</v>
      </c>
      <c r="F1273" t="b">
        <v>1</v>
      </c>
      <c r="G1273">
        <f>HYPERLINK("https://www.google.com/maps/search/?api=1&amp;query=24.76719441,46.58582488", "View Map")</f>
        <v/>
      </c>
    </row>
    <row r="1274">
      <c r="A1274" t="inlineStr">
        <is>
          <t>مسجد الشيخ  عبدالعزيزالمغصيب .</t>
        </is>
      </c>
      <c r="B1274" t="inlineStr">
        <is>
          <t>KFM2020660202608</t>
        </is>
      </c>
      <c r="C1274" t="inlineStr">
        <is>
          <t>الرياض</t>
        </is>
      </c>
      <c r="D1274" t="inlineStr">
        <is>
          <t>كلا الفترتين</t>
        </is>
      </c>
      <c r="E1274" t="n">
        <v>2091</v>
      </c>
      <c r="F1274" t="b">
        <v>0</v>
      </c>
      <c r="G1274">
        <f>HYPERLINK("https://www.google.com/maps/search/?api=1&amp;query=24.54308192,46.68968095", "View Map")</f>
        <v/>
      </c>
    </row>
    <row r="1275">
      <c r="A1275" t="inlineStr">
        <is>
          <t xml:space="preserve">   مسجد السويلمي .</t>
        </is>
      </c>
      <c r="B1275" t="inlineStr">
        <is>
          <t>KFM2020660060123</t>
        </is>
      </c>
      <c r="C1275" t="inlineStr">
        <is>
          <t>الرياض</t>
        </is>
      </c>
      <c r="D1275" t="inlineStr">
        <is>
          <t>كلا الفترتين</t>
        </is>
      </c>
      <c r="E1275" t="n">
        <v>2090</v>
      </c>
      <c r="F1275" t="b">
        <v>0</v>
      </c>
      <c r="G1275">
        <f>HYPERLINK("https://www.google.com/maps/search/?api=1&amp;query=24.78808545,46.90147752", "View Map")</f>
        <v/>
      </c>
    </row>
    <row r="1276">
      <c r="A1276" t="inlineStr">
        <is>
          <t xml:space="preserve">   مسجد صفين .</t>
        </is>
      </c>
      <c r="B1276" t="inlineStr">
        <is>
          <t>KFM2020660166610</t>
        </is>
      </c>
      <c r="C1276" t="inlineStr">
        <is>
          <t>الرياض</t>
        </is>
      </c>
      <c r="D1276" t="inlineStr">
        <is>
          <t>كلا الفترتين</t>
        </is>
      </c>
      <c r="E1276" t="n">
        <v>2090</v>
      </c>
      <c r="F1276" t="b">
        <v>1</v>
      </c>
      <c r="G1276">
        <f>HYPERLINK("https://www.google.com/maps/search/?api=1&amp;query=24.6907496,46.79423356", "View Map")</f>
        <v/>
      </c>
    </row>
    <row r="1277">
      <c r="A1277" t="inlineStr">
        <is>
          <t>ﻭﺯﺍﺭﺓﺍﻟﺸﺌﻭﻥ ﺍﻻﺴﻼﻤﻴﺓﻭﺍﻻﻭﻗﺎﻑ .</t>
        </is>
      </c>
      <c r="B1277" t="inlineStr">
        <is>
          <t>KFM2020660007885</t>
        </is>
      </c>
      <c r="C1277" t="inlineStr">
        <is>
          <t>الرياض</t>
        </is>
      </c>
      <c r="D1277" t="inlineStr">
        <is>
          <t>كلا الفترتين</t>
        </is>
      </c>
      <c r="E1277" t="n">
        <v>2090</v>
      </c>
      <c r="F1277" t="b">
        <v>1</v>
      </c>
      <c r="G1277">
        <f>HYPERLINK("https://www.google.com/maps/search/?api=1&amp;query=24.55621171,46.51615519", "View Map")</f>
        <v/>
      </c>
    </row>
    <row r="1278">
      <c r="A1278" t="inlineStr">
        <is>
          <t>ﻤﺴﺎﺠﺩ .</t>
        </is>
      </c>
      <c r="B1278" t="inlineStr">
        <is>
          <t>KFM2020660211250</t>
        </is>
      </c>
      <c r="C1278" t="inlineStr">
        <is>
          <t>الرياض</t>
        </is>
      </c>
      <c r="D1278" t="inlineStr">
        <is>
          <t>كلا الفترتين</t>
        </is>
      </c>
      <c r="E1278" t="n">
        <v>2089</v>
      </c>
      <c r="F1278" t="b">
        <v>1</v>
      </c>
      <c r="G1278">
        <f>HYPERLINK("https://www.google.com/maps/search/?api=1&amp;query=24.6058,46.5139", "View Map")</f>
        <v/>
      </c>
    </row>
    <row r="1279">
      <c r="A1279" t="inlineStr">
        <is>
          <t xml:space="preserve">   مسجد حي النهضه .</t>
        </is>
      </c>
      <c r="B1279" t="inlineStr">
        <is>
          <t>KFM2020660019398</t>
        </is>
      </c>
      <c r="C1279" t="inlineStr">
        <is>
          <t>الرياض</t>
        </is>
      </c>
      <c r="D1279" t="inlineStr">
        <is>
          <t>كلا الفترتين</t>
        </is>
      </c>
      <c r="E1279" t="n">
        <v>2085</v>
      </c>
      <c r="F1279" t="b">
        <v>1</v>
      </c>
      <c r="G1279">
        <f>HYPERLINK("https://www.google.com/maps/search/?api=1&amp;query=24.75402241,46.8084702", "View Map")</f>
        <v/>
      </c>
    </row>
    <row r="1280">
      <c r="A1280" t="inlineStr">
        <is>
          <t xml:space="preserve">   مسجد ابراهيم القريشي .</t>
        </is>
      </c>
      <c r="B1280" t="inlineStr">
        <is>
          <t>KFM2020660057999</t>
        </is>
      </c>
      <c r="C1280" t="inlineStr">
        <is>
          <t>الرياض</t>
        </is>
      </c>
      <c r="D1280" t="inlineStr">
        <is>
          <t>كلا الفترتين</t>
        </is>
      </c>
      <c r="E1280" t="n">
        <v>2085</v>
      </c>
      <c r="F1280" t="b">
        <v>0</v>
      </c>
      <c r="G1280">
        <f>HYPERLINK("https://www.google.com/maps/search/?api=1&amp;query=24.78202877,46.76196356", "View Map")</f>
        <v/>
      </c>
    </row>
    <row r="1281">
      <c r="A1281" t="inlineStr">
        <is>
          <t>مسجدالسناني .</t>
        </is>
      </c>
      <c r="B1281" t="inlineStr">
        <is>
          <t>KFM2020660175016</t>
        </is>
      </c>
      <c r="C1281" t="inlineStr">
        <is>
          <t>الرياض</t>
        </is>
      </c>
      <c r="D1281" t="inlineStr">
        <is>
          <t>كلا الفترتين</t>
        </is>
      </c>
      <c r="E1281" t="n">
        <v>2084</v>
      </c>
      <c r="F1281" t="b">
        <v>0</v>
      </c>
      <c r="G1281">
        <f>HYPERLINK("https://www.google.com/maps/search/?api=1&amp;query=24.4879257,46.6221174", "View Map")</f>
        <v/>
      </c>
    </row>
    <row r="1282">
      <c r="A1282" t="inlineStr">
        <is>
          <t>ﻤﺴﺎﺠﺩ .</t>
        </is>
      </c>
      <c r="B1282" t="inlineStr">
        <is>
          <t>KFM2120660300619</t>
        </is>
      </c>
      <c r="C1282" t="inlineStr">
        <is>
          <t>الرياض</t>
        </is>
      </c>
      <c r="D1282" t="inlineStr">
        <is>
          <t>كلا الفترتين</t>
        </is>
      </c>
      <c r="E1282" t="n">
        <v>2083</v>
      </c>
      <c r="F1282" t="b">
        <v>1</v>
      </c>
      <c r="G1282">
        <f>HYPERLINK("https://www.google.com/maps/search/?api=1&amp;query=24.58815505,46.78042521", "View Map")</f>
        <v/>
      </c>
    </row>
    <row r="1283">
      <c r="A1283" t="inlineStr">
        <is>
          <t xml:space="preserve">   مسجد سليمان البدر .</t>
        </is>
      </c>
      <c r="B1283" t="inlineStr">
        <is>
          <t>KFM2020660025452</t>
        </is>
      </c>
      <c r="C1283" t="inlineStr">
        <is>
          <t>الرياض</t>
        </is>
      </c>
      <c r="D1283" t="inlineStr">
        <is>
          <t>كلا الفترتين</t>
        </is>
      </c>
      <c r="E1283" t="n">
        <v>2083</v>
      </c>
      <c r="F1283" t="b">
        <v>0</v>
      </c>
      <c r="G1283">
        <f>HYPERLINK("https://www.google.com/maps/search/?api=1&amp;query=24.77770008,46.82086736", "View Map")</f>
        <v/>
      </c>
    </row>
    <row r="1284">
      <c r="A1284" t="inlineStr">
        <is>
          <t>ﻭﺯﺍﺭﺓﺍﻟﺸﺌﻭﻥ ﺍﻻﺴﻼﻤﻴﺓﻭﺍﻻﻭﻗﺎﻑ .</t>
        </is>
      </c>
      <c r="B1284" t="inlineStr">
        <is>
          <t>KFM2020660196836</t>
        </is>
      </c>
      <c r="C1284" t="inlineStr">
        <is>
          <t>الرياض</t>
        </is>
      </c>
      <c r="D1284" t="inlineStr">
        <is>
          <t>كلا الفترتين</t>
        </is>
      </c>
      <c r="E1284" t="n">
        <v>2081</v>
      </c>
      <c r="F1284" t="b">
        <v>1</v>
      </c>
      <c r="G1284">
        <f>HYPERLINK("https://www.google.com/maps/search/?api=1&amp;query=24.57384886,46.71337917", "View Map")</f>
        <v/>
      </c>
    </row>
    <row r="1285">
      <c r="A1285" t="inlineStr">
        <is>
          <t xml:space="preserve">   وزارةالشئون الاسلامية و الاوقاف .</t>
        </is>
      </c>
      <c r="B1285" t="inlineStr">
        <is>
          <t>KFM2020660210873</t>
        </is>
      </c>
      <c r="C1285" t="inlineStr">
        <is>
          <t>الرياض</t>
        </is>
      </c>
      <c r="D1285" t="inlineStr">
        <is>
          <t>كلا الفترتين</t>
        </is>
      </c>
      <c r="E1285" t="n">
        <v>2078</v>
      </c>
      <c r="F1285" t="b">
        <v>0</v>
      </c>
      <c r="G1285">
        <f>HYPERLINK("https://www.google.com/maps/search/?api=1&amp;query=24.66503208,46.72114448", "View Map")</f>
        <v/>
      </c>
    </row>
    <row r="1286">
      <c r="A1286" t="inlineStr">
        <is>
          <t xml:space="preserve">   مسجدمنصور .</t>
        </is>
      </c>
      <c r="B1286" t="inlineStr">
        <is>
          <t>KFM2120660303778</t>
        </is>
      </c>
      <c r="C1286" t="inlineStr">
        <is>
          <t>الرياض</t>
        </is>
      </c>
      <c r="D1286" t="inlineStr">
        <is>
          <t>كلا الفترتين</t>
        </is>
      </c>
      <c r="E1286" t="n">
        <v>2078</v>
      </c>
      <c r="F1286" t="b">
        <v>1</v>
      </c>
      <c r="G1286">
        <f>HYPERLINK("https://www.google.com/maps/search/?api=1&amp;query=24.63417627,46.71832189", "View Map")</f>
        <v/>
      </c>
    </row>
    <row r="1287">
      <c r="A1287" t="inlineStr">
        <is>
          <t>مسجد ظهره  النميلات .</t>
        </is>
      </c>
      <c r="B1287" t="inlineStr">
        <is>
          <t>KFM2020660022966</t>
        </is>
      </c>
      <c r="C1287" t="inlineStr">
        <is>
          <t>الرياض</t>
        </is>
      </c>
      <c r="D1287" t="inlineStr">
        <is>
          <t>كلا الفترتين</t>
        </is>
      </c>
      <c r="E1287" t="n">
        <v>2077</v>
      </c>
      <c r="F1287" t="b">
        <v>0</v>
      </c>
      <c r="G1287">
        <f>HYPERLINK("https://www.google.com/maps/search/?api=1&amp;query=24.56869511,46.69673166", "View Map")</f>
        <v/>
      </c>
    </row>
    <row r="1288">
      <c r="A1288" t="inlineStr">
        <is>
          <t xml:space="preserve">   مسجد / بدرابراهيم السعيدان .</t>
        </is>
      </c>
      <c r="B1288" t="inlineStr">
        <is>
          <t>KFM2020660043500</t>
        </is>
      </c>
      <c r="C1288" t="inlineStr">
        <is>
          <t>الرياض</t>
        </is>
      </c>
      <c r="D1288" t="inlineStr">
        <is>
          <t>كلا الفترتين</t>
        </is>
      </c>
      <c r="E1288" t="n">
        <v>2075</v>
      </c>
      <c r="F1288" t="b">
        <v>1</v>
      </c>
      <c r="G1288">
        <f>HYPERLINK("https://www.google.com/maps/search/?api=1&amp;query=24.74173517,46.65476912", "View Map")</f>
        <v/>
      </c>
    </row>
    <row r="1289">
      <c r="A1289" t="inlineStr">
        <is>
          <t xml:space="preserve">   مسجد ابي بكر الصديق .</t>
        </is>
      </c>
      <c r="B1289" t="inlineStr">
        <is>
          <t>KFM2120660281979</t>
        </is>
      </c>
      <c r="C1289" t="inlineStr">
        <is>
          <t>الرياض</t>
        </is>
      </c>
      <c r="D1289" t="inlineStr">
        <is>
          <t>كلا الفترتين</t>
        </is>
      </c>
      <c r="E1289" t="n">
        <v>2074</v>
      </c>
      <c r="F1289" t="b">
        <v>1</v>
      </c>
      <c r="G1289">
        <f>HYPERLINK("https://www.google.com/maps/search/?api=1&amp;query=24.57107711,46.85112133", "View Map")</f>
        <v/>
      </c>
    </row>
    <row r="1290">
      <c r="A1290" t="inlineStr">
        <is>
          <t xml:space="preserve">   مسجد البدر .</t>
        </is>
      </c>
      <c r="B1290" t="inlineStr">
        <is>
          <t>KFM2020660231213</t>
        </is>
      </c>
      <c r="C1290" t="inlineStr">
        <is>
          <t>الرياض</t>
        </is>
      </c>
      <c r="D1290" t="inlineStr">
        <is>
          <t>كلا الفترتين</t>
        </is>
      </c>
      <c r="E1290" t="n">
        <v>2073</v>
      </c>
      <c r="F1290" t="b">
        <v>0</v>
      </c>
      <c r="G1290">
        <f>HYPERLINK("https://www.google.com/maps/search/?api=1&amp;query=24.71718451,46.77474608", "View Map")</f>
        <v/>
      </c>
    </row>
    <row r="1291">
      <c r="A1291" t="inlineStr">
        <is>
          <t xml:space="preserve">   مسجد حي الخليج .</t>
        </is>
      </c>
      <c r="B1291" t="inlineStr">
        <is>
          <t>KFM2020660190937</t>
        </is>
      </c>
      <c r="C1291" t="inlineStr">
        <is>
          <t>الرياض</t>
        </is>
      </c>
      <c r="D1291" t="inlineStr">
        <is>
          <t>كلا الفترتين</t>
        </is>
      </c>
      <c r="E1291" t="n">
        <v>2072</v>
      </c>
      <c r="F1291" t="b">
        <v>1</v>
      </c>
      <c r="G1291">
        <f>HYPERLINK("https://www.google.com/maps/search/?api=1&amp;query=24.77706843,46.78446967", "View Map")</f>
        <v/>
      </c>
    </row>
    <row r="1292">
      <c r="A1292" t="inlineStr">
        <is>
          <t>ﻭﺯﺍﺭﺓﺍﻟﺸﺌﻭﻥ ﺍﻻﺴﻼﻤﻴﺓﻭﺍﻻﻭﻗﺎﻑ .</t>
        </is>
      </c>
      <c r="B1292" t="inlineStr">
        <is>
          <t>KFM2020660198310</t>
        </is>
      </c>
      <c r="C1292" t="inlineStr">
        <is>
          <t>الرياض</t>
        </is>
      </c>
      <c r="D1292" t="inlineStr">
        <is>
          <t>كلا الفترتين</t>
        </is>
      </c>
      <c r="E1292" t="n">
        <v>2071</v>
      </c>
      <c r="F1292" t="b">
        <v>1</v>
      </c>
      <c r="G1292">
        <f>HYPERLINK("https://www.google.com/maps/search/?api=1&amp;query=24.61499848,46.65565514", "View Map")</f>
        <v/>
      </c>
    </row>
    <row r="1293">
      <c r="A1293" t="inlineStr">
        <is>
          <t xml:space="preserve">   مسجد سليمان الحمالي-بحي الياسمين .</t>
        </is>
      </c>
      <c r="B1293" t="inlineStr">
        <is>
          <t>KFM2020660213600</t>
        </is>
      </c>
      <c r="C1293" t="inlineStr">
        <is>
          <t>الرياض</t>
        </is>
      </c>
      <c r="D1293" t="inlineStr">
        <is>
          <t>كلا الفترتين</t>
        </is>
      </c>
      <c r="E1293" t="n">
        <v>2071</v>
      </c>
      <c r="F1293" t="b">
        <v>0</v>
      </c>
      <c r="G1293">
        <f>HYPERLINK("https://www.google.com/maps/search/?api=1&amp;query=24.63814052,46.55946536", "View Map")</f>
        <v/>
      </c>
    </row>
    <row r="1294">
      <c r="A1294" t="inlineStr">
        <is>
          <t>مسجد اسامة  سعد احمد آل  سليمان .</t>
        </is>
      </c>
      <c r="B1294" t="inlineStr">
        <is>
          <t>KFM2020660198382</t>
        </is>
      </c>
      <c r="C1294" t="inlineStr">
        <is>
          <t>الرياض</t>
        </is>
      </c>
      <c r="D1294" t="inlineStr">
        <is>
          <t>كلا الفترتين</t>
        </is>
      </c>
      <c r="E1294" t="n">
        <v>2071</v>
      </c>
      <c r="F1294" t="b">
        <v>1</v>
      </c>
      <c r="G1294">
        <f>HYPERLINK("https://www.google.com/maps/search/?api=1&amp;query=24.53179082,46.68905157", "View Map")</f>
        <v/>
      </c>
    </row>
    <row r="1295">
      <c r="A1295" t="inlineStr">
        <is>
          <t xml:space="preserve">   مسجد حي الروابي .</t>
        </is>
      </c>
      <c r="B1295" t="inlineStr">
        <is>
          <t>KFM2020660193640</t>
        </is>
      </c>
      <c r="C1295" t="inlineStr">
        <is>
          <t>الرياض</t>
        </is>
      </c>
      <c r="D1295" t="inlineStr">
        <is>
          <t>كلا الفترتين</t>
        </is>
      </c>
      <c r="E1295" t="n">
        <v>2069</v>
      </c>
      <c r="F1295" t="b">
        <v>0</v>
      </c>
      <c r="G1295">
        <f>HYPERLINK("https://www.google.com/maps/search/?api=1&amp;query=24.68816397,46.79045601", "View Map")</f>
        <v/>
      </c>
    </row>
    <row r="1296">
      <c r="A1296" t="inlineStr">
        <is>
          <t xml:space="preserve">   مسجد ابراهيم سعد العريفي .</t>
        </is>
      </c>
      <c r="B1296" t="inlineStr">
        <is>
          <t>KFM2120660304926</t>
        </is>
      </c>
      <c r="C1296" t="inlineStr">
        <is>
          <t>الرياض</t>
        </is>
      </c>
      <c r="D1296" t="inlineStr">
        <is>
          <t>كلا الفترتين</t>
        </is>
      </c>
      <c r="E1296" t="n">
        <v>2069</v>
      </c>
      <c r="F1296" t="b">
        <v>0</v>
      </c>
      <c r="G1296">
        <f>HYPERLINK("https://www.google.com/maps/search/?api=1&amp;query=24.59681291,46.75703064", "View Map")</f>
        <v/>
      </c>
    </row>
    <row r="1297">
      <c r="A1297" t="inlineStr">
        <is>
          <t xml:space="preserve">   وزارةالشئون الاسلاميه/ مسجد السلي .</t>
        </is>
      </c>
      <c r="B1297" t="inlineStr">
        <is>
          <t>KFM2120660262284</t>
        </is>
      </c>
      <c r="C1297" t="inlineStr">
        <is>
          <t>الرياض</t>
        </is>
      </c>
      <c r="D1297" t="inlineStr">
        <is>
          <t>كلا الفترتين</t>
        </is>
      </c>
      <c r="E1297" t="n">
        <v>2068</v>
      </c>
      <c r="F1297" t="b">
        <v>1</v>
      </c>
      <c r="G1297">
        <f>HYPERLINK("https://www.google.com/maps/search/?api=1&amp;query=24.66087039,46.82038991", "View Map")</f>
        <v/>
      </c>
    </row>
    <row r="1298">
      <c r="A1298" t="inlineStr">
        <is>
          <t>مسجد بن زرقان .</t>
        </is>
      </c>
      <c r="B1298" t="inlineStr">
        <is>
          <t>KFM2020660203975</t>
        </is>
      </c>
      <c r="C1298" t="inlineStr">
        <is>
          <t>الرياض</t>
        </is>
      </c>
      <c r="D1298" t="inlineStr">
        <is>
          <t>كلا الفترتين</t>
        </is>
      </c>
      <c r="E1298" t="n">
        <v>2067</v>
      </c>
      <c r="F1298" t="b">
        <v>1</v>
      </c>
      <c r="G1298">
        <f>HYPERLINK("https://www.google.com/maps/search/?api=1&amp;query=24.58563855,46.65142248", "View Map")</f>
        <v/>
      </c>
    </row>
    <row r="1299">
      <c r="A1299" t="inlineStr">
        <is>
          <t xml:space="preserve">   مسجد الأندلس .</t>
        </is>
      </c>
      <c r="B1299" t="inlineStr">
        <is>
          <t>KFM2020660167852</t>
        </is>
      </c>
      <c r="C1299" t="inlineStr">
        <is>
          <t>الرياض</t>
        </is>
      </c>
      <c r="D1299" t="inlineStr">
        <is>
          <t>كلا الفترتين</t>
        </is>
      </c>
      <c r="E1299" t="n">
        <v>2067</v>
      </c>
      <c r="F1299" t="b">
        <v>0</v>
      </c>
      <c r="G1299">
        <f>HYPERLINK("https://www.google.com/maps/search/?api=1&amp;query=24.74237798,46.77347398", "View Map")</f>
        <v/>
      </c>
    </row>
    <row r="1300">
      <c r="A1300" t="inlineStr">
        <is>
          <t xml:space="preserve">   مسجد خنشليله .</t>
        </is>
      </c>
      <c r="B1300" t="inlineStr">
        <is>
          <t>KFM2020660035828</t>
        </is>
      </c>
      <c r="C1300" t="inlineStr">
        <is>
          <t>الرياض</t>
        </is>
      </c>
      <c r="D1300" t="inlineStr">
        <is>
          <t>كلا الفترتين</t>
        </is>
      </c>
      <c r="E1300" t="n">
        <v>2066</v>
      </c>
      <c r="F1300" t="b">
        <v>0</v>
      </c>
      <c r="G1300">
        <f>HYPERLINK("https://www.google.com/maps/search/?api=1&amp;query=24.62143437,46.7524683", "View Map")</f>
        <v/>
      </c>
    </row>
    <row r="1301">
      <c r="A1301" t="inlineStr">
        <is>
          <t>وزارة  الشؤون الا سلا مية مسجدالبليش .</t>
        </is>
      </c>
      <c r="B1301" t="inlineStr">
        <is>
          <t>KFM2020660051366</t>
        </is>
      </c>
      <c r="C1301" t="inlineStr">
        <is>
          <t>الرياض</t>
        </is>
      </c>
      <c r="D1301" t="inlineStr">
        <is>
          <t>كلا الفترتين</t>
        </is>
      </c>
      <c r="E1301" t="n">
        <v>2063</v>
      </c>
      <c r="F1301" t="b">
        <v>0</v>
      </c>
      <c r="G1301">
        <f>HYPERLINK("https://www.google.com/maps/search/?api=1&amp;query=24.59204651,46.59561194", "View Map")</f>
        <v/>
      </c>
    </row>
    <row r="1302">
      <c r="A1302" t="inlineStr">
        <is>
          <t>مسجد الاميرة  سارة بنت  عبدالله  الفي .</t>
        </is>
      </c>
      <c r="B1302" t="inlineStr">
        <is>
          <t>KFM2020660203979</t>
        </is>
      </c>
      <c r="C1302" t="inlineStr">
        <is>
          <t>الرياض</t>
        </is>
      </c>
      <c r="D1302" t="inlineStr">
        <is>
          <t>كلا الفترتين</t>
        </is>
      </c>
      <c r="E1302" t="n">
        <v>2061</v>
      </c>
      <c r="F1302" t="b">
        <v>0</v>
      </c>
      <c r="G1302">
        <f>HYPERLINK("https://www.google.com/maps/search/?api=1&amp;query=24.55460023,46.70358808", "View Map")</f>
        <v/>
      </c>
    </row>
    <row r="1303">
      <c r="A1303" t="inlineStr">
        <is>
          <t>ﻤﺴﺎﺠﺩ .</t>
        </is>
      </c>
      <c r="B1303" t="inlineStr">
        <is>
          <t>SMR2320661024287</t>
        </is>
      </c>
      <c r="C1303" t="inlineStr">
        <is>
          <t>الرياض</t>
        </is>
      </c>
      <c r="D1303" t="inlineStr">
        <is>
          <t>كلا الفترتين</t>
        </is>
      </c>
      <c r="E1303" t="n">
        <v>2060</v>
      </c>
      <c r="F1303" t="b">
        <v>1</v>
      </c>
      <c r="G1303">
        <f>HYPERLINK("https://www.google.com/maps/search/?api=1&amp;query=0.0,0.0", "View Map")</f>
        <v/>
      </c>
    </row>
    <row r="1304">
      <c r="A1304" t="inlineStr">
        <is>
          <t xml:space="preserve">   مسجد حسين أبوسل .</t>
        </is>
      </c>
      <c r="B1304" t="inlineStr">
        <is>
          <t>KFM2020660037535</t>
        </is>
      </c>
      <c r="C1304" t="inlineStr">
        <is>
          <t>الرياض</t>
        </is>
      </c>
      <c r="D1304" t="inlineStr">
        <is>
          <t>كلا الفترتين</t>
        </is>
      </c>
      <c r="E1304" t="n">
        <v>2059</v>
      </c>
      <c r="F1304" t="b">
        <v>0</v>
      </c>
      <c r="G1304">
        <f>HYPERLINK("https://www.google.com/maps/search/?api=1&amp;query=24.78094902,46.74120913", "View Map")</f>
        <v/>
      </c>
    </row>
    <row r="1305">
      <c r="A1305" t="inlineStr">
        <is>
          <t>مسجد      جامع      حي بدر .</t>
        </is>
      </c>
      <c r="B1305" t="inlineStr">
        <is>
          <t>KFM2020660208162</t>
        </is>
      </c>
      <c r="C1305" t="inlineStr">
        <is>
          <t>الرياض</t>
        </is>
      </c>
      <c r="D1305" t="inlineStr">
        <is>
          <t>كلا الفترتين</t>
        </is>
      </c>
      <c r="E1305" t="n">
        <v>2059</v>
      </c>
      <c r="F1305" t="b">
        <v>1</v>
      </c>
      <c r="G1305">
        <f>HYPERLINK("https://www.google.com/maps/search/?api=1&amp;query=24.54254289,46.70998253", "View Map")</f>
        <v/>
      </c>
    </row>
    <row r="1306">
      <c r="A1306" t="inlineStr">
        <is>
          <t xml:space="preserve">   مسجدسليمان الحماد .</t>
        </is>
      </c>
      <c r="B1306" t="inlineStr">
        <is>
          <t>KFM2020660211464</t>
        </is>
      </c>
      <c r="C1306" t="inlineStr">
        <is>
          <t>الرياض</t>
        </is>
      </c>
      <c r="D1306" t="inlineStr">
        <is>
          <t>كلا الفترتين</t>
        </is>
      </c>
      <c r="E1306" t="n">
        <v>2059</v>
      </c>
      <c r="F1306" t="b">
        <v>0</v>
      </c>
      <c r="G1306">
        <f>HYPERLINK("https://www.google.com/maps/search/?api=1&amp;query=24.79850266,46.7028813", "View Map")</f>
        <v/>
      </c>
    </row>
    <row r="1307">
      <c r="A1307" t="inlineStr">
        <is>
          <t xml:space="preserve">   وزارة الشئون الاسلامية والاوقاف .</t>
        </is>
      </c>
      <c r="B1307" t="inlineStr">
        <is>
          <t>KFM2020660211457</t>
        </is>
      </c>
      <c r="C1307" t="inlineStr">
        <is>
          <t>الرياض</t>
        </is>
      </c>
      <c r="D1307" t="inlineStr">
        <is>
          <t>كلا الفترتين</t>
        </is>
      </c>
      <c r="E1307" t="n">
        <v>2058</v>
      </c>
      <c r="F1307" t="b">
        <v>1</v>
      </c>
      <c r="G1307">
        <f>HYPERLINK("https://www.google.com/maps/search/?api=1&amp;query=24.77894893,46.67866674", "View Map")</f>
        <v/>
      </c>
    </row>
    <row r="1308">
      <c r="A1308" t="inlineStr">
        <is>
          <t>مساجد .</t>
        </is>
      </c>
      <c r="B1308" t="inlineStr">
        <is>
          <t>KFM2020660212074</t>
        </is>
      </c>
      <c r="C1308" t="inlineStr">
        <is>
          <t>الرياض</t>
        </is>
      </c>
      <c r="D1308" t="inlineStr">
        <is>
          <t>كلا الفترتين</t>
        </is>
      </c>
      <c r="E1308" t="n">
        <v>2056</v>
      </c>
      <c r="F1308" t="b">
        <v>1</v>
      </c>
      <c r="G1308">
        <f>HYPERLINK("https://www.google.com/maps/search/?api=1&amp;query=24.80736,46.60096", "View Map")</f>
        <v/>
      </c>
    </row>
    <row r="1309">
      <c r="A1309" t="inlineStr">
        <is>
          <t>.   /  مسجد جنوب  عتيقة .</t>
        </is>
      </c>
      <c r="B1309" t="inlineStr">
        <is>
          <t>KFM2020660168521</t>
        </is>
      </c>
      <c r="C1309" t="inlineStr">
        <is>
          <t>الرياض</t>
        </is>
      </c>
      <c r="D1309" t="inlineStr">
        <is>
          <t>كلا الفترتين</t>
        </is>
      </c>
      <c r="E1309" t="n">
        <v>2055</v>
      </c>
      <c r="F1309" t="b">
        <v>1</v>
      </c>
      <c r="G1309">
        <f>HYPERLINK("https://www.google.com/maps/search/?api=1&amp;query=24.59739254,46.70651971", "View Map")</f>
        <v/>
      </c>
    </row>
    <row r="1310">
      <c r="A1310" t="inlineStr">
        <is>
          <t>ﻭﺯﺍﺭﺓﺍﻟﺸﺌﻭﻥ ﺍﻻﺴﻼﻤﻴﺓﻭﺍﻻﻭﻗﺎﻑ .</t>
        </is>
      </c>
      <c r="B1310" t="inlineStr">
        <is>
          <t>SMR2220661000219</t>
        </is>
      </c>
      <c r="C1310" t="inlineStr">
        <is>
          <t>الرياض</t>
        </is>
      </c>
      <c r="D1310" t="inlineStr">
        <is>
          <t>كلا الفترتين</t>
        </is>
      </c>
      <c r="E1310" t="n">
        <v>2054</v>
      </c>
      <c r="F1310" t="b">
        <v>0</v>
      </c>
      <c r="G1310">
        <f>HYPERLINK("https://www.google.com/maps/search/?api=1&amp;query=24.55363955,46.6674507", "View Map")</f>
        <v/>
      </c>
    </row>
    <row r="1311">
      <c r="A1311" t="inlineStr">
        <is>
          <t>ﻤﺴﺎﺠﺩ .</t>
        </is>
      </c>
      <c r="B1311" t="inlineStr">
        <is>
          <t>KFM2020660056826</t>
        </is>
      </c>
      <c r="C1311" t="inlineStr">
        <is>
          <t>الرياض</t>
        </is>
      </c>
      <c r="D1311" t="inlineStr">
        <is>
          <t>كلا الفترتين</t>
        </is>
      </c>
      <c r="E1311" t="n">
        <v>2051</v>
      </c>
      <c r="F1311" t="b">
        <v>1</v>
      </c>
      <c r="G1311">
        <f>HYPERLINK("https://www.google.com/maps/search/?api=1&amp;query=24.74511633,46.75445286", "View Map")</f>
        <v/>
      </c>
    </row>
    <row r="1312">
      <c r="A1312" t="inlineStr">
        <is>
          <t>مسجد عمر بن الخطاب .</t>
        </is>
      </c>
      <c r="B1312" t="inlineStr">
        <is>
          <t>KFM2020660200655</t>
        </is>
      </c>
      <c r="C1312" t="inlineStr">
        <is>
          <t>الرياض</t>
        </is>
      </c>
      <c r="D1312" t="inlineStr">
        <is>
          <t>كلا الفترتين</t>
        </is>
      </c>
      <c r="E1312" t="n">
        <v>2051</v>
      </c>
      <c r="F1312" t="b">
        <v>0</v>
      </c>
      <c r="G1312">
        <f>HYPERLINK("https://www.google.com/maps/search/?api=1&amp;query=24.6036851,46.62268977", "View Map")</f>
        <v/>
      </c>
    </row>
    <row r="1313">
      <c r="A1313" t="inlineStr">
        <is>
          <t>ﻭﺯﺍﺭﺓﺍﻟﺸﺌﻭﻥ ﺍﻻﺴﻼﻤﻴﺓﻭﺍﻻﻭﻗﺎﻑ .</t>
        </is>
      </c>
      <c r="B1313" t="inlineStr">
        <is>
          <t>KFM2120660303312</t>
        </is>
      </c>
      <c r="C1313" t="inlineStr">
        <is>
          <t>الرياض</t>
        </is>
      </c>
      <c r="D1313" t="inlineStr">
        <is>
          <t>كلا الفترتين</t>
        </is>
      </c>
      <c r="E1313" t="n">
        <v>2050</v>
      </c>
      <c r="F1313" t="b">
        <v>1</v>
      </c>
      <c r="G1313">
        <f>HYPERLINK("https://www.google.com/maps/search/?api=1&amp;query=24.5475,46.5019", "View Map")</f>
        <v/>
      </c>
    </row>
    <row r="1314">
      <c r="A1314" t="inlineStr">
        <is>
          <t xml:space="preserve">   مسجد وسكن المونسيه .</t>
        </is>
      </c>
      <c r="B1314" t="inlineStr">
        <is>
          <t>KFM2020660175834</t>
        </is>
      </c>
      <c r="C1314" t="inlineStr">
        <is>
          <t>الرياض</t>
        </is>
      </c>
      <c r="D1314" t="inlineStr">
        <is>
          <t>كلا الفترتين</t>
        </is>
      </c>
      <c r="E1314" t="n">
        <v>2049</v>
      </c>
      <c r="F1314" t="b">
        <v>0</v>
      </c>
      <c r="G1314">
        <f>HYPERLINK("https://www.google.com/maps/search/?api=1&amp;query=24.8254419,46.78413116", "View Map")</f>
        <v/>
      </c>
    </row>
    <row r="1315">
      <c r="A1315" t="inlineStr">
        <is>
          <t>مسجد      المرحوم  / محمد السلامة .</t>
        </is>
      </c>
      <c r="B1315" t="inlineStr">
        <is>
          <t>KFM2020660174923</t>
        </is>
      </c>
      <c r="C1315" t="inlineStr">
        <is>
          <t>الرياض</t>
        </is>
      </c>
      <c r="D1315" t="inlineStr">
        <is>
          <t>كلا الفترتين</t>
        </is>
      </c>
      <c r="E1315" t="n">
        <v>2048</v>
      </c>
      <c r="F1315" t="b">
        <v>0</v>
      </c>
      <c r="G1315">
        <f>HYPERLINK("https://www.google.com/maps/search/?api=1&amp;query=24.52691935,46.70987795", "View Map")</f>
        <v/>
      </c>
    </row>
    <row r="1316">
      <c r="A1316" t="inlineStr">
        <is>
          <t>ﻤﺴﺎﺠﺩ .</t>
        </is>
      </c>
      <c r="B1316" t="inlineStr">
        <is>
          <t>KFM2020660201420</t>
        </is>
      </c>
      <c r="C1316" t="inlineStr">
        <is>
          <t>الرياض</t>
        </is>
      </c>
      <c r="D1316" t="inlineStr">
        <is>
          <t>كلا الفترتين</t>
        </is>
      </c>
      <c r="E1316" t="n">
        <v>2048</v>
      </c>
      <c r="F1316" t="b">
        <v>0</v>
      </c>
      <c r="G1316">
        <f>HYPERLINK("https://www.google.com/maps/search/?api=1&amp;query=24.6867,46.585", "View Map")</f>
        <v/>
      </c>
    </row>
    <row r="1317">
      <c r="A1317" t="inlineStr">
        <is>
          <t xml:space="preserve">   المسجد التابع للوزارة .</t>
        </is>
      </c>
      <c r="B1317" t="inlineStr">
        <is>
          <t>SMR2220761002196</t>
        </is>
      </c>
      <c r="C1317" t="inlineStr">
        <is>
          <t>الرياض</t>
        </is>
      </c>
      <c r="D1317" t="inlineStr">
        <is>
          <t>كلا الفترتين</t>
        </is>
      </c>
      <c r="E1317" t="n">
        <v>2048</v>
      </c>
      <c r="F1317" t="b">
        <v>1</v>
      </c>
      <c r="G1317">
        <f>HYPERLINK("https://www.google.com/maps/search/?api=1&amp;query=24.71750582,46.66675272", "View Map")</f>
        <v/>
      </c>
    </row>
    <row r="1318">
      <c r="A1318" t="inlineStr">
        <is>
          <t>ﻤﺴﺎﺠﺩ .</t>
        </is>
      </c>
      <c r="B1318" t="inlineStr">
        <is>
          <t>AEC2020830326381</t>
        </is>
      </c>
      <c r="C1318" t="inlineStr">
        <is>
          <t>الرياض</t>
        </is>
      </c>
      <c r="D1318" t="inlineStr">
        <is>
          <t>كلا الفترتين</t>
        </is>
      </c>
      <c r="E1318" t="n">
        <v>2046</v>
      </c>
      <c r="F1318" t="b">
        <v>0</v>
      </c>
      <c r="G1318">
        <f>HYPERLINK("https://www.google.com/maps/search/?api=1&amp;query=24.64422334,46.71817887", "View Map")</f>
        <v/>
      </c>
    </row>
    <row r="1319">
      <c r="A1319" t="inlineStr">
        <is>
          <t>ﻤﺴﺎﺠﺩ .</t>
        </is>
      </c>
      <c r="B1319" t="inlineStr">
        <is>
          <t>KFM2020660192926</t>
        </is>
      </c>
      <c r="C1319" t="inlineStr">
        <is>
          <t>الرياض</t>
        </is>
      </c>
      <c r="D1319" t="inlineStr">
        <is>
          <t>كلا الفترتين</t>
        </is>
      </c>
      <c r="E1319" t="n">
        <v>2044</v>
      </c>
      <c r="F1319" t="b">
        <v>1</v>
      </c>
      <c r="G1319">
        <f>HYPERLINK("https://www.google.com/maps/search/?api=1&amp;query=24.92570141,46.81880472", "View Map")</f>
        <v/>
      </c>
    </row>
    <row r="1320">
      <c r="A1320" t="inlineStr">
        <is>
          <t xml:space="preserve">   مسجد وسكن المونسيه .</t>
        </is>
      </c>
      <c r="B1320" t="inlineStr">
        <is>
          <t>MMF2020800188552</t>
        </is>
      </c>
      <c r="C1320" t="inlineStr">
        <is>
          <t>الرياض</t>
        </is>
      </c>
      <c r="D1320" t="inlineStr">
        <is>
          <t>كلا الفترتين</t>
        </is>
      </c>
      <c r="E1320" t="n">
        <v>2043</v>
      </c>
      <c r="F1320" t="b">
        <v>0</v>
      </c>
      <c r="G1320">
        <f>HYPERLINK("https://www.google.com/maps/search/?api=1&amp;query=24.82515323,46.78374478", "View Map")</f>
        <v/>
      </c>
    </row>
    <row r="1321">
      <c r="A1321" t="inlineStr">
        <is>
          <t>مسجد صلاح  الدين .</t>
        </is>
      </c>
      <c r="B1321" t="inlineStr">
        <is>
          <t>KFM2020660171719</t>
        </is>
      </c>
      <c r="C1321" t="inlineStr">
        <is>
          <t>الرياض</t>
        </is>
      </c>
      <c r="D1321" t="inlineStr">
        <is>
          <t>كلا الفترتين</t>
        </is>
      </c>
      <c r="E1321" t="n">
        <v>2042</v>
      </c>
      <c r="F1321" t="b">
        <v>0</v>
      </c>
      <c r="G1321">
        <f>HYPERLINK("https://www.google.com/maps/search/?api=1&amp;query=24.5399917,46.64682424", "View Map")</f>
        <v/>
      </c>
    </row>
    <row r="1322">
      <c r="A1322" t="inlineStr">
        <is>
          <t xml:space="preserve">   وزارة الشؤون الاسلاميه والاوقاف .</t>
        </is>
      </c>
      <c r="B1322" t="inlineStr">
        <is>
          <t>KFM2020660187586</t>
        </is>
      </c>
      <c r="C1322" t="inlineStr">
        <is>
          <t>الرياض</t>
        </is>
      </c>
      <c r="D1322" t="inlineStr">
        <is>
          <t>كلا الفترتين</t>
        </is>
      </c>
      <c r="E1322" t="n">
        <v>2042</v>
      </c>
      <c r="F1322" t="b">
        <v>0</v>
      </c>
      <c r="G1322">
        <f>HYPERLINK("https://www.google.com/maps/search/?api=1&amp;query=24.80180841,46.60646104", "View Map")</f>
        <v/>
      </c>
    </row>
    <row r="1323">
      <c r="A1323" t="inlineStr">
        <is>
          <t xml:space="preserve">   مساجد .</t>
        </is>
      </c>
      <c r="B1323" t="inlineStr">
        <is>
          <t>KFM2020660178206</t>
        </is>
      </c>
      <c r="C1323" t="inlineStr">
        <is>
          <t>الرياض</t>
        </is>
      </c>
      <c r="D1323" t="inlineStr">
        <is>
          <t>كلا الفترتين</t>
        </is>
      </c>
      <c r="E1323" t="n">
        <v>2041</v>
      </c>
      <c r="F1323" t="b">
        <v>1</v>
      </c>
      <c r="G1323">
        <f>HYPERLINK("https://www.google.com/maps/search/?api=1&amp;query=24.8235384,46.83610754", "View Map")</f>
        <v/>
      </c>
    </row>
    <row r="1324">
      <c r="A1324" t="inlineStr">
        <is>
          <t xml:space="preserve">   وزارةالشؤن لاسلاميه/مسجدظافرالطوق .</t>
        </is>
      </c>
      <c r="B1324" t="inlineStr">
        <is>
          <t>KFM2120660299061</t>
        </is>
      </c>
      <c r="C1324" t="inlineStr">
        <is>
          <t>الرياض</t>
        </is>
      </c>
      <c r="D1324" t="inlineStr">
        <is>
          <t>كلا الفترتين</t>
        </is>
      </c>
      <c r="E1324" t="n">
        <v>2041</v>
      </c>
      <c r="F1324" t="b">
        <v>0</v>
      </c>
      <c r="G1324">
        <f>HYPERLINK("https://www.google.com/maps/search/?api=1&amp;query=24.58240149,46.76198493", "View Map")</f>
        <v/>
      </c>
    </row>
    <row r="1325">
      <c r="A1325" t="inlineStr">
        <is>
          <t xml:space="preserve">   مسجد نورة بنت مطلق .</t>
        </is>
      </c>
      <c r="B1325" t="inlineStr">
        <is>
          <t>KFM2020660042181</t>
        </is>
      </c>
      <c r="C1325" t="inlineStr">
        <is>
          <t>الرياض</t>
        </is>
      </c>
      <c r="D1325" t="inlineStr">
        <is>
          <t>كلا الفترتين</t>
        </is>
      </c>
      <c r="E1325" t="n">
        <v>2041</v>
      </c>
      <c r="F1325" t="b">
        <v>0</v>
      </c>
      <c r="G1325">
        <f>HYPERLINK("https://www.google.com/maps/search/?api=1&amp;query=24.71843199,46.85317115", "View Map")</f>
        <v/>
      </c>
    </row>
    <row r="1326">
      <c r="A1326" t="inlineStr">
        <is>
          <t xml:space="preserve">   مسجد التويم .</t>
        </is>
      </c>
      <c r="B1326" t="inlineStr">
        <is>
          <t>KFM2020660004067</t>
        </is>
      </c>
      <c r="C1326" t="inlineStr">
        <is>
          <t>الرياض</t>
        </is>
      </c>
      <c r="D1326" t="inlineStr">
        <is>
          <t>كلا الفترتين</t>
        </is>
      </c>
      <c r="E1326" t="n">
        <v>2038</v>
      </c>
      <c r="F1326" t="b">
        <v>0</v>
      </c>
      <c r="G1326">
        <f>HYPERLINK("https://www.google.com/maps/search/?api=1&amp;query=24.80583006,46.73878878", "View Map")</f>
        <v/>
      </c>
    </row>
    <row r="1327">
      <c r="A1327" t="inlineStr">
        <is>
          <t>ﻤﺴﺎﺠﺩ .</t>
        </is>
      </c>
      <c r="B1327" t="inlineStr">
        <is>
          <t>KFM2020660192906</t>
        </is>
      </c>
      <c r="C1327" t="inlineStr">
        <is>
          <t>الرياض</t>
        </is>
      </c>
      <c r="D1327" t="inlineStr">
        <is>
          <t>كلا الفترتين</t>
        </is>
      </c>
      <c r="E1327" t="n">
        <v>2038</v>
      </c>
      <c r="F1327" t="b">
        <v>1</v>
      </c>
      <c r="G1327">
        <f>HYPERLINK("https://www.google.com/maps/search/?api=1&amp;query=24.84402774,46.82158765", "View Map")</f>
        <v/>
      </c>
    </row>
    <row r="1328">
      <c r="A1328" t="inlineStr">
        <is>
          <t xml:space="preserve">   مسجد الشهري .</t>
        </is>
      </c>
      <c r="B1328" t="inlineStr">
        <is>
          <t>KFM2020660061569</t>
        </is>
      </c>
      <c r="C1328" t="inlineStr">
        <is>
          <t>الرياض</t>
        </is>
      </c>
      <c r="D1328" t="inlineStr">
        <is>
          <t>كلا الفترتين</t>
        </is>
      </c>
      <c r="E1328" t="n">
        <v>2037</v>
      </c>
      <c r="F1328" t="b">
        <v>0</v>
      </c>
      <c r="G1328">
        <f>HYPERLINK("https://www.google.com/maps/search/?api=1&amp;query=24.7594251,46.77266034", "View Map")</f>
        <v/>
      </c>
    </row>
    <row r="1329">
      <c r="A1329" t="inlineStr">
        <is>
          <t>مسجد راشد محمد بن دايل .</t>
        </is>
      </c>
      <c r="B1329" t="inlineStr">
        <is>
          <t>KFM2020760091913</t>
        </is>
      </c>
      <c r="C1329" t="inlineStr">
        <is>
          <t>الرياض</t>
        </is>
      </c>
      <c r="D1329" t="inlineStr">
        <is>
          <t>كلا الفترتين</t>
        </is>
      </c>
      <c r="E1329" t="n">
        <v>2036</v>
      </c>
      <c r="F1329" t="b">
        <v>1</v>
      </c>
      <c r="G1329">
        <f>HYPERLINK("https://www.google.com/maps/search/?api=1&amp;query=24.56236108,46.74887174", "View Map")</f>
        <v/>
      </c>
    </row>
    <row r="1330">
      <c r="A1330" t="inlineStr">
        <is>
          <t>ﻭﺯﺍﺭﺓﺍﻟﺸﺌﻭﻥ ﺍﻻﺴﻼﻤﻴﺓﻭﺍﻻﻭﻗﺎﻑ .</t>
        </is>
      </c>
      <c r="B1330" t="inlineStr">
        <is>
          <t>KFM2020660007890</t>
        </is>
      </c>
      <c r="C1330" t="inlineStr">
        <is>
          <t>الرياض</t>
        </is>
      </c>
      <c r="D1330" t="inlineStr">
        <is>
          <t>كلا الفترتين</t>
        </is>
      </c>
      <c r="E1330" t="n">
        <v>2036</v>
      </c>
      <c r="F1330" t="b">
        <v>1</v>
      </c>
      <c r="G1330">
        <f>HYPERLINK("https://www.google.com/maps/search/?api=1&amp;query=24.55866422,46.51565287", "View Map")</f>
        <v/>
      </c>
    </row>
    <row r="1331">
      <c r="A1331" t="inlineStr">
        <is>
          <t xml:space="preserve">    مسجدصالح الصانع .</t>
        </is>
      </c>
      <c r="B1331" t="inlineStr">
        <is>
          <t>KFM2020660058041</t>
        </is>
      </c>
      <c r="C1331" t="inlineStr">
        <is>
          <t>الرياض</t>
        </is>
      </c>
      <c r="D1331" t="inlineStr">
        <is>
          <t>كلا الفترتين</t>
        </is>
      </c>
      <c r="E1331" t="n">
        <v>2031</v>
      </c>
      <c r="F1331" t="b">
        <v>0</v>
      </c>
      <c r="G1331">
        <f>HYPERLINK("https://www.google.com/maps/search/?api=1&amp;query=24.78220565,46.75037573", "View Map")</f>
        <v/>
      </c>
    </row>
    <row r="1332">
      <c r="A1332" t="inlineStr">
        <is>
          <t xml:space="preserve">   مسجد الخليج الشرقي .</t>
        </is>
      </c>
      <c r="B1332" t="inlineStr">
        <is>
          <t>KFM2020660190953</t>
        </is>
      </c>
      <c r="C1332" t="inlineStr">
        <is>
          <t>الرياض</t>
        </is>
      </c>
      <c r="D1332" t="inlineStr">
        <is>
          <t>كلا الفترتين</t>
        </is>
      </c>
      <c r="E1332" t="n">
        <v>2030</v>
      </c>
      <c r="F1332" t="b">
        <v>0</v>
      </c>
      <c r="G1332">
        <f>HYPERLINK("https://www.google.com/maps/search/?api=1&amp;query=24.78314284,46.8099122", "View Map")</f>
        <v/>
      </c>
    </row>
    <row r="1333">
      <c r="A1333" t="inlineStr">
        <is>
          <t xml:space="preserve">   مسجد الامير احمد بن عبدالعزيز .</t>
        </is>
      </c>
      <c r="B1333" t="inlineStr">
        <is>
          <t>KFM2020660173645</t>
        </is>
      </c>
      <c r="C1333" t="inlineStr">
        <is>
          <t>الرياض</t>
        </is>
      </c>
      <c r="D1333" t="inlineStr">
        <is>
          <t>كلا الفترتين</t>
        </is>
      </c>
      <c r="E1333" t="n">
        <v>2030</v>
      </c>
      <c r="F1333" t="b">
        <v>0</v>
      </c>
      <c r="G1333">
        <f>HYPERLINK("https://www.google.com/maps/search/?api=1&amp;query=24.67887008,46.68110562", "View Map")</f>
        <v/>
      </c>
    </row>
    <row r="1334">
      <c r="A1334" t="inlineStr">
        <is>
          <t>مساجد .</t>
        </is>
      </c>
      <c r="B1334" t="inlineStr">
        <is>
          <t>KFM2120660264426</t>
        </is>
      </c>
      <c r="C1334" t="inlineStr">
        <is>
          <t>الدرعية</t>
        </is>
      </c>
      <c r="D1334" t="inlineStr">
        <is>
          <t>كلا الفترتين</t>
        </is>
      </c>
      <c r="E1334" t="n">
        <v>2028</v>
      </c>
      <c r="F1334" t="b">
        <v>0</v>
      </c>
      <c r="G1334">
        <f>HYPERLINK("https://www.google.com/maps/search/?api=1&amp;query=24.74604704,46.53269361", "View Map")</f>
        <v/>
      </c>
    </row>
    <row r="1335">
      <c r="A1335" t="inlineStr">
        <is>
          <t xml:space="preserve">   وزارة الشئون الاسلامية والاوقاف .</t>
        </is>
      </c>
      <c r="B1335" t="inlineStr">
        <is>
          <t>KFM2020660202293</t>
        </is>
      </c>
      <c r="C1335" t="inlineStr">
        <is>
          <t>الرياض</t>
        </is>
      </c>
      <c r="D1335" t="inlineStr">
        <is>
          <t>كلا الفترتين</t>
        </is>
      </c>
      <c r="E1335" t="n">
        <v>2028</v>
      </c>
      <c r="F1335" t="b">
        <v>0</v>
      </c>
      <c r="G1335">
        <f>HYPERLINK("https://www.google.com/maps/search/?api=1&amp;query=24.64442634,46.55545005", "View Map")</f>
        <v/>
      </c>
    </row>
    <row r="1336">
      <c r="A1336" t="inlineStr">
        <is>
          <t xml:space="preserve">   مسجد حي المنصورة .</t>
        </is>
      </c>
      <c r="B1336" t="inlineStr">
        <is>
          <t>KFM2120660253613</t>
        </is>
      </c>
      <c r="C1336" t="inlineStr">
        <is>
          <t>الرياض</t>
        </is>
      </c>
      <c r="D1336" t="inlineStr">
        <is>
          <t>كلا الفترتين</t>
        </is>
      </c>
      <c r="E1336" t="n">
        <v>2027</v>
      </c>
      <c r="F1336" t="b">
        <v>1</v>
      </c>
      <c r="G1336">
        <f>HYPERLINK("https://www.google.com/maps/search/?api=1&amp;query=24.61662277,46.75131974", "View Map")</f>
        <v/>
      </c>
    </row>
    <row r="1337">
      <c r="A1337" t="inlineStr">
        <is>
          <t xml:space="preserve">   مسحد الشيخ فريان .</t>
        </is>
      </c>
      <c r="B1337" t="inlineStr">
        <is>
          <t>KFM2020660211482</t>
        </is>
      </c>
      <c r="C1337" t="inlineStr">
        <is>
          <t>الرياض</t>
        </is>
      </c>
      <c r="D1337" t="inlineStr">
        <is>
          <t>كلا الفترتين</t>
        </is>
      </c>
      <c r="E1337" t="n">
        <v>2027</v>
      </c>
      <c r="F1337" t="b">
        <v>0</v>
      </c>
      <c r="G1337">
        <f>HYPERLINK("https://www.google.com/maps/search/?api=1&amp;query=24.7996065,46.63834561", "View Map")</f>
        <v/>
      </c>
    </row>
    <row r="1338">
      <c r="A1338" t="inlineStr">
        <is>
          <t xml:space="preserve">   وزارة الشئون الاسلاميه مسجد النخيل .</t>
        </is>
      </c>
      <c r="B1338" t="inlineStr">
        <is>
          <t>KFM2020660019708</t>
        </is>
      </c>
      <c r="C1338" t="inlineStr">
        <is>
          <t>الرياض</t>
        </is>
      </c>
      <c r="D1338" t="inlineStr">
        <is>
          <t>كلا الفترتين</t>
        </is>
      </c>
      <c r="E1338" t="n">
        <v>2024</v>
      </c>
      <c r="F1338" t="b">
        <v>1</v>
      </c>
      <c r="G1338">
        <f>HYPERLINK("https://www.google.com/maps/search/?api=1&amp;query=24.75260202,46.63650499", "View Map")</f>
        <v/>
      </c>
    </row>
    <row r="1339">
      <c r="A1339" t="inlineStr">
        <is>
          <t xml:space="preserve">    مسجد حي المشاعل .</t>
        </is>
      </c>
      <c r="B1339" t="inlineStr">
        <is>
          <t>KFM2020660047807</t>
        </is>
      </c>
      <c r="C1339" t="inlineStr">
        <is>
          <t>الرياض</t>
        </is>
      </c>
      <c r="D1339" t="inlineStr">
        <is>
          <t>كلا الفترتين</t>
        </is>
      </c>
      <c r="E1339" t="n">
        <v>2023</v>
      </c>
      <c r="F1339" t="b">
        <v>0</v>
      </c>
      <c r="G1339">
        <f>HYPERLINK("https://www.google.com/maps/search/?api=1&amp;query=24.63458264,46.8494493", "View Map")</f>
        <v/>
      </c>
    </row>
    <row r="1340">
      <c r="A1340" t="inlineStr">
        <is>
          <t>جامع ابي  هريره .</t>
        </is>
      </c>
      <c r="B1340" t="inlineStr">
        <is>
          <t>KFM2020660202669</t>
        </is>
      </c>
      <c r="C1340" t="inlineStr">
        <is>
          <t>الرياض</t>
        </is>
      </c>
      <c r="D1340" t="inlineStr">
        <is>
          <t>كلا الفترتين</t>
        </is>
      </c>
      <c r="E1340" t="n">
        <v>2023</v>
      </c>
      <c r="F1340" t="b">
        <v>1</v>
      </c>
      <c r="G1340">
        <f>HYPERLINK("https://www.google.com/maps/search/?api=1&amp;query=24.61632806,46.64672449", "View Map")</f>
        <v/>
      </c>
    </row>
    <row r="1341">
      <c r="A1341" t="inlineStr">
        <is>
          <t xml:space="preserve">   مسجد حى المرسـلات .</t>
        </is>
      </c>
      <c r="B1341" t="inlineStr">
        <is>
          <t>KFM2020660174127</t>
        </is>
      </c>
      <c r="C1341" t="inlineStr">
        <is>
          <t>الرياض</t>
        </is>
      </c>
      <c r="D1341" t="inlineStr">
        <is>
          <t>كلا الفترتين</t>
        </is>
      </c>
      <c r="E1341" t="n">
        <v>2023</v>
      </c>
      <c r="F1341" t="b">
        <v>0</v>
      </c>
      <c r="G1341">
        <f>HYPERLINK("https://www.google.com/maps/search/?api=1&amp;query=24.7523324,46.67966672", "View Map")</f>
        <v/>
      </c>
    </row>
    <row r="1342">
      <c r="A1342" t="inlineStr">
        <is>
          <t xml:space="preserve">   مسجد حي الربيع وسكن الامام والمؤذ .</t>
        </is>
      </c>
      <c r="B1342" t="inlineStr">
        <is>
          <t>KFM2120660264381</t>
        </is>
      </c>
      <c r="C1342" t="inlineStr">
        <is>
          <t>الرياض</t>
        </is>
      </c>
      <c r="D1342" t="inlineStr">
        <is>
          <t>كلا الفترتين</t>
        </is>
      </c>
      <c r="E1342" t="n">
        <v>2021</v>
      </c>
      <c r="F1342" t="b">
        <v>1</v>
      </c>
      <c r="G1342">
        <f>HYPERLINK("https://www.google.com/maps/search/?api=1&amp;query=24.78295897,46.64679276", "View Map")</f>
        <v/>
      </c>
    </row>
    <row r="1343">
      <c r="A1343" t="inlineStr">
        <is>
          <t xml:space="preserve">   مدرسة تحفيظ قران /عبدالله الذياب .</t>
        </is>
      </c>
      <c r="B1343" t="inlineStr">
        <is>
          <t>KFM2120660249327</t>
        </is>
      </c>
      <c r="C1343" t="inlineStr">
        <is>
          <t>الرياض</t>
        </is>
      </c>
      <c r="D1343" t="inlineStr">
        <is>
          <t>كلا الفترتين</t>
        </is>
      </c>
      <c r="E1343" t="n">
        <v>2021</v>
      </c>
      <c r="F1343" t="b">
        <v>1</v>
      </c>
      <c r="G1343">
        <f>HYPERLINK("https://www.google.com/maps/search/?api=1&amp;query=24.65905346,46.80447859", "View Map")</f>
        <v/>
      </c>
    </row>
    <row r="1344">
      <c r="A1344" t="inlineStr">
        <is>
          <t>ﻤﺴﺎﺠﺩ .</t>
        </is>
      </c>
      <c r="B1344" t="inlineStr">
        <is>
          <t>SMR2320661022843</t>
        </is>
      </c>
      <c r="C1344" t="inlineStr">
        <is>
          <t>الرياض</t>
        </is>
      </c>
      <c r="D1344" t="inlineStr">
        <is>
          <t>كلا الفترتين</t>
        </is>
      </c>
      <c r="E1344" t="n">
        <v>2020</v>
      </c>
      <c r="F1344" t="b">
        <v>0</v>
      </c>
      <c r="G1344">
        <f>HYPERLINK("https://www.google.com/maps/search/?api=1&amp;query=24.63015591,46.74005455", "View Map")</f>
        <v/>
      </c>
    </row>
    <row r="1345">
      <c r="A1345" t="inlineStr">
        <is>
          <t>المسجد الموقت بالدخل  المحدود .</t>
        </is>
      </c>
      <c r="B1345" t="inlineStr">
        <is>
          <t>KFM2020660199001</t>
        </is>
      </c>
      <c r="C1345" t="inlineStr">
        <is>
          <t>الرياض</t>
        </is>
      </c>
      <c r="D1345" t="inlineStr">
        <is>
          <t>كلا الفترتين</t>
        </is>
      </c>
      <c r="E1345" t="n">
        <v>2019</v>
      </c>
      <c r="F1345" t="b">
        <v>0</v>
      </c>
      <c r="G1345">
        <f>HYPERLINK("https://www.google.com/maps/search/?api=1&amp;query=24.58980793,46.61252699", "View Map")</f>
        <v/>
      </c>
    </row>
    <row r="1346">
      <c r="A1346" t="inlineStr">
        <is>
          <t xml:space="preserve">   مسجدحي الربيع ومرافقه .</t>
        </is>
      </c>
      <c r="B1346" t="inlineStr">
        <is>
          <t>KFM2020660213581</t>
        </is>
      </c>
      <c r="C1346" t="inlineStr">
        <is>
          <t>الرياض</t>
        </is>
      </c>
      <c r="D1346" t="inlineStr">
        <is>
          <t>كلا الفترتين</t>
        </is>
      </c>
      <c r="E1346" t="n">
        <v>2018</v>
      </c>
      <c r="F1346" t="b">
        <v>1</v>
      </c>
      <c r="G1346">
        <f>HYPERLINK("https://www.google.com/maps/search/?api=1&amp;query=24.7972609,46.65974272", "View Map")</f>
        <v/>
      </c>
    </row>
    <row r="1347">
      <c r="A1347" t="inlineStr">
        <is>
          <t>ﻤﺴﺎﺠﺩ .</t>
        </is>
      </c>
      <c r="B1347" t="inlineStr">
        <is>
          <t>SMR2220661000002</t>
        </is>
      </c>
      <c r="C1347" t="inlineStr">
        <is>
          <t>الرياض</t>
        </is>
      </c>
      <c r="D1347" t="inlineStr">
        <is>
          <t>كلا الفترتين</t>
        </is>
      </c>
      <c r="E1347" t="n">
        <v>2017</v>
      </c>
      <c r="F1347" t="b">
        <v>1</v>
      </c>
      <c r="G1347">
        <f>HYPERLINK("https://www.google.com/maps/search/?api=1&amp;query=24.92525789,46.82341566", "View Map")</f>
        <v/>
      </c>
    </row>
    <row r="1348">
      <c r="A1348" t="inlineStr">
        <is>
          <t>ﻤﺴﺎﺠﺩ .</t>
        </is>
      </c>
      <c r="B1348" t="inlineStr">
        <is>
          <t>AEC2020830323453</t>
        </is>
      </c>
      <c r="C1348" t="inlineStr">
        <is>
          <t>الرياض</t>
        </is>
      </c>
      <c r="D1348" t="inlineStr">
        <is>
          <t>كلا الفترتين</t>
        </is>
      </c>
      <c r="E1348" t="n">
        <v>2012</v>
      </c>
      <c r="F1348" t="b">
        <v>1</v>
      </c>
      <c r="G1348">
        <f>HYPERLINK("https://www.google.com/maps/search/?api=1&amp;query=24.64422334,46.71817887", "View Map")</f>
        <v/>
      </c>
    </row>
    <row r="1349">
      <c r="A1349" t="inlineStr">
        <is>
          <t xml:space="preserve">   وزارة الشئون الاسلامية والاوقاف .</t>
        </is>
      </c>
      <c r="B1349" t="inlineStr">
        <is>
          <t>KFM2020660193039</t>
        </is>
      </c>
      <c r="C1349" t="inlineStr">
        <is>
          <t>الرياض</t>
        </is>
      </c>
      <c r="D1349" t="inlineStr">
        <is>
          <t>كلا الفترتين</t>
        </is>
      </c>
      <c r="E1349" t="n">
        <v>2012</v>
      </c>
      <c r="F1349" t="b">
        <v>1</v>
      </c>
      <c r="G1349">
        <f>HYPERLINK("https://www.google.com/maps/search/?api=1&amp;query=24.81006836,46.61501193", "View Map")</f>
        <v/>
      </c>
    </row>
    <row r="1350">
      <c r="A1350" t="inlineStr">
        <is>
          <t xml:space="preserve">   مساجد .</t>
        </is>
      </c>
      <c r="B1350" t="inlineStr">
        <is>
          <t>KFM2020660191044</t>
        </is>
      </c>
      <c r="C1350" t="inlineStr">
        <is>
          <t>الرياض</t>
        </is>
      </c>
      <c r="D1350" t="inlineStr">
        <is>
          <t>كلا الفترتين</t>
        </is>
      </c>
      <c r="E1350" t="n">
        <v>2010</v>
      </c>
      <c r="F1350" t="b">
        <v>1</v>
      </c>
      <c r="G1350">
        <f>HYPERLINK("https://www.google.com/maps/search/?api=1&amp;query=24.82020088,46.81169296", "View Map")</f>
        <v/>
      </c>
    </row>
    <row r="1351">
      <c r="A1351" t="inlineStr">
        <is>
          <t>.0 مسجد      ال  كريديس .</t>
        </is>
      </c>
      <c r="B1351" t="inlineStr">
        <is>
          <t>MMF2020800018598</t>
        </is>
      </c>
      <c r="C1351" t="inlineStr">
        <is>
          <t>الرياض</t>
        </is>
      </c>
      <c r="D1351" t="inlineStr">
        <is>
          <t>كلا الفترتين</t>
        </is>
      </c>
      <c r="E1351" t="n">
        <v>2010</v>
      </c>
      <c r="F1351" t="b">
        <v>1</v>
      </c>
      <c r="G1351">
        <f>HYPERLINK("https://www.google.com/maps/search/?api=1&amp;query=24.63808177,46.68976008", "View Map")</f>
        <v/>
      </c>
    </row>
    <row r="1352">
      <c r="A1352" t="inlineStr">
        <is>
          <t xml:space="preserve">   مسجد      جنوب      القدس .</t>
        </is>
      </c>
      <c r="B1352" t="inlineStr">
        <is>
          <t>KFM2020660057185</t>
        </is>
      </c>
      <c r="C1352" t="inlineStr">
        <is>
          <t>الرياض</t>
        </is>
      </c>
      <c r="D1352" t="inlineStr">
        <is>
          <t>كلا الفترتين</t>
        </is>
      </c>
      <c r="E1352" t="n">
        <v>2010</v>
      </c>
      <c r="F1352" t="b">
        <v>0</v>
      </c>
      <c r="G1352">
        <f>HYPERLINK("https://www.google.com/maps/search/?api=1&amp;query=24.73437324,46.75474847", "View Map")</f>
        <v/>
      </c>
    </row>
    <row r="1353">
      <c r="A1353" t="inlineStr">
        <is>
          <t xml:space="preserve">   مسجد حي الا ندلس .</t>
        </is>
      </c>
      <c r="B1353" t="inlineStr">
        <is>
          <t>KFM2020660054541</t>
        </is>
      </c>
      <c r="C1353" t="inlineStr">
        <is>
          <t>الرياض</t>
        </is>
      </c>
      <c r="D1353" t="inlineStr">
        <is>
          <t>كلا الفترتين</t>
        </is>
      </c>
      <c r="E1353" t="n">
        <v>2010</v>
      </c>
      <c r="F1353" t="b">
        <v>1</v>
      </c>
      <c r="G1353">
        <f>HYPERLINK("https://www.google.com/maps/search/?api=1&amp;query=24.74676686,46.77699915", "View Map")</f>
        <v/>
      </c>
    </row>
    <row r="1354">
      <c r="A1354" t="inlineStr">
        <is>
          <t xml:space="preserve">   مسجد المطيري .</t>
        </is>
      </c>
      <c r="B1354" t="inlineStr">
        <is>
          <t>KFM2020660060125</t>
        </is>
      </c>
      <c r="C1354" t="inlineStr">
        <is>
          <t>الرياض</t>
        </is>
      </c>
      <c r="D1354" t="inlineStr">
        <is>
          <t>كلا الفترتين</t>
        </is>
      </c>
      <c r="E1354" t="n">
        <v>2010</v>
      </c>
      <c r="F1354" t="b">
        <v>1</v>
      </c>
      <c r="G1354">
        <f>HYPERLINK("https://www.google.com/maps/search/?api=1&amp;query=24.818616,46.88765731", "View Map")</f>
        <v/>
      </c>
    </row>
    <row r="1355">
      <c r="A1355" t="inlineStr">
        <is>
          <t>ﻤﺴﺎﺠﺩ .</t>
        </is>
      </c>
      <c r="B1355" t="inlineStr">
        <is>
          <t>KFM2020660057463</t>
        </is>
      </c>
      <c r="C1355" t="inlineStr">
        <is>
          <t>الرياض</t>
        </is>
      </c>
      <c r="D1355" t="inlineStr">
        <is>
          <t>كلا الفترتين</t>
        </is>
      </c>
      <c r="E1355" t="n">
        <v>2009</v>
      </c>
      <c r="F1355" t="b">
        <v>0</v>
      </c>
      <c r="G1355">
        <f>HYPERLINK("https://www.google.com/maps/search/?api=1&amp;query=24.8132609,46.76532847", "View Map")</f>
        <v/>
      </c>
    </row>
    <row r="1356">
      <c r="A1356" t="inlineStr">
        <is>
          <t>مساجد .</t>
        </is>
      </c>
      <c r="B1356" t="inlineStr">
        <is>
          <t>KFM2020660050627</t>
        </is>
      </c>
      <c r="C1356" t="inlineStr">
        <is>
          <t>الرياض</t>
        </is>
      </c>
      <c r="D1356" t="inlineStr">
        <is>
          <t>كلا الفترتين</t>
        </is>
      </c>
      <c r="E1356" t="n">
        <v>2007</v>
      </c>
      <c r="F1356" t="b">
        <v>1</v>
      </c>
      <c r="G1356">
        <f>HYPERLINK("https://www.google.com/maps/search/?api=1&amp;query=24.68734844,46.56685804", "View Map")</f>
        <v/>
      </c>
    </row>
    <row r="1357">
      <c r="A1357" t="inlineStr">
        <is>
          <t>ﻭﺯﺍﺭﺓﺍﻟﺸﺌﻭﻥ ﺍﻻﺴﻼﻤﻴﺓﻭﺍﻻﻭﻗﺎﻑ .</t>
        </is>
      </c>
      <c r="B1357" t="inlineStr">
        <is>
          <t>SMR2220661018937</t>
        </is>
      </c>
      <c r="C1357" t="inlineStr">
        <is>
          <t>الرياض</t>
        </is>
      </c>
      <c r="D1357" t="inlineStr">
        <is>
          <t>كلا الفترتين</t>
        </is>
      </c>
      <c r="E1357" t="n">
        <v>2007</v>
      </c>
      <c r="F1357" t="b">
        <v>1</v>
      </c>
      <c r="G1357">
        <f>HYPERLINK("https://www.google.com/maps/search/?api=1&amp;query=24.55363955,46.6674507", "View Map")</f>
        <v/>
      </c>
    </row>
    <row r="1358">
      <c r="A1358" t="inlineStr">
        <is>
          <t xml:space="preserve">   مسجد حمزه الحمزه .</t>
        </is>
      </c>
      <c r="B1358" t="inlineStr">
        <is>
          <t>KFM2020660193505</t>
        </is>
      </c>
      <c r="C1358" t="inlineStr">
        <is>
          <t>الرياض</t>
        </is>
      </c>
      <c r="D1358" t="inlineStr">
        <is>
          <t>كلا الفترتين</t>
        </is>
      </c>
      <c r="E1358" t="n">
        <v>2003</v>
      </c>
      <c r="F1358" t="b">
        <v>1</v>
      </c>
      <c r="G1358">
        <f>HYPERLINK("https://www.google.com/maps/search/?api=1&amp;query=24.7181423,46.80661594", "View Map")</f>
        <v/>
      </c>
    </row>
    <row r="1359">
      <c r="A1359" t="inlineStr">
        <is>
          <t xml:space="preserve">   مسجدالرميزان .</t>
        </is>
      </c>
      <c r="B1359" t="inlineStr">
        <is>
          <t>KFM2120660257451</t>
        </is>
      </c>
      <c r="C1359" t="inlineStr">
        <is>
          <t>الرياض</t>
        </is>
      </c>
      <c r="D1359" t="inlineStr">
        <is>
          <t>كلا الفترتين</t>
        </is>
      </c>
      <c r="E1359" t="n">
        <v>2002</v>
      </c>
      <c r="F1359" t="b">
        <v>1</v>
      </c>
      <c r="G1359">
        <f>HYPERLINK("https://www.google.com/maps/search/?api=1&amp;query=24.76813,46.653602", "View Map")</f>
        <v/>
      </c>
    </row>
    <row r="1360">
      <c r="A1360" t="inlineStr">
        <is>
          <t>ﻤﺴﺎﺠﺩ .</t>
        </is>
      </c>
      <c r="B1360" t="inlineStr">
        <is>
          <t>KFM2020660190916</t>
        </is>
      </c>
      <c r="C1360" t="inlineStr">
        <is>
          <t>الرياض</t>
        </is>
      </c>
      <c r="D1360" t="inlineStr">
        <is>
          <t>كلا الفترتين</t>
        </is>
      </c>
      <c r="E1360" t="n">
        <v>2000</v>
      </c>
      <c r="F1360" t="b">
        <v>0</v>
      </c>
      <c r="G1360">
        <f>HYPERLINK("https://www.google.com/maps/search/?api=1&amp;query=24.73184565,46.85167442", "View Map")</f>
        <v/>
      </c>
    </row>
    <row r="1361">
      <c r="A1361" t="inlineStr">
        <is>
          <t xml:space="preserve">   مسجد      عبدالرحمن السكن .</t>
        </is>
      </c>
      <c r="B1361" t="inlineStr">
        <is>
          <t>KFM2020660053506</t>
        </is>
      </c>
      <c r="C1361" t="inlineStr">
        <is>
          <t>الرياض</t>
        </is>
      </c>
      <c r="D1361" t="inlineStr">
        <is>
          <t>كلا الفترتين</t>
        </is>
      </c>
      <c r="E1361" t="n">
        <v>1999</v>
      </c>
      <c r="F1361" t="b">
        <v>1</v>
      </c>
      <c r="G1361">
        <f>HYPERLINK("https://www.google.com/maps/search/?api=1&amp;query=24.81930483,46.79105116", "View Map")</f>
        <v/>
      </c>
    </row>
    <row r="1362">
      <c r="A1362" t="inlineStr">
        <is>
          <t>وزارة الشؤون الاسلامية والاوقاف-مسجد .</t>
        </is>
      </c>
      <c r="B1362" t="inlineStr">
        <is>
          <t>KFM2120660304160</t>
        </is>
      </c>
      <c r="C1362" t="inlineStr">
        <is>
          <t>الرياض</t>
        </is>
      </c>
      <c r="D1362" t="inlineStr">
        <is>
          <t>كلا الفترتين</t>
        </is>
      </c>
      <c r="E1362" t="n">
        <v>1998</v>
      </c>
      <c r="F1362" t="b">
        <v>1</v>
      </c>
      <c r="G1362">
        <f>HYPERLINK("https://www.google.com/maps/search/?api=1&amp;query=24.5976122,46.86700742", "View Map")</f>
        <v/>
      </c>
    </row>
    <row r="1363">
      <c r="A1363" t="inlineStr">
        <is>
          <t>مسجد زيد بن ثابت .</t>
        </is>
      </c>
      <c r="B1363" t="inlineStr">
        <is>
          <t>KFM2020660200399</t>
        </is>
      </c>
      <c r="C1363" t="inlineStr">
        <is>
          <t>الرياض</t>
        </is>
      </c>
      <c r="D1363" t="inlineStr">
        <is>
          <t>كلا الفترتين</t>
        </is>
      </c>
      <c r="E1363" t="n">
        <v>1996</v>
      </c>
      <c r="F1363" t="b">
        <v>0</v>
      </c>
      <c r="G1363">
        <f>HYPERLINK("https://www.google.com/maps/search/?api=1&amp;query=24.5489,46.7144", "View Map")</f>
        <v/>
      </c>
    </row>
    <row r="1364">
      <c r="A1364" t="inlineStr">
        <is>
          <t xml:space="preserve">   مسجد الهدا .</t>
        </is>
      </c>
      <c r="B1364" t="inlineStr">
        <is>
          <t>KFM2120660252433</t>
        </is>
      </c>
      <c r="C1364" t="inlineStr">
        <is>
          <t>الرياض</t>
        </is>
      </c>
      <c r="D1364" t="inlineStr">
        <is>
          <t>كلا الفترتين</t>
        </is>
      </c>
      <c r="E1364" t="n">
        <v>1994</v>
      </c>
      <c r="F1364" t="b">
        <v>1</v>
      </c>
      <c r="G1364">
        <f>HYPERLINK("https://www.google.com/maps/search/?api=1&amp;query=24.65926793,46.62618742", "View Map")</f>
        <v/>
      </c>
    </row>
    <row r="1365">
      <c r="A1365" t="inlineStr">
        <is>
          <t>مسجد بن عدوان .</t>
        </is>
      </c>
      <c r="B1365" t="inlineStr">
        <is>
          <t>KFM2020660136162</t>
        </is>
      </c>
      <c r="C1365" t="inlineStr">
        <is>
          <t>الرياض</t>
        </is>
      </c>
      <c r="D1365" t="inlineStr">
        <is>
          <t>كلا الفترتين</t>
        </is>
      </c>
      <c r="E1365" t="n">
        <v>1990</v>
      </c>
      <c r="F1365" t="b">
        <v>0</v>
      </c>
      <c r="G1365">
        <f>HYPERLINK("https://www.google.com/maps/search/?api=1&amp;query=24.606186,46.63687266", "View Map")</f>
        <v/>
      </c>
    </row>
    <row r="1366">
      <c r="A1366" t="inlineStr">
        <is>
          <t>وزارة الشئون الاسلامية والاوقاف .</t>
        </is>
      </c>
      <c r="B1366" t="inlineStr">
        <is>
          <t>KFM2020660193065</t>
        </is>
      </c>
      <c r="C1366" t="inlineStr">
        <is>
          <t>الرياض</t>
        </is>
      </c>
      <c r="D1366" t="inlineStr">
        <is>
          <t>كلا الفترتين</t>
        </is>
      </c>
      <c r="E1366" t="n">
        <v>1990</v>
      </c>
      <c r="F1366" t="b">
        <v>0</v>
      </c>
      <c r="G1366">
        <f>HYPERLINK("https://www.google.com/maps/search/?api=1&amp;query=24.7825397,46.61671202", "View Map")</f>
        <v/>
      </c>
    </row>
    <row r="1367">
      <c r="A1367" t="inlineStr">
        <is>
          <t>ﻤﺴﺎﺠﺩ .</t>
        </is>
      </c>
      <c r="B1367" t="inlineStr">
        <is>
          <t>KFM2120660283896</t>
        </is>
      </c>
      <c r="C1367" t="inlineStr">
        <is>
          <t>الرياض</t>
        </is>
      </c>
      <c r="D1367" t="inlineStr">
        <is>
          <t>كلا الفترتين</t>
        </is>
      </c>
      <c r="E1367" t="n">
        <v>1990</v>
      </c>
      <c r="F1367" t="b">
        <v>1</v>
      </c>
      <c r="G1367">
        <f>HYPERLINK("https://www.google.com/maps/search/?api=1&amp;query=24.55736,46.78215", "View Map")</f>
        <v/>
      </c>
    </row>
    <row r="1368">
      <c r="A1368" t="inlineStr">
        <is>
          <t>ﻤﺴﺎﺠﺩ .</t>
        </is>
      </c>
      <c r="B1368" t="inlineStr">
        <is>
          <t>KFM2020660190126</t>
        </is>
      </c>
      <c r="C1368" t="inlineStr">
        <is>
          <t>الرياض</t>
        </is>
      </c>
      <c r="D1368" t="inlineStr">
        <is>
          <t>كلا الفترتين</t>
        </is>
      </c>
      <c r="E1368" t="n">
        <v>1987</v>
      </c>
      <c r="F1368" t="b">
        <v>0</v>
      </c>
      <c r="G1368">
        <f>HYPERLINK("https://www.google.com/maps/search/?api=1&amp;query=24.84495221,46.81090646", "View Map")</f>
        <v/>
      </c>
    </row>
    <row r="1369">
      <c r="A1369" t="inlineStr">
        <is>
          <t>مسجد العريجاء .</t>
        </is>
      </c>
      <c r="B1369" t="inlineStr">
        <is>
          <t>KFM2020660171686</t>
        </is>
      </c>
      <c r="C1369" t="inlineStr">
        <is>
          <t>الرياض</t>
        </is>
      </c>
      <c r="D1369" t="inlineStr">
        <is>
          <t>كلا الفترتين</t>
        </is>
      </c>
      <c r="E1369" t="n">
        <v>1985</v>
      </c>
      <c r="F1369" t="b">
        <v>1</v>
      </c>
      <c r="G1369">
        <f>HYPERLINK("https://www.google.com/maps/search/?api=1&amp;query=24.57611727,46.57332223", "View Map")</f>
        <v/>
      </c>
    </row>
    <row r="1370">
      <c r="A1370" t="inlineStr">
        <is>
          <t>ﻤﺴﺎﺠﺩ .</t>
        </is>
      </c>
      <c r="B1370" t="inlineStr">
        <is>
          <t>KFM2020660211248</t>
        </is>
      </c>
      <c r="C1370" t="inlineStr">
        <is>
          <t>الرياض</t>
        </is>
      </c>
      <c r="D1370" t="inlineStr">
        <is>
          <t>كلا الفترتين</t>
        </is>
      </c>
      <c r="E1370" t="n">
        <v>1985</v>
      </c>
      <c r="F1370" t="b">
        <v>1</v>
      </c>
      <c r="G1370">
        <f>HYPERLINK("https://www.google.com/maps/search/?api=1&amp;query=24.61097928,46.50976842", "View Map")</f>
        <v/>
      </c>
    </row>
    <row r="1371">
      <c r="A1371" t="inlineStr">
        <is>
          <t xml:space="preserve">   مسجد العبيد .</t>
        </is>
      </c>
      <c r="B1371" t="inlineStr">
        <is>
          <t>KFM2020660127400</t>
        </is>
      </c>
      <c r="C1371" t="inlineStr">
        <is>
          <t>الرياض</t>
        </is>
      </c>
      <c r="D1371" t="inlineStr">
        <is>
          <t>كلا الفترتين</t>
        </is>
      </c>
      <c r="E1371" t="n">
        <v>1983</v>
      </c>
      <c r="F1371" t="b">
        <v>0</v>
      </c>
      <c r="G1371">
        <f>HYPERLINK("https://www.google.com/maps/search/?api=1&amp;query=24.81996525,46.61316953", "View Map")</f>
        <v/>
      </c>
    </row>
    <row r="1372">
      <c r="A1372" t="inlineStr">
        <is>
          <t xml:space="preserve">   مسجدعمربن عبدالعزيز .</t>
        </is>
      </c>
      <c r="B1372" t="inlineStr">
        <is>
          <t>KFM2120660247885</t>
        </is>
      </c>
      <c r="C1372" t="inlineStr">
        <is>
          <t>الرياض</t>
        </is>
      </c>
      <c r="D1372" t="inlineStr">
        <is>
          <t>كلا الفترتين</t>
        </is>
      </c>
      <c r="E1372" t="n">
        <v>1982</v>
      </c>
      <c r="F1372" t="b">
        <v>1</v>
      </c>
      <c r="G1372">
        <f>HYPERLINK("https://www.google.com/maps/search/?api=1&amp;query=24.61720633,46.76049055", "View Map")</f>
        <v/>
      </c>
    </row>
    <row r="1373">
      <c r="A1373" t="inlineStr">
        <is>
          <t xml:space="preserve">   مسجد حي غبيراء الجنوبي .</t>
        </is>
      </c>
      <c r="B1373" t="inlineStr">
        <is>
          <t>KFM2120660281634</t>
        </is>
      </c>
      <c r="C1373" t="inlineStr">
        <is>
          <t>الرياض</t>
        </is>
      </c>
      <c r="D1373" t="inlineStr">
        <is>
          <t>كلا الفترتين</t>
        </is>
      </c>
      <c r="E1373" t="n">
        <v>1982</v>
      </c>
      <c r="F1373" t="b">
        <v>1</v>
      </c>
      <c r="G1373">
        <f>HYPERLINK("https://www.google.com/maps/search/?api=1&amp;query=24.61781262,46.73282348", "View Map")</f>
        <v/>
      </c>
    </row>
    <row r="1374">
      <c r="A1374" t="inlineStr">
        <is>
          <t>ﻤﺴﺎﺠﺩ .</t>
        </is>
      </c>
      <c r="B1374" t="inlineStr">
        <is>
          <t>KFM2020660097430</t>
        </is>
      </c>
      <c r="C1374" t="inlineStr">
        <is>
          <t>الرياض</t>
        </is>
      </c>
      <c r="D1374" t="inlineStr">
        <is>
          <t>كلا الفترتين</t>
        </is>
      </c>
      <c r="E1374" t="n">
        <v>1981</v>
      </c>
      <c r="F1374" t="b">
        <v>0</v>
      </c>
      <c r="G1374">
        <f>HYPERLINK("https://www.google.com/maps/search/?api=1&amp;query=24.67955636,46.57896969", "View Map")</f>
        <v/>
      </c>
    </row>
    <row r="1375">
      <c r="A1375" t="inlineStr">
        <is>
          <t xml:space="preserve">   مسجد أم الحمام .</t>
        </is>
      </c>
      <c r="B1375" t="inlineStr">
        <is>
          <t>KFM2020660132407</t>
        </is>
      </c>
      <c r="C1375" t="inlineStr">
        <is>
          <t>الرياض</t>
        </is>
      </c>
      <c r="D1375" t="inlineStr">
        <is>
          <t>كلا الفترتين</t>
        </is>
      </c>
      <c r="E1375" t="n">
        <v>1978</v>
      </c>
      <c r="F1375" t="b">
        <v>0</v>
      </c>
      <c r="G1375">
        <f>HYPERLINK("https://www.google.com/maps/search/?api=1&amp;query=24.69615548,46.64198336", "View Map")</f>
        <v/>
      </c>
    </row>
    <row r="1376">
      <c r="A1376" t="inlineStr">
        <is>
          <t xml:space="preserve">   مسجد عبدالرحمن الخليفي .</t>
        </is>
      </c>
      <c r="B1376" t="inlineStr">
        <is>
          <t>KFM2120660260295</t>
        </is>
      </c>
      <c r="C1376" t="inlineStr">
        <is>
          <t>الرياض</t>
        </is>
      </c>
      <c r="D1376" t="inlineStr">
        <is>
          <t>كلا الفترتين</t>
        </is>
      </c>
      <c r="E1376" t="n">
        <v>1977</v>
      </c>
      <c r="F1376" t="b">
        <v>0</v>
      </c>
      <c r="G1376">
        <f>HYPERLINK("https://www.google.com/maps/search/?api=1&amp;query=24.67455336,46.85583367", "View Map")</f>
        <v/>
      </c>
    </row>
    <row r="1377">
      <c r="A1377" t="inlineStr">
        <is>
          <t xml:space="preserve">   أملاك الدولةلصالح الشئون الاسلامية .</t>
        </is>
      </c>
      <c r="B1377" t="inlineStr">
        <is>
          <t>KFM2020660031400</t>
        </is>
      </c>
      <c r="C1377" t="inlineStr">
        <is>
          <t>الرياض</t>
        </is>
      </c>
      <c r="D1377" t="inlineStr">
        <is>
          <t>صباحا</t>
        </is>
      </c>
      <c r="E1377" t="n">
        <v>1976</v>
      </c>
      <c r="F1377" t="b">
        <v>0</v>
      </c>
      <c r="G1377">
        <f>HYPERLINK("https://www.google.com/maps/search/?api=1&amp;query=24.70849299,46.63256692", "View Map")</f>
        <v/>
      </c>
    </row>
    <row r="1378">
      <c r="A1378" t="inlineStr">
        <is>
          <t xml:space="preserve">   مسجدالحسن بن على بن ابى طالب .</t>
        </is>
      </c>
      <c r="B1378" t="inlineStr">
        <is>
          <t>KFM2120660267476</t>
        </is>
      </c>
      <c r="C1378" t="inlineStr">
        <is>
          <t>الرياض</t>
        </is>
      </c>
      <c r="D1378" t="inlineStr">
        <is>
          <t>كلا الفترتين</t>
        </is>
      </c>
      <c r="E1378" t="n">
        <v>1974</v>
      </c>
      <c r="F1378" t="b">
        <v>1</v>
      </c>
      <c r="G1378">
        <f>HYPERLINK("https://www.google.com/maps/search/?api=1&amp;query=24.6030049,46.74012515", "View Map")</f>
        <v/>
      </c>
    </row>
    <row r="1379">
      <c r="A1379" t="inlineStr">
        <is>
          <t xml:space="preserve">   مسجد الامير سلطان بن عبد العزيز .</t>
        </is>
      </c>
      <c r="B1379" t="inlineStr">
        <is>
          <t>KFM2020660166585</t>
        </is>
      </c>
      <c r="C1379" t="inlineStr">
        <is>
          <t>الرياض</t>
        </is>
      </c>
      <c r="D1379" t="inlineStr">
        <is>
          <t>كلا الفترتين</t>
        </is>
      </c>
      <c r="E1379" t="n">
        <v>1971</v>
      </c>
      <c r="F1379" t="b">
        <v>1</v>
      </c>
      <c r="G1379">
        <f>HYPERLINK("https://www.google.com/maps/search/?api=1&amp;query=24.77233472,46.76407745", "View Map")</f>
        <v/>
      </c>
    </row>
    <row r="1380">
      <c r="A1380" t="inlineStr">
        <is>
          <t>ﻤﺴﺎﺠﺩ .</t>
        </is>
      </c>
      <c r="B1380" t="inlineStr">
        <is>
          <t>KFM2020660057961</t>
        </is>
      </c>
      <c r="C1380" t="inlineStr">
        <is>
          <t>الرياض</t>
        </is>
      </c>
      <c r="D1380" t="inlineStr">
        <is>
          <t>كلا الفترتين</t>
        </is>
      </c>
      <c r="E1380" t="n">
        <v>1971</v>
      </c>
      <c r="F1380" t="b">
        <v>0</v>
      </c>
      <c r="G1380">
        <f>HYPERLINK("https://www.google.com/maps/search/?api=1&amp;query=24.81007111,46.77214236", "View Map")</f>
        <v/>
      </c>
    </row>
    <row r="1381">
      <c r="A1381" t="inlineStr">
        <is>
          <t>ﻤﺴﺎﺠﺩ .</t>
        </is>
      </c>
      <c r="B1381" t="inlineStr">
        <is>
          <t>KFM2120660273712</t>
        </is>
      </c>
      <c r="C1381" t="inlineStr">
        <is>
          <t>الرياض</t>
        </is>
      </c>
      <c r="D1381" t="inlineStr">
        <is>
          <t>كلا الفترتين</t>
        </is>
      </c>
      <c r="E1381" t="n">
        <v>1970</v>
      </c>
      <c r="F1381" t="b">
        <v>1</v>
      </c>
      <c r="G1381">
        <f>HYPERLINK("https://www.google.com/maps/search/?api=1&amp;query=24.7251261,46.75134483", "View Map")</f>
        <v/>
      </c>
    </row>
    <row r="1382">
      <c r="A1382" t="inlineStr">
        <is>
          <t xml:space="preserve">   مسجد مهدي سيف ال سلطان .</t>
        </is>
      </c>
      <c r="B1382" t="inlineStr">
        <is>
          <t>KFM2120660300184</t>
        </is>
      </c>
      <c r="C1382" t="inlineStr">
        <is>
          <t>الرياض</t>
        </is>
      </c>
      <c r="D1382" t="inlineStr">
        <is>
          <t>كلا الفترتين</t>
        </is>
      </c>
      <c r="E1382" t="n">
        <v>1970</v>
      </c>
      <c r="F1382" t="b">
        <v>0</v>
      </c>
      <c r="G1382">
        <f>HYPERLINK("https://www.google.com/maps/search/?api=1&amp;query=24.81256081,46.75290913", "View Map")</f>
        <v/>
      </c>
    </row>
    <row r="1383">
      <c r="A1383" t="inlineStr">
        <is>
          <t xml:space="preserve">   مسجد اشبيليا .</t>
        </is>
      </c>
      <c r="B1383" t="inlineStr">
        <is>
          <t>KFM2020660040635</t>
        </is>
      </c>
      <c r="C1383" t="inlineStr">
        <is>
          <t>الرياض</t>
        </is>
      </c>
      <c r="D1383" t="inlineStr">
        <is>
          <t>كلا الفترتين</t>
        </is>
      </c>
      <c r="E1383" t="n">
        <v>1969</v>
      </c>
      <c r="F1383" t="b">
        <v>0</v>
      </c>
      <c r="G1383">
        <f>HYPERLINK("https://www.google.com/maps/search/?api=1&amp;query=24.78581512,46.78185771", "View Map")</f>
        <v/>
      </c>
    </row>
    <row r="1384">
      <c r="A1384" t="inlineStr">
        <is>
          <t xml:space="preserve">   مسجد فاطمه الفيروز .</t>
        </is>
      </c>
      <c r="B1384" t="inlineStr">
        <is>
          <t>KFM2020660011830</t>
        </is>
      </c>
      <c r="C1384" t="inlineStr">
        <is>
          <t>الرياض</t>
        </is>
      </c>
      <c r="D1384" t="inlineStr">
        <is>
          <t>كلا الفترتين</t>
        </is>
      </c>
      <c r="E1384" t="n">
        <v>1968</v>
      </c>
      <c r="F1384" t="b">
        <v>1</v>
      </c>
      <c r="G1384">
        <f>HYPERLINK("https://www.google.com/maps/search/?api=1&amp;query=24.74024189,46.81734478", "View Map")</f>
        <v/>
      </c>
    </row>
    <row r="1385">
      <c r="A1385" t="inlineStr">
        <is>
          <t xml:space="preserve">   جامع الامير/سعد بن تركي .</t>
        </is>
      </c>
      <c r="B1385" t="inlineStr">
        <is>
          <t>KFM2020660170637</t>
        </is>
      </c>
      <c r="C1385" t="inlineStr">
        <is>
          <t>الرياض</t>
        </is>
      </c>
      <c r="D1385" t="inlineStr">
        <is>
          <t>كلا الفترتين</t>
        </is>
      </c>
      <c r="E1385" t="n">
        <v>1968</v>
      </c>
      <c r="F1385" t="b">
        <v>1</v>
      </c>
      <c r="G1385">
        <f>HYPERLINK("https://www.google.com/maps/search/?api=1&amp;query=24.85381109,46.77516928", "View Map")</f>
        <v/>
      </c>
    </row>
    <row r="1386">
      <c r="A1386" t="inlineStr">
        <is>
          <t>ﻤﺴﺎﺠﺩ .</t>
        </is>
      </c>
      <c r="B1386" t="inlineStr">
        <is>
          <t>KFM2120660304564</t>
        </is>
      </c>
      <c r="C1386" t="inlineStr">
        <is>
          <t>الرياض</t>
        </is>
      </c>
      <c r="D1386" t="inlineStr">
        <is>
          <t>كلا الفترتين</t>
        </is>
      </c>
      <c r="E1386" t="n">
        <v>1968</v>
      </c>
      <c r="F1386" t="b">
        <v>0</v>
      </c>
      <c r="G1386">
        <f>HYPERLINK("https://www.google.com/maps/search/?api=1&amp;query=24.56421454,46.80790653", "View Map")</f>
        <v/>
      </c>
    </row>
    <row r="1387">
      <c r="A1387" t="inlineStr">
        <is>
          <t>مسجد سعد المالكى .</t>
        </is>
      </c>
      <c r="B1387" t="inlineStr">
        <is>
          <t>KFM2020660013610</t>
        </is>
      </c>
      <c r="C1387" t="inlineStr">
        <is>
          <t>الرياض</t>
        </is>
      </c>
      <c r="D1387" t="inlineStr">
        <is>
          <t>كلا الفترتين</t>
        </is>
      </c>
      <c r="E1387" t="n">
        <v>1967</v>
      </c>
      <c r="F1387" t="b">
        <v>1</v>
      </c>
      <c r="G1387">
        <f>HYPERLINK("https://www.google.com/maps/search/?api=1&amp;query=24.5630388,46.69254617", "View Map")</f>
        <v/>
      </c>
    </row>
    <row r="1388">
      <c r="A1388" t="inlineStr">
        <is>
          <t xml:space="preserve">   مسجد وزارةالشئون الاسلاميه والاوقاف .</t>
        </is>
      </c>
      <c r="B1388" t="inlineStr">
        <is>
          <t>KFM2120660304162</t>
        </is>
      </c>
      <c r="C1388" t="inlineStr">
        <is>
          <t>الرياض</t>
        </is>
      </c>
      <c r="D1388" t="inlineStr">
        <is>
          <t>كلا الفترتين</t>
        </is>
      </c>
      <c r="E1388" t="n">
        <v>1966</v>
      </c>
      <c r="F1388" t="b">
        <v>0</v>
      </c>
      <c r="G1388">
        <f>HYPERLINK("https://www.google.com/maps/search/?api=1&amp;query=24.59978954,46.74152664", "View Map")</f>
        <v/>
      </c>
    </row>
    <row r="1389">
      <c r="A1389" t="inlineStr">
        <is>
          <t xml:space="preserve">   مسجد سعد عبدالرحمن المزروع .</t>
        </is>
      </c>
      <c r="B1389" t="inlineStr">
        <is>
          <t>KFM2020660104391</t>
        </is>
      </c>
      <c r="C1389" t="inlineStr">
        <is>
          <t>الرياض</t>
        </is>
      </c>
      <c r="D1389" t="inlineStr">
        <is>
          <t>كلا الفترتين</t>
        </is>
      </c>
      <c r="E1389" t="n">
        <v>1966</v>
      </c>
      <c r="F1389" t="b">
        <v>1</v>
      </c>
      <c r="G1389">
        <f>HYPERLINK("https://www.google.com/maps/search/?api=1&amp;query=24.81886849,46.62444331", "View Map")</f>
        <v/>
      </c>
    </row>
    <row r="1390">
      <c r="A1390" t="inlineStr">
        <is>
          <t xml:space="preserve">   مسجد اسكان حي الجزيرة .</t>
        </is>
      </c>
      <c r="B1390" t="inlineStr">
        <is>
          <t>KFM2120660282017</t>
        </is>
      </c>
      <c r="C1390" t="inlineStr">
        <is>
          <t>الرياض</t>
        </is>
      </c>
      <c r="D1390" t="inlineStr">
        <is>
          <t>كلا الفترتين</t>
        </is>
      </c>
      <c r="E1390" t="n">
        <v>1965</v>
      </c>
      <c r="F1390" t="b">
        <v>1</v>
      </c>
      <c r="G1390">
        <f>HYPERLINK("https://www.google.com/maps/search/?api=1&amp;query=24.66404451,46.78965257", "View Map")</f>
        <v/>
      </c>
    </row>
    <row r="1391">
      <c r="A1391" t="inlineStr">
        <is>
          <t xml:space="preserve">   مسجد عبدالعزيز حي السلام .</t>
        </is>
      </c>
      <c r="B1391" t="inlineStr">
        <is>
          <t>KFM2020660036432</t>
        </is>
      </c>
      <c r="C1391" t="inlineStr">
        <is>
          <t>الرياض</t>
        </is>
      </c>
      <c r="D1391" t="inlineStr">
        <is>
          <t>كلا الفترتين</t>
        </is>
      </c>
      <c r="E1391" t="n">
        <v>1963</v>
      </c>
      <c r="F1391" t="b">
        <v>1</v>
      </c>
      <c r="G1391">
        <f>HYPERLINK("https://www.google.com/maps/search/?api=1&amp;query=24.71854783,46.81383625", "View Map")</f>
        <v/>
      </c>
    </row>
    <row r="1392">
      <c r="A1392" t="inlineStr">
        <is>
          <t xml:space="preserve">   مسجد السعادة .</t>
        </is>
      </c>
      <c r="B1392" t="inlineStr">
        <is>
          <t>SMR2220621002184</t>
        </is>
      </c>
      <c r="C1392" t="inlineStr">
        <is>
          <t>الرياض</t>
        </is>
      </c>
      <c r="D1392" t="inlineStr">
        <is>
          <t>كلا الفترتين</t>
        </is>
      </c>
      <c r="E1392" t="n">
        <v>1963</v>
      </c>
      <c r="F1392" t="b">
        <v>0</v>
      </c>
      <c r="G1392">
        <f>HYPERLINK("https://www.google.com/maps/search/?api=1&amp;query=24.7111442,46.84666224", "View Map")</f>
        <v/>
      </c>
    </row>
    <row r="1393">
      <c r="A1393" t="inlineStr">
        <is>
          <t>ﻤﺴﺎﺠﺩ .</t>
        </is>
      </c>
      <c r="B1393" t="inlineStr">
        <is>
          <t>MMF2020800309776</t>
        </is>
      </c>
      <c r="C1393" t="inlineStr">
        <is>
          <t>الرياض</t>
        </is>
      </c>
      <c r="D1393" t="inlineStr">
        <is>
          <t>كلا الفترتين</t>
        </is>
      </c>
      <c r="E1393" t="n">
        <v>1963</v>
      </c>
      <c r="F1393" t="b">
        <v>0</v>
      </c>
      <c r="G1393">
        <f>HYPERLINK("https://www.google.com/maps/search/?api=1&amp;query=24.79748,46.59821", "View Map")</f>
        <v/>
      </c>
    </row>
    <row r="1394">
      <c r="A1394" t="inlineStr">
        <is>
          <t xml:space="preserve">   مسجد بدر/ حي العلياء .</t>
        </is>
      </c>
      <c r="B1394" t="inlineStr">
        <is>
          <t>KFM2120660246669</t>
        </is>
      </c>
      <c r="C1394" t="inlineStr">
        <is>
          <t>الرياض</t>
        </is>
      </c>
      <c r="D1394" t="inlineStr">
        <is>
          <t>كلا الفترتين</t>
        </is>
      </c>
      <c r="E1394" t="n">
        <v>1962</v>
      </c>
      <c r="F1394" t="b">
        <v>1</v>
      </c>
      <c r="G1394">
        <f>HYPERLINK("https://www.google.com/maps/search/?api=1&amp;query=24.69418897,46.69232732", "View Map")</f>
        <v/>
      </c>
    </row>
    <row r="1395">
      <c r="A1395" t="inlineStr">
        <is>
          <t xml:space="preserve">      مسجد   حي   الحمراء .</t>
        </is>
      </c>
      <c r="B1395" t="inlineStr">
        <is>
          <t>KFM2020660058544</t>
        </is>
      </c>
      <c r="C1395" t="inlineStr">
        <is>
          <t>الرياض</t>
        </is>
      </c>
      <c r="D1395" t="inlineStr">
        <is>
          <t>كلا الفترتين</t>
        </is>
      </c>
      <c r="E1395" t="n">
        <v>1961</v>
      </c>
      <c r="F1395" t="b">
        <v>1</v>
      </c>
      <c r="G1395">
        <f>HYPERLINK("https://www.google.com/maps/search/?api=1&amp;query=24.76646395,46.74085585", "View Map")</f>
        <v/>
      </c>
    </row>
    <row r="1396">
      <c r="A1396" t="inlineStr">
        <is>
          <t>ﻤﺴﺎﺠﺩ .</t>
        </is>
      </c>
      <c r="B1396" t="inlineStr">
        <is>
          <t>SMR2220661002517</t>
        </is>
      </c>
      <c r="C1396" t="inlineStr">
        <is>
          <t>الرياض</t>
        </is>
      </c>
      <c r="D1396" t="inlineStr">
        <is>
          <t>كلا الفترتين</t>
        </is>
      </c>
      <c r="E1396" t="n">
        <v>1961</v>
      </c>
      <c r="F1396" t="b">
        <v>1</v>
      </c>
      <c r="G1396">
        <f>HYPERLINK("https://www.google.com/maps/search/?api=1&amp;query=24.8373228,46.59367661", "View Map")</f>
        <v/>
      </c>
    </row>
    <row r="1397">
      <c r="A1397" t="inlineStr">
        <is>
          <t xml:space="preserve">   مسجدالسليمانيه غرب بيت الاميرفهد .</t>
        </is>
      </c>
      <c r="B1397" t="inlineStr">
        <is>
          <t>KFM2120660249180</t>
        </is>
      </c>
      <c r="C1397" t="inlineStr">
        <is>
          <t>الرياض</t>
        </is>
      </c>
      <c r="D1397" t="inlineStr">
        <is>
          <t>كلا الفترتين</t>
        </is>
      </c>
      <c r="E1397" t="n">
        <v>1957</v>
      </c>
      <c r="F1397" t="b">
        <v>0</v>
      </c>
      <c r="G1397">
        <f>HYPERLINK("https://www.google.com/maps/search/?api=1&amp;query=24.7194477,46.67688108", "View Map")</f>
        <v/>
      </c>
    </row>
    <row r="1398">
      <c r="A1398" t="inlineStr">
        <is>
          <t xml:space="preserve">   مسجد حي السلام .</t>
        </is>
      </c>
      <c r="B1398" t="inlineStr">
        <is>
          <t>KFM2120655003230</t>
        </is>
      </c>
      <c r="C1398" t="inlineStr">
        <is>
          <t>الرياض</t>
        </is>
      </c>
      <c r="D1398" t="inlineStr">
        <is>
          <t>كلا الفترتين</t>
        </is>
      </c>
      <c r="E1398" t="n">
        <v>1956</v>
      </c>
      <c r="F1398" t="b">
        <v>0</v>
      </c>
      <c r="G1398">
        <f>HYPERLINK("https://www.google.com/maps/search/?api=1&amp;query=24.70473601,46.81267078", "View Map")</f>
        <v/>
      </c>
    </row>
    <row r="1399">
      <c r="A1399" t="inlineStr">
        <is>
          <t xml:space="preserve">   مسجد/عمر بن عبدالعزيز .</t>
        </is>
      </c>
      <c r="B1399" t="inlineStr">
        <is>
          <t>KFM2020660193080</t>
        </is>
      </c>
      <c r="C1399" t="inlineStr">
        <is>
          <t>الرياض</t>
        </is>
      </c>
      <c r="D1399" t="inlineStr">
        <is>
          <t>كلا الفترتين</t>
        </is>
      </c>
      <c r="E1399" t="n">
        <v>1955</v>
      </c>
      <c r="F1399" t="b">
        <v>0</v>
      </c>
      <c r="G1399">
        <f>HYPERLINK("https://www.google.com/maps/search/?api=1&amp;query=24.69513058,46.67782228", "View Map")</f>
        <v/>
      </c>
    </row>
    <row r="1400">
      <c r="A1400" t="inlineStr">
        <is>
          <t xml:space="preserve">   مسجد العقيق .</t>
        </is>
      </c>
      <c r="B1400" t="inlineStr">
        <is>
          <t>KFM2020660052211</t>
        </is>
      </c>
      <c r="C1400" t="inlineStr">
        <is>
          <t>الرياض</t>
        </is>
      </c>
      <c r="D1400" t="inlineStr">
        <is>
          <t>كلا الفترتين</t>
        </is>
      </c>
      <c r="E1400" t="n">
        <v>1954</v>
      </c>
      <c r="F1400" t="b">
        <v>0</v>
      </c>
      <c r="G1400">
        <f>HYPERLINK("https://www.google.com/maps/search/?api=1&amp;query=24.79177462,46.6289388", "View Map")</f>
        <v/>
      </c>
    </row>
    <row r="1401">
      <c r="A1401" t="inlineStr">
        <is>
          <t>مساجد .</t>
        </is>
      </c>
      <c r="B1401" t="inlineStr">
        <is>
          <t>KFM2020660209274</t>
        </is>
      </c>
      <c r="C1401" t="inlineStr">
        <is>
          <t>الرياض</t>
        </is>
      </c>
      <c r="D1401" t="inlineStr">
        <is>
          <t>كلا الفترتين</t>
        </is>
      </c>
      <c r="E1401" t="n">
        <v>1954</v>
      </c>
      <c r="F1401" t="b">
        <v>1</v>
      </c>
      <c r="G1401">
        <f>HYPERLINK("https://www.google.com/maps/search/?api=1&amp;query=24.61656146,46.50009838", "View Map")</f>
        <v/>
      </c>
    </row>
    <row r="1402">
      <c r="A1402" t="inlineStr">
        <is>
          <t>مسجد ظ البديعة  غرب  الدائري .</t>
        </is>
      </c>
      <c r="B1402" t="inlineStr">
        <is>
          <t>KFM2020660201774</t>
        </is>
      </c>
      <c r="C1402" t="inlineStr">
        <is>
          <t>الرياض</t>
        </is>
      </c>
      <c r="D1402" t="inlineStr">
        <is>
          <t>كلا الفترتين</t>
        </is>
      </c>
      <c r="E1402" t="n">
        <v>1951</v>
      </c>
      <c r="F1402" t="b">
        <v>1</v>
      </c>
      <c r="G1402">
        <f>HYPERLINK("https://www.google.com/maps/search/?api=1&amp;query=24.57640778,46.59466383", "View Map")</f>
        <v/>
      </c>
    </row>
    <row r="1403">
      <c r="A1403" t="inlineStr">
        <is>
          <t>ﻤﺴﺎﺠﺩ .</t>
        </is>
      </c>
      <c r="B1403" t="inlineStr">
        <is>
          <t>KFM2020660045333</t>
        </is>
      </c>
      <c r="C1403" t="inlineStr">
        <is>
          <t>الرياض</t>
        </is>
      </c>
      <c r="D1403" t="inlineStr">
        <is>
          <t>كلا الفترتين</t>
        </is>
      </c>
      <c r="E1403" t="n">
        <v>1947</v>
      </c>
      <c r="F1403" t="b">
        <v>1</v>
      </c>
      <c r="G1403">
        <f>HYPERLINK("https://www.google.com/maps/search/?api=1&amp;query=24.73900405,46.85128239", "View Map")</f>
        <v/>
      </c>
    </row>
    <row r="1404">
      <c r="A1404" t="inlineStr">
        <is>
          <t>مسجد      الريس     حي السباله .</t>
        </is>
      </c>
      <c r="B1404" t="inlineStr">
        <is>
          <t>KFM2020660014125</t>
        </is>
      </c>
      <c r="C1404" t="inlineStr">
        <is>
          <t>الرياض</t>
        </is>
      </c>
      <c r="D1404" t="inlineStr">
        <is>
          <t>كلا الفترتين</t>
        </is>
      </c>
      <c r="E1404" t="n">
        <v>1946</v>
      </c>
      <c r="F1404" t="b">
        <v>1</v>
      </c>
      <c r="G1404">
        <f>HYPERLINK("https://www.google.com/maps/search/?api=1&amp;query=24.62332877,46.70473099", "View Map")</f>
        <v/>
      </c>
    </row>
    <row r="1405">
      <c r="A1405" t="inlineStr">
        <is>
          <t>مسجد   حوطة  خالد .</t>
        </is>
      </c>
      <c r="B1405" t="inlineStr">
        <is>
          <t>KFM2020660201718</t>
        </is>
      </c>
      <c r="C1405" t="inlineStr">
        <is>
          <t>الرياض</t>
        </is>
      </c>
      <c r="D1405" t="inlineStr">
        <is>
          <t>كلا الفترتين</t>
        </is>
      </c>
      <c r="E1405" t="n">
        <v>1946</v>
      </c>
      <c r="F1405" t="b">
        <v>0</v>
      </c>
      <c r="G1405">
        <f>HYPERLINK("https://www.google.com/maps/search/?api=1&amp;query=24.63603721,46.71222599", "View Map")</f>
        <v/>
      </c>
    </row>
    <row r="1406">
      <c r="A1406" t="inlineStr">
        <is>
          <t>ﻤﺴﺎﺠﺩ .</t>
        </is>
      </c>
      <c r="B1406" t="inlineStr">
        <is>
          <t>KFM2020660191843</t>
        </is>
      </c>
      <c r="C1406" t="inlineStr">
        <is>
          <t>الرياض</t>
        </is>
      </c>
      <c r="D1406" t="inlineStr">
        <is>
          <t>كلا الفترتين</t>
        </is>
      </c>
      <c r="E1406" t="n">
        <v>1945</v>
      </c>
      <c r="F1406" t="b">
        <v>1</v>
      </c>
      <c r="G1406">
        <f>HYPERLINK("https://www.google.com/maps/search/?api=1&amp;query=24.82311751,46.77345016", "View Map")</f>
        <v/>
      </c>
    </row>
    <row r="1407">
      <c r="A1407" t="inlineStr">
        <is>
          <t>مسجد جامع  الجراديه .</t>
        </is>
      </c>
      <c r="B1407" t="inlineStr">
        <is>
          <t>KFM2020660198392</t>
        </is>
      </c>
      <c r="C1407" t="inlineStr">
        <is>
          <t>الرياض</t>
        </is>
      </c>
      <c r="D1407" t="inlineStr">
        <is>
          <t>كلا الفترتين</t>
        </is>
      </c>
      <c r="E1407" t="n">
        <v>1943</v>
      </c>
      <c r="F1407" t="b">
        <v>0</v>
      </c>
      <c r="G1407">
        <f>HYPERLINK("https://www.google.com/maps/search/?api=1&amp;query=24.62,46.6947", "View Map")</f>
        <v/>
      </c>
    </row>
    <row r="1408">
      <c r="A1408" t="inlineStr">
        <is>
          <t xml:space="preserve">   مسجد وسكن بحي المونسية .</t>
        </is>
      </c>
      <c r="B1408" t="inlineStr">
        <is>
          <t>KFM2020660054241</t>
        </is>
      </c>
      <c r="C1408" t="inlineStr">
        <is>
          <t>الرياض</t>
        </is>
      </c>
      <c r="D1408" t="inlineStr">
        <is>
          <t>كلا الفترتين</t>
        </is>
      </c>
      <c r="E1408" t="n">
        <v>1942</v>
      </c>
      <c r="F1408" t="b">
        <v>1</v>
      </c>
      <c r="G1408">
        <f>HYPERLINK("https://www.google.com/maps/search/?api=1&amp;query=24.81254218,46.77939426", "View Map")</f>
        <v/>
      </c>
    </row>
    <row r="1409">
      <c r="A1409" t="inlineStr">
        <is>
          <t xml:space="preserve">   مسجد بلشرف .</t>
        </is>
      </c>
      <c r="B1409" t="inlineStr">
        <is>
          <t>KFM2020660209146</t>
        </is>
      </c>
      <c r="C1409" t="inlineStr">
        <is>
          <t>الرياض</t>
        </is>
      </c>
      <c r="D1409" t="inlineStr">
        <is>
          <t>كلا الفترتين</t>
        </is>
      </c>
      <c r="E1409" t="n">
        <v>1941</v>
      </c>
      <c r="F1409" t="b">
        <v>1</v>
      </c>
      <c r="G1409">
        <f>HYPERLINK("https://www.google.com/maps/search/?api=1&amp;query=24.75965878,46.67599022", "View Map")</f>
        <v/>
      </c>
    </row>
    <row r="1410">
      <c r="A1410" t="inlineStr">
        <is>
          <t xml:space="preserve">   وزارة الشئون الاسلامية والاوقاف .</t>
        </is>
      </c>
      <c r="B1410" t="inlineStr">
        <is>
          <t>KFM2020660192543</t>
        </is>
      </c>
      <c r="C1410" t="inlineStr">
        <is>
          <t>الرياض</t>
        </is>
      </c>
      <c r="D1410" t="inlineStr">
        <is>
          <t>كلا الفترتين</t>
        </is>
      </c>
      <c r="E1410" t="n">
        <v>1940</v>
      </c>
      <c r="F1410" t="b">
        <v>1</v>
      </c>
      <c r="G1410">
        <f>HYPERLINK("https://www.google.com/maps/search/?api=1&amp;query=24.63892197,46.61882601", "View Map")</f>
        <v/>
      </c>
    </row>
    <row r="1411">
      <c r="A1411" t="inlineStr">
        <is>
          <t>مساجد .</t>
        </is>
      </c>
      <c r="B1411" t="inlineStr">
        <is>
          <t>KFM2020660207287</t>
        </is>
      </c>
      <c r="C1411" t="inlineStr">
        <is>
          <t>الرياض</t>
        </is>
      </c>
      <c r="D1411" t="inlineStr">
        <is>
          <t>كلا الفترتين</t>
        </is>
      </c>
      <c r="E1411" t="n">
        <v>1940</v>
      </c>
      <c r="F1411" t="b">
        <v>0</v>
      </c>
      <c r="G1411">
        <f>HYPERLINK("https://www.google.com/maps/search/?api=1&amp;query=24.82997886,46.65481204", "View Map")</f>
        <v/>
      </c>
    </row>
    <row r="1412">
      <c r="A1412" t="inlineStr">
        <is>
          <t>ﻭﺯﺍﺭﺓﺍﻟﺸﺌﻭﻥ ﺍﻻﺴﻼﻤﻴﺓﻭﺍﻻﻭﻗﺎﻑ .</t>
        </is>
      </c>
      <c r="B1412" t="inlineStr">
        <is>
          <t>KFM2020660042242</t>
        </is>
      </c>
      <c r="C1412" t="inlineStr">
        <is>
          <t>الرياض</t>
        </is>
      </c>
      <c r="D1412" t="inlineStr">
        <is>
          <t>كلا الفترتين</t>
        </is>
      </c>
      <c r="E1412" t="n">
        <v>1940</v>
      </c>
      <c r="F1412" t="b">
        <v>1</v>
      </c>
      <c r="G1412">
        <f>HYPERLINK("https://www.google.com/maps/search/?api=1&amp;query=24.52501901,46.64200133", "View Map")</f>
        <v/>
      </c>
    </row>
    <row r="1413">
      <c r="A1413" t="inlineStr">
        <is>
          <t>ﻤﺴﺎﺠﺩ .</t>
        </is>
      </c>
      <c r="B1413" t="inlineStr">
        <is>
          <t>KFM2020660196580</t>
        </is>
      </c>
      <c r="C1413" t="inlineStr">
        <is>
          <t>الرياض</t>
        </is>
      </c>
      <c r="D1413" t="inlineStr">
        <is>
          <t>كلا الفترتين</t>
        </is>
      </c>
      <c r="E1413" t="n">
        <v>1938</v>
      </c>
      <c r="F1413" t="b">
        <v>1</v>
      </c>
      <c r="G1413">
        <f>HYPERLINK("https://www.google.com/maps/search/?api=1&amp;query=24.8261,46.6792", "View Map")</f>
        <v/>
      </c>
    </row>
    <row r="1414">
      <c r="A1414" t="inlineStr">
        <is>
          <t xml:space="preserve">   مسجد حى المنح  باالعزيزيه .</t>
        </is>
      </c>
      <c r="B1414" t="inlineStr">
        <is>
          <t>KFM2120660268908</t>
        </is>
      </c>
      <c r="C1414" t="inlineStr">
        <is>
          <t>الرياض</t>
        </is>
      </c>
      <c r="D1414" t="inlineStr">
        <is>
          <t>كلا الفترتين</t>
        </is>
      </c>
      <c r="E1414" t="n">
        <v>1937</v>
      </c>
      <c r="F1414" t="b">
        <v>0</v>
      </c>
      <c r="G1414">
        <f>HYPERLINK("https://www.google.com/maps/search/?api=1&amp;query=24.59101026,46.77835503", "View Map")</f>
        <v/>
      </c>
    </row>
    <row r="1415">
      <c r="A1415" t="inlineStr">
        <is>
          <t xml:space="preserve">   مسجد ابن  القيم     الجوزيه .</t>
        </is>
      </c>
      <c r="B1415" t="inlineStr">
        <is>
          <t>KFM2020660166581</t>
        </is>
      </c>
      <c r="C1415" t="inlineStr">
        <is>
          <t>الرياض</t>
        </is>
      </c>
      <c r="D1415" t="inlineStr">
        <is>
          <t>كلا الفترتين</t>
        </is>
      </c>
      <c r="E1415" t="n">
        <v>1937</v>
      </c>
      <c r="F1415" t="b">
        <v>1</v>
      </c>
      <c r="G1415">
        <f>HYPERLINK("https://www.google.com/maps/search/?api=1&amp;query=24.76282314,46.77643728", "View Map")</f>
        <v/>
      </c>
    </row>
    <row r="1416">
      <c r="A1416" t="inlineStr">
        <is>
          <t xml:space="preserve">   مسجد شرق الربوه .</t>
        </is>
      </c>
      <c r="B1416" t="inlineStr">
        <is>
          <t>KFM2020660133831</t>
        </is>
      </c>
      <c r="C1416" t="inlineStr">
        <is>
          <t>الرياض</t>
        </is>
      </c>
      <c r="D1416" t="inlineStr">
        <is>
          <t>كلا الفترتين</t>
        </is>
      </c>
      <c r="E1416" t="n">
        <v>1935</v>
      </c>
      <c r="F1416" t="b">
        <v>1</v>
      </c>
      <c r="G1416">
        <f>HYPERLINK("https://www.google.com/maps/search/?api=1&amp;query=24.70655661,46.77345662", "View Map")</f>
        <v/>
      </c>
    </row>
    <row r="1417">
      <c r="A1417" t="inlineStr">
        <is>
          <t xml:space="preserve">   مساجد .</t>
        </is>
      </c>
      <c r="B1417" t="inlineStr">
        <is>
          <t>KFM2020660190935</t>
        </is>
      </c>
      <c r="C1417" t="inlineStr">
        <is>
          <t>الرياض</t>
        </is>
      </c>
      <c r="D1417" t="inlineStr">
        <is>
          <t>كلا الفترتين</t>
        </is>
      </c>
      <c r="E1417" t="n">
        <v>1934</v>
      </c>
      <c r="F1417" t="b">
        <v>1</v>
      </c>
      <c r="G1417">
        <f>HYPERLINK("https://www.google.com/maps/search/?api=1&amp;query=24.77494973,46.785964", "View Map")</f>
        <v/>
      </c>
    </row>
    <row r="1418">
      <c r="A1418" t="inlineStr">
        <is>
          <t>مساجد .</t>
        </is>
      </c>
      <c r="B1418" t="inlineStr">
        <is>
          <t>AEC2020830556820</t>
        </is>
      </c>
      <c r="C1418" t="inlineStr">
        <is>
          <t>الرياض</t>
        </is>
      </c>
      <c r="D1418" t="inlineStr">
        <is>
          <t>كلا الفترتين</t>
        </is>
      </c>
      <c r="E1418" t="n">
        <v>1933</v>
      </c>
      <c r="F1418" t="b">
        <v>0</v>
      </c>
      <c r="G1418">
        <f>HYPERLINK("https://www.google.com/maps/search/?api=1&amp;query=24.76525771,46.68196386", "View Map")</f>
        <v/>
      </c>
    </row>
    <row r="1419">
      <c r="A1419" t="inlineStr">
        <is>
          <t xml:space="preserve">   مسجد/لطيفه عبدالرحمن الربيعه .</t>
        </is>
      </c>
      <c r="B1419" t="inlineStr">
        <is>
          <t>KFM2120660260426</t>
        </is>
      </c>
      <c r="C1419" t="inlineStr">
        <is>
          <t>الرياض</t>
        </is>
      </c>
      <c r="D1419" t="inlineStr">
        <is>
          <t>كلا الفترتين</t>
        </is>
      </c>
      <c r="E1419" t="n">
        <v>1933</v>
      </c>
      <c r="F1419" t="b">
        <v>0</v>
      </c>
      <c r="G1419">
        <f>HYPERLINK("https://www.google.com/maps/search/?api=1&amp;query=24.62055276,46.7475548", "View Map")</f>
        <v/>
      </c>
    </row>
    <row r="1420">
      <c r="A1420" t="inlineStr">
        <is>
          <t>ﻤﺴﺎﺠﺩ .</t>
        </is>
      </c>
      <c r="B1420" t="inlineStr">
        <is>
          <t>SMR2320661034808</t>
        </is>
      </c>
      <c r="C1420" t="inlineStr">
        <is>
          <t>الرياض</t>
        </is>
      </c>
      <c r="D1420" t="inlineStr">
        <is>
          <t>كلا الفترتين</t>
        </is>
      </c>
      <c r="E1420" t="n">
        <v>1933</v>
      </c>
      <c r="F1420" t="b">
        <v>0</v>
      </c>
      <c r="G1420">
        <f>HYPERLINK("https://www.google.com/maps/search/?api=1&amp;query=24.93034518,46.78340554", "View Map")</f>
        <v/>
      </c>
    </row>
    <row r="1421">
      <c r="A1421" t="inlineStr">
        <is>
          <t xml:space="preserve">      وزارة الشئون الاسلامية والاوقاف .</t>
        </is>
      </c>
      <c r="B1421" t="inlineStr">
        <is>
          <t>KFM2020660135561</t>
        </is>
      </c>
      <c r="C1421" t="inlineStr">
        <is>
          <t>الرياض</t>
        </is>
      </c>
      <c r="D1421" t="inlineStr">
        <is>
          <t>كلا الفترتين</t>
        </is>
      </c>
      <c r="E1421" t="n">
        <v>1931</v>
      </c>
      <c r="F1421" t="b">
        <v>0</v>
      </c>
      <c r="G1421">
        <f>HYPERLINK("https://www.google.com/maps/search/?api=1&amp;query=24.8204805,46.65611957", "View Map")</f>
        <v/>
      </c>
    </row>
    <row r="1422">
      <c r="A1422" t="inlineStr">
        <is>
          <t xml:space="preserve">   مسجد حصة العمار .</t>
        </is>
      </c>
      <c r="B1422" t="inlineStr">
        <is>
          <t>KFM2020660198944</t>
        </is>
      </c>
      <c r="C1422" t="inlineStr">
        <is>
          <t>الرياض</t>
        </is>
      </c>
      <c r="D1422" t="inlineStr">
        <is>
          <t>كلا الفترتين</t>
        </is>
      </c>
      <c r="E1422" t="n">
        <v>1930</v>
      </c>
      <c r="F1422" t="b">
        <v>0</v>
      </c>
      <c r="G1422">
        <f>HYPERLINK("https://www.google.com/maps/search/?api=1&amp;query=24.70231294,46.75759735", "View Map")</f>
        <v/>
      </c>
    </row>
    <row r="1423">
      <c r="A1423" t="inlineStr">
        <is>
          <t xml:space="preserve">   مسجد عمر البلطان .</t>
        </is>
      </c>
      <c r="B1423" t="inlineStr">
        <is>
          <t>KFM2120660267539</t>
        </is>
      </c>
      <c r="C1423" t="inlineStr">
        <is>
          <t>الرياض</t>
        </is>
      </c>
      <c r="D1423" t="inlineStr">
        <is>
          <t>كلا الفترتين</t>
        </is>
      </c>
      <c r="E1423" t="n">
        <v>1929</v>
      </c>
      <c r="F1423" t="b">
        <v>0</v>
      </c>
      <c r="G1423">
        <f>HYPERLINK("https://www.google.com/maps/search/?api=1&amp;query=24.62958405,46.74681961", "View Map")</f>
        <v/>
      </c>
    </row>
    <row r="1424">
      <c r="A1424" t="inlineStr">
        <is>
          <t>جامع سعد الموسى .</t>
        </is>
      </c>
      <c r="B1424" t="inlineStr">
        <is>
          <t>KFM2020660196695</t>
        </is>
      </c>
      <c r="C1424" t="inlineStr">
        <is>
          <t>الرياض</t>
        </is>
      </c>
      <c r="D1424" t="inlineStr">
        <is>
          <t>كلا الفترتين</t>
        </is>
      </c>
      <c r="E1424" t="n">
        <v>1928</v>
      </c>
      <c r="F1424" t="b">
        <v>1</v>
      </c>
      <c r="G1424">
        <f>HYPERLINK("https://www.google.com/maps/search/?api=1&amp;query=24.54167953,46.73054959", "View Map")</f>
        <v/>
      </c>
    </row>
    <row r="1425">
      <c r="A1425" t="inlineStr">
        <is>
          <t>ﻤﺴﺎﺠﺩ .</t>
        </is>
      </c>
      <c r="B1425" t="inlineStr">
        <is>
          <t>KFM2020660174819</t>
        </is>
      </c>
      <c r="C1425" t="inlineStr">
        <is>
          <t>الرياض</t>
        </is>
      </c>
      <c r="D1425" t="inlineStr">
        <is>
          <t>كلا الفترتين</t>
        </is>
      </c>
      <c r="E1425" t="n">
        <v>1927</v>
      </c>
      <c r="F1425" t="b">
        <v>1</v>
      </c>
      <c r="G1425">
        <f>HYPERLINK("https://www.google.com/maps/search/?api=1&amp;query=24.80897062,46.82532211", "View Map")</f>
        <v/>
      </c>
    </row>
    <row r="1426">
      <c r="A1426" t="inlineStr">
        <is>
          <t xml:space="preserve">   مسجد خالد بن الوليد .</t>
        </is>
      </c>
      <c r="B1426" t="inlineStr">
        <is>
          <t>KFM2120660304640</t>
        </is>
      </c>
      <c r="C1426" t="inlineStr">
        <is>
          <t>الرياض</t>
        </is>
      </c>
      <c r="D1426" t="inlineStr">
        <is>
          <t>كلا الفترتين</t>
        </is>
      </c>
      <c r="E1426" t="n">
        <v>1927</v>
      </c>
      <c r="F1426" t="b">
        <v>0</v>
      </c>
      <c r="G1426">
        <f>HYPERLINK("https://www.google.com/maps/search/?api=1&amp;query=24.61373628,46.75084666", "View Map")</f>
        <v/>
      </c>
    </row>
    <row r="1427">
      <c r="A1427" t="inlineStr">
        <is>
          <t>مسجد بالصناعيه   /حي بدر .</t>
        </is>
      </c>
      <c r="B1427" t="inlineStr">
        <is>
          <t>KFM2020660198435</t>
        </is>
      </c>
      <c r="C1427" t="inlineStr">
        <is>
          <t>الرياض</t>
        </is>
      </c>
      <c r="D1427" t="inlineStr">
        <is>
          <t>كلا الفترتين</t>
        </is>
      </c>
      <c r="E1427" t="n">
        <v>1925</v>
      </c>
      <c r="F1427" t="b">
        <v>0</v>
      </c>
      <c r="G1427">
        <f>HYPERLINK("https://www.google.com/maps/search/?api=1&amp;query=24.53032821,46.7214585", "View Map")</f>
        <v/>
      </c>
    </row>
    <row r="1428">
      <c r="A1428" t="inlineStr">
        <is>
          <t xml:space="preserve">   مسجد حي الياسمين .</t>
        </is>
      </c>
      <c r="B1428" t="inlineStr">
        <is>
          <t>KFM2020660211473</t>
        </is>
      </c>
      <c r="C1428" t="inlineStr">
        <is>
          <t>الرياض</t>
        </is>
      </c>
      <c r="D1428" t="inlineStr">
        <is>
          <t>كلا الفترتين</t>
        </is>
      </c>
      <c r="E1428" t="n">
        <v>1924</v>
      </c>
      <c r="F1428" t="b">
        <v>1</v>
      </c>
      <c r="G1428">
        <f>HYPERLINK("https://www.google.com/maps/search/?api=1&amp;query=24.80888281,46.65732768", "View Map")</f>
        <v/>
      </c>
    </row>
    <row r="1429">
      <c r="A1429" t="inlineStr">
        <is>
          <t xml:space="preserve">   وزارة الشئون الاسلامية والاوقاف .</t>
        </is>
      </c>
      <c r="B1429" t="inlineStr">
        <is>
          <t>SMR2220661019034</t>
        </is>
      </c>
      <c r="C1429" t="inlineStr">
        <is>
          <t>الرياض</t>
        </is>
      </c>
      <c r="D1429" t="inlineStr">
        <is>
          <t>كلا الفترتين</t>
        </is>
      </c>
      <c r="E1429" t="n">
        <v>1922</v>
      </c>
      <c r="F1429" t="b">
        <v>1</v>
      </c>
      <c r="G1429">
        <f>HYPERLINK("https://www.google.com/maps/search/?api=1&amp;query=24.62043141,46.53928568", "View Map")</f>
        <v/>
      </c>
    </row>
    <row r="1430">
      <c r="A1430" t="inlineStr">
        <is>
          <t xml:space="preserve">   مسجدالزهرة حي المنار .</t>
        </is>
      </c>
      <c r="B1430" t="inlineStr">
        <is>
          <t>KFM2020660054755</t>
        </is>
      </c>
      <c r="C1430" t="inlineStr">
        <is>
          <t>الرياض</t>
        </is>
      </c>
      <c r="D1430" t="inlineStr">
        <is>
          <t>كلا الفترتين</t>
        </is>
      </c>
      <c r="E1430" t="n">
        <v>1921</v>
      </c>
      <c r="F1430" t="b">
        <v>1</v>
      </c>
      <c r="G1430">
        <f>HYPERLINK("https://www.google.com/maps/search/?api=1&amp;query=24.73015142,46.79506593", "View Map")</f>
        <v/>
      </c>
    </row>
    <row r="1431">
      <c r="A1431" t="inlineStr">
        <is>
          <t>ﻤﺴﺎﺠﺩ .</t>
        </is>
      </c>
      <c r="B1431" t="inlineStr">
        <is>
          <t>KFM2120660270373</t>
        </is>
      </c>
      <c r="C1431" t="inlineStr">
        <is>
          <t>الرياض</t>
        </is>
      </c>
      <c r="D1431" t="inlineStr">
        <is>
          <t>كلا الفترتين</t>
        </is>
      </c>
      <c r="E1431" t="n">
        <v>1921</v>
      </c>
      <c r="F1431" t="b">
        <v>1</v>
      </c>
      <c r="G1431">
        <f>HYPERLINK("https://www.google.com/maps/search/?api=1&amp;query=24.61595565,46.81474386", "View Map")</f>
        <v/>
      </c>
    </row>
    <row r="1432">
      <c r="A1432" t="inlineStr">
        <is>
          <t xml:space="preserve">   مسجدال مرزوق .</t>
        </is>
      </c>
      <c r="B1432" t="inlineStr">
        <is>
          <t>KFM2020660041274</t>
        </is>
      </c>
      <c r="C1432" t="inlineStr">
        <is>
          <t>الرياض</t>
        </is>
      </c>
      <c r="D1432" t="inlineStr">
        <is>
          <t>كلا الفترتين</t>
        </is>
      </c>
      <c r="E1432" t="n">
        <v>1921</v>
      </c>
      <c r="F1432" t="b">
        <v>1</v>
      </c>
      <c r="G1432">
        <f>HYPERLINK("https://www.google.com/maps/search/?api=1&amp;query=24.80766089,46.7991815", "View Map")</f>
        <v/>
      </c>
    </row>
    <row r="1433">
      <c r="A1433" t="inlineStr">
        <is>
          <t xml:space="preserve">   مسجدوالدة الملك سعودبن عبدالعزيز .</t>
        </is>
      </c>
      <c r="B1433" t="inlineStr">
        <is>
          <t>KFM2020660203608</t>
        </is>
      </c>
      <c r="C1433" t="inlineStr">
        <is>
          <t>الرياض</t>
        </is>
      </c>
      <c r="D1433" t="inlineStr">
        <is>
          <t>كلا الفترتين</t>
        </is>
      </c>
      <c r="E1433" t="n">
        <v>1921</v>
      </c>
      <c r="F1433" t="b">
        <v>0</v>
      </c>
      <c r="G1433">
        <f>HYPERLINK("https://www.google.com/maps/search/?api=1&amp;query=24.6547944,46.67522804", "View Map")</f>
        <v/>
      </c>
    </row>
    <row r="1434">
      <c r="A1434" t="inlineStr">
        <is>
          <t xml:space="preserve">   جامع/ عبدالمحسن بن فهد السويلم .</t>
        </is>
      </c>
      <c r="B1434" t="inlineStr">
        <is>
          <t>KFM2020660047350</t>
        </is>
      </c>
      <c r="C1434" t="inlineStr">
        <is>
          <t>الدرعية</t>
        </is>
      </c>
      <c r="D1434" t="inlineStr">
        <is>
          <t>كلا الفترتين</t>
        </is>
      </c>
      <c r="E1434" t="n">
        <v>1920</v>
      </c>
      <c r="F1434" t="b">
        <v>0</v>
      </c>
      <c r="G1434">
        <f>HYPERLINK("https://www.google.com/maps/search/?api=1&amp;query=24.75189426,46.53511499", "View Map")</f>
        <v/>
      </c>
    </row>
    <row r="1435">
      <c r="A1435" t="inlineStr">
        <is>
          <t xml:space="preserve">   مسجد الفلاح .</t>
        </is>
      </c>
      <c r="B1435" t="inlineStr">
        <is>
          <t>KFM2020660171473</t>
        </is>
      </c>
      <c r="C1435" t="inlineStr">
        <is>
          <t>الرياض</t>
        </is>
      </c>
      <c r="D1435" t="inlineStr">
        <is>
          <t>كلا الفترتين</t>
        </is>
      </c>
      <c r="E1435" t="n">
        <v>1920</v>
      </c>
      <c r="F1435" t="b">
        <v>1</v>
      </c>
      <c r="G1435">
        <f>HYPERLINK("https://www.google.com/maps/search/?api=1&amp;query=24.7168156,46.84746171", "View Map")</f>
        <v/>
      </c>
    </row>
    <row r="1436">
      <c r="A1436" t="inlineStr">
        <is>
          <t xml:space="preserve">   مسجدحى الزلفى .</t>
        </is>
      </c>
      <c r="B1436" t="inlineStr">
        <is>
          <t>KFM2020660229359</t>
        </is>
      </c>
      <c r="C1436" t="inlineStr">
        <is>
          <t>الرياض</t>
        </is>
      </c>
      <c r="D1436" t="inlineStr">
        <is>
          <t>كلا الفترتين</t>
        </is>
      </c>
      <c r="E1436" t="n">
        <v>1920</v>
      </c>
      <c r="F1436" t="b">
        <v>0</v>
      </c>
      <c r="G1436">
        <f>HYPERLINK("https://www.google.com/maps/search/?api=1&amp;query=24.66714119,46.75608582", "View Map")</f>
        <v/>
      </c>
    </row>
    <row r="1437">
      <c r="A1437" t="inlineStr">
        <is>
          <t>ﻤﺴﺎﺠﺩ .</t>
        </is>
      </c>
      <c r="B1437" t="inlineStr">
        <is>
          <t>KFM2020660214082</t>
        </is>
      </c>
      <c r="C1437" t="inlineStr">
        <is>
          <t>الرياض</t>
        </is>
      </c>
      <c r="D1437" t="inlineStr">
        <is>
          <t>كلا الفترتين</t>
        </is>
      </c>
      <c r="E1437" t="n">
        <v>1920</v>
      </c>
      <c r="F1437" t="b">
        <v>1</v>
      </c>
      <c r="G1437">
        <f>HYPERLINK("https://www.google.com/maps/search/?api=1&amp;query=24.80154106,46.67644332", "View Map")</f>
        <v/>
      </c>
    </row>
    <row r="1438">
      <c r="A1438" t="inlineStr">
        <is>
          <t xml:space="preserve">   مسجد الأسمري .</t>
        </is>
      </c>
      <c r="B1438" t="inlineStr">
        <is>
          <t>KFM2020660211304</t>
        </is>
      </c>
      <c r="C1438" t="inlineStr">
        <is>
          <t>الرياض</t>
        </is>
      </c>
      <c r="D1438" t="inlineStr">
        <is>
          <t>كلا الفترتين</t>
        </is>
      </c>
      <c r="E1438" t="n">
        <v>1919</v>
      </c>
      <c r="F1438" t="b">
        <v>0</v>
      </c>
      <c r="G1438">
        <f>HYPERLINK("https://www.google.com/maps/search/?api=1&amp;query=24.62032215,46.53586158", "View Map")</f>
        <v/>
      </c>
    </row>
    <row r="1439">
      <c r="A1439" t="inlineStr">
        <is>
          <t xml:space="preserve">   مسجد آل سليمان .</t>
        </is>
      </c>
      <c r="B1439" t="inlineStr">
        <is>
          <t>KFM2020660047187</t>
        </is>
      </c>
      <c r="C1439" t="inlineStr">
        <is>
          <t>الرياض</t>
        </is>
      </c>
      <c r="D1439" t="inlineStr">
        <is>
          <t>كلا الفترتين</t>
        </is>
      </c>
      <c r="E1439" t="n">
        <v>1919</v>
      </c>
      <c r="F1439" t="b">
        <v>0</v>
      </c>
      <c r="G1439">
        <f>HYPERLINK("https://www.google.com/maps/search/?api=1&amp;query=24.77349657,46.78068338", "View Map")</f>
        <v/>
      </c>
    </row>
    <row r="1440">
      <c r="A1440" t="inlineStr">
        <is>
          <t>ﻤﺴﺎﺠﺩ .</t>
        </is>
      </c>
      <c r="B1440" t="inlineStr">
        <is>
          <t>KFM2020660202000</t>
        </is>
      </c>
      <c r="C1440" t="inlineStr">
        <is>
          <t>الرياض</t>
        </is>
      </c>
      <c r="D1440" t="inlineStr">
        <is>
          <t>كلا الفترتين</t>
        </is>
      </c>
      <c r="E1440" t="n">
        <v>1918</v>
      </c>
      <c r="F1440" t="b">
        <v>0</v>
      </c>
      <c r="G1440">
        <f>HYPERLINK("https://www.google.com/maps/search/?api=1&amp;query=24.8700423,46.6474301", "View Map")</f>
        <v/>
      </c>
    </row>
    <row r="1441">
      <c r="A1441" t="inlineStr">
        <is>
          <t>مسجد قرطبه .</t>
        </is>
      </c>
      <c r="B1441" t="inlineStr">
        <is>
          <t>KFM2020660171318</t>
        </is>
      </c>
      <c r="C1441" t="inlineStr">
        <is>
          <t>الرياض</t>
        </is>
      </c>
      <c r="D1441" t="inlineStr">
        <is>
          <t>كلا الفترتين</t>
        </is>
      </c>
      <c r="E1441" t="n">
        <v>1915</v>
      </c>
      <c r="F1441" t="b">
        <v>0</v>
      </c>
      <c r="G1441">
        <f>HYPERLINK("https://www.google.com/maps/search/?api=1&amp;query=24.81720172,46.75195524", "View Map")</f>
        <v/>
      </c>
    </row>
    <row r="1442">
      <c r="A1442" t="inlineStr">
        <is>
          <t>ﻭﺯﺍﺭﺓﺍﻟﺸﺌﻭﻥ ﺍﻻﺴﻼﻤﻴﺓﻭﺍﻻﻭﻗﺎﻑ .</t>
        </is>
      </c>
      <c r="B1442" t="inlineStr">
        <is>
          <t>SMR2220761012366</t>
        </is>
      </c>
      <c r="C1442" t="inlineStr">
        <is>
          <t>الرياض</t>
        </is>
      </c>
      <c r="D1442" t="inlineStr">
        <is>
          <t>كلا الفترتين</t>
        </is>
      </c>
      <c r="E1442" t="n">
        <v>1912</v>
      </c>
      <c r="F1442" t="b">
        <v>1</v>
      </c>
      <c r="G1442">
        <f>HYPERLINK("https://www.google.com/maps/search/?api=1&amp;query=24.50563991,46.62900741", "View Map")</f>
        <v/>
      </c>
    </row>
    <row r="1443">
      <c r="A1443" t="inlineStr">
        <is>
          <t xml:space="preserve">   مسجد المهنا .</t>
        </is>
      </c>
      <c r="B1443" t="inlineStr">
        <is>
          <t>KFM2020660213951</t>
        </is>
      </c>
      <c r="C1443" t="inlineStr">
        <is>
          <t>الرياض</t>
        </is>
      </c>
      <c r="D1443" t="inlineStr">
        <is>
          <t>كلا الفترتين</t>
        </is>
      </c>
      <c r="E1443" t="n">
        <v>1911</v>
      </c>
      <c r="F1443" t="b">
        <v>1</v>
      </c>
      <c r="G1443">
        <f>HYPERLINK("https://www.google.com/maps/search/?api=1&amp;query=24.79444339,46.67263107", "View Map")</f>
        <v/>
      </c>
    </row>
    <row r="1444">
      <c r="A1444" t="inlineStr">
        <is>
          <t xml:space="preserve">   مسجد عبدالكريم الدرويش .</t>
        </is>
      </c>
      <c r="B1444" t="inlineStr">
        <is>
          <t>KFM2020660057979</t>
        </is>
      </c>
      <c r="C1444" t="inlineStr">
        <is>
          <t>الرياض</t>
        </is>
      </c>
      <c r="D1444" t="inlineStr">
        <is>
          <t>كلا الفترتين</t>
        </is>
      </c>
      <c r="E1444" t="n">
        <v>1911</v>
      </c>
      <c r="F1444" t="b">
        <v>1</v>
      </c>
      <c r="G1444">
        <f>HYPERLINK("https://www.google.com/maps/search/?api=1&amp;query=24.75253842,46.77390533", "View Map")</f>
        <v/>
      </c>
    </row>
    <row r="1445">
      <c r="A1445" t="inlineStr">
        <is>
          <t xml:space="preserve">   مسجد الاحسان .</t>
        </is>
      </c>
      <c r="B1445" t="inlineStr">
        <is>
          <t>KFM2020660130963</t>
        </is>
      </c>
      <c r="C1445" t="inlineStr">
        <is>
          <t>الرياض</t>
        </is>
      </c>
      <c r="D1445" t="inlineStr">
        <is>
          <t>كلا الفترتين</t>
        </is>
      </c>
      <c r="E1445" t="n">
        <v>1910</v>
      </c>
      <c r="F1445" t="b">
        <v>1</v>
      </c>
      <c r="G1445">
        <f>HYPERLINK("https://www.google.com/maps/search/?api=1&amp;query=24.8054749,46.86762852", "View Map")</f>
        <v/>
      </c>
    </row>
    <row r="1446">
      <c r="A1446" t="inlineStr">
        <is>
          <t>ﻤﺴﺎﺠﺩ .</t>
        </is>
      </c>
      <c r="B1446" t="inlineStr">
        <is>
          <t>KFM2120660270020</t>
        </is>
      </c>
      <c r="C1446" t="inlineStr">
        <is>
          <t>الرياض</t>
        </is>
      </c>
      <c r="D1446" t="inlineStr">
        <is>
          <t>كلا الفترتين</t>
        </is>
      </c>
      <c r="E1446" t="n">
        <v>1909</v>
      </c>
      <c r="F1446" t="b">
        <v>1</v>
      </c>
      <c r="G1446">
        <f>HYPERLINK("https://www.google.com/maps/search/?api=1&amp;query=24.76777355,46.74623896", "View Map")</f>
        <v/>
      </c>
    </row>
    <row r="1447">
      <c r="A1447" t="inlineStr">
        <is>
          <t xml:space="preserve">   مسجد      سوق       الربوه .</t>
        </is>
      </c>
      <c r="B1447" t="inlineStr">
        <is>
          <t>KFM2020660145017</t>
        </is>
      </c>
      <c r="C1447" t="inlineStr">
        <is>
          <t>الرياض</t>
        </is>
      </c>
      <c r="D1447" t="inlineStr">
        <is>
          <t>كلا الفترتين</t>
        </is>
      </c>
      <c r="E1447" t="n">
        <v>1908</v>
      </c>
      <c r="F1447" t="b">
        <v>1</v>
      </c>
      <c r="G1447">
        <f>HYPERLINK("https://www.google.com/maps/search/?api=1&amp;query=24.69361629,46.77754291", "View Map")</f>
        <v/>
      </c>
    </row>
    <row r="1448">
      <c r="A1448" t="inlineStr">
        <is>
          <t xml:space="preserve">   مسجد الشيخ عبدالعزيز بن باز .</t>
        </is>
      </c>
      <c r="B1448" t="inlineStr">
        <is>
          <t>KFM2020660171341</t>
        </is>
      </c>
      <c r="C1448" t="inlineStr">
        <is>
          <t>الرياض</t>
        </is>
      </c>
      <c r="D1448" t="inlineStr">
        <is>
          <t>كلا الفترتين</t>
        </is>
      </c>
      <c r="E1448" t="n">
        <v>1907</v>
      </c>
      <c r="F1448" t="b">
        <v>0</v>
      </c>
      <c r="G1448">
        <f>HYPERLINK("https://www.google.com/maps/search/?api=1&amp;query=24.76075102,46.76860071", "View Map")</f>
        <v/>
      </c>
    </row>
    <row r="1449">
      <c r="A1449" t="inlineStr">
        <is>
          <t xml:space="preserve">   مسجدالاميرعبدالرحمن بن عبدالله .</t>
        </is>
      </c>
      <c r="B1449" t="inlineStr">
        <is>
          <t>KFM2120660257675</t>
        </is>
      </c>
      <c r="C1449" t="inlineStr">
        <is>
          <t>الرياض</t>
        </is>
      </c>
      <c r="D1449" t="inlineStr">
        <is>
          <t>كلا الفترتين</t>
        </is>
      </c>
      <c r="E1449" t="n">
        <v>1907</v>
      </c>
      <c r="F1449" t="b">
        <v>0</v>
      </c>
      <c r="G1449">
        <f>HYPERLINK("https://www.google.com/maps/search/?api=1&amp;query=24.6969955,46.66022881", "View Map")</f>
        <v/>
      </c>
    </row>
    <row r="1450">
      <c r="A1450" t="inlineStr">
        <is>
          <t>ﻤﺴﺎﺠﺩ .</t>
        </is>
      </c>
      <c r="B1450" t="inlineStr">
        <is>
          <t>SMR2220621001433</t>
        </is>
      </c>
      <c r="C1450" t="inlineStr">
        <is>
          <t>الرياض</t>
        </is>
      </c>
      <c r="D1450" t="inlineStr">
        <is>
          <t>كلا الفترتين</t>
        </is>
      </c>
      <c r="E1450" t="n">
        <v>1906</v>
      </c>
      <c r="F1450" t="b">
        <v>0</v>
      </c>
      <c r="G1450">
        <f>HYPERLINK("https://www.google.com/maps/search/?api=1&amp;query=24.6564,46.5778", "View Map")</f>
        <v/>
      </c>
    </row>
    <row r="1451">
      <c r="A1451" t="inlineStr">
        <is>
          <t xml:space="preserve"> وزارة الشئون الاسلامية والاوقاف(مسجد) .</t>
        </is>
      </c>
      <c r="B1451" t="inlineStr">
        <is>
          <t>KFM2020660213534</t>
        </is>
      </c>
      <c r="C1451" t="inlineStr">
        <is>
          <t>الرياض</t>
        </is>
      </c>
      <c r="D1451" t="inlineStr">
        <is>
          <t>كلا الفترتين</t>
        </is>
      </c>
      <c r="E1451" t="n">
        <v>1905</v>
      </c>
      <c r="F1451" t="b">
        <v>1</v>
      </c>
      <c r="G1451">
        <f>HYPERLINK("https://www.google.com/maps/search/?api=1&amp;query=24.79453383,46.65273936", "View Map")</f>
        <v/>
      </c>
    </row>
    <row r="1452">
      <c r="A1452" t="inlineStr">
        <is>
          <t>مساجد .</t>
        </is>
      </c>
      <c r="B1452" t="inlineStr">
        <is>
          <t>KFM2020660213017</t>
        </is>
      </c>
      <c r="C1452" t="inlineStr">
        <is>
          <t>الرياض</t>
        </is>
      </c>
      <c r="D1452" t="inlineStr">
        <is>
          <t>كلا الفترتين</t>
        </is>
      </c>
      <c r="E1452" t="n">
        <v>1905</v>
      </c>
      <c r="F1452" t="b">
        <v>0</v>
      </c>
      <c r="G1452">
        <f>HYPERLINK("https://www.google.com/maps/search/?api=1&amp;query=24.78219735,46.70454254", "View Map")</f>
        <v/>
      </c>
    </row>
    <row r="1453">
      <c r="A1453" t="inlineStr">
        <is>
          <t xml:space="preserve">   مسجد النور بحي الفيصليه .</t>
        </is>
      </c>
      <c r="B1453" t="inlineStr">
        <is>
          <t>KFM2020660044743</t>
        </is>
      </c>
      <c r="C1453" t="inlineStr">
        <is>
          <t>الرياض</t>
        </is>
      </c>
      <c r="D1453" t="inlineStr">
        <is>
          <t>كلا الفترتين</t>
        </is>
      </c>
      <c r="E1453" t="n">
        <v>1904</v>
      </c>
      <c r="F1453" t="b">
        <v>0</v>
      </c>
      <c r="G1453">
        <f>HYPERLINK("https://www.google.com/maps/search/?api=1&amp;query=24.63766124,46.79752221", "View Map")</f>
        <v/>
      </c>
    </row>
    <row r="1454">
      <c r="A1454" t="inlineStr">
        <is>
          <t xml:space="preserve">   مسجدغليفص بسوق البطحاء .</t>
        </is>
      </c>
      <c r="B1454" t="inlineStr">
        <is>
          <t>KFM2020660047690</t>
        </is>
      </c>
      <c r="C1454" t="inlineStr">
        <is>
          <t>الرياض</t>
        </is>
      </c>
      <c r="D1454" t="inlineStr">
        <is>
          <t>كلا الفترتين</t>
        </is>
      </c>
      <c r="E1454" t="n">
        <v>1903</v>
      </c>
      <c r="F1454" t="b">
        <v>1</v>
      </c>
      <c r="G1454">
        <f>HYPERLINK("https://www.google.com/maps/search/?api=1&amp;query=24.63588831,46.71842114", "View Map")</f>
        <v/>
      </c>
    </row>
    <row r="1455">
      <c r="A1455" t="inlineStr">
        <is>
          <t xml:space="preserve">   مسجد حسين أبوسل .</t>
        </is>
      </c>
      <c r="B1455" t="inlineStr">
        <is>
          <t>KFM2020660037538</t>
        </is>
      </c>
      <c r="C1455" t="inlineStr">
        <is>
          <t>الرياض</t>
        </is>
      </c>
      <c r="D1455" t="inlineStr">
        <is>
          <t>صباحا</t>
        </is>
      </c>
      <c r="E1455" t="n">
        <v>1903</v>
      </c>
      <c r="F1455" t="b">
        <v>0</v>
      </c>
      <c r="G1455">
        <f>HYPERLINK("https://www.google.com/maps/search/?api=1&amp;query=24.78094902,46.74120913", "View Map")</f>
        <v/>
      </c>
    </row>
    <row r="1456">
      <c r="A1456" t="inlineStr">
        <is>
          <t xml:space="preserve">    مسجد      الواحه     ؟؟؟؟؟؟ .</t>
        </is>
      </c>
      <c r="B1456" t="inlineStr">
        <is>
          <t>KFM2020660213981</t>
        </is>
      </c>
      <c r="C1456" t="inlineStr">
        <is>
          <t>الرياض</t>
        </is>
      </c>
      <c r="D1456" t="inlineStr">
        <is>
          <t>كلا الفترتين</t>
        </is>
      </c>
      <c r="E1456" t="n">
        <v>1902</v>
      </c>
      <c r="F1456" t="b">
        <v>0</v>
      </c>
      <c r="G1456">
        <f>HYPERLINK("https://www.google.com/maps/search/?api=1&amp;query=24.73598191,46.70973848", "View Map")</f>
        <v/>
      </c>
    </row>
    <row r="1457">
      <c r="A1457" t="inlineStr">
        <is>
          <t xml:space="preserve">   مسجد حى الروابى .</t>
        </is>
      </c>
      <c r="B1457" t="inlineStr">
        <is>
          <t>KFM2020660132817</t>
        </is>
      </c>
      <c r="C1457" t="inlineStr">
        <is>
          <t>الرياض</t>
        </is>
      </c>
      <c r="D1457" t="inlineStr">
        <is>
          <t>كلا الفترتين</t>
        </is>
      </c>
      <c r="E1457" t="n">
        <v>1901</v>
      </c>
      <c r="F1457" t="b">
        <v>0</v>
      </c>
      <c r="G1457">
        <f>HYPERLINK("https://www.google.com/maps/search/?api=1&amp;query=24.68684513,46.78518232", "View Map")</f>
        <v/>
      </c>
    </row>
    <row r="1458">
      <c r="A1458" t="inlineStr">
        <is>
          <t>مسجد حي الحزم .</t>
        </is>
      </c>
      <c r="B1458" t="inlineStr">
        <is>
          <t>KFM2020660027246</t>
        </is>
      </c>
      <c r="C1458" t="inlineStr">
        <is>
          <t>الرياض</t>
        </is>
      </c>
      <c r="D1458" t="inlineStr">
        <is>
          <t>كلا الفترتين</t>
        </is>
      </c>
      <c r="E1458" t="n">
        <v>1901</v>
      </c>
      <c r="F1458" t="b">
        <v>1</v>
      </c>
      <c r="G1458">
        <f>HYPERLINK("https://www.google.com/maps/search/?api=1&amp;query=24.53241447,46.65107593", "View Map")</f>
        <v/>
      </c>
    </row>
    <row r="1459">
      <c r="A1459" t="inlineStr">
        <is>
          <t>مسجد حى  البديعه .</t>
        </is>
      </c>
      <c r="B1459" t="inlineStr">
        <is>
          <t>KFM2020660044157</t>
        </is>
      </c>
      <c r="C1459" t="inlineStr">
        <is>
          <t>الرياض</t>
        </is>
      </c>
      <c r="D1459" t="inlineStr">
        <is>
          <t>كلا الفترتين</t>
        </is>
      </c>
      <c r="E1459" t="n">
        <v>1901</v>
      </c>
      <c r="F1459" t="b">
        <v>0</v>
      </c>
      <c r="G1459">
        <f>HYPERLINK("https://www.google.com/maps/search/?api=1&amp;query=24.59856951,46.65122219", "View Map")</f>
        <v/>
      </c>
    </row>
    <row r="1460">
      <c r="A1460" t="inlineStr">
        <is>
          <t xml:space="preserve">   مسجد سعد مناحي .</t>
        </is>
      </c>
      <c r="B1460" t="inlineStr">
        <is>
          <t>KFM2020660161762</t>
        </is>
      </c>
      <c r="C1460" t="inlineStr">
        <is>
          <t>الرياض</t>
        </is>
      </c>
      <c r="D1460" t="inlineStr">
        <is>
          <t>كلا الفترتين</t>
        </is>
      </c>
      <c r="E1460" t="n">
        <v>1900</v>
      </c>
      <c r="F1460" t="b">
        <v>1</v>
      </c>
      <c r="G1460">
        <f>HYPERLINK("https://www.google.com/maps/search/?api=1&amp;query=24.56372838,46.78322256", "View Map")</f>
        <v/>
      </c>
    </row>
    <row r="1461">
      <c r="A1461" t="inlineStr">
        <is>
          <t>ﻤﺴﺎﺠﺩ .</t>
        </is>
      </c>
      <c r="B1461" t="inlineStr">
        <is>
          <t>SMR2020865028969</t>
        </is>
      </c>
      <c r="C1461" t="inlineStr">
        <is>
          <t>الرياض</t>
        </is>
      </c>
      <c r="D1461" t="inlineStr">
        <is>
          <t>كلا الفترتين</t>
        </is>
      </c>
      <c r="E1461" t="n">
        <v>1900</v>
      </c>
      <c r="F1461" t="b">
        <v>0</v>
      </c>
      <c r="G1461">
        <f>HYPERLINK("https://www.google.com/maps/search/?api=1&amp;query=24.80303666,46.83873329", "View Map")</f>
        <v/>
      </c>
    </row>
    <row r="1462">
      <c r="A1462" t="inlineStr">
        <is>
          <t xml:space="preserve">   مسجد/ محمد بن عثيمين .</t>
        </is>
      </c>
      <c r="B1462" t="inlineStr">
        <is>
          <t>KFM2120660239384</t>
        </is>
      </c>
      <c r="C1462" t="inlineStr">
        <is>
          <t>الرياض</t>
        </is>
      </c>
      <c r="D1462" t="inlineStr">
        <is>
          <t>كلا الفترتين</t>
        </is>
      </c>
      <c r="E1462" t="n">
        <v>1899</v>
      </c>
      <c r="F1462" t="b">
        <v>0</v>
      </c>
      <c r="G1462">
        <f>HYPERLINK("https://www.google.com/maps/search/?api=1&amp;query=24.72159569,46.8461449", "View Map")</f>
        <v/>
      </c>
    </row>
    <row r="1463">
      <c r="A1463" t="inlineStr">
        <is>
          <t xml:space="preserve">   مسجد عبدالرحمن بن عوف .</t>
        </is>
      </c>
      <c r="B1463" t="inlineStr">
        <is>
          <t>KFM2020660145830</t>
        </is>
      </c>
      <c r="C1463" t="inlineStr">
        <is>
          <t>الرياض</t>
        </is>
      </c>
      <c r="D1463" t="inlineStr">
        <is>
          <t>كلا الفترتين</t>
        </is>
      </c>
      <c r="E1463" t="n">
        <v>1899</v>
      </c>
      <c r="F1463" t="b">
        <v>1</v>
      </c>
      <c r="G1463">
        <f>HYPERLINK("https://www.google.com/maps/search/?api=1&amp;query=24.7043586,46.81605043", "View Map")</f>
        <v/>
      </c>
    </row>
    <row r="1464">
      <c r="A1464" t="inlineStr">
        <is>
          <t xml:space="preserve">   مسجد عبد العزيز التويجرى .</t>
        </is>
      </c>
      <c r="B1464" t="inlineStr">
        <is>
          <t>KFM2120660255501</t>
        </is>
      </c>
      <c r="C1464" t="inlineStr">
        <is>
          <t>الرياض</t>
        </is>
      </c>
      <c r="D1464" t="inlineStr">
        <is>
          <t>كلا الفترتين</t>
        </is>
      </c>
      <c r="E1464" t="n">
        <v>1898</v>
      </c>
      <c r="F1464" t="b">
        <v>0</v>
      </c>
      <c r="G1464">
        <f>HYPERLINK("https://www.google.com/maps/search/?api=1&amp;query=24.71972893,46.66681519", "View Map")</f>
        <v/>
      </c>
    </row>
    <row r="1465">
      <c r="A1465" t="inlineStr">
        <is>
          <t xml:space="preserve">   مسجد النخيل الغربي .</t>
        </is>
      </c>
      <c r="B1465" t="inlineStr">
        <is>
          <t>KFM2020660202331</t>
        </is>
      </c>
      <c r="C1465" t="inlineStr">
        <is>
          <t>الرياض</t>
        </is>
      </c>
      <c r="D1465" t="inlineStr">
        <is>
          <t>كلا الفترتين</t>
        </is>
      </c>
      <c r="E1465" t="n">
        <v>1898</v>
      </c>
      <c r="F1465" t="b">
        <v>1</v>
      </c>
      <c r="G1465">
        <f>HYPERLINK("https://www.google.com/maps/search/?api=1&amp;query=24.74849,46.63606", "View Map")</f>
        <v/>
      </c>
    </row>
    <row r="1466">
      <c r="A1466" t="inlineStr">
        <is>
          <t>مسجد سعود الدوسري .</t>
        </is>
      </c>
      <c r="B1466" t="inlineStr">
        <is>
          <t>KFM2020660196973</t>
        </is>
      </c>
      <c r="C1466" t="inlineStr">
        <is>
          <t>الرياض</t>
        </is>
      </c>
      <c r="D1466" t="inlineStr">
        <is>
          <t>كلا الفترتين</t>
        </is>
      </c>
      <c r="E1466" t="n">
        <v>1895</v>
      </c>
      <c r="F1466" t="b">
        <v>1</v>
      </c>
      <c r="G1466">
        <f>HYPERLINK("https://www.google.com/maps/search/?api=1&amp;query=24.60208314,46.76333598", "View Map")</f>
        <v/>
      </c>
    </row>
    <row r="1467">
      <c r="A1467" t="inlineStr">
        <is>
          <t>ﻤﺴﺎﺠﺩ .</t>
        </is>
      </c>
      <c r="B1467" t="inlineStr">
        <is>
          <t>SMR2320661033989</t>
        </is>
      </c>
      <c r="C1467" t="inlineStr">
        <is>
          <t>الرياض</t>
        </is>
      </c>
      <c r="D1467" t="inlineStr">
        <is>
          <t>كلا الفترتين</t>
        </is>
      </c>
      <c r="E1467" t="n">
        <v>1895</v>
      </c>
      <c r="F1467" t="b">
        <v>0</v>
      </c>
      <c r="G1467">
        <f>HYPERLINK("https://www.google.com/maps/search/?api=1&amp;query=24.8501347,46.8425871", "View Map")</f>
        <v/>
      </c>
    </row>
    <row r="1468">
      <c r="A1468" t="inlineStr">
        <is>
          <t>مسجد حي بدر .</t>
        </is>
      </c>
      <c r="B1468" t="inlineStr">
        <is>
          <t>KFM2020660203236</t>
        </is>
      </c>
      <c r="C1468" t="inlineStr">
        <is>
          <t>الرياض</t>
        </is>
      </c>
      <c r="D1468" t="inlineStr">
        <is>
          <t>كلا الفترتين</t>
        </is>
      </c>
      <c r="E1468" t="n">
        <v>1895</v>
      </c>
      <c r="F1468" t="b">
        <v>1</v>
      </c>
      <c r="G1468">
        <f>HYPERLINK("https://www.google.com/maps/search/?api=1&amp;query=24.52840106,46.70179337", "View Map")</f>
        <v/>
      </c>
    </row>
    <row r="1469">
      <c r="A1469" t="inlineStr">
        <is>
          <t>ﻭﺯﺍﺭﺓﺍﻟﺸﺌﻭﻥ ﺍﻻﺴﻼﻤﻴﺓﻭﺍﻻﻭﻗﺎﻑ .</t>
        </is>
      </c>
      <c r="B1469" t="inlineStr">
        <is>
          <t>KFM2020660196745</t>
        </is>
      </c>
      <c r="C1469" t="inlineStr">
        <is>
          <t>الرياض</t>
        </is>
      </c>
      <c r="D1469" t="inlineStr">
        <is>
          <t>كلا الفترتين</t>
        </is>
      </c>
      <c r="E1469" t="n">
        <v>1893</v>
      </c>
      <c r="F1469" t="b">
        <v>1</v>
      </c>
      <c r="G1469">
        <f>HYPERLINK("https://www.google.com/maps/search/?api=1&amp;query=24.62704288,46.70263391", "View Map")</f>
        <v/>
      </c>
    </row>
    <row r="1470">
      <c r="A1470" t="inlineStr">
        <is>
          <t>ﻤﺴﺎﺠﺩ .</t>
        </is>
      </c>
      <c r="B1470" t="inlineStr">
        <is>
          <t>KFM2120660270078</t>
        </is>
      </c>
      <c r="C1470" t="inlineStr">
        <is>
          <t>الرياض</t>
        </is>
      </c>
      <c r="D1470" t="inlineStr">
        <is>
          <t>كلا الفترتين</t>
        </is>
      </c>
      <c r="E1470" t="n">
        <v>1893</v>
      </c>
      <c r="F1470" t="b">
        <v>1</v>
      </c>
      <c r="G1470">
        <f>HYPERLINK("https://www.google.com/maps/search/?api=1&amp;query=24.83744612,46.88558924", "View Map")</f>
        <v/>
      </c>
    </row>
    <row r="1471">
      <c r="A1471" t="inlineStr">
        <is>
          <t>ﻤﺴﺎﺠﺩ .</t>
        </is>
      </c>
      <c r="B1471" t="inlineStr">
        <is>
          <t>KFM2020660191621</t>
        </is>
      </c>
      <c r="C1471" t="inlineStr">
        <is>
          <t>الرياض</t>
        </is>
      </c>
      <c r="D1471" t="inlineStr">
        <is>
          <t>كلا الفترتين</t>
        </is>
      </c>
      <c r="E1471" t="n">
        <v>1893</v>
      </c>
      <c r="F1471" t="b">
        <v>1</v>
      </c>
      <c r="G1471">
        <f>HYPERLINK("https://www.google.com/maps/search/?api=1&amp;query=24.81066695,46.8276515", "View Map")</f>
        <v/>
      </c>
    </row>
    <row r="1472">
      <c r="A1472" t="inlineStr">
        <is>
          <t xml:space="preserve">   مساجد .</t>
        </is>
      </c>
      <c r="B1472" t="inlineStr">
        <is>
          <t>KFM2020766160110</t>
        </is>
      </c>
      <c r="C1472" t="inlineStr">
        <is>
          <t>الرياض</t>
        </is>
      </c>
      <c r="D1472" t="inlineStr">
        <is>
          <t>كلا الفترتين</t>
        </is>
      </c>
      <c r="E1472" t="n">
        <v>1892</v>
      </c>
      <c r="F1472" t="b">
        <v>0</v>
      </c>
      <c r="G1472">
        <f>HYPERLINK("https://www.google.com/maps/search/?api=1&amp;query=24.75113039,46.76851452", "View Map")</f>
        <v/>
      </c>
    </row>
    <row r="1473">
      <c r="A1473" t="inlineStr">
        <is>
          <t xml:space="preserve">   مسجد ام الحمام الغربيه .</t>
        </is>
      </c>
      <c r="B1473" t="inlineStr">
        <is>
          <t>KFM2120660300837</t>
        </is>
      </c>
      <c r="C1473" t="inlineStr">
        <is>
          <t>الرياض</t>
        </is>
      </c>
      <c r="D1473" t="inlineStr">
        <is>
          <t>كلا الفترتين</t>
        </is>
      </c>
      <c r="E1473" t="n">
        <v>1892</v>
      </c>
      <c r="F1473" t="b">
        <v>1</v>
      </c>
      <c r="G1473">
        <f>HYPERLINK("https://www.google.com/maps/search/?api=1&amp;query=24.68756,46.64633", "View Map")</f>
        <v/>
      </c>
    </row>
    <row r="1474">
      <c r="A1474" t="inlineStr">
        <is>
          <t>8المسجدالموقتبالدخل  المحدودمخطط .</t>
        </is>
      </c>
      <c r="B1474" t="inlineStr">
        <is>
          <t>KFM2020660053772</t>
        </is>
      </c>
      <c r="C1474" t="inlineStr">
        <is>
          <t>الرياض</t>
        </is>
      </c>
      <c r="D1474" t="inlineStr">
        <is>
          <t>كلا الفترتين</t>
        </is>
      </c>
      <c r="E1474" t="n">
        <v>1891</v>
      </c>
      <c r="F1474" t="b">
        <v>0</v>
      </c>
      <c r="G1474">
        <f>HYPERLINK("https://www.google.com/maps/search/?api=1&amp;query=24.59800797,46.59650878", "View Map")</f>
        <v/>
      </c>
    </row>
    <row r="1475">
      <c r="A1475" t="inlineStr">
        <is>
          <t xml:space="preserve">   مسجد الخالديه .</t>
        </is>
      </c>
      <c r="B1475" t="inlineStr">
        <is>
          <t>KFM2120660241093</t>
        </is>
      </c>
      <c r="C1475" t="inlineStr">
        <is>
          <t>الرياض</t>
        </is>
      </c>
      <c r="D1475" t="inlineStr">
        <is>
          <t>كلا الفترتين</t>
        </is>
      </c>
      <c r="E1475" t="n">
        <v>1890</v>
      </c>
      <c r="F1475" t="b">
        <v>0</v>
      </c>
      <c r="G1475">
        <f>HYPERLINK("https://www.google.com/maps/search/?api=1&amp;query=24.62794486,46.75450609", "View Map")</f>
        <v/>
      </c>
    </row>
    <row r="1476">
      <c r="A1476" t="inlineStr">
        <is>
          <t>ﻭﺯﺍﺭﺓﺍﻟﺸﺌﻭﻥ ﺍﻻﺴﻼﻤﻴﺓﻭﺍﻻﻭﻗﺎﻑ .</t>
        </is>
      </c>
      <c r="B1476" t="inlineStr">
        <is>
          <t>KFM2020660190180</t>
        </is>
      </c>
      <c r="C1476" t="inlineStr">
        <is>
          <t>الرياض</t>
        </is>
      </c>
      <c r="D1476" t="inlineStr">
        <is>
          <t>كلا الفترتين</t>
        </is>
      </c>
      <c r="E1476" t="n">
        <v>1890</v>
      </c>
      <c r="F1476" t="b">
        <v>1</v>
      </c>
      <c r="G1476">
        <f>HYPERLINK("https://www.google.com/maps/search/?api=1&amp;query=24.9207114,46.8107448", "View Map")</f>
        <v/>
      </c>
    </row>
    <row r="1477">
      <c r="A1477" t="inlineStr">
        <is>
          <t>مسجد الحباب .</t>
        </is>
      </c>
      <c r="B1477" t="inlineStr">
        <is>
          <t>KFM2020660015418</t>
        </is>
      </c>
      <c r="C1477" t="inlineStr">
        <is>
          <t>الرياض</t>
        </is>
      </c>
      <c r="D1477" t="inlineStr">
        <is>
          <t>كلا الفترتين</t>
        </is>
      </c>
      <c r="E1477" t="n">
        <v>1889</v>
      </c>
      <c r="F1477" t="b">
        <v>0</v>
      </c>
      <c r="G1477">
        <f>HYPERLINK("https://www.google.com/maps/search/?api=1&amp;query=24.61484005,46.71801665", "View Map")</f>
        <v/>
      </c>
    </row>
    <row r="1478">
      <c r="A1478" t="inlineStr">
        <is>
          <t>ﻤﺴﺎﺠﺩ .</t>
        </is>
      </c>
      <c r="B1478" t="inlineStr">
        <is>
          <t>KFM2020660004048</t>
        </is>
      </c>
      <c r="C1478" t="inlineStr">
        <is>
          <t>الرياض</t>
        </is>
      </c>
      <c r="D1478" t="inlineStr">
        <is>
          <t>كلا الفترتين</t>
        </is>
      </c>
      <c r="E1478" t="n">
        <v>1889</v>
      </c>
      <c r="F1478" t="b">
        <v>1</v>
      </c>
      <c r="G1478">
        <f>HYPERLINK("https://www.google.com/maps/search/?api=1&amp;query=24.81563896,46.76323527", "View Map")</f>
        <v/>
      </c>
    </row>
    <row r="1479">
      <c r="A1479" t="inlineStr">
        <is>
          <t xml:space="preserve">   مسجد الغفيلي .</t>
        </is>
      </c>
      <c r="B1479" t="inlineStr">
        <is>
          <t>KFM2020660049708</t>
        </is>
      </c>
      <c r="C1479" t="inlineStr">
        <is>
          <t>الرياض</t>
        </is>
      </c>
      <c r="D1479" t="inlineStr">
        <is>
          <t>كلا الفترتين</t>
        </is>
      </c>
      <c r="E1479" t="n">
        <v>1889</v>
      </c>
      <c r="F1479" t="b">
        <v>1</v>
      </c>
      <c r="G1479">
        <f>HYPERLINK("https://www.google.com/maps/search/?api=1&amp;query=24.75983333,46.82809271", "View Map")</f>
        <v/>
      </c>
    </row>
    <row r="1480">
      <c r="A1480" t="inlineStr">
        <is>
          <t xml:space="preserve">   مسجدالعثمان. .</t>
        </is>
      </c>
      <c r="B1480" t="inlineStr">
        <is>
          <t>KFM2020660053293</t>
        </is>
      </c>
      <c r="C1480" t="inlineStr">
        <is>
          <t>الرياض</t>
        </is>
      </c>
      <c r="D1480" t="inlineStr">
        <is>
          <t>كلا الفترتين</t>
        </is>
      </c>
      <c r="E1480" t="n">
        <v>1888</v>
      </c>
      <c r="F1480" t="b">
        <v>1</v>
      </c>
      <c r="G1480">
        <f>HYPERLINK("https://www.google.com/maps/search/?api=1&amp;query=24.77143772,46.74776391", "View Map")</f>
        <v/>
      </c>
    </row>
    <row r="1481">
      <c r="A1481" t="inlineStr">
        <is>
          <t xml:space="preserve">   مسجد وسكن محمد بن مترك القحطاني .</t>
        </is>
      </c>
      <c r="B1481" t="inlineStr">
        <is>
          <t>KFM2020660190946</t>
        </is>
      </c>
      <c r="C1481" t="inlineStr">
        <is>
          <t>الرياض</t>
        </is>
      </c>
      <c r="D1481" t="inlineStr">
        <is>
          <t>كلا الفترتين</t>
        </is>
      </c>
      <c r="E1481" t="n">
        <v>1888</v>
      </c>
      <c r="F1481" t="b">
        <v>0</v>
      </c>
      <c r="G1481">
        <f>HYPERLINK("https://www.google.com/maps/search/?api=1&amp;query=24.79706673,46.77418713", "View Map")</f>
        <v/>
      </c>
    </row>
    <row r="1482">
      <c r="A1482" t="inlineStr">
        <is>
          <t xml:space="preserve">   جامع الحمراء .</t>
        </is>
      </c>
      <c r="B1482" t="inlineStr">
        <is>
          <t>KFM2020660133878</t>
        </is>
      </c>
      <c r="C1482" t="inlineStr">
        <is>
          <t>الرياض</t>
        </is>
      </c>
      <c r="D1482" t="inlineStr">
        <is>
          <t>كلا الفترتين</t>
        </is>
      </c>
      <c r="E1482" t="n">
        <v>1886</v>
      </c>
      <c r="F1482" t="b">
        <v>1</v>
      </c>
      <c r="G1482">
        <f>HYPERLINK("https://www.google.com/maps/search/?api=1&amp;query=24.77350353,46.73638469", "View Map")</f>
        <v/>
      </c>
    </row>
    <row r="1483">
      <c r="A1483" t="inlineStr">
        <is>
          <t>مسجد غرب حى  البديع .</t>
        </is>
      </c>
      <c r="B1483" t="inlineStr">
        <is>
          <t>KFM2020660044486</t>
        </is>
      </c>
      <c r="C1483" t="inlineStr">
        <is>
          <t>الرياض</t>
        </is>
      </c>
      <c r="D1483" t="inlineStr">
        <is>
          <t>كلا الفترتين</t>
        </is>
      </c>
      <c r="E1483" t="n">
        <v>1885</v>
      </c>
      <c r="F1483" t="b">
        <v>0</v>
      </c>
      <c r="G1483">
        <f>HYPERLINK("https://www.google.com/maps/search/?api=1&amp;query=24.59797902,46.72360611", "View Map")</f>
        <v/>
      </c>
    </row>
    <row r="1484">
      <c r="A1484" t="inlineStr">
        <is>
          <t xml:space="preserve">   مسجد فهد المطيرى .</t>
        </is>
      </c>
      <c r="B1484" t="inlineStr">
        <is>
          <t>KFM2020660224414</t>
        </is>
      </c>
      <c r="C1484" t="inlineStr">
        <is>
          <t>الرياض</t>
        </is>
      </c>
      <c r="D1484" t="inlineStr">
        <is>
          <t>كلا الفترتين</t>
        </is>
      </c>
      <c r="E1484" t="n">
        <v>1884</v>
      </c>
      <c r="F1484" t="b">
        <v>0</v>
      </c>
      <c r="G1484">
        <f>HYPERLINK("https://www.google.com/maps/search/?api=1&amp;query=24.72774824,46.67033249", "View Map")</f>
        <v/>
      </c>
    </row>
    <row r="1485">
      <c r="A1485" t="inlineStr">
        <is>
          <t>مسجد طلحة  بن الزبير .</t>
        </is>
      </c>
      <c r="B1485" t="inlineStr">
        <is>
          <t>KFM2020660098947</t>
        </is>
      </c>
      <c r="C1485" t="inlineStr">
        <is>
          <t>الرياض</t>
        </is>
      </c>
      <c r="D1485" t="inlineStr">
        <is>
          <t>كلا الفترتين</t>
        </is>
      </c>
      <c r="E1485" t="n">
        <v>1882</v>
      </c>
      <c r="F1485" t="b">
        <v>0</v>
      </c>
      <c r="G1485">
        <f>HYPERLINK("https://www.google.com/maps/search/?api=1&amp;query=24.54932667,46.64978423", "View Map")</f>
        <v/>
      </c>
    </row>
    <row r="1486">
      <c r="A1486" t="inlineStr">
        <is>
          <t xml:space="preserve">   جامع الريس    // مغسلة الأموات .</t>
        </is>
      </c>
      <c r="B1486" t="inlineStr">
        <is>
          <t>KFM2120660253460</t>
        </is>
      </c>
      <c r="C1486" t="inlineStr">
        <is>
          <t>الرياض</t>
        </is>
      </c>
      <c r="D1486" t="inlineStr">
        <is>
          <t>كلا الفترتين</t>
        </is>
      </c>
      <c r="E1486" t="n">
        <v>1881</v>
      </c>
      <c r="F1486" t="b">
        <v>1</v>
      </c>
      <c r="G1486">
        <f>HYPERLINK("https://www.google.com/maps/search/?api=1&amp;query=24.5919537,46.7471375", "View Map")</f>
        <v/>
      </c>
    </row>
    <row r="1487">
      <c r="A1487" t="inlineStr">
        <is>
          <t>وزارة الشئون الا سلا مية والااوقاف .</t>
        </is>
      </c>
      <c r="B1487" t="inlineStr">
        <is>
          <t>KFM2020660200537</t>
        </is>
      </c>
      <c r="C1487" t="inlineStr">
        <is>
          <t>الرياض</t>
        </is>
      </c>
      <c r="D1487" t="inlineStr">
        <is>
          <t>كلا الفترتين</t>
        </is>
      </c>
      <c r="E1487" t="n">
        <v>1881</v>
      </c>
      <c r="F1487" t="b">
        <v>1</v>
      </c>
      <c r="G1487">
        <f>HYPERLINK("https://www.google.com/maps/search/?api=1&amp;query=24.51929804,46.66862652", "View Map")</f>
        <v/>
      </c>
    </row>
    <row r="1488">
      <c r="A1488" t="inlineStr">
        <is>
          <t xml:space="preserve">   مسجد البابطين .</t>
        </is>
      </c>
      <c r="B1488" t="inlineStr">
        <is>
          <t>KFM2020660139773</t>
        </is>
      </c>
      <c r="C1488" t="inlineStr">
        <is>
          <t>الرياض</t>
        </is>
      </c>
      <c r="D1488" t="inlineStr">
        <is>
          <t>كلا الفترتين</t>
        </is>
      </c>
      <c r="E1488" t="n">
        <v>1879</v>
      </c>
      <c r="F1488" t="b">
        <v>1</v>
      </c>
      <c r="G1488">
        <f>HYPERLINK("https://www.google.com/maps/search/?api=1&amp;query=24.71866892,46.78548782", "View Map")</f>
        <v/>
      </c>
    </row>
    <row r="1489">
      <c r="A1489" t="inlineStr">
        <is>
          <t xml:space="preserve">   مسجد ابناء عبدالله بن عبدالرحمن .</t>
        </is>
      </c>
      <c r="B1489" t="inlineStr">
        <is>
          <t>KFM2020660192138</t>
        </is>
      </c>
      <c r="C1489" t="inlineStr">
        <is>
          <t>الرياض</t>
        </is>
      </c>
      <c r="D1489" t="inlineStr">
        <is>
          <t>كلا الفترتين</t>
        </is>
      </c>
      <c r="E1489" t="n">
        <v>1879</v>
      </c>
      <c r="F1489" t="b">
        <v>1</v>
      </c>
      <c r="G1489">
        <f>HYPERLINK("https://www.google.com/maps/search/?api=1&amp;query=24.70086,46.66201", "View Map")</f>
        <v/>
      </c>
    </row>
    <row r="1490">
      <c r="A1490" t="inlineStr">
        <is>
          <t>ﻤﺴﺎﺠﺩ .</t>
        </is>
      </c>
      <c r="B1490" t="inlineStr">
        <is>
          <t>KFM2120660271665</t>
        </is>
      </c>
      <c r="C1490" t="inlineStr">
        <is>
          <t>الرياض</t>
        </is>
      </c>
      <c r="D1490" t="inlineStr">
        <is>
          <t>كلا الفترتين</t>
        </is>
      </c>
      <c r="E1490" t="n">
        <v>1879</v>
      </c>
      <c r="F1490" t="b">
        <v>0</v>
      </c>
      <c r="G1490">
        <f>HYPERLINK("https://www.google.com/maps/search/?api=1&amp;query=24.67529007,46.79620197", "View Map")</f>
        <v/>
      </c>
    </row>
    <row r="1491">
      <c r="A1491" t="inlineStr">
        <is>
          <t xml:space="preserve">   مسجد حي الملك فيصل .</t>
        </is>
      </c>
      <c r="B1491" t="inlineStr">
        <is>
          <t>KFM2020660193749</t>
        </is>
      </c>
      <c r="C1491" t="inlineStr">
        <is>
          <t>الرياض</t>
        </is>
      </c>
      <c r="D1491" t="inlineStr">
        <is>
          <t>كلا الفترتين</t>
        </is>
      </c>
      <c r="E1491" t="n">
        <v>1878</v>
      </c>
      <c r="F1491" t="b">
        <v>1</v>
      </c>
      <c r="G1491">
        <f>HYPERLINK("https://www.google.com/maps/search/?api=1&amp;query=24.74873106,46.80280011", "View Map")</f>
        <v/>
      </c>
    </row>
    <row r="1492">
      <c r="A1492" t="inlineStr">
        <is>
          <t xml:space="preserve">   مسجدالقاد سيةمع سكن والمؤذن .</t>
        </is>
      </c>
      <c r="B1492" t="inlineStr">
        <is>
          <t>KFM2020660038833</t>
        </is>
      </c>
      <c r="C1492" t="inlineStr">
        <is>
          <t>الرياض</t>
        </is>
      </c>
      <c r="D1492" t="inlineStr">
        <is>
          <t>كلا الفترتين</t>
        </is>
      </c>
      <c r="E1492" t="n">
        <v>1878</v>
      </c>
      <c r="F1492" t="b">
        <v>1</v>
      </c>
      <c r="G1492">
        <f>HYPERLINK("https://www.google.com/maps/search/?api=1&amp;query=24.82127642,46.80905241", "View Map")</f>
        <v/>
      </c>
    </row>
    <row r="1493">
      <c r="A1493" t="inlineStr">
        <is>
          <t xml:space="preserve">   مساجد .</t>
        </is>
      </c>
      <c r="B1493" t="inlineStr">
        <is>
          <t>KFM2020660190208</t>
        </is>
      </c>
      <c r="C1493" t="inlineStr">
        <is>
          <t>الرياض</t>
        </is>
      </c>
      <c r="D1493" t="inlineStr">
        <is>
          <t>كلا الفترتين</t>
        </is>
      </c>
      <c r="E1493" t="n">
        <v>1877</v>
      </c>
      <c r="F1493" t="b">
        <v>0</v>
      </c>
      <c r="G1493">
        <f>HYPERLINK("https://www.google.com/maps/search/?api=1&amp;query=24.83415546,46.79568329", "View Map")</f>
        <v/>
      </c>
    </row>
    <row r="1494">
      <c r="A1494" t="inlineStr">
        <is>
          <t>ﻭﺯﺍﺭﺓﺍﻟﺸﺌﻭﻥ ﺍﻻﺴﻼﻤﻴﺓﻭﺍﻻﻭﻗﺎﻑ .</t>
        </is>
      </c>
      <c r="B1494" t="inlineStr">
        <is>
          <t>KFM2020660007881</t>
        </is>
      </c>
      <c r="C1494" t="inlineStr">
        <is>
          <t>الرياض</t>
        </is>
      </c>
      <c r="D1494" t="inlineStr">
        <is>
          <t>صباحا</t>
        </is>
      </c>
      <c r="E1494" t="n">
        <v>1872</v>
      </c>
      <c r="F1494" t="b">
        <v>0</v>
      </c>
      <c r="G1494">
        <f>HYPERLINK("https://www.google.com/maps/search/?api=1&amp;query=24.5411,46.5192", "View Map")</f>
        <v/>
      </c>
    </row>
    <row r="1495">
      <c r="A1495" t="inlineStr">
        <is>
          <t>مسجد الرفيق .</t>
        </is>
      </c>
      <c r="B1495" t="inlineStr">
        <is>
          <t>KFM2020660167665</t>
        </is>
      </c>
      <c r="C1495" t="inlineStr">
        <is>
          <t>الرياض</t>
        </is>
      </c>
      <c r="D1495" t="inlineStr">
        <is>
          <t>كلا الفترتين</t>
        </is>
      </c>
      <c r="E1495" t="n">
        <v>1872</v>
      </c>
      <c r="F1495" t="b">
        <v>0</v>
      </c>
      <c r="G1495">
        <f>HYPERLINK("https://www.google.com/maps/search/?api=1&amp;query=24.54658521,46.70994599", "View Map")</f>
        <v/>
      </c>
    </row>
    <row r="1496">
      <c r="A1496" t="inlineStr">
        <is>
          <t xml:space="preserve">   مسجد      مدعج      السبيعي .</t>
        </is>
      </c>
      <c r="B1496" t="inlineStr">
        <is>
          <t>KFM2020660040812</t>
        </is>
      </c>
      <c r="C1496" t="inlineStr">
        <is>
          <t>الرياض</t>
        </is>
      </c>
      <c r="D1496" t="inlineStr">
        <is>
          <t>كلا الفترتين</t>
        </is>
      </c>
      <c r="E1496" t="n">
        <v>1871</v>
      </c>
      <c r="F1496" t="b">
        <v>0</v>
      </c>
      <c r="G1496">
        <f>HYPERLINK("https://www.google.com/maps/search/?api=1&amp;query=24.8139523,46.79696303", "View Map")</f>
        <v/>
      </c>
    </row>
    <row r="1497">
      <c r="A1497" t="inlineStr">
        <is>
          <t xml:space="preserve">   مسجد معاوية بن أبي سفيان .</t>
        </is>
      </c>
      <c r="B1497" t="inlineStr">
        <is>
          <t>KFM2020660193706</t>
        </is>
      </c>
      <c r="C1497" t="inlineStr">
        <is>
          <t>الرياض</t>
        </is>
      </c>
      <c r="D1497" t="inlineStr">
        <is>
          <t>كلا الفترتين</t>
        </is>
      </c>
      <c r="E1497" t="n">
        <v>1871</v>
      </c>
      <c r="F1497" t="b">
        <v>0</v>
      </c>
      <c r="G1497">
        <f>HYPERLINK("https://www.google.com/maps/search/?api=1&amp;query=24.73424269,46.77802372", "View Map")</f>
        <v/>
      </c>
    </row>
    <row r="1498">
      <c r="A1498" t="inlineStr">
        <is>
          <t>مسجد الوادي .</t>
        </is>
      </c>
      <c r="B1498" t="inlineStr">
        <is>
          <t>KFM2020660022920</t>
        </is>
      </c>
      <c r="C1498" t="inlineStr">
        <is>
          <t>الرياض</t>
        </is>
      </c>
      <c r="D1498" t="inlineStr">
        <is>
          <t>كلا الفترتين</t>
        </is>
      </c>
      <c r="E1498" t="n">
        <v>1871</v>
      </c>
      <c r="F1498" t="b">
        <v>0</v>
      </c>
      <c r="G1498">
        <f>HYPERLINK("https://www.google.com/maps/search/?api=1&amp;query=24.54637712,46.64397463", "View Map")</f>
        <v/>
      </c>
    </row>
    <row r="1499">
      <c r="A1499" t="inlineStr">
        <is>
          <t xml:space="preserve">   مسجد / الفاروق .</t>
        </is>
      </c>
      <c r="B1499" t="inlineStr">
        <is>
          <t>KFM2120660301486</t>
        </is>
      </c>
      <c r="C1499" t="inlineStr">
        <is>
          <t>الرياض</t>
        </is>
      </c>
      <c r="D1499" t="inlineStr">
        <is>
          <t>كلا الفترتين</t>
        </is>
      </c>
      <c r="E1499" t="n">
        <v>1870</v>
      </c>
      <c r="F1499" t="b">
        <v>1</v>
      </c>
      <c r="G1499">
        <f>HYPERLINK("https://www.google.com/maps/search/?api=1&amp;query=24.58228554,46.78926149", "View Map")</f>
        <v/>
      </c>
    </row>
    <row r="1500">
      <c r="A1500" t="inlineStr">
        <is>
          <t>ﻭﺯﺍﺭﺓﺍﻟﺸﺌﻭﻥ ﺍﻻﺴﻼﻤﻴﺓﻭﺍﻻﻭﻗﺎﻑ .</t>
        </is>
      </c>
      <c r="B1500" t="inlineStr">
        <is>
          <t>KFM2020660043886</t>
        </is>
      </c>
      <c r="C1500" t="inlineStr">
        <is>
          <t>الرياض</t>
        </is>
      </c>
      <c r="D1500" t="inlineStr">
        <is>
          <t>كلا الفترتين</t>
        </is>
      </c>
      <c r="E1500" t="n">
        <v>1870</v>
      </c>
      <c r="F1500" t="b">
        <v>0</v>
      </c>
      <c r="G1500">
        <f>HYPERLINK("https://www.google.com/maps/search/?api=1&amp;query=24.55827063,46.55290224", "View Map")</f>
        <v/>
      </c>
    </row>
    <row r="1501">
      <c r="A1501" t="inlineStr">
        <is>
          <t>ﻤﺴﺎﺠﺩ .</t>
        </is>
      </c>
      <c r="B1501" t="inlineStr">
        <is>
          <t>SMR2420661038587</t>
        </is>
      </c>
      <c r="C1501" t="inlineStr">
        <is>
          <t>الرياض</t>
        </is>
      </c>
      <c r="D1501" t="inlineStr">
        <is>
          <t>كلا الفترتين</t>
        </is>
      </c>
      <c r="E1501" t="n">
        <v>1869</v>
      </c>
      <c r="F1501" t="b">
        <v>1</v>
      </c>
      <c r="G1501">
        <f>HYPERLINK("https://www.google.com/maps/search/?api=1&amp;query=24.84132377,46.75461212", "View Map")</f>
        <v/>
      </c>
    </row>
    <row r="1502">
      <c r="A1502" t="inlineStr">
        <is>
          <t>ﻤﺴﺎﺠﺩ .</t>
        </is>
      </c>
      <c r="B1502" t="inlineStr">
        <is>
          <t>KFM2020660046535</t>
        </is>
      </c>
      <c r="C1502" t="inlineStr">
        <is>
          <t>الرياض</t>
        </is>
      </c>
      <c r="D1502" t="inlineStr">
        <is>
          <t>كلا الفترتين</t>
        </is>
      </c>
      <c r="E1502" t="n">
        <v>1869</v>
      </c>
      <c r="F1502" t="b">
        <v>1</v>
      </c>
      <c r="G1502">
        <f>HYPERLINK("https://www.google.com/maps/search/?api=1&amp;query=24.8476377,46.79006813", "View Map")</f>
        <v/>
      </c>
    </row>
    <row r="1503">
      <c r="A1503" t="inlineStr">
        <is>
          <t>ﻤﺴﺎﺠﺩ .</t>
        </is>
      </c>
      <c r="B1503" t="inlineStr">
        <is>
          <t>SMR2320661024400</t>
        </is>
      </c>
      <c r="C1503" t="inlineStr">
        <is>
          <t>الرياض</t>
        </is>
      </c>
      <c r="D1503" t="inlineStr">
        <is>
          <t>كلا الفترتين</t>
        </is>
      </c>
      <c r="E1503" t="n">
        <v>1868</v>
      </c>
      <c r="F1503" t="b">
        <v>1</v>
      </c>
      <c r="G1503">
        <f>HYPERLINK("https://www.google.com/maps/search/?api=1&amp;query=24.79030918,46.58661777", "View Map")</f>
        <v/>
      </c>
    </row>
    <row r="1504">
      <c r="A1504" t="inlineStr">
        <is>
          <t>مسجد مؤقت  بضاحية  العريجا .</t>
        </is>
      </c>
      <c r="B1504" t="inlineStr">
        <is>
          <t>KFM2020660201775</t>
        </is>
      </c>
      <c r="C1504" t="inlineStr">
        <is>
          <t>الرياض</t>
        </is>
      </c>
      <c r="D1504" t="inlineStr">
        <is>
          <t>كلا الفترتين</t>
        </is>
      </c>
      <c r="E1504" t="n">
        <v>1868</v>
      </c>
      <c r="F1504" t="b">
        <v>1</v>
      </c>
      <c r="G1504">
        <f>HYPERLINK("https://www.google.com/maps/search/?api=1&amp;query=24.57908343,46.59316279", "View Map")</f>
        <v/>
      </c>
    </row>
    <row r="1505">
      <c r="A1505" t="inlineStr">
        <is>
          <t xml:space="preserve">   مسجد العجيبه .</t>
        </is>
      </c>
      <c r="B1505" t="inlineStr">
        <is>
          <t>KFM2120660304634</t>
        </is>
      </c>
      <c r="C1505" t="inlineStr">
        <is>
          <t>الرياض</t>
        </is>
      </c>
      <c r="D1505" t="inlineStr">
        <is>
          <t>كلا الفترتين</t>
        </is>
      </c>
      <c r="E1505" t="n">
        <v>1868</v>
      </c>
      <c r="F1505" t="b">
        <v>1</v>
      </c>
      <c r="G1505">
        <f>HYPERLINK("https://www.google.com/maps/search/?api=1&amp;query=24.62070451,46.74350791", "View Map")</f>
        <v/>
      </c>
    </row>
    <row r="1506">
      <c r="A1506" t="inlineStr">
        <is>
          <t>ﻤﺴﺎﺠﺩ .</t>
        </is>
      </c>
      <c r="B1506" t="inlineStr">
        <is>
          <t>KFM2020760210057</t>
        </is>
      </c>
      <c r="C1506" t="inlineStr">
        <is>
          <t>الدرعية</t>
        </is>
      </c>
      <c r="D1506" t="inlineStr">
        <is>
          <t>كلا الفترتين</t>
        </is>
      </c>
      <c r="E1506" t="n">
        <v>1864</v>
      </c>
      <c r="F1506" t="b">
        <v>0</v>
      </c>
      <c r="G1506">
        <f>HYPERLINK("https://www.google.com/maps/search/?api=1&amp;query=24.90864,46.43628", "View Map")</f>
        <v/>
      </c>
    </row>
    <row r="1507">
      <c r="A1507" t="inlineStr">
        <is>
          <t xml:space="preserve">   مساجد .</t>
        </is>
      </c>
      <c r="B1507" t="inlineStr">
        <is>
          <t>KFM2020660053574</t>
        </is>
      </c>
      <c r="C1507" t="inlineStr">
        <is>
          <t>الرياض</t>
        </is>
      </c>
      <c r="D1507" t="inlineStr">
        <is>
          <t>مساءا</t>
        </is>
      </c>
      <c r="E1507" t="n">
        <v>1860</v>
      </c>
      <c r="F1507" t="b">
        <v>0</v>
      </c>
      <c r="G1507">
        <f>HYPERLINK("https://www.google.com/maps/search/?api=1&amp;query=24.77805939,46.7745381", "View Map")</f>
        <v/>
      </c>
    </row>
    <row r="1508">
      <c r="A1508" t="inlineStr">
        <is>
          <t xml:space="preserve">   مسجد عبدالله بن خميس .</t>
        </is>
      </c>
      <c r="B1508" t="inlineStr">
        <is>
          <t>KFM2020660027827</t>
        </is>
      </c>
      <c r="C1508" t="inlineStr">
        <is>
          <t>الدرعية</t>
        </is>
      </c>
      <c r="D1508" t="inlineStr">
        <is>
          <t>كلا الفترتين</t>
        </is>
      </c>
      <c r="E1508" t="n">
        <v>1858</v>
      </c>
      <c r="F1508" t="b">
        <v>0</v>
      </c>
      <c r="G1508">
        <f>HYPERLINK("https://www.google.com/maps/search/?api=1&amp;query=24.74352549,46.57230921", "View Map")</f>
        <v/>
      </c>
    </row>
    <row r="1509">
      <c r="A1509" t="inlineStr">
        <is>
          <t xml:space="preserve">   مسجد الحبيب .</t>
        </is>
      </c>
      <c r="B1509" t="inlineStr">
        <is>
          <t>KFM2120660299435</t>
        </is>
      </c>
      <c r="C1509" t="inlineStr">
        <is>
          <t>الرياض</t>
        </is>
      </c>
      <c r="D1509" t="inlineStr">
        <is>
          <t>كلا الفترتين</t>
        </is>
      </c>
      <c r="E1509" t="n">
        <v>1856</v>
      </c>
      <c r="F1509" t="b">
        <v>0</v>
      </c>
      <c r="G1509">
        <f>HYPERLINK("https://www.google.com/maps/search/?api=1&amp;query=24.65038768,46.76493806", "View Map")</f>
        <v/>
      </c>
    </row>
    <row r="1510">
      <c r="A1510" t="inlineStr">
        <is>
          <t xml:space="preserve">   مسجد البراء بن عازب .</t>
        </is>
      </c>
      <c r="B1510" t="inlineStr">
        <is>
          <t>KFM2020660042188</t>
        </is>
      </c>
      <c r="C1510" t="inlineStr">
        <is>
          <t>الرياض</t>
        </is>
      </c>
      <c r="D1510" t="inlineStr">
        <is>
          <t>كلا الفترتين</t>
        </is>
      </c>
      <c r="E1510" t="n">
        <v>1856</v>
      </c>
      <c r="F1510" t="b">
        <v>0</v>
      </c>
      <c r="G1510">
        <f>HYPERLINK("https://www.google.com/maps/search/?api=1&amp;query=24.73711757,46.84425704", "View Map")</f>
        <v/>
      </c>
    </row>
    <row r="1511">
      <c r="A1511" t="inlineStr">
        <is>
          <t xml:space="preserve">   مسجد حي السلي .</t>
        </is>
      </c>
      <c r="B1511" t="inlineStr">
        <is>
          <t>KFM2120660267273</t>
        </is>
      </c>
      <c r="C1511" t="inlineStr">
        <is>
          <t>الرياض</t>
        </is>
      </c>
      <c r="D1511" t="inlineStr">
        <is>
          <t>كلا الفترتين</t>
        </is>
      </c>
      <c r="E1511" t="n">
        <v>1855</v>
      </c>
      <c r="F1511" t="b">
        <v>0</v>
      </c>
      <c r="G1511">
        <f>HYPERLINK("https://www.google.com/maps/search/?api=1&amp;query=24.60279927,46.83682335", "View Map")</f>
        <v/>
      </c>
    </row>
    <row r="1512">
      <c r="A1512" t="inlineStr">
        <is>
          <t>مسجدحى  غذوانه .</t>
        </is>
      </c>
      <c r="B1512" t="inlineStr">
        <is>
          <t>KFM2020660006671</t>
        </is>
      </c>
      <c r="C1512" t="inlineStr">
        <is>
          <t>الرياض</t>
        </is>
      </c>
      <c r="D1512" t="inlineStr">
        <is>
          <t>كلا الفترتين</t>
        </is>
      </c>
      <c r="E1512" t="n">
        <v>1852</v>
      </c>
      <c r="F1512" t="b">
        <v>1</v>
      </c>
      <c r="G1512">
        <f>HYPERLINK("https://www.google.com/maps/search/?api=1&amp;query=24.59554867,46.67081579", "View Map")</f>
        <v/>
      </c>
    </row>
    <row r="1513">
      <c r="A1513" t="inlineStr">
        <is>
          <t>مسجد الحميميدى .</t>
        </is>
      </c>
      <c r="B1513" t="inlineStr">
        <is>
          <t>KFM2020660044026</t>
        </is>
      </c>
      <c r="C1513" t="inlineStr">
        <is>
          <t>الرياض</t>
        </is>
      </c>
      <c r="D1513" t="inlineStr">
        <is>
          <t>كلا الفترتين</t>
        </is>
      </c>
      <c r="E1513" t="n">
        <v>1852</v>
      </c>
      <c r="F1513" t="b">
        <v>0</v>
      </c>
      <c r="G1513">
        <f>HYPERLINK("https://www.google.com/maps/search/?api=1&amp;query=24.58275977,46.64237807", "View Map")</f>
        <v/>
      </c>
    </row>
    <row r="1514">
      <c r="A1514" t="inlineStr">
        <is>
          <t>مسجد / الشيخ  صالح  الفارس .</t>
        </is>
      </c>
      <c r="B1514" t="inlineStr">
        <is>
          <t>KFM2020660019167</t>
        </is>
      </c>
      <c r="C1514" t="inlineStr">
        <is>
          <t>الرياض</t>
        </is>
      </c>
      <c r="D1514" t="inlineStr">
        <is>
          <t>كلا الفترتين</t>
        </is>
      </c>
      <c r="E1514" t="n">
        <v>1851</v>
      </c>
      <c r="F1514" t="b">
        <v>0</v>
      </c>
      <c r="G1514">
        <f>HYPERLINK("https://www.google.com/maps/search/?api=1&amp;query=24.57131116,46.66407969", "View Map")</f>
        <v/>
      </c>
    </row>
    <row r="1515">
      <c r="A1515" t="inlineStr">
        <is>
          <t>مسجدسعيدمحمدالزهراني .</t>
        </is>
      </c>
      <c r="B1515" t="inlineStr">
        <is>
          <t>KFM2020660170956</t>
        </is>
      </c>
      <c r="C1515" t="inlineStr">
        <is>
          <t>الرياض</t>
        </is>
      </c>
      <c r="D1515" t="inlineStr">
        <is>
          <t>كلا الفترتين</t>
        </is>
      </c>
      <c r="E1515" t="n">
        <v>1850</v>
      </c>
      <c r="F1515" t="b">
        <v>1</v>
      </c>
      <c r="G1515">
        <f>HYPERLINK("https://www.google.com/maps/search/?api=1&amp;query=24.50237325,46.62671845", "View Map")</f>
        <v/>
      </c>
    </row>
    <row r="1516">
      <c r="A1516" t="inlineStr">
        <is>
          <t>ﻤﺴﺎﺠﺩ .</t>
        </is>
      </c>
      <c r="B1516" t="inlineStr">
        <is>
          <t>MMF2420601024752</t>
        </is>
      </c>
      <c r="C1516" t="inlineStr">
        <is>
          <t>الرياض</t>
        </is>
      </c>
      <c r="D1516" t="inlineStr">
        <is>
          <t>كلا الفترتين</t>
        </is>
      </c>
      <c r="E1516" t="n">
        <v>1849</v>
      </c>
      <c r="F1516" t="b">
        <v>0</v>
      </c>
      <c r="G1516">
        <f>HYPERLINK("https://www.google.com/maps/search/?api=1&amp;query=24.91110172,46.6178097", "View Map")</f>
        <v/>
      </c>
    </row>
    <row r="1517">
      <c r="A1517" t="inlineStr">
        <is>
          <t xml:space="preserve">   مسجد عبدالله الرشيد .</t>
        </is>
      </c>
      <c r="B1517" t="inlineStr">
        <is>
          <t>KFM2020660143136</t>
        </is>
      </c>
      <c r="C1517" t="inlineStr">
        <is>
          <t>الرياض</t>
        </is>
      </c>
      <c r="D1517" t="inlineStr">
        <is>
          <t>كلا الفترتين</t>
        </is>
      </c>
      <c r="E1517" t="n">
        <v>1849</v>
      </c>
      <c r="F1517" t="b">
        <v>1</v>
      </c>
      <c r="G1517">
        <f>HYPERLINK("https://www.google.com/maps/search/?api=1&amp;query=24.7016169,46.7738958", "View Map")</f>
        <v/>
      </c>
    </row>
    <row r="1518">
      <c r="A1518" t="inlineStr">
        <is>
          <t>مسجد  /  السويدى .</t>
        </is>
      </c>
      <c r="B1518" t="inlineStr">
        <is>
          <t>KFM2020660025772</t>
        </is>
      </c>
      <c r="C1518" t="inlineStr">
        <is>
          <t>الرياض</t>
        </is>
      </c>
      <c r="D1518" t="inlineStr">
        <is>
          <t>كلا الفترتين</t>
        </is>
      </c>
      <c r="E1518" t="n">
        <v>1849</v>
      </c>
      <c r="F1518" t="b">
        <v>0</v>
      </c>
      <c r="G1518">
        <f>HYPERLINK("https://www.google.com/maps/search/?api=1&amp;query=24.57241211,46.64518043", "View Map")</f>
        <v/>
      </c>
    </row>
    <row r="1519">
      <c r="A1519" t="inlineStr">
        <is>
          <t xml:space="preserve">   مسجدتركي العساف بحي الازدهار .</t>
        </is>
      </c>
      <c r="B1519" t="inlineStr">
        <is>
          <t>KFM2020660173091</t>
        </is>
      </c>
      <c r="C1519" t="inlineStr">
        <is>
          <t>الرياض</t>
        </is>
      </c>
      <c r="D1519" t="inlineStr">
        <is>
          <t>كلا الفترتين</t>
        </is>
      </c>
      <c r="E1519" t="n">
        <v>1848</v>
      </c>
      <c r="F1519" t="b">
        <v>0</v>
      </c>
      <c r="G1519">
        <f>HYPERLINK("https://www.google.com/maps/search/?api=1&amp;query=24.77294,46.71946", "View Map")</f>
        <v/>
      </c>
    </row>
    <row r="1520">
      <c r="A1520" t="inlineStr">
        <is>
          <t xml:space="preserve"> مسجد صحارى بلسى /خلف فندق صلاح الدين .</t>
        </is>
      </c>
      <c r="B1520" t="inlineStr">
        <is>
          <t>KFM2020660206964</t>
        </is>
      </c>
      <c r="C1520" t="inlineStr">
        <is>
          <t>الرياض</t>
        </is>
      </c>
      <c r="D1520" t="inlineStr">
        <is>
          <t>كلا الفترتين</t>
        </is>
      </c>
      <c r="E1520" t="n">
        <v>1847</v>
      </c>
      <c r="F1520" t="b">
        <v>1</v>
      </c>
      <c r="G1520">
        <f>HYPERLINK("https://www.google.com/maps/search/?api=1&amp;query=24.7306116,46.69007696", "View Map")</f>
        <v/>
      </c>
    </row>
    <row r="1521">
      <c r="A1521" t="inlineStr">
        <is>
          <t xml:space="preserve">   مسجد      الخير     الشون .</t>
        </is>
      </c>
      <c r="B1521" t="inlineStr">
        <is>
          <t>KFM2020660176814</t>
        </is>
      </c>
      <c r="C1521" t="inlineStr">
        <is>
          <t>الرياض</t>
        </is>
      </c>
      <c r="D1521" t="inlineStr">
        <is>
          <t>كلا الفترتين</t>
        </is>
      </c>
      <c r="E1521" t="n">
        <v>1843</v>
      </c>
      <c r="F1521" t="b">
        <v>0</v>
      </c>
      <c r="G1521">
        <f>HYPERLINK("https://www.google.com/maps/search/?api=1&amp;query=24.61719769,46.52628644", "View Map")</f>
        <v/>
      </c>
    </row>
    <row r="1522">
      <c r="A1522" t="inlineStr">
        <is>
          <t xml:space="preserve">   مسجد/فالح بن مشعان السهلى .</t>
        </is>
      </c>
      <c r="B1522" t="inlineStr">
        <is>
          <t>SMR2320661029512</t>
        </is>
      </c>
      <c r="C1522" t="inlineStr">
        <is>
          <t>الدرعية</t>
        </is>
      </c>
      <c r="D1522" t="inlineStr">
        <is>
          <t>كلا الفترتين</t>
        </is>
      </c>
      <c r="E1522" t="n">
        <v>1842</v>
      </c>
      <c r="F1522" t="b">
        <v>1</v>
      </c>
      <c r="G1522">
        <f>HYPERLINK("https://www.google.com/maps/search/?api=1&amp;query=24.90731121,46.38222352", "View Map")</f>
        <v/>
      </c>
    </row>
    <row r="1523">
      <c r="A1523" t="inlineStr">
        <is>
          <t xml:space="preserve">   مسجد عقبه بن نافع .</t>
        </is>
      </c>
      <c r="B1523" t="inlineStr">
        <is>
          <t>KFM2020660012603</t>
        </is>
      </c>
      <c r="C1523" t="inlineStr">
        <is>
          <t>الرياض</t>
        </is>
      </c>
      <c r="D1523" t="inlineStr">
        <is>
          <t>كلا الفترتين</t>
        </is>
      </c>
      <c r="E1523" t="n">
        <v>1841</v>
      </c>
      <c r="F1523" t="b">
        <v>0</v>
      </c>
      <c r="G1523">
        <f>HYPERLINK("https://www.google.com/maps/search/?api=1&amp;query=24.73649114,46.7762408", "View Map")</f>
        <v/>
      </c>
    </row>
    <row r="1524">
      <c r="A1524" t="inlineStr">
        <is>
          <t xml:space="preserve">   مسجدالامير / سلطان بن عبدالعزيز .</t>
        </is>
      </c>
      <c r="B1524" t="inlineStr">
        <is>
          <t>KFM2120660280776</t>
        </is>
      </c>
      <c r="C1524" t="inlineStr">
        <is>
          <t>الرياض</t>
        </is>
      </c>
      <c r="D1524" t="inlineStr">
        <is>
          <t>كلا الفترتين</t>
        </is>
      </c>
      <c r="E1524" t="n">
        <v>1840</v>
      </c>
      <c r="F1524" t="b">
        <v>0</v>
      </c>
      <c r="G1524">
        <f>HYPERLINK("https://www.google.com/maps/search/?api=1&amp;query=24.70475476,46.68789335", "View Map")</f>
        <v/>
      </c>
    </row>
    <row r="1525">
      <c r="A1525" t="inlineStr">
        <is>
          <t xml:space="preserve">   مسجد      الرضوان   الرضوان .</t>
        </is>
      </c>
      <c r="B1525" t="inlineStr">
        <is>
          <t>KFM2020660170817</t>
        </is>
      </c>
      <c r="C1525" t="inlineStr">
        <is>
          <t>الرياض</t>
        </is>
      </c>
      <c r="D1525" t="inlineStr">
        <is>
          <t>كلا الفترتين</t>
        </is>
      </c>
      <c r="E1525" t="n">
        <v>1840</v>
      </c>
      <c r="F1525" t="b">
        <v>1</v>
      </c>
      <c r="G1525">
        <f>HYPERLINK("https://www.google.com/maps/search/?api=1&amp;query=24.70001617,46.7772752", "View Map")</f>
        <v/>
      </c>
    </row>
    <row r="1526">
      <c r="A1526" t="inlineStr">
        <is>
          <t xml:space="preserve">   مسجد      ابن       . .</t>
        </is>
      </c>
      <c r="B1526" t="inlineStr">
        <is>
          <t>KFM2020660197965</t>
        </is>
      </c>
      <c r="C1526" t="inlineStr">
        <is>
          <t>الرياض</t>
        </is>
      </c>
      <c r="D1526" t="inlineStr">
        <is>
          <t>كلا الفترتين</t>
        </is>
      </c>
      <c r="E1526" t="n">
        <v>1839</v>
      </c>
      <c r="F1526" t="b">
        <v>1</v>
      </c>
      <c r="G1526">
        <f>HYPERLINK("https://www.google.com/maps/search/?api=1&amp;query=24.62314321,46.55773407", "View Map")</f>
        <v/>
      </c>
    </row>
    <row r="1527">
      <c r="A1527" t="inlineStr">
        <is>
          <t xml:space="preserve">   مسجدابراهيم محمدالسعيدان .</t>
        </is>
      </c>
      <c r="B1527" t="inlineStr">
        <is>
          <t>KFM2020660127488</t>
        </is>
      </c>
      <c r="C1527" t="inlineStr">
        <is>
          <t>الرياض</t>
        </is>
      </c>
      <c r="D1527" t="inlineStr">
        <is>
          <t>كلا الفترتين</t>
        </is>
      </c>
      <c r="E1527" t="n">
        <v>1838</v>
      </c>
      <c r="F1527" t="b">
        <v>0</v>
      </c>
      <c r="G1527">
        <f>HYPERLINK("https://www.google.com/maps/search/?api=1&amp;query=24.7672,46.675", "View Map")</f>
        <v/>
      </c>
    </row>
    <row r="1528">
      <c r="A1528" t="inlineStr">
        <is>
          <t>مسجدوالدة الآميرسلمان بن عبدالعزيز .</t>
        </is>
      </c>
      <c r="B1528" t="inlineStr">
        <is>
          <t>KFM2020660203530</t>
        </is>
      </c>
      <c r="C1528" t="inlineStr">
        <is>
          <t>الرياض</t>
        </is>
      </c>
      <c r="D1528" t="inlineStr">
        <is>
          <t>كلا الفترتين</t>
        </is>
      </c>
      <c r="E1528" t="n">
        <v>1837</v>
      </c>
      <c r="F1528" t="b">
        <v>0</v>
      </c>
      <c r="G1528">
        <f>HYPERLINK("https://www.google.com/maps/search/?api=1&amp;query=24.64455057,46.6869071", "View Map")</f>
        <v/>
      </c>
    </row>
    <row r="1529">
      <c r="A1529" t="inlineStr">
        <is>
          <t>ﻭﺯﺍﺭﺓﺍﻟﺸﺌﻭﻥ ﺍﻻﺴﻼﻤﻴﺓﻭﺍﻻﻭﻗﺎﻑ .</t>
        </is>
      </c>
      <c r="B1529" t="inlineStr">
        <is>
          <t>KFM2020660203721</t>
        </is>
      </c>
      <c r="C1529" t="inlineStr">
        <is>
          <t>الرياض</t>
        </is>
      </c>
      <c r="D1529" t="inlineStr">
        <is>
          <t>كلا الفترتين</t>
        </is>
      </c>
      <c r="E1529" t="n">
        <v>1837</v>
      </c>
      <c r="F1529" t="b">
        <v>0</v>
      </c>
      <c r="G1529">
        <f>HYPERLINK("https://www.google.com/maps/search/?api=1&amp;query=24.6125,46.7017", "View Map")</f>
        <v/>
      </c>
    </row>
    <row r="1530">
      <c r="A1530" t="inlineStr">
        <is>
          <t xml:space="preserve">   مسجد رقم 16 .</t>
        </is>
      </c>
      <c r="B1530" t="inlineStr">
        <is>
          <t>KFM2120660304065</t>
        </is>
      </c>
      <c r="C1530" t="inlineStr">
        <is>
          <t>الرياض</t>
        </is>
      </c>
      <c r="D1530" t="inlineStr">
        <is>
          <t>كلا الفترتين</t>
        </is>
      </c>
      <c r="E1530" t="n">
        <v>1837</v>
      </c>
      <c r="F1530" t="b">
        <v>1</v>
      </c>
      <c r="G1530">
        <f>HYPERLINK("https://www.google.com/maps/search/?api=1&amp;query=24.6637176,46.80484601", "View Map")</f>
        <v/>
      </c>
    </row>
    <row r="1531">
      <c r="A1531" t="inlineStr">
        <is>
          <t xml:space="preserve">   مسجد وسكن المونسيه .</t>
        </is>
      </c>
      <c r="B1531" t="inlineStr">
        <is>
          <t>MMF2020800185869</t>
        </is>
      </c>
      <c r="C1531" t="inlineStr">
        <is>
          <t>الرياض</t>
        </is>
      </c>
      <c r="D1531" t="inlineStr">
        <is>
          <t>كلا الفترتين</t>
        </is>
      </c>
      <c r="E1531" t="n">
        <v>1836</v>
      </c>
      <c r="F1531" t="b">
        <v>0</v>
      </c>
      <c r="G1531">
        <f>HYPERLINK("https://www.google.com/maps/search/?api=1&amp;query=24.82515323,46.78374478", "View Map")</f>
        <v/>
      </c>
    </row>
    <row r="1532">
      <c r="A1532" t="inlineStr">
        <is>
          <t>مسجد المروه  جنوب  المعارض .</t>
        </is>
      </c>
      <c r="B1532" t="inlineStr">
        <is>
          <t>KFM2020660198910</t>
        </is>
      </c>
      <c r="C1532" t="inlineStr">
        <is>
          <t>الرياض</t>
        </is>
      </c>
      <c r="D1532" t="inlineStr">
        <is>
          <t>كلا الفترتين</t>
        </is>
      </c>
      <c r="E1532" t="n">
        <v>1836</v>
      </c>
      <c r="F1532" t="b">
        <v>0</v>
      </c>
      <c r="G1532">
        <f>HYPERLINK("https://www.google.com/maps/search/?api=1&amp;query=24.5408,46.6944", "View Map")</f>
        <v/>
      </c>
    </row>
    <row r="1533">
      <c r="A1533" t="inlineStr">
        <is>
          <t xml:space="preserve">   مسجد / علي فهد الهزاع .</t>
        </is>
      </c>
      <c r="B1533" t="inlineStr">
        <is>
          <t>KFM2020660057274</t>
        </is>
      </c>
      <c r="C1533" t="inlineStr">
        <is>
          <t>الرياض</t>
        </is>
      </c>
      <c r="D1533" t="inlineStr">
        <is>
          <t>كلا الفترتين</t>
        </is>
      </c>
      <c r="E1533" t="n">
        <v>1833</v>
      </c>
      <c r="F1533" t="b">
        <v>0</v>
      </c>
      <c r="G1533">
        <f>HYPERLINK("https://www.google.com/maps/search/?api=1&amp;query=24.72411491,46.85601722", "View Map")</f>
        <v/>
      </c>
    </row>
    <row r="1534">
      <c r="A1534" t="inlineStr">
        <is>
          <t>ﻭﺯﺍﺭﺓﺍﻟﺸﺌﻭﻥ ﺍﻻﺴﻼﻤﻴﺓﻭﺍﻻﻭﻗﺎﻑ .</t>
        </is>
      </c>
      <c r="B1534" t="inlineStr">
        <is>
          <t>SMR2320661034947</t>
        </is>
      </c>
      <c r="C1534" t="inlineStr">
        <is>
          <t>الرياض</t>
        </is>
      </c>
      <c r="D1534" t="inlineStr">
        <is>
          <t>كلا الفترتين</t>
        </is>
      </c>
      <c r="E1534" t="n">
        <v>1833</v>
      </c>
      <c r="F1534" t="b">
        <v>1</v>
      </c>
      <c r="G1534">
        <f>HYPERLINK("https://www.google.com/maps/search/?api=1&amp;query=24.55400993,46.57070032", "View Map")</f>
        <v/>
      </c>
    </row>
    <row r="1535">
      <c r="A1535" t="inlineStr">
        <is>
          <t>ﻤﺴﺎﺠﺩ .</t>
        </is>
      </c>
      <c r="B1535" t="inlineStr">
        <is>
          <t>SMR2320661021347</t>
        </is>
      </c>
      <c r="C1535" t="inlineStr">
        <is>
          <t>الرياض</t>
        </is>
      </c>
      <c r="D1535" t="inlineStr">
        <is>
          <t>كلا الفترتين</t>
        </is>
      </c>
      <c r="E1535" t="n">
        <v>1833</v>
      </c>
      <c r="F1535" t="b">
        <v>1</v>
      </c>
      <c r="G1535">
        <f>HYPERLINK("https://www.google.com/maps/search/?api=1&amp;query=24.92525789,46.82341566", "View Map")</f>
        <v/>
      </c>
    </row>
    <row r="1536">
      <c r="A1536" t="inlineStr">
        <is>
          <t>ﻤﺴﺎﺠﺩ .</t>
        </is>
      </c>
      <c r="B1536" t="inlineStr">
        <is>
          <t>KFM2120660282510</t>
        </is>
      </c>
      <c r="C1536" t="inlineStr">
        <is>
          <t>الرياض</t>
        </is>
      </c>
      <c r="D1536" t="inlineStr">
        <is>
          <t>كلا الفترتين</t>
        </is>
      </c>
      <c r="E1536" t="n">
        <v>1833</v>
      </c>
      <c r="F1536" t="b">
        <v>1</v>
      </c>
      <c r="G1536">
        <f>HYPERLINK("https://www.google.com/maps/search/?api=1&amp;query=24.64570349,46.77105869", "View Map")</f>
        <v/>
      </c>
    </row>
    <row r="1537">
      <c r="A1537" t="inlineStr">
        <is>
          <t xml:space="preserve">   مسجد حي الروضه .</t>
        </is>
      </c>
      <c r="B1537" t="inlineStr">
        <is>
          <t>KFM2020660037572</t>
        </is>
      </c>
      <c r="C1537" t="inlineStr">
        <is>
          <t>الرياض</t>
        </is>
      </c>
      <c r="D1537" t="inlineStr">
        <is>
          <t>كلا الفترتين</t>
        </is>
      </c>
      <c r="E1537" t="n">
        <v>1829</v>
      </c>
      <c r="F1537" t="b">
        <v>0</v>
      </c>
      <c r="G1537">
        <f>HYPERLINK("https://www.google.com/maps/search/?api=1&amp;query=24.74446412,46.78346912", "View Map")</f>
        <v/>
      </c>
    </row>
    <row r="1538">
      <c r="A1538" t="inlineStr">
        <is>
          <t>ﻤﺴﺎﺠﺩ .</t>
        </is>
      </c>
      <c r="B1538" t="inlineStr">
        <is>
          <t>KFM2120660300562</t>
        </is>
      </c>
      <c r="C1538" t="inlineStr">
        <is>
          <t>الرياض</t>
        </is>
      </c>
      <c r="D1538" t="inlineStr">
        <is>
          <t>كلا الفترتين</t>
        </is>
      </c>
      <c r="E1538" t="n">
        <v>1828</v>
      </c>
      <c r="F1538" t="b">
        <v>1</v>
      </c>
      <c r="G1538">
        <f>HYPERLINK("https://www.google.com/maps/search/?api=1&amp;query=24.55117376,46.77483011", "View Map")</f>
        <v/>
      </c>
    </row>
    <row r="1539">
      <c r="A1539" t="inlineStr">
        <is>
          <t>جامع الملك  خالدعلى  سعد .</t>
        </is>
      </c>
      <c r="B1539" t="inlineStr">
        <is>
          <t>KFM2020660203687</t>
        </is>
      </c>
      <c r="C1539" t="inlineStr">
        <is>
          <t>الرياض</t>
        </is>
      </c>
      <c r="D1539" t="inlineStr">
        <is>
          <t>كلا الفترتين</t>
        </is>
      </c>
      <c r="E1539" t="n">
        <v>1827</v>
      </c>
      <c r="F1539" t="b">
        <v>0</v>
      </c>
      <c r="G1539">
        <f>HYPERLINK("https://www.google.com/maps/search/?api=1&amp;query=24.60453795,46.72325317", "View Map")</f>
        <v/>
      </c>
    </row>
    <row r="1540">
      <c r="A1540" t="inlineStr">
        <is>
          <t xml:space="preserve">   مسجد محمد زيد الجويعد .</t>
        </is>
      </c>
      <c r="B1540" t="inlineStr">
        <is>
          <t>KFM2020660191751</t>
        </is>
      </c>
      <c r="C1540" t="inlineStr">
        <is>
          <t>الرياض</t>
        </is>
      </c>
      <c r="D1540" t="inlineStr">
        <is>
          <t>كلا الفترتين</t>
        </is>
      </c>
      <c r="E1540" t="n">
        <v>1826</v>
      </c>
      <c r="F1540" t="b">
        <v>1</v>
      </c>
      <c r="G1540">
        <f>HYPERLINK("https://www.google.com/maps/search/?api=1&amp;query=24.72195266,46.81280705", "View Map")</f>
        <v/>
      </c>
    </row>
    <row r="1541">
      <c r="A1541" t="inlineStr">
        <is>
          <t xml:space="preserve">   مسجدالدار البيضاء .</t>
        </is>
      </c>
      <c r="B1541" t="inlineStr">
        <is>
          <t>KFM2020660162242</t>
        </is>
      </c>
      <c r="C1541" t="inlineStr">
        <is>
          <t>الرياض</t>
        </is>
      </c>
      <c r="D1541" t="inlineStr">
        <is>
          <t>كلا الفترتين</t>
        </is>
      </c>
      <c r="E1541" t="n">
        <v>1826</v>
      </c>
      <c r="F1541" t="b">
        <v>1</v>
      </c>
      <c r="G1541">
        <f>HYPERLINK("https://www.google.com/maps/search/?api=1&amp;query=24.56370406,46.77201019", "View Map")</f>
        <v/>
      </c>
    </row>
    <row r="1542">
      <c r="A1542" t="inlineStr">
        <is>
          <t xml:space="preserve">   مسجد الخزامى .</t>
        </is>
      </c>
      <c r="B1542" t="inlineStr">
        <is>
          <t>KFM2020660048437</t>
        </is>
      </c>
      <c r="C1542" t="inlineStr">
        <is>
          <t>الرياض</t>
        </is>
      </c>
      <c r="D1542" t="inlineStr">
        <is>
          <t>كلا الفترتين</t>
        </is>
      </c>
      <c r="E1542" t="n">
        <v>1826</v>
      </c>
      <c r="F1542" t="b">
        <v>0</v>
      </c>
      <c r="G1542">
        <f>HYPERLINK("https://www.google.com/maps/search/?api=1&amp;query=24.705896,46.61826581", "View Map")</f>
        <v/>
      </c>
    </row>
    <row r="1543">
      <c r="A1543" t="inlineStr">
        <is>
          <t xml:space="preserve">   مسجد الامام الالباني .</t>
        </is>
      </c>
      <c r="B1543" t="inlineStr">
        <is>
          <t>KFM2120660260339</t>
        </is>
      </c>
      <c r="C1543" t="inlineStr">
        <is>
          <t>الرياض</t>
        </is>
      </c>
      <c r="D1543" t="inlineStr">
        <is>
          <t>كلا الفترتين</t>
        </is>
      </c>
      <c r="E1543" t="n">
        <v>1825</v>
      </c>
      <c r="F1543" t="b">
        <v>1</v>
      </c>
      <c r="G1543">
        <f>HYPERLINK("https://www.google.com/maps/search/?api=1&amp;query=24.66092715,46.79239513", "View Map")</f>
        <v/>
      </c>
    </row>
    <row r="1544">
      <c r="A1544" t="inlineStr">
        <is>
          <t xml:space="preserve">   مسجد العجلان .</t>
        </is>
      </c>
      <c r="B1544" t="inlineStr">
        <is>
          <t>KFM2020660060637</t>
        </is>
      </c>
      <c r="C1544" t="inlineStr">
        <is>
          <t>الرياض</t>
        </is>
      </c>
      <c r="D1544" t="inlineStr">
        <is>
          <t>كلا الفترتين</t>
        </is>
      </c>
      <c r="E1544" t="n">
        <v>1825</v>
      </c>
      <c r="F1544" t="b">
        <v>0</v>
      </c>
      <c r="G1544">
        <f>HYPERLINK("https://www.google.com/maps/search/?api=1&amp;query=24.78389585,46.81399146", "View Map")</f>
        <v/>
      </c>
    </row>
    <row r="1545">
      <c r="A1545" t="inlineStr">
        <is>
          <t>جامع يوسف  الحربي .</t>
        </is>
      </c>
      <c r="B1545" t="inlineStr">
        <is>
          <t>KFM2020660173465</t>
        </is>
      </c>
      <c r="C1545" t="inlineStr">
        <is>
          <t>الرياض</t>
        </is>
      </c>
      <c r="D1545" t="inlineStr">
        <is>
          <t>كلا الفترتين</t>
        </is>
      </c>
      <c r="E1545" t="n">
        <v>1821</v>
      </c>
      <c r="F1545" t="b">
        <v>0</v>
      </c>
      <c r="G1545">
        <f>HYPERLINK("https://www.google.com/maps/search/?api=1&amp;query=24.58798906,46.54917495", "View Map")</f>
        <v/>
      </c>
    </row>
    <row r="1546">
      <c r="A1546" t="inlineStr">
        <is>
          <t>مساجد .</t>
        </is>
      </c>
      <c r="B1546" t="inlineStr">
        <is>
          <t>KFM2020660104253</t>
        </is>
      </c>
      <c r="C1546" t="inlineStr">
        <is>
          <t>الرياض</t>
        </is>
      </c>
      <c r="D1546" t="inlineStr">
        <is>
          <t>كلا الفترتين</t>
        </is>
      </c>
      <c r="E1546" t="n">
        <v>1821</v>
      </c>
      <c r="F1546" t="b">
        <v>1</v>
      </c>
      <c r="G1546">
        <f>HYPERLINK("https://www.google.com/maps/search/?api=1&amp;query=24.81767629,46.65090162", "View Map")</f>
        <v/>
      </c>
    </row>
    <row r="1547">
      <c r="A1547" t="inlineStr">
        <is>
          <t>ﻤﺴﺎﺠﺩ .</t>
        </is>
      </c>
      <c r="B1547" t="inlineStr">
        <is>
          <t>KFM2120660251570</t>
        </is>
      </c>
      <c r="C1547" t="inlineStr">
        <is>
          <t>الرياض</t>
        </is>
      </c>
      <c r="D1547" t="inlineStr">
        <is>
          <t>كلا الفترتين</t>
        </is>
      </c>
      <c r="E1547" t="n">
        <v>1821</v>
      </c>
      <c r="F1547" t="b">
        <v>0</v>
      </c>
      <c r="G1547">
        <f>HYPERLINK("https://www.google.com/maps/search/?api=1&amp;query=24.7851743,46.90611436", "View Map")</f>
        <v/>
      </c>
    </row>
    <row r="1548">
      <c r="A1548" t="inlineStr">
        <is>
          <t>ﻤﺴﺎﺠﺩ .</t>
        </is>
      </c>
      <c r="B1548" t="inlineStr">
        <is>
          <t>SMR2320661030331</t>
        </is>
      </c>
      <c r="C1548" t="inlineStr">
        <is>
          <t>الرياض</t>
        </is>
      </c>
      <c r="D1548" t="inlineStr">
        <is>
          <t>كلا الفترتين</t>
        </is>
      </c>
      <c r="E1548" t="n">
        <v>1821</v>
      </c>
      <c r="F1548" t="b">
        <v>1</v>
      </c>
      <c r="G1548">
        <f>HYPERLINK("https://www.google.com/maps/search/?api=1&amp;query=24.83262768,46.81771632", "View Map")</f>
        <v/>
      </c>
    </row>
    <row r="1549">
      <c r="A1549" t="inlineStr">
        <is>
          <t>مسجد ال  خالد .</t>
        </is>
      </c>
      <c r="B1549" t="inlineStr">
        <is>
          <t>KFM2020660013736</t>
        </is>
      </c>
      <c r="C1549" t="inlineStr">
        <is>
          <t>الرياض</t>
        </is>
      </c>
      <c r="D1549" t="inlineStr">
        <is>
          <t>كلا الفترتين</t>
        </is>
      </c>
      <c r="E1549" t="n">
        <v>1821</v>
      </c>
      <c r="F1549" t="b">
        <v>0</v>
      </c>
      <c r="G1549">
        <f>HYPERLINK("https://www.google.com/maps/search/?api=1&amp;query=24.58383602,46.69042245", "View Map")</f>
        <v/>
      </c>
    </row>
    <row r="1550">
      <c r="A1550" t="inlineStr">
        <is>
          <t xml:space="preserve">   مسجد التويجري .</t>
        </is>
      </c>
      <c r="B1550" t="inlineStr">
        <is>
          <t>KFM2020660012601</t>
        </is>
      </c>
      <c r="C1550" t="inlineStr">
        <is>
          <t>الرياض</t>
        </is>
      </c>
      <c r="D1550" t="inlineStr">
        <is>
          <t>كلا الفترتين</t>
        </is>
      </c>
      <c r="E1550" t="n">
        <v>1819</v>
      </c>
      <c r="F1550" t="b">
        <v>0</v>
      </c>
      <c r="G1550">
        <f>HYPERLINK("https://www.google.com/maps/search/?api=1&amp;query=24.74364401,46.77466416", "View Map")</f>
        <v/>
      </c>
    </row>
    <row r="1551">
      <c r="A1551" t="inlineStr">
        <is>
          <t xml:space="preserve">   مسجد ناصر الدهيم .</t>
        </is>
      </c>
      <c r="B1551" t="inlineStr">
        <is>
          <t>KFM2020660056959</t>
        </is>
      </c>
      <c r="C1551" t="inlineStr">
        <is>
          <t>الرياض</t>
        </is>
      </c>
      <c r="D1551" t="inlineStr">
        <is>
          <t>كلا الفترتين</t>
        </is>
      </c>
      <c r="E1551" t="n">
        <v>1819</v>
      </c>
      <c r="F1551" t="b">
        <v>0</v>
      </c>
      <c r="G1551">
        <f>HYPERLINK("https://www.google.com/maps/search/?api=1&amp;query=24.72040999,46.76083426", "View Map")</f>
        <v/>
      </c>
    </row>
    <row r="1552">
      <c r="A1552" t="inlineStr">
        <is>
          <t>وزارة الشئون الاسلامية مسجد المرشد .</t>
        </is>
      </c>
      <c r="B1552" t="inlineStr">
        <is>
          <t>KFM2020660049580</t>
        </is>
      </c>
      <c r="C1552" t="inlineStr">
        <is>
          <t>الرياض</t>
        </is>
      </c>
      <c r="D1552" t="inlineStr">
        <is>
          <t>كلا الفترتين</t>
        </is>
      </c>
      <c r="E1552" t="n">
        <v>1819</v>
      </c>
      <c r="F1552" t="b">
        <v>1</v>
      </c>
      <c r="G1552">
        <f>HYPERLINK("https://www.google.com/maps/search/?api=1&amp;query=24.5683,46.6019", "View Map")</f>
        <v/>
      </c>
    </row>
    <row r="1553">
      <c r="A1553" t="inlineStr">
        <is>
          <t xml:space="preserve">  مسجدسموالاميره/لطيفه بنت عبدالعزيز .</t>
        </is>
      </c>
      <c r="B1553" t="inlineStr">
        <is>
          <t>KFM2120660246923</t>
        </is>
      </c>
      <c r="C1553" t="inlineStr">
        <is>
          <t>الرياض</t>
        </is>
      </c>
      <c r="D1553" t="inlineStr">
        <is>
          <t>كلا الفترتين</t>
        </is>
      </c>
      <c r="E1553" t="n">
        <v>1817</v>
      </c>
      <c r="F1553" t="b">
        <v>0</v>
      </c>
      <c r="G1553">
        <f>HYPERLINK("https://www.google.com/maps/search/?api=1&amp;query=24.71926343,46.68494767", "View Map")</f>
        <v/>
      </c>
    </row>
    <row r="1554">
      <c r="A1554" t="inlineStr">
        <is>
          <t xml:space="preserve">   مسجد الموسي وبيتي الامام والمؤذن .</t>
        </is>
      </c>
      <c r="B1554" t="inlineStr">
        <is>
          <t>KFM2020660190820</t>
        </is>
      </c>
      <c r="C1554" t="inlineStr">
        <is>
          <t>الرياض</t>
        </is>
      </c>
      <c r="D1554" t="inlineStr">
        <is>
          <t>كلا الفترتين</t>
        </is>
      </c>
      <c r="E1554" t="n">
        <v>1817</v>
      </c>
      <c r="F1554" t="b">
        <v>1</v>
      </c>
      <c r="G1554">
        <f>HYPERLINK("https://www.google.com/maps/search/?api=1&amp;query=24.83112837,46.6431487", "View Map")</f>
        <v/>
      </c>
    </row>
    <row r="1555">
      <c r="A1555" t="inlineStr">
        <is>
          <t xml:space="preserve">   مسجد حى النفل مؤقت .</t>
        </is>
      </c>
      <c r="B1555" t="inlineStr">
        <is>
          <t>KFM2020660008202</t>
        </is>
      </c>
      <c r="C1555" t="inlineStr">
        <is>
          <t>الرياض</t>
        </is>
      </c>
      <c r="D1555" t="inlineStr">
        <is>
          <t>كلا الفترتين</t>
        </is>
      </c>
      <c r="E1555" t="n">
        <v>1816</v>
      </c>
      <c r="F1555" t="b">
        <v>0</v>
      </c>
      <c r="G1555">
        <f>HYPERLINK("https://www.google.com/maps/search/?api=1&amp;query=24.77746257,46.68158165", "View Map")</f>
        <v/>
      </c>
    </row>
    <row r="1556">
      <c r="A1556" t="inlineStr">
        <is>
          <t xml:space="preserve">   مسجدالخليل .</t>
        </is>
      </c>
      <c r="B1556" t="inlineStr">
        <is>
          <t>KFM2120660271545</t>
        </is>
      </c>
      <c r="C1556" t="inlineStr">
        <is>
          <t>الرياض</t>
        </is>
      </c>
      <c r="D1556" t="inlineStr">
        <is>
          <t>كلا الفترتين</t>
        </is>
      </c>
      <c r="E1556" t="n">
        <v>1816</v>
      </c>
      <c r="F1556" t="b">
        <v>0</v>
      </c>
      <c r="G1556">
        <f>HYPERLINK("https://www.google.com/maps/search/?api=1&amp;query=24.67108266,46.81242773", "View Map")</f>
        <v/>
      </c>
    </row>
    <row r="1557">
      <c r="A1557" t="inlineStr">
        <is>
          <t xml:space="preserve">   مسجد علي بن ابي طالب .</t>
        </is>
      </c>
      <c r="B1557" t="inlineStr">
        <is>
          <t>KFM2120660271572</t>
        </is>
      </c>
      <c r="C1557" t="inlineStr">
        <is>
          <t>الرياض</t>
        </is>
      </c>
      <c r="D1557" t="inlineStr">
        <is>
          <t>كلا الفترتين</t>
        </is>
      </c>
      <c r="E1557" t="n">
        <v>1816</v>
      </c>
      <c r="F1557" t="b">
        <v>0</v>
      </c>
      <c r="G1557">
        <f>HYPERLINK("https://www.google.com/maps/search/?api=1&amp;query=24.65840714,46.79786341", "View Map")</f>
        <v/>
      </c>
    </row>
    <row r="1558">
      <c r="A1558" t="inlineStr">
        <is>
          <t xml:space="preserve">   مسجدبن سيار .</t>
        </is>
      </c>
      <c r="B1558" t="inlineStr">
        <is>
          <t>KFM2120660248336</t>
        </is>
      </c>
      <c r="C1558" t="inlineStr">
        <is>
          <t>الرياض</t>
        </is>
      </c>
      <c r="D1558" t="inlineStr">
        <is>
          <t>كلا الفترتين</t>
        </is>
      </c>
      <c r="E1558" t="n">
        <v>1815</v>
      </c>
      <c r="F1558" t="b">
        <v>0</v>
      </c>
      <c r="G1558">
        <f>HYPERLINK("https://www.google.com/maps/search/?api=1&amp;query=24.61851502,46.72959314", "View Map")</f>
        <v/>
      </c>
    </row>
    <row r="1559">
      <c r="A1559" t="inlineStr">
        <is>
          <t>ﺍﻭﻗﺎﻑ ﻭﻤﺴﺎﺠﺩ ﺍﻟﻤﺯﺍﺤﻤﻴﻩ .</t>
        </is>
      </c>
      <c r="B1559" t="inlineStr">
        <is>
          <t>GTR2320890741175</t>
        </is>
      </c>
      <c r="C1559" t="inlineStr">
        <is>
          <t>الرياض</t>
        </is>
      </c>
      <c r="D1559" t="inlineStr">
        <is>
          <t>كلا الفترتين</t>
        </is>
      </c>
      <c r="E1559" t="n">
        <v>1814</v>
      </c>
      <c r="F1559" t="b">
        <v>1</v>
      </c>
      <c r="G1559">
        <f>HYPERLINK("https://www.google.com/maps/search/?api=1&amp;query=0.0,0.0", "View Map")</f>
        <v/>
      </c>
    </row>
    <row r="1560">
      <c r="A1560" t="inlineStr">
        <is>
          <t>ﻤﺴﺎﺠﺩ .</t>
        </is>
      </c>
      <c r="B1560" t="inlineStr">
        <is>
          <t>KFM2020660132829</t>
        </is>
      </c>
      <c r="C1560" t="inlineStr">
        <is>
          <t>الرياض</t>
        </is>
      </c>
      <c r="D1560" t="inlineStr">
        <is>
          <t>كلا الفترتين</t>
        </is>
      </c>
      <c r="E1560" t="n">
        <v>1812</v>
      </c>
      <c r="F1560" t="b">
        <v>0</v>
      </c>
      <c r="G1560">
        <f>HYPERLINK("https://www.google.com/maps/search/?api=1&amp;query=24.83323989,46.77611144", "View Map")</f>
        <v/>
      </c>
    </row>
    <row r="1561">
      <c r="A1561" t="inlineStr">
        <is>
          <t>مسجد/ عبدالله  على  الحريشى .</t>
        </is>
      </c>
      <c r="B1561" t="inlineStr">
        <is>
          <t>KFM2020760030557</t>
        </is>
      </c>
      <c r="C1561" t="inlineStr">
        <is>
          <t>الرياض</t>
        </is>
      </c>
      <c r="D1561" t="inlineStr">
        <is>
          <t>كلا الفترتين</t>
        </is>
      </c>
      <c r="E1561" t="n">
        <v>1812</v>
      </c>
      <c r="F1561" t="b">
        <v>0</v>
      </c>
      <c r="G1561">
        <f>HYPERLINK("https://www.google.com/maps/search/?api=1&amp;query=24.54930022,46.65408903", "View Map")</f>
        <v/>
      </c>
    </row>
    <row r="1562">
      <c r="A1562" t="inlineStr">
        <is>
          <t>ﻭﺯﺍﺭﺓﺍﻟﺸﺌﻭﻥ ﺍﻻﺴﻼﻤﻴﺓﻭﺍﻻﻭﻗﺎﻑ .</t>
        </is>
      </c>
      <c r="B1562" t="inlineStr">
        <is>
          <t>KFM2020660177032</t>
        </is>
      </c>
      <c r="C1562" t="inlineStr">
        <is>
          <t>الرياض</t>
        </is>
      </c>
      <c r="D1562" t="inlineStr">
        <is>
          <t>كلا الفترتين</t>
        </is>
      </c>
      <c r="E1562" t="n">
        <v>1811</v>
      </c>
      <c r="F1562" t="b">
        <v>0</v>
      </c>
      <c r="G1562">
        <f>HYPERLINK("https://www.google.com/maps/search/?api=1&amp;query=24.57658051,46.53485498", "View Map")</f>
        <v/>
      </c>
    </row>
    <row r="1563">
      <c r="A1563" t="inlineStr">
        <is>
          <t>مسجد الاميرة  / سارة  بنت سعد .</t>
        </is>
      </c>
      <c r="B1563" t="inlineStr">
        <is>
          <t>KFM2120660254486</t>
        </is>
      </c>
      <c r="C1563" t="inlineStr">
        <is>
          <t>الرياض</t>
        </is>
      </c>
      <c r="D1563" t="inlineStr">
        <is>
          <t>كلا الفترتين</t>
        </is>
      </c>
      <c r="E1563" t="n">
        <v>1810</v>
      </c>
      <c r="F1563" t="b">
        <v>1</v>
      </c>
      <c r="G1563">
        <f>HYPERLINK("https://www.google.com/maps/search/?api=1&amp;query=24.59708604,46.67724313", "View Map")</f>
        <v/>
      </c>
    </row>
    <row r="1564">
      <c r="A1564" t="inlineStr">
        <is>
          <t xml:space="preserve">         مسجد الصالح بحي الوادي .</t>
        </is>
      </c>
      <c r="B1564" t="inlineStr">
        <is>
          <t>KFM2020660191931</t>
        </is>
      </c>
      <c r="C1564" t="inlineStr">
        <is>
          <t>الرياض</t>
        </is>
      </c>
      <c r="D1564" t="inlineStr">
        <is>
          <t>كلا الفترتين</t>
        </is>
      </c>
      <c r="E1564" t="n">
        <v>1810</v>
      </c>
      <c r="F1564" t="b">
        <v>1</v>
      </c>
      <c r="G1564">
        <f>HYPERLINK("https://www.google.com/maps/search/?api=1&amp;query=24.78614356,46.69842723", "View Map")</f>
        <v/>
      </c>
    </row>
    <row r="1565">
      <c r="A1565" t="inlineStr">
        <is>
          <t>مساجد .</t>
        </is>
      </c>
      <c r="B1565" t="inlineStr">
        <is>
          <t>KFM2020660190524</t>
        </is>
      </c>
      <c r="C1565" t="inlineStr">
        <is>
          <t>الرياض</t>
        </is>
      </c>
      <c r="D1565" t="inlineStr">
        <is>
          <t>كلا الفترتين</t>
        </is>
      </c>
      <c r="E1565" t="n">
        <v>1808</v>
      </c>
      <c r="F1565" t="b">
        <v>1</v>
      </c>
      <c r="G1565">
        <f>HYPERLINK("https://www.google.com/maps/search/?api=1&amp;query=24.82972943,46.67907707", "View Map")</f>
        <v/>
      </c>
    </row>
    <row r="1566">
      <c r="A1566" t="inlineStr">
        <is>
          <t xml:space="preserve">   مسجد      التقوى .</t>
        </is>
      </c>
      <c r="B1566" t="inlineStr">
        <is>
          <t>KFM2020660060098</t>
        </is>
      </c>
      <c r="C1566" t="inlineStr">
        <is>
          <t>الرياض</t>
        </is>
      </c>
      <c r="D1566" t="inlineStr">
        <is>
          <t>كلا الفترتين</t>
        </is>
      </c>
      <c r="E1566" t="n">
        <v>1808</v>
      </c>
      <c r="F1566" t="b">
        <v>1</v>
      </c>
      <c r="G1566">
        <f>HYPERLINK("https://www.google.com/maps/search/?api=1&amp;query=24.75010793,46.75223719", "View Map")</f>
        <v/>
      </c>
    </row>
    <row r="1567">
      <c r="A1567" t="inlineStr">
        <is>
          <t xml:space="preserve">   مسجد حي النزهه .</t>
        </is>
      </c>
      <c r="B1567" t="inlineStr">
        <is>
          <t>KFM2020660209527</t>
        </is>
      </c>
      <c r="C1567" t="inlineStr">
        <is>
          <t>الرياض</t>
        </is>
      </c>
      <c r="D1567" t="inlineStr">
        <is>
          <t>كلا الفترتين</t>
        </is>
      </c>
      <c r="E1567" t="n">
        <v>1808</v>
      </c>
      <c r="F1567" t="b">
        <v>0</v>
      </c>
      <c r="G1567">
        <f>HYPERLINK("https://www.google.com/maps/search/?api=1&amp;query=24.76169465,46.70262289", "View Map")</f>
        <v/>
      </c>
    </row>
    <row r="1568">
      <c r="A1568" t="inlineStr">
        <is>
          <t>مسجد جامع  الدخل  المحدود .</t>
        </is>
      </c>
      <c r="B1568" t="inlineStr">
        <is>
          <t>KFM2020660191113</t>
        </is>
      </c>
      <c r="C1568" t="inlineStr">
        <is>
          <t>الرياض</t>
        </is>
      </c>
      <c r="D1568" t="inlineStr">
        <is>
          <t>كلا الفترتين</t>
        </is>
      </c>
      <c r="E1568" t="n">
        <v>1807</v>
      </c>
      <c r="F1568" t="b">
        <v>0</v>
      </c>
      <c r="G1568">
        <f>HYPERLINK("https://www.google.com/maps/search/?api=1&amp;query=24.58057329,46.55179855", "View Map")</f>
        <v/>
      </c>
    </row>
    <row r="1569">
      <c r="A1569" t="inlineStr">
        <is>
          <t>ﻤﺴﺎﺠﺩ .</t>
        </is>
      </c>
      <c r="B1569" t="inlineStr">
        <is>
          <t>KFM2020660174818</t>
        </is>
      </c>
      <c r="C1569" t="inlineStr">
        <is>
          <t>الرياض</t>
        </is>
      </c>
      <c r="D1569" t="inlineStr">
        <is>
          <t>كلا الفترتين</t>
        </is>
      </c>
      <c r="E1569" t="n">
        <v>1807</v>
      </c>
      <c r="F1569" t="b">
        <v>1</v>
      </c>
      <c r="G1569">
        <f>HYPERLINK("https://www.google.com/maps/search/?api=1&amp;query=24.806819,46.82055937", "View Map")</f>
        <v/>
      </c>
    </row>
    <row r="1570">
      <c r="A1570" t="inlineStr">
        <is>
          <t xml:space="preserve">   مسجد صلاح الدين .</t>
        </is>
      </c>
      <c r="B1570" t="inlineStr">
        <is>
          <t>KFM2020660188063</t>
        </is>
      </c>
      <c r="C1570" t="inlineStr">
        <is>
          <t>الرياض</t>
        </is>
      </c>
      <c r="D1570" t="inlineStr">
        <is>
          <t>كلا الفترتين</t>
        </is>
      </c>
      <c r="E1570" t="n">
        <v>1806</v>
      </c>
      <c r="F1570" t="b">
        <v>0</v>
      </c>
      <c r="G1570">
        <f>HYPERLINK("https://www.google.com/maps/search/?api=1&amp;query=24.74301698,46.70647905", "View Map")</f>
        <v/>
      </c>
    </row>
    <row r="1571">
      <c r="A1571" t="inlineStr">
        <is>
          <t xml:space="preserve">   مسجد اسكان رقم 2 .</t>
        </is>
      </c>
      <c r="B1571" t="inlineStr">
        <is>
          <t>KFM2120660256946</t>
        </is>
      </c>
      <c r="C1571" t="inlineStr">
        <is>
          <t>الرياض</t>
        </is>
      </c>
      <c r="D1571" t="inlineStr">
        <is>
          <t>كلا الفترتين</t>
        </is>
      </c>
      <c r="E1571" t="n">
        <v>1806</v>
      </c>
      <c r="F1571" t="b">
        <v>1</v>
      </c>
      <c r="G1571">
        <f>HYPERLINK("https://www.google.com/maps/search/?api=1&amp;query=24.57997846,46.83406915", "View Map")</f>
        <v/>
      </c>
    </row>
    <row r="1572">
      <c r="A1572" t="inlineStr">
        <is>
          <t xml:space="preserve">   مسجد عبدالعزيز الموسى .</t>
        </is>
      </c>
      <c r="B1572" t="inlineStr">
        <is>
          <t>KFM2020660209242</t>
        </is>
      </c>
      <c r="C1572" t="inlineStr">
        <is>
          <t>الرياض</t>
        </is>
      </c>
      <c r="D1572" t="inlineStr">
        <is>
          <t>كلا الفترتين</t>
        </is>
      </c>
      <c r="E1572" t="n">
        <v>1805</v>
      </c>
      <c r="F1572" t="b">
        <v>0</v>
      </c>
      <c r="G1572">
        <f>HYPERLINK("https://www.google.com/maps/search/?api=1&amp;query=24.69406303,46.64134932", "View Map")</f>
        <v/>
      </c>
    </row>
    <row r="1573">
      <c r="A1573" t="inlineStr">
        <is>
          <t xml:space="preserve">   مسجدالأمير سلطان     بن عبدالعزيز .</t>
        </is>
      </c>
      <c r="B1573" t="inlineStr">
        <is>
          <t>KFM2020660175715</t>
        </is>
      </c>
      <c r="C1573" t="inlineStr">
        <is>
          <t>الرياض</t>
        </is>
      </c>
      <c r="D1573" t="inlineStr">
        <is>
          <t>كلا الفترتين</t>
        </is>
      </c>
      <c r="E1573" t="n">
        <v>1805</v>
      </c>
      <c r="F1573" t="b">
        <v>1</v>
      </c>
      <c r="G1573">
        <f>HYPERLINK("https://www.google.com/maps/search/?api=1&amp;query=24.73916575,46.76853328", "View Map")</f>
        <v/>
      </c>
    </row>
    <row r="1574">
      <c r="A1574" t="inlineStr">
        <is>
          <t xml:space="preserve">   مسجدالشيخ /عبدالله سليمان المطلق .</t>
        </is>
      </c>
      <c r="B1574" t="inlineStr">
        <is>
          <t>KFM2020660178211</t>
        </is>
      </c>
      <c r="C1574" t="inlineStr">
        <is>
          <t>الرياض</t>
        </is>
      </c>
      <c r="D1574" t="inlineStr">
        <is>
          <t>كلا الفترتين</t>
        </is>
      </c>
      <c r="E1574" t="n">
        <v>1802</v>
      </c>
      <c r="F1574" t="b">
        <v>1</v>
      </c>
      <c r="G1574">
        <f>HYPERLINK("https://www.google.com/maps/search/?api=1&amp;query=24.77313,46.68023", "View Map")</f>
        <v/>
      </c>
    </row>
    <row r="1575">
      <c r="A1575" t="inlineStr">
        <is>
          <t xml:space="preserve">   مسجد بحي السلا م .</t>
        </is>
      </c>
      <c r="B1575" t="inlineStr">
        <is>
          <t>KFM2020660132577</t>
        </is>
      </c>
      <c r="C1575" t="inlineStr">
        <is>
          <t>الرياض</t>
        </is>
      </c>
      <c r="D1575" t="inlineStr">
        <is>
          <t>كلا الفترتين</t>
        </is>
      </c>
      <c r="E1575" t="n">
        <v>1800</v>
      </c>
      <c r="F1575" t="b">
        <v>0</v>
      </c>
      <c r="G1575">
        <f>HYPERLINK("https://www.google.com/maps/search/?api=1&amp;query=24.71348579,46.80245419", "View Map")</f>
        <v/>
      </c>
    </row>
    <row r="1576">
      <c r="A1576" t="inlineStr">
        <is>
          <t>مسجدشبرا .</t>
        </is>
      </c>
      <c r="B1576" t="inlineStr">
        <is>
          <t>KFM2020660037776</t>
        </is>
      </c>
      <c r="C1576" t="inlineStr">
        <is>
          <t>الرياض</t>
        </is>
      </c>
      <c r="D1576" t="inlineStr">
        <is>
          <t>كلا الفترتين</t>
        </is>
      </c>
      <c r="E1576" t="n">
        <v>1799</v>
      </c>
      <c r="F1576" t="b">
        <v>1</v>
      </c>
      <c r="G1576">
        <f>HYPERLINK("https://www.google.com/maps/search/?api=1&amp;query=24.59058566,46.68904697", "View Map")</f>
        <v/>
      </c>
    </row>
    <row r="1577">
      <c r="A1577" t="inlineStr">
        <is>
          <t xml:space="preserve">   مسجد حي المغرزات .</t>
        </is>
      </c>
      <c r="B1577" t="inlineStr">
        <is>
          <t>KFM2020660189288</t>
        </is>
      </c>
      <c r="C1577" t="inlineStr">
        <is>
          <t>الرياض</t>
        </is>
      </c>
      <c r="D1577" t="inlineStr">
        <is>
          <t>كلا الفترتين</t>
        </is>
      </c>
      <c r="E1577" t="n">
        <v>1798</v>
      </c>
      <c r="F1577" t="b">
        <v>1</v>
      </c>
      <c r="G1577">
        <f>HYPERLINK("https://www.google.com/maps/search/?api=1&amp;query=24.75511331,46.72560344", "View Map")</f>
        <v/>
      </c>
    </row>
    <row r="1578">
      <c r="A1578" t="inlineStr">
        <is>
          <t>مسجد التضامن .</t>
        </is>
      </c>
      <c r="B1578" t="inlineStr">
        <is>
          <t>KFM2020660044117</t>
        </is>
      </c>
      <c r="C1578" t="inlineStr">
        <is>
          <t>الرياض</t>
        </is>
      </c>
      <c r="D1578" t="inlineStr">
        <is>
          <t>كلا الفترتين</t>
        </is>
      </c>
      <c r="E1578" t="n">
        <v>1796</v>
      </c>
      <c r="F1578" t="b">
        <v>0</v>
      </c>
      <c r="G1578">
        <f>HYPERLINK("https://www.google.com/maps/search/?api=1&amp;query=24.58118257,46.64172567", "View Map")</f>
        <v/>
      </c>
    </row>
    <row r="1579">
      <c r="A1579" t="inlineStr">
        <is>
          <t xml:space="preserve">   مساجد .</t>
        </is>
      </c>
      <c r="B1579" t="inlineStr">
        <is>
          <t>KFM2020660056916</t>
        </is>
      </c>
      <c r="C1579" t="inlineStr">
        <is>
          <t>الرياض</t>
        </is>
      </c>
      <c r="D1579" t="inlineStr">
        <is>
          <t>كلا الفترتين</t>
        </is>
      </c>
      <c r="E1579" t="n">
        <v>1796</v>
      </c>
      <c r="F1579" t="b">
        <v>0</v>
      </c>
      <c r="G1579">
        <f>HYPERLINK("https://www.google.com/maps/search/?api=1&amp;query=24.7968615,46.79649711", "View Map")</f>
        <v/>
      </c>
    </row>
    <row r="1580">
      <c r="A1580" t="inlineStr">
        <is>
          <t xml:space="preserve">   مسجد الصديق .</t>
        </is>
      </c>
      <c r="B1580" t="inlineStr">
        <is>
          <t>KFM2020660057053</t>
        </is>
      </c>
      <c r="C1580" t="inlineStr">
        <is>
          <t>الرياض</t>
        </is>
      </c>
      <c r="D1580" t="inlineStr">
        <is>
          <t>كلا الفترتين</t>
        </is>
      </c>
      <c r="E1580" t="n">
        <v>1795</v>
      </c>
      <c r="F1580" t="b">
        <v>0</v>
      </c>
      <c r="G1580">
        <f>HYPERLINK("https://www.google.com/maps/search/?api=1&amp;query=24.72986227,46.84066102", "View Map")</f>
        <v/>
      </c>
    </row>
    <row r="1581">
      <c r="A1581" t="inlineStr">
        <is>
          <t xml:space="preserve">   مسجدالنهضه .</t>
        </is>
      </c>
      <c r="B1581" t="inlineStr">
        <is>
          <t>KFM2120660276284</t>
        </is>
      </c>
      <c r="C1581" t="inlineStr">
        <is>
          <t>الرياض</t>
        </is>
      </c>
      <c r="D1581" t="inlineStr">
        <is>
          <t>كلا الفترتين</t>
        </is>
      </c>
      <c r="E1581" t="n">
        <v>1795</v>
      </c>
      <c r="F1581" t="b">
        <v>0</v>
      </c>
      <c r="G1581">
        <f>HYPERLINK("https://www.google.com/maps/search/?api=1&amp;query=24.69591433,46.74797927", "View Map")</f>
        <v/>
      </c>
    </row>
    <row r="1582">
      <c r="A1582" t="inlineStr">
        <is>
          <t>ﻤﺴﺎﺠﺩ .</t>
        </is>
      </c>
      <c r="B1582" t="inlineStr">
        <is>
          <t>KFM2120660262175</t>
        </is>
      </c>
      <c r="C1582" t="inlineStr">
        <is>
          <t>الرياض</t>
        </is>
      </c>
      <c r="D1582" t="inlineStr">
        <is>
          <t>كلا الفترتين</t>
        </is>
      </c>
      <c r="E1582" t="n">
        <v>1793</v>
      </c>
      <c r="F1582" t="b">
        <v>1</v>
      </c>
      <c r="G1582">
        <f>HYPERLINK("https://www.google.com/maps/search/?api=1&amp;query=24.65252,46.52495", "View Map")</f>
        <v/>
      </c>
    </row>
    <row r="1583">
      <c r="A1583" t="inlineStr">
        <is>
          <t xml:space="preserve">   مسجد الامام احمد بن حنبل .</t>
        </is>
      </c>
      <c r="B1583" t="inlineStr">
        <is>
          <t>KFM2020660162948</t>
        </is>
      </c>
      <c r="C1583" t="inlineStr">
        <is>
          <t>الرياض</t>
        </is>
      </c>
      <c r="D1583" t="inlineStr">
        <is>
          <t>كلا الفترتين</t>
        </is>
      </c>
      <c r="E1583" t="n">
        <v>1792</v>
      </c>
      <c r="F1583" t="b">
        <v>1</v>
      </c>
      <c r="G1583">
        <f>HYPERLINK("https://www.google.com/maps/search/?api=1&amp;query=24.56969289,46.77974741", "View Map")</f>
        <v/>
      </c>
    </row>
    <row r="1584">
      <c r="A1584" t="inlineStr">
        <is>
          <t xml:space="preserve">   مسجدالشيخ محمدبن عبدالوهاب .</t>
        </is>
      </c>
      <c r="B1584" t="inlineStr">
        <is>
          <t>KFM2020660230078</t>
        </is>
      </c>
      <c r="C1584" t="inlineStr">
        <is>
          <t>الرياض</t>
        </is>
      </c>
      <c r="D1584" t="inlineStr">
        <is>
          <t>كلا الفترتين</t>
        </is>
      </c>
      <c r="E1584" t="n">
        <v>1790</v>
      </c>
      <c r="F1584" t="b">
        <v>0</v>
      </c>
      <c r="G1584">
        <f>HYPERLINK("https://www.google.com/maps/search/?api=1&amp;query=24.77998574,46.70175442", "View Map")</f>
        <v/>
      </c>
    </row>
    <row r="1585">
      <c r="A1585" t="inlineStr">
        <is>
          <t xml:space="preserve">   مسجد الاميره قماشه .</t>
        </is>
      </c>
      <c r="B1585" t="inlineStr">
        <is>
          <t>KFM2120660280086</t>
        </is>
      </c>
      <c r="C1585" t="inlineStr">
        <is>
          <t>الرياض</t>
        </is>
      </c>
      <c r="D1585" t="inlineStr">
        <is>
          <t>كلا الفترتين</t>
        </is>
      </c>
      <c r="E1585" t="n">
        <v>1790</v>
      </c>
      <c r="F1585" t="b">
        <v>1</v>
      </c>
      <c r="G1585">
        <f>HYPERLINK("https://www.google.com/maps/search/?api=1&amp;query=24.65299869,46.67011321", "View Map")</f>
        <v/>
      </c>
    </row>
    <row r="1586">
      <c r="A1586" t="inlineStr">
        <is>
          <t>ﻭﺯﺍﺭﺓﺍﻟﺸﺌﻭﻥ ﺍﻻﺴﻼﻤﻴﺓﻭﺍﻻﻭﻗﺎﻑ .</t>
        </is>
      </c>
      <c r="B1586" t="inlineStr">
        <is>
          <t>KFM2020660202023</t>
        </is>
      </c>
      <c r="C1586" t="inlineStr">
        <is>
          <t>الرياض</t>
        </is>
      </c>
      <c r="D1586" t="inlineStr">
        <is>
          <t>كلا الفترتين</t>
        </is>
      </c>
      <c r="E1586" t="n">
        <v>1787</v>
      </c>
      <c r="F1586" t="b">
        <v>0</v>
      </c>
      <c r="G1586">
        <f>HYPERLINK("https://www.google.com/maps/search/?api=1&amp;query=24.51596552,46.67479028", "View Map")</f>
        <v/>
      </c>
    </row>
    <row r="1587">
      <c r="A1587" t="inlineStr">
        <is>
          <t xml:space="preserve">   مسجدالعيال بالناصريه .</t>
        </is>
      </c>
      <c r="B1587" t="inlineStr">
        <is>
          <t>KFM2020660174083</t>
        </is>
      </c>
      <c r="C1587" t="inlineStr">
        <is>
          <t>الرياض</t>
        </is>
      </c>
      <c r="D1587" t="inlineStr">
        <is>
          <t>كلا الفترتين</t>
        </is>
      </c>
      <c r="E1587" t="n">
        <v>1781</v>
      </c>
      <c r="F1587" t="b">
        <v>0</v>
      </c>
      <c r="G1587">
        <f>HYPERLINK("https://www.google.com/maps/search/?api=1&amp;query=24.65718734,46.68619752", "View Map")</f>
        <v/>
      </c>
    </row>
    <row r="1588">
      <c r="A1588" t="inlineStr">
        <is>
          <t xml:space="preserve">   مسجد باهمام .</t>
        </is>
      </c>
      <c r="B1588" t="inlineStr">
        <is>
          <t>KFM2120660301549</t>
        </is>
      </c>
      <c r="C1588" t="inlineStr">
        <is>
          <t>الرياض</t>
        </is>
      </c>
      <c r="D1588" t="inlineStr">
        <is>
          <t>كلا الفترتين</t>
        </is>
      </c>
      <c r="E1588" t="n">
        <v>1781</v>
      </c>
      <c r="F1588" t="b">
        <v>0</v>
      </c>
      <c r="G1588">
        <f>HYPERLINK("https://www.google.com/maps/search/?api=1&amp;query=24.58720564,46.78842017", "View Map")</f>
        <v/>
      </c>
    </row>
    <row r="1589">
      <c r="A1589" t="inlineStr">
        <is>
          <t xml:space="preserve">   مسجد المقيل .</t>
        </is>
      </c>
      <c r="B1589" t="inlineStr">
        <is>
          <t>KFM2020660090733</t>
        </is>
      </c>
      <c r="C1589" t="inlineStr">
        <is>
          <t>الرياض</t>
        </is>
      </c>
      <c r="D1589" t="inlineStr">
        <is>
          <t>كلا الفترتين</t>
        </is>
      </c>
      <c r="E1589" t="n">
        <v>1781</v>
      </c>
      <c r="F1589" t="b">
        <v>1</v>
      </c>
      <c r="G1589">
        <f>HYPERLINK("https://www.google.com/maps/search/?api=1&amp;query=24.72942312,46.6485086", "View Map")</f>
        <v/>
      </c>
    </row>
    <row r="1590">
      <c r="A1590" t="inlineStr">
        <is>
          <t>ﻤﺴﺎﺠﺩ .</t>
        </is>
      </c>
      <c r="B1590" t="inlineStr">
        <is>
          <t>SMR2320661035275</t>
        </is>
      </c>
      <c r="C1590" t="inlineStr">
        <is>
          <t>الرياض</t>
        </is>
      </c>
      <c r="D1590" t="inlineStr">
        <is>
          <t>كلا الفترتين</t>
        </is>
      </c>
      <c r="E1590" t="n">
        <v>1780</v>
      </c>
      <c r="F1590" t="b">
        <v>0</v>
      </c>
      <c r="G1590">
        <f>HYPERLINK("https://www.google.com/maps/search/?api=1&amp;query=0.0,0.0", "View Map")</f>
        <v/>
      </c>
    </row>
    <row r="1591">
      <c r="A1591" t="inlineStr">
        <is>
          <t xml:space="preserve">   مسجد الفتح .</t>
        </is>
      </c>
      <c r="B1591" t="inlineStr">
        <is>
          <t>KFM2120660273899</t>
        </is>
      </c>
      <c r="C1591" t="inlineStr">
        <is>
          <t>الدرعية</t>
        </is>
      </c>
      <c r="D1591" t="inlineStr">
        <is>
          <t>كلا الفترتين</t>
        </is>
      </c>
      <c r="E1591" t="n">
        <v>1779</v>
      </c>
      <c r="F1591" t="b">
        <v>0</v>
      </c>
      <c r="G1591">
        <f>HYPERLINK("https://www.google.com/maps/search/?api=1&amp;query=24.7560703,46.54113542", "View Map")</f>
        <v/>
      </c>
    </row>
    <row r="1592">
      <c r="A1592" t="inlineStr">
        <is>
          <t>مساجد .</t>
        </is>
      </c>
      <c r="B1592" t="inlineStr">
        <is>
          <t>KFM2020660173386</t>
        </is>
      </c>
      <c r="C1592" t="inlineStr">
        <is>
          <t>الرياض</t>
        </is>
      </c>
      <c r="D1592" t="inlineStr">
        <is>
          <t>كلا الفترتين</t>
        </is>
      </c>
      <c r="E1592" t="n">
        <v>1778</v>
      </c>
      <c r="F1592" t="b">
        <v>0</v>
      </c>
      <c r="G1592">
        <f>HYPERLINK("https://www.google.com/maps/search/?api=1&amp;query=24.68259062,46.66727132", "View Map")</f>
        <v/>
      </c>
    </row>
    <row r="1593">
      <c r="A1593" t="inlineStr">
        <is>
          <t xml:space="preserve">   مسجد محمد عبدالله الماجد .</t>
        </is>
      </c>
      <c r="B1593" t="inlineStr">
        <is>
          <t>KFM2120660300815</t>
        </is>
      </c>
      <c r="C1593" t="inlineStr">
        <is>
          <t>الرياض</t>
        </is>
      </c>
      <c r="D1593" t="inlineStr">
        <is>
          <t>كلا الفترتين</t>
        </is>
      </c>
      <c r="E1593" t="n">
        <v>1778</v>
      </c>
      <c r="F1593" t="b">
        <v>0</v>
      </c>
      <c r="G1593">
        <f>HYPERLINK("https://www.google.com/maps/search/?api=1&amp;query=24.67439876,46.66396239", "View Map")</f>
        <v/>
      </c>
    </row>
    <row r="1594">
      <c r="A1594" t="inlineStr">
        <is>
          <t xml:space="preserve">   مسجدالتقوي وبيتي الامام والمؤذن .</t>
        </is>
      </c>
      <c r="B1594" t="inlineStr">
        <is>
          <t>KFM2120660257450</t>
        </is>
      </c>
      <c r="C1594" t="inlineStr">
        <is>
          <t>الرياض</t>
        </is>
      </c>
      <c r="D1594" t="inlineStr">
        <is>
          <t>كلا الفترتين</t>
        </is>
      </c>
      <c r="E1594" t="n">
        <v>1775</v>
      </c>
      <c r="F1594" t="b">
        <v>1</v>
      </c>
      <c r="G1594">
        <f>HYPERLINK("https://www.google.com/maps/search/?api=1&amp;query=24.76800114,46.65045529", "View Map")</f>
        <v/>
      </c>
    </row>
    <row r="1595">
      <c r="A1595" t="inlineStr">
        <is>
          <t>ﻤﺴﺎﺠﺩ .</t>
        </is>
      </c>
      <c r="B1595" t="inlineStr">
        <is>
          <t>KFM2020660053330</t>
        </is>
      </c>
      <c r="C1595" t="inlineStr">
        <is>
          <t>الرياض</t>
        </is>
      </c>
      <c r="D1595" t="inlineStr">
        <is>
          <t>كلا الفترتين</t>
        </is>
      </c>
      <c r="E1595" t="n">
        <v>1775</v>
      </c>
      <c r="F1595" t="b">
        <v>0</v>
      </c>
      <c r="G1595">
        <f>HYPERLINK("https://www.google.com/maps/search/?api=1&amp;query=24.79076095,46.73410775", "View Map")</f>
        <v/>
      </c>
    </row>
    <row r="1596">
      <c r="A1596" t="inlineStr">
        <is>
          <t xml:space="preserve">   مسجدالربوة .</t>
        </is>
      </c>
      <c r="B1596" t="inlineStr">
        <is>
          <t>SMR2220661011785</t>
        </is>
      </c>
      <c r="C1596" t="inlineStr">
        <is>
          <t>الرياض</t>
        </is>
      </c>
      <c r="D1596" t="inlineStr">
        <is>
          <t>كلا الفترتين</t>
        </is>
      </c>
      <c r="E1596" t="n">
        <v>1775</v>
      </c>
      <c r="F1596" t="b">
        <v>1</v>
      </c>
      <c r="G1596">
        <f>HYPERLINK("https://www.google.com/maps/search/?api=1&amp;query=24.6969462,46.73807151", "View Map")</f>
        <v/>
      </c>
    </row>
    <row r="1597">
      <c r="A1597" t="inlineStr">
        <is>
          <t xml:space="preserve">   مسجد حى الخليج .</t>
        </is>
      </c>
      <c r="B1597" t="inlineStr">
        <is>
          <t>KFM2020660174552</t>
        </is>
      </c>
      <c r="C1597" t="inlineStr">
        <is>
          <t>الرياض</t>
        </is>
      </c>
      <c r="D1597" t="inlineStr">
        <is>
          <t>كلا الفترتين</t>
        </is>
      </c>
      <c r="E1597" t="n">
        <v>1774</v>
      </c>
      <c r="F1597" t="b">
        <v>0</v>
      </c>
      <c r="G1597">
        <f>HYPERLINK("https://www.google.com/maps/search/?api=1&amp;query=24.76246741,46.7965763", "View Map")</f>
        <v/>
      </c>
    </row>
    <row r="1598">
      <c r="A1598" t="inlineStr">
        <is>
          <t xml:space="preserve">   مسجد    فهد  داود   العصيمي .</t>
        </is>
      </c>
      <c r="B1598" t="inlineStr">
        <is>
          <t>KFM2020660176470</t>
        </is>
      </c>
      <c r="C1598" t="inlineStr">
        <is>
          <t>الرياض</t>
        </is>
      </c>
      <c r="D1598" t="inlineStr">
        <is>
          <t>كلا الفترتين</t>
        </is>
      </c>
      <c r="E1598" t="n">
        <v>1773</v>
      </c>
      <c r="F1598" t="b">
        <v>0</v>
      </c>
      <c r="G1598">
        <f>HYPERLINK("https://www.google.com/maps/search/?api=1&amp;query=24.78834867,46.87439784", "View Map")</f>
        <v/>
      </c>
    </row>
    <row r="1599">
      <c r="A1599" t="inlineStr">
        <is>
          <t>ﻭﺯﺍﺭﺓﺍﻟﺸﺌﻭﻥ ﺍﻻﺴﻼﻤﻴﺓﻭﺍﻻﻭﻗﺎﻑ .</t>
        </is>
      </c>
      <c r="B1599" t="inlineStr">
        <is>
          <t>KFM2020660198419</t>
        </is>
      </c>
      <c r="C1599" t="inlineStr">
        <is>
          <t>الرياض</t>
        </is>
      </c>
      <c r="D1599" t="inlineStr">
        <is>
          <t>كلا الفترتين</t>
        </is>
      </c>
      <c r="E1599" t="n">
        <v>1772</v>
      </c>
      <c r="F1599" t="b">
        <v>1</v>
      </c>
      <c r="G1599">
        <f>HYPERLINK("https://www.google.com/maps/search/?api=1&amp;query=24.52301129,46.64291644", "View Map")</f>
        <v/>
      </c>
    </row>
    <row r="1600">
      <c r="A1600" t="inlineStr">
        <is>
          <t xml:space="preserve">   مسجد خديجة بنت خويلد .</t>
        </is>
      </c>
      <c r="B1600" t="inlineStr">
        <is>
          <t>KFM2120660270076</t>
        </is>
      </c>
      <c r="C1600" t="inlineStr">
        <is>
          <t>الرياض</t>
        </is>
      </c>
      <c r="D1600" t="inlineStr">
        <is>
          <t>كلا الفترتين</t>
        </is>
      </c>
      <c r="E1600" t="n">
        <v>1772</v>
      </c>
      <c r="F1600" t="b">
        <v>1</v>
      </c>
      <c r="G1600">
        <f>HYPERLINK("https://www.google.com/maps/search/?api=1&amp;query=24.81733812,46.88340268", "View Map")</f>
        <v/>
      </c>
    </row>
    <row r="1601">
      <c r="A1601" t="inlineStr">
        <is>
          <t>مسجد ابن عصفور .</t>
        </is>
      </c>
      <c r="B1601" t="inlineStr">
        <is>
          <t>KFM2020660171829</t>
        </is>
      </c>
      <c r="C1601" t="inlineStr">
        <is>
          <t>الرياض</t>
        </is>
      </c>
      <c r="D1601" t="inlineStr">
        <is>
          <t>كلا الفترتين</t>
        </is>
      </c>
      <c r="E1601" t="n">
        <v>1771</v>
      </c>
      <c r="F1601" t="b">
        <v>0</v>
      </c>
      <c r="G1601">
        <f>HYPERLINK("https://www.google.com/maps/search/?api=1&amp;query=24.62075159,46.71184437", "View Map")</f>
        <v/>
      </c>
    </row>
    <row r="1602">
      <c r="A1602" t="inlineStr">
        <is>
          <t>مسجد      عبدالله    القحطاني .</t>
        </is>
      </c>
      <c r="B1602" t="inlineStr">
        <is>
          <t>KFM2020660051455</t>
        </is>
      </c>
      <c r="C1602" t="inlineStr">
        <is>
          <t>الرياض</t>
        </is>
      </c>
      <c r="D1602" t="inlineStr">
        <is>
          <t>كلا الفترتين</t>
        </is>
      </c>
      <c r="E1602" t="n">
        <v>1771</v>
      </c>
      <c r="F1602" t="b">
        <v>0</v>
      </c>
      <c r="G1602">
        <f>HYPERLINK("https://www.google.com/maps/search/?api=1&amp;query=24.55224661,46.66793087", "View Map")</f>
        <v/>
      </c>
    </row>
    <row r="1603">
      <c r="A1603" t="inlineStr">
        <is>
          <t>. مسجد      حي السويدي .</t>
        </is>
      </c>
      <c r="B1603" t="inlineStr">
        <is>
          <t>KFM2020660045056</t>
        </is>
      </c>
      <c r="C1603" t="inlineStr">
        <is>
          <t>الرياض</t>
        </is>
      </c>
      <c r="D1603" t="inlineStr">
        <is>
          <t>كلا الفترتين</t>
        </is>
      </c>
      <c r="E1603" t="n">
        <v>1771</v>
      </c>
      <c r="F1603" t="b">
        <v>0</v>
      </c>
      <c r="G1603">
        <f>HYPERLINK("https://www.google.com/maps/search/?api=1&amp;query=24.56355516,46.63332373", "View Map")</f>
        <v/>
      </c>
    </row>
    <row r="1604">
      <c r="A1604" t="inlineStr">
        <is>
          <t xml:space="preserve">   مسجد الفاروق .</t>
        </is>
      </c>
      <c r="B1604" t="inlineStr">
        <is>
          <t>KFM2120660239153</t>
        </is>
      </c>
      <c r="C1604" t="inlineStr">
        <is>
          <t>الرياض</t>
        </is>
      </c>
      <c r="D1604" t="inlineStr">
        <is>
          <t>كلا الفترتين</t>
        </is>
      </c>
      <c r="E1604" t="n">
        <v>1769</v>
      </c>
      <c r="F1604" t="b">
        <v>1</v>
      </c>
      <c r="G1604">
        <f>HYPERLINK("https://www.google.com/maps/search/?api=1&amp;query=24.60020806,46.7691024", "View Map")</f>
        <v/>
      </c>
    </row>
    <row r="1605">
      <c r="A1605" t="inlineStr">
        <is>
          <t xml:space="preserve">   مسجد حي  الندوة .</t>
        </is>
      </c>
      <c r="B1605" t="inlineStr">
        <is>
          <t>KFM2020660193527</t>
        </is>
      </c>
      <c r="C1605" t="inlineStr">
        <is>
          <t>الرياض</t>
        </is>
      </c>
      <c r="D1605" t="inlineStr">
        <is>
          <t>كلا الفترتين</t>
        </is>
      </c>
      <c r="E1605" t="n">
        <v>1767</v>
      </c>
      <c r="F1605" t="b">
        <v>0</v>
      </c>
      <c r="G1605">
        <f>HYPERLINK("https://www.google.com/maps/search/?api=1&amp;query=24.79320934,46.8664439", "View Map")</f>
        <v/>
      </c>
    </row>
    <row r="1606">
      <c r="A1606" t="inlineStr">
        <is>
          <t xml:space="preserve">   مسجد حي النهضه .</t>
        </is>
      </c>
      <c r="B1606" t="inlineStr">
        <is>
          <t>KFM2020660123005</t>
        </is>
      </c>
      <c r="C1606" t="inlineStr">
        <is>
          <t>الرياض</t>
        </is>
      </c>
      <c r="D1606" t="inlineStr">
        <is>
          <t>كلا الفترتين</t>
        </is>
      </c>
      <c r="E1606" t="n">
        <v>1766</v>
      </c>
      <c r="F1606" t="b">
        <v>0</v>
      </c>
      <c r="G1606">
        <f>HYPERLINK("https://www.google.com/maps/search/?api=1&amp;query=24.75714954,46.8044179", "View Map")</f>
        <v/>
      </c>
    </row>
    <row r="1607">
      <c r="A1607" t="inlineStr">
        <is>
          <t>مسجد سلطانه .</t>
        </is>
      </c>
      <c r="B1607" t="inlineStr">
        <is>
          <t>KFM2020660096490</t>
        </is>
      </c>
      <c r="C1607" t="inlineStr">
        <is>
          <t>الرياض</t>
        </is>
      </c>
      <c r="D1607" t="inlineStr">
        <is>
          <t>كلا الفترتين</t>
        </is>
      </c>
      <c r="E1607" t="n">
        <v>1765</v>
      </c>
      <c r="F1607" t="b">
        <v>0</v>
      </c>
      <c r="G1607">
        <f>HYPERLINK("https://www.google.com/maps/search/?api=1&amp;query=24.59628553,46.68027523", "View Map")</f>
        <v/>
      </c>
    </row>
    <row r="1608">
      <c r="A1608" t="inlineStr">
        <is>
          <t xml:space="preserve">  وزارة الشئون الاسلاميه/ مسجدالفيحاء .</t>
        </is>
      </c>
      <c r="B1608" t="inlineStr">
        <is>
          <t>KFM2120660241534</t>
        </is>
      </c>
      <c r="C1608" t="inlineStr">
        <is>
          <t>الرياض</t>
        </is>
      </c>
      <c r="D1608" t="inlineStr">
        <is>
          <t>كلا الفترتين</t>
        </is>
      </c>
      <c r="E1608" t="n">
        <v>1764</v>
      </c>
      <c r="F1608" t="b">
        <v>1</v>
      </c>
      <c r="G1608">
        <f>HYPERLINK("https://www.google.com/maps/search/?api=1&amp;query=24.68752605,46.83081952", "View Map")</f>
        <v/>
      </c>
    </row>
    <row r="1609">
      <c r="A1609" t="inlineStr">
        <is>
          <t xml:space="preserve">   مسـجد جعفر بن ابي طالب .</t>
        </is>
      </c>
      <c r="B1609" t="inlineStr">
        <is>
          <t>KFM2120660304635</t>
        </is>
      </c>
      <c r="C1609" t="inlineStr">
        <is>
          <t>الرياض</t>
        </is>
      </c>
      <c r="D1609" t="inlineStr">
        <is>
          <t>كلا الفترتين</t>
        </is>
      </c>
      <c r="E1609" t="n">
        <v>1762</v>
      </c>
      <c r="F1609" t="b">
        <v>0</v>
      </c>
      <c r="G1609">
        <f>HYPERLINK("https://www.google.com/maps/search/?api=1&amp;query=24.6148259,46.74424522", "View Map")</f>
        <v/>
      </c>
    </row>
    <row r="1610">
      <c r="A1610" t="inlineStr">
        <is>
          <t>ﻤﺴﺎﺠﺩ .</t>
        </is>
      </c>
      <c r="B1610" t="inlineStr">
        <is>
          <t>SMR2220661007090</t>
        </is>
      </c>
      <c r="C1610" t="inlineStr">
        <is>
          <t>الرياض</t>
        </is>
      </c>
      <c r="D1610" t="inlineStr">
        <is>
          <t>كلا الفترتين</t>
        </is>
      </c>
      <c r="E1610" t="n">
        <v>1761</v>
      </c>
      <c r="F1610" t="b">
        <v>0</v>
      </c>
      <c r="G1610">
        <f>HYPERLINK("https://www.google.com/maps/search/?api=1&amp;query=24.88566615,46.80618013", "View Map")</f>
        <v/>
      </c>
    </row>
    <row r="1611">
      <c r="A1611" t="inlineStr">
        <is>
          <t xml:space="preserve">   مسجد عبدالله الوهبي .</t>
        </is>
      </c>
      <c r="B1611" t="inlineStr">
        <is>
          <t>KFM2020660230035</t>
        </is>
      </c>
      <c r="C1611" t="inlineStr">
        <is>
          <t>الدرعية</t>
        </is>
      </c>
      <c r="D1611" t="inlineStr">
        <is>
          <t>كلا الفترتين</t>
        </is>
      </c>
      <c r="E1611" t="n">
        <v>1760</v>
      </c>
      <c r="F1611" t="b">
        <v>1</v>
      </c>
      <c r="G1611">
        <f>HYPERLINK("https://www.google.com/maps/search/?api=1&amp;query=24.92436091,46.44171498", "View Map")</f>
        <v/>
      </c>
    </row>
    <row r="1612">
      <c r="A1612" t="inlineStr">
        <is>
          <t xml:space="preserve">   مسجدحى المنصورة .</t>
        </is>
      </c>
      <c r="B1612" t="inlineStr">
        <is>
          <t>KFM2120660290439</t>
        </is>
      </c>
      <c r="C1612" t="inlineStr">
        <is>
          <t>الرياض</t>
        </is>
      </c>
      <c r="D1612" t="inlineStr">
        <is>
          <t>كلا الفترتين</t>
        </is>
      </c>
      <c r="E1612" t="n">
        <v>1758</v>
      </c>
      <c r="F1612" t="b">
        <v>1</v>
      </c>
      <c r="G1612">
        <f>HYPERLINK("https://www.google.com/maps/search/?api=1&amp;query=24.60513594,46.74396006", "View Map")</f>
        <v/>
      </c>
    </row>
    <row r="1613">
      <c r="A1613" t="inlineStr">
        <is>
          <t>ﻤﺴﺎﺠﺩ .</t>
        </is>
      </c>
      <c r="B1613" t="inlineStr">
        <is>
          <t>MMF2420601025685</t>
        </is>
      </c>
      <c r="C1613" t="inlineStr">
        <is>
          <t>الرياض</t>
        </is>
      </c>
      <c r="D1613" t="inlineStr">
        <is>
          <t>كلا الفترتين</t>
        </is>
      </c>
      <c r="E1613" t="n">
        <v>1758</v>
      </c>
      <c r="F1613" t="b">
        <v>1</v>
      </c>
      <c r="G1613">
        <f>HYPERLINK("https://www.google.com/maps/search/?api=1&amp;query=0.0,0.0", "View Map")</f>
        <v/>
      </c>
    </row>
    <row r="1614">
      <c r="A1614" t="inlineStr">
        <is>
          <t xml:space="preserve">   مسجد لبن .</t>
        </is>
      </c>
      <c r="B1614" t="inlineStr">
        <is>
          <t>KFM2020660197730</t>
        </is>
      </c>
      <c r="C1614" t="inlineStr">
        <is>
          <t>الرياض</t>
        </is>
      </c>
      <c r="D1614" t="inlineStr">
        <is>
          <t>كلا الفترتين</t>
        </is>
      </c>
      <c r="E1614" t="n">
        <v>1754</v>
      </c>
      <c r="F1614" t="b">
        <v>0</v>
      </c>
      <c r="G1614">
        <f>HYPERLINK("https://www.google.com/maps/search/?api=1&amp;query=24.6431252,46.59996808", "View Map")</f>
        <v/>
      </c>
    </row>
    <row r="1615">
      <c r="A1615" t="inlineStr">
        <is>
          <t>مسجد الدريهميه .</t>
        </is>
      </c>
      <c r="B1615" t="inlineStr">
        <is>
          <t>KFM2020660054302</t>
        </is>
      </c>
      <c r="C1615" t="inlineStr">
        <is>
          <t>الرياض</t>
        </is>
      </c>
      <c r="D1615" t="inlineStr">
        <is>
          <t>كلا الفترتين</t>
        </is>
      </c>
      <c r="E1615" t="n">
        <v>1752</v>
      </c>
      <c r="F1615" t="b">
        <v>0</v>
      </c>
      <c r="G1615">
        <f>HYPERLINK("https://www.google.com/maps/search/?api=1&amp;query=24.58493332,46.69495538", "View Map")</f>
        <v/>
      </c>
    </row>
    <row r="1616">
      <c r="A1616" t="inlineStr">
        <is>
          <t>مسجد محمد الكثيرى .</t>
        </is>
      </c>
      <c r="B1616" t="inlineStr">
        <is>
          <t>KFM2020660015360</t>
        </is>
      </c>
      <c r="C1616" t="inlineStr">
        <is>
          <t>الرياض</t>
        </is>
      </c>
      <c r="D1616" t="inlineStr">
        <is>
          <t>كلا الفترتين</t>
        </is>
      </c>
      <c r="E1616" t="n">
        <v>1752</v>
      </c>
      <c r="F1616" t="b">
        <v>1</v>
      </c>
      <c r="G1616">
        <f>HYPERLINK("https://www.google.com/maps/search/?api=1&amp;query=24.59470148,46.67763248", "View Map")</f>
        <v/>
      </c>
    </row>
    <row r="1617">
      <c r="A1617" t="inlineStr">
        <is>
          <t>مسجد الحسين بن علي .</t>
        </is>
      </c>
      <c r="B1617" t="inlineStr">
        <is>
          <t>KFM2020660051463</t>
        </is>
      </c>
      <c r="C1617" t="inlineStr">
        <is>
          <t>الرياض</t>
        </is>
      </c>
      <c r="D1617" t="inlineStr">
        <is>
          <t>مساءا</t>
        </is>
      </c>
      <c r="E1617" t="n">
        <v>1752</v>
      </c>
      <c r="F1617" t="b">
        <v>1</v>
      </c>
      <c r="G1617">
        <f>HYPERLINK("https://www.google.com/maps/search/?api=1&amp;query=24.56885442,46.61709099", "View Map")</f>
        <v/>
      </c>
    </row>
    <row r="1618">
      <c r="A1618" t="inlineStr">
        <is>
          <t xml:space="preserve">   مسجد ابوبكر الصديق .</t>
        </is>
      </c>
      <c r="B1618" t="inlineStr">
        <is>
          <t>KFM2120660303418</t>
        </is>
      </c>
      <c r="C1618" t="inlineStr">
        <is>
          <t>الرياض</t>
        </is>
      </c>
      <c r="D1618" t="inlineStr">
        <is>
          <t>كلا الفترتين</t>
        </is>
      </c>
      <c r="E1618" t="n">
        <v>1750</v>
      </c>
      <c r="F1618" t="b">
        <v>0</v>
      </c>
      <c r="G1618">
        <f>HYPERLINK("https://www.google.com/maps/search/?api=1&amp;query=24.69104557,46.84474473", "View Map")</f>
        <v/>
      </c>
    </row>
    <row r="1619">
      <c r="A1619" t="inlineStr">
        <is>
          <t xml:space="preserve">   مسجد الزبير بن العوام . .</t>
        </is>
      </c>
      <c r="B1619" t="inlineStr">
        <is>
          <t>KFM2120660300553</t>
        </is>
      </c>
      <c r="C1619" t="inlineStr">
        <is>
          <t>الرياض</t>
        </is>
      </c>
      <c r="D1619" t="inlineStr">
        <is>
          <t>كلا الفترتين</t>
        </is>
      </c>
      <c r="E1619" t="n">
        <v>1750</v>
      </c>
      <c r="F1619" t="b">
        <v>1</v>
      </c>
      <c r="G1619">
        <f>HYPERLINK("https://www.google.com/maps/search/?api=1&amp;query=24.57704057,46.84532887", "View Map")</f>
        <v/>
      </c>
    </row>
    <row r="1620">
      <c r="A1620" t="inlineStr">
        <is>
          <t xml:space="preserve">   مسجد/ منيره محمد العبدالقادر .</t>
        </is>
      </c>
      <c r="B1620" t="inlineStr">
        <is>
          <t>KFM2120660302067</t>
        </is>
      </c>
      <c r="C1620" t="inlineStr">
        <is>
          <t>الرياض</t>
        </is>
      </c>
      <c r="D1620" t="inlineStr">
        <is>
          <t>كلا الفترتين</t>
        </is>
      </c>
      <c r="E1620" t="n">
        <v>1750</v>
      </c>
      <c r="F1620" t="b">
        <v>1</v>
      </c>
      <c r="G1620">
        <f>HYPERLINK("https://www.google.com/maps/search/?api=1&amp;query=24.63750331,46.7302158", "View Map")</f>
        <v/>
      </c>
    </row>
    <row r="1621">
      <c r="A1621" t="inlineStr">
        <is>
          <t>مسجد البديعه .</t>
        </is>
      </c>
      <c r="B1621" t="inlineStr">
        <is>
          <t>KFM2020660038716</t>
        </is>
      </c>
      <c r="C1621" t="inlineStr">
        <is>
          <t>الرياض</t>
        </is>
      </c>
      <c r="D1621" t="inlineStr">
        <is>
          <t>كلا الفترتين</t>
        </is>
      </c>
      <c r="E1621" t="n">
        <v>1749</v>
      </c>
      <c r="F1621" t="b">
        <v>0</v>
      </c>
      <c r="G1621">
        <f>HYPERLINK("https://www.google.com/maps/search/?api=1&amp;query=24.59896221,46.63927198", "View Map")</f>
        <v/>
      </c>
    </row>
    <row r="1622">
      <c r="A1622" t="inlineStr">
        <is>
          <t xml:space="preserve">   مسجد    سلمان الفارسي .</t>
        </is>
      </c>
      <c r="B1622" t="inlineStr">
        <is>
          <t>KFM2120660300233</t>
        </is>
      </c>
      <c r="C1622" t="inlineStr">
        <is>
          <t>الرياض</t>
        </is>
      </c>
      <c r="D1622" t="inlineStr">
        <is>
          <t>كلا الفترتين</t>
        </is>
      </c>
      <c r="E1622" t="n">
        <v>1749</v>
      </c>
      <c r="F1622" t="b">
        <v>0</v>
      </c>
      <c r="G1622">
        <f>HYPERLINK("https://www.google.com/maps/search/?api=1&amp;query=24.72861432,46.84520681", "View Map")</f>
        <v/>
      </c>
    </row>
    <row r="1623">
      <c r="A1623" t="inlineStr">
        <is>
          <t xml:space="preserve">   مسجد فئة و .</t>
        </is>
      </c>
      <c r="B1623" t="inlineStr">
        <is>
          <t>KFM2020660195105</t>
        </is>
      </c>
      <c r="C1623" t="inlineStr">
        <is>
          <t>الرياض</t>
        </is>
      </c>
      <c r="D1623" t="inlineStr">
        <is>
          <t>كلا الفترتين</t>
        </is>
      </c>
      <c r="E1623" t="n">
        <v>1748</v>
      </c>
      <c r="F1623" t="b">
        <v>0</v>
      </c>
      <c r="G1623">
        <f>HYPERLINK("https://www.google.com/maps/search/?api=1&amp;query=24.72476077,46.84399062", "View Map")</f>
        <v/>
      </c>
    </row>
    <row r="1624">
      <c r="A1624" t="inlineStr">
        <is>
          <t>وزارة الشئون الاسلامية مسجد المقيطيب .</t>
        </is>
      </c>
      <c r="B1624" t="inlineStr">
        <is>
          <t>KFM2020660060736</t>
        </is>
      </c>
      <c r="C1624" t="inlineStr">
        <is>
          <t>الرياض</t>
        </is>
      </c>
      <c r="D1624" t="inlineStr">
        <is>
          <t>كلا الفترتين</t>
        </is>
      </c>
      <c r="E1624" t="n">
        <v>1748</v>
      </c>
      <c r="F1624" t="b">
        <v>1</v>
      </c>
      <c r="G1624">
        <f>HYPERLINK("https://www.google.com/maps/search/?api=1&amp;query=24.54079401,46.64107926", "View Map")</f>
        <v/>
      </c>
    </row>
    <row r="1625">
      <c r="A1625" t="inlineStr">
        <is>
          <t xml:space="preserve">   مسجد حسان بن ثابت .</t>
        </is>
      </c>
      <c r="B1625" t="inlineStr">
        <is>
          <t>KFM2020660108697</t>
        </is>
      </c>
      <c r="C1625" t="inlineStr">
        <is>
          <t>الرياض</t>
        </is>
      </c>
      <c r="D1625" t="inlineStr">
        <is>
          <t>كلا الفترتين</t>
        </is>
      </c>
      <c r="E1625" t="n">
        <v>1746</v>
      </c>
      <c r="F1625" t="b">
        <v>0</v>
      </c>
      <c r="G1625">
        <f>HYPERLINK("https://www.google.com/maps/search/?api=1&amp;query=24.74903067,46.82357853", "View Map")</f>
        <v/>
      </c>
    </row>
    <row r="1626">
      <c r="A1626" t="inlineStr">
        <is>
          <t>ﻭﺯﺍﺭﺓﺍﻟﺸﺌﻭﻥ ﺍﻻﺴﻼﻤﻴﺓﻭﺍﻻﻭﻗﺎﻑ .</t>
        </is>
      </c>
      <c r="B1626" t="inlineStr">
        <is>
          <t>SMR2220661017330</t>
        </is>
      </c>
      <c r="C1626" t="inlineStr">
        <is>
          <t>الرياض</t>
        </is>
      </c>
      <c r="D1626" t="inlineStr">
        <is>
          <t>كلا الفترتين</t>
        </is>
      </c>
      <c r="E1626" t="n">
        <v>1744</v>
      </c>
      <c r="F1626" t="b">
        <v>0</v>
      </c>
      <c r="G1626">
        <f>HYPERLINK("https://www.google.com/maps/search/?api=1&amp;query=24.51705063,46.68465337", "View Map")</f>
        <v/>
      </c>
    </row>
    <row r="1627">
      <c r="A1627" t="inlineStr">
        <is>
          <t>ﻭﺯﺍﺭﺓﺍﻟﺸﺌﻭﻥ ﺍﻻﺴﻼﻤﻴﺓﻭﺍﻻﻭﻗﺎﻑ .</t>
        </is>
      </c>
      <c r="B1627" t="inlineStr">
        <is>
          <t>SMR2320661032955</t>
        </is>
      </c>
      <c r="C1627" t="inlineStr">
        <is>
          <t>الرياض</t>
        </is>
      </c>
      <c r="D1627" t="inlineStr">
        <is>
          <t>كلا الفترتين</t>
        </is>
      </c>
      <c r="E1627" t="n">
        <v>1744</v>
      </c>
      <c r="F1627" t="b">
        <v>1</v>
      </c>
      <c r="G1627">
        <f>HYPERLINK("https://www.google.com/maps/search/?api=1&amp;query=24.56172337,46.57817441", "View Map")</f>
        <v/>
      </c>
    </row>
    <row r="1628">
      <c r="A1628" t="inlineStr">
        <is>
          <t xml:space="preserve">   مسجد حي المنار .</t>
        </is>
      </c>
      <c r="B1628" t="inlineStr">
        <is>
          <t>KFM2020660056774</t>
        </is>
      </c>
      <c r="C1628" t="inlineStr">
        <is>
          <t>الرياض</t>
        </is>
      </c>
      <c r="D1628" t="inlineStr">
        <is>
          <t>كلا الفترتين</t>
        </is>
      </c>
      <c r="E1628" t="n">
        <v>1744</v>
      </c>
      <c r="F1628" t="b">
        <v>0</v>
      </c>
      <c r="G1628">
        <f>HYPERLINK("https://www.google.com/maps/search/?api=1&amp;query=24.72898024,46.8039213", "View Map")</f>
        <v/>
      </c>
    </row>
    <row r="1629">
      <c r="A1629" t="inlineStr">
        <is>
          <t xml:space="preserve">   مسجد الزيد بحي المروج .</t>
        </is>
      </c>
      <c r="B1629" t="inlineStr">
        <is>
          <t>KFM2020660173420</t>
        </is>
      </c>
      <c r="C1629" t="inlineStr">
        <is>
          <t>الرياض</t>
        </is>
      </c>
      <c r="D1629" t="inlineStr">
        <is>
          <t>كلا الفترتين</t>
        </is>
      </c>
      <c r="E1629" t="n">
        <v>1744</v>
      </c>
      <c r="F1629" t="b">
        <v>1</v>
      </c>
      <c r="G1629">
        <f>HYPERLINK("https://www.google.com/maps/search/?api=1&amp;query=24.75826619,46.67389481", "View Map")</f>
        <v/>
      </c>
    </row>
    <row r="1630">
      <c r="A1630" t="inlineStr">
        <is>
          <t xml:space="preserve">   مسجد الشلهوب .</t>
        </is>
      </c>
      <c r="B1630" t="inlineStr">
        <is>
          <t>KFM2020660213591</t>
        </is>
      </c>
      <c r="C1630" t="inlineStr">
        <is>
          <t>الرياض</t>
        </is>
      </c>
      <c r="D1630" t="inlineStr">
        <is>
          <t>كلا الفترتين</t>
        </is>
      </c>
      <c r="E1630" t="n">
        <v>1743</v>
      </c>
      <c r="F1630" t="b">
        <v>1</v>
      </c>
      <c r="G1630">
        <f>HYPERLINK("https://www.google.com/maps/search/?api=1&amp;query=24.75177033,46.66900921", "View Map")</f>
        <v/>
      </c>
    </row>
    <row r="1631">
      <c r="A1631" t="inlineStr">
        <is>
          <t xml:space="preserve">   مسجدسارةبنت عبداالعزيزمحمدالا مير .</t>
        </is>
      </c>
      <c r="B1631" t="inlineStr">
        <is>
          <t>KFM2020660197723</t>
        </is>
      </c>
      <c r="C1631" t="inlineStr">
        <is>
          <t>الرياض</t>
        </is>
      </c>
      <c r="D1631" t="inlineStr">
        <is>
          <t>كلا الفترتين</t>
        </is>
      </c>
      <c r="E1631" t="n">
        <v>1742</v>
      </c>
      <c r="F1631" t="b">
        <v>0</v>
      </c>
      <c r="G1631">
        <f>HYPERLINK("https://www.google.com/maps/search/?api=1&amp;query=24.64786086,46.57852373", "View Map")</f>
        <v/>
      </c>
    </row>
    <row r="1632">
      <c r="A1632" t="inlineStr">
        <is>
          <t>ﻤﺴﺎﺠﺩ .</t>
        </is>
      </c>
      <c r="B1632" t="inlineStr">
        <is>
          <t>SMR2220661007340</t>
        </is>
      </c>
      <c r="C1632" t="inlineStr">
        <is>
          <t>الرياض</t>
        </is>
      </c>
      <c r="D1632" t="inlineStr">
        <is>
          <t>كلا الفترتين</t>
        </is>
      </c>
      <c r="E1632" t="n">
        <v>1742</v>
      </c>
      <c r="F1632" t="b">
        <v>0</v>
      </c>
      <c r="G1632">
        <f>HYPERLINK("https://www.google.com/maps/search/?api=1&amp;query=24.65536958,46.58692233", "View Map")</f>
        <v/>
      </c>
    </row>
    <row r="1633">
      <c r="A1633" t="inlineStr">
        <is>
          <t xml:space="preserve">   مسجد  الدرويش .</t>
        </is>
      </c>
      <c r="B1633" t="inlineStr">
        <is>
          <t>KFM2020660060157</t>
        </is>
      </c>
      <c r="C1633" t="inlineStr">
        <is>
          <t>الرياض</t>
        </is>
      </c>
      <c r="D1633" t="inlineStr">
        <is>
          <t>كلا الفترتين</t>
        </is>
      </c>
      <c r="E1633" t="n">
        <v>1738</v>
      </c>
      <c r="F1633" t="b">
        <v>0</v>
      </c>
      <c r="G1633">
        <f>HYPERLINK("https://www.google.com/maps/search/?api=1&amp;query=24.7319,46.7589", "View Map")</f>
        <v/>
      </c>
    </row>
    <row r="1634">
      <c r="A1634" t="inlineStr">
        <is>
          <t xml:space="preserve">   مسجد زيد ابن الارقم .</t>
        </is>
      </c>
      <c r="B1634" t="inlineStr">
        <is>
          <t>KFM2120660247414</t>
        </is>
      </c>
      <c r="C1634" t="inlineStr">
        <is>
          <t>الرياض</t>
        </is>
      </c>
      <c r="D1634" t="inlineStr">
        <is>
          <t>كلا الفترتين</t>
        </is>
      </c>
      <c r="E1634" t="n">
        <v>1737</v>
      </c>
      <c r="F1634" t="b">
        <v>1</v>
      </c>
      <c r="G1634">
        <f>HYPERLINK("https://www.google.com/maps/search/?api=1&amp;query=24.61602621,46.73136835", "View Map")</f>
        <v/>
      </c>
    </row>
    <row r="1635">
      <c r="A1635" t="inlineStr">
        <is>
          <t xml:space="preserve">   مسجد حى الحمراء .</t>
        </is>
      </c>
      <c r="B1635" t="inlineStr">
        <is>
          <t>KFM2020660052621</t>
        </is>
      </c>
      <c r="C1635" t="inlineStr">
        <is>
          <t>الرياض</t>
        </is>
      </c>
      <c r="D1635" t="inlineStr">
        <is>
          <t>كلا الفترتين</t>
        </is>
      </c>
      <c r="E1635" t="n">
        <v>1737</v>
      </c>
      <c r="F1635" t="b">
        <v>0</v>
      </c>
      <c r="G1635">
        <f>HYPERLINK("https://www.google.com/maps/search/?api=1&amp;query=24.7808455,46.76503782", "View Map")</f>
        <v/>
      </c>
    </row>
    <row r="1636">
      <c r="A1636" t="inlineStr">
        <is>
          <t xml:space="preserve">   مسجد عبدالعزيز العتي بظهرة لبن .</t>
        </is>
      </c>
      <c r="B1636" t="inlineStr">
        <is>
          <t>KFM2020660192542</t>
        </is>
      </c>
      <c r="C1636" t="inlineStr">
        <is>
          <t>الرياض</t>
        </is>
      </c>
      <c r="D1636" t="inlineStr">
        <is>
          <t>كلا الفترتين</t>
        </is>
      </c>
      <c r="E1636" t="n">
        <v>1736</v>
      </c>
      <c r="F1636" t="b">
        <v>1</v>
      </c>
      <c r="G1636">
        <f>HYPERLINK("https://www.google.com/maps/search/?api=1&amp;query=24.63267259,46.59960982", "View Map")</f>
        <v/>
      </c>
    </row>
    <row r="1637">
      <c r="A1637" t="inlineStr">
        <is>
          <t xml:space="preserve">   مسجد الرشيد .</t>
        </is>
      </c>
      <c r="B1637" t="inlineStr">
        <is>
          <t>KFM2120660251264</t>
        </is>
      </c>
      <c r="C1637" t="inlineStr">
        <is>
          <t>الدرعية</t>
        </is>
      </c>
      <c r="D1637" t="inlineStr">
        <is>
          <t>كلا الفترتين</t>
        </is>
      </c>
      <c r="E1637" t="n">
        <v>1735</v>
      </c>
      <c r="F1637" t="b">
        <v>0</v>
      </c>
      <c r="G1637">
        <f>HYPERLINK("https://www.google.com/maps/search/?api=1&amp;query=24.74859357,46.58082407", "View Map")</f>
        <v/>
      </c>
    </row>
    <row r="1638">
      <c r="A1638" t="inlineStr">
        <is>
          <t xml:space="preserve">   مسجد/ عبدالله ابن حمد بن سليم .</t>
        </is>
      </c>
      <c r="B1638" t="inlineStr">
        <is>
          <t>KFM2020660166583</t>
        </is>
      </c>
      <c r="C1638" t="inlineStr">
        <is>
          <t>الرياض</t>
        </is>
      </c>
      <c r="D1638" t="inlineStr">
        <is>
          <t>كلا الفترتين</t>
        </is>
      </c>
      <c r="E1638" t="n">
        <v>1734</v>
      </c>
      <c r="F1638" t="b">
        <v>0</v>
      </c>
      <c r="G1638">
        <f>HYPERLINK("https://www.google.com/maps/search/?api=1&amp;query=24.77048453,46.76972831", "View Map")</f>
        <v/>
      </c>
    </row>
    <row r="1639">
      <c r="A1639" t="inlineStr">
        <is>
          <t>مسجدالشويعر .</t>
        </is>
      </c>
      <c r="B1639" t="inlineStr">
        <is>
          <t>KFM2020660164274</t>
        </is>
      </c>
      <c r="C1639" t="inlineStr">
        <is>
          <t>الرياض</t>
        </is>
      </c>
      <c r="D1639" t="inlineStr">
        <is>
          <t>كلا الفترتين</t>
        </is>
      </c>
      <c r="E1639" t="n">
        <v>1734</v>
      </c>
      <c r="F1639" t="b">
        <v>1</v>
      </c>
      <c r="G1639">
        <f>HYPERLINK("https://www.google.com/maps/search/?api=1&amp;query=24.6325,46.7125", "View Map")</f>
        <v/>
      </c>
    </row>
    <row r="1640">
      <c r="A1640" t="inlineStr">
        <is>
          <t>مسجد بن خرعان بالشفاء .</t>
        </is>
      </c>
      <c r="B1640" t="inlineStr">
        <is>
          <t>KFM2020660022969</t>
        </is>
      </c>
      <c r="C1640" t="inlineStr">
        <is>
          <t>الرياض</t>
        </is>
      </c>
      <c r="D1640" t="inlineStr">
        <is>
          <t>كلا الفترتين</t>
        </is>
      </c>
      <c r="E1640" t="n">
        <v>1734</v>
      </c>
      <c r="F1640" t="b">
        <v>0</v>
      </c>
      <c r="G1640">
        <f>HYPERLINK("https://www.google.com/maps/search/?api=1&amp;query=24.57398727,46.70811659", "View Map")</f>
        <v/>
      </c>
    </row>
    <row r="1641">
      <c r="A1641" t="inlineStr">
        <is>
          <t xml:space="preserve">   مسجدضاحيةلبن الثاني .</t>
        </is>
      </c>
      <c r="B1641" t="inlineStr">
        <is>
          <t>KFM2020660192603</t>
        </is>
      </c>
      <c r="C1641" t="inlineStr">
        <is>
          <t>الرياض</t>
        </is>
      </c>
      <c r="D1641" t="inlineStr">
        <is>
          <t>كلا الفترتين</t>
        </is>
      </c>
      <c r="E1641" t="n">
        <v>1733</v>
      </c>
      <c r="F1641" t="b">
        <v>1</v>
      </c>
      <c r="G1641">
        <f>HYPERLINK("https://www.google.com/maps/search/?api=1&amp;query=24.63183474,46.60425225", "View Map")</f>
        <v/>
      </c>
    </row>
    <row r="1642">
      <c r="A1642" t="inlineStr">
        <is>
          <t>ﻤﺴﺎﺠﺩ .</t>
        </is>
      </c>
      <c r="B1642" t="inlineStr">
        <is>
          <t>KFM2120655003947</t>
        </is>
      </c>
      <c r="C1642" t="inlineStr">
        <is>
          <t>الرياض</t>
        </is>
      </c>
      <c r="D1642" t="inlineStr">
        <is>
          <t>كلا الفترتين</t>
        </is>
      </c>
      <c r="E1642" t="n">
        <v>1733</v>
      </c>
      <c r="F1642" t="b">
        <v>0</v>
      </c>
      <c r="G1642">
        <f>HYPERLINK("https://www.google.com/maps/search/?api=1&amp;query=24.93119984,46.8152622", "View Map")</f>
        <v/>
      </c>
    </row>
    <row r="1643">
      <c r="A1643" t="inlineStr">
        <is>
          <t xml:space="preserve">   مساجد .</t>
        </is>
      </c>
      <c r="B1643" t="inlineStr">
        <is>
          <t>KFM2020660139815</t>
        </is>
      </c>
      <c r="C1643" t="inlineStr">
        <is>
          <t>الرياض</t>
        </is>
      </c>
      <c r="D1643" t="inlineStr">
        <is>
          <t>كلا الفترتين</t>
        </is>
      </c>
      <c r="E1643" t="n">
        <v>1731</v>
      </c>
      <c r="F1643" t="b">
        <v>1</v>
      </c>
      <c r="G1643">
        <f>HYPERLINK("https://www.google.com/maps/search/?api=1&amp;query=24.81753844,46.8770442", "View Map")</f>
        <v/>
      </c>
    </row>
    <row r="1644">
      <c r="A1644" t="inlineStr">
        <is>
          <t>ﻤﺴﺎﺠﺩ .</t>
        </is>
      </c>
      <c r="B1644" t="inlineStr">
        <is>
          <t>KFM2020660031177</t>
        </is>
      </c>
      <c r="C1644" t="inlineStr">
        <is>
          <t>الدرعية</t>
        </is>
      </c>
      <c r="D1644" t="inlineStr">
        <is>
          <t>كلا الفترتين</t>
        </is>
      </c>
      <c r="E1644" t="n">
        <v>1731</v>
      </c>
      <c r="F1644" t="b">
        <v>1</v>
      </c>
      <c r="G1644">
        <f>HYPERLINK("https://www.google.com/maps/search/?api=1&amp;query=24.7814,46.5739", "View Map")</f>
        <v/>
      </c>
    </row>
    <row r="1645">
      <c r="A1645" t="inlineStr">
        <is>
          <t xml:space="preserve">   مسجد/ مسفر عبدالله الربيقي .</t>
        </is>
      </c>
      <c r="B1645" t="inlineStr">
        <is>
          <t>KFM2020660162231</t>
        </is>
      </c>
      <c r="C1645" t="inlineStr">
        <is>
          <t>الرياض</t>
        </is>
      </c>
      <c r="D1645" t="inlineStr">
        <is>
          <t>كلا الفترتين</t>
        </is>
      </c>
      <c r="E1645" t="n">
        <v>1730</v>
      </c>
      <c r="F1645" t="b">
        <v>0</v>
      </c>
      <c r="G1645">
        <f>HYPERLINK("https://www.google.com/maps/search/?api=1&amp;query=24.56023288,46.79268631", "View Map")</f>
        <v/>
      </c>
    </row>
    <row r="1646">
      <c r="A1646" t="inlineStr">
        <is>
          <t xml:space="preserve">     مؤسةالاميرهالعنود بنت مساعدال س .</t>
        </is>
      </c>
      <c r="B1646" t="inlineStr">
        <is>
          <t>KFM2020660091209</t>
        </is>
      </c>
      <c r="C1646" t="inlineStr">
        <is>
          <t>الرياض</t>
        </is>
      </c>
      <c r="D1646" t="inlineStr">
        <is>
          <t>كلا الفترتين</t>
        </is>
      </c>
      <c r="E1646" t="n">
        <v>1729</v>
      </c>
      <c r="F1646" t="b">
        <v>0</v>
      </c>
      <c r="G1646">
        <f>HYPERLINK("https://www.google.com/maps/search/?api=1&amp;query=24.69925973,46.62485364", "View Map")</f>
        <v/>
      </c>
    </row>
    <row r="1647">
      <c r="A1647" t="inlineStr">
        <is>
          <t xml:space="preserve">   مسجد الشيخ  محمد صالح العثيمين .</t>
        </is>
      </c>
      <c r="B1647" t="inlineStr">
        <is>
          <t>KFM2020660174322</t>
        </is>
      </c>
      <c r="C1647" t="inlineStr">
        <is>
          <t>الرياض</t>
        </is>
      </c>
      <c r="D1647" t="inlineStr">
        <is>
          <t>كلا الفترتين</t>
        </is>
      </c>
      <c r="E1647" t="n">
        <v>1729</v>
      </c>
      <c r="F1647" t="b">
        <v>1</v>
      </c>
      <c r="G1647">
        <f>HYPERLINK("https://www.google.com/maps/search/?api=1&amp;query=24.821878,46.88706206", "View Map")</f>
        <v/>
      </c>
    </row>
    <row r="1648">
      <c r="A1648" t="inlineStr">
        <is>
          <t xml:space="preserve">  مسجد الأميرة الجواهر بنت فيصل سعود .</t>
        </is>
      </c>
      <c r="B1648" t="inlineStr">
        <is>
          <t>KFM2020660207652</t>
        </is>
      </c>
      <c r="C1648" t="inlineStr">
        <is>
          <t>الرياض</t>
        </is>
      </c>
      <c r="D1648" t="inlineStr">
        <is>
          <t>كلا الفترتين</t>
        </is>
      </c>
      <c r="E1648" t="n">
        <v>1728</v>
      </c>
      <c r="F1648" t="b">
        <v>1</v>
      </c>
      <c r="G1648">
        <f>HYPERLINK("https://www.google.com/maps/search/?api=1&amp;query=24.78376069,46.64279419", "View Map")</f>
        <v/>
      </c>
    </row>
    <row r="1649">
      <c r="A1649" t="inlineStr">
        <is>
          <t>مسجد شبراء .</t>
        </is>
      </c>
      <c r="B1649" t="inlineStr">
        <is>
          <t>KFM2020660098902</t>
        </is>
      </c>
      <c r="C1649" t="inlineStr">
        <is>
          <t>الرياض</t>
        </is>
      </c>
      <c r="D1649" t="inlineStr">
        <is>
          <t>كلا الفترتين</t>
        </is>
      </c>
      <c r="E1649" t="n">
        <v>1724</v>
      </c>
      <c r="F1649" t="b">
        <v>1</v>
      </c>
      <c r="G1649">
        <f>HYPERLINK("https://www.google.com/maps/search/?api=1&amp;query=24.57216899,46.66021177", "View Map")</f>
        <v/>
      </c>
    </row>
    <row r="1650">
      <c r="A1650" t="inlineStr">
        <is>
          <t>المسجد الموقت الدخل  المحدود .</t>
        </is>
      </c>
      <c r="B1650" t="inlineStr">
        <is>
          <t>KFM2120660270631</t>
        </is>
      </c>
      <c r="C1650" t="inlineStr">
        <is>
          <t>الرياض</t>
        </is>
      </c>
      <c r="D1650" t="inlineStr">
        <is>
          <t>كلا الفترتين</t>
        </is>
      </c>
      <c r="E1650" t="n">
        <v>1723</v>
      </c>
      <c r="F1650" t="b">
        <v>1</v>
      </c>
      <c r="G1650">
        <f>HYPERLINK("https://www.google.com/maps/search/?api=1&amp;query=24.5863228,46.58387494", "View Map")</f>
        <v/>
      </c>
    </row>
    <row r="1651">
      <c r="A1651" t="inlineStr">
        <is>
          <t>مسجد الشعلان .</t>
        </is>
      </c>
      <c r="B1651" t="inlineStr">
        <is>
          <t>KFM2020660189348</t>
        </is>
      </c>
      <c r="C1651" t="inlineStr">
        <is>
          <t>الرياض</t>
        </is>
      </c>
      <c r="D1651" t="inlineStr">
        <is>
          <t>كلا الفترتين</t>
        </is>
      </c>
      <c r="E1651" t="n">
        <v>1722</v>
      </c>
      <c r="F1651" t="b">
        <v>0</v>
      </c>
      <c r="G1651">
        <f>HYPERLINK("https://www.google.com/maps/search/?api=1&amp;query=24.54777887,46.69217869", "View Map")</f>
        <v/>
      </c>
    </row>
    <row r="1652">
      <c r="A1652" t="inlineStr">
        <is>
          <t>مسجد مصعب  بن عمير/ مع سكن .</t>
        </is>
      </c>
      <c r="B1652" t="inlineStr">
        <is>
          <t>KFM2020660200499</t>
        </is>
      </c>
      <c r="C1652" t="inlineStr">
        <is>
          <t>الرياض</t>
        </is>
      </c>
      <c r="D1652" t="inlineStr">
        <is>
          <t>كلا الفترتين</t>
        </is>
      </c>
      <c r="E1652" t="n">
        <v>1722</v>
      </c>
      <c r="F1652" t="b">
        <v>1</v>
      </c>
      <c r="G1652">
        <f>HYPERLINK("https://www.google.com/maps/search/?api=1&amp;query=24.52648685,46.70435573", "View Map")</f>
        <v/>
      </c>
    </row>
    <row r="1653">
      <c r="A1653" t="inlineStr">
        <is>
          <t xml:space="preserve">   مسجد حصة ابراهيم التويجري .</t>
        </is>
      </c>
      <c r="B1653" t="inlineStr">
        <is>
          <t>KFM2120660271577</t>
        </is>
      </c>
      <c r="C1653" t="inlineStr">
        <is>
          <t>الرياض</t>
        </is>
      </c>
      <c r="D1653" t="inlineStr">
        <is>
          <t>كلا الفترتين</t>
        </is>
      </c>
      <c r="E1653" t="n">
        <v>1721</v>
      </c>
      <c r="F1653" t="b">
        <v>0</v>
      </c>
      <c r="G1653">
        <f>HYPERLINK("https://www.google.com/maps/search/?api=1&amp;query=24.66992772,46.78432899", "View Map")</f>
        <v/>
      </c>
    </row>
    <row r="1654">
      <c r="A1654" t="inlineStr">
        <is>
          <t xml:space="preserve">   مسجد الفصام .</t>
        </is>
      </c>
      <c r="B1654" t="inlineStr">
        <is>
          <t>KFM2020660025583</t>
        </is>
      </c>
      <c r="C1654" t="inlineStr">
        <is>
          <t>الرياض</t>
        </is>
      </c>
      <c r="D1654" t="inlineStr">
        <is>
          <t>صباحا</t>
        </is>
      </c>
      <c r="E1654" t="n">
        <v>1721</v>
      </c>
      <c r="F1654" t="b">
        <v>0</v>
      </c>
      <c r="G1654">
        <f>HYPERLINK("https://www.google.com/maps/search/?api=1&amp;query=24.77880728,46.80676614", "View Map")</f>
        <v/>
      </c>
    </row>
    <row r="1655">
      <c r="A1655" t="inlineStr">
        <is>
          <t xml:space="preserve">   مسجد الحماد .</t>
        </is>
      </c>
      <c r="B1655" t="inlineStr">
        <is>
          <t>KFM2120660272476</t>
        </is>
      </c>
      <c r="C1655" t="inlineStr">
        <is>
          <t>الرياض</t>
        </is>
      </c>
      <c r="D1655" t="inlineStr">
        <is>
          <t>كلا الفترتين</t>
        </is>
      </c>
      <c r="E1655" t="n">
        <v>1719</v>
      </c>
      <c r="F1655" t="b">
        <v>0</v>
      </c>
      <c r="G1655">
        <f>HYPERLINK("https://www.google.com/maps/search/?api=1&amp;query=24.75089116,46.62925675", "View Map")</f>
        <v/>
      </c>
    </row>
    <row r="1656">
      <c r="A1656" t="inlineStr">
        <is>
          <t xml:space="preserve">   مسجدالخالديه وسكن الامام ولمؤذن .</t>
        </is>
      </c>
      <c r="B1656" t="inlineStr">
        <is>
          <t>KFM2120660256943</t>
        </is>
      </c>
      <c r="C1656" t="inlineStr">
        <is>
          <t>الرياض</t>
        </is>
      </c>
      <c r="D1656" t="inlineStr">
        <is>
          <t>كلا الفترتين</t>
        </is>
      </c>
      <c r="E1656" t="n">
        <v>1719</v>
      </c>
      <c r="F1656" t="b">
        <v>0</v>
      </c>
      <c r="G1656">
        <f>HYPERLINK("https://www.google.com/maps/search/?api=1&amp;query=24.69885739,46.75856164", "View Map")</f>
        <v/>
      </c>
    </row>
    <row r="1657">
      <c r="A1657" t="inlineStr">
        <is>
          <t xml:space="preserve">   مسجد     حي        اشبيليا .</t>
        </is>
      </c>
      <c r="B1657" t="inlineStr">
        <is>
          <t>KFM2020660040638</t>
        </is>
      </c>
      <c r="C1657" t="inlineStr">
        <is>
          <t>الرياض</t>
        </is>
      </c>
      <c r="D1657" t="inlineStr">
        <is>
          <t>كلا الفترتين</t>
        </is>
      </c>
      <c r="E1657" t="n">
        <v>1719</v>
      </c>
      <c r="F1657" t="b">
        <v>1</v>
      </c>
      <c r="G1657">
        <f>HYPERLINK("https://www.google.com/maps/search/?api=1&amp;query=24.79165838,46.79803889", "View Map")</f>
        <v/>
      </c>
    </row>
    <row r="1658">
      <c r="A1658" t="inlineStr">
        <is>
          <t xml:space="preserve"> وزارةالشئون الاسلاميه / مسجد التيسير .</t>
        </is>
      </c>
      <c r="B1658" t="inlineStr">
        <is>
          <t>KFM2020660191753</t>
        </is>
      </c>
      <c r="C1658" t="inlineStr">
        <is>
          <t>الرياض</t>
        </is>
      </c>
      <c r="D1658" t="inlineStr">
        <is>
          <t>كلا الفترتين</t>
        </is>
      </c>
      <c r="E1658" t="n">
        <v>1718</v>
      </c>
      <c r="F1658" t="b">
        <v>1</v>
      </c>
      <c r="G1658">
        <f>HYPERLINK("https://www.google.com/maps/search/?api=1&amp;query=24.73106364,46.8076619", "View Map")</f>
        <v/>
      </c>
    </row>
    <row r="1659">
      <c r="A1659" t="inlineStr">
        <is>
          <t>مسجد الاميره  /موضي السديري .</t>
        </is>
      </c>
      <c r="B1659" t="inlineStr">
        <is>
          <t>KFM2020660203429</t>
        </is>
      </c>
      <c r="C1659" t="inlineStr">
        <is>
          <t>الرياض</t>
        </is>
      </c>
      <c r="D1659" t="inlineStr">
        <is>
          <t>كلا الفترتين</t>
        </is>
      </c>
      <c r="E1659" t="n">
        <v>1718</v>
      </c>
      <c r="F1659" t="b">
        <v>1</v>
      </c>
      <c r="G1659">
        <f>HYPERLINK("https://www.google.com/maps/search/?api=1&amp;query=24.59104233,46.5864018", "View Map")</f>
        <v/>
      </c>
    </row>
    <row r="1660">
      <c r="A1660" t="inlineStr">
        <is>
          <t xml:space="preserve">   مسجد      الخير     . .</t>
        </is>
      </c>
      <c r="B1660" t="inlineStr">
        <is>
          <t>KFM2020660047572</t>
        </is>
      </c>
      <c r="C1660" t="inlineStr">
        <is>
          <t>الرياض</t>
        </is>
      </c>
      <c r="D1660" t="inlineStr">
        <is>
          <t>كلا الفترتين</t>
        </is>
      </c>
      <c r="E1660" t="n">
        <v>1718</v>
      </c>
      <c r="F1660" t="b">
        <v>0</v>
      </c>
      <c r="G1660">
        <f>HYPERLINK("https://www.google.com/maps/search/?api=1&amp;query=24.63930419,46.71990735", "View Map")</f>
        <v/>
      </c>
    </row>
    <row r="1661">
      <c r="A1661" t="inlineStr">
        <is>
          <t>ﻤﺴﺎﺠﺩ .</t>
        </is>
      </c>
      <c r="B1661" t="inlineStr">
        <is>
          <t>KFM2020660224369</t>
        </is>
      </c>
      <c r="C1661" t="inlineStr">
        <is>
          <t>الدرعية</t>
        </is>
      </c>
      <c r="D1661" t="inlineStr">
        <is>
          <t>كلا الفترتين</t>
        </is>
      </c>
      <c r="E1661" t="n">
        <v>1717</v>
      </c>
      <c r="F1661" t="b">
        <v>1</v>
      </c>
      <c r="G1661">
        <f>HYPERLINK("https://www.google.com/maps/search/?api=1&amp;query=24.82994564,46.5653247", "View Map")</f>
        <v/>
      </c>
    </row>
    <row r="1662">
      <c r="A1662" t="inlineStr">
        <is>
          <t xml:space="preserve">   مسجد اهالى/ محمد حسن العسيرى .</t>
        </is>
      </c>
      <c r="B1662" t="inlineStr">
        <is>
          <t>KFM2120660268782</t>
        </is>
      </c>
      <c r="C1662" t="inlineStr">
        <is>
          <t>الرياض</t>
        </is>
      </c>
      <c r="D1662" t="inlineStr">
        <is>
          <t>كلا الفترتين</t>
        </is>
      </c>
      <c r="E1662" t="n">
        <v>1716</v>
      </c>
      <c r="F1662" t="b">
        <v>0</v>
      </c>
      <c r="G1662">
        <f>HYPERLINK("https://www.google.com/maps/search/?api=1&amp;query=24.56483434,46.76171283", "View Map")</f>
        <v/>
      </c>
    </row>
    <row r="1663">
      <c r="A1663" t="inlineStr">
        <is>
          <t xml:space="preserve">   مسجد الامام أحمد بن حنبل .</t>
        </is>
      </c>
      <c r="B1663" t="inlineStr">
        <is>
          <t>KFM2020660012506</t>
        </is>
      </c>
      <c r="C1663" t="inlineStr">
        <is>
          <t>الرياض</t>
        </is>
      </c>
      <c r="D1663" t="inlineStr">
        <is>
          <t>كلا الفترتين</t>
        </is>
      </c>
      <c r="E1663" t="n">
        <v>1716</v>
      </c>
      <c r="F1663" t="b">
        <v>0</v>
      </c>
      <c r="G1663">
        <f>HYPERLINK("https://www.google.com/maps/search/?api=1&amp;query=24.80475812,46.86250165", "View Map")</f>
        <v/>
      </c>
    </row>
    <row r="1664">
      <c r="A1664" t="inlineStr">
        <is>
          <t>مسجد حى  بدر .</t>
        </is>
      </c>
      <c r="B1664" t="inlineStr">
        <is>
          <t>KFM2020660171610</t>
        </is>
      </c>
      <c r="C1664" t="inlineStr">
        <is>
          <t>الرياض</t>
        </is>
      </c>
      <c r="D1664" t="inlineStr">
        <is>
          <t>كلا الفترتين</t>
        </is>
      </c>
      <c r="E1664" t="n">
        <v>1715</v>
      </c>
      <c r="F1664" t="b">
        <v>0</v>
      </c>
      <c r="G1664">
        <f>HYPERLINK("https://www.google.com/maps/search/?api=1&amp;query=24.53834528,46.69340104", "View Map")</f>
        <v/>
      </c>
    </row>
    <row r="1665">
      <c r="A1665" t="inlineStr">
        <is>
          <t>ﻤﺴﺎﺠﺩ .</t>
        </is>
      </c>
      <c r="B1665" t="inlineStr">
        <is>
          <t>KFM2020660197760</t>
        </is>
      </c>
      <c r="C1665" t="inlineStr">
        <is>
          <t>الرياض</t>
        </is>
      </c>
      <c r="D1665" t="inlineStr">
        <is>
          <t>كلا الفترتين</t>
        </is>
      </c>
      <c r="E1665" t="n">
        <v>1714</v>
      </c>
      <c r="F1665" t="b">
        <v>0</v>
      </c>
      <c r="G1665">
        <f>HYPERLINK("https://www.google.com/maps/search/?api=1&amp;query=24.644647,46.5516618", "View Map")</f>
        <v/>
      </c>
    </row>
    <row r="1666">
      <c r="A1666" t="inlineStr">
        <is>
          <t xml:space="preserve">   مساجد .</t>
        </is>
      </c>
      <c r="B1666" t="inlineStr">
        <is>
          <t>KFM2020660141908</t>
        </is>
      </c>
      <c r="C1666" t="inlineStr">
        <is>
          <t>الرياض</t>
        </is>
      </c>
      <c r="D1666" t="inlineStr">
        <is>
          <t>كلا الفترتين</t>
        </is>
      </c>
      <c r="E1666" t="n">
        <v>1714</v>
      </c>
      <c r="F1666" t="b">
        <v>1</v>
      </c>
      <c r="G1666">
        <f>HYPERLINK("https://www.google.com/maps/search/?api=1&amp;query=24.83418982,46.74371809", "View Map")</f>
        <v/>
      </c>
    </row>
    <row r="1667">
      <c r="A1667" t="inlineStr">
        <is>
          <t xml:space="preserve">   مسجد التنعيم .</t>
        </is>
      </c>
      <c r="B1667" t="inlineStr">
        <is>
          <t>KFM2020660047749</t>
        </is>
      </c>
      <c r="C1667" t="inlineStr">
        <is>
          <t>الرياض</t>
        </is>
      </c>
      <c r="D1667" t="inlineStr">
        <is>
          <t>كلا الفترتين</t>
        </is>
      </c>
      <c r="E1667" t="n">
        <v>1714</v>
      </c>
      <c r="F1667" t="b">
        <v>0</v>
      </c>
      <c r="G1667">
        <f>HYPERLINK("https://www.google.com/maps/search/?api=1&amp;query=24.69896691,46.8388006", "View Map")</f>
        <v/>
      </c>
    </row>
    <row r="1668">
      <c r="A1668" t="inlineStr">
        <is>
          <t xml:space="preserve">   وزارةالشئون الاسلامية-مسجدالعقيلي .</t>
        </is>
      </c>
      <c r="B1668" t="inlineStr">
        <is>
          <t>KFM2020660197050</t>
        </is>
      </c>
      <c r="C1668" t="inlineStr">
        <is>
          <t>الدرعية</t>
        </is>
      </c>
      <c r="D1668" t="inlineStr">
        <is>
          <t>كلا الفترتين</t>
        </is>
      </c>
      <c r="E1668" t="n">
        <v>1713</v>
      </c>
      <c r="F1668" t="b">
        <v>0</v>
      </c>
      <c r="G1668">
        <f>HYPERLINK("https://www.google.com/maps/search/?api=1&amp;query=24.73165303,46.60699195", "View Map")</f>
        <v/>
      </c>
    </row>
    <row r="1669">
      <c r="A1669" t="inlineStr">
        <is>
          <t>مسجدالدار البيضاء .</t>
        </is>
      </c>
      <c r="B1669" t="inlineStr">
        <is>
          <t>KFM2020660162794</t>
        </is>
      </c>
      <c r="C1669" t="inlineStr">
        <is>
          <t>الرياض</t>
        </is>
      </c>
      <c r="D1669" t="inlineStr">
        <is>
          <t>كلا الفترتين</t>
        </is>
      </c>
      <c r="E1669" t="n">
        <v>1713</v>
      </c>
      <c r="F1669" t="b">
        <v>1</v>
      </c>
      <c r="G1669">
        <f>HYPERLINK("https://www.google.com/maps/search/?api=1&amp;query=24.55658705,46.78032038", "View Map")</f>
        <v/>
      </c>
    </row>
    <row r="1670">
      <c r="A1670" t="inlineStr">
        <is>
          <t xml:space="preserve">   مسجد حي اشبيليه .</t>
        </is>
      </c>
      <c r="B1670" t="inlineStr">
        <is>
          <t>KFM2020660053543</t>
        </is>
      </c>
      <c r="C1670" t="inlineStr">
        <is>
          <t>الرياض</t>
        </is>
      </c>
      <c r="D1670" t="inlineStr">
        <is>
          <t>كلا الفترتين</t>
        </is>
      </c>
      <c r="E1670" t="n">
        <v>1713</v>
      </c>
      <c r="F1670" t="b">
        <v>1</v>
      </c>
      <c r="G1670">
        <f>HYPERLINK("https://www.google.com/maps/search/?api=1&amp;query=24.77990345,46.77837668", "View Map")</f>
        <v/>
      </c>
    </row>
    <row r="1671">
      <c r="A1671" t="inlineStr">
        <is>
          <t xml:space="preserve">   مساجد .</t>
        </is>
      </c>
      <c r="B1671" t="inlineStr">
        <is>
          <t>KFM2020660104206</t>
        </is>
      </c>
      <c r="C1671" t="inlineStr">
        <is>
          <t>الرياض</t>
        </is>
      </c>
      <c r="D1671" t="inlineStr">
        <is>
          <t>كلا الفترتين</t>
        </is>
      </c>
      <c r="E1671" t="n">
        <v>1712</v>
      </c>
      <c r="F1671" t="b">
        <v>1</v>
      </c>
      <c r="G1671">
        <f>HYPERLINK("https://www.google.com/maps/search/?api=1&amp;query=24.73644933,46.79378428", "View Map")</f>
        <v/>
      </c>
    </row>
    <row r="1672">
      <c r="A1672" t="inlineStr">
        <is>
          <t>ﻤﺴﺎﺠﺩ .</t>
        </is>
      </c>
      <c r="B1672" t="inlineStr">
        <is>
          <t>KFM2020660231160</t>
        </is>
      </c>
      <c r="C1672" t="inlineStr">
        <is>
          <t>الرياض</t>
        </is>
      </c>
      <c r="D1672" t="inlineStr">
        <is>
          <t>كلا الفترتين</t>
        </is>
      </c>
      <c r="E1672" t="n">
        <v>1708</v>
      </c>
      <c r="F1672" t="b">
        <v>1</v>
      </c>
      <c r="G1672">
        <f>HYPERLINK("https://www.google.com/maps/search/?api=1&amp;query=24.66966,46.55142", "View Map")</f>
        <v/>
      </c>
    </row>
    <row r="1673">
      <c r="A1673" t="inlineStr">
        <is>
          <t>مسجد الترمزى .</t>
        </is>
      </c>
      <c r="B1673" t="inlineStr">
        <is>
          <t>KFM2020660171747</t>
        </is>
      </c>
      <c r="C1673" t="inlineStr">
        <is>
          <t>الرياض</t>
        </is>
      </c>
      <c r="D1673" t="inlineStr">
        <is>
          <t>كلا الفترتين</t>
        </is>
      </c>
      <c r="E1673" t="n">
        <v>1708</v>
      </c>
      <c r="F1673" t="b">
        <v>0</v>
      </c>
      <c r="G1673">
        <f>HYPERLINK("https://www.google.com/maps/search/?api=1&amp;query=24.5552839,46.71997436", "View Map")</f>
        <v/>
      </c>
    </row>
    <row r="1674">
      <c r="A1674" t="inlineStr">
        <is>
          <t xml:space="preserve">   اوقاف الاا ال .</t>
        </is>
      </c>
      <c r="B1674" t="inlineStr">
        <is>
          <t>KFM2020660190754</t>
        </is>
      </c>
      <c r="C1674" t="inlineStr">
        <is>
          <t>الرياض</t>
        </is>
      </c>
      <c r="D1674" t="inlineStr">
        <is>
          <t>كلا الفترتين</t>
        </is>
      </c>
      <c r="E1674" t="n">
        <v>1708</v>
      </c>
      <c r="F1674" t="b">
        <v>1</v>
      </c>
      <c r="G1674">
        <f>HYPERLINK("https://www.google.com/maps/search/?api=1&amp;query=24.78285317,46.63830256", "View Map")</f>
        <v/>
      </c>
    </row>
    <row r="1675">
      <c r="A1675" t="inlineStr">
        <is>
          <t xml:space="preserve">   مساجد .</t>
        </is>
      </c>
      <c r="B1675" t="inlineStr">
        <is>
          <t>KFM2020660045432</t>
        </is>
      </c>
      <c r="C1675" t="inlineStr">
        <is>
          <t>الرياض</t>
        </is>
      </c>
      <c r="D1675" t="inlineStr">
        <is>
          <t>كلا الفترتين</t>
        </is>
      </c>
      <c r="E1675" t="n">
        <v>1707</v>
      </c>
      <c r="F1675" t="b">
        <v>1</v>
      </c>
      <c r="G1675">
        <f>HYPERLINK("https://www.google.com/maps/search/?api=1&amp;query=24.82300202,46.72642484", "View Map")</f>
        <v/>
      </c>
    </row>
    <row r="1676">
      <c r="A1676" t="inlineStr">
        <is>
          <t>ﻤﺴﺎﺠﺩ .</t>
        </is>
      </c>
      <c r="B1676" t="inlineStr">
        <is>
          <t>SMR2420661036091</t>
        </is>
      </c>
      <c r="C1676" t="inlineStr">
        <is>
          <t>الرياض</t>
        </is>
      </c>
      <c r="D1676" t="inlineStr">
        <is>
          <t>كلا الفترتين</t>
        </is>
      </c>
      <c r="E1676" t="n">
        <v>1706</v>
      </c>
      <c r="F1676" t="b">
        <v>1</v>
      </c>
      <c r="G1676">
        <f>HYPERLINK("https://www.google.com/maps/search/?api=1&amp;query=24.82068267,46.80123932", "View Map")</f>
        <v/>
      </c>
    </row>
    <row r="1677">
      <c r="A1677" t="inlineStr">
        <is>
          <t xml:space="preserve">   مسجد طيبه .</t>
        </is>
      </c>
      <c r="B1677" t="inlineStr">
        <is>
          <t>KFM2120660300640</t>
        </is>
      </c>
      <c r="C1677" t="inlineStr">
        <is>
          <t>الرياض</t>
        </is>
      </c>
      <c r="D1677" t="inlineStr">
        <is>
          <t>كلا الفترتين</t>
        </is>
      </c>
      <c r="E1677" t="n">
        <v>1705</v>
      </c>
      <c r="F1677" t="b">
        <v>0</v>
      </c>
      <c r="G1677">
        <f>HYPERLINK("https://www.google.com/maps/search/?api=1&amp;query=24.6306191,46.75079643", "View Map")</f>
        <v/>
      </c>
    </row>
    <row r="1678">
      <c r="A1678" t="inlineStr">
        <is>
          <t xml:space="preserve">   مسجد حي النسيم .</t>
        </is>
      </c>
      <c r="B1678" t="inlineStr">
        <is>
          <t>KFM2120660239332</t>
        </is>
      </c>
      <c r="C1678" t="inlineStr">
        <is>
          <t>الرياض</t>
        </is>
      </c>
      <c r="D1678" t="inlineStr">
        <is>
          <t>كلا الفترتين</t>
        </is>
      </c>
      <c r="E1678" t="n">
        <v>1704</v>
      </c>
      <c r="F1678" t="b">
        <v>0</v>
      </c>
      <c r="G1678">
        <f>HYPERLINK("https://www.google.com/maps/search/?api=1&amp;query=24.7343666,46.8383035", "View Map")</f>
        <v/>
      </c>
    </row>
    <row r="1679">
      <c r="A1679" t="inlineStr">
        <is>
          <t>جامع الشيخ  معزي   وزارة  الشئون .</t>
        </is>
      </c>
      <c r="B1679" t="inlineStr">
        <is>
          <t>KFM2020660203563</t>
        </is>
      </c>
      <c r="C1679" t="inlineStr">
        <is>
          <t>الرياض</t>
        </is>
      </c>
      <c r="D1679" t="inlineStr">
        <is>
          <t>كلا الفترتين</t>
        </is>
      </c>
      <c r="E1679" t="n">
        <v>1703</v>
      </c>
      <c r="F1679" t="b">
        <v>1</v>
      </c>
      <c r="G1679">
        <f>HYPERLINK("https://www.google.com/maps/search/?api=1&amp;query=24.56690937,46.54187861", "View Map")</f>
        <v/>
      </c>
    </row>
    <row r="1680">
      <c r="A1680" t="inlineStr">
        <is>
          <t xml:space="preserve">   مسجد شرق الربوه .</t>
        </is>
      </c>
      <c r="B1680" t="inlineStr">
        <is>
          <t>KFM2020660129798</t>
        </is>
      </c>
      <c r="C1680" t="inlineStr">
        <is>
          <t>الرياض</t>
        </is>
      </c>
      <c r="D1680" t="inlineStr">
        <is>
          <t>كلا الفترتين</t>
        </is>
      </c>
      <c r="E1680" t="n">
        <v>1703</v>
      </c>
      <c r="F1680" t="b">
        <v>0</v>
      </c>
      <c r="G1680">
        <f>HYPERLINK("https://www.google.com/maps/search/?api=1&amp;query=24.69945577,46.78283113", "View Map")</f>
        <v/>
      </c>
    </row>
    <row r="1681">
      <c r="A1681" t="inlineStr">
        <is>
          <t xml:space="preserve">   مسجد الهزاعيه .</t>
        </is>
      </c>
      <c r="B1681" t="inlineStr">
        <is>
          <t>KFM2020660176426</t>
        </is>
      </c>
      <c r="C1681" t="inlineStr">
        <is>
          <t>الرياض</t>
        </is>
      </c>
      <c r="D1681" t="inlineStr">
        <is>
          <t>كلا الفترتين</t>
        </is>
      </c>
      <c r="E1681" t="n">
        <v>1703</v>
      </c>
      <c r="F1681" t="b">
        <v>0</v>
      </c>
      <c r="G1681">
        <f>HYPERLINK("https://www.google.com/maps/search/?api=1&amp;query=24.74273643,46.84253558", "View Map")</f>
        <v/>
      </c>
    </row>
    <row r="1682">
      <c r="A1682" t="inlineStr">
        <is>
          <t xml:space="preserve">   مسجد حي النسيم .</t>
        </is>
      </c>
      <c r="B1682" t="inlineStr">
        <is>
          <t>KFM2020660056734</t>
        </is>
      </c>
      <c r="C1682" t="inlineStr">
        <is>
          <t>الرياض</t>
        </is>
      </c>
      <c r="D1682" t="inlineStr">
        <is>
          <t>كلا الفترتين</t>
        </is>
      </c>
      <c r="E1682" t="n">
        <v>1702</v>
      </c>
      <c r="F1682" t="b">
        <v>1</v>
      </c>
      <c r="G1682">
        <f>HYPERLINK("https://www.google.com/maps/search/?api=1&amp;query=24.72752671,46.84777358", "View Map")</f>
        <v/>
      </c>
    </row>
    <row r="1683">
      <c r="A1683" t="inlineStr">
        <is>
          <t xml:space="preserve">   وزاره الشئون الاسلامية والاوقاف .</t>
        </is>
      </c>
      <c r="B1683" t="inlineStr">
        <is>
          <t>KFM2020660197986</t>
        </is>
      </c>
      <c r="C1683" t="inlineStr">
        <is>
          <t>الرياض</t>
        </is>
      </c>
      <c r="D1683" t="inlineStr">
        <is>
          <t>كلا الفترتين</t>
        </is>
      </c>
      <c r="E1683" t="n">
        <v>1702</v>
      </c>
      <c r="F1683" t="b">
        <v>0</v>
      </c>
      <c r="G1683">
        <f>HYPERLINK("https://www.google.com/maps/search/?api=1&amp;query=24.64017628,46.55544171", "View Map")</f>
        <v/>
      </c>
    </row>
    <row r="1684">
      <c r="A1684" t="inlineStr">
        <is>
          <t>ﻤﺴﺎﺠﺩ .</t>
        </is>
      </c>
      <c r="B1684" t="inlineStr">
        <is>
          <t>KFM2020660202032</t>
        </is>
      </c>
      <c r="C1684" t="inlineStr">
        <is>
          <t>الرياض</t>
        </is>
      </c>
      <c r="D1684" t="inlineStr">
        <is>
          <t>كلا الفترتين</t>
        </is>
      </c>
      <c r="E1684" t="n">
        <v>1700</v>
      </c>
      <c r="F1684" t="b">
        <v>0</v>
      </c>
      <c r="G1684">
        <f>HYPERLINK("https://www.google.com/maps/search/?api=1&amp;query=24.86703855,46.64687671", "View Map")</f>
        <v/>
      </c>
    </row>
    <row r="1685">
      <c r="A1685" t="inlineStr">
        <is>
          <t>مسجد الامير/محمد بن ناصر الفرحان .</t>
        </is>
      </c>
      <c r="B1685" t="inlineStr">
        <is>
          <t>KFM2020660096068</t>
        </is>
      </c>
      <c r="C1685" t="inlineStr">
        <is>
          <t>الرياض</t>
        </is>
      </c>
      <c r="D1685" t="inlineStr">
        <is>
          <t>كلا الفترتين</t>
        </is>
      </c>
      <c r="E1685" t="n">
        <v>1699</v>
      </c>
      <c r="F1685" t="b">
        <v>0</v>
      </c>
      <c r="G1685">
        <f>HYPERLINK("https://www.google.com/maps/search/?api=1&amp;query=24.57717269,46.70086496", "View Map")</f>
        <v/>
      </c>
    </row>
    <row r="1686">
      <c r="A1686" t="inlineStr">
        <is>
          <t xml:space="preserve">   مسجد ابوبكر الصديق .</t>
        </is>
      </c>
      <c r="B1686" t="inlineStr">
        <is>
          <t>SMR2420768001776</t>
        </is>
      </c>
      <c r="C1686" t="inlineStr">
        <is>
          <t>الرياض</t>
        </is>
      </c>
      <c r="D1686" t="inlineStr">
        <is>
          <t>كلا الفترتين</t>
        </is>
      </c>
      <c r="E1686" t="n">
        <v>1699</v>
      </c>
      <c r="F1686" t="b">
        <v>0</v>
      </c>
      <c r="G1686">
        <f>HYPERLINK("https://www.google.com/maps/search/?api=1&amp;query=24.7150606,46.8485158", "View Map")</f>
        <v/>
      </c>
    </row>
    <row r="1687">
      <c r="A1687" t="inlineStr">
        <is>
          <t>ﻤﺴﺎﺠﺩ .</t>
        </is>
      </c>
      <c r="B1687" t="inlineStr">
        <is>
          <t>KFM2020660202035</t>
        </is>
      </c>
      <c r="C1687" t="inlineStr">
        <is>
          <t>الرياض</t>
        </is>
      </c>
      <c r="D1687" t="inlineStr">
        <is>
          <t>كلا الفترتين</t>
        </is>
      </c>
      <c r="E1687" t="n">
        <v>1697</v>
      </c>
      <c r="F1687" t="b">
        <v>0</v>
      </c>
      <c r="G1687">
        <f>HYPERLINK("https://www.google.com/maps/search/?api=1&amp;query=24.85297,46.65071", "View Map")</f>
        <v/>
      </c>
    </row>
    <row r="1688">
      <c r="A1688" t="inlineStr">
        <is>
          <t xml:space="preserve">   مسـجدمجمع اسـواق صالح الراجحى .</t>
        </is>
      </c>
      <c r="B1688" t="inlineStr">
        <is>
          <t>KFM2020660209269</t>
        </is>
      </c>
      <c r="C1688" t="inlineStr">
        <is>
          <t>الرياض</t>
        </is>
      </c>
      <c r="D1688" t="inlineStr">
        <is>
          <t>كلا الفترتين</t>
        </is>
      </c>
      <c r="E1688" t="n">
        <v>1697</v>
      </c>
      <c r="F1688" t="b">
        <v>1</v>
      </c>
      <c r="G1688">
        <f>HYPERLINK("https://www.google.com/maps/search/?api=1&amp;query=24.71551367,46.67279954", "View Map")</f>
        <v/>
      </c>
    </row>
    <row r="1689">
      <c r="A1689" t="inlineStr">
        <is>
          <t>جامع السليم .</t>
        </is>
      </c>
      <c r="B1689" t="inlineStr">
        <is>
          <t>KFM2020660057790</t>
        </is>
      </c>
      <c r="C1689" t="inlineStr">
        <is>
          <t>الرياض</t>
        </is>
      </c>
      <c r="D1689" t="inlineStr">
        <is>
          <t>كلا الفترتين</t>
        </is>
      </c>
      <c r="E1689" t="n">
        <v>1695</v>
      </c>
      <c r="F1689" t="b">
        <v>0</v>
      </c>
      <c r="G1689">
        <f>HYPERLINK("https://www.google.com/maps/search/?api=1&amp;query=24.57021532,46.68724537", "View Map")</f>
        <v/>
      </c>
    </row>
    <row r="1690">
      <c r="A1690" t="inlineStr">
        <is>
          <t xml:space="preserve">   مسجد حي الملك فيصل .</t>
        </is>
      </c>
      <c r="B1690" t="inlineStr">
        <is>
          <t>KFM2020660174492</t>
        </is>
      </c>
      <c r="C1690" t="inlineStr">
        <is>
          <t>الرياض</t>
        </is>
      </c>
      <c r="D1690" t="inlineStr">
        <is>
          <t>كلا الفترتين</t>
        </is>
      </c>
      <c r="E1690" t="n">
        <v>1695</v>
      </c>
      <c r="F1690" t="b">
        <v>1</v>
      </c>
      <c r="G1690">
        <f>HYPERLINK("https://www.google.com/maps/search/?api=1&amp;query=24.75252973,46.78885689", "View Map")</f>
        <v/>
      </c>
    </row>
    <row r="1691">
      <c r="A1691" t="inlineStr">
        <is>
          <t xml:space="preserve">   مسجد حمود ابراهيم الذياب .</t>
        </is>
      </c>
      <c r="B1691" t="inlineStr">
        <is>
          <t>KFM2020660176832</t>
        </is>
      </c>
      <c r="C1691" t="inlineStr">
        <is>
          <t>الرياض</t>
        </is>
      </c>
      <c r="D1691" t="inlineStr">
        <is>
          <t>كلا الفترتين</t>
        </is>
      </c>
      <c r="E1691" t="n">
        <v>1694</v>
      </c>
      <c r="F1691" t="b">
        <v>1</v>
      </c>
      <c r="G1691">
        <f>HYPERLINK("https://www.google.com/maps/search/?api=1&amp;query=24.7297,46.8114", "View Map")</f>
        <v/>
      </c>
    </row>
    <row r="1692">
      <c r="A1692" t="inlineStr">
        <is>
          <t xml:space="preserve">   مسجد القادسية .</t>
        </is>
      </c>
      <c r="B1692" t="inlineStr">
        <is>
          <t>KFM2020660060686</t>
        </is>
      </c>
      <c r="C1692" t="inlineStr">
        <is>
          <t>الرياض</t>
        </is>
      </c>
      <c r="D1692" t="inlineStr">
        <is>
          <t>كلا الفترتين</t>
        </is>
      </c>
      <c r="E1692" t="n">
        <v>1693</v>
      </c>
      <c r="F1692" t="b">
        <v>0</v>
      </c>
      <c r="G1692">
        <f>HYPERLINK("https://www.google.com/maps/search/?api=1&amp;query=24.81847379,46.81534706", "View Map")</f>
        <v/>
      </c>
    </row>
    <row r="1693">
      <c r="A1693" t="inlineStr">
        <is>
          <t xml:space="preserve">   مسجد القادسيه .</t>
        </is>
      </c>
      <c r="B1693" t="inlineStr">
        <is>
          <t>KFM2020660174900</t>
        </is>
      </c>
      <c r="C1693" t="inlineStr">
        <is>
          <t>الرياض</t>
        </is>
      </c>
      <c r="D1693" t="inlineStr">
        <is>
          <t>كلا الفترتين</t>
        </is>
      </c>
      <c r="E1693" t="n">
        <v>1692</v>
      </c>
      <c r="F1693" t="b">
        <v>0</v>
      </c>
      <c r="G1693">
        <f>HYPERLINK("https://www.google.com/maps/search/?api=1&amp;query=24.69888548,46.81699186", "View Map")</f>
        <v/>
      </c>
    </row>
    <row r="1694">
      <c r="A1694" t="inlineStr">
        <is>
          <t>ﻤﺴﺎﺠﺩ .</t>
        </is>
      </c>
      <c r="B1694" t="inlineStr">
        <is>
          <t>SMR2220661001462</t>
        </is>
      </c>
      <c r="C1694" t="inlineStr">
        <is>
          <t>الرياض</t>
        </is>
      </c>
      <c r="D1694" t="inlineStr">
        <is>
          <t>كلا الفترتين</t>
        </is>
      </c>
      <c r="E1694" t="n">
        <v>1691</v>
      </c>
      <c r="F1694" t="b">
        <v>0</v>
      </c>
      <c r="G1694">
        <f>HYPERLINK("https://www.google.com/maps/search/?api=1&amp;query=24.82015369,46.83870204", "View Map")</f>
        <v/>
      </c>
    </row>
    <row r="1695">
      <c r="A1695" t="inlineStr">
        <is>
          <t xml:space="preserve">   مسجد شيخة بنت عبدالعزيز .</t>
        </is>
      </c>
      <c r="B1695" t="inlineStr">
        <is>
          <t>KFM2020660188810</t>
        </is>
      </c>
      <c r="C1695" t="inlineStr">
        <is>
          <t>الرياض</t>
        </is>
      </c>
      <c r="D1695" t="inlineStr">
        <is>
          <t>كلا الفترتين</t>
        </is>
      </c>
      <c r="E1695" t="n">
        <v>1691</v>
      </c>
      <c r="F1695" t="b">
        <v>1</v>
      </c>
      <c r="G1695">
        <f>HYPERLINK("https://www.google.com/maps/search/?api=1&amp;query=24.65714737,46.70770269", "View Map")</f>
        <v/>
      </c>
    </row>
    <row r="1696">
      <c r="A1696" t="inlineStr">
        <is>
          <t xml:space="preserve">   مسجد/الشيخ محمد عبدالله النويصر .</t>
        </is>
      </c>
      <c r="B1696" t="inlineStr">
        <is>
          <t>KFM2020660188780</t>
        </is>
      </c>
      <c r="C1696" t="inlineStr">
        <is>
          <t>الرياض</t>
        </is>
      </c>
      <c r="D1696" t="inlineStr">
        <is>
          <t>كلا الفترتين</t>
        </is>
      </c>
      <c r="E1696" t="n">
        <v>1691</v>
      </c>
      <c r="F1696" t="b">
        <v>0</v>
      </c>
      <c r="G1696">
        <f>HYPERLINK("https://www.google.com/maps/search/?api=1&amp;query=24.67507445,46.6926969", "View Map")</f>
        <v/>
      </c>
    </row>
    <row r="1697">
      <c r="A1697" t="inlineStr">
        <is>
          <t>مسجد الاميرة /نورة  بنت عبدالعزيز .</t>
        </is>
      </c>
      <c r="B1697" t="inlineStr">
        <is>
          <t>KFM2020660198415</t>
        </is>
      </c>
      <c r="C1697" t="inlineStr">
        <is>
          <t>الرياض</t>
        </is>
      </c>
      <c r="D1697" t="inlineStr">
        <is>
          <t>كلا الفترتين</t>
        </is>
      </c>
      <c r="E1697" t="n">
        <v>1690</v>
      </c>
      <c r="F1697" t="b">
        <v>0</v>
      </c>
      <c r="G1697">
        <f>HYPERLINK("https://www.google.com/maps/search/?api=1&amp;query=24.59917376,46.58680565", "View Map")</f>
        <v/>
      </c>
    </row>
    <row r="1698">
      <c r="A1698" t="inlineStr">
        <is>
          <t xml:space="preserve">   مسجد الجنادريه .</t>
        </is>
      </c>
      <c r="B1698" t="inlineStr">
        <is>
          <t>KFM2020660012505</t>
        </is>
      </c>
      <c r="C1698" t="inlineStr">
        <is>
          <t>الرياض</t>
        </is>
      </c>
      <c r="D1698" t="inlineStr">
        <is>
          <t>كلا الفترتين</t>
        </is>
      </c>
      <c r="E1698" t="n">
        <v>1689</v>
      </c>
      <c r="F1698" t="b">
        <v>0</v>
      </c>
      <c r="G1698">
        <f>HYPERLINK("https://www.google.com/maps/search/?api=1&amp;query=24.80817482,46.85859346", "View Map")</f>
        <v/>
      </c>
    </row>
    <row r="1699">
      <c r="A1699" t="inlineStr">
        <is>
          <t>سكن امام ومؤذن مسجد الشيخ عبدالرحمن المطرودي</t>
        </is>
      </c>
      <c r="B1699" t="inlineStr">
        <is>
          <t>KFM2120660282068</t>
        </is>
      </c>
      <c r="C1699" t="inlineStr">
        <is>
          <t>الرياض</t>
        </is>
      </c>
      <c r="D1699" t="inlineStr">
        <is>
          <t>كلا الفترتين</t>
        </is>
      </c>
      <c r="E1699" t="n">
        <v>1688</v>
      </c>
      <c r="F1699" t="b">
        <v>0</v>
      </c>
      <c r="G1699">
        <f>HYPERLINK("https://www.google.com/maps/search/?api=1&amp;query=24.62625505,46.79530678", "View Map")</f>
        <v/>
      </c>
    </row>
    <row r="1700">
      <c r="A1700" t="inlineStr">
        <is>
          <t xml:space="preserve">   مسجد ناصر بن ابراهيم العميقان .</t>
        </is>
      </c>
      <c r="B1700" t="inlineStr">
        <is>
          <t>KFM2020660208658</t>
        </is>
      </c>
      <c r="C1700" t="inlineStr">
        <is>
          <t>الرياض</t>
        </is>
      </c>
      <c r="D1700" t="inlineStr">
        <is>
          <t>كلا الفترتين</t>
        </is>
      </c>
      <c r="E1700" t="n">
        <v>1688</v>
      </c>
      <c r="F1700" t="b">
        <v>1</v>
      </c>
      <c r="G1700">
        <f>HYPERLINK("https://www.google.com/maps/search/?api=1&amp;query=24.75934701,46.71452459", "View Map")</f>
        <v/>
      </c>
    </row>
    <row r="1701">
      <c r="A1701" t="inlineStr">
        <is>
          <t xml:space="preserve">   مسجد حي قرطبة .</t>
        </is>
      </c>
      <c r="B1701" t="inlineStr">
        <is>
          <t>KFM2020660046501</t>
        </is>
      </c>
      <c r="C1701" t="inlineStr">
        <is>
          <t>الرياض</t>
        </is>
      </c>
      <c r="D1701" t="inlineStr">
        <is>
          <t>كلا الفترتين</t>
        </is>
      </c>
      <c r="E1701" t="n">
        <v>1687</v>
      </c>
      <c r="F1701" t="b">
        <v>0</v>
      </c>
      <c r="G1701">
        <f>HYPERLINK("https://www.google.com/maps/search/?api=1&amp;query=24.81758482,46.74703221", "View Map")</f>
        <v/>
      </c>
    </row>
    <row r="1702">
      <c r="A1702" t="inlineStr">
        <is>
          <t xml:space="preserve">   مساجد .</t>
        </is>
      </c>
      <c r="B1702" t="inlineStr">
        <is>
          <t>KFM2120660270037</t>
        </is>
      </c>
      <c r="C1702" t="inlineStr">
        <is>
          <t>الرياض</t>
        </is>
      </c>
      <c r="D1702" t="inlineStr">
        <is>
          <t>كلا الفترتين</t>
        </is>
      </c>
      <c r="E1702" t="n">
        <v>1686</v>
      </c>
      <c r="F1702" t="b">
        <v>1</v>
      </c>
      <c r="G1702">
        <f>HYPERLINK("https://www.google.com/maps/search/?api=1&amp;query=24.81350778,46.81228237", "View Map")</f>
        <v/>
      </c>
    </row>
    <row r="1703">
      <c r="A1703" t="inlineStr">
        <is>
          <t>ﻤﺴﺎﺠﺩ .</t>
        </is>
      </c>
      <c r="B1703" t="inlineStr">
        <is>
          <t>SMR2220661005716</t>
        </is>
      </c>
      <c r="C1703" t="inlineStr">
        <is>
          <t>الرياض</t>
        </is>
      </c>
      <c r="D1703" t="inlineStr">
        <is>
          <t>كلا الفترتين</t>
        </is>
      </c>
      <c r="E1703" t="n">
        <v>1685</v>
      </c>
      <c r="F1703" t="b">
        <v>1</v>
      </c>
      <c r="G1703">
        <f>HYPERLINK("https://www.google.com/maps/search/?api=1&amp;query=24.92525789,46.82341566", "View Map")</f>
        <v/>
      </c>
    </row>
    <row r="1704">
      <c r="A1704" t="inlineStr">
        <is>
          <t xml:space="preserve">   مسجد وسكن صالح الخليفه .</t>
        </is>
      </c>
      <c r="B1704" t="inlineStr">
        <is>
          <t>KFM2020660174864</t>
        </is>
      </c>
      <c r="C1704" t="inlineStr">
        <is>
          <t>الرياض</t>
        </is>
      </c>
      <c r="D1704" t="inlineStr">
        <is>
          <t>كلا الفترتين</t>
        </is>
      </c>
      <c r="E1704" t="n">
        <v>1685</v>
      </c>
      <c r="F1704" t="b">
        <v>1</v>
      </c>
      <c r="G1704">
        <f>HYPERLINK("https://www.google.com/maps/search/?api=1&amp;query=24.83693473,46.75207377", "View Map")</f>
        <v/>
      </c>
    </row>
    <row r="1705">
      <c r="A1705" t="inlineStr">
        <is>
          <t xml:space="preserve">   مسجد الهدى .</t>
        </is>
      </c>
      <c r="B1705" t="inlineStr">
        <is>
          <t>KFM2020660175153</t>
        </is>
      </c>
      <c r="C1705" t="inlineStr">
        <is>
          <t>الرياض</t>
        </is>
      </c>
      <c r="D1705" t="inlineStr">
        <is>
          <t>كلا الفترتين</t>
        </is>
      </c>
      <c r="E1705" t="n">
        <v>1684</v>
      </c>
      <c r="F1705" t="b">
        <v>1</v>
      </c>
      <c r="G1705">
        <f>HYPERLINK("https://www.google.com/maps/search/?api=1&amp;query=24.66255947,46.62024682", "View Map")</f>
        <v/>
      </c>
    </row>
    <row r="1706">
      <c r="A1706" t="inlineStr">
        <is>
          <t xml:space="preserve">   مسجد عبدالعزيز عبدالله الموسى .</t>
        </is>
      </c>
      <c r="B1706" t="inlineStr">
        <is>
          <t>KFM2020660173925</t>
        </is>
      </c>
      <c r="C1706" t="inlineStr">
        <is>
          <t>الرياض</t>
        </is>
      </c>
      <c r="D1706" t="inlineStr">
        <is>
          <t>صباحا</t>
        </is>
      </c>
      <c r="E1706" t="n">
        <v>1683</v>
      </c>
      <c r="F1706" t="b">
        <v>0</v>
      </c>
      <c r="G1706">
        <f>HYPERLINK("https://www.google.com/maps/search/?api=1&amp;query=24.72711563,46.65582048", "View Map")</f>
        <v/>
      </c>
    </row>
    <row r="1707">
      <c r="A1707" t="inlineStr">
        <is>
          <t xml:space="preserve">   مسجد جبران .</t>
        </is>
      </c>
      <c r="B1707" t="inlineStr">
        <is>
          <t>KFM2120660299071</t>
        </is>
      </c>
      <c r="C1707" t="inlineStr">
        <is>
          <t>الرياض</t>
        </is>
      </c>
      <c r="D1707" t="inlineStr">
        <is>
          <t>كلا الفترتين</t>
        </is>
      </c>
      <c r="E1707" t="n">
        <v>1681</v>
      </c>
      <c r="F1707" t="b">
        <v>1</v>
      </c>
      <c r="G1707">
        <f>HYPERLINK("https://www.google.com/maps/search/?api=1&amp;query=24.5756853,46.76371107", "View Map")</f>
        <v/>
      </c>
    </row>
    <row r="1708">
      <c r="A1708" t="inlineStr">
        <is>
          <t>مسجد بالعمارية .</t>
        </is>
      </c>
      <c r="B1708" t="inlineStr">
        <is>
          <t>KFM2020660202997</t>
        </is>
      </c>
      <c r="C1708" t="inlineStr">
        <is>
          <t>الدرعية</t>
        </is>
      </c>
      <c r="D1708" t="inlineStr">
        <is>
          <t>كلا الفترتين</t>
        </is>
      </c>
      <c r="E1708" t="n">
        <v>1680</v>
      </c>
      <c r="F1708" t="b">
        <v>1</v>
      </c>
      <c r="G1708">
        <f>HYPERLINK("https://www.google.com/maps/search/?api=1&amp;query=24.74571002,46.35579148", "View Map")</f>
        <v/>
      </c>
    </row>
    <row r="1709">
      <c r="A1709" t="inlineStr">
        <is>
          <t xml:space="preserve">   مسجدوالدة/الامير فيصل بن فهد .</t>
        </is>
      </c>
      <c r="B1709" t="inlineStr">
        <is>
          <t>KFM2020660051105</t>
        </is>
      </c>
      <c r="C1709" t="inlineStr">
        <is>
          <t>الرياض</t>
        </is>
      </c>
      <c r="D1709" t="inlineStr">
        <is>
          <t>كلا الفترتين</t>
        </is>
      </c>
      <c r="E1709" t="n">
        <v>1679</v>
      </c>
      <c r="F1709" t="b">
        <v>0</v>
      </c>
      <c r="G1709">
        <f>HYPERLINK("https://www.google.com/maps/search/?api=1&amp;query=24.68892005,46.69555586", "View Map")</f>
        <v/>
      </c>
    </row>
    <row r="1710">
      <c r="A1710" t="inlineStr">
        <is>
          <t>مسجد /الصوينع بحي بدر .</t>
        </is>
      </c>
      <c r="B1710" t="inlineStr">
        <is>
          <t>KFM2020660198449</t>
        </is>
      </c>
      <c r="C1710" t="inlineStr">
        <is>
          <t>الرياض</t>
        </is>
      </c>
      <c r="D1710" t="inlineStr">
        <is>
          <t>كلا الفترتين</t>
        </is>
      </c>
      <c r="E1710" t="n">
        <v>1679</v>
      </c>
      <c r="F1710" t="b">
        <v>1</v>
      </c>
      <c r="G1710">
        <f>HYPERLINK("https://www.google.com/maps/search/?api=1&amp;query=24.53087995,46.69445532", "View Map")</f>
        <v/>
      </c>
    </row>
    <row r="1711">
      <c r="A1711" t="inlineStr">
        <is>
          <t>مسجد بدر بالسويدى .</t>
        </is>
      </c>
      <c r="B1711" t="inlineStr">
        <is>
          <t>KFM2020660013290</t>
        </is>
      </c>
      <c r="C1711" t="inlineStr">
        <is>
          <t>الرياض</t>
        </is>
      </c>
      <c r="D1711" t="inlineStr">
        <is>
          <t>كلا الفترتين</t>
        </is>
      </c>
      <c r="E1711" t="n">
        <v>1678</v>
      </c>
      <c r="F1711" t="b">
        <v>0</v>
      </c>
      <c r="G1711">
        <f>HYPERLINK("https://www.google.com/maps/search/?api=1&amp;query=24.59556228,46.6833319", "View Map")</f>
        <v/>
      </c>
    </row>
    <row r="1712">
      <c r="A1712" t="inlineStr">
        <is>
          <t xml:space="preserve">   مسجد بر الوالدين .</t>
        </is>
      </c>
      <c r="B1712" t="inlineStr">
        <is>
          <t>KFM2120660256843</t>
        </is>
      </c>
      <c r="C1712" t="inlineStr">
        <is>
          <t>الرياض</t>
        </is>
      </c>
      <c r="D1712" t="inlineStr">
        <is>
          <t>كلا الفترتين</t>
        </is>
      </c>
      <c r="E1712" t="n">
        <v>1677</v>
      </c>
      <c r="F1712" t="b">
        <v>1</v>
      </c>
      <c r="G1712">
        <f>HYPERLINK("https://www.google.com/maps/search/?api=1&amp;query=24.55218905,46.78653029", "View Map")</f>
        <v/>
      </c>
    </row>
    <row r="1713">
      <c r="A1713" t="inlineStr">
        <is>
          <t xml:space="preserve">   مسجد حصه البداح .</t>
        </is>
      </c>
      <c r="B1713" t="inlineStr">
        <is>
          <t>KFM2120660290496</t>
        </is>
      </c>
      <c r="C1713" t="inlineStr">
        <is>
          <t>الرياض</t>
        </is>
      </c>
      <c r="D1713" t="inlineStr">
        <is>
          <t>كلا الفترتين</t>
        </is>
      </c>
      <c r="E1713" t="n">
        <v>1676</v>
      </c>
      <c r="F1713" t="b">
        <v>0</v>
      </c>
      <c r="G1713">
        <f>HYPERLINK("https://www.google.com/maps/search/?api=1&amp;query=24.68615734,46.81352382", "View Map")</f>
        <v/>
      </c>
    </row>
    <row r="1714">
      <c r="A1714" t="inlineStr">
        <is>
          <t xml:space="preserve">   مسجد كيلو 3 بالنسيم(مسجد التوحيد .</t>
        </is>
      </c>
      <c r="B1714" t="inlineStr">
        <is>
          <t>KFM2120660239331</t>
        </is>
      </c>
      <c r="C1714" t="inlineStr">
        <is>
          <t>الرياض</t>
        </is>
      </c>
      <c r="D1714" t="inlineStr">
        <is>
          <t>كلا الفترتين</t>
        </is>
      </c>
      <c r="E1714" t="n">
        <v>1675</v>
      </c>
      <c r="F1714" t="b">
        <v>1</v>
      </c>
      <c r="G1714">
        <f>HYPERLINK("https://www.google.com/maps/search/?api=1&amp;query=24.73544912,46.83330853", "View Map")</f>
        <v/>
      </c>
    </row>
    <row r="1715">
      <c r="A1715" t="inlineStr">
        <is>
          <t>جامع  الامير نايف بن عبدالعزيز .</t>
        </is>
      </c>
      <c r="B1715" t="inlineStr">
        <is>
          <t>KFM2020660051537</t>
        </is>
      </c>
      <c r="C1715" t="inlineStr">
        <is>
          <t>الرياض</t>
        </is>
      </c>
      <c r="D1715" t="inlineStr">
        <is>
          <t>كلا الفترتين</t>
        </is>
      </c>
      <c r="E1715" t="n">
        <v>1675</v>
      </c>
      <c r="F1715" t="b">
        <v>0</v>
      </c>
      <c r="G1715">
        <f>HYPERLINK("https://www.google.com/maps/search/?api=1&amp;query=24.58403716,46.66459112", "View Map")</f>
        <v/>
      </c>
    </row>
    <row r="1716">
      <c r="A1716" t="inlineStr">
        <is>
          <t xml:space="preserve">   وزارة الشئون الاسلامية والاوقاف .</t>
        </is>
      </c>
      <c r="B1716" t="inlineStr">
        <is>
          <t>KFM2020660044615</t>
        </is>
      </c>
      <c r="C1716" t="inlineStr">
        <is>
          <t>الرياض</t>
        </is>
      </c>
      <c r="D1716" t="inlineStr">
        <is>
          <t>كلا الفترتين</t>
        </is>
      </c>
      <c r="E1716" t="n">
        <v>1674</v>
      </c>
      <c r="F1716" t="b">
        <v>0</v>
      </c>
      <c r="G1716">
        <f>HYPERLINK("https://www.google.com/maps/search/?api=1&amp;query=24.8269,46.6361", "View Map")</f>
        <v/>
      </c>
    </row>
    <row r="1717">
      <c r="A1717" t="inlineStr">
        <is>
          <t xml:space="preserve">   مسجد عبدالله العباد بحي حطين .</t>
        </is>
      </c>
      <c r="B1717" t="inlineStr">
        <is>
          <t>KFM2020660187914</t>
        </is>
      </c>
      <c r="C1717" t="inlineStr">
        <is>
          <t>الدرعية</t>
        </is>
      </c>
      <c r="D1717" t="inlineStr">
        <is>
          <t>كلا الفترتين</t>
        </is>
      </c>
      <c r="E1717" t="n">
        <v>1674</v>
      </c>
      <c r="F1717" t="b">
        <v>0</v>
      </c>
      <c r="G1717">
        <f>HYPERLINK("https://www.google.com/maps/search/?api=1&amp;query=24.74012063,46.59488177", "View Map")</f>
        <v/>
      </c>
    </row>
    <row r="1718">
      <c r="A1718" t="inlineStr">
        <is>
          <t>ﻤﺴﺎﺠﺩ .</t>
        </is>
      </c>
      <c r="B1718" t="inlineStr">
        <is>
          <t>SMR2420661038664</t>
        </is>
      </c>
      <c r="C1718" t="inlineStr">
        <is>
          <t>الرياض</t>
        </is>
      </c>
      <c r="D1718" t="inlineStr">
        <is>
          <t>كلا الفترتين</t>
        </is>
      </c>
      <c r="E1718" t="n">
        <v>1673</v>
      </c>
      <c r="F1718" t="b">
        <v>0</v>
      </c>
      <c r="G1718">
        <f>HYPERLINK("https://www.google.com/maps/search/?api=1&amp;query=24.89525512,46.61977105", "View Map")</f>
        <v/>
      </c>
    </row>
    <row r="1719">
      <c r="A1719" t="inlineStr">
        <is>
          <t>مسجدالرويضة بالسبالة (حلة عبيدالسهو .</t>
        </is>
      </c>
      <c r="B1719" t="inlineStr">
        <is>
          <t>KFM2020660189416</t>
        </is>
      </c>
      <c r="C1719" t="inlineStr">
        <is>
          <t>الرياض</t>
        </is>
      </c>
      <c r="D1719" t="inlineStr">
        <is>
          <t>كلا الفترتين</t>
        </is>
      </c>
      <c r="E1719" t="n">
        <v>1673</v>
      </c>
      <c r="F1719" t="b">
        <v>1</v>
      </c>
      <c r="G1719">
        <f>HYPERLINK("https://www.google.com/maps/search/?api=1&amp;query=24.62594388,46.69826527", "View Map")</f>
        <v/>
      </c>
    </row>
    <row r="1720">
      <c r="A1720" t="inlineStr">
        <is>
          <t xml:space="preserve">   مسجد  موضي الجبر .</t>
        </is>
      </c>
      <c r="B1720" t="inlineStr">
        <is>
          <t>KFM2120660257434</t>
        </is>
      </c>
      <c r="C1720" t="inlineStr">
        <is>
          <t>الرياض</t>
        </is>
      </c>
      <c r="D1720" t="inlineStr">
        <is>
          <t>كلا الفترتين</t>
        </is>
      </c>
      <c r="E1720" t="n">
        <v>1672</v>
      </c>
      <c r="F1720" t="b">
        <v>0</v>
      </c>
      <c r="G1720">
        <f>HYPERLINK("https://www.google.com/maps/search/?api=1&amp;query=24.67942274,46.59531705", "View Map")</f>
        <v/>
      </c>
    </row>
    <row r="1721">
      <c r="A1721" t="inlineStr">
        <is>
          <t>ﻭﺯﺍﺭﺓﺍﻟﺸﺌﻭﻥ ﺍﻻﺴﻼﻤﻴﺓﻭﺍﻻﻭﻗﺎﻑ .</t>
        </is>
      </c>
      <c r="B1721" t="inlineStr">
        <is>
          <t>KFM2120660283870</t>
        </is>
      </c>
      <c r="C1721" t="inlineStr">
        <is>
          <t>الرياض</t>
        </is>
      </c>
      <c r="D1721" t="inlineStr">
        <is>
          <t>كلا الفترتين</t>
        </is>
      </c>
      <c r="E1721" t="n">
        <v>1672</v>
      </c>
      <c r="F1721" t="b">
        <v>0</v>
      </c>
      <c r="G1721">
        <f>HYPERLINK("https://www.google.com/maps/search/?api=1&amp;query=24.48765947,46.63532146", "View Map")</f>
        <v/>
      </c>
    </row>
    <row r="1722">
      <c r="A1722" t="inlineStr">
        <is>
          <t xml:space="preserve">   مسجد      عبدالعزيز . .</t>
        </is>
      </c>
      <c r="B1722" t="inlineStr">
        <is>
          <t>KFM2020660207576</t>
        </is>
      </c>
      <c r="C1722" t="inlineStr">
        <is>
          <t>الرياض</t>
        </is>
      </c>
      <c r="D1722" t="inlineStr">
        <is>
          <t>كلا الفترتين</t>
        </is>
      </c>
      <c r="E1722" t="n">
        <v>1672</v>
      </c>
      <c r="F1722" t="b">
        <v>1</v>
      </c>
      <c r="G1722">
        <f>HYPERLINK("https://www.google.com/maps/search/?api=1&amp;query=24.81616492,46.64085398", "View Map")</f>
        <v/>
      </c>
    </row>
    <row r="1723">
      <c r="A1723" t="inlineStr">
        <is>
          <t>ﻤﺴﺎﺠﺩ .</t>
        </is>
      </c>
      <c r="B1723" t="inlineStr">
        <is>
          <t>MMF2420601025688</t>
        </is>
      </c>
      <c r="C1723" t="inlineStr">
        <is>
          <t>الرياض</t>
        </is>
      </c>
      <c r="D1723" t="inlineStr">
        <is>
          <t>كلا الفترتين</t>
        </is>
      </c>
      <c r="E1723" t="n">
        <v>1672</v>
      </c>
      <c r="F1723" t="b">
        <v>1</v>
      </c>
      <c r="G1723">
        <f>HYPERLINK("https://www.google.com/maps/search/?api=1&amp;query=0.0,0.0", "View Map")</f>
        <v/>
      </c>
    </row>
    <row r="1724">
      <c r="A1724" t="inlineStr">
        <is>
          <t xml:space="preserve">   مسجد المغامس وسكن الامام والمؤذن .</t>
        </is>
      </c>
      <c r="B1724" t="inlineStr">
        <is>
          <t>KFM2020660191351</t>
        </is>
      </c>
      <c r="C1724" t="inlineStr">
        <is>
          <t>الرياض</t>
        </is>
      </c>
      <c r="D1724" t="inlineStr">
        <is>
          <t>كلا الفترتين</t>
        </is>
      </c>
      <c r="E1724" t="n">
        <v>1671</v>
      </c>
      <c r="F1724" t="b">
        <v>1</v>
      </c>
      <c r="G1724">
        <f>HYPERLINK("https://www.google.com/maps/search/?api=1&amp;query=24.79361874,46.71214831", "View Map")</f>
        <v/>
      </c>
    </row>
    <row r="1725">
      <c r="A1725" t="inlineStr">
        <is>
          <t>ﻤﺴﺎﺠﺩ .</t>
        </is>
      </c>
      <c r="B1725" t="inlineStr">
        <is>
          <t>KFM2020660031625</t>
        </is>
      </c>
      <c r="C1725" t="inlineStr">
        <is>
          <t>الرياض</t>
        </is>
      </c>
      <c r="D1725" t="inlineStr">
        <is>
          <t>كلا الفترتين</t>
        </is>
      </c>
      <c r="E1725" t="n">
        <v>1671</v>
      </c>
      <c r="F1725" t="b">
        <v>1</v>
      </c>
      <c r="G1725">
        <f>HYPERLINK("https://www.google.com/maps/search/?api=1&amp;query=24.700257,46.8340865", "View Map")</f>
        <v/>
      </c>
    </row>
    <row r="1726">
      <c r="A1726" t="inlineStr">
        <is>
          <t xml:space="preserve">   مسجد الحنيان الحمراء .</t>
        </is>
      </c>
      <c r="B1726" t="inlineStr">
        <is>
          <t>KFM2020660060014</t>
        </is>
      </c>
      <c r="C1726" t="inlineStr">
        <is>
          <t>الرياض</t>
        </is>
      </c>
      <c r="D1726" t="inlineStr">
        <is>
          <t>كلا الفترتين</t>
        </is>
      </c>
      <c r="E1726" t="n">
        <v>1671</v>
      </c>
      <c r="F1726" t="b">
        <v>0</v>
      </c>
      <c r="G1726">
        <f>HYPERLINK("https://www.google.com/maps/search/?api=1&amp;query=24.7772,46.7611", "View Map")</f>
        <v/>
      </c>
    </row>
    <row r="1727">
      <c r="A1727" t="inlineStr">
        <is>
          <t xml:space="preserve">   مسجد الرومي .</t>
        </is>
      </c>
      <c r="B1727" t="inlineStr">
        <is>
          <t>KFM2020660095899</t>
        </is>
      </c>
      <c r="C1727" t="inlineStr">
        <is>
          <t>الرياض</t>
        </is>
      </c>
      <c r="D1727" t="inlineStr">
        <is>
          <t>كلا الفترتين</t>
        </is>
      </c>
      <c r="E1727" t="n">
        <v>1670</v>
      </c>
      <c r="F1727" t="b">
        <v>1</v>
      </c>
      <c r="G1727">
        <f>HYPERLINK("https://www.google.com/maps/search/?api=1&amp;query=24.68529033,46.76381504", "View Map")</f>
        <v/>
      </c>
    </row>
    <row r="1728">
      <c r="A1728" t="inlineStr">
        <is>
          <t>ﻤﺴﺎﺠﺩ .</t>
        </is>
      </c>
      <c r="B1728" t="inlineStr">
        <is>
          <t>KFM2120660257701</t>
        </is>
      </c>
      <c r="C1728" t="inlineStr">
        <is>
          <t>الرياض</t>
        </is>
      </c>
      <c r="D1728" t="inlineStr">
        <is>
          <t>كلا الفترتين</t>
        </is>
      </c>
      <c r="E1728" t="n">
        <v>1670</v>
      </c>
      <c r="F1728" t="b">
        <v>0</v>
      </c>
      <c r="G1728">
        <f>HYPERLINK("https://www.google.com/maps/search/?api=1&amp;query=24.70948604,46.84672797", "View Map")</f>
        <v/>
      </c>
    </row>
    <row r="1729">
      <c r="A1729" t="inlineStr">
        <is>
          <t>ﻤﺴﺎﺠﺩ .</t>
        </is>
      </c>
      <c r="B1729" t="inlineStr">
        <is>
          <t>KFM2020660145909</t>
        </is>
      </c>
      <c r="C1729" t="inlineStr">
        <is>
          <t>الرياض</t>
        </is>
      </c>
      <c r="D1729" t="inlineStr">
        <is>
          <t>كلا الفترتين</t>
        </is>
      </c>
      <c r="E1729" t="n">
        <v>1669</v>
      </c>
      <c r="F1729" t="b">
        <v>0</v>
      </c>
      <c r="G1729">
        <f>HYPERLINK("https://www.google.com/maps/search/?api=1&amp;query=24.81491919,46.5935683", "View Map")</f>
        <v/>
      </c>
    </row>
    <row r="1730">
      <c r="A1730" t="inlineStr">
        <is>
          <t xml:space="preserve">   مسجدالعقيق .</t>
        </is>
      </c>
      <c r="B1730" t="inlineStr">
        <is>
          <t>KFM2020660036745</t>
        </is>
      </c>
      <c r="C1730" t="inlineStr">
        <is>
          <t>الرياض</t>
        </is>
      </c>
      <c r="D1730" t="inlineStr">
        <is>
          <t>صباحا</t>
        </is>
      </c>
      <c r="E1730" t="n">
        <v>1669</v>
      </c>
      <c r="F1730" t="b">
        <v>0</v>
      </c>
      <c r="G1730">
        <f>HYPERLINK("https://www.google.com/maps/search/?api=1&amp;query=24.77760132,46.62092336", "View Map")</f>
        <v/>
      </c>
    </row>
    <row r="1731">
      <c r="A1731" t="inlineStr">
        <is>
          <t xml:space="preserve">   مسجد الاميره هياء بنت عبدالعزيز .</t>
        </is>
      </c>
      <c r="B1731" t="inlineStr">
        <is>
          <t>KFM2020660195069</t>
        </is>
      </c>
      <c r="C1731" t="inlineStr">
        <is>
          <t>الرياض</t>
        </is>
      </c>
      <c r="D1731" t="inlineStr">
        <is>
          <t>كلا الفترتين</t>
        </is>
      </c>
      <c r="E1731" t="n">
        <v>1668</v>
      </c>
      <c r="F1731" t="b">
        <v>0</v>
      </c>
      <c r="G1731">
        <f>HYPERLINK("https://www.google.com/maps/search/?api=1&amp;query=24.80533717,46.88850322", "View Map")</f>
        <v/>
      </c>
    </row>
    <row r="1732">
      <c r="A1732" t="inlineStr">
        <is>
          <t>مسجد حي الفواز .</t>
        </is>
      </c>
      <c r="B1732" t="inlineStr">
        <is>
          <t>KFM2020660202691</t>
        </is>
      </c>
      <c r="C1732" t="inlineStr">
        <is>
          <t>الرياض</t>
        </is>
      </c>
      <c r="D1732" t="inlineStr">
        <is>
          <t>كلا الفترتين</t>
        </is>
      </c>
      <c r="E1732" t="n">
        <v>1668</v>
      </c>
      <c r="F1732" t="b">
        <v>0</v>
      </c>
      <c r="G1732">
        <f>HYPERLINK("https://www.google.com/maps/search/?api=1&amp;query=24.50500192,46.62812324", "View Map")</f>
        <v/>
      </c>
    </row>
    <row r="1733">
      <c r="A1733" t="inlineStr">
        <is>
          <t>مسجد / محمد العريفي .</t>
        </is>
      </c>
      <c r="B1733" t="inlineStr">
        <is>
          <t>KFM2020660057771</t>
        </is>
      </c>
      <c r="C1733" t="inlineStr">
        <is>
          <t>الرياض</t>
        </is>
      </c>
      <c r="D1733" t="inlineStr">
        <is>
          <t>كلا الفترتين</t>
        </is>
      </c>
      <c r="E1733" t="n">
        <v>1667</v>
      </c>
      <c r="F1733" t="b">
        <v>1</v>
      </c>
      <c r="G1733">
        <f>HYPERLINK("https://www.google.com/maps/search/?api=1&amp;query=24.56843608,46.62294978", "View Map")</f>
        <v/>
      </c>
    </row>
    <row r="1734">
      <c r="A1734" t="inlineStr">
        <is>
          <t>ﻤﺴﺎﺠﺩ .</t>
        </is>
      </c>
      <c r="B1734" t="inlineStr">
        <is>
          <t>KFM2020766157186</t>
        </is>
      </c>
      <c r="C1734" t="inlineStr">
        <is>
          <t>الرياض</t>
        </is>
      </c>
      <c r="D1734" t="inlineStr">
        <is>
          <t>كلا الفترتين</t>
        </is>
      </c>
      <c r="E1734" t="n">
        <v>1666</v>
      </c>
      <c r="F1734" t="b">
        <v>1</v>
      </c>
      <c r="G1734">
        <f>HYPERLINK("https://www.google.com/maps/search/?api=1&amp;query=24.82853691,46.64812559", "View Map")</f>
        <v/>
      </c>
    </row>
    <row r="1735">
      <c r="A1735" t="inlineStr">
        <is>
          <t>ﻭﺯﺍﺭﺓﺍﻟﺸﺌﻭﻥ ﺍﻻﺴﻼﻤﻴﺓﻭﺍﻻﻭﻗﺎﻑ .</t>
        </is>
      </c>
      <c r="B1735" t="inlineStr">
        <is>
          <t>SMR2320661034008</t>
        </is>
      </c>
      <c r="C1735" t="inlineStr">
        <is>
          <t>الرياض</t>
        </is>
      </c>
      <c r="D1735" t="inlineStr">
        <is>
          <t>كلا الفترتين</t>
        </is>
      </c>
      <c r="E1735" t="n">
        <v>1666</v>
      </c>
      <c r="F1735" t="b">
        <v>1</v>
      </c>
      <c r="G1735">
        <f>HYPERLINK("https://www.google.com/maps/search/?api=1&amp;query=24.55363955,46.6674507", "View Map")</f>
        <v/>
      </c>
    </row>
    <row r="1736">
      <c r="A1736" t="inlineStr">
        <is>
          <t xml:space="preserve">   مسجد البليهد .</t>
        </is>
      </c>
      <c r="B1736" t="inlineStr">
        <is>
          <t>KFM2020660025572</t>
        </is>
      </c>
      <c r="C1736" t="inlineStr">
        <is>
          <t>الرياض</t>
        </is>
      </c>
      <c r="D1736" t="inlineStr">
        <is>
          <t>كلا الفترتين</t>
        </is>
      </c>
      <c r="E1736" t="n">
        <v>1665</v>
      </c>
      <c r="F1736" t="b">
        <v>0</v>
      </c>
      <c r="G1736">
        <f>HYPERLINK("https://www.google.com/maps/search/?api=1&amp;query=24.75759672,46.78977717", "View Map")</f>
        <v/>
      </c>
    </row>
    <row r="1737">
      <c r="A1737" t="inlineStr">
        <is>
          <t xml:space="preserve">   مسجد حي الرمال .</t>
        </is>
      </c>
      <c r="B1737" t="inlineStr">
        <is>
          <t>KFM2020660190150</t>
        </is>
      </c>
      <c r="C1737" t="inlineStr">
        <is>
          <t>الرياض</t>
        </is>
      </c>
      <c r="D1737" t="inlineStr">
        <is>
          <t>كلا الفترتين</t>
        </is>
      </c>
      <c r="E1737" t="n">
        <v>1665</v>
      </c>
      <c r="F1737" t="b">
        <v>1</v>
      </c>
      <c r="G1737">
        <f>HYPERLINK("https://www.google.com/maps/search/?api=1&amp;query=24.84124936,46.8070651", "View Map")</f>
        <v/>
      </c>
    </row>
    <row r="1738">
      <c r="A1738" t="inlineStr">
        <is>
          <t>مسجد      قاعدالحارثي .</t>
        </is>
      </c>
      <c r="B1738" t="inlineStr">
        <is>
          <t>KFM2020660175003</t>
        </is>
      </c>
      <c r="C1738" t="inlineStr">
        <is>
          <t>الرياض</t>
        </is>
      </c>
      <c r="D1738" t="inlineStr">
        <is>
          <t>كلا الفترتين</t>
        </is>
      </c>
      <c r="E1738" t="n">
        <v>1662</v>
      </c>
      <c r="F1738" t="b">
        <v>0</v>
      </c>
      <c r="G1738">
        <f>HYPERLINK("https://www.google.com/maps/search/?api=1&amp;query=24.51809337,46.65789022", "View Map")</f>
        <v/>
      </c>
    </row>
    <row r="1739">
      <c r="A1739" t="inlineStr">
        <is>
          <t xml:space="preserve">   مسجد الجزيرة .</t>
        </is>
      </c>
      <c r="B1739" t="inlineStr">
        <is>
          <t>KFM2020660191031</t>
        </is>
      </c>
      <c r="C1739" t="inlineStr">
        <is>
          <t>الرياض</t>
        </is>
      </c>
      <c r="D1739" t="inlineStr">
        <is>
          <t>كلا الفترتين</t>
        </is>
      </c>
      <c r="E1739" t="n">
        <v>1662</v>
      </c>
      <c r="F1739" t="b">
        <v>1</v>
      </c>
      <c r="G1739">
        <f>HYPERLINK("https://www.google.com/maps/search/?api=1&amp;query=24.80381167,46.79835328", "View Map")</f>
        <v/>
      </c>
    </row>
    <row r="1740">
      <c r="A1740" t="inlineStr">
        <is>
          <t xml:space="preserve">    مسجد مصعب بن عمي .</t>
        </is>
      </c>
      <c r="B1740" t="inlineStr">
        <is>
          <t>KFM2120660260338</t>
        </is>
      </c>
      <c r="C1740" t="inlineStr">
        <is>
          <t>الرياض</t>
        </is>
      </c>
      <c r="D1740" t="inlineStr">
        <is>
          <t>كلا الفترتين</t>
        </is>
      </c>
      <c r="E1740" t="n">
        <v>1661</v>
      </c>
      <c r="F1740" t="b">
        <v>0</v>
      </c>
      <c r="G1740">
        <f>HYPERLINK("https://www.google.com/maps/search/?api=1&amp;query=24.65851891,46.80514329", "View Map")</f>
        <v/>
      </c>
    </row>
    <row r="1741">
      <c r="A1741" t="inlineStr">
        <is>
          <t xml:space="preserve">   مسجد الروضه .</t>
        </is>
      </c>
      <c r="B1741" t="inlineStr">
        <is>
          <t>KFM2020660193772</t>
        </is>
      </c>
      <c r="C1741" t="inlineStr">
        <is>
          <t>الرياض</t>
        </is>
      </c>
      <c r="D1741" t="inlineStr">
        <is>
          <t>كلا الفترتين</t>
        </is>
      </c>
      <c r="E1741" t="n">
        <v>1660</v>
      </c>
      <c r="F1741" t="b">
        <v>0</v>
      </c>
      <c r="G1741">
        <f>HYPERLINK("https://www.google.com/maps/search/?api=1&amp;query=24.73236371,46.77075358", "View Map")</f>
        <v/>
      </c>
    </row>
    <row r="1742">
      <c r="A1742" t="inlineStr">
        <is>
          <t xml:space="preserve">   مسجد مؤقت من ابلك رقم 40 .</t>
        </is>
      </c>
      <c r="B1742" t="inlineStr">
        <is>
          <t>KFM2120660304904</t>
        </is>
      </c>
      <c r="C1742" t="inlineStr">
        <is>
          <t>الرياض</t>
        </is>
      </c>
      <c r="D1742" t="inlineStr">
        <is>
          <t>كلا الفترتين</t>
        </is>
      </c>
      <c r="E1742" t="n">
        <v>1660</v>
      </c>
      <c r="F1742" t="b">
        <v>0</v>
      </c>
      <c r="G1742">
        <f>HYPERLINK("https://www.google.com/maps/search/?api=1&amp;query=24.64150331,46.75531957", "View Map")</f>
        <v/>
      </c>
    </row>
    <row r="1743">
      <c r="A1743" t="inlineStr">
        <is>
          <t xml:space="preserve">   مسجد غبيراء .</t>
        </is>
      </c>
      <c r="B1743" t="inlineStr">
        <is>
          <t>KFM2120660247959</t>
        </is>
      </c>
      <c r="C1743" t="inlineStr">
        <is>
          <t>الرياض</t>
        </is>
      </c>
      <c r="D1743" t="inlineStr">
        <is>
          <t>كلا الفترتين</t>
        </is>
      </c>
      <c r="E1743" t="n">
        <v>1659</v>
      </c>
      <c r="F1743" t="b">
        <v>0</v>
      </c>
      <c r="G1743">
        <f>HYPERLINK("https://www.google.com/maps/search/?api=1&amp;query=24.62136966,46.73679417", "View Map")</f>
        <v/>
      </c>
    </row>
    <row r="1744">
      <c r="A1744" t="inlineStr">
        <is>
          <t xml:space="preserve">   وزارة الشئون الاسلامية والاوقاف .</t>
        </is>
      </c>
      <c r="B1744" t="inlineStr">
        <is>
          <t>KFM2020660202303</t>
        </is>
      </c>
      <c r="C1744" t="inlineStr">
        <is>
          <t>الرياض</t>
        </is>
      </c>
      <c r="D1744" t="inlineStr">
        <is>
          <t>كلا الفترتين</t>
        </is>
      </c>
      <c r="E1744" t="n">
        <v>1657</v>
      </c>
      <c r="F1744" t="b">
        <v>1</v>
      </c>
      <c r="G1744">
        <f>HYPERLINK("https://www.google.com/maps/search/?api=1&amp;query=24.64274007,46.56680742", "View Map")</f>
        <v/>
      </c>
    </row>
    <row r="1745">
      <c r="A1745" t="inlineStr">
        <is>
          <t>مسجد جفرة  الشيوخ .</t>
        </is>
      </c>
      <c r="B1745" t="inlineStr">
        <is>
          <t>KFM2020660170975</t>
        </is>
      </c>
      <c r="C1745" t="inlineStr">
        <is>
          <t>الرياض</t>
        </is>
      </c>
      <c r="D1745" t="inlineStr">
        <is>
          <t>كلا الفترتين</t>
        </is>
      </c>
      <c r="E1745" t="n">
        <v>1657</v>
      </c>
      <c r="F1745" t="b">
        <v>0</v>
      </c>
      <c r="G1745">
        <f>HYPERLINK("https://www.google.com/maps/search/?api=1&amp;query=24.61142882,46.70484649", "View Map")</f>
        <v/>
      </c>
    </row>
    <row r="1746">
      <c r="A1746" t="inlineStr">
        <is>
          <t xml:space="preserve">   مسجد    اليرموك .</t>
        </is>
      </c>
      <c r="B1746" t="inlineStr">
        <is>
          <t>KFM2020660041151</t>
        </is>
      </c>
      <c r="C1746" t="inlineStr">
        <is>
          <t>الرياض</t>
        </is>
      </c>
      <c r="D1746" t="inlineStr">
        <is>
          <t>كلا الفترتين</t>
        </is>
      </c>
      <c r="E1746" t="n">
        <v>1656</v>
      </c>
      <c r="F1746" t="b">
        <v>0</v>
      </c>
      <c r="G1746">
        <f>HYPERLINK("https://www.google.com/maps/search/?api=1&amp;query=24.81695611,46.78756522", "View Map")</f>
        <v/>
      </c>
    </row>
    <row r="1747">
      <c r="A1747" t="inlineStr">
        <is>
          <t>ﻭﺯﺍﺭﺓﺍﻟﺸﺌﻭﻥ ﺍﻻﺴﻼﻤﻴﺓﻭﺍﻻﻭﻗﺎﻑ .</t>
        </is>
      </c>
      <c r="B1747" t="inlineStr">
        <is>
          <t>KFM2020660203749</t>
        </is>
      </c>
      <c r="C1747" t="inlineStr">
        <is>
          <t>الرياض</t>
        </is>
      </c>
      <c r="D1747" t="inlineStr">
        <is>
          <t>كلا الفترتين</t>
        </is>
      </c>
      <c r="E1747" t="n">
        <v>1656</v>
      </c>
      <c r="F1747" t="b">
        <v>1</v>
      </c>
      <c r="G1747">
        <f>HYPERLINK("https://www.google.com/maps/search/?api=1&amp;query=24.55673478,46.61292399", "View Map")</f>
        <v/>
      </c>
    </row>
    <row r="1748">
      <c r="A1748" t="inlineStr">
        <is>
          <t xml:space="preserve">   وزارةالشون الاسلاميه مسجدحي لبن .</t>
        </is>
      </c>
      <c r="B1748" t="inlineStr">
        <is>
          <t>KFM2020660187664</t>
        </is>
      </c>
      <c r="C1748" t="inlineStr">
        <is>
          <t>الرياض</t>
        </is>
      </c>
      <c r="D1748" t="inlineStr">
        <is>
          <t>كلا الفترتين</t>
        </is>
      </c>
      <c r="E1748" t="n">
        <v>1655</v>
      </c>
      <c r="F1748" t="b">
        <v>0</v>
      </c>
      <c r="G1748">
        <f>HYPERLINK("https://www.google.com/maps/search/?api=1&amp;query=24.63682109,46.55753926", "View Map")</f>
        <v/>
      </c>
    </row>
    <row r="1749">
      <c r="A1749" t="inlineStr">
        <is>
          <t>مسجد      عبدالله    الدخيل .</t>
        </is>
      </c>
      <c r="B1749" t="inlineStr">
        <is>
          <t>KFM2020660131948</t>
        </is>
      </c>
      <c r="C1749" t="inlineStr">
        <is>
          <t>الرياض</t>
        </is>
      </c>
      <c r="D1749" t="inlineStr">
        <is>
          <t>كلا الفترتين</t>
        </is>
      </c>
      <c r="E1749" t="n">
        <v>1654</v>
      </c>
      <c r="F1749" t="b">
        <v>0</v>
      </c>
      <c r="G1749">
        <f>HYPERLINK("https://www.google.com/maps/search/?api=1&amp;query=24.56097905,46.69732179", "View Map")</f>
        <v/>
      </c>
    </row>
    <row r="1750">
      <c r="A1750" t="inlineStr">
        <is>
          <t xml:space="preserve">   جامع الدار البيضاء .</t>
        </is>
      </c>
      <c r="B1750" t="inlineStr">
        <is>
          <t>KFM2020660229316</t>
        </is>
      </c>
      <c r="C1750" t="inlineStr">
        <is>
          <t>الرياض</t>
        </is>
      </c>
      <c r="D1750" t="inlineStr">
        <is>
          <t>كلا الفترتين</t>
        </is>
      </c>
      <c r="E1750" t="n">
        <v>1653</v>
      </c>
      <c r="F1750" t="b">
        <v>1</v>
      </c>
      <c r="G1750">
        <f>HYPERLINK("https://www.google.com/maps/search/?api=1&amp;query=24.56246162,46.76567181", "View Map")</f>
        <v/>
      </c>
    </row>
    <row r="1751">
      <c r="A1751" t="inlineStr">
        <is>
          <t xml:space="preserve">   مسجد      صلا ح      الدين .</t>
        </is>
      </c>
      <c r="B1751" t="inlineStr">
        <is>
          <t>KFM2020660056765</t>
        </is>
      </c>
      <c r="C1751" t="inlineStr">
        <is>
          <t>الرياض</t>
        </is>
      </c>
      <c r="D1751" t="inlineStr">
        <is>
          <t>كلا الفترتين</t>
        </is>
      </c>
      <c r="E1751" t="n">
        <v>1649</v>
      </c>
      <c r="F1751" t="b">
        <v>0</v>
      </c>
      <c r="G1751">
        <f>HYPERLINK("https://www.google.com/maps/search/?api=1&amp;query=24.72606392,46.75884528", "View Map")</f>
        <v/>
      </c>
    </row>
    <row r="1752">
      <c r="A1752" t="inlineStr">
        <is>
          <t xml:space="preserve">   مسجد حي النسيم .</t>
        </is>
      </c>
      <c r="B1752" t="inlineStr">
        <is>
          <t>KFM2120655004334</t>
        </is>
      </c>
      <c r="C1752" t="inlineStr">
        <is>
          <t>الرياض</t>
        </is>
      </c>
      <c r="D1752" t="inlineStr">
        <is>
          <t>كلا الفترتين</t>
        </is>
      </c>
      <c r="E1752" t="n">
        <v>1648</v>
      </c>
      <c r="F1752" t="b">
        <v>1</v>
      </c>
      <c r="G1752">
        <f>HYPERLINK("https://www.google.com/maps/search/?api=1&amp;query=24.73914909,46.82461504", "View Map")</f>
        <v/>
      </c>
    </row>
    <row r="1753">
      <c r="A1753" t="inlineStr">
        <is>
          <t>مسجد مخطط الرابع  عشر .</t>
        </is>
      </c>
      <c r="B1753" t="inlineStr">
        <is>
          <t>KFM2020660203600</t>
        </is>
      </c>
      <c r="C1753" t="inlineStr">
        <is>
          <t>الرياض</t>
        </is>
      </c>
      <c r="D1753" t="inlineStr">
        <is>
          <t>كلا الفترتين</t>
        </is>
      </c>
      <c r="E1753" t="n">
        <v>1647</v>
      </c>
      <c r="F1753" t="b">
        <v>0</v>
      </c>
      <c r="G1753">
        <f>HYPERLINK("https://www.google.com/maps/search/?api=1&amp;query=24.57743291,46.61506174", "View Map")</f>
        <v/>
      </c>
    </row>
    <row r="1754">
      <c r="A1754" t="inlineStr">
        <is>
          <t xml:space="preserve">   مسجدالشيخ فهد العويضه +  السكن .</t>
        </is>
      </c>
      <c r="B1754" t="inlineStr">
        <is>
          <t>KFM2020660060118</t>
        </is>
      </c>
      <c r="C1754" t="inlineStr">
        <is>
          <t>الرياض</t>
        </is>
      </c>
      <c r="D1754" t="inlineStr">
        <is>
          <t>كلا الفترتين</t>
        </is>
      </c>
      <c r="E1754" t="n">
        <v>1646</v>
      </c>
      <c r="F1754" t="b">
        <v>0</v>
      </c>
      <c r="G1754">
        <f>HYPERLINK("https://www.google.com/maps/search/?api=1&amp;query=24.77867468,46.75787019", "View Map")</f>
        <v/>
      </c>
    </row>
    <row r="1755">
      <c r="A1755" t="inlineStr">
        <is>
          <t>ﻤﺴﺎﺠﺩ .</t>
        </is>
      </c>
      <c r="B1755" t="inlineStr">
        <is>
          <t>KFM2020660104175</t>
        </is>
      </c>
      <c r="C1755" t="inlineStr">
        <is>
          <t>الرياض</t>
        </is>
      </c>
      <c r="D1755" t="inlineStr">
        <is>
          <t>كلا الفترتين</t>
        </is>
      </c>
      <c r="E1755" t="n">
        <v>1646</v>
      </c>
      <c r="F1755" t="b">
        <v>1</v>
      </c>
      <c r="G1755">
        <f>HYPERLINK("https://www.google.com/maps/search/?api=1&amp;query=24.83819136,46.64715421", "View Map")</f>
        <v/>
      </c>
    </row>
    <row r="1756">
      <c r="A1756" t="inlineStr">
        <is>
          <t xml:space="preserve">   مسجد السلي .</t>
        </is>
      </c>
      <c r="B1756" t="inlineStr">
        <is>
          <t>KFM2120660305335</t>
        </is>
      </c>
      <c r="C1756" t="inlineStr">
        <is>
          <t>الرياض</t>
        </is>
      </c>
      <c r="D1756" t="inlineStr">
        <is>
          <t>كلا الفترتين</t>
        </is>
      </c>
      <c r="E1756" t="n">
        <v>1646</v>
      </c>
      <c r="F1756" t="b">
        <v>1</v>
      </c>
      <c r="G1756">
        <f>HYPERLINK("https://www.google.com/maps/search/?api=1&amp;query=24.62607858,46.84918722", "View Map")</f>
        <v/>
      </c>
    </row>
    <row r="1757">
      <c r="A1757" t="inlineStr">
        <is>
          <t xml:space="preserve">   مسجد حي القدس .</t>
        </is>
      </c>
      <c r="B1757" t="inlineStr">
        <is>
          <t>KFM2020660054443</t>
        </is>
      </c>
      <c r="C1757" t="inlineStr">
        <is>
          <t>الرياض</t>
        </is>
      </c>
      <c r="D1757" t="inlineStr">
        <is>
          <t>كلا الفترتين</t>
        </is>
      </c>
      <c r="E1757" t="n">
        <v>1645</v>
      </c>
      <c r="F1757" t="b">
        <v>1</v>
      </c>
      <c r="G1757">
        <f>HYPERLINK("https://www.google.com/maps/search/?api=1&amp;query=24.74587652,46.74722447", "View Map")</f>
        <v/>
      </c>
    </row>
    <row r="1758">
      <c r="A1758" t="inlineStr">
        <is>
          <t>ﻭﺯﺍﺭﺓﺍﻟﺸﺌﻭﻥ ﺍﻻﺴﻼﻤﻴﺓﻭﺍﻻﻭﻗﺎﻑ .</t>
        </is>
      </c>
      <c r="B1758" t="inlineStr">
        <is>
          <t>SMR2320661034287</t>
        </is>
      </c>
      <c r="C1758" t="inlineStr">
        <is>
          <t>الرياض</t>
        </is>
      </c>
      <c r="D1758" t="inlineStr">
        <is>
          <t>كلا الفترتين</t>
        </is>
      </c>
      <c r="E1758" t="n">
        <v>1644</v>
      </c>
      <c r="F1758" t="b">
        <v>1</v>
      </c>
      <c r="G1758">
        <f>HYPERLINK("https://www.google.com/maps/search/?api=1&amp;query=24.56355666,46.57525674", "View Map")</f>
        <v/>
      </c>
    </row>
    <row r="1759">
      <c r="A1759" t="inlineStr">
        <is>
          <t>مسجدام  خالد .</t>
        </is>
      </c>
      <c r="B1759" t="inlineStr">
        <is>
          <t>KFM2020660014136</t>
        </is>
      </c>
      <c r="C1759" t="inlineStr">
        <is>
          <t>الرياض</t>
        </is>
      </c>
      <c r="D1759" t="inlineStr">
        <is>
          <t>كلا الفترتين</t>
        </is>
      </c>
      <c r="E1759" t="n">
        <v>1644</v>
      </c>
      <c r="F1759" t="b">
        <v>1</v>
      </c>
      <c r="G1759">
        <f>HYPERLINK("https://www.google.com/maps/search/?api=1&amp;query=24.6351631,46.70024726", "View Map")</f>
        <v/>
      </c>
    </row>
    <row r="1760">
      <c r="A1760" t="inlineStr">
        <is>
          <t xml:space="preserve">   مسجدام سعد(لطيفةعبداللهالسويحب .</t>
        </is>
      </c>
      <c r="B1760" t="inlineStr">
        <is>
          <t>KFM2120660274263</t>
        </is>
      </c>
      <c r="C1760" t="inlineStr">
        <is>
          <t>الرياض</t>
        </is>
      </c>
      <c r="D1760" t="inlineStr">
        <is>
          <t>كلا الفترتين</t>
        </is>
      </c>
      <c r="E1760" t="n">
        <v>1644</v>
      </c>
      <c r="F1760" t="b">
        <v>0</v>
      </c>
      <c r="G1760">
        <f>HYPERLINK("https://www.google.com/maps/search/?api=1&amp;query=24.55738036,46.76371096", "View Map")</f>
        <v/>
      </c>
    </row>
    <row r="1761">
      <c r="A1761" t="inlineStr">
        <is>
          <t xml:space="preserve">   مسجد صالح عبدالعزيز العبداللطيف .</t>
        </is>
      </c>
      <c r="B1761" t="inlineStr">
        <is>
          <t>KFM2020660209635</t>
        </is>
      </c>
      <c r="C1761" t="inlineStr">
        <is>
          <t>الرياض</t>
        </is>
      </c>
      <c r="D1761" t="inlineStr">
        <is>
          <t>كلا الفترتين</t>
        </is>
      </c>
      <c r="E1761" t="n">
        <v>1643</v>
      </c>
      <c r="F1761" t="b">
        <v>0</v>
      </c>
      <c r="G1761">
        <f>HYPERLINK("https://www.google.com/maps/search/?api=1&amp;query=24.68619865,46.69726107", "View Map")</f>
        <v/>
      </c>
    </row>
    <row r="1762">
      <c r="A1762" t="inlineStr">
        <is>
          <t>مسجد جامع  المشيقيق .</t>
        </is>
      </c>
      <c r="B1762" t="inlineStr">
        <is>
          <t>SMR2220621001978</t>
        </is>
      </c>
      <c r="C1762" t="inlineStr">
        <is>
          <t>الرياض</t>
        </is>
      </c>
      <c r="D1762" t="inlineStr">
        <is>
          <t>كلا الفترتين</t>
        </is>
      </c>
      <c r="E1762" t="n">
        <v>1643</v>
      </c>
      <c r="F1762" t="b">
        <v>0</v>
      </c>
      <c r="G1762">
        <f>HYPERLINK("https://www.google.com/maps/search/?api=1&amp;query=24.62827066,46.70069355", "View Map")</f>
        <v/>
      </c>
    </row>
    <row r="1763">
      <c r="A1763" t="inlineStr">
        <is>
          <t xml:space="preserve">   مسجد حي الربوه .</t>
        </is>
      </c>
      <c r="B1763" t="inlineStr">
        <is>
          <t>SMR2020850104677</t>
        </is>
      </c>
      <c r="C1763" t="inlineStr">
        <is>
          <t>الرياض</t>
        </is>
      </c>
      <c r="D1763" t="inlineStr">
        <is>
          <t>كلا الفترتين</t>
        </is>
      </c>
      <c r="E1763" t="n">
        <v>1642</v>
      </c>
      <c r="F1763" t="b">
        <v>1</v>
      </c>
      <c r="G1763">
        <f>HYPERLINK("https://www.google.com/maps/search/?api=1&amp;query=24.68791906,46.76304245", "View Map")</f>
        <v/>
      </c>
    </row>
    <row r="1764">
      <c r="A1764" t="inlineStr">
        <is>
          <t xml:space="preserve">   مسجدالشيخ ابن عثيمين .</t>
        </is>
      </c>
      <c r="B1764" t="inlineStr">
        <is>
          <t>KFM2020660202530</t>
        </is>
      </c>
      <c r="C1764" t="inlineStr">
        <is>
          <t>الرياض</t>
        </is>
      </c>
      <c r="D1764" t="inlineStr">
        <is>
          <t>كلا الفترتين</t>
        </is>
      </c>
      <c r="E1764" t="n">
        <v>1641</v>
      </c>
      <c r="F1764" t="b">
        <v>0</v>
      </c>
      <c r="G1764">
        <f>HYPERLINK("https://www.google.com/maps/search/?api=1&amp;query=24.5623057,46.76237964", "View Map")</f>
        <v/>
      </c>
    </row>
    <row r="1765">
      <c r="A1765" t="inlineStr">
        <is>
          <t>ﻭﺯﺍﺭﺓﺍﻟﺸﺌﻭﻥ ﺍﻻﺴﻼﻤﻴﺓﻭﺍﻻﻭﻗﺎﻑ .</t>
        </is>
      </c>
      <c r="B1765" t="inlineStr">
        <is>
          <t>KFM2020660038845</t>
        </is>
      </c>
      <c r="C1765" t="inlineStr">
        <is>
          <t>الرياض</t>
        </is>
      </c>
      <c r="D1765" t="inlineStr">
        <is>
          <t>كلا الفترتين</t>
        </is>
      </c>
      <c r="E1765" t="n">
        <v>1640</v>
      </c>
      <c r="F1765" t="b">
        <v>0</v>
      </c>
      <c r="G1765">
        <f>HYPERLINK("https://www.google.com/maps/search/?api=1&amp;query=24.56845157,46.54672512", "View Map")</f>
        <v/>
      </c>
    </row>
    <row r="1766">
      <c r="A1766" t="inlineStr">
        <is>
          <t>ﻭﺯﺍﺭﺓﺍﻟﺸﺌﻭﻥ ﺍﻻﺴﻼﻤﻴﺓﻭﺍﻻﻭﻗﺎﻑ .</t>
        </is>
      </c>
      <c r="B1766" t="inlineStr">
        <is>
          <t>KFM2020660083824</t>
        </is>
      </c>
      <c r="C1766" t="inlineStr">
        <is>
          <t>الرياض</t>
        </is>
      </c>
      <c r="D1766" t="inlineStr">
        <is>
          <t>كلا الفترتين</t>
        </is>
      </c>
      <c r="E1766" t="n">
        <v>1639</v>
      </c>
      <c r="F1766" t="b">
        <v>0</v>
      </c>
      <c r="G1766">
        <f>HYPERLINK("https://www.google.com/maps/search/?api=1&amp;query=24.54924496,46.49689065", "View Map")</f>
        <v/>
      </c>
    </row>
    <row r="1767">
      <c r="A1767" t="inlineStr">
        <is>
          <t xml:space="preserve">   مسجدالصحابى العلاءبن الحضرمى .</t>
        </is>
      </c>
      <c r="B1767" t="inlineStr">
        <is>
          <t>KFM2020660054418</t>
        </is>
      </c>
      <c r="C1767" t="inlineStr">
        <is>
          <t>الرياض</t>
        </is>
      </c>
      <c r="D1767" t="inlineStr">
        <is>
          <t>كلا الفترتين</t>
        </is>
      </c>
      <c r="E1767" t="n">
        <v>1639</v>
      </c>
      <c r="F1767" t="b">
        <v>0</v>
      </c>
      <c r="G1767">
        <f>HYPERLINK("https://www.google.com/maps/search/?api=1&amp;query=24.67615124,46.75584079", "View Map")</f>
        <v/>
      </c>
    </row>
    <row r="1768">
      <c r="A1768" t="inlineStr">
        <is>
          <t xml:space="preserve">   مسجد علي الهزاع .</t>
        </is>
      </c>
      <c r="B1768" t="inlineStr">
        <is>
          <t>KFM2020660036441</t>
        </is>
      </c>
      <c r="C1768" t="inlineStr">
        <is>
          <t>الرياض</t>
        </is>
      </c>
      <c r="D1768" t="inlineStr">
        <is>
          <t>كلا الفترتين</t>
        </is>
      </c>
      <c r="E1768" t="n">
        <v>1639</v>
      </c>
      <c r="F1768" t="b">
        <v>0</v>
      </c>
      <c r="G1768">
        <f>HYPERLINK("https://www.google.com/maps/search/?api=1&amp;query=24.73456321,46.81040083", "View Map")</f>
        <v/>
      </c>
    </row>
    <row r="1769">
      <c r="A1769" t="inlineStr">
        <is>
          <t>مسجد الجاسر .</t>
        </is>
      </c>
      <c r="B1769" t="inlineStr">
        <is>
          <t>KFM2020660096116</t>
        </is>
      </c>
      <c r="C1769" t="inlineStr">
        <is>
          <t>الرياض</t>
        </is>
      </c>
      <c r="D1769" t="inlineStr">
        <is>
          <t>كلا الفترتين</t>
        </is>
      </c>
      <c r="E1769" t="n">
        <v>1638</v>
      </c>
      <c r="F1769" t="b">
        <v>0</v>
      </c>
      <c r="G1769">
        <f>HYPERLINK("https://www.google.com/maps/search/?api=1&amp;query=24.57836643,46.70986096", "View Map")</f>
        <v/>
      </c>
    </row>
    <row r="1770">
      <c r="A1770" t="inlineStr">
        <is>
          <t xml:space="preserve">   مسجد الدكتورعبدالله المصرى .</t>
        </is>
      </c>
      <c r="B1770" t="inlineStr">
        <is>
          <t>KFM2020660190482</t>
        </is>
      </c>
      <c r="C1770" t="inlineStr">
        <is>
          <t>الرياض</t>
        </is>
      </c>
      <c r="D1770" t="inlineStr">
        <is>
          <t>كلا الفترتين</t>
        </is>
      </c>
      <c r="E1770" t="n">
        <v>1638</v>
      </c>
      <c r="F1770" t="b">
        <v>0</v>
      </c>
      <c r="G1770">
        <f>HYPERLINK("https://www.google.com/maps/search/?api=1&amp;query=24.7629499,46.69123064", "View Map")</f>
        <v/>
      </c>
    </row>
    <row r="1771">
      <c r="A1771" t="inlineStr">
        <is>
          <t xml:space="preserve">   مسجد الخزامى .</t>
        </is>
      </c>
      <c r="B1771" t="inlineStr">
        <is>
          <t>KFM2120660266085</t>
        </is>
      </c>
      <c r="C1771" t="inlineStr">
        <is>
          <t>الرياض</t>
        </is>
      </c>
      <c r="D1771" t="inlineStr">
        <is>
          <t>كلا الفترتين</t>
        </is>
      </c>
      <c r="E1771" t="n">
        <v>1637</v>
      </c>
      <c r="F1771" t="b">
        <v>0</v>
      </c>
      <c r="G1771">
        <f>HYPERLINK("https://www.google.com/maps/search/?api=1&amp;query=24.71382511,46.61124475", "View Map")</f>
        <v/>
      </c>
    </row>
    <row r="1772">
      <c r="A1772" t="inlineStr">
        <is>
          <t xml:space="preserve">   مسجد الدائري الجنوبي .</t>
        </is>
      </c>
      <c r="B1772" t="inlineStr">
        <is>
          <t>KFM2020660057417</t>
        </is>
      </c>
      <c r="C1772" t="inlineStr">
        <is>
          <t>الرياض</t>
        </is>
      </c>
      <c r="D1772" t="inlineStr">
        <is>
          <t>كلا الفترتين</t>
        </is>
      </c>
      <c r="E1772" t="n">
        <v>1636</v>
      </c>
      <c r="F1772" t="b">
        <v>1</v>
      </c>
      <c r="G1772">
        <f>HYPERLINK("https://www.google.com/maps/search/?api=1&amp;query=24.62772558,46.78719619", "View Map")</f>
        <v/>
      </c>
    </row>
    <row r="1773">
      <c r="A1773" t="inlineStr">
        <is>
          <t>مسجد      .         الثنيان .</t>
        </is>
      </c>
      <c r="B1773" t="inlineStr">
        <is>
          <t>KFM2020660019104</t>
        </is>
      </c>
      <c r="C1773" t="inlineStr">
        <is>
          <t>الرياض</t>
        </is>
      </c>
      <c r="D1773" t="inlineStr">
        <is>
          <t>كلا الفترتين</t>
        </is>
      </c>
      <c r="E1773" t="n">
        <v>1636</v>
      </c>
      <c r="F1773" t="b">
        <v>1</v>
      </c>
      <c r="G1773">
        <f>HYPERLINK("https://www.google.com/maps/search/?api=1&amp;query=24.59149671,46.72615141", "View Map")</f>
        <v/>
      </c>
    </row>
    <row r="1774">
      <c r="A1774" t="inlineStr">
        <is>
          <t>مسجد / الثنيان .</t>
        </is>
      </c>
      <c r="B1774" t="inlineStr">
        <is>
          <t>KFM2020660203968</t>
        </is>
      </c>
      <c r="C1774" t="inlineStr">
        <is>
          <t>الرياض</t>
        </is>
      </c>
      <c r="D1774" t="inlineStr">
        <is>
          <t>كلا الفترتين</t>
        </is>
      </c>
      <c r="E1774" t="n">
        <v>1635</v>
      </c>
      <c r="F1774" t="b">
        <v>1</v>
      </c>
      <c r="G1774">
        <f>HYPERLINK("https://www.google.com/maps/search/?api=1&amp;query=24.6075,46.6644", "View Map")</f>
        <v/>
      </c>
    </row>
    <row r="1775">
      <c r="A1775" t="inlineStr">
        <is>
          <t>مسجد /عبدالله  بن مسعود .</t>
        </is>
      </c>
      <c r="B1775" t="inlineStr">
        <is>
          <t>KFM2020660039989</t>
        </is>
      </c>
      <c r="C1775" t="inlineStr">
        <is>
          <t>الرياض</t>
        </is>
      </c>
      <c r="D1775" t="inlineStr">
        <is>
          <t>كلا الفترتين</t>
        </is>
      </c>
      <c r="E1775" t="n">
        <v>1635</v>
      </c>
      <c r="F1775" t="b">
        <v>0</v>
      </c>
      <c r="G1775">
        <f>HYPERLINK("https://www.google.com/maps/search/?api=1&amp;query=24.57405107,46.67177874", "View Map")</f>
        <v/>
      </c>
    </row>
    <row r="1776">
      <c r="A1776" t="inlineStr">
        <is>
          <t>ﻤﺴﺎﺠﺩ .</t>
        </is>
      </c>
      <c r="B1776" t="inlineStr">
        <is>
          <t>ECC2320831002984</t>
        </is>
      </c>
      <c r="C1776" t="inlineStr">
        <is>
          <t>الرياض</t>
        </is>
      </c>
      <c r="D1776" t="inlineStr">
        <is>
          <t>كلا الفترتين</t>
        </is>
      </c>
      <c r="E1776" t="n">
        <v>1634</v>
      </c>
      <c r="F1776" t="b">
        <v>0</v>
      </c>
      <c r="G1776">
        <f>HYPERLINK("https://www.google.com/maps/search/?api=1&amp;query=24.92309687,46.82405636", "View Map")</f>
        <v/>
      </c>
    </row>
    <row r="1777">
      <c r="A1777" t="inlineStr">
        <is>
          <t>مسجد  /   ال  ياسر .</t>
        </is>
      </c>
      <c r="B1777" t="inlineStr">
        <is>
          <t>KFM2020660013835</t>
        </is>
      </c>
      <c r="C1777" t="inlineStr">
        <is>
          <t>الرياض</t>
        </is>
      </c>
      <c r="D1777" t="inlineStr">
        <is>
          <t>كلا الفترتين</t>
        </is>
      </c>
      <c r="E1777" t="n">
        <v>1634</v>
      </c>
      <c r="F1777" t="b">
        <v>1</v>
      </c>
      <c r="G1777">
        <f>HYPERLINK("https://www.google.com/maps/search/?api=1&amp;query=24.57511972,46.6178974", "View Map")</f>
        <v/>
      </c>
    </row>
    <row r="1778">
      <c r="A1778" t="inlineStr">
        <is>
          <t>مسجد جامع حي الفواز .</t>
        </is>
      </c>
      <c r="B1778" t="inlineStr">
        <is>
          <t>KFM2020660051393</t>
        </is>
      </c>
      <c r="C1778" t="inlineStr">
        <is>
          <t>الرياض</t>
        </is>
      </c>
      <c r="D1778" t="inlineStr">
        <is>
          <t>كلا الفترتين</t>
        </is>
      </c>
      <c r="E1778" t="n">
        <v>1634</v>
      </c>
      <c r="F1778" t="b">
        <v>1</v>
      </c>
      <c r="G1778">
        <f>HYPERLINK("https://www.google.com/maps/search/?api=1&amp;query=24.50393854,46.62759254", "View Map")</f>
        <v/>
      </c>
    </row>
    <row r="1779">
      <c r="A1779" t="inlineStr">
        <is>
          <t xml:space="preserve">   مسجد خالد بن الوليد .</t>
        </is>
      </c>
      <c r="B1779" t="inlineStr">
        <is>
          <t>KFM2020660060633</t>
        </is>
      </c>
      <c r="C1779" t="inlineStr">
        <is>
          <t>الرياض</t>
        </is>
      </c>
      <c r="D1779" t="inlineStr">
        <is>
          <t>كلا الفترتين</t>
        </is>
      </c>
      <c r="E1779" t="n">
        <v>1630</v>
      </c>
      <c r="F1779" t="b">
        <v>0</v>
      </c>
      <c r="G1779">
        <f>HYPERLINK("https://www.google.com/maps/search/?api=1&amp;query=24.78583374,46.8171458", "View Map")</f>
        <v/>
      </c>
    </row>
    <row r="1780">
      <c r="A1780" t="inlineStr">
        <is>
          <t>جامع العرفج  بحي شبرا .</t>
        </is>
      </c>
      <c r="B1780" t="inlineStr">
        <is>
          <t>KFM2020660049446</t>
        </is>
      </c>
      <c r="C1780" t="inlineStr">
        <is>
          <t>الرياض</t>
        </is>
      </c>
      <c r="D1780" t="inlineStr">
        <is>
          <t>كلا الفترتين</t>
        </is>
      </c>
      <c r="E1780" t="n">
        <v>1630</v>
      </c>
      <c r="F1780" t="b">
        <v>0</v>
      </c>
      <c r="G1780">
        <f>HYPERLINK("https://www.google.com/maps/search/?api=1&amp;query=24.5886,46.6819", "View Map")</f>
        <v/>
      </c>
    </row>
    <row r="1781">
      <c r="A1781" t="inlineStr">
        <is>
          <t>ﻤﺴﺎﺠﺩ .</t>
        </is>
      </c>
      <c r="B1781" t="inlineStr">
        <is>
          <t>KFM2020760210056</t>
        </is>
      </c>
      <c r="C1781" t="inlineStr">
        <is>
          <t>الدرعية</t>
        </is>
      </c>
      <c r="D1781" t="inlineStr">
        <is>
          <t>كلا الفترتين</t>
        </is>
      </c>
      <c r="E1781" t="n">
        <v>1629</v>
      </c>
      <c r="F1781" t="b">
        <v>0</v>
      </c>
      <c r="G1781">
        <f>HYPERLINK("https://www.google.com/maps/search/?api=1&amp;query=24.9036,46.4381", "View Map")</f>
        <v/>
      </c>
    </row>
    <row r="1782">
      <c r="A1782" t="inlineStr">
        <is>
          <t>وزاره      الشئون    مسجد عكاظ .</t>
        </is>
      </c>
      <c r="B1782" t="inlineStr">
        <is>
          <t>KFM2020660191152</t>
        </is>
      </c>
      <c r="C1782" t="inlineStr">
        <is>
          <t>الرياض</t>
        </is>
      </c>
      <c r="D1782" t="inlineStr">
        <is>
          <t>كلا الفترتين</t>
        </is>
      </c>
      <c r="E1782" t="n">
        <v>1627</v>
      </c>
      <c r="F1782" t="b">
        <v>1</v>
      </c>
      <c r="G1782">
        <f>HYPERLINK("https://www.google.com/maps/search/?api=1&amp;query=24.52720619,46.67962957", "View Map")</f>
        <v/>
      </c>
    </row>
    <row r="1783">
      <c r="A1783" t="inlineStr">
        <is>
          <t>.  مسجد سامح  (مصعب  بن .</t>
        </is>
      </c>
      <c r="B1783" t="inlineStr">
        <is>
          <t>KFM2020660098762</t>
        </is>
      </c>
      <c r="C1783" t="inlineStr">
        <is>
          <t>الرياض</t>
        </is>
      </c>
      <c r="D1783" t="inlineStr">
        <is>
          <t>كلا الفترتين</t>
        </is>
      </c>
      <c r="E1783" t="n">
        <v>1627</v>
      </c>
      <c r="F1783" t="b">
        <v>0</v>
      </c>
      <c r="G1783">
        <f>HYPERLINK("https://www.google.com/maps/search/?api=1&amp;query=24.60927207,46.70991522", "View Map")</f>
        <v/>
      </c>
    </row>
    <row r="1784">
      <c r="A1784" t="inlineStr">
        <is>
          <t xml:space="preserve">   وزارة الشئون الاسلامية والاوقاف .</t>
        </is>
      </c>
      <c r="B1784" t="inlineStr">
        <is>
          <t>KFM2020660206529</t>
        </is>
      </c>
      <c r="C1784" t="inlineStr">
        <is>
          <t>الرياض</t>
        </is>
      </c>
      <c r="D1784" t="inlineStr">
        <is>
          <t>كلا الفترتين</t>
        </is>
      </c>
      <c r="E1784" t="n">
        <v>1627</v>
      </c>
      <c r="F1784" t="b">
        <v>0</v>
      </c>
      <c r="G1784">
        <f>HYPERLINK("https://www.google.com/maps/search/?api=1&amp;query=24.79641343,46.65581817", "View Map")</f>
        <v/>
      </c>
    </row>
    <row r="1785">
      <c r="A1785" t="inlineStr">
        <is>
          <t>مسجد زيد بن ثابت .</t>
        </is>
      </c>
      <c r="B1785" t="inlineStr">
        <is>
          <t>KFM2020660049499</t>
        </is>
      </c>
      <c r="C1785" t="inlineStr">
        <is>
          <t>الرياض</t>
        </is>
      </c>
      <c r="D1785" t="inlineStr">
        <is>
          <t>مساءا</t>
        </is>
      </c>
      <c r="E1785" t="n">
        <v>1627</v>
      </c>
      <c r="F1785" t="b">
        <v>0</v>
      </c>
      <c r="G1785">
        <f>HYPERLINK("https://www.google.com/maps/search/?api=1&amp;query=24.56528104,46.63626444", "View Map")</f>
        <v/>
      </c>
    </row>
    <row r="1786">
      <c r="A1786" t="inlineStr">
        <is>
          <t xml:space="preserve"> وزاررة     الشئون     مسجد .</t>
        </is>
      </c>
      <c r="B1786" t="inlineStr">
        <is>
          <t>KFM2020660025694</t>
        </is>
      </c>
      <c r="C1786" t="inlineStr">
        <is>
          <t>الرياض</t>
        </is>
      </c>
      <c r="D1786" t="inlineStr">
        <is>
          <t>كلا الفترتين</t>
        </is>
      </c>
      <c r="E1786" t="n">
        <v>1626</v>
      </c>
      <c r="F1786" t="b">
        <v>0</v>
      </c>
      <c r="G1786">
        <f>HYPERLINK("https://www.google.com/maps/search/?api=1&amp;query=24.6014242,46.66135325", "View Map")</f>
        <v/>
      </c>
    </row>
    <row r="1787">
      <c r="A1787" t="inlineStr">
        <is>
          <t>ﻤﺴﺎﺠﺩ .</t>
        </is>
      </c>
      <c r="B1787" t="inlineStr">
        <is>
          <t>SMR2220661018857</t>
        </is>
      </c>
      <c r="C1787" t="inlineStr">
        <is>
          <t>الرياض</t>
        </is>
      </c>
      <c r="D1787" t="inlineStr">
        <is>
          <t>كلا الفترتين</t>
        </is>
      </c>
      <c r="E1787" t="n">
        <v>1625</v>
      </c>
      <c r="F1787" t="b">
        <v>0</v>
      </c>
      <c r="G1787">
        <f>HYPERLINK("https://www.google.com/maps/search/?api=1&amp;query=24.92205197,46.79593492", "View Map")</f>
        <v/>
      </c>
    </row>
    <row r="1788">
      <c r="A1788" t="inlineStr">
        <is>
          <t xml:space="preserve">   مسجد حي الغدير .</t>
        </is>
      </c>
      <c r="B1788" t="inlineStr">
        <is>
          <t>KFM2020660030110</t>
        </is>
      </c>
      <c r="C1788" t="inlineStr">
        <is>
          <t>الرياض</t>
        </is>
      </c>
      <c r="D1788" t="inlineStr">
        <is>
          <t>كلا الفترتين</t>
        </is>
      </c>
      <c r="E1788" t="n">
        <v>1624</v>
      </c>
      <c r="F1788" t="b">
        <v>1</v>
      </c>
      <c r="G1788">
        <f>HYPERLINK("https://www.google.com/maps/search/?api=1&amp;query=24.77321573,46.64560772", "View Map")</f>
        <v/>
      </c>
    </row>
    <row r="1789">
      <c r="A1789" t="inlineStr">
        <is>
          <t>مسجد الايمان .</t>
        </is>
      </c>
      <c r="B1789" t="inlineStr">
        <is>
          <t>KFM2020660189440</t>
        </is>
      </c>
      <c r="C1789" t="inlineStr">
        <is>
          <t>الرياض</t>
        </is>
      </c>
      <c r="D1789" t="inlineStr">
        <is>
          <t>كلا الفترتين</t>
        </is>
      </c>
      <c r="E1789" t="n">
        <v>1624</v>
      </c>
      <c r="F1789" t="b">
        <v>0</v>
      </c>
      <c r="G1789">
        <f>HYPERLINK("https://www.google.com/maps/search/?api=1&amp;query=24.60012094,46.73295767", "View Map")</f>
        <v/>
      </c>
    </row>
    <row r="1790">
      <c r="A1790" t="inlineStr">
        <is>
          <t xml:space="preserve">   مسجد الأمير سلطان بن عبدالعزيز .</t>
        </is>
      </c>
      <c r="B1790" t="inlineStr">
        <is>
          <t>KFM2020660053339</t>
        </is>
      </c>
      <c r="C1790" t="inlineStr">
        <is>
          <t>الرياض</t>
        </is>
      </c>
      <c r="D1790" t="inlineStr">
        <is>
          <t>كلا الفترتين</t>
        </is>
      </c>
      <c r="E1790" t="n">
        <v>1624</v>
      </c>
      <c r="F1790" t="b">
        <v>0</v>
      </c>
      <c r="G1790">
        <f>HYPERLINK("https://www.google.com/maps/search/?api=1&amp;query=24.76462182,46.76403247", "View Map")</f>
        <v/>
      </c>
    </row>
    <row r="1791">
      <c r="A1791" t="inlineStr">
        <is>
          <t>مسجد الدخل  المحدود .</t>
        </is>
      </c>
      <c r="B1791" t="inlineStr">
        <is>
          <t>KFM2020660023702</t>
        </is>
      </c>
      <c r="C1791" t="inlineStr">
        <is>
          <t>الرياض</t>
        </is>
      </c>
      <c r="D1791" t="inlineStr">
        <is>
          <t>كلا الفترتين</t>
        </is>
      </c>
      <c r="E1791" t="n">
        <v>1623</v>
      </c>
      <c r="F1791" t="b">
        <v>0</v>
      </c>
      <c r="G1791">
        <f>HYPERLINK("https://www.google.com/maps/search/?api=1&amp;query=24.58740203,46.56905075", "View Map")</f>
        <v/>
      </c>
    </row>
    <row r="1792">
      <c r="A1792" t="inlineStr">
        <is>
          <t>مسجدالحبونيه  الاوسط .</t>
        </is>
      </c>
      <c r="B1792" t="inlineStr">
        <is>
          <t>KFM2020660057903</t>
        </is>
      </c>
      <c r="C1792" t="inlineStr">
        <is>
          <t>الرياض</t>
        </is>
      </c>
      <c r="D1792" t="inlineStr">
        <is>
          <t>كلا الفترتين</t>
        </is>
      </c>
      <c r="E1792" t="n">
        <v>1622</v>
      </c>
      <c r="F1792" t="b">
        <v>0</v>
      </c>
      <c r="G1792">
        <f>HYPERLINK("https://www.google.com/maps/search/?api=1&amp;query=24.60949749,46.71273225", "View Map")</f>
        <v/>
      </c>
    </row>
    <row r="1793">
      <c r="A1793" t="inlineStr">
        <is>
          <t xml:space="preserve">   مسجد المشعليه .</t>
        </is>
      </c>
      <c r="B1793" t="inlineStr">
        <is>
          <t>KFM2020660046007</t>
        </is>
      </c>
      <c r="C1793" t="inlineStr">
        <is>
          <t>الرياض</t>
        </is>
      </c>
      <c r="D1793" t="inlineStr">
        <is>
          <t>كلا الفترتين</t>
        </is>
      </c>
      <c r="E1793" t="n">
        <v>1621</v>
      </c>
      <c r="F1793" t="b">
        <v>0</v>
      </c>
      <c r="G1793">
        <f>HYPERLINK("https://www.google.com/maps/search/?api=1&amp;query=24.71101036,46.80786874", "View Map")</f>
        <v/>
      </c>
    </row>
    <row r="1794">
      <c r="A1794" t="inlineStr">
        <is>
          <t>ﻤﻜﺘﺏ ﺍﻭﻗﺎﻑ ﺍﻟﻤﺠﻤﻌﻩ (ﺍﻟﻤﺴﺎﺠﺩ) .</t>
        </is>
      </c>
      <c r="B1794" t="inlineStr">
        <is>
          <t>SMR2320761031444</t>
        </is>
      </c>
      <c r="C1794" t="inlineStr">
        <is>
          <t>الرياض</t>
        </is>
      </c>
      <c r="D1794" t="inlineStr">
        <is>
          <t>كلا الفترتين</t>
        </is>
      </c>
      <c r="E1794" t="n">
        <v>1621</v>
      </c>
      <c r="F1794" t="b">
        <v>0</v>
      </c>
      <c r="G1794">
        <f>HYPERLINK("https://www.google.com/maps/search/?api=1&amp;query=0.0,0.0", "View Map")</f>
        <v/>
      </c>
    </row>
    <row r="1795">
      <c r="A1795" t="inlineStr">
        <is>
          <t>ﻤﺴﺎﺠﺩ .</t>
        </is>
      </c>
      <c r="B1795" t="inlineStr">
        <is>
          <t>KFM2120660299515</t>
        </is>
      </c>
      <c r="C1795" t="inlineStr">
        <is>
          <t>الرياض</t>
        </is>
      </c>
      <c r="D1795" t="inlineStr">
        <is>
          <t>كلا الفترتين</t>
        </is>
      </c>
      <c r="E1795" t="n">
        <v>1620</v>
      </c>
      <c r="F1795" t="b">
        <v>1</v>
      </c>
      <c r="G1795">
        <f>HYPERLINK("https://www.google.com/maps/search/?api=1&amp;query=24.6494479,46.76635901", "View Map")</f>
        <v/>
      </c>
    </row>
    <row r="1796">
      <c r="A1796" t="inlineStr">
        <is>
          <t xml:space="preserve">   مسجدشمال حي الوادي ومرافقه .</t>
        </is>
      </c>
      <c r="B1796" t="inlineStr">
        <is>
          <t>KFM2020660211385</t>
        </is>
      </c>
      <c r="C1796" t="inlineStr">
        <is>
          <t>الرياض</t>
        </is>
      </c>
      <c r="D1796" t="inlineStr">
        <is>
          <t>كلا الفترتين</t>
        </is>
      </c>
      <c r="E1796" t="n">
        <v>1619</v>
      </c>
      <c r="F1796" t="b">
        <v>0</v>
      </c>
      <c r="G1796">
        <f>HYPERLINK("https://www.google.com/maps/search/?api=1&amp;query=24.79350743,46.68285217", "View Map")</f>
        <v/>
      </c>
    </row>
    <row r="1797">
      <c r="A1797" t="inlineStr">
        <is>
          <t>مسجد  حي الشفاء .</t>
        </is>
      </c>
      <c r="B1797" t="inlineStr">
        <is>
          <t>KFM2020660198305</t>
        </is>
      </c>
      <c r="C1797" t="inlineStr">
        <is>
          <t>الرياض</t>
        </is>
      </c>
      <c r="D1797" t="inlineStr">
        <is>
          <t>كلا الفترتين</t>
        </is>
      </c>
      <c r="E1797" t="n">
        <v>1618</v>
      </c>
      <c r="F1797" t="b">
        <v>0</v>
      </c>
      <c r="G1797">
        <f>HYPERLINK("https://www.google.com/maps/search/?api=1&amp;query=24.52691321,46.68525378", "View Map")</f>
        <v/>
      </c>
    </row>
    <row r="1798">
      <c r="A1798" t="inlineStr">
        <is>
          <t>المسجد الموقت الدخل  المحدود .</t>
        </is>
      </c>
      <c r="B1798" t="inlineStr">
        <is>
          <t>KFM2020660052774</t>
        </is>
      </c>
      <c r="C1798" t="inlineStr">
        <is>
          <t>الرياض</t>
        </is>
      </c>
      <c r="D1798" t="inlineStr">
        <is>
          <t>كلا الفترتين</t>
        </is>
      </c>
      <c r="E1798" t="n">
        <v>1617</v>
      </c>
      <c r="F1798" t="b">
        <v>1</v>
      </c>
      <c r="G1798">
        <f>HYPERLINK("https://www.google.com/maps/search/?api=1&amp;query=24.6044,46.6058", "View Map")</f>
        <v/>
      </c>
    </row>
    <row r="1799">
      <c r="A1799" t="inlineStr">
        <is>
          <t>مساجد .</t>
        </is>
      </c>
      <c r="B1799" t="inlineStr">
        <is>
          <t>KFM2020660007305</t>
        </is>
      </c>
      <c r="C1799" t="inlineStr">
        <is>
          <t>الرياض</t>
        </is>
      </c>
      <c r="D1799" t="inlineStr">
        <is>
          <t>كلا الفترتين</t>
        </is>
      </c>
      <c r="E1799" t="n">
        <v>1617</v>
      </c>
      <c r="F1799" t="b">
        <v>0</v>
      </c>
      <c r="G1799">
        <f>HYPERLINK("https://www.google.com/maps/search/?api=1&amp;query=24.68268129,46.56311181", "View Map")</f>
        <v/>
      </c>
    </row>
    <row r="1800">
      <c r="A1800" t="inlineStr">
        <is>
          <t xml:space="preserve">   مسجد عوض الحربي .</t>
        </is>
      </c>
      <c r="B1800" t="inlineStr">
        <is>
          <t>KFM2020660134053</t>
        </is>
      </c>
      <c r="C1800" t="inlineStr">
        <is>
          <t>الرياض</t>
        </is>
      </c>
      <c r="D1800" t="inlineStr">
        <is>
          <t>كلا الفترتين</t>
        </is>
      </c>
      <c r="E1800" t="n">
        <v>1616</v>
      </c>
      <c r="F1800" t="b">
        <v>1</v>
      </c>
      <c r="G1800">
        <f>HYPERLINK("https://www.google.com/maps/search/?api=1&amp;query=24.77679296,46.76421406", "View Map")</f>
        <v/>
      </c>
    </row>
    <row r="1801">
      <c r="A1801" t="inlineStr">
        <is>
          <t xml:space="preserve">   مسجد حى الازدهار .</t>
        </is>
      </c>
      <c r="B1801" t="inlineStr">
        <is>
          <t>KFM2020660169552</t>
        </is>
      </c>
      <c r="C1801" t="inlineStr">
        <is>
          <t>الرياض</t>
        </is>
      </c>
      <c r="D1801" t="inlineStr">
        <is>
          <t>كلا الفترتين</t>
        </is>
      </c>
      <c r="E1801" t="n">
        <v>1615</v>
      </c>
      <c r="F1801" t="b">
        <v>0</v>
      </c>
      <c r="G1801">
        <f>HYPERLINK("https://www.google.com/maps/search/?api=1&amp;query=24.77375402,46.71187778", "View Map")</f>
        <v/>
      </c>
    </row>
    <row r="1802">
      <c r="A1802" t="inlineStr">
        <is>
          <t>مساجد .</t>
        </is>
      </c>
      <c r="B1802" t="inlineStr">
        <is>
          <t>KFM2020660202297</t>
        </is>
      </c>
      <c r="C1802" t="inlineStr">
        <is>
          <t>الرياض</t>
        </is>
      </c>
      <c r="D1802" t="inlineStr">
        <is>
          <t>كلا الفترتين</t>
        </is>
      </c>
      <c r="E1802" t="n">
        <v>1615</v>
      </c>
      <c r="F1802" t="b">
        <v>0</v>
      </c>
      <c r="G1802">
        <f>HYPERLINK("https://www.google.com/maps/search/?api=1&amp;query=24.64037295,46.55897973", "View Map")</f>
        <v/>
      </c>
    </row>
    <row r="1803">
      <c r="A1803" t="inlineStr">
        <is>
          <t xml:space="preserve">   مسجد أبوبكر .</t>
        </is>
      </c>
      <c r="B1803" t="inlineStr">
        <is>
          <t>KFM2020660057025</t>
        </is>
      </c>
      <c r="C1803" t="inlineStr">
        <is>
          <t>الرياض</t>
        </is>
      </c>
      <c r="D1803" t="inlineStr">
        <is>
          <t>كلا الفترتين</t>
        </is>
      </c>
      <c r="E1803" t="n">
        <v>1613</v>
      </c>
      <c r="F1803" t="b">
        <v>0</v>
      </c>
      <c r="G1803">
        <f>HYPERLINK("https://www.google.com/maps/search/?api=1&amp;query=24.71676687,46.83745102", "View Map")</f>
        <v/>
      </c>
    </row>
    <row r="1804">
      <c r="A1804" t="inlineStr">
        <is>
          <t xml:space="preserve">   مسجد الأمير سلطان .</t>
        </is>
      </c>
      <c r="B1804" t="inlineStr">
        <is>
          <t>KFM2020660061159</t>
        </is>
      </c>
      <c r="C1804" t="inlineStr">
        <is>
          <t>الرياض</t>
        </is>
      </c>
      <c r="D1804" t="inlineStr">
        <is>
          <t>كلا الفترتين</t>
        </is>
      </c>
      <c r="E1804" t="n">
        <v>1612</v>
      </c>
      <c r="F1804" t="b">
        <v>1</v>
      </c>
      <c r="G1804">
        <f>HYPERLINK("https://www.google.com/maps/search/?api=1&amp;query=24.71373788,46.83265533", "View Map")</f>
        <v/>
      </c>
    </row>
    <row r="1805">
      <c r="A1805" t="inlineStr">
        <is>
          <t xml:space="preserve">   مسجد النهاري .</t>
        </is>
      </c>
      <c r="B1805" t="inlineStr">
        <is>
          <t>KFM2020660029795</t>
        </is>
      </c>
      <c r="C1805" t="inlineStr">
        <is>
          <t>الرياض</t>
        </is>
      </c>
      <c r="D1805" t="inlineStr">
        <is>
          <t>كلا الفترتين</t>
        </is>
      </c>
      <c r="E1805" t="n">
        <v>1612</v>
      </c>
      <c r="F1805" t="b">
        <v>0</v>
      </c>
      <c r="G1805">
        <f>HYPERLINK("https://www.google.com/maps/search/?api=1&amp;query=24.75784392,46.81718414", "View Map")</f>
        <v/>
      </c>
    </row>
    <row r="1806">
      <c r="A1806" t="inlineStr">
        <is>
          <t>ﻭﺯﺍﺭﺓﺍﻟﺸﺌﻭﻥ ﺍﻻﺴﻼﻤﻴﺓﻭﺍﻻﻭﻗﺎﻑ .</t>
        </is>
      </c>
      <c r="B1806" t="inlineStr">
        <is>
          <t>SMR2420868021160</t>
        </is>
      </c>
      <c r="C1806" t="inlineStr">
        <is>
          <t>الرياض</t>
        </is>
      </c>
      <c r="D1806" t="inlineStr">
        <is>
          <t>كلا الفترتين</t>
        </is>
      </c>
      <c r="E1806" t="n">
        <v>1612</v>
      </c>
      <c r="F1806" t="b">
        <v>1</v>
      </c>
      <c r="G1806">
        <f>HYPERLINK("https://www.google.com/maps/search/?api=1&amp;query=24.68186405,46.57806454", "View Map")</f>
        <v/>
      </c>
    </row>
    <row r="1807">
      <c r="A1807" t="inlineStr">
        <is>
          <t xml:space="preserve">   مسجد وسكن الشيخ محمد القاسم .</t>
        </is>
      </c>
      <c r="B1807" t="inlineStr">
        <is>
          <t>KFM2020660004072</t>
        </is>
      </c>
      <c r="C1807" t="inlineStr">
        <is>
          <t>الرياض</t>
        </is>
      </c>
      <c r="D1807" t="inlineStr">
        <is>
          <t>كلا الفترتين</t>
        </is>
      </c>
      <c r="E1807" t="n">
        <v>1612</v>
      </c>
      <c r="F1807" t="b">
        <v>1</v>
      </c>
      <c r="G1807">
        <f>HYPERLINK("https://www.google.com/maps/search/?api=1&amp;query=24.80712,46.74323", "View Map")</f>
        <v/>
      </c>
    </row>
    <row r="1808">
      <c r="A1808" t="inlineStr">
        <is>
          <t xml:space="preserve">   مسجد حي المنصورة .</t>
        </is>
      </c>
      <c r="B1808" t="inlineStr">
        <is>
          <t>KFM2120660286843</t>
        </is>
      </c>
      <c r="C1808" t="inlineStr">
        <is>
          <t>الرياض</t>
        </is>
      </c>
      <c r="D1808" t="inlineStr">
        <is>
          <t>كلا الفترتين</t>
        </is>
      </c>
      <c r="E1808" t="n">
        <v>1612</v>
      </c>
      <c r="F1808" t="b">
        <v>0</v>
      </c>
      <c r="G1808">
        <f>HYPERLINK("https://www.google.com/maps/search/?api=1&amp;query=24.6064935,46.75478962", "View Map")</f>
        <v/>
      </c>
    </row>
    <row r="1809">
      <c r="A1809" t="inlineStr">
        <is>
          <t xml:space="preserve">   مسجد      المنار    . .</t>
        </is>
      </c>
      <c r="B1809" t="inlineStr">
        <is>
          <t>KFM2020660127748</t>
        </is>
      </c>
      <c r="C1809" t="inlineStr">
        <is>
          <t>الرياض</t>
        </is>
      </c>
      <c r="D1809" t="inlineStr">
        <is>
          <t>كلا الفترتين</t>
        </is>
      </c>
      <c r="E1809" t="n">
        <v>1611</v>
      </c>
      <c r="F1809" t="b">
        <v>0</v>
      </c>
      <c r="G1809">
        <f>HYPERLINK("https://www.google.com/maps/search/?api=1&amp;query=24.78494227,46.62163175", "View Map")</f>
        <v/>
      </c>
    </row>
    <row r="1810">
      <c r="A1810" t="inlineStr">
        <is>
          <t>ﻤﺴﺎﺠﺩ .</t>
        </is>
      </c>
      <c r="B1810" t="inlineStr">
        <is>
          <t>KFM2020660095325</t>
        </is>
      </c>
      <c r="C1810" t="inlineStr">
        <is>
          <t>الرياض</t>
        </is>
      </c>
      <c r="D1810" t="inlineStr">
        <is>
          <t>كلا الفترتين</t>
        </is>
      </c>
      <c r="E1810" t="n">
        <v>1611</v>
      </c>
      <c r="F1810" t="b">
        <v>0</v>
      </c>
      <c r="G1810">
        <f>HYPERLINK("https://www.google.com/maps/search/?api=1&amp;query=24.75612521,46.60457785", "View Map")</f>
        <v/>
      </c>
    </row>
    <row r="1811">
      <c r="A1811" t="inlineStr">
        <is>
          <t xml:space="preserve">   مسجد حي الروابي .</t>
        </is>
      </c>
      <c r="B1811" t="inlineStr">
        <is>
          <t>KFM2020660144744</t>
        </is>
      </c>
      <c r="C1811" t="inlineStr">
        <is>
          <t>الرياض</t>
        </is>
      </c>
      <c r="D1811" t="inlineStr">
        <is>
          <t>كلا الفترتين</t>
        </is>
      </c>
      <c r="E1811" t="n">
        <v>1609</v>
      </c>
      <c r="F1811" t="b">
        <v>1</v>
      </c>
      <c r="G1811">
        <f>HYPERLINK("https://www.google.com/maps/search/?api=1&amp;query=24.69406624,46.79645886", "View Map")</f>
        <v/>
      </c>
    </row>
    <row r="1812">
      <c r="A1812" t="inlineStr">
        <is>
          <t xml:space="preserve">   مسجد حي الروضه .</t>
        </is>
      </c>
      <c r="B1812" t="inlineStr">
        <is>
          <t>KFM2020660053520</t>
        </is>
      </c>
      <c r="C1812" t="inlineStr">
        <is>
          <t>الرياض</t>
        </is>
      </c>
      <c r="D1812" t="inlineStr">
        <is>
          <t>كلا الفترتين</t>
        </is>
      </c>
      <c r="E1812" t="n">
        <v>1607</v>
      </c>
      <c r="F1812" t="b">
        <v>1</v>
      </c>
      <c r="G1812">
        <f>HYPERLINK("https://www.google.com/maps/search/?api=1&amp;query=24.74872362,46.76460672", "View Map")</f>
        <v/>
      </c>
    </row>
    <row r="1813">
      <c r="A1813" t="inlineStr">
        <is>
          <t xml:space="preserve">   مسجد جامع / حي الواحه .</t>
        </is>
      </c>
      <c r="B1813" t="inlineStr">
        <is>
          <t>KFM2020660188059</t>
        </is>
      </c>
      <c r="C1813" t="inlineStr">
        <is>
          <t>الرياض</t>
        </is>
      </c>
      <c r="D1813" t="inlineStr">
        <is>
          <t>كلا الفترتين</t>
        </is>
      </c>
      <c r="E1813" t="n">
        <v>1607</v>
      </c>
      <c r="F1813" t="b">
        <v>1</v>
      </c>
      <c r="G1813">
        <f>HYPERLINK("https://www.google.com/maps/search/?api=1&amp;query=24.73937506,46.70818929", "View Map")</f>
        <v/>
      </c>
    </row>
    <row r="1814">
      <c r="A1814" t="inlineStr">
        <is>
          <t>ﻤﺴﺎﺠﺩ .</t>
        </is>
      </c>
      <c r="B1814" t="inlineStr">
        <is>
          <t>KFM2120660303428</t>
        </is>
      </c>
      <c r="C1814" t="inlineStr">
        <is>
          <t>الرياض</t>
        </is>
      </c>
      <c r="D1814" t="inlineStr">
        <is>
          <t>كلا الفترتين</t>
        </is>
      </c>
      <c r="E1814" t="n">
        <v>1606</v>
      </c>
      <c r="F1814" t="b">
        <v>0</v>
      </c>
      <c r="G1814">
        <f>HYPERLINK("https://www.google.com/maps/search/?api=1&amp;query=24.60640589,46.52185655", "View Map")</f>
        <v/>
      </c>
    </row>
    <row r="1815">
      <c r="A1815" t="inlineStr">
        <is>
          <t>ﻭﺯﺍﺭﺓﺍﻟﺸﺌﻭﻥ ﺍﻻﺴﻼﻤﻴﺓﻭﺍﻻﻭﻗﺎﻑ .</t>
        </is>
      </c>
      <c r="B1815" t="inlineStr">
        <is>
          <t>SMR2220661007727</t>
        </is>
      </c>
      <c r="C1815" t="inlineStr">
        <is>
          <t>الرياض</t>
        </is>
      </c>
      <c r="D1815" t="inlineStr">
        <is>
          <t>كلا الفترتين</t>
        </is>
      </c>
      <c r="E1815" t="n">
        <v>1606</v>
      </c>
      <c r="F1815" t="b">
        <v>0</v>
      </c>
      <c r="G1815">
        <f>HYPERLINK("https://www.google.com/maps/search/?api=1&amp;query=24.56195194,46.51579744", "View Map")</f>
        <v/>
      </c>
    </row>
    <row r="1816">
      <c r="A1816" t="inlineStr">
        <is>
          <t xml:space="preserve">   مسجدالباتلي بحي الندى ومرافقه .</t>
        </is>
      </c>
      <c r="B1816" t="inlineStr">
        <is>
          <t>KFM2020660201280</t>
        </is>
      </c>
      <c r="C1816" t="inlineStr">
        <is>
          <t>الرياض</t>
        </is>
      </c>
      <c r="D1816" t="inlineStr">
        <is>
          <t>كلا الفترتين</t>
        </is>
      </c>
      <c r="E1816" t="n">
        <v>1606</v>
      </c>
      <c r="F1816" t="b">
        <v>0</v>
      </c>
      <c r="G1816">
        <f>HYPERLINK("https://www.google.com/maps/search/?api=1&amp;query=24.80235704,46.68640744", "View Map")</f>
        <v/>
      </c>
    </row>
    <row r="1817">
      <c r="A1817" t="inlineStr">
        <is>
          <t>جامع  بن باز .</t>
        </is>
      </c>
      <c r="B1817" t="inlineStr">
        <is>
          <t>KFM2020660203548</t>
        </is>
      </c>
      <c r="C1817" t="inlineStr">
        <is>
          <t>الرياض</t>
        </is>
      </c>
      <c r="D1817" t="inlineStr">
        <is>
          <t>كلا الفترتين</t>
        </is>
      </c>
      <c r="E1817" t="n">
        <v>1606</v>
      </c>
      <c r="F1817" t="b">
        <v>0</v>
      </c>
      <c r="G1817">
        <f>HYPERLINK("https://www.google.com/maps/search/?api=1&amp;query=24.60605942,46.61545041", "View Map")</f>
        <v/>
      </c>
    </row>
    <row r="1818">
      <c r="A1818" t="inlineStr">
        <is>
          <t xml:space="preserve">   مسجد حي النهضه .</t>
        </is>
      </c>
      <c r="B1818" t="inlineStr">
        <is>
          <t>KFM2020660056792</t>
        </is>
      </c>
      <c r="C1818" t="inlineStr">
        <is>
          <t>الرياض</t>
        </is>
      </c>
      <c r="D1818" t="inlineStr">
        <is>
          <t>كلا الفترتين</t>
        </is>
      </c>
      <c r="E1818" t="n">
        <v>1606</v>
      </c>
      <c r="F1818" t="b">
        <v>0</v>
      </c>
      <c r="G1818">
        <f>HYPERLINK("https://www.google.com/maps/search/?api=1&amp;query=24.76831011,46.81467673", "View Map")</f>
        <v/>
      </c>
    </row>
    <row r="1819">
      <c r="A1819" t="inlineStr">
        <is>
          <t xml:space="preserve">   مسجد ابوبكر الصديق رضي الله عنه .</t>
        </is>
      </c>
      <c r="B1819" t="inlineStr">
        <is>
          <t>KFM2020660165475</t>
        </is>
      </c>
      <c r="C1819" t="inlineStr">
        <is>
          <t>الرياض</t>
        </is>
      </c>
      <c r="D1819" t="inlineStr">
        <is>
          <t>كلا الفترتين</t>
        </is>
      </c>
      <c r="E1819" t="n">
        <v>1606</v>
      </c>
      <c r="F1819" t="b">
        <v>0</v>
      </c>
      <c r="G1819">
        <f>HYPERLINK("https://www.google.com/maps/search/?api=1&amp;query=24.71378733,46.696004", "View Map")</f>
        <v/>
      </c>
    </row>
    <row r="1820">
      <c r="A1820" t="inlineStr">
        <is>
          <t xml:space="preserve">   جامع الصناعيه الثانيه .</t>
        </is>
      </c>
      <c r="B1820" t="inlineStr">
        <is>
          <t>KFM2120660236375</t>
        </is>
      </c>
      <c r="C1820" t="inlineStr">
        <is>
          <t>الرياض</t>
        </is>
      </c>
      <c r="D1820" t="inlineStr">
        <is>
          <t>كلا الفترتين</t>
        </is>
      </c>
      <c r="E1820" t="n">
        <v>1605</v>
      </c>
      <c r="F1820" t="b">
        <v>1</v>
      </c>
      <c r="G1820">
        <f>HYPERLINK("https://www.google.com/maps/search/?api=1&amp;query=24.55374905,46.88931426", "View Map")</f>
        <v/>
      </c>
    </row>
    <row r="1821">
      <c r="A1821" t="inlineStr">
        <is>
          <t xml:space="preserve">   مسجدصناعيةالفهدوالفوزان/محمدبيشي .</t>
        </is>
      </c>
      <c r="B1821" t="inlineStr">
        <is>
          <t>ECC2020810768059</t>
        </is>
      </c>
      <c r="C1821" t="inlineStr">
        <is>
          <t>الرياض</t>
        </is>
      </c>
      <c r="D1821" t="inlineStr">
        <is>
          <t>كلا الفترتين</t>
        </is>
      </c>
      <c r="E1821" t="n">
        <v>1605</v>
      </c>
      <c r="F1821" t="b">
        <v>0</v>
      </c>
      <c r="G1821">
        <f>HYPERLINK("https://www.google.com/maps/search/?api=1&amp;query=24.65022931,46.8142481", "View Map")</f>
        <v/>
      </c>
    </row>
    <row r="1822">
      <c r="A1822" t="inlineStr">
        <is>
          <t xml:space="preserve">   مسجد ابو عبدالمحسن .</t>
        </is>
      </c>
      <c r="B1822" t="inlineStr">
        <is>
          <t>KFM2020660139308</t>
        </is>
      </c>
      <c r="C1822" t="inlineStr">
        <is>
          <t>الرياض</t>
        </is>
      </c>
      <c r="D1822" t="inlineStr">
        <is>
          <t>كلا الفترتين</t>
        </is>
      </c>
      <c r="E1822" t="n">
        <v>1604</v>
      </c>
      <c r="F1822" t="b">
        <v>0</v>
      </c>
      <c r="G1822">
        <f>HYPERLINK("https://www.google.com/maps/search/?api=1&amp;query=24.81900438,46.72945426", "View Map")</f>
        <v/>
      </c>
    </row>
    <row r="1823">
      <c r="A1823" t="inlineStr">
        <is>
          <t>ﻤﺴﺎﺠﺩ .</t>
        </is>
      </c>
      <c r="B1823" t="inlineStr">
        <is>
          <t>SMR2220661018865</t>
        </is>
      </c>
      <c r="C1823" t="inlineStr">
        <is>
          <t>الرياض</t>
        </is>
      </c>
      <c r="D1823" t="inlineStr">
        <is>
          <t>كلا الفترتين</t>
        </is>
      </c>
      <c r="E1823" t="n">
        <v>1604</v>
      </c>
      <c r="F1823" t="b">
        <v>1</v>
      </c>
      <c r="G1823">
        <f>HYPERLINK("https://www.google.com/maps/search/?api=1&amp;query=24.82316485,46.66212999", "View Map")</f>
        <v/>
      </c>
    </row>
    <row r="1824">
      <c r="A1824" t="inlineStr">
        <is>
          <t xml:space="preserve">   مسجد      محمد      الثنيان .</t>
        </is>
      </c>
      <c r="B1824" t="inlineStr">
        <is>
          <t>KFM2020660036606</t>
        </is>
      </c>
      <c r="C1824" t="inlineStr">
        <is>
          <t>الرياض</t>
        </is>
      </c>
      <c r="D1824" t="inlineStr">
        <is>
          <t>كلا الفترتين</t>
        </is>
      </c>
      <c r="E1824" t="n">
        <v>1602</v>
      </c>
      <c r="F1824" t="b">
        <v>0</v>
      </c>
      <c r="G1824">
        <f>HYPERLINK("https://www.google.com/maps/search/?api=1&amp;query=24.70915855,46.8009796", "View Map")</f>
        <v/>
      </c>
    </row>
    <row r="1825">
      <c r="A1825" t="inlineStr">
        <is>
          <t>المسجد الموقت بالدخل  المحدود .</t>
        </is>
      </c>
      <c r="B1825" t="inlineStr">
        <is>
          <t>KFM2020660013806</t>
        </is>
      </c>
      <c r="C1825" t="inlineStr">
        <is>
          <t>الرياض</t>
        </is>
      </c>
      <c r="D1825" t="inlineStr">
        <is>
          <t>كلا الفترتين</t>
        </is>
      </c>
      <c r="E1825" t="n">
        <v>1601</v>
      </c>
      <c r="F1825" t="b">
        <v>1</v>
      </c>
      <c r="G1825">
        <f>HYPERLINK("https://www.google.com/maps/search/?api=1&amp;query=24.60298522,46.61640474", "View Map")</f>
        <v/>
      </c>
    </row>
    <row r="1826">
      <c r="A1826" t="inlineStr">
        <is>
          <t>ﻭﺯﺍﺭﺓﺍﻟﺸﺌﻭﻥ ﺍﻻﺴﻼﻤﻴﺓﻭﺍﻻﻭﻗﺎﻑ .</t>
        </is>
      </c>
      <c r="B1826" t="inlineStr">
        <is>
          <t>SMR2220661001707</t>
        </is>
      </c>
      <c r="C1826" t="inlineStr">
        <is>
          <t>الدرعية</t>
        </is>
      </c>
      <c r="D1826" t="inlineStr">
        <is>
          <t>كلا الفترتين</t>
        </is>
      </c>
      <c r="E1826" t="n">
        <v>1600</v>
      </c>
      <c r="F1826" t="b">
        <v>1</v>
      </c>
      <c r="G1826">
        <f>HYPERLINK("https://www.google.com/maps/search/?api=1&amp;query=24.90602576,46.42934811", "View Map")</f>
        <v/>
      </c>
    </row>
    <row r="1827">
      <c r="A1827" t="inlineStr">
        <is>
          <t xml:space="preserve">   مسجد عبداللة بن مسعود. .</t>
        </is>
      </c>
      <c r="B1827" t="inlineStr">
        <is>
          <t>KFM2120660253999</t>
        </is>
      </c>
      <c r="C1827" t="inlineStr">
        <is>
          <t>الرياض</t>
        </is>
      </c>
      <c r="D1827" t="inlineStr">
        <is>
          <t>كلا الفترتين</t>
        </is>
      </c>
      <c r="E1827" t="n">
        <v>1599</v>
      </c>
      <c r="F1827" t="b">
        <v>0</v>
      </c>
      <c r="G1827">
        <f>HYPERLINK("https://www.google.com/maps/search/?api=1&amp;query=24.80817943,46.90203331", "View Map")</f>
        <v/>
      </c>
    </row>
    <row r="1828">
      <c r="A1828" t="inlineStr">
        <is>
          <t xml:space="preserve">   مسجد المعجل .</t>
        </is>
      </c>
      <c r="B1828" t="inlineStr">
        <is>
          <t>KFM2020660126317</t>
        </is>
      </c>
      <c r="C1828" t="inlineStr">
        <is>
          <t>الرياض</t>
        </is>
      </c>
      <c r="D1828" t="inlineStr">
        <is>
          <t>كلا الفترتين</t>
        </is>
      </c>
      <c r="E1828" t="n">
        <v>1599</v>
      </c>
      <c r="F1828" t="b">
        <v>1</v>
      </c>
      <c r="G1828">
        <f>HYPERLINK("https://www.google.com/maps/search/?api=1&amp;query=24.753885,46.71888321", "View Map")</f>
        <v/>
      </c>
    </row>
    <row r="1829">
      <c r="A1829" t="inlineStr">
        <is>
          <t>مسجد خالد بن الوليد .</t>
        </is>
      </c>
      <c r="B1829" t="inlineStr">
        <is>
          <t>KFM2020660054942</t>
        </is>
      </c>
      <c r="C1829" t="inlineStr">
        <is>
          <t>الرياض</t>
        </is>
      </c>
      <c r="D1829" t="inlineStr">
        <is>
          <t>كلا الفترتين</t>
        </is>
      </c>
      <c r="E1829" t="n">
        <v>1598</v>
      </c>
      <c r="F1829" t="b">
        <v>0</v>
      </c>
      <c r="G1829">
        <f>HYPERLINK("https://www.google.com/maps/search/?api=1&amp;query=24.60136043,46.65120151", "View Map")</f>
        <v/>
      </c>
    </row>
    <row r="1830">
      <c r="A1830" t="inlineStr">
        <is>
          <t xml:space="preserve">   مسجد محمد الحبيب .</t>
        </is>
      </c>
      <c r="B1830" t="inlineStr">
        <is>
          <t>KFM2020660211209</t>
        </is>
      </c>
      <c r="C1830" t="inlineStr">
        <is>
          <t>الرياض</t>
        </is>
      </c>
      <c r="D1830" t="inlineStr">
        <is>
          <t>كلا الفترتين</t>
        </is>
      </c>
      <c r="E1830" t="n">
        <v>1598</v>
      </c>
      <c r="F1830" t="b">
        <v>1</v>
      </c>
      <c r="G1830">
        <f>HYPERLINK("https://www.google.com/maps/search/?api=1&amp;query=24.67312695,46.72081699", "View Map")</f>
        <v/>
      </c>
    </row>
    <row r="1831">
      <c r="A1831" t="inlineStr">
        <is>
          <t>مسجد / حذيفة  بن اليماني .</t>
        </is>
      </c>
      <c r="B1831" t="inlineStr">
        <is>
          <t>KFM2020660053778</t>
        </is>
      </c>
      <c r="C1831" t="inlineStr">
        <is>
          <t>الرياض</t>
        </is>
      </c>
      <c r="D1831" t="inlineStr">
        <is>
          <t>كلا الفترتين</t>
        </is>
      </c>
      <c r="E1831" t="n">
        <v>1597</v>
      </c>
      <c r="F1831" t="b">
        <v>1</v>
      </c>
      <c r="G1831">
        <f>HYPERLINK("https://www.google.com/maps/search/?api=1&amp;query=24.60033597,46.59390248", "View Map")</f>
        <v/>
      </c>
    </row>
    <row r="1832">
      <c r="A1832" t="inlineStr">
        <is>
          <t xml:space="preserve">   مسجد حماد القريني .</t>
        </is>
      </c>
      <c r="B1832" t="inlineStr">
        <is>
          <t>KFM2120660256837</t>
        </is>
      </c>
      <c r="C1832" t="inlineStr">
        <is>
          <t>الرياض</t>
        </is>
      </c>
      <c r="D1832" t="inlineStr">
        <is>
          <t>كلا الفترتين</t>
        </is>
      </c>
      <c r="E1832" t="n">
        <v>1596</v>
      </c>
      <c r="F1832" t="b">
        <v>1</v>
      </c>
      <c r="G1832">
        <f>HYPERLINK("https://www.google.com/maps/search/?api=1&amp;query=24.56011764,46.78177022", "View Map")</f>
        <v/>
      </c>
    </row>
    <row r="1833">
      <c r="A1833" t="inlineStr">
        <is>
          <t>ﻤﺴﺎﺠﺩ .</t>
        </is>
      </c>
      <c r="B1833" t="inlineStr">
        <is>
          <t>KFM2020660143084</t>
        </is>
      </c>
      <c r="C1833" t="inlineStr">
        <is>
          <t>الرياض</t>
        </is>
      </c>
      <c r="D1833" t="inlineStr">
        <is>
          <t>كلا الفترتين</t>
        </is>
      </c>
      <c r="E1833" t="n">
        <v>1596</v>
      </c>
      <c r="F1833" t="b">
        <v>1</v>
      </c>
      <c r="G1833">
        <f>HYPERLINK("https://www.google.com/maps/search/?api=1&amp;query=24.80967674,46.75223609", "View Map")</f>
        <v/>
      </c>
    </row>
    <row r="1834">
      <c r="A1834" t="inlineStr">
        <is>
          <t xml:space="preserve">   مسجد      القوسي    . .</t>
        </is>
      </c>
      <c r="B1834" t="inlineStr">
        <is>
          <t>KFM2020660145834</t>
        </is>
      </c>
      <c r="C1834" t="inlineStr">
        <is>
          <t>الرياض</t>
        </is>
      </c>
      <c r="D1834" t="inlineStr">
        <is>
          <t>كلا الفترتين</t>
        </is>
      </c>
      <c r="E1834" t="n">
        <v>1595</v>
      </c>
      <c r="F1834" t="b">
        <v>0</v>
      </c>
      <c r="G1834">
        <f>HYPERLINK("https://www.google.com/maps/search/?api=1&amp;query=24.70458709,46.82045029", "View Map")</f>
        <v/>
      </c>
    </row>
    <row r="1835">
      <c r="A1835" t="inlineStr">
        <is>
          <t>مسجد  /سعد بن ابي وقاص .</t>
        </is>
      </c>
      <c r="B1835" t="inlineStr">
        <is>
          <t>KFM2020660198412</t>
        </is>
      </c>
      <c r="C1835" t="inlineStr">
        <is>
          <t>الرياض</t>
        </is>
      </c>
      <c r="D1835" t="inlineStr">
        <is>
          <t>كلا الفترتين</t>
        </is>
      </c>
      <c r="E1835" t="n">
        <v>1595</v>
      </c>
      <c r="F1835" t="b">
        <v>0</v>
      </c>
      <c r="G1835">
        <f>HYPERLINK("https://www.google.com/maps/search/?api=1&amp;query=24.59767698,46.58657051", "View Map")</f>
        <v/>
      </c>
    </row>
    <row r="1836">
      <c r="A1836" t="inlineStr">
        <is>
          <t xml:space="preserve">   مسجد/ سليمان العبود .</t>
        </is>
      </c>
      <c r="B1836" t="inlineStr">
        <is>
          <t>KFM2020660138396</t>
        </is>
      </c>
      <c r="C1836" t="inlineStr">
        <is>
          <t>الرياض</t>
        </is>
      </c>
      <c r="D1836" t="inlineStr">
        <is>
          <t>كلا الفترتين</t>
        </is>
      </c>
      <c r="E1836" t="n">
        <v>1595</v>
      </c>
      <c r="F1836" t="b">
        <v>1</v>
      </c>
      <c r="G1836">
        <f>HYPERLINK("https://www.google.com/maps/search/?api=1&amp;query=24.68702498,46.78192438", "View Map")</f>
        <v/>
      </c>
    </row>
    <row r="1837">
      <c r="A1837" t="inlineStr">
        <is>
          <t xml:space="preserve">   مسجد ضاحية لبن .</t>
        </is>
      </c>
      <c r="B1837" t="inlineStr">
        <is>
          <t>KFM2020660198296</t>
        </is>
      </c>
      <c r="C1837" t="inlineStr">
        <is>
          <t>الرياض</t>
        </is>
      </c>
      <c r="D1837" t="inlineStr">
        <is>
          <t>كلا الفترتين</t>
        </is>
      </c>
      <c r="E1837" t="n">
        <v>1594</v>
      </c>
      <c r="F1837" t="b">
        <v>1</v>
      </c>
      <c r="G1837">
        <f>HYPERLINK("https://www.google.com/maps/search/?api=1&amp;query=24.63406108,46.55279791", "View Map")</f>
        <v/>
      </c>
    </row>
    <row r="1838">
      <c r="A1838" t="inlineStr">
        <is>
          <t xml:space="preserve">   مسجد جامع الملك خالد .</t>
        </is>
      </c>
      <c r="B1838" t="inlineStr">
        <is>
          <t>KFM2020760028034</t>
        </is>
      </c>
      <c r="C1838" t="inlineStr">
        <is>
          <t>الرياض</t>
        </is>
      </c>
      <c r="D1838" t="inlineStr">
        <is>
          <t>مساءا</t>
        </is>
      </c>
      <c r="E1838" t="n">
        <v>1594</v>
      </c>
      <c r="F1838" t="b">
        <v>1</v>
      </c>
      <c r="G1838">
        <f>HYPERLINK("https://www.google.com/maps/search/?api=1&amp;query=24.707473,46.696697", "View Map")</f>
        <v/>
      </c>
    </row>
    <row r="1839">
      <c r="A1839" t="inlineStr">
        <is>
          <t>مسجدالاميره  موضي بنت  تركي .</t>
        </is>
      </c>
      <c r="B1839" t="inlineStr">
        <is>
          <t>KFM2020660200367</t>
        </is>
      </c>
      <c r="C1839" t="inlineStr">
        <is>
          <t>الرياض</t>
        </is>
      </c>
      <c r="D1839" t="inlineStr">
        <is>
          <t>كلا الفترتين</t>
        </is>
      </c>
      <c r="E1839" t="n">
        <v>1593</v>
      </c>
      <c r="F1839" t="b">
        <v>1</v>
      </c>
      <c r="G1839">
        <f>HYPERLINK("https://www.google.com/maps/search/?api=1&amp;query=24.60464948,46.63196645", "View Map")</f>
        <v/>
      </c>
    </row>
    <row r="1840">
      <c r="A1840" t="inlineStr">
        <is>
          <t xml:space="preserve">   وزارة الشؤن الا سلاميه/مسجدجليبيب .</t>
        </is>
      </c>
      <c r="B1840" t="inlineStr">
        <is>
          <t>KFM2020660056572</t>
        </is>
      </c>
      <c r="C1840" t="inlineStr">
        <is>
          <t>الرياض</t>
        </is>
      </c>
      <c r="D1840" t="inlineStr">
        <is>
          <t>كلا الفترتين</t>
        </is>
      </c>
      <c r="E1840" t="n">
        <v>1592</v>
      </c>
      <c r="F1840" t="b">
        <v>0</v>
      </c>
      <c r="G1840">
        <f>HYPERLINK("https://www.google.com/maps/search/?api=1&amp;query=24.68619982,46.82453137", "View Map")</f>
        <v/>
      </c>
    </row>
    <row r="1841">
      <c r="A1841" t="inlineStr">
        <is>
          <t xml:space="preserve">   مسجد طارق عبدالرحمن مراد .</t>
        </is>
      </c>
      <c r="B1841" t="inlineStr">
        <is>
          <t>KFM2120660239083</t>
        </is>
      </c>
      <c r="C1841" t="inlineStr">
        <is>
          <t>الرياض</t>
        </is>
      </c>
      <c r="D1841" t="inlineStr">
        <is>
          <t>كلا الفترتين</t>
        </is>
      </c>
      <c r="E1841" t="n">
        <v>1591</v>
      </c>
      <c r="F1841" t="b">
        <v>1</v>
      </c>
      <c r="G1841">
        <f>HYPERLINK("https://www.google.com/maps/search/?api=1&amp;query=24.68146447,46.72423429", "View Map")</f>
        <v/>
      </c>
    </row>
    <row r="1842">
      <c r="A1842" t="inlineStr">
        <is>
          <t xml:space="preserve">   مسجد عبدالرحمن العتيبي .</t>
        </is>
      </c>
      <c r="B1842" t="inlineStr">
        <is>
          <t>KFM2020660012556</t>
        </is>
      </c>
      <c r="C1842" t="inlineStr">
        <is>
          <t>الرياض</t>
        </is>
      </c>
      <c r="D1842" t="inlineStr">
        <is>
          <t>كلا الفترتين</t>
        </is>
      </c>
      <c r="E1842" t="n">
        <v>1591</v>
      </c>
      <c r="F1842" t="b">
        <v>0</v>
      </c>
      <c r="G1842">
        <f>HYPERLINK("https://www.google.com/maps/search/?api=1&amp;query=24.81027553,46.86274451", "View Map")</f>
        <v/>
      </c>
    </row>
    <row r="1843">
      <c r="A1843" t="inlineStr">
        <is>
          <t xml:space="preserve">    مسجد/عبدالله عبدالعزيزالعبدالوه .</t>
        </is>
      </c>
      <c r="B1843" t="inlineStr">
        <is>
          <t>KFM2020660097675</t>
        </is>
      </c>
      <c r="C1843" t="inlineStr">
        <is>
          <t>الرياض</t>
        </is>
      </c>
      <c r="D1843" t="inlineStr">
        <is>
          <t>كلا الفترتين</t>
        </is>
      </c>
      <c r="E1843" t="n">
        <v>1590</v>
      </c>
      <c r="F1843" t="b">
        <v>0</v>
      </c>
      <c r="G1843">
        <f>HYPERLINK("https://www.google.com/maps/search/?api=1&amp;query=24.69144616,46.70464628", "View Map")</f>
        <v/>
      </c>
    </row>
    <row r="1844">
      <c r="A1844" t="inlineStr">
        <is>
          <t>ﻭﺯﺍﺭﺓﺍﻟﺸﺌﻭﻥ ﺍﻻﺴﻼﻤﻴﺓﻭﺍﻻﻭﻗﺎﻑ .</t>
        </is>
      </c>
      <c r="B1844" t="inlineStr">
        <is>
          <t>KFM2120660242067</t>
        </is>
      </c>
      <c r="C1844" t="inlineStr">
        <is>
          <t>الرياض</t>
        </is>
      </c>
      <c r="D1844" t="inlineStr">
        <is>
          <t>كلا الفترتين</t>
        </is>
      </c>
      <c r="E1844" t="n">
        <v>1589</v>
      </c>
      <c r="F1844" t="b">
        <v>1</v>
      </c>
      <c r="G1844">
        <f>HYPERLINK("https://www.google.com/maps/search/?api=1&amp;query=24.50511626,46.63291877", "View Map")</f>
        <v/>
      </c>
    </row>
    <row r="1845">
      <c r="A1845" t="inlineStr">
        <is>
          <t>مسجد      خالد      السلمان .</t>
        </is>
      </c>
      <c r="B1845" t="inlineStr">
        <is>
          <t>KFM2020660039370</t>
        </is>
      </c>
      <c r="C1845" t="inlineStr">
        <is>
          <t>الرياض</t>
        </is>
      </c>
      <c r="D1845" t="inlineStr">
        <is>
          <t>كلا الفترتين</t>
        </is>
      </c>
      <c r="E1845" t="n">
        <v>1589</v>
      </c>
      <c r="F1845" t="b">
        <v>1</v>
      </c>
      <c r="G1845">
        <f>HYPERLINK("https://www.google.com/maps/search/?api=1&amp;query=24.54583695,46.73072358", "View Map")</f>
        <v/>
      </c>
    </row>
    <row r="1846">
      <c r="A1846" t="inlineStr">
        <is>
          <t>ﻤﺴﺎﺠﺩ .</t>
        </is>
      </c>
      <c r="B1846" t="inlineStr">
        <is>
          <t>SMR2320661021955</t>
        </is>
      </c>
      <c r="C1846" t="inlineStr">
        <is>
          <t>الرياض</t>
        </is>
      </c>
      <c r="D1846" t="inlineStr">
        <is>
          <t>كلا الفترتين</t>
        </is>
      </c>
      <c r="E1846" t="n">
        <v>1589</v>
      </c>
      <c r="F1846" t="b">
        <v>1</v>
      </c>
      <c r="G1846">
        <f>HYPERLINK("https://www.google.com/maps/search/?api=1&amp;query=24.864137,46.625524", "View Map")</f>
        <v/>
      </c>
    </row>
    <row r="1847">
      <c r="A1847" t="inlineStr">
        <is>
          <t>ﻤﺴﺎﺠﺩ .</t>
        </is>
      </c>
      <c r="B1847" t="inlineStr">
        <is>
          <t>SMR2220661000424</t>
        </is>
      </c>
      <c r="C1847" t="inlineStr">
        <is>
          <t>الرياض</t>
        </is>
      </c>
      <c r="D1847" t="inlineStr">
        <is>
          <t>كلا الفترتين</t>
        </is>
      </c>
      <c r="E1847" t="n">
        <v>1588</v>
      </c>
      <c r="F1847" t="b">
        <v>1</v>
      </c>
      <c r="G1847">
        <f>HYPERLINK("https://www.google.com/maps/search/?api=1&amp;query=24.92525789,46.82341566", "View Map")</f>
        <v/>
      </c>
    </row>
    <row r="1848">
      <c r="A1848" t="inlineStr">
        <is>
          <t>ﻤﺴﺎﺠﺩ .</t>
        </is>
      </c>
      <c r="B1848" t="inlineStr">
        <is>
          <t>KFM2020660061252</t>
        </is>
      </c>
      <c r="C1848" t="inlineStr">
        <is>
          <t>الرياض</t>
        </is>
      </c>
      <c r="D1848" t="inlineStr">
        <is>
          <t>كلا الفترتين</t>
        </is>
      </c>
      <c r="E1848" t="n">
        <v>1588</v>
      </c>
      <c r="F1848" t="b">
        <v>0</v>
      </c>
      <c r="G1848">
        <f>HYPERLINK("https://www.google.com/maps/search/?api=1&amp;query=24.81571172,46.7831409", "View Map")</f>
        <v/>
      </c>
    </row>
    <row r="1849">
      <c r="A1849" t="inlineStr">
        <is>
          <t>مسجد الحمادى .</t>
        </is>
      </c>
      <c r="B1849" t="inlineStr">
        <is>
          <t>KFM2020660170961</t>
        </is>
      </c>
      <c r="C1849" t="inlineStr">
        <is>
          <t>الرياض</t>
        </is>
      </c>
      <c r="D1849" t="inlineStr">
        <is>
          <t>كلا الفترتين</t>
        </is>
      </c>
      <c r="E1849" t="n">
        <v>1588</v>
      </c>
      <c r="F1849" t="b">
        <v>1</v>
      </c>
      <c r="G1849">
        <f>HYPERLINK("https://www.google.com/maps/search/?api=1&amp;query=24.57815744,46.69922591", "View Map")</f>
        <v/>
      </c>
    </row>
    <row r="1850">
      <c r="A1850" t="inlineStr">
        <is>
          <t xml:space="preserve">   وزارةالشئون الاسلاميه مسجد .</t>
        </is>
      </c>
      <c r="B1850" t="inlineStr">
        <is>
          <t>KFM2120660248014</t>
        </is>
      </c>
      <c r="C1850" t="inlineStr">
        <is>
          <t>الرياض</t>
        </is>
      </c>
      <c r="D1850" t="inlineStr">
        <is>
          <t>كلا الفترتين</t>
        </is>
      </c>
      <c r="E1850" t="n">
        <v>1586</v>
      </c>
      <c r="F1850" t="b">
        <v>1</v>
      </c>
      <c r="G1850">
        <f>HYPERLINK("https://www.google.com/maps/search/?api=1&amp;query=24.60534966,46.75245119", "View Map")</f>
        <v/>
      </c>
    </row>
    <row r="1851">
      <c r="A1851" t="inlineStr">
        <is>
          <t>مسجد حي بدر .</t>
        </is>
      </c>
      <c r="B1851" t="inlineStr">
        <is>
          <t>KFM2020660203443</t>
        </is>
      </c>
      <c r="C1851" t="inlineStr">
        <is>
          <t>الرياض</t>
        </is>
      </c>
      <c r="D1851" t="inlineStr">
        <is>
          <t>كلا الفترتين</t>
        </is>
      </c>
      <c r="E1851" t="n">
        <v>1585</v>
      </c>
      <c r="F1851" t="b">
        <v>0</v>
      </c>
      <c r="G1851">
        <f>HYPERLINK("https://www.google.com/maps/search/?api=1&amp;query=24.57384886,46.71337917", "View Map")</f>
        <v/>
      </c>
    </row>
    <row r="1852">
      <c r="A1852" t="inlineStr">
        <is>
          <t xml:space="preserve">   مساجد .</t>
        </is>
      </c>
      <c r="B1852" t="inlineStr">
        <is>
          <t>KFM2020660007001</t>
        </is>
      </c>
      <c r="C1852" t="inlineStr">
        <is>
          <t>الرياض</t>
        </is>
      </c>
      <c r="D1852" t="inlineStr">
        <is>
          <t>كلا الفترتين</t>
        </is>
      </c>
      <c r="E1852" t="n">
        <v>1584</v>
      </c>
      <c r="F1852" t="b">
        <v>1</v>
      </c>
      <c r="G1852">
        <f>HYPERLINK("https://www.google.com/maps/search/?api=1&amp;query=24.79704184,46.88365533", "View Map")</f>
        <v/>
      </c>
    </row>
    <row r="1853">
      <c r="A1853" t="inlineStr">
        <is>
          <t>مسجد      .         الشفاء .</t>
        </is>
      </c>
      <c r="B1853" t="inlineStr">
        <is>
          <t>KFM2020660173208</t>
        </is>
      </c>
      <c r="C1853" t="inlineStr">
        <is>
          <t>الرياض</t>
        </is>
      </c>
      <c r="D1853" t="inlineStr">
        <is>
          <t>كلا الفترتين</t>
        </is>
      </c>
      <c r="E1853" t="n">
        <v>1583</v>
      </c>
      <c r="F1853" t="b">
        <v>0</v>
      </c>
      <c r="G1853">
        <f>HYPERLINK("https://www.google.com/maps/search/?api=1&amp;query=24.57384886,46.71337917", "View Map")</f>
        <v/>
      </c>
    </row>
    <row r="1854">
      <c r="A1854" t="inlineStr">
        <is>
          <t xml:space="preserve">   مسجد  السديس .</t>
        </is>
      </c>
      <c r="B1854" t="inlineStr">
        <is>
          <t>KFM2020660124254</t>
        </is>
      </c>
      <c r="C1854" t="inlineStr">
        <is>
          <t>الرياض</t>
        </is>
      </c>
      <c r="D1854" t="inlineStr">
        <is>
          <t>كلا الفترتين</t>
        </is>
      </c>
      <c r="E1854" t="n">
        <v>1583</v>
      </c>
      <c r="F1854" t="b">
        <v>0</v>
      </c>
      <c r="G1854">
        <f>HYPERLINK("https://www.google.com/maps/search/?api=1&amp;query=24.77238612,46.83123379", "View Map")</f>
        <v/>
      </c>
    </row>
    <row r="1855">
      <c r="A1855" t="inlineStr">
        <is>
          <t>ﻤﺴﺎﺠﺩ .</t>
        </is>
      </c>
      <c r="B1855" t="inlineStr">
        <is>
          <t>KFM2020660104257</t>
        </is>
      </c>
      <c r="C1855" t="inlineStr">
        <is>
          <t>الرياض</t>
        </is>
      </c>
      <c r="D1855" t="inlineStr">
        <is>
          <t>كلا الفترتين</t>
        </is>
      </c>
      <c r="E1855" t="n">
        <v>1583</v>
      </c>
      <c r="F1855" t="b">
        <v>0</v>
      </c>
      <c r="G1855">
        <f>HYPERLINK("https://www.google.com/maps/search/?api=1&amp;query=24.81908134,46.6605319", "View Map")</f>
        <v/>
      </c>
    </row>
    <row r="1856">
      <c r="A1856" t="inlineStr">
        <is>
          <t xml:space="preserve">   مسجد التويجري .</t>
        </is>
      </c>
      <c r="B1856" t="inlineStr">
        <is>
          <t>KFM2020660034666</t>
        </is>
      </c>
      <c r="C1856" t="inlineStr">
        <is>
          <t>الرياض</t>
        </is>
      </c>
      <c r="D1856" t="inlineStr">
        <is>
          <t>كلا الفترتين</t>
        </is>
      </c>
      <c r="E1856" t="n">
        <v>1582</v>
      </c>
      <c r="F1856" t="b">
        <v>0</v>
      </c>
      <c r="G1856">
        <f>HYPERLINK("https://www.google.com/maps/search/?api=1&amp;query=24.6850867,46.83170879", "View Map")</f>
        <v/>
      </c>
    </row>
    <row r="1857">
      <c r="A1857" t="inlineStr">
        <is>
          <t xml:space="preserve">   مسجد والدة سعد عبدالرحمن الحقان .</t>
        </is>
      </c>
      <c r="B1857" t="inlineStr">
        <is>
          <t>KFM2020660104180</t>
        </is>
      </c>
      <c r="C1857" t="inlineStr">
        <is>
          <t>الرياض</t>
        </is>
      </c>
      <c r="D1857" t="inlineStr">
        <is>
          <t>كلا الفترتين</t>
        </is>
      </c>
      <c r="E1857" t="n">
        <v>1582</v>
      </c>
      <c r="F1857" t="b">
        <v>0</v>
      </c>
      <c r="G1857">
        <f>HYPERLINK("https://www.google.com/maps/search/?api=1&amp;query=24.83618198,46.64054127", "View Map")</f>
        <v/>
      </c>
    </row>
    <row r="1858">
      <c r="A1858" t="inlineStr">
        <is>
          <t>مسجد عمار ين ياسر .</t>
        </is>
      </c>
      <c r="B1858" t="inlineStr">
        <is>
          <t>SMR2320661028334</t>
        </is>
      </c>
      <c r="C1858" t="inlineStr">
        <is>
          <t>الرياض</t>
        </is>
      </c>
      <c r="D1858" t="inlineStr">
        <is>
          <t>كلا الفترتين</t>
        </is>
      </c>
      <c r="E1858" t="n">
        <v>1581</v>
      </c>
      <c r="F1858" t="b">
        <v>0</v>
      </c>
      <c r="G1858">
        <f>HYPERLINK("https://www.google.com/maps/search/?api=1&amp;query=24.60175366,46.77346194", "View Map")</f>
        <v/>
      </c>
    </row>
    <row r="1859">
      <c r="A1859" t="inlineStr">
        <is>
          <t xml:space="preserve">   مسجد عبدالله بن الزبير .</t>
        </is>
      </c>
      <c r="B1859" t="inlineStr">
        <is>
          <t>SMR2220661000450</t>
        </is>
      </c>
      <c r="C1859" t="inlineStr">
        <is>
          <t>الرياض</t>
        </is>
      </c>
      <c r="D1859" t="inlineStr">
        <is>
          <t>كلا الفترتين</t>
        </is>
      </c>
      <c r="E1859" t="n">
        <v>1581</v>
      </c>
      <c r="F1859" t="b">
        <v>0</v>
      </c>
      <c r="G1859">
        <f>HYPERLINK("https://www.google.com/maps/search/?api=1&amp;query=24.78118915,46.81058625", "View Map")</f>
        <v/>
      </c>
    </row>
    <row r="1860">
      <c r="A1860" t="inlineStr">
        <is>
          <t xml:space="preserve">   مسجد محمد السحيباني .</t>
        </is>
      </c>
      <c r="B1860" t="inlineStr">
        <is>
          <t>KFM2020660127231</t>
        </is>
      </c>
      <c r="C1860" t="inlineStr">
        <is>
          <t>الرياض</t>
        </is>
      </c>
      <c r="D1860" t="inlineStr">
        <is>
          <t>كلا الفترتين</t>
        </is>
      </c>
      <c r="E1860" t="n">
        <v>1581</v>
      </c>
      <c r="F1860" t="b">
        <v>1</v>
      </c>
      <c r="G1860">
        <f>HYPERLINK("https://www.google.com/maps/search/?api=1&amp;query=24.73880636,46.82314675", "View Map")</f>
        <v/>
      </c>
    </row>
    <row r="1861">
      <c r="A1861" t="inlineStr">
        <is>
          <t xml:space="preserve">   مسجد حي السعاده 6/3483</t>
        </is>
      </c>
      <c r="B1861" t="inlineStr">
        <is>
          <t>KFM2120660257700</t>
        </is>
      </c>
      <c r="C1861" t="inlineStr">
        <is>
          <t>الرياض</t>
        </is>
      </c>
      <c r="D1861" t="inlineStr">
        <is>
          <t>كلا الفترتين</t>
        </is>
      </c>
      <c r="E1861" t="n">
        <v>1578</v>
      </c>
      <c r="F1861" t="b">
        <v>0</v>
      </c>
      <c r="G1861">
        <f>HYPERLINK("https://www.google.com/maps/search/?api=1&amp;query=24.7060772,46.85162253", "View Map")</f>
        <v/>
      </c>
    </row>
    <row r="1862">
      <c r="A1862" t="inlineStr">
        <is>
          <t>.    مسجد      الشمسيه .</t>
        </is>
      </c>
      <c r="B1862" t="inlineStr">
        <is>
          <t>KFM2020660054286</t>
        </is>
      </c>
      <c r="C1862" t="inlineStr">
        <is>
          <t>الرياض</t>
        </is>
      </c>
      <c r="D1862" t="inlineStr">
        <is>
          <t>كلا الفترتين</t>
        </is>
      </c>
      <c r="E1862" t="n">
        <v>1578</v>
      </c>
      <c r="F1862" t="b">
        <v>1</v>
      </c>
      <c r="G1862">
        <f>HYPERLINK("https://www.google.com/maps/search/?api=1&amp;query=24.6398036,46.71630179", "View Map")</f>
        <v/>
      </c>
    </row>
    <row r="1863">
      <c r="A1863" t="inlineStr">
        <is>
          <t>مسجد      حي        نمار .</t>
        </is>
      </c>
      <c r="B1863" t="inlineStr">
        <is>
          <t>KFM2020660054308</t>
        </is>
      </c>
      <c r="C1863" t="inlineStr">
        <is>
          <t>الرياض</t>
        </is>
      </c>
      <c r="D1863" t="inlineStr">
        <is>
          <t>كلا الفترتين</t>
        </is>
      </c>
      <c r="E1863" t="n">
        <v>1578</v>
      </c>
      <c r="F1863" t="b">
        <v>1</v>
      </c>
      <c r="G1863">
        <f>HYPERLINK("https://www.google.com/maps/search/?api=1&amp;query=24.57823074,46.6923062", "View Map")</f>
        <v/>
      </c>
    </row>
    <row r="1864">
      <c r="A1864" t="inlineStr">
        <is>
          <t xml:space="preserve">   مسجد حى الدار البيضاء .</t>
        </is>
      </c>
      <c r="B1864" t="inlineStr">
        <is>
          <t>KFM2120660270309</t>
        </is>
      </c>
      <c r="C1864" t="inlineStr">
        <is>
          <t>الرياض</t>
        </is>
      </c>
      <c r="D1864" t="inlineStr">
        <is>
          <t>كلا الفترتين</t>
        </is>
      </c>
      <c r="E1864" t="n">
        <v>1577</v>
      </c>
      <c r="F1864" t="b">
        <v>0</v>
      </c>
      <c r="G1864">
        <f>HYPERLINK("https://www.google.com/maps/search/?api=1&amp;query=24.55682018,46.76230524", "View Map")</f>
        <v/>
      </c>
    </row>
    <row r="1865">
      <c r="A1865" t="inlineStr">
        <is>
          <t xml:space="preserve">   مساجد .</t>
        </is>
      </c>
      <c r="B1865" t="inlineStr">
        <is>
          <t>KFM2020660042530</t>
        </is>
      </c>
      <c r="C1865" t="inlineStr">
        <is>
          <t>الرياض</t>
        </is>
      </c>
      <c r="D1865" t="inlineStr">
        <is>
          <t>كلا الفترتين</t>
        </is>
      </c>
      <c r="E1865" t="n">
        <v>1576</v>
      </c>
      <c r="F1865" t="b">
        <v>1</v>
      </c>
      <c r="G1865">
        <f>HYPERLINK("https://www.google.com/maps/search/?api=1&amp;query=24.7578456,46.84093192", "View Map")</f>
        <v/>
      </c>
    </row>
    <row r="1866">
      <c r="A1866" t="inlineStr">
        <is>
          <t>مسجد حى  الجامعين .</t>
        </is>
      </c>
      <c r="B1866" t="inlineStr">
        <is>
          <t>KFM2020660087496</t>
        </is>
      </c>
      <c r="C1866" t="inlineStr">
        <is>
          <t>الرياض</t>
        </is>
      </c>
      <c r="D1866" t="inlineStr">
        <is>
          <t>كلا الفترتين</t>
        </is>
      </c>
      <c r="E1866" t="n">
        <v>1576</v>
      </c>
      <c r="F1866" t="b">
        <v>1</v>
      </c>
      <c r="G1866">
        <f>HYPERLINK("https://www.google.com/maps/search/?api=1&amp;query=24.53692088,46.66324574", "View Map")</f>
        <v/>
      </c>
    </row>
    <row r="1867">
      <c r="A1867" t="inlineStr">
        <is>
          <t>ﻤﺴﺎﺠﺩ .</t>
        </is>
      </c>
      <c r="B1867" t="inlineStr">
        <is>
          <t>KFM2120660285054</t>
        </is>
      </c>
      <c r="C1867" t="inlineStr">
        <is>
          <t>الرياض</t>
        </is>
      </c>
      <c r="D1867" t="inlineStr">
        <is>
          <t>كلا الفترتين</t>
        </is>
      </c>
      <c r="E1867" t="n">
        <v>1576</v>
      </c>
      <c r="F1867" t="b">
        <v>1</v>
      </c>
      <c r="G1867">
        <f>HYPERLINK("https://www.google.com/maps/search/?api=1&amp;query=24.8292,46.7397", "View Map")</f>
        <v/>
      </c>
    </row>
    <row r="1868">
      <c r="A1868" t="inlineStr">
        <is>
          <t xml:space="preserve">        مسجد ومدرسة سارة الحميزي .</t>
        </is>
      </c>
      <c r="B1868" t="inlineStr">
        <is>
          <t>KFM2020660129871</t>
        </is>
      </c>
      <c r="C1868" t="inlineStr">
        <is>
          <t>الرياض</t>
        </is>
      </c>
      <c r="D1868" t="inlineStr">
        <is>
          <t>كلا الفترتين</t>
        </is>
      </c>
      <c r="E1868" t="n">
        <v>1575</v>
      </c>
      <c r="F1868" t="b">
        <v>1</v>
      </c>
      <c r="G1868">
        <f>HYPERLINK("https://www.google.com/maps/search/?api=1&amp;query=24.78637907,46.77580592", "View Map")</f>
        <v/>
      </c>
    </row>
    <row r="1869">
      <c r="A1869" t="inlineStr">
        <is>
          <t>مسجد حى  بدر .</t>
        </is>
      </c>
      <c r="B1869" t="inlineStr">
        <is>
          <t>KFM2120660260283</t>
        </is>
      </c>
      <c r="C1869" t="inlineStr">
        <is>
          <t>الرياض</t>
        </is>
      </c>
      <c r="D1869" t="inlineStr">
        <is>
          <t>كلا الفترتين</t>
        </is>
      </c>
      <c r="E1869" t="n">
        <v>1575</v>
      </c>
      <c r="F1869" t="b">
        <v>0</v>
      </c>
      <c r="G1869">
        <f>HYPERLINK("https://www.google.com/maps/search/?api=1&amp;query=24.5344,46.6981", "View Map")</f>
        <v/>
      </c>
    </row>
    <row r="1870">
      <c r="A1870" t="inlineStr">
        <is>
          <t>مسجد عمر بن الخطاب .</t>
        </is>
      </c>
      <c r="B1870" t="inlineStr">
        <is>
          <t>KFM2020660171737</t>
        </is>
      </c>
      <c r="C1870" t="inlineStr">
        <is>
          <t>الرياض</t>
        </is>
      </c>
      <c r="D1870" t="inlineStr">
        <is>
          <t>كلا الفترتين</t>
        </is>
      </c>
      <c r="E1870" t="n">
        <v>1574</v>
      </c>
      <c r="F1870" t="b">
        <v>0</v>
      </c>
      <c r="G1870">
        <f>HYPERLINK("https://www.google.com/maps/search/?api=1&amp;query=24.58030558,46.52540169", "View Map")</f>
        <v/>
      </c>
    </row>
    <row r="1871">
      <c r="A1871" t="inlineStr">
        <is>
          <t xml:space="preserve">   مسجد ناصر الراجحي .</t>
        </is>
      </c>
      <c r="B1871" t="inlineStr">
        <is>
          <t>KFM2020660141797</t>
        </is>
      </c>
      <c r="C1871" t="inlineStr">
        <is>
          <t>الرياض</t>
        </is>
      </c>
      <c r="D1871" t="inlineStr">
        <is>
          <t>كلا الفترتين</t>
        </is>
      </c>
      <c r="E1871" t="n">
        <v>1573</v>
      </c>
      <c r="F1871" t="b">
        <v>0</v>
      </c>
      <c r="G1871">
        <f>HYPERLINK("https://www.google.com/maps/search/?api=1&amp;query=24.69382021,46.78216422", "View Map")</f>
        <v/>
      </c>
    </row>
    <row r="1872">
      <c r="A1872" t="inlineStr">
        <is>
          <t>مسجد شرق  الابراج .</t>
        </is>
      </c>
      <c r="B1872" t="inlineStr">
        <is>
          <t>KFM2020660025745</t>
        </is>
      </c>
      <c r="C1872" t="inlineStr">
        <is>
          <t>الرياض</t>
        </is>
      </c>
      <c r="D1872" t="inlineStr">
        <is>
          <t>كلا الفترتين</t>
        </is>
      </c>
      <c r="E1872" t="n">
        <v>1573</v>
      </c>
      <c r="F1872" t="b">
        <v>0</v>
      </c>
      <c r="G1872">
        <f>HYPERLINK("https://www.google.com/maps/search/?api=1&amp;query=24.58173059,46.66104574", "View Map")</f>
        <v/>
      </c>
    </row>
    <row r="1873">
      <c r="A1873" t="inlineStr">
        <is>
          <t>مسجد - احمد بن حنبل .</t>
        </is>
      </c>
      <c r="B1873" t="inlineStr">
        <is>
          <t>KFM2020660173205</t>
        </is>
      </c>
      <c r="C1873" t="inlineStr">
        <is>
          <t>الرياض</t>
        </is>
      </c>
      <c r="D1873" t="inlineStr">
        <is>
          <t>كلا الفترتين</t>
        </is>
      </c>
      <c r="E1873" t="n">
        <v>1572</v>
      </c>
      <c r="F1873" t="b">
        <v>0</v>
      </c>
      <c r="G1873">
        <f>HYPERLINK("https://www.google.com/maps/search/?api=1&amp;query=24.55594874,46.68403626", "View Map")</f>
        <v/>
      </c>
    </row>
    <row r="1874">
      <c r="A1874" t="inlineStr">
        <is>
          <t xml:space="preserve">   مسجد النسيم .</t>
        </is>
      </c>
      <c r="B1874" t="inlineStr">
        <is>
          <t>KFM2120655002507</t>
        </is>
      </c>
      <c r="C1874" t="inlineStr">
        <is>
          <t>الرياض</t>
        </is>
      </c>
      <c r="D1874" t="inlineStr">
        <is>
          <t>كلا الفترتين</t>
        </is>
      </c>
      <c r="E1874" t="n">
        <v>1572</v>
      </c>
      <c r="F1874" t="b">
        <v>1</v>
      </c>
      <c r="G1874">
        <f>HYPERLINK("https://www.google.com/maps/search/?api=1&amp;query=24.73224884,46.82499009", "View Map")</f>
        <v/>
      </c>
    </row>
    <row r="1875">
      <c r="A1875" t="inlineStr">
        <is>
          <t>ﻤﺴﺎﺠﺩ .</t>
        </is>
      </c>
      <c r="B1875" t="inlineStr">
        <is>
          <t>KFM2020660195113</t>
        </is>
      </c>
      <c r="C1875" t="inlineStr">
        <is>
          <t>الرياض</t>
        </is>
      </c>
      <c r="D1875" t="inlineStr">
        <is>
          <t>كلا الفترتين</t>
        </is>
      </c>
      <c r="E1875" t="n">
        <v>1572</v>
      </c>
      <c r="F1875" t="b">
        <v>1</v>
      </c>
      <c r="G1875">
        <f>HYPERLINK("https://www.google.com/maps/search/?api=1&amp;query=24.81858521,46.89459462", "View Map")</f>
        <v/>
      </c>
    </row>
    <row r="1876">
      <c r="A1876" t="inlineStr">
        <is>
          <t>ﻤﺴﺎﺠﺩ .</t>
        </is>
      </c>
      <c r="B1876" t="inlineStr">
        <is>
          <t>KFM2120660262248</t>
        </is>
      </c>
      <c r="C1876" t="inlineStr">
        <is>
          <t>الرياض</t>
        </is>
      </c>
      <c r="D1876" t="inlineStr">
        <is>
          <t>كلا الفترتين</t>
        </is>
      </c>
      <c r="E1876" t="n">
        <v>1571</v>
      </c>
      <c r="F1876" t="b">
        <v>0</v>
      </c>
      <c r="G1876">
        <f>HYPERLINK("https://www.google.com/maps/search/?api=1&amp;query=24.88863907,46.6053174", "View Map")</f>
        <v/>
      </c>
    </row>
    <row r="1877">
      <c r="A1877" t="inlineStr">
        <is>
          <t xml:space="preserve">   مسجد الصحافة .</t>
        </is>
      </c>
      <c r="B1877" t="inlineStr">
        <is>
          <t>KFM2020660135546</t>
        </is>
      </c>
      <c r="C1877" t="inlineStr">
        <is>
          <t>الرياض</t>
        </is>
      </c>
      <c r="D1877" t="inlineStr">
        <is>
          <t>كلا الفترتين</t>
        </is>
      </c>
      <c r="E1877" t="n">
        <v>1571</v>
      </c>
      <c r="F1877" t="b">
        <v>1</v>
      </c>
      <c r="G1877">
        <f>HYPERLINK("https://www.google.com/maps/search/?api=1&amp;query=24.81524319,46.62503079", "View Map")</f>
        <v/>
      </c>
    </row>
    <row r="1878">
      <c r="A1878" t="inlineStr">
        <is>
          <t>مسجدالاميرخالدبن سعود .</t>
        </is>
      </c>
      <c r="B1878" t="inlineStr">
        <is>
          <t>KFM2020660045039</t>
        </is>
      </c>
      <c r="C1878" t="inlineStr">
        <is>
          <t>الرياض</t>
        </is>
      </c>
      <c r="D1878" t="inlineStr">
        <is>
          <t>كلا الفترتين</t>
        </is>
      </c>
      <c r="E1878" t="n">
        <v>1570</v>
      </c>
      <c r="F1878" t="b">
        <v>1</v>
      </c>
      <c r="G1878">
        <f>HYPERLINK("https://www.google.com/maps/search/?api=1&amp;query=24.58842846,46.62775371", "View Map")</f>
        <v/>
      </c>
    </row>
    <row r="1879">
      <c r="A1879" t="inlineStr">
        <is>
          <t>ﻤﺴﺎﺠﺩ .</t>
        </is>
      </c>
      <c r="B1879" t="inlineStr">
        <is>
          <t>SMR2220661002767</t>
        </is>
      </c>
      <c r="C1879" t="inlineStr">
        <is>
          <t>الرياض</t>
        </is>
      </c>
      <c r="D1879" t="inlineStr">
        <is>
          <t>كلا الفترتين</t>
        </is>
      </c>
      <c r="E1879" t="n">
        <v>1570</v>
      </c>
      <c r="F1879" t="b">
        <v>1</v>
      </c>
      <c r="G1879">
        <f>HYPERLINK("https://www.google.com/maps/search/?api=1&amp;query=24.92334319,46.82037301", "View Map")</f>
        <v/>
      </c>
    </row>
    <row r="1880">
      <c r="A1880" t="inlineStr">
        <is>
          <t>مسجد الطويلعة .</t>
        </is>
      </c>
      <c r="B1880" t="inlineStr">
        <is>
          <t>KFM2120660284016</t>
        </is>
      </c>
      <c r="C1880" t="inlineStr">
        <is>
          <t>الرياض</t>
        </is>
      </c>
      <c r="D1880" t="inlineStr">
        <is>
          <t>كلا الفترتين</t>
        </is>
      </c>
      <c r="E1880" t="n">
        <v>1570</v>
      </c>
      <c r="F1880" t="b">
        <v>0</v>
      </c>
      <c r="G1880">
        <f>HYPERLINK("https://www.google.com/maps/search/?api=1&amp;query=24.61448719,46.71491019", "View Map")</f>
        <v/>
      </c>
    </row>
    <row r="1881">
      <c r="A1881" t="inlineStr">
        <is>
          <t>مسجد الحكير .</t>
        </is>
      </c>
      <c r="B1881" t="inlineStr">
        <is>
          <t>KFM2020766093983</t>
        </is>
      </c>
      <c r="C1881" t="inlineStr">
        <is>
          <t>الرياض</t>
        </is>
      </c>
      <c r="D1881" t="inlineStr">
        <is>
          <t>كلا الفترتين</t>
        </is>
      </c>
      <c r="E1881" t="n">
        <v>1569</v>
      </c>
      <c r="F1881" t="b">
        <v>0</v>
      </c>
      <c r="G1881">
        <f>HYPERLINK("https://www.google.com/maps/search/?api=1&amp;query=24.6169311,46.67291103", "View Map")</f>
        <v/>
      </c>
    </row>
    <row r="1882">
      <c r="A1882" t="inlineStr">
        <is>
          <t>مسجد عبدالرحمن الغيث .</t>
        </is>
      </c>
      <c r="B1882" t="inlineStr">
        <is>
          <t>KFM2020760073429</t>
        </is>
      </c>
      <c r="C1882" t="inlineStr">
        <is>
          <t>الرياض</t>
        </is>
      </c>
      <c r="D1882" t="inlineStr">
        <is>
          <t>كلا الفترتين</t>
        </is>
      </c>
      <c r="E1882" t="n">
        <v>1568</v>
      </c>
      <c r="F1882" t="b">
        <v>0</v>
      </c>
      <c r="G1882">
        <f>HYPERLINK("https://www.google.com/maps/search/?api=1&amp;query=24.57000921,46.71039582", "View Map")</f>
        <v/>
      </c>
    </row>
    <row r="1883">
      <c r="A1883" t="inlineStr">
        <is>
          <t xml:space="preserve">    مسجد      الشيخ      الشثري .</t>
        </is>
      </c>
      <c r="B1883" t="inlineStr">
        <is>
          <t>KFM2120660260821</t>
        </is>
      </c>
      <c r="C1883" t="inlineStr">
        <is>
          <t>الرياض</t>
        </is>
      </c>
      <c r="D1883" t="inlineStr">
        <is>
          <t>كلا الفترتين</t>
        </is>
      </c>
      <c r="E1883" t="n">
        <v>1568</v>
      </c>
      <c r="F1883" t="b">
        <v>0</v>
      </c>
      <c r="G1883">
        <f>HYPERLINK("https://www.google.com/maps/search/?api=1&amp;query=24.68006763,46.66975152", "View Map")</f>
        <v/>
      </c>
    </row>
    <row r="1884">
      <c r="A1884" t="inlineStr">
        <is>
          <t xml:space="preserve">   مسجداليحيى .</t>
        </is>
      </c>
      <c r="B1884" t="inlineStr">
        <is>
          <t>KFM2020660041767</t>
        </is>
      </c>
      <c r="C1884" t="inlineStr">
        <is>
          <t>الرياض</t>
        </is>
      </c>
      <c r="D1884" t="inlineStr">
        <is>
          <t>كلا الفترتين</t>
        </is>
      </c>
      <c r="E1884" t="n">
        <v>1567</v>
      </c>
      <c r="F1884" t="b">
        <v>0</v>
      </c>
      <c r="G1884">
        <f>HYPERLINK("https://www.google.com/maps/search/?api=1&amp;query=24.72629227,46.81509409", "View Map")</f>
        <v/>
      </c>
    </row>
    <row r="1885">
      <c r="A1885" t="inlineStr">
        <is>
          <t xml:space="preserve">   مسجد فاطمه الزهراء 2449/5</t>
        </is>
      </c>
      <c r="B1885" t="inlineStr">
        <is>
          <t>KFM2120660300566</t>
        </is>
      </c>
      <c r="C1885" t="inlineStr">
        <is>
          <t>الرياض</t>
        </is>
      </c>
      <c r="D1885" t="inlineStr">
        <is>
          <t>كلا الفترتين</t>
        </is>
      </c>
      <c r="E1885" t="n">
        <v>1567</v>
      </c>
      <c r="F1885" t="b">
        <v>0</v>
      </c>
      <c r="G1885">
        <f>HYPERLINK("https://www.google.com/maps/search/?api=1&amp;query=24.5710914,46.79548608", "View Map")</f>
        <v/>
      </c>
    </row>
    <row r="1886">
      <c r="A1886" t="inlineStr">
        <is>
          <t>مسجد الحديثي .</t>
        </is>
      </c>
      <c r="B1886" t="inlineStr">
        <is>
          <t>KFM2020760091849</t>
        </is>
      </c>
      <c r="C1886" t="inlineStr">
        <is>
          <t>الرياض</t>
        </is>
      </c>
      <c r="D1886" t="inlineStr">
        <is>
          <t>كلا الفترتين</t>
        </is>
      </c>
      <c r="E1886" t="n">
        <v>1566</v>
      </c>
      <c r="F1886" t="b">
        <v>0</v>
      </c>
      <c r="G1886">
        <f>HYPERLINK("https://www.google.com/maps/search/?api=1&amp;query=24.56071232,46.73629541", "View Map")</f>
        <v/>
      </c>
    </row>
    <row r="1887">
      <c r="A1887" t="inlineStr">
        <is>
          <t>مسجد / حي المصانع .</t>
        </is>
      </c>
      <c r="B1887" t="inlineStr">
        <is>
          <t>KFM2020660171734</t>
        </is>
      </c>
      <c r="C1887" t="inlineStr">
        <is>
          <t>الرياض</t>
        </is>
      </c>
      <c r="D1887" t="inlineStr">
        <is>
          <t>كلا الفترتين</t>
        </is>
      </c>
      <c r="E1887" t="n">
        <v>1566</v>
      </c>
      <c r="F1887" t="b">
        <v>0</v>
      </c>
      <c r="G1887">
        <f>HYPERLINK("https://www.google.com/maps/search/?api=1&amp;query=24.56765304,46.75370021", "View Map")</f>
        <v/>
      </c>
    </row>
    <row r="1888">
      <c r="A1888" t="inlineStr">
        <is>
          <t>ﻭﺯﺍﺭﺓﺍﻟﺸﺌﻭﻥ ﺍﻻﺴﻼﻤﻴﺓﻭﺍﻻﻭﻗﺎﻑ .</t>
        </is>
      </c>
      <c r="B1888" t="inlineStr">
        <is>
          <t>KFM2020660098750</t>
        </is>
      </c>
      <c r="C1888" t="inlineStr">
        <is>
          <t>الرياض</t>
        </is>
      </c>
      <c r="D1888" t="inlineStr">
        <is>
          <t>كلا الفترتين</t>
        </is>
      </c>
      <c r="E1888" t="n">
        <v>1565</v>
      </c>
      <c r="F1888" t="b">
        <v>0</v>
      </c>
      <c r="G1888">
        <f>HYPERLINK("https://www.google.com/maps/search/?api=1&amp;query=24.49251532,46.64242447", "View Map")</f>
        <v/>
      </c>
    </row>
    <row r="1889">
      <c r="A1889" t="inlineStr">
        <is>
          <t xml:space="preserve">   مسجد ابن سعيدان .</t>
        </is>
      </c>
      <c r="B1889" t="inlineStr">
        <is>
          <t>KFM2020660037507</t>
        </is>
      </c>
      <c r="C1889" t="inlineStr">
        <is>
          <t>الرياض</t>
        </is>
      </c>
      <c r="D1889" t="inlineStr">
        <is>
          <t>كلا الفترتين</t>
        </is>
      </c>
      <c r="E1889" t="n">
        <v>1564</v>
      </c>
      <c r="F1889" t="b">
        <v>0</v>
      </c>
      <c r="G1889">
        <f>HYPERLINK("https://www.google.com/maps/search/?api=1&amp;query=24.79834279,46.79397272", "View Map")</f>
        <v/>
      </c>
    </row>
    <row r="1890">
      <c r="A1890" t="inlineStr">
        <is>
          <t xml:space="preserve">   مسجدغرب الدفاع .</t>
        </is>
      </c>
      <c r="B1890" t="inlineStr">
        <is>
          <t>KFM2120660291747</t>
        </is>
      </c>
      <c r="C1890" t="inlineStr">
        <is>
          <t>الرياض</t>
        </is>
      </c>
      <c r="D1890" t="inlineStr">
        <is>
          <t>كلا الفترتين</t>
        </is>
      </c>
      <c r="E1890" t="n">
        <v>1564</v>
      </c>
      <c r="F1890" t="b">
        <v>1</v>
      </c>
      <c r="G1890">
        <f>HYPERLINK("https://www.google.com/maps/search/?api=1&amp;query=24.67134361,46.71365382", "View Map")</f>
        <v/>
      </c>
    </row>
    <row r="1891">
      <c r="A1891" t="inlineStr">
        <is>
          <t>ﻤﺴﺎﺠﺩ .</t>
        </is>
      </c>
      <c r="B1891" t="inlineStr">
        <is>
          <t>KFM2020660192841</t>
        </is>
      </c>
      <c r="C1891" t="inlineStr">
        <is>
          <t>الرياض</t>
        </is>
      </c>
      <c r="D1891" t="inlineStr">
        <is>
          <t>كلا الفترتين</t>
        </is>
      </c>
      <c r="E1891" t="n">
        <v>1563</v>
      </c>
      <c r="F1891" t="b">
        <v>1</v>
      </c>
      <c r="G1891">
        <f>HYPERLINK("https://www.google.com/maps/search/?api=1&amp;query=24.83601156,46.81241589", "View Map")</f>
        <v/>
      </c>
    </row>
    <row r="1892">
      <c r="A1892" t="inlineStr">
        <is>
          <t xml:space="preserve">   مسجد لطيفة عبدالله آل الشيخ .</t>
        </is>
      </c>
      <c r="B1892" t="inlineStr">
        <is>
          <t>KFM2020660173721</t>
        </is>
      </c>
      <c r="C1892" t="inlineStr">
        <is>
          <t>الرياض</t>
        </is>
      </c>
      <c r="D1892" t="inlineStr">
        <is>
          <t>كلا الفترتين</t>
        </is>
      </c>
      <c r="E1892" t="n">
        <v>1563</v>
      </c>
      <c r="F1892" t="b">
        <v>1</v>
      </c>
      <c r="G1892">
        <f>HYPERLINK("https://www.google.com/maps/search/?api=1&amp;query=24.75820738,46.6703758", "View Map")</f>
        <v/>
      </c>
    </row>
    <row r="1893">
      <c r="A1893" t="inlineStr">
        <is>
          <t>مسجد /الشيخ  محمد بن عبدالوهاب .</t>
        </is>
      </c>
      <c r="B1893" t="inlineStr">
        <is>
          <t>KFM2020660015221</t>
        </is>
      </c>
      <c r="C1893" t="inlineStr">
        <is>
          <t>الرياض</t>
        </is>
      </c>
      <c r="D1893" t="inlineStr">
        <is>
          <t>كلا الفترتين</t>
        </is>
      </c>
      <c r="E1893" t="n">
        <v>1561</v>
      </c>
      <c r="F1893" t="b">
        <v>1</v>
      </c>
      <c r="G1893">
        <f>HYPERLINK("https://www.google.com/maps/search/?api=1&amp;query=24.60901286,46.60862451", "View Map")</f>
        <v/>
      </c>
    </row>
    <row r="1894">
      <c r="A1894" t="inlineStr">
        <is>
          <t xml:space="preserve">    مسجد      حي     اشبيليا .</t>
        </is>
      </c>
      <c r="B1894" t="inlineStr">
        <is>
          <t>KFM2020660041254</t>
        </is>
      </c>
      <c r="C1894" t="inlineStr">
        <is>
          <t>الرياض</t>
        </is>
      </c>
      <c r="D1894" t="inlineStr">
        <is>
          <t>كلا الفترتين</t>
        </is>
      </c>
      <c r="E1894" t="n">
        <v>1560</v>
      </c>
      <c r="F1894" t="b">
        <v>0</v>
      </c>
      <c r="G1894">
        <f>HYPERLINK("https://www.google.com/maps/search/?api=1&amp;query=24.78380468,46.78335339", "View Map")</f>
        <v/>
      </c>
    </row>
    <row r="1895">
      <c r="A1895" t="inlineStr">
        <is>
          <t xml:space="preserve">   وزارة الشئوؤن الاسلاميه مسجدحطين .</t>
        </is>
      </c>
      <c r="B1895" t="inlineStr">
        <is>
          <t>KFM2020660187908</t>
        </is>
      </c>
      <c r="C1895" t="inlineStr">
        <is>
          <t>الرياض</t>
        </is>
      </c>
      <c r="D1895" t="inlineStr">
        <is>
          <t>كلا الفترتين</t>
        </is>
      </c>
      <c r="E1895" t="n">
        <v>1560</v>
      </c>
      <c r="F1895" t="b">
        <v>1</v>
      </c>
      <c r="G1895">
        <f>HYPERLINK("https://www.google.com/maps/search/?api=1&amp;query=24.75972717,46.61051843", "View Map")</f>
        <v/>
      </c>
    </row>
    <row r="1896">
      <c r="A1896" t="inlineStr">
        <is>
          <t>مسجد الرويشد .</t>
        </is>
      </c>
      <c r="B1896" t="inlineStr">
        <is>
          <t>KFM2020660198378</t>
        </is>
      </c>
      <c r="C1896" t="inlineStr">
        <is>
          <t>الرياض</t>
        </is>
      </c>
      <c r="D1896" t="inlineStr">
        <is>
          <t>كلا الفترتين</t>
        </is>
      </c>
      <c r="E1896" t="n">
        <v>1559</v>
      </c>
      <c r="F1896" t="b">
        <v>0</v>
      </c>
      <c r="G1896">
        <f>HYPERLINK("https://www.google.com/maps/search/?api=1&amp;query=24.62460714,46.71861906", "View Map")</f>
        <v/>
      </c>
    </row>
    <row r="1897">
      <c r="A1897" t="inlineStr">
        <is>
          <t xml:space="preserve">   مسجد محمد الحماد - بحي الربيع .</t>
        </is>
      </c>
      <c r="B1897" t="inlineStr">
        <is>
          <t>KFM2020760057050</t>
        </is>
      </c>
      <c r="C1897" t="inlineStr">
        <is>
          <t>الرياض</t>
        </is>
      </c>
      <c r="D1897" t="inlineStr">
        <is>
          <t>كلا الفترتين</t>
        </is>
      </c>
      <c r="E1897" t="n">
        <v>1558</v>
      </c>
      <c r="F1897" t="b">
        <v>0</v>
      </c>
      <c r="G1897">
        <f>HYPERLINK("https://www.google.com/maps/search/?api=1&amp;query=24.79490435,46.65304588", "View Map")</f>
        <v/>
      </c>
    </row>
    <row r="1898">
      <c r="A1898" t="inlineStr">
        <is>
          <t>ﻭﺯﺍﺭﺓﺍﻟﺸﺌﻭﻥ ﺍﻻﺴﻼﻤﻴﺓﻭﺍﻻﻭﻗﺎﻑ .</t>
        </is>
      </c>
      <c r="B1898" t="inlineStr">
        <is>
          <t>KFM2020660007858</t>
        </is>
      </c>
      <c r="C1898" t="inlineStr">
        <is>
          <t>الرياض</t>
        </is>
      </c>
      <c r="D1898" t="inlineStr">
        <is>
          <t>كلا الفترتين</t>
        </is>
      </c>
      <c r="E1898" t="n">
        <v>1557</v>
      </c>
      <c r="F1898" t="b">
        <v>0</v>
      </c>
      <c r="G1898">
        <f>HYPERLINK("https://www.google.com/maps/search/?api=1&amp;query=24.54522849,46.5181886", "View Map")</f>
        <v/>
      </c>
    </row>
    <row r="1899">
      <c r="A1899" t="inlineStr">
        <is>
          <t xml:space="preserve">   جامع  الخالدية الكبير .</t>
        </is>
      </c>
      <c r="B1899" t="inlineStr">
        <is>
          <t>KFM2120660304653</t>
        </is>
      </c>
      <c r="C1899" t="inlineStr">
        <is>
          <t>الرياض</t>
        </is>
      </c>
      <c r="D1899" t="inlineStr">
        <is>
          <t>كلا الفترتين</t>
        </is>
      </c>
      <c r="E1899" t="n">
        <v>1557</v>
      </c>
      <c r="F1899" t="b">
        <v>1</v>
      </c>
      <c r="G1899">
        <f>HYPERLINK("https://www.google.com/maps/search/?api=1&amp;query=24.62071313,46.76037453", "View Map")</f>
        <v/>
      </c>
    </row>
    <row r="1900">
      <c r="A1900" t="inlineStr">
        <is>
          <t>ﻤﺴﺎﺠﺩ .</t>
        </is>
      </c>
      <c r="B1900" t="inlineStr">
        <is>
          <t>KFM2020660046436</t>
        </is>
      </c>
      <c r="C1900" t="inlineStr">
        <is>
          <t>الرياض</t>
        </is>
      </c>
      <c r="D1900" t="inlineStr">
        <is>
          <t>كلا الفترتين</t>
        </is>
      </c>
      <c r="E1900" t="n">
        <v>1557</v>
      </c>
      <c r="F1900" t="b">
        <v>1</v>
      </c>
      <c r="G1900">
        <f>HYPERLINK("https://www.google.com/maps/search/?api=1&amp;query=24.83623824,46.76173705", "View Map")</f>
        <v/>
      </c>
    </row>
    <row r="1901">
      <c r="A1901" t="inlineStr">
        <is>
          <t>ﻤﺴﺎﺠﺩ .</t>
        </is>
      </c>
      <c r="B1901" t="inlineStr">
        <is>
          <t>SMR2220661007098</t>
        </is>
      </c>
      <c r="C1901" t="inlineStr">
        <is>
          <t>الرياض</t>
        </is>
      </c>
      <c r="D1901" t="inlineStr">
        <is>
          <t>كلا الفترتين</t>
        </is>
      </c>
      <c r="E1901" t="n">
        <v>1556</v>
      </c>
      <c r="F1901" t="b">
        <v>1</v>
      </c>
      <c r="G1901">
        <f>HYPERLINK("https://www.google.com/maps/search/?api=1&amp;query=24.87531205,46.86324002", "View Map")</f>
        <v/>
      </c>
    </row>
    <row r="1902">
      <c r="A1902" t="inlineStr">
        <is>
          <t>مسجد ظهره  البديعه .</t>
        </is>
      </c>
      <c r="B1902" t="inlineStr">
        <is>
          <t>KFM2120660295178</t>
        </is>
      </c>
      <c r="C1902" t="inlineStr">
        <is>
          <t>الرياض</t>
        </is>
      </c>
      <c r="D1902" t="inlineStr">
        <is>
          <t>كلا الفترتين</t>
        </is>
      </c>
      <c r="E1902" t="n">
        <v>1556</v>
      </c>
      <c r="F1902" t="b">
        <v>0</v>
      </c>
      <c r="G1902">
        <f>HYPERLINK("https://www.google.com/maps/search/?api=1&amp;query=24.58271887,46.62109676", "View Map")</f>
        <v/>
      </c>
    </row>
    <row r="1903">
      <c r="A1903" t="inlineStr">
        <is>
          <t>مسجد/الاميرناصربن سعود .</t>
        </is>
      </c>
      <c r="B1903" t="inlineStr">
        <is>
          <t>KFM2120660295238</t>
        </is>
      </c>
      <c r="C1903" t="inlineStr">
        <is>
          <t>الرياض</t>
        </is>
      </c>
      <c r="D1903" t="inlineStr">
        <is>
          <t>كلا الفترتين</t>
        </is>
      </c>
      <c r="E1903" t="n">
        <v>1555</v>
      </c>
      <c r="F1903" t="b">
        <v>0</v>
      </c>
      <c r="G1903">
        <f>HYPERLINK("https://www.google.com/maps/search/?api=1&amp;query=24.6040041,46.71884601", "View Map")</f>
        <v/>
      </c>
    </row>
    <row r="1904">
      <c r="A1904" t="inlineStr">
        <is>
          <t>مسجد /حي العوده  بالسويدي .</t>
        </is>
      </c>
      <c r="B1904" t="inlineStr">
        <is>
          <t>KFM2020660051613</t>
        </is>
      </c>
      <c r="C1904" t="inlineStr">
        <is>
          <t>الرياض</t>
        </is>
      </c>
      <c r="D1904" t="inlineStr">
        <is>
          <t>كلا الفترتين</t>
        </is>
      </c>
      <c r="E1904" t="n">
        <v>1555</v>
      </c>
      <c r="F1904" t="b">
        <v>0</v>
      </c>
      <c r="G1904">
        <f>HYPERLINK("https://www.google.com/maps/search/?api=1&amp;query=24.57460467,46.66938705", "View Map")</f>
        <v/>
      </c>
    </row>
    <row r="1905">
      <c r="A1905" t="inlineStr">
        <is>
          <t>مسجد سموالامير/مساعدبن عبدالرحمن .</t>
        </is>
      </c>
      <c r="B1905" t="inlineStr">
        <is>
          <t>KFM2020660011949</t>
        </is>
      </c>
      <c r="C1905" t="inlineStr">
        <is>
          <t>الرياض</t>
        </is>
      </c>
      <c r="D1905" t="inlineStr">
        <is>
          <t>كلا الفترتين</t>
        </is>
      </c>
      <c r="E1905" t="n">
        <v>1552</v>
      </c>
      <c r="F1905" t="b">
        <v>0</v>
      </c>
      <c r="G1905">
        <f>HYPERLINK("https://www.google.com/maps/search/?api=1&amp;query=24.63914295,46.70451745", "View Map")</f>
        <v/>
      </c>
    </row>
    <row r="1906">
      <c r="A1906" t="inlineStr">
        <is>
          <t xml:space="preserve">   مسجد عبداللطيف المطلق .</t>
        </is>
      </c>
      <c r="B1906" t="inlineStr">
        <is>
          <t>KFM2020660049706</t>
        </is>
      </c>
      <c r="C1906" t="inlineStr">
        <is>
          <t>الرياض</t>
        </is>
      </c>
      <c r="D1906" t="inlineStr">
        <is>
          <t>كلا الفترتين</t>
        </is>
      </c>
      <c r="E1906" t="n">
        <v>1551</v>
      </c>
      <c r="F1906" t="b">
        <v>1</v>
      </c>
      <c r="G1906">
        <f>HYPERLINK("https://www.google.com/maps/search/?api=1&amp;query=24.77589205,46.80915846", "View Map")</f>
        <v/>
      </c>
    </row>
    <row r="1907">
      <c r="A1907" t="inlineStr">
        <is>
          <t>مسجد سلطانه .</t>
        </is>
      </c>
      <c r="B1907" t="inlineStr">
        <is>
          <t>KFM2020660196780</t>
        </is>
      </c>
      <c r="C1907" t="inlineStr">
        <is>
          <t>الرياض</t>
        </is>
      </c>
      <c r="D1907" t="inlineStr">
        <is>
          <t>كلا الفترتين</t>
        </is>
      </c>
      <c r="E1907" t="n">
        <v>1551</v>
      </c>
      <c r="F1907" t="b">
        <v>0</v>
      </c>
      <c r="G1907">
        <f>HYPERLINK("https://www.google.com/maps/search/?api=1&amp;query=24.60225149,46.68457105", "View Map")</f>
        <v/>
      </c>
    </row>
    <row r="1908">
      <c r="A1908" t="inlineStr">
        <is>
          <t xml:space="preserve">   مسجد حمود الذياب .</t>
        </is>
      </c>
      <c r="B1908" t="inlineStr">
        <is>
          <t>KFM2020660132580</t>
        </is>
      </c>
      <c r="C1908" t="inlineStr">
        <is>
          <t>الرياض</t>
        </is>
      </c>
      <c r="D1908" t="inlineStr">
        <is>
          <t>كلا الفترتين</t>
        </is>
      </c>
      <c r="E1908" t="n">
        <v>1549</v>
      </c>
      <c r="F1908" t="b">
        <v>0</v>
      </c>
      <c r="G1908">
        <f>HYPERLINK("https://www.google.com/maps/search/?api=1&amp;query=24.72555095,46.83721331", "View Map")</f>
        <v/>
      </c>
    </row>
    <row r="1909">
      <c r="A1909" t="inlineStr">
        <is>
          <t xml:space="preserve">   مسجد عمر بن الخطاب .</t>
        </is>
      </c>
      <c r="B1909" t="inlineStr">
        <is>
          <t>KFM2020660174238</t>
        </is>
      </c>
      <c r="C1909" t="inlineStr">
        <is>
          <t>الرياض</t>
        </is>
      </c>
      <c r="D1909" t="inlineStr">
        <is>
          <t>كلا الفترتين</t>
        </is>
      </c>
      <c r="E1909" t="n">
        <v>1549</v>
      </c>
      <c r="F1909" t="b">
        <v>1</v>
      </c>
      <c r="G1909">
        <f>HYPERLINK("https://www.google.com/maps/search/?api=1&amp;query=24.62634079,46.55282724", "View Map")</f>
        <v/>
      </c>
    </row>
    <row r="1910">
      <c r="A1910" t="inlineStr">
        <is>
          <t>مسجد حى  بدر .</t>
        </is>
      </c>
      <c r="B1910" t="inlineStr">
        <is>
          <t>KFM2020660167668</t>
        </is>
      </c>
      <c r="C1910" t="inlineStr">
        <is>
          <t>الرياض</t>
        </is>
      </c>
      <c r="D1910" t="inlineStr">
        <is>
          <t>كلا الفترتين</t>
        </is>
      </c>
      <c r="E1910" t="n">
        <v>1546</v>
      </c>
      <c r="F1910" t="b">
        <v>1</v>
      </c>
      <c r="G1910">
        <f>HYPERLINK("https://www.google.com/maps/search/?api=1&amp;query=24.53758782,46.70258996", "View Map")</f>
        <v/>
      </c>
    </row>
    <row r="1911">
      <c r="A1911" t="inlineStr">
        <is>
          <t xml:space="preserve">   مسجد الوهيبي .</t>
        </is>
      </c>
      <c r="B1911" t="inlineStr">
        <is>
          <t>KFM2020660036528</t>
        </is>
      </c>
      <c r="C1911" t="inlineStr">
        <is>
          <t>الرياض</t>
        </is>
      </c>
      <c r="D1911" t="inlineStr">
        <is>
          <t>كلا الفترتين</t>
        </is>
      </c>
      <c r="E1911" t="n">
        <v>1546</v>
      </c>
      <c r="F1911" t="b">
        <v>1</v>
      </c>
      <c r="G1911">
        <f>HYPERLINK("https://www.google.com/maps/search/?api=1&amp;query=24.73873252,46.82683067", "View Map")</f>
        <v/>
      </c>
    </row>
    <row r="1912">
      <c r="A1912" t="inlineStr">
        <is>
          <t xml:space="preserve">   مسجد حي الخليج .</t>
        </is>
      </c>
      <c r="B1912" t="inlineStr">
        <is>
          <t>KFM2020660025454</t>
        </is>
      </c>
      <c r="C1912" t="inlineStr">
        <is>
          <t>الرياض</t>
        </is>
      </c>
      <c r="D1912" t="inlineStr">
        <is>
          <t>كلا الفترتين</t>
        </is>
      </c>
      <c r="E1912" t="n">
        <v>1546</v>
      </c>
      <c r="F1912" t="b">
        <v>1</v>
      </c>
      <c r="G1912">
        <f>HYPERLINK("https://www.google.com/maps/search/?api=1&amp;query=24.77348636,46.80756957", "View Map")</f>
        <v/>
      </c>
    </row>
    <row r="1913">
      <c r="A1913" t="inlineStr">
        <is>
          <t>ﻤﺴﺎﺠﺩ .</t>
        </is>
      </c>
      <c r="B1913" t="inlineStr">
        <is>
          <t>ECC2020811052475</t>
        </is>
      </c>
      <c r="C1913" t="inlineStr">
        <is>
          <t>الدرعية</t>
        </is>
      </c>
      <c r="D1913" t="inlineStr">
        <is>
          <t>كلا الفترتين</t>
        </is>
      </c>
      <c r="E1913" t="n">
        <v>1543</v>
      </c>
      <c r="F1913" t="b">
        <v>1</v>
      </c>
      <c r="G1913">
        <f>HYPERLINK("https://www.google.com/maps/search/?api=1&amp;query=24.77772577,46.56393009", "View Map")</f>
        <v/>
      </c>
    </row>
    <row r="1914">
      <c r="A1914" t="inlineStr">
        <is>
          <t xml:space="preserve">   مسجدحي حطين .</t>
        </is>
      </c>
      <c r="B1914" t="inlineStr">
        <is>
          <t>KFM2020660208991</t>
        </is>
      </c>
      <c r="C1914" t="inlineStr">
        <is>
          <t>الرياض</t>
        </is>
      </c>
      <c r="D1914" t="inlineStr">
        <is>
          <t>كلا الفترتين</t>
        </is>
      </c>
      <c r="E1914" t="n">
        <v>1542</v>
      </c>
      <c r="F1914" t="b">
        <v>1</v>
      </c>
      <c r="G1914">
        <f>HYPERLINK("https://www.google.com/maps/search/?api=1&amp;query=24.74872349,46.61258018", "View Map")</f>
        <v/>
      </c>
    </row>
    <row r="1915">
      <c r="A1915" t="inlineStr">
        <is>
          <t>مسجد عثمان احمدالعقيل .</t>
        </is>
      </c>
      <c r="B1915" t="inlineStr">
        <is>
          <t>KFM2020660038846</t>
        </is>
      </c>
      <c r="C1915" t="inlineStr">
        <is>
          <t>الرياض</t>
        </is>
      </c>
      <c r="D1915" t="inlineStr">
        <is>
          <t>كلا الفترتين</t>
        </is>
      </c>
      <c r="E1915" t="n">
        <v>1541</v>
      </c>
      <c r="F1915" t="b">
        <v>0</v>
      </c>
      <c r="G1915">
        <f>HYPERLINK("https://www.google.com/maps/search/?api=1&amp;query=24.61379686,46.64277521", "View Map")</f>
        <v/>
      </c>
    </row>
    <row r="1916">
      <c r="A1916" t="inlineStr">
        <is>
          <t xml:space="preserve">   مسجد حي النزهــه بلك 239 .</t>
        </is>
      </c>
      <c r="B1916" t="inlineStr">
        <is>
          <t>KFM2020660173321</t>
        </is>
      </c>
      <c r="C1916" t="inlineStr">
        <is>
          <t>الرياض</t>
        </is>
      </c>
      <c r="D1916" t="inlineStr">
        <is>
          <t>كلا الفترتين</t>
        </is>
      </c>
      <c r="E1916" t="n">
        <v>1540</v>
      </c>
      <c r="F1916" t="b">
        <v>0</v>
      </c>
      <c r="G1916">
        <f>HYPERLINK("https://www.google.com/maps/search/?api=1&amp;query=24.7584119,46.70393947", "View Map")</f>
        <v/>
      </c>
    </row>
    <row r="1917">
      <c r="A1917" t="inlineStr">
        <is>
          <t xml:space="preserve">   مسجد عايض فالح البدراني .</t>
        </is>
      </c>
      <c r="B1917" t="inlineStr">
        <is>
          <t>KFM2020660046494</t>
        </is>
      </c>
      <c r="C1917" t="inlineStr">
        <is>
          <t>الرياض</t>
        </is>
      </c>
      <c r="D1917" t="inlineStr">
        <is>
          <t>كلا الفترتين</t>
        </is>
      </c>
      <c r="E1917" t="n">
        <v>1540</v>
      </c>
      <c r="F1917" t="b">
        <v>1</v>
      </c>
      <c r="G1917">
        <f>HYPERLINK("https://www.google.com/maps/search/?api=1&amp;query=24.82283934,46.74173806", "View Map")</f>
        <v/>
      </c>
    </row>
    <row r="1918">
      <c r="A1918" t="inlineStr">
        <is>
          <t>مسجد القرقرى .</t>
        </is>
      </c>
      <c r="B1918" t="inlineStr">
        <is>
          <t>KFM2020660099024</t>
        </is>
      </c>
      <c r="C1918" t="inlineStr">
        <is>
          <t>الرياض</t>
        </is>
      </c>
      <c r="D1918" t="inlineStr">
        <is>
          <t>كلا الفترتين</t>
        </is>
      </c>
      <c r="E1918" t="n">
        <v>1539</v>
      </c>
      <c r="F1918" t="b">
        <v>0</v>
      </c>
      <c r="G1918">
        <f>HYPERLINK("https://www.google.com/maps/search/?api=1&amp;query=24.61495971,46.69850173", "View Map")</f>
        <v/>
      </c>
    </row>
    <row r="1919">
      <c r="A1919" t="inlineStr">
        <is>
          <t xml:space="preserve">   مساجد .</t>
        </is>
      </c>
      <c r="B1919" t="inlineStr">
        <is>
          <t>KFM2020660173719</t>
        </is>
      </c>
      <c r="C1919" t="inlineStr">
        <is>
          <t>الرياض</t>
        </is>
      </c>
      <c r="D1919" t="inlineStr">
        <is>
          <t>كلا الفترتين</t>
        </is>
      </c>
      <c r="E1919" t="n">
        <v>1538</v>
      </c>
      <c r="F1919" t="b">
        <v>0</v>
      </c>
      <c r="G1919">
        <f>HYPERLINK("https://www.google.com/maps/search/?api=1&amp;query=24.71129652,46.6781532", "View Map")</f>
        <v/>
      </c>
    </row>
    <row r="1920">
      <c r="A1920" t="inlineStr">
        <is>
          <t xml:space="preserve">   مسجد الشيخ عبدالله الخليفي .</t>
        </is>
      </c>
      <c r="B1920" t="inlineStr">
        <is>
          <t>KFM2020660162805</t>
        </is>
      </c>
      <c r="C1920" t="inlineStr">
        <is>
          <t>الرياض</t>
        </is>
      </c>
      <c r="D1920" t="inlineStr">
        <is>
          <t>كلا الفترتين</t>
        </is>
      </c>
      <c r="E1920" t="n">
        <v>1538</v>
      </c>
      <c r="F1920" t="b">
        <v>0</v>
      </c>
      <c r="G1920">
        <f>HYPERLINK("https://www.google.com/maps/search/?api=1&amp;query=24.57125773,46.83668385", "View Map")</f>
        <v/>
      </c>
    </row>
    <row r="1921">
      <c r="A1921" t="inlineStr">
        <is>
          <t>مسجد محمد الشعيبى .</t>
        </is>
      </c>
      <c r="B1921" t="inlineStr">
        <is>
          <t>KFM2020660096481</t>
        </is>
      </c>
      <c r="C1921" t="inlineStr">
        <is>
          <t>الرياض</t>
        </is>
      </c>
      <c r="D1921" t="inlineStr">
        <is>
          <t>كلا الفترتين</t>
        </is>
      </c>
      <c r="E1921" t="n">
        <v>1537</v>
      </c>
      <c r="F1921" t="b">
        <v>0</v>
      </c>
      <c r="G1921">
        <f>HYPERLINK("https://www.google.com/maps/search/?api=1&amp;query=24.59614393,46.67438373", "View Map")</f>
        <v/>
      </c>
    </row>
    <row r="1922">
      <c r="A1922" t="inlineStr">
        <is>
          <t xml:space="preserve">   مسجد حي الرمال .</t>
        </is>
      </c>
      <c r="B1922" t="inlineStr">
        <is>
          <t>KFM2020660174358</t>
        </is>
      </c>
      <c r="C1922" t="inlineStr">
        <is>
          <t>الرياض</t>
        </is>
      </c>
      <c r="D1922" t="inlineStr">
        <is>
          <t>مساءا</t>
        </is>
      </c>
      <c r="E1922" t="n">
        <v>1535</v>
      </c>
      <c r="F1922" t="b">
        <v>1</v>
      </c>
      <c r="G1922">
        <f>HYPERLINK("https://www.google.com/maps/search/?api=1&amp;query=24.91030407,46.80917563", "View Map")</f>
        <v/>
      </c>
    </row>
    <row r="1923">
      <c r="A1923" t="inlineStr">
        <is>
          <t xml:space="preserve">   مسجدمعهد الاداره العامه .</t>
        </is>
      </c>
      <c r="B1923" t="inlineStr">
        <is>
          <t>KFM2120660242785</t>
        </is>
      </c>
      <c r="C1923" t="inlineStr">
        <is>
          <t>الرياض</t>
        </is>
      </c>
      <c r="D1923" t="inlineStr">
        <is>
          <t>كلا الفترتين</t>
        </is>
      </c>
      <c r="E1923" t="n">
        <v>1534</v>
      </c>
      <c r="F1923" t="b">
        <v>1</v>
      </c>
      <c r="G1923">
        <f>HYPERLINK("https://www.google.com/maps/search/?api=1&amp;query=24.66839484,46.72540828", "View Map")</f>
        <v/>
      </c>
    </row>
    <row r="1924">
      <c r="A1924" t="inlineStr">
        <is>
          <t xml:space="preserve">   مسجد  الصرامى .</t>
        </is>
      </c>
      <c r="B1924" t="inlineStr">
        <is>
          <t>KFM2020660178222</t>
        </is>
      </c>
      <c r="C1924" t="inlineStr">
        <is>
          <t>الرياض</t>
        </is>
      </c>
      <c r="D1924" t="inlineStr">
        <is>
          <t>كلا الفترتين</t>
        </is>
      </c>
      <c r="E1924" t="n">
        <v>1532</v>
      </c>
      <c r="F1924" t="b">
        <v>1</v>
      </c>
      <c r="G1924">
        <f>HYPERLINK("https://www.google.com/maps/search/?api=1&amp;query=24.78943627,46.74272561", "View Map")</f>
        <v/>
      </c>
    </row>
    <row r="1925">
      <c r="A1925" t="inlineStr">
        <is>
          <t xml:space="preserve">   جامع فالح عبدالرحمن الحارثي .</t>
        </is>
      </c>
      <c r="B1925" t="inlineStr">
        <is>
          <t>KFM2120660239074</t>
        </is>
      </c>
      <c r="C1925" t="inlineStr">
        <is>
          <t>الرياض</t>
        </is>
      </c>
      <c r="D1925" t="inlineStr">
        <is>
          <t>كلا الفترتين</t>
        </is>
      </c>
      <c r="E1925" t="n">
        <v>1530</v>
      </c>
      <c r="F1925" t="b">
        <v>1</v>
      </c>
      <c r="G1925">
        <f>HYPERLINK("https://www.google.com/maps/search/?api=1&amp;query=24.58435564,46.76394926", "View Map")</f>
        <v/>
      </c>
    </row>
    <row r="1926">
      <c r="A1926" t="inlineStr">
        <is>
          <t xml:space="preserve">   مسجد الامير /نواف بن فيصل بن فهد .</t>
        </is>
      </c>
      <c r="B1926" t="inlineStr">
        <is>
          <t>KFM2120660240914</t>
        </is>
      </c>
      <c r="C1926" t="inlineStr">
        <is>
          <t>الرياض</t>
        </is>
      </c>
      <c r="D1926" t="inlineStr">
        <is>
          <t>كلا الفترتين</t>
        </is>
      </c>
      <c r="E1926" t="n">
        <v>1530</v>
      </c>
      <c r="F1926" t="b">
        <v>1</v>
      </c>
      <c r="G1926">
        <f>HYPERLINK("https://www.google.com/maps/search/?api=1&amp;query=24.77815541,46.69634206", "View Map")</f>
        <v/>
      </c>
    </row>
    <row r="1927">
      <c r="A1927" t="inlineStr">
        <is>
          <t xml:space="preserve">      مسجد   محمد   صالح    العتيبي .</t>
        </is>
      </c>
      <c r="B1927" t="inlineStr">
        <is>
          <t>KFM2020660174810</t>
        </is>
      </c>
      <c r="C1927" t="inlineStr">
        <is>
          <t>الرياض</t>
        </is>
      </c>
      <c r="D1927" t="inlineStr">
        <is>
          <t>كلا الفترتين</t>
        </is>
      </c>
      <c r="E1927" t="n">
        <v>1528</v>
      </c>
      <c r="F1927" t="b">
        <v>1</v>
      </c>
      <c r="G1927">
        <f>HYPERLINK("https://www.google.com/maps/search/?api=1&amp;query=24.80981262,46.74898654", "View Map")</f>
        <v/>
      </c>
    </row>
    <row r="1928">
      <c r="A1928" t="inlineStr">
        <is>
          <t>ﻤﺴﺎﺠﺩ .</t>
        </is>
      </c>
      <c r="B1928" t="inlineStr">
        <is>
          <t>KFM2020660232677</t>
        </is>
      </c>
      <c r="C1928" t="inlineStr">
        <is>
          <t>الرياض</t>
        </is>
      </c>
      <c r="D1928" t="inlineStr">
        <is>
          <t>كلا الفترتين</t>
        </is>
      </c>
      <c r="E1928" t="n">
        <v>1527</v>
      </c>
      <c r="F1928" t="b">
        <v>0</v>
      </c>
      <c r="G1928">
        <f>HYPERLINK("https://www.google.com/maps/search/?api=1&amp;query=24.86569964,46.63802922", "View Map")</f>
        <v/>
      </c>
    </row>
    <row r="1929">
      <c r="A1929" t="inlineStr">
        <is>
          <t>ﻤﺴﺎﺠﺩ .</t>
        </is>
      </c>
      <c r="B1929" t="inlineStr">
        <is>
          <t>MMF2420601024250</t>
        </is>
      </c>
      <c r="C1929" t="inlineStr">
        <is>
          <t>الرياض</t>
        </is>
      </c>
      <c r="D1929" t="inlineStr">
        <is>
          <t>كلا الفترتين</t>
        </is>
      </c>
      <c r="E1929" t="n">
        <v>1526</v>
      </c>
      <c r="F1929" t="b">
        <v>0</v>
      </c>
      <c r="G1929">
        <f>HYPERLINK("https://www.google.com/maps/search/?api=1&amp;query=24.89741797,46.95056237", "View Map")</f>
        <v/>
      </c>
    </row>
    <row r="1930">
      <c r="A1930" t="inlineStr">
        <is>
          <t xml:space="preserve">      مسجد عبدالله الشدي .</t>
        </is>
      </c>
      <c r="B1930" t="inlineStr">
        <is>
          <t>KFM2020660152900</t>
        </is>
      </c>
      <c r="C1930" t="inlineStr">
        <is>
          <t>الدرعية</t>
        </is>
      </c>
      <c r="D1930" t="inlineStr">
        <is>
          <t>كلا الفترتين</t>
        </is>
      </c>
      <c r="E1930" t="n">
        <v>1523</v>
      </c>
      <c r="F1930" t="b">
        <v>0</v>
      </c>
      <c r="G1930">
        <f>HYPERLINK("https://www.google.com/maps/search/?api=1&amp;query=24.7510672,46.57207136", "View Map")</f>
        <v/>
      </c>
    </row>
    <row r="1931">
      <c r="A1931" t="inlineStr">
        <is>
          <t xml:space="preserve">   مسجد محمد بن عبدالرحمن بن خميس .</t>
        </is>
      </c>
      <c r="B1931" t="inlineStr">
        <is>
          <t>KFM2120660287252</t>
        </is>
      </c>
      <c r="C1931" t="inlineStr">
        <is>
          <t>الرياض</t>
        </is>
      </c>
      <c r="D1931" t="inlineStr">
        <is>
          <t>كلا الفترتين</t>
        </is>
      </c>
      <c r="E1931" t="n">
        <v>1523</v>
      </c>
      <c r="F1931" t="b">
        <v>0</v>
      </c>
      <c r="G1931">
        <f>HYPERLINK("https://www.google.com/maps/search/?api=1&amp;query=24.61911409,46.7281169", "View Map")</f>
        <v/>
      </c>
    </row>
    <row r="1932">
      <c r="A1932" t="inlineStr">
        <is>
          <t>ﻤﺴﺎﺠﺩ .</t>
        </is>
      </c>
      <c r="B1932" t="inlineStr">
        <is>
          <t>KFM2020660232977</t>
        </is>
      </c>
      <c r="C1932" t="inlineStr">
        <is>
          <t>الرياض</t>
        </is>
      </c>
      <c r="D1932" t="inlineStr">
        <is>
          <t>كلا الفترتين</t>
        </is>
      </c>
      <c r="E1932" t="n">
        <v>1523</v>
      </c>
      <c r="F1932" t="b">
        <v>0</v>
      </c>
      <c r="G1932">
        <f>HYPERLINK("https://www.google.com/maps/search/?api=1&amp;query=24.80633147,46.8144621", "View Map")</f>
        <v/>
      </c>
    </row>
    <row r="1933">
      <c r="A1933" t="inlineStr">
        <is>
          <t>مسجد بلال  بن رباح .</t>
        </is>
      </c>
      <c r="B1933" t="inlineStr">
        <is>
          <t>KFM2020660142403</t>
        </is>
      </c>
      <c r="C1933" t="inlineStr">
        <is>
          <t>الرياض</t>
        </is>
      </c>
      <c r="D1933" t="inlineStr">
        <is>
          <t>كلا الفترتين</t>
        </is>
      </c>
      <c r="E1933" t="n">
        <v>1523</v>
      </c>
      <c r="F1933" t="b">
        <v>1</v>
      </c>
      <c r="G1933">
        <f>HYPERLINK("https://www.google.com/maps/search/?api=1&amp;query=24.5900787,46.60434661", "View Map")</f>
        <v/>
      </c>
    </row>
    <row r="1934">
      <c r="A1934" t="inlineStr">
        <is>
          <t xml:space="preserve">   مسجد صالح الأطرم .</t>
        </is>
      </c>
      <c r="B1934" t="inlineStr">
        <is>
          <t>KFM2020660132578</t>
        </is>
      </c>
      <c r="C1934" t="inlineStr">
        <is>
          <t>الرياض</t>
        </is>
      </c>
      <c r="D1934" t="inlineStr">
        <is>
          <t>كلا الفترتين</t>
        </is>
      </c>
      <c r="E1934" t="n">
        <v>1522</v>
      </c>
      <c r="F1934" t="b">
        <v>1</v>
      </c>
      <c r="G1934">
        <f>HYPERLINK("https://www.google.com/maps/search/?api=1&amp;query=24.71158805,46.81123478", "View Map")</f>
        <v/>
      </c>
    </row>
    <row r="1935">
      <c r="A1935" t="inlineStr">
        <is>
          <t xml:space="preserve">   مسجد علي ابي طالب .</t>
        </is>
      </c>
      <c r="B1935" t="inlineStr">
        <is>
          <t>KFM2020660162191</t>
        </is>
      </c>
      <c r="C1935" t="inlineStr">
        <is>
          <t>الرياض</t>
        </is>
      </c>
      <c r="D1935" t="inlineStr">
        <is>
          <t>كلا الفترتين</t>
        </is>
      </c>
      <c r="E1935" t="n">
        <v>1522</v>
      </c>
      <c r="F1935" t="b">
        <v>1</v>
      </c>
      <c r="G1935">
        <f>HYPERLINK("https://www.google.com/maps/search/?api=1&amp;query=24.57467219,46.7800645", "View Map")</f>
        <v/>
      </c>
    </row>
    <row r="1936">
      <c r="A1936" t="inlineStr">
        <is>
          <t>.    مسجد      الحمود .</t>
        </is>
      </c>
      <c r="B1936" t="inlineStr">
        <is>
          <t>KFM2020660096063</t>
        </is>
      </c>
      <c r="C1936" t="inlineStr">
        <is>
          <t>الرياض</t>
        </is>
      </c>
      <c r="D1936" t="inlineStr">
        <is>
          <t>كلا الفترتين</t>
        </is>
      </c>
      <c r="E1936" t="n">
        <v>1522</v>
      </c>
      <c r="F1936" t="b">
        <v>0</v>
      </c>
      <c r="G1936">
        <f>HYPERLINK("https://www.google.com/maps/search/?api=1&amp;query=24.56448392,46.69473232", "View Map")</f>
        <v/>
      </c>
    </row>
    <row r="1937">
      <c r="A1937" t="inlineStr">
        <is>
          <t>ﻤﺴﺎﺠﺩ .</t>
        </is>
      </c>
      <c r="B1937" t="inlineStr">
        <is>
          <t>KFM2120660302489</t>
        </is>
      </c>
      <c r="C1937" t="inlineStr">
        <is>
          <t>الرياض</t>
        </is>
      </c>
      <c r="D1937" t="inlineStr">
        <is>
          <t>كلا الفترتين</t>
        </is>
      </c>
      <c r="E1937" t="n">
        <v>1521</v>
      </c>
      <c r="F1937" t="b">
        <v>0</v>
      </c>
      <c r="G1937">
        <f>HYPERLINK("https://www.google.com/maps/search/?api=1&amp;query=24.84628117,46.7715538", "View Map")</f>
        <v/>
      </c>
    </row>
    <row r="1938">
      <c r="A1938" t="inlineStr">
        <is>
          <t>مسجد عمر بن خطاب .</t>
        </is>
      </c>
      <c r="B1938" t="inlineStr">
        <is>
          <t>KFM2020660200480</t>
        </is>
      </c>
      <c r="C1938" t="inlineStr">
        <is>
          <t>الرياض</t>
        </is>
      </c>
      <c r="D1938" t="inlineStr">
        <is>
          <t>كلا الفترتين</t>
        </is>
      </c>
      <c r="E1938" t="n">
        <v>1521</v>
      </c>
      <c r="F1938" t="b">
        <v>0</v>
      </c>
      <c r="G1938">
        <f>HYPERLINK("https://www.google.com/maps/search/?api=1&amp;query=24.54442105,46.71168736", "View Map")</f>
        <v/>
      </c>
    </row>
    <row r="1939">
      <c r="A1939" t="inlineStr">
        <is>
          <t xml:space="preserve">   مساجد .</t>
        </is>
      </c>
      <c r="B1939" t="inlineStr">
        <is>
          <t>KFM2020660190966</t>
        </is>
      </c>
      <c r="C1939" t="inlineStr">
        <is>
          <t>الرياض</t>
        </is>
      </c>
      <c r="D1939" t="inlineStr">
        <is>
          <t>كلا الفترتين</t>
        </is>
      </c>
      <c r="E1939" t="n">
        <v>1519</v>
      </c>
      <c r="F1939" t="b">
        <v>0</v>
      </c>
      <c r="G1939">
        <f>HYPERLINK("https://www.google.com/maps/search/?api=1&amp;query=24.77248273,46.78830519", "View Map")</f>
        <v/>
      </c>
    </row>
    <row r="1940">
      <c r="A1940" t="inlineStr">
        <is>
          <t xml:space="preserve">   مسجد حي النسيم .</t>
        </is>
      </c>
      <c r="B1940" t="inlineStr">
        <is>
          <t>KFM2020660130962</t>
        </is>
      </c>
      <c r="C1940" t="inlineStr">
        <is>
          <t>الرياض</t>
        </is>
      </c>
      <c r="D1940" t="inlineStr">
        <is>
          <t>كلا الفترتين</t>
        </is>
      </c>
      <c r="E1940" t="n">
        <v>1519</v>
      </c>
      <c r="F1940" t="b">
        <v>0</v>
      </c>
      <c r="G1940">
        <f>HYPERLINK("https://www.google.com/maps/search/?api=1&amp;query=24.7325,46.8442", "View Map")</f>
        <v/>
      </c>
    </row>
    <row r="1941">
      <c r="A1941" t="inlineStr">
        <is>
          <t>مسجد/نورة  عبدالرحمن .</t>
        </is>
      </c>
      <c r="B1941" t="inlineStr">
        <is>
          <t>KFM2020660198318</t>
        </is>
      </c>
      <c r="C1941" t="inlineStr">
        <is>
          <t>الرياض</t>
        </is>
      </c>
      <c r="D1941" t="inlineStr">
        <is>
          <t>كلا الفترتين</t>
        </is>
      </c>
      <c r="E1941" t="n">
        <v>1519</v>
      </c>
      <c r="F1941" t="b">
        <v>0</v>
      </c>
      <c r="G1941">
        <f>HYPERLINK("https://www.google.com/maps/search/?api=1&amp;query=24.62950581,46.67881737", "View Map")</f>
        <v/>
      </c>
    </row>
    <row r="1942">
      <c r="A1942" t="inlineStr">
        <is>
          <t>ﻤﺴﺎﺠﺩ .</t>
        </is>
      </c>
      <c r="B1942" t="inlineStr">
        <is>
          <t>KFM2020660047271</t>
        </is>
      </c>
      <c r="C1942" t="inlineStr">
        <is>
          <t>الرياض</t>
        </is>
      </c>
      <c r="D1942" t="inlineStr">
        <is>
          <t>كلا الفترتين</t>
        </is>
      </c>
      <c r="E1942" t="n">
        <v>1519</v>
      </c>
      <c r="F1942" t="b">
        <v>0</v>
      </c>
      <c r="G1942">
        <f>HYPERLINK("https://www.google.com/maps/search/?api=1&amp;query=24.86428164,46.64696819", "View Map")</f>
        <v/>
      </c>
    </row>
    <row r="1943">
      <c r="A1943" t="inlineStr">
        <is>
          <t xml:space="preserve">    مسجد عبيد الله محمد العبيد الله .</t>
        </is>
      </c>
      <c r="B1943" t="inlineStr">
        <is>
          <t>KFM2020660054738</t>
        </is>
      </c>
      <c r="C1943" t="inlineStr">
        <is>
          <t>الرياض</t>
        </is>
      </c>
      <c r="D1943" t="inlineStr">
        <is>
          <t>كلا الفترتين</t>
        </is>
      </c>
      <c r="E1943" t="n">
        <v>1518</v>
      </c>
      <c r="F1943" t="b">
        <v>0</v>
      </c>
      <c r="G1943">
        <f>HYPERLINK("https://www.google.com/maps/search/?api=1&amp;query=24.79740407,46.80360029", "View Map")</f>
        <v/>
      </c>
    </row>
    <row r="1944">
      <c r="A1944" t="inlineStr">
        <is>
          <t xml:space="preserve">   مسجد حي السلام .</t>
        </is>
      </c>
      <c r="B1944" t="inlineStr">
        <is>
          <t>KFM2120660239377</t>
        </is>
      </c>
      <c r="C1944" t="inlineStr">
        <is>
          <t>الرياض</t>
        </is>
      </c>
      <c r="D1944" t="inlineStr">
        <is>
          <t>كلا الفترتين</t>
        </is>
      </c>
      <c r="E1944" t="n">
        <v>1517</v>
      </c>
      <c r="F1944" t="b">
        <v>1</v>
      </c>
      <c r="G1944">
        <f>HYPERLINK("https://www.google.com/maps/search/?api=1&amp;query=24.70929126,46.81763592", "View Map")</f>
        <v/>
      </c>
    </row>
    <row r="1945">
      <c r="A1945" t="inlineStr">
        <is>
          <t>-  وزارة الشؤون الاسلا مية   -   مسجد .</t>
        </is>
      </c>
      <c r="B1945" t="inlineStr">
        <is>
          <t>KFM2020660015286</t>
        </is>
      </c>
      <c r="C1945" t="inlineStr">
        <is>
          <t>الرياض</t>
        </is>
      </c>
      <c r="D1945" t="inlineStr">
        <is>
          <t>كلا الفترتين</t>
        </is>
      </c>
      <c r="E1945" t="n">
        <v>1516</v>
      </c>
      <c r="F1945" t="b">
        <v>0</v>
      </c>
      <c r="G1945">
        <f>HYPERLINK("https://www.google.com/maps/search/?api=1&amp;query=24.56838085,46.63753815", "View Map")</f>
        <v/>
      </c>
    </row>
    <row r="1946">
      <c r="A1946" t="inlineStr">
        <is>
          <t xml:space="preserve">   مسجد الروابي .</t>
        </is>
      </c>
      <c r="B1946" t="inlineStr">
        <is>
          <t>KFM2020660232842</t>
        </is>
      </c>
      <c r="C1946" t="inlineStr">
        <is>
          <t>الرياض</t>
        </is>
      </c>
      <c r="D1946" t="inlineStr">
        <is>
          <t>كلا الفترتين</t>
        </is>
      </c>
      <c r="E1946" t="n">
        <v>1516</v>
      </c>
      <c r="F1946" t="b">
        <v>1</v>
      </c>
      <c r="G1946">
        <f>HYPERLINK("https://www.google.com/maps/search/?api=1&amp;query=24.69898014,46.78955452", "View Map")</f>
        <v/>
      </c>
    </row>
    <row r="1947">
      <c r="A1947" t="inlineStr">
        <is>
          <t>مسجد  /   طلحه       عبيدالله .</t>
        </is>
      </c>
      <c r="B1947" t="inlineStr">
        <is>
          <t>KFM2020660166792</t>
        </is>
      </c>
      <c r="C1947" t="inlineStr">
        <is>
          <t>الرياض</t>
        </is>
      </c>
      <c r="D1947" t="inlineStr">
        <is>
          <t>كلا الفترتين</t>
        </is>
      </c>
      <c r="E1947" t="n">
        <v>1516</v>
      </c>
      <c r="F1947" t="b">
        <v>0</v>
      </c>
      <c r="G1947">
        <f>HYPERLINK("https://www.google.com/maps/search/?api=1&amp;query=24.55588667,46.69380051", "View Map")</f>
        <v/>
      </c>
    </row>
    <row r="1948">
      <c r="A1948" t="inlineStr">
        <is>
          <t xml:space="preserve">   وزارة الشئون الاسلامية والاوقاف .</t>
        </is>
      </c>
      <c r="B1948" t="inlineStr">
        <is>
          <t>KFM2020660197186</t>
        </is>
      </c>
      <c r="C1948" t="inlineStr">
        <is>
          <t>الرياض</t>
        </is>
      </c>
      <c r="D1948" t="inlineStr">
        <is>
          <t>كلا الفترتين</t>
        </is>
      </c>
      <c r="E1948" t="n">
        <v>1515</v>
      </c>
      <c r="F1948" t="b">
        <v>0</v>
      </c>
      <c r="G1948">
        <f>HYPERLINK("https://www.google.com/maps/search/?api=1&amp;query=24.64007348,46.54325791", "View Map")</f>
        <v/>
      </c>
    </row>
    <row r="1949">
      <c r="A1949" t="inlineStr">
        <is>
          <t xml:space="preserve">   مسجد      حي       الخليج .</t>
        </is>
      </c>
      <c r="B1949" t="inlineStr">
        <is>
          <t>KFM2020660047189</t>
        </is>
      </c>
      <c r="C1949" t="inlineStr">
        <is>
          <t>الرياض</t>
        </is>
      </c>
      <c r="D1949" t="inlineStr">
        <is>
          <t>كلا الفترتين</t>
        </is>
      </c>
      <c r="E1949" t="n">
        <v>1515</v>
      </c>
      <c r="F1949" t="b">
        <v>0</v>
      </c>
      <c r="G1949">
        <f>HYPERLINK("https://www.google.com/maps/search/?api=1&amp;query=24.77537434,46.7918322", "View Map")</f>
        <v/>
      </c>
    </row>
    <row r="1950">
      <c r="A1950" t="inlineStr">
        <is>
          <t xml:space="preserve">   مسجدابن شفلوت .</t>
        </is>
      </c>
      <c r="B1950" t="inlineStr">
        <is>
          <t>KFM2120660276277</t>
        </is>
      </c>
      <c r="C1950" t="inlineStr">
        <is>
          <t>الرياض</t>
        </is>
      </c>
      <c r="D1950" t="inlineStr">
        <is>
          <t>كلا الفترتين</t>
        </is>
      </c>
      <c r="E1950" t="n">
        <v>1515</v>
      </c>
      <c r="F1950" t="b">
        <v>0</v>
      </c>
      <c r="G1950">
        <f>HYPERLINK("https://www.google.com/maps/search/?api=1&amp;query=24.57140106,46.7823948", "View Map")</f>
        <v/>
      </c>
    </row>
    <row r="1951">
      <c r="A1951" t="inlineStr">
        <is>
          <t xml:space="preserve">   مسجد حى الصالحيه .</t>
        </is>
      </c>
      <c r="B1951" t="inlineStr">
        <is>
          <t>KFM2120660249419</t>
        </is>
      </c>
      <c r="C1951" t="inlineStr">
        <is>
          <t>الرياض</t>
        </is>
      </c>
      <c r="D1951" t="inlineStr">
        <is>
          <t>كلا الفترتين</t>
        </is>
      </c>
      <c r="E1951" t="n">
        <v>1513</v>
      </c>
      <c r="F1951" t="b">
        <v>0</v>
      </c>
      <c r="G1951">
        <f>HYPERLINK("https://www.google.com/maps/search/?api=1&amp;query=24.63220534,46.73784733", "View Map")</f>
        <v/>
      </c>
    </row>
    <row r="1952">
      <c r="A1952" t="inlineStr">
        <is>
          <t>مسجد  / سعد بن معاذ .</t>
        </is>
      </c>
      <c r="B1952" t="inlineStr">
        <is>
          <t>KFM2020660018995</t>
        </is>
      </c>
      <c r="C1952" t="inlineStr">
        <is>
          <t>الرياض</t>
        </is>
      </c>
      <c r="D1952" t="inlineStr">
        <is>
          <t>كلا الفترتين</t>
        </is>
      </c>
      <c r="E1952" t="n">
        <v>1512</v>
      </c>
      <c r="F1952" t="b">
        <v>1</v>
      </c>
      <c r="G1952">
        <f>HYPERLINK("https://www.google.com/maps/search/?api=1&amp;query=24.57250535,46.65660856", "View Map")</f>
        <v/>
      </c>
    </row>
    <row r="1953">
      <c r="A1953" t="inlineStr">
        <is>
          <t xml:space="preserve">   مسجد حي السعادة .</t>
        </is>
      </c>
      <c r="B1953" t="inlineStr">
        <is>
          <t>KFM2120660242162</t>
        </is>
      </c>
      <c r="C1953" t="inlineStr">
        <is>
          <t>الرياض</t>
        </is>
      </c>
      <c r="D1953" t="inlineStr">
        <is>
          <t>كلا الفترتين</t>
        </is>
      </c>
      <c r="E1953" t="n">
        <v>1512</v>
      </c>
      <c r="F1953" t="b">
        <v>0</v>
      </c>
      <c r="G1953">
        <f>HYPERLINK("https://www.google.com/maps/search/?api=1&amp;query=24.68521732,46.82861433", "View Map")</f>
        <v/>
      </c>
    </row>
    <row r="1954">
      <c r="A1954" t="inlineStr">
        <is>
          <t>مساجد .</t>
        </is>
      </c>
      <c r="B1954" t="inlineStr">
        <is>
          <t>KFM2120660257828</t>
        </is>
      </c>
      <c r="C1954" t="inlineStr">
        <is>
          <t>الرياض</t>
        </is>
      </c>
      <c r="D1954" t="inlineStr">
        <is>
          <t>كلا الفترتين</t>
        </is>
      </c>
      <c r="E1954" t="n">
        <v>1511</v>
      </c>
      <c r="F1954" t="b">
        <v>1</v>
      </c>
      <c r="G1954">
        <f>HYPERLINK("https://www.google.com/maps/search/?api=1&amp;query=24.76508484,46.6821018", "View Map")</f>
        <v/>
      </c>
    </row>
    <row r="1955">
      <c r="A1955" t="inlineStr">
        <is>
          <t>ﻤﺴﺎﺠﺩ .</t>
        </is>
      </c>
      <c r="B1955" t="inlineStr">
        <is>
          <t>KFM2020660104892</t>
        </is>
      </c>
      <c r="C1955" t="inlineStr">
        <is>
          <t>الرياض</t>
        </is>
      </c>
      <c r="D1955" t="inlineStr">
        <is>
          <t>كلا الفترتين</t>
        </is>
      </c>
      <c r="E1955" t="n">
        <v>1511</v>
      </c>
      <c r="F1955" t="b">
        <v>0</v>
      </c>
      <c r="G1955">
        <f>HYPERLINK("https://www.google.com/maps/search/?api=1&amp;query=24.8822,46.6197", "View Map")</f>
        <v/>
      </c>
    </row>
    <row r="1956">
      <c r="A1956" t="inlineStr">
        <is>
          <t xml:space="preserve">   مسجد بحي الدار البيضاء .</t>
        </is>
      </c>
      <c r="B1956" t="inlineStr">
        <is>
          <t>KFM2120660259040</t>
        </is>
      </c>
      <c r="C1956" t="inlineStr">
        <is>
          <t>الرياض</t>
        </is>
      </c>
      <c r="D1956" t="inlineStr">
        <is>
          <t>كلا الفترتين</t>
        </is>
      </c>
      <c r="E1956" t="n">
        <v>1510</v>
      </c>
      <c r="F1956" t="b">
        <v>1</v>
      </c>
      <c r="G1956">
        <f>HYPERLINK("https://www.google.com/maps/search/?api=1&amp;query=24.56892928,46.80770772", "View Map")</f>
        <v/>
      </c>
    </row>
    <row r="1957">
      <c r="A1957" t="inlineStr">
        <is>
          <t xml:space="preserve">   مسجد نشاط .</t>
        </is>
      </c>
      <c r="B1957" t="inlineStr">
        <is>
          <t>KFM2120660286827</t>
        </is>
      </c>
      <c r="C1957" t="inlineStr">
        <is>
          <t>الرياض</t>
        </is>
      </c>
      <c r="D1957" t="inlineStr">
        <is>
          <t>كلا الفترتين</t>
        </is>
      </c>
      <c r="E1957" t="n">
        <v>1510</v>
      </c>
      <c r="F1957" t="b">
        <v>0</v>
      </c>
      <c r="G1957">
        <f>HYPERLINK("https://www.google.com/maps/search/?api=1&amp;query=24.63378414,46.7244641", "View Map")</f>
        <v/>
      </c>
    </row>
    <row r="1958">
      <c r="A1958" t="inlineStr">
        <is>
          <t xml:space="preserve">   مسجد جامع بن عبدالوهاب .</t>
        </is>
      </c>
      <c r="B1958" t="inlineStr">
        <is>
          <t>KFM2120660235680</t>
        </is>
      </c>
      <c r="C1958" t="inlineStr">
        <is>
          <t>الرياض</t>
        </is>
      </c>
      <c r="D1958" t="inlineStr">
        <is>
          <t>كلا الفترتين</t>
        </is>
      </c>
      <c r="E1958" t="n">
        <v>1510</v>
      </c>
      <c r="F1958" t="b">
        <v>0</v>
      </c>
      <c r="G1958">
        <f>HYPERLINK("https://www.google.com/maps/search/?api=1&amp;query=24.5967444,46.77607166", "View Map")</f>
        <v/>
      </c>
    </row>
    <row r="1959">
      <c r="A1959" t="inlineStr">
        <is>
          <t>ﻤﺴﺎﺠﺩ .</t>
        </is>
      </c>
      <c r="B1959" t="inlineStr">
        <is>
          <t>KFM2020660208070</t>
        </is>
      </c>
      <c r="C1959" t="inlineStr">
        <is>
          <t>الدرعية</t>
        </is>
      </c>
      <c r="D1959" t="inlineStr">
        <is>
          <t>كلا الفترتين</t>
        </is>
      </c>
      <c r="E1959" t="n">
        <v>1510</v>
      </c>
      <c r="F1959" t="b">
        <v>0</v>
      </c>
      <c r="G1959">
        <f>HYPERLINK("https://www.google.com/maps/search/?api=1&amp;query=24.73986,46.51493", "View Map")</f>
        <v/>
      </c>
    </row>
    <row r="1960">
      <c r="A1960" t="inlineStr">
        <is>
          <t>مسجد العكرش .</t>
        </is>
      </c>
      <c r="B1960" t="inlineStr">
        <is>
          <t>KFM2020660098725</t>
        </is>
      </c>
      <c r="C1960" t="inlineStr">
        <is>
          <t>الرياض</t>
        </is>
      </c>
      <c r="D1960" t="inlineStr">
        <is>
          <t>كلا الفترتين</t>
        </is>
      </c>
      <c r="E1960" t="n">
        <v>1509</v>
      </c>
      <c r="F1960" t="b">
        <v>1</v>
      </c>
      <c r="G1960">
        <f>HYPERLINK("https://www.google.com/maps/search/?api=1&amp;query=24.59329185,46.73703888", "View Map")</f>
        <v/>
      </c>
    </row>
    <row r="1961">
      <c r="A1961" t="inlineStr">
        <is>
          <t xml:space="preserve">   مسجدحي  اشبيليا   الا مام والمؤذن .</t>
        </is>
      </c>
      <c r="B1961" t="inlineStr">
        <is>
          <t>KFM2020660057247</t>
        </is>
      </c>
      <c r="C1961" t="inlineStr">
        <is>
          <t>الرياض</t>
        </is>
      </c>
      <c r="D1961" t="inlineStr">
        <is>
          <t>كلا الفترتين</t>
        </is>
      </c>
      <c r="E1961" t="n">
        <v>1508</v>
      </c>
      <c r="F1961" t="b">
        <v>0</v>
      </c>
      <c r="G1961">
        <f>HYPERLINK("https://www.google.com/maps/search/?api=1&amp;query=24.79765983,46.80032423", "View Map")</f>
        <v/>
      </c>
    </row>
    <row r="1962">
      <c r="A1962" t="inlineStr">
        <is>
          <t>ﻤﺴﺎﺠﺩ .</t>
        </is>
      </c>
      <c r="B1962" t="inlineStr">
        <is>
          <t>KFM2020660139819</t>
        </is>
      </c>
      <c r="C1962" t="inlineStr">
        <is>
          <t>الرياض</t>
        </is>
      </c>
      <c r="D1962" t="inlineStr">
        <is>
          <t>كلا الفترتين</t>
        </is>
      </c>
      <c r="E1962" t="n">
        <v>1508</v>
      </c>
      <c r="F1962" t="b">
        <v>0</v>
      </c>
      <c r="G1962">
        <f>HYPERLINK("https://www.google.com/maps/search/?api=1&amp;query=24.82282759,46.880381", "View Map")</f>
        <v/>
      </c>
    </row>
    <row r="1963">
      <c r="A1963" t="inlineStr">
        <is>
          <t>ﻤﺴﺎﺠﺩ .</t>
        </is>
      </c>
      <c r="B1963" t="inlineStr">
        <is>
          <t>KFM2020660202940</t>
        </is>
      </c>
      <c r="C1963" t="inlineStr">
        <is>
          <t>الرياض</t>
        </is>
      </c>
      <c r="D1963" t="inlineStr">
        <is>
          <t>كلا الفترتين</t>
        </is>
      </c>
      <c r="E1963" t="n">
        <v>1507</v>
      </c>
      <c r="F1963" t="b">
        <v>1</v>
      </c>
      <c r="G1963">
        <f>HYPERLINK("https://www.google.com/maps/search/?api=1&amp;query=24.60699733,46.52597876", "View Map")</f>
        <v/>
      </c>
    </row>
    <row r="1964">
      <c r="A1964" t="inlineStr">
        <is>
          <t xml:space="preserve">   مسجد    عمار بن   ياسر .</t>
        </is>
      </c>
      <c r="B1964" t="inlineStr">
        <is>
          <t>KFM2020660041763</t>
        </is>
      </c>
      <c r="C1964" t="inlineStr">
        <is>
          <t>الرياض</t>
        </is>
      </c>
      <c r="D1964" t="inlineStr">
        <is>
          <t>كلا الفترتين</t>
        </is>
      </c>
      <c r="E1964" t="n">
        <v>1506</v>
      </c>
      <c r="F1964" t="b">
        <v>1</v>
      </c>
      <c r="G1964">
        <f>HYPERLINK("https://www.google.com/maps/search/?api=1&amp;query=24.72690391,46.81161775", "View Map")</f>
        <v/>
      </c>
    </row>
    <row r="1965">
      <c r="A1965" t="inlineStr">
        <is>
          <t>مسجد      ابو  بكر  الصديق .</t>
        </is>
      </c>
      <c r="B1965" t="inlineStr">
        <is>
          <t>KFM2020660087451</t>
        </is>
      </c>
      <c r="C1965" t="inlineStr">
        <is>
          <t>الرياض</t>
        </is>
      </c>
      <c r="D1965" t="inlineStr">
        <is>
          <t>كلا الفترتين</t>
        </is>
      </c>
      <c r="E1965" t="n">
        <v>1506</v>
      </c>
      <c r="F1965" t="b">
        <v>0</v>
      </c>
      <c r="G1965">
        <f>HYPERLINK("https://www.google.com/maps/search/?api=1&amp;query=24.55528807,46.71076679", "View Map")</f>
        <v/>
      </c>
    </row>
    <row r="1966">
      <c r="A1966" t="inlineStr">
        <is>
          <t xml:space="preserve">   مسجد عثمان بن عفان .</t>
        </is>
      </c>
      <c r="B1966" t="inlineStr">
        <is>
          <t>KFM2020660104805</t>
        </is>
      </c>
      <c r="C1966" t="inlineStr">
        <is>
          <t>الرياض</t>
        </is>
      </c>
      <c r="D1966" t="inlineStr">
        <is>
          <t>كلا الفترتين</t>
        </is>
      </c>
      <c r="E1966" t="n">
        <v>1506</v>
      </c>
      <c r="F1966" t="b">
        <v>0</v>
      </c>
      <c r="G1966">
        <f>HYPERLINK("https://www.google.com/maps/search/?api=1&amp;query=24.79867649,46.75141039", "View Map")</f>
        <v/>
      </c>
    </row>
    <row r="1967">
      <c r="A1967" t="inlineStr">
        <is>
          <t xml:space="preserve">   مسجد البابطين .</t>
        </is>
      </c>
      <c r="B1967" t="inlineStr">
        <is>
          <t>KFM2020660054861</t>
        </is>
      </c>
      <c r="C1967" t="inlineStr">
        <is>
          <t>الرياض</t>
        </is>
      </c>
      <c r="D1967" t="inlineStr">
        <is>
          <t>كلا الفترتين</t>
        </is>
      </c>
      <c r="E1967" t="n">
        <v>1506</v>
      </c>
      <c r="F1967" t="b">
        <v>1</v>
      </c>
      <c r="G1967">
        <f>HYPERLINK("https://www.google.com/maps/search/?api=1&amp;query=24.66986897,46.74473075", "View Map")</f>
        <v/>
      </c>
    </row>
    <row r="1968">
      <c r="A1968" t="inlineStr">
        <is>
          <t xml:space="preserve">   مسجد الحمراء .</t>
        </is>
      </c>
      <c r="B1968" t="inlineStr">
        <is>
          <t>KFM2020660045572</t>
        </is>
      </c>
      <c r="C1968" t="inlineStr">
        <is>
          <t>الرياض</t>
        </is>
      </c>
      <c r="D1968" t="inlineStr">
        <is>
          <t>كلا الفترتين</t>
        </is>
      </c>
      <c r="E1968" t="n">
        <v>1505</v>
      </c>
      <c r="F1968" t="b">
        <v>0</v>
      </c>
      <c r="G1968">
        <f>HYPERLINK("https://www.google.com/maps/search/?api=1&amp;query=24.77104745,46.7581445", "View Map")</f>
        <v/>
      </c>
    </row>
    <row r="1969">
      <c r="A1969" t="inlineStr">
        <is>
          <t>مسجد محمد بن ماجد .</t>
        </is>
      </c>
      <c r="B1969" t="inlineStr">
        <is>
          <t>KFM2020660053117</t>
        </is>
      </c>
      <c r="C1969" t="inlineStr">
        <is>
          <t>الرياض</t>
        </is>
      </c>
      <c r="D1969" t="inlineStr">
        <is>
          <t>كلا الفترتين</t>
        </is>
      </c>
      <c r="E1969" t="n">
        <v>1504</v>
      </c>
      <c r="F1969" t="b">
        <v>1</v>
      </c>
      <c r="G1969">
        <f>HYPERLINK("https://www.google.com/maps/search/?api=1&amp;query=24.59750659,46.64263773", "View Map")</f>
        <v/>
      </c>
    </row>
    <row r="1970">
      <c r="A1970" t="inlineStr">
        <is>
          <t>مسجد الجار الله .</t>
        </is>
      </c>
      <c r="B1970" t="inlineStr">
        <is>
          <t>KFM2120660301502</t>
        </is>
      </c>
      <c r="C1970" t="inlineStr">
        <is>
          <t>الرياض</t>
        </is>
      </c>
      <c r="D1970" t="inlineStr">
        <is>
          <t>كلا الفترتين</t>
        </is>
      </c>
      <c r="E1970" t="n">
        <v>1504</v>
      </c>
      <c r="F1970" t="b">
        <v>1</v>
      </c>
      <c r="G1970">
        <f>HYPERLINK("https://www.google.com/maps/search/?api=1&amp;query=24.6637176,46.80484601", "View Map")</f>
        <v/>
      </c>
    </row>
    <row r="1971">
      <c r="A1971" t="inlineStr">
        <is>
          <t>ﻤﺴﺎﺠﺩ .</t>
        </is>
      </c>
      <c r="B1971" t="inlineStr">
        <is>
          <t>SMR2220661006809</t>
        </is>
      </c>
      <c r="C1971" t="inlineStr">
        <is>
          <t>الرياض</t>
        </is>
      </c>
      <c r="D1971" t="inlineStr">
        <is>
          <t>كلا الفترتين</t>
        </is>
      </c>
      <c r="E1971" t="n">
        <v>1503</v>
      </c>
      <c r="F1971" t="b">
        <v>1</v>
      </c>
      <c r="G1971">
        <f>HYPERLINK("https://www.google.com/maps/search/?api=1&amp;query=24.85394456,46.83470267", "View Map")</f>
        <v/>
      </c>
    </row>
    <row r="1972">
      <c r="A1972" t="inlineStr">
        <is>
          <t>مسجدالفاروق .</t>
        </is>
      </c>
      <c r="B1972" t="inlineStr">
        <is>
          <t>KFM2020660203405</t>
        </is>
      </c>
      <c r="C1972" t="inlineStr">
        <is>
          <t>الرياض</t>
        </is>
      </c>
      <c r="D1972" t="inlineStr">
        <is>
          <t>كلا الفترتين</t>
        </is>
      </c>
      <c r="E1972" t="n">
        <v>1503</v>
      </c>
      <c r="F1972" t="b">
        <v>1</v>
      </c>
      <c r="G1972">
        <f>HYPERLINK("https://www.google.com/maps/search/?api=1&amp;query=24.61305081,46.65314077", "View Map")</f>
        <v/>
      </c>
    </row>
    <row r="1973">
      <c r="A1973" t="inlineStr">
        <is>
          <t xml:space="preserve">   مسجد حى المنح .</t>
        </is>
      </c>
      <c r="B1973" t="inlineStr">
        <is>
          <t>KFM2120660299847</t>
        </is>
      </c>
      <c r="C1973" t="inlineStr">
        <is>
          <t>الرياض</t>
        </is>
      </c>
      <c r="D1973" t="inlineStr">
        <is>
          <t>كلا الفترتين</t>
        </is>
      </c>
      <c r="E1973" t="n">
        <v>1503</v>
      </c>
      <c r="F1973" t="b">
        <v>1</v>
      </c>
      <c r="G1973">
        <f>HYPERLINK("https://www.google.com/maps/search/?api=1&amp;query=24.55530165,46.8648805", "View Map")</f>
        <v/>
      </c>
    </row>
    <row r="1974">
      <c r="A1974" t="inlineStr">
        <is>
          <t xml:space="preserve">   مسجدسعودالمغيصيب .</t>
        </is>
      </c>
      <c r="B1974" t="inlineStr">
        <is>
          <t>KFM2020660197246</t>
        </is>
      </c>
      <c r="C1974" t="inlineStr">
        <is>
          <t>الرياض</t>
        </is>
      </c>
      <c r="D1974" t="inlineStr">
        <is>
          <t>كلا الفترتين</t>
        </is>
      </c>
      <c r="E1974" t="n">
        <v>1502</v>
      </c>
      <c r="F1974" t="b">
        <v>1</v>
      </c>
      <c r="G1974">
        <f>HYPERLINK("https://www.google.com/maps/search/?api=1&amp;query=24.64226278,46.54672361", "View Map")</f>
        <v/>
      </c>
    </row>
    <row r="1975">
      <c r="A1975" t="inlineStr">
        <is>
          <t>ﻭﺯﺍﺭﺓﺍﻟﺸﺌﻭﻥ ﺍﻻﺴﻼﻤﻴﺓﻭﺍﻻﻭﻗﺎﻑ .</t>
        </is>
      </c>
      <c r="B1975" t="inlineStr">
        <is>
          <t>KFM2020660022926</t>
        </is>
      </c>
      <c r="C1975" t="inlineStr">
        <is>
          <t>الرياض</t>
        </is>
      </c>
      <c r="D1975" t="inlineStr">
        <is>
          <t>كلا الفترتين</t>
        </is>
      </c>
      <c r="E1975" t="n">
        <v>1501</v>
      </c>
      <c r="F1975" t="b">
        <v>0</v>
      </c>
      <c r="G1975">
        <f>HYPERLINK("https://www.google.com/maps/search/?api=1&amp;query=24.58092763,46.70459587", "View Map")</f>
        <v/>
      </c>
    </row>
    <row r="1976">
      <c r="A1976" t="inlineStr">
        <is>
          <t xml:space="preserve">   مسجد حي قرطبة . .</t>
        </is>
      </c>
      <c r="B1976" t="inlineStr">
        <is>
          <t>KFM2020660053465</t>
        </is>
      </c>
      <c r="C1976" t="inlineStr">
        <is>
          <t>الرياض</t>
        </is>
      </c>
      <c r="D1976" t="inlineStr">
        <is>
          <t>كلا الفترتين</t>
        </is>
      </c>
      <c r="E1976" t="n">
        <v>1501</v>
      </c>
      <c r="F1976" t="b">
        <v>1</v>
      </c>
      <c r="G1976">
        <f>HYPERLINK("https://www.google.com/maps/search/?api=1&amp;query=24.80278674,46.73232398", "View Map")</f>
        <v/>
      </c>
    </row>
    <row r="1977">
      <c r="A1977" t="inlineStr">
        <is>
          <t xml:space="preserve">   مسجدام الحمام الشرقية .</t>
        </is>
      </c>
      <c r="B1977" t="inlineStr">
        <is>
          <t>KFM2020660172092</t>
        </is>
      </c>
      <c r="C1977" t="inlineStr">
        <is>
          <t>الرياض</t>
        </is>
      </c>
      <c r="D1977" t="inlineStr">
        <is>
          <t>كلا الفترتين</t>
        </is>
      </c>
      <c r="E1977" t="n">
        <v>1501</v>
      </c>
      <c r="F1977" t="b">
        <v>0</v>
      </c>
      <c r="G1977">
        <f>HYPERLINK("https://www.google.com/maps/search/?api=1&amp;query=24.69678223,46.65361999", "View Map")</f>
        <v/>
      </c>
    </row>
    <row r="1978">
      <c r="A1978" t="inlineStr">
        <is>
          <t>ﻤﺴﺎﺠﺩ .</t>
        </is>
      </c>
      <c r="B1978" t="inlineStr">
        <is>
          <t>KFM2020660145204</t>
        </is>
      </c>
      <c r="C1978" t="inlineStr">
        <is>
          <t>الرياض</t>
        </is>
      </c>
      <c r="D1978" t="inlineStr">
        <is>
          <t>كلا الفترتين</t>
        </is>
      </c>
      <c r="E1978" t="n">
        <v>1500</v>
      </c>
      <c r="F1978" t="b">
        <v>0</v>
      </c>
      <c r="G1978">
        <f>HYPERLINK("https://www.google.com/maps/search/?api=1&amp;query=24.82674918,46.76319077", "View Map")</f>
        <v/>
      </c>
    </row>
    <row r="1979">
      <c r="A1979" t="inlineStr">
        <is>
          <t xml:space="preserve">   مسجد منيرة السلولي /حي غرناطة .</t>
        </is>
      </c>
      <c r="B1979" t="inlineStr">
        <is>
          <t>KFM2120660303482</t>
        </is>
      </c>
      <c r="C1979" t="inlineStr">
        <is>
          <t>الرياض</t>
        </is>
      </c>
      <c r="D1979" t="inlineStr">
        <is>
          <t>كلا الفترتين</t>
        </is>
      </c>
      <c r="E1979" t="n">
        <v>1499</v>
      </c>
      <c r="F1979" t="b">
        <v>0</v>
      </c>
      <c r="G1979">
        <f>HYPERLINK("https://www.google.com/maps/search/?api=1&amp;query=24.79262448,46.74572087", "View Map")</f>
        <v/>
      </c>
    </row>
    <row r="1980">
      <c r="A1980" t="inlineStr">
        <is>
          <t>الشؤون الخاصة لخادم الحرمين الشريفين .</t>
        </is>
      </c>
      <c r="B1980" t="inlineStr">
        <is>
          <t>MMF2020800123790</t>
        </is>
      </c>
      <c r="C1980" t="inlineStr">
        <is>
          <t>الرياض</t>
        </is>
      </c>
      <c r="D1980" t="inlineStr">
        <is>
          <t>كلا الفترتين</t>
        </is>
      </c>
      <c r="E1980" t="n">
        <v>1499</v>
      </c>
      <c r="F1980" t="b">
        <v>0</v>
      </c>
      <c r="G1980">
        <f>HYPERLINK("https://www.google.com/maps/search/?api=1&amp;query=24.70416107,46.61735232", "View Map")</f>
        <v/>
      </c>
    </row>
    <row r="1981">
      <c r="A1981" t="inlineStr">
        <is>
          <t>ﻭﺯﺍﺭﺓﺍﻟﺸﺌﻭﻥ ﺍﻻﺴﻼﻤﻴﺓﻭﺍﻻﻭﻗﺎﻑ .</t>
        </is>
      </c>
      <c r="B1981" t="inlineStr">
        <is>
          <t>SMR2420868091978</t>
        </is>
      </c>
      <c r="C1981" t="inlineStr">
        <is>
          <t>الرياض</t>
        </is>
      </c>
      <c r="D1981" t="inlineStr">
        <is>
          <t>كلا الفترتين</t>
        </is>
      </c>
      <c r="E1981" t="n">
        <v>1499</v>
      </c>
      <c r="F1981" t="b">
        <v>0</v>
      </c>
      <c r="G1981">
        <f>HYPERLINK("https://www.google.com/maps/search/?api=1&amp;query=24.55923703,46.60960588", "View Map")</f>
        <v/>
      </c>
    </row>
    <row r="1982">
      <c r="A1982" t="inlineStr">
        <is>
          <t>مسجد المروه .</t>
        </is>
      </c>
      <c r="B1982" t="inlineStr">
        <is>
          <t>KFM2020660201751</t>
        </is>
      </c>
      <c r="C1982" t="inlineStr">
        <is>
          <t>الرياض</t>
        </is>
      </c>
      <c r="D1982" t="inlineStr">
        <is>
          <t>كلا الفترتين</t>
        </is>
      </c>
      <c r="E1982" t="n">
        <v>1499</v>
      </c>
      <c r="F1982" t="b">
        <v>1</v>
      </c>
      <c r="G1982">
        <f>HYPERLINK("https://www.google.com/maps/search/?api=1&amp;query=24.52815283,46.66129411", "View Map")</f>
        <v/>
      </c>
    </row>
    <row r="1983">
      <c r="A1983" t="inlineStr">
        <is>
          <t>ﻤﺴﺎﺠﺩ .</t>
        </is>
      </c>
      <c r="B1983" t="inlineStr">
        <is>
          <t>ECC2020811052473</t>
        </is>
      </c>
      <c r="C1983" t="inlineStr">
        <is>
          <t>الدرعية</t>
        </is>
      </c>
      <c r="D1983" t="inlineStr">
        <is>
          <t>كلا الفترتين</t>
        </is>
      </c>
      <c r="E1983" t="n">
        <v>1498</v>
      </c>
      <c r="F1983" t="b">
        <v>0</v>
      </c>
      <c r="G1983">
        <f>HYPERLINK("https://www.google.com/maps/search/?api=1&amp;query=24.77776089,46.56402386", "View Map")</f>
        <v/>
      </c>
    </row>
    <row r="1984">
      <c r="A1984" t="inlineStr">
        <is>
          <t xml:space="preserve">   مسجد محمد بانافع .</t>
        </is>
      </c>
      <c r="B1984" t="inlineStr">
        <is>
          <t>KFM2020660193572</t>
        </is>
      </c>
      <c r="C1984" t="inlineStr">
        <is>
          <t>الرياض</t>
        </is>
      </c>
      <c r="D1984" t="inlineStr">
        <is>
          <t>كلا الفترتين</t>
        </is>
      </c>
      <c r="E1984" t="n">
        <v>1498</v>
      </c>
      <c r="F1984" t="b">
        <v>0</v>
      </c>
      <c r="G1984">
        <f>HYPERLINK("https://www.google.com/maps/search/?api=1&amp;query=24.80882234,46.80198243", "View Map")</f>
        <v/>
      </c>
    </row>
    <row r="1985">
      <c r="A1985" t="inlineStr">
        <is>
          <t>مسجد/ حي السويدي .</t>
        </is>
      </c>
      <c r="B1985" t="inlineStr">
        <is>
          <t>KFM2020660051552</t>
        </is>
      </c>
      <c r="C1985" t="inlineStr">
        <is>
          <t>الرياض</t>
        </is>
      </c>
      <c r="D1985" t="inlineStr">
        <is>
          <t>كلا الفترتين</t>
        </is>
      </c>
      <c r="E1985" t="n">
        <v>1496</v>
      </c>
      <c r="F1985" t="b">
        <v>0</v>
      </c>
      <c r="G1985">
        <f>HYPERLINK("https://www.google.com/maps/search/?api=1&amp;query=24.59904216,46.69045667", "View Map")</f>
        <v/>
      </c>
    </row>
    <row r="1986">
      <c r="A1986" t="inlineStr">
        <is>
          <t xml:space="preserve">   مسجد سيدقطب(ناجىمسرع المطيرى) .</t>
        </is>
      </c>
      <c r="B1986" t="inlineStr">
        <is>
          <t>KFM2020660162250</t>
        </is>
      </c>
      <c r="C1986" t="inlineStr">
        <is>
          <t>الرياض</t>
        </is>
      </c>
      <c r="D1986" t="inlineStr">
        <is>
          <t>كلا الفترتين</t>
        </is>
      </c>
      <c r="E1986" t="n">
        <v>1495</v>
      </c>
      <c r="F1986" t="b">
        <v>0</v>
      </c>
      <c r="G1986">
        <f>HYPERLINK("https://www.google.com/maps/search/?api=1&amp;query=24.56536863,46.7736222", "View Map")</f>
        <v/>
      </c>
    </row>
    <row r="1987">
      <c r="A1987" t="inlineStr">
        <is>
          <t>مسجدال  سويلم .</t>
        </is>
      </c>
      <c r="B1987" t="inlineStr">
        <is>
          <t>KFM2020660189457</t>
        </is>
      </c>
      <c r="C1987" t="inlineStr">
        <is>
          <t>الرياض</t>
        </is>
      </c>
      <c r="D1987" t="inlineStr">
        <is>
          <t>كلا الفترتين</t>
        </is>
      </c>
      <c r="E1987" t="n">
        <v>1494</v>
      </c>
      <c r="F1987" t="b">
        <v>1</v>
      </c>
      <c r="G1987">
        <f>HYPERLINK("https://www.google.com/maps/search/?api=1&amp;query=24.61747763,46.68053083", "View Map")</f>
        <v/>
      </c>
    </row>
    <row r="1988">
      <c r="A1988" t="inlineStr">
        <is>
          <t>مسجد حي السويدي .</t>
        </is>
      </c>
      <c r="B1988" t="inlineStr">
        <is>
          <t>KFM2420660295693</t>
        </is>
      </c>
      <c r="C1988" t="inlineStr">
        <is>
          <t>الرياض</t>
        </is>
      </c>
      <c r="D1988" t="inlineStr">
        <is>
          <t>كلا الفترتين</t>
        </is>
      </c>
      <c r="E1988" t="n">
        <v>1494</v>
      </c>
      <c r="F1988" t="b">
        <v>0</v>
      </c>
      <c r="G1988">
        <f>HYPERLINK("https://www.google.com/maps/search/?api=1&amp;query=24.5675954,46.64251946", "View Map")</f>
        <v/>
      </c>
    </row>
    <row r="1989">
      <c r="A1989" t="inlineStr">
        <is>
          <t>مسجد      .         بن عياف .</t>
        </is>
      </c>
      <c r="B1989" t="inlineStr">
        <is>
          <t>KFM2020660201739</t>
        </is>
      </c>
      <c r="C1989" t="inlineStr">
        <is>
          <t>الرياض</t>
        </is>
      </c>
      <c r="D1989" t="inlineStr">
        <is>
          <t>كلا الفترتين</t>
        </is>
      </c>
      <c r="E1989" t="n">
        <v>1493</v>
      </c>
      <c r="F1989" t="b">
        <v>0</v>
      </c>
      <c r="G1989">
        <f>HYPERLINK("https://www.google.com/maps/search/?api=1&amp;query=24.62422479,46.69972783", "View Map")</f>
        <v/>
      </c>
    </row>
    <row r="1990">
      <c r="A1990" t="inlineStr">
        <is>
          <t>مـسـجـد   حي        طويق .</t>
        </is>
      </c>
      <c r="B1990" t="inlineStr">
        <is>
          <t>KFM2020660049556</t>
        </is>
      </c>
      <c r="C1990" t="inlineStr">
        <is>
          <t>الرياض</t>
        </is>
      </c>
      <c r="D1990" t="inlineStr">
        <is>
          <t>كلا الفترتين</t>
        </is>
      </c>
      <c r="E1990" t="n">
        <v>1493</v>
      </c>
      <c r="F1990" t="b">
        <v>1</v>
      </c>
      <c r="G1990">
        <f>HYPERLINK("https://www.google.com/maps/search/?api=1&amp;query=24.56605515,46.5487791", "View Map")</f>
        <v/>
      </c>
    </row>
    <row r="1991">
      <c r="A1991" t="inlineStr">
        <is>
          <t xml:space="preserve">      وزارة الشئون الاسلاميةوالاوقاف .</t>
        </is>
      </c>
      <c r="B1991" t="inlineStr">
        <is>
          <t>KFM2020660127561</t>
        </is>
      </c>
      <c r="C1991" t="inlineStr">
        <is>
          <t>الرياض</t>
        </is>
      </c>
      <c r="D1991" t="inlineStr">
        <is>
          <t>كلا الفترتين</t>
        </is>
      </c>
      <c r="E1991" t="n">
        <v>1493</v>
      </c>
      <c r="F1991" t="b">
        <v>1</v>
      </c>
      <c r="G1991">
        <f>HYPERLINK("https://www.google.com/maps/search/?api=1&amp;query=24.82671916,46.65332571", "View Map")</f>
        <v/>
      </c>
    </row>
    <row r="1992">
      <c r="A1992" t="inlineStr">
        <is>
          <t xml:space="preserve">   مسجد حي الملك فيصل .</t>
        </is>
      </c>
      <c r="B1992" t="inlineStr">
        <is>
          <t>KFM2020660171435</t>
        </is>
      </c>
      <c r="C1992" t="inlineStr">
        <is>
          <t>الرياض</t>
        </is>
      </c>
      <c r="D1992" t="inlineStr">
        <is>
          <t>كلا الفترتين</t>
        </is>
      </c>
      <c r="E1992" t="n">
        <v>1491</v>
      </c>
      <c r="F1992" t="b">
        <v>0</v>
      </c>
      <c r="G1992">
        <f>HYPERLINK("https://www.google.com/maps/search/?api=1&amp;query=24.75655387,46.77571345", "View Map")</f>
        <v/>
      </c>
    </row>
    <row r="1993">
      <c r="A1993" t="inlineStr">
        <is>
          <t>مسجد علي بن ابي طالب .</t>
        </is>
      </c>
      <c r="B1993" t="inlineStr">
        <is>
          <t>KFM2020660173176</t>
        </is>
      </c>
      <c r="C1993" t="inlineStr">
        <is>
          <t>الرياض</t>
        </is>
      </c>
      <c r="D1993" t="inlineStr">
        <is>
          <t>كلا الفترتين</t>
        </is>
      </c>
      <c r="E1993" t="n">
        <v>1491</v>
      </c>
      <c r="F1993" t="b">
        <v>0</v>
      </c>
      <c r="G1993">
        <f>HYPERLINK("https://www.google.com/maps/search/?api=1&amp;query=24.63094506,46.6990335", "View Map")</f>
        <v/>
      </c>
    </row>
    <row r="1994">
      <c r="A1994" t="inlineStr">
        <is>
          <t xml:space="preserve">   مساجد .</t>
        </is>
      </c>
      <c r="B1994" t="inlineStr">
        <is>
          <t>KFM2020660232898</t>
        </is>
      </c>
      <c r="C1994" t="inlineStr">
        <is>
          <t>الرياض</t>
        </is>
      </c>
      <c r="D1994" t="inlineStr">
        <is>
          <t>كلا الفترتين</t>
        </is>
      </c>
      <c r="E1994" t="n">
        <v>1490</v>
      </c>
      <c r="F1994" t="b">
        <v>1</v>
      </c>
      <c r="G1994">
        <f>HYPERLINK("https://www.google.com/maps/search/?api=1&amp;query=24.81223815,46.75974487", "View Map")</f>
        <v/>
      </c>
    </row>
    <row r="1995">
      <c r="A1995" t="inlineStr">
        <is>
          <t xml:space="preserve">   مسجد      عبدالعزيز السنيدي .</t>
        </is>
      </c>
      <c r="B1995" t="inlineStr">
        <is>
          <t>SMR2220661000488</t>
        </is>
      </c>
      <c r="C1995" t="inlineStr">
        <is>
          <t>الرياض</t>
        </is>
      </c>
      <c r="D1995" t="inlineStr">
        <is>
          <t>كلا الفترتين</t>
        </is>
      </c>
      <c r="E1995" t="n">
        <v>1489</v>
      </c>
      <c r="F1995" t="b">
        <v>0</v>
      </c>
      <c r="G1995">
        <f>HYPERLINK("https://www.google.com/maps/search/?api=1&amp;query=24.71792452,46.81783059", "View Map")</f>
        <v/>
      </c>
    </row>
    <row r="1996">
      <c r="A1996" t="inlineStr">
        <is>
          <t xml:space="preserve">   مسجد الروابي .</t>
        </is>
      </c>
      <c r="B1996" t="inlineStr">
        <is>
          <t>KFM2020660144749</t>
        </is>
      </c>
      <c r="C1996" t="inlineStr">
        <is>
          <t>الرياض</t>
        </is>
      </c>
      <c r="D1996" t="inlineStr">
        <is>
          <t>كلا الفترتين</t>
        </is>
      </c>
      <c r="E1996" t="n">
        <v>1488</v>
      </c>
      <c r="F1996" t="b">
        <v>1</v>
      </c>
      <c r="G1996">
        <f>HYPERLINK("https://www.google.com/maps/search/?api=1&amp;query=24.6973241,46.79997058", "View Map")</f>
        <v/>
      </c>
    </row>
    <row r="1997">
      <c r="A1997" t="inlineStr">
        <is>
          <t xml:space="preserve">   مسجد الايمان .</t>
        </is>
      </c>
      <c r="B1997" t="inlineStr">
        <is>
          <t>KFM2020660041679</t>
        </is>
      </c>
      <c r="C1997" t="inlineStr">
        <is>
          <t>الرياض</t>
        </is>
      </c>
      <c r="D1997" t="inlineStr">
        <is>
          <t>كلا الفترتين</t>
        </is>
      </c>
      <c r="E1997" t="n">
        <v>1488</v>
      </c>
      <c r="F1997" t="b">
        <v>1</v>
      </c>
      <c r="G1997">
        <f>HYPERLINK("https://www.google.com/maps/search/?api=1&amp;query=24.74996795,46.83261496", "View Map")</f>
        <v/>
      </c>
    </row>
    <row r="1998">
      <c r="A1998" t="inlineStr">
        <is>
          <t xml:space="preserve">   مسجد النسيم .</t>
        </is>
      </c>
      <c r="B1998" t="inlineStr">
        <is>
          <t>KFM2020660042058</t>
        </is>
      </c>
      <c r="C1998" t="inlineStr">
        <is>
          <t>الرياض</t>
        </is>
      </c>
      <c r="D1998" t="inlineStr">
        <is>
          <t>كلا الفترتين</t>
        </is>
      </c>
      <c r="E1998" t="n">
        <v>1488</v>
      </c>
      <c r="F1998" t="b">
        <v>1</v>
      </c>
      <c r="G1998">
        <f>HYPERLINK("https://www.google.com/maps/search/?api=1&amp;query=24.7093965,46.83008694", "View Map")</f>
        <v/>
      </c>
    </row>
    <row r="1999">
      <c r="A1999" t="inlineStr">
        <is>
          <t xml:space="preserve">   مسجد محمد الفصيم .</t>
        </is>
      </c>
      <c r="B1999" t="inlineStr">
        <is>
          <t>KFM2020660133783</t>
        </is>
      </c>
      <c r="C1999" t="inlineStr">
        <is>
          <t>الرياض</t>
        </is>
      </c>
      <c r="D1999" t="inlineStr">
        <is>
          <t>كلا الفترتين</t>
        </is>
      </c>
      <c r="E1999" t="n">
        <v>1488</v>
      </c>
      <c r="F1999" t="b">
        <v>1</v>
      </c>
      <c r="G1999">
        <f>HYPERLINK("https://www.google.com/maps/search/?api=1&amp;query=24.71824532,46.81024832", "View Map")</f>
        <v/>
      </c>
    </row>
    <row r="2000">
      <c r="A2000" t="inlineStr">
        <is>
          <t>مسجدالامير عبدالرحمن بن عبدالله .</t>
        </is>
      </c>
      <c r="B2000" t="inlineStr">
        <is>
          <t>KFM2020660051562</t>
        </is>
      </c>
      <c r="C2000" t="inlineStr">
        <is>
          <t>الرياض</t>
        </is>
      </c>
      <c r="D2000" t="inlineStr">
        <is>
          <t>كلا الفترتين</t>
        </is>
      </c>
      <c r="E2000" t="n">
        <v>1487</v>
      </c>
      <c r="F2000" t="b">
        <v>0</v>
      </c>
      <c r="G2000">
        <f>HYPERLINK("https://www.google.com/maps/search/?api=1&amp;query=24.584545,46.6700254", "View Map")</f>
        <v/>
      </c>
    </row>
    <row r="2001">
      <c r="A2001" t="inlineStr">
        <is>
          <t>ﻤﺴﺎﺠﺩ .</t>
        </is>
      </c>
      <c r="B2001" t="inlineStr">
        <is>
          <t>KFM2020660201085</t>
        </is>
      </c>
      <c r="C2001" t="inlineStr">
        <is>
          <t>الرياض</t>
        </is>
      </c>
      <c r="D2001" t="inlineStr">
        <is>
          <t>كلا الفترتين</t>
        </is>
      </c>
      <c r="E2001" t="n">
        <v>1486</v>
      </c>
      <c r="F2001" t="b">
        <v>0</v>
      </c>
      <c r="G2001">
        <f>HYPERLINK("https://www.google.com/maps/search/?api=1&amp;query=24.78160745,46.68907762", "View Map")</f>
        <v/>
      </c>
    </row>
    <row r="2002">
      <c r="A2002" t="inlineStr">
        <is>
          <t xml:space="preserve">   مسجد الصحابه  بحي  حطين .</t>
        </is>
      </c>
      <c r="B2002" t="inlineStr">
        <is>
          <t>KFM2020660091932</t>
        </is>
      </c>
      <c r="C2002" t="inlineStr">
        <is>
          <t>الرياض</t>
        </is>
      </c>
      <c r="D2002" t="inlineStr">
        <is>
          <t>كلا الفترتين</t>
        </is>
      </c>
      <c r="E2002" t="n">
        <v>1486</v>
      </c>
      <c r="F2002" t="b">
        <v>0</v>
      </c>
      <c r="G2002">
        <f>HYPERLINK("https://www.google.com/maps/search/?api=1&amp;query=24.76599909,46.61819749", "View Map")</f>
        <v/>
      </c>
    </row>
    <row r="2003">
      <c r="A2003" t="inlineStr">
        <is>
          <t xml:space="preserve">   مسجد النسيم .</t>
        </is>
      </c>
      <c r="B2003" t="inlineStr">
        <is>
          <t>KFM2020660042031</t>
        </is>
      </c>
      <c r="C2003" t="inlineStr">
        <is>
          <t>الرياض</t>
        </is>
      </c>
      <c r="D2003" t="inlineStr">
        <is>
          <t>كلا الفترتين</t>
        </is>
      </c>
      <c r="E2003" t="n">
        <v>1486</v>
      </c>
      <c r="F2003" t="b">
        <v>1</v>
      </c>
      <c r="G2003">
        <f>HYPERLINK("https://www.google.com/maps/search/?api=1&amp;query=24.71985871,46.82554207", "View Map")</f>
        <v/>
      </c>
    </row>
    <row r="2004">
      <c r="A2004" t="inlineStr">
        <is>
          <t xml:space="preserve">    مسجد  عبدالله   المسند مع السكن .</t>
        </is>
      </c>
      <c r="B2004" t="inlineStr">
        <is>
          <t>KFM2020660053563</t>
        </is>
      </c>
      <c r="C2004" t="inlineStr">
        <is>
          <t>الرياض</t>
        </is>
      </c>
      <c r="D2004" t="inlineStr">
        <is>
          <t>كلا الفترتين</t>
        </is>
      </c>
      <c r="E2004" t="n">
        <v>1485</v>
      </c>
      <c r="F2004" t="b">
        <v>0</v>
      </c>
      <c r="G2004">
        <f>HYPERLINK("https://www.google.com/maps/search/?api=1&amp;query=24.74701065,46.77937003", "View Map")</f>
        <v/>
      </c>
    </row>
    <row r="2005">
      <c r="A2005" t="inlineStr">
        <is>
          <t xml:space="preserve">   مسجد لولوهبنت سليمان المديهيم .</t>
        </is>
      </c>
      <c r="B2005" t="inlineStr">
        <is>
          <t>KFM2120660270081</t>
        </is>
      </c>
      <c r="C2005" t="inlineStr">
        <is>
          <t>الرياض</t>
        </is>
      </c>
      <c r="D2005" t="inlineStr">
        <is>
          <t>كلا الفترتين</t>
        </is>
      </c>
      <c r="E2005" t="n">
        <v>1485</v>
      </c>
      <c r="F2005" t="b">
        <v>1</v>
      </c>
      <c r="G2005">
        <f>HYPERLINK("https://www.google.com/maps/search/?api=1&amp;query=24.76601997,46.75354432", "View Map")</f>
        <v/>
      </c>
    </row>
    <row r="2006">
      <c r="A2006" t="inlineStr">
        <is>
          <t>ﻤﺴﺎﺠﺩ .</t>
        </is>
      </c>
      <c r="B2006" t="inlineStr">
        <is>
          <t>KFM2020660191313</t>
        </is>
      </c>
      <c r="C2006" t="inlineStr">
        <is>
          <t>الدرعية</t>
        </is>
      </c>
      <c r="D2006" t="inlineStr">
        <is>
          <t>كلا الفترتين</t>
        </is>
      </c>
      <c r="E2006" t="n">
        <v>1484</v>
      </c>
      <c r="F2006" t="b">
        <v>0</v>
      </c>
      <c r="G2006">
        <f>HYPERLINK("https://www.google.com/maps/search/?api=1&amp;query=24.7509973,46.56875915", "View Map")</f>
        <v/>
      </c>
    </row>
    <row r="2007">
      <c r="A2007" t="inlineStr">
        <is>
          <t>ﻤﺴﺎﺠﺩ .</t>
        </is>
      </c>
      <c r="B2007" t="inlineStr">
        <is>
          <t>SMR2220661018667</t>
        </is>
      </c>
      <c r="C2007" t="inlineStr">
        <is>
          <t>الدرعية</t>
        </is>
      </c>
      <c r="D2007" t="inlineStr">
        <is>
          <t>كلا الفترتين</t>
        </is>
      </c>
      <c r="E2007" t="n">
        <v>1484</v>
      </c>
      <c r="F2007" t="b">
        <v>1</v>
      </c>
      <c r="G2007">
        <f>HYPERLINK("https://www.google.com/maps/search/?api=1&amp;query=24.90629364,46.42993658", "View Map")</f>
        <v/>
      </c>
    </row>
    <row r="2008">
      <c r="A2008" t="inlineStr">
        <is>
          <t>مسجد عقبه  بن نافع .</t>
        </is>
      </c>
      <c r="B2008" t="inlineStr">
        <is>
          <t>KFM2020660025746</t>
        </is>
      </c>
      <c r="C2008" t="inlineStr">
        <is>
          <t>الرياض</t>
        </is>
      </c>
      <c r="D2008" t="inlineStr">
        <is>
          <t>كلا الفترتين</t>
        </is>
      </c>
      <c r="E2008" t="n">
        <v>1484</v>
      </c>
      <c r="F2008" t="b">
        <v>0</v>
      </c>
      <c r="G2008">
        <f>HYPERLINK("https://www.google.com/maps/search/?api=1&amp;query=24.5842836,46.67268871", "View Map")</f>
        <v/>
      </c>
    </row>
    <row r="2009">
      <c r="A2009" t="inlineStr">
        <is>
          <t xml:space="preserve">   مسجد حي السعادة .</t>
        </is>
      </c>
      <c r="B2009" t="inlineStr">
        <is>
          <t>KFM2120660260315</t>
        </is>
      </c>
      <c r="C2009" t="inlineStr">
        <is>
          <t>الرياض</t>
        </is>
      </c>
      <c r="D2009" t="inlineStr">
        <is>
          <t>كلا الفترتين</t>
        </is>
      </c>
      <c r="E2009" t="n">
        <v>1484</v>
      </c>
      <c r="F2009" t="b">
        <v>1</v>
      </c>
      <c r="G2009">
        <f>HYPERLINK("https://www.google.com/maps/search/?api=1&amp;query=24.68331671,46.82461256", "View Map")</f>
        <v/>
      </c>
    </row>
    <row r="2010">
      <c r="A2010" t="inlineStr">
        <is>
          <t>ﻭﺯﺍﺭﺓﺍﻟﺸﺌﻭﻥ ﺍﻻﺴﻼﻤﻴﺓﻭﺍﻻﻭﻗﺎﻑ .</t>
        </is>
      </c>
      <c r="B2010" t="inlineStr">
        <is>
          <t>KFM2020660083696</t>
        </is>
      </c>
      <c r="C2010" t="inlineStr">
        <is>
          <t>الرياض</t>
        </is>
      </c>
      <c r="D2010" t="inlineStr">
        <is>
          <t>كلا الفترتين</t>
        </is>
      </c>
      <c r="E2010" t="n">
        <v>1484</v>
      </c>
      <c r="F2010" t="b">
        <v>1</v>
      </c>
      <c r="G2010">
        <f>HYPERLINK("https://www.google.com/maps/search/?api=1&amp;query=24.55670088,46.50394416", "View Map")</f>
        <v/>
      </c>
    </row>
    <row r="2011">
      <c r="A2011" t="inlineStr">
        <is>
          <t xml:space="preserve">   مسجد هاله بنت علي الجميعه .</t>
        </is>
      </c>
      <c r="B2011" t="inlineStr">
        <is>
          <t>KFM2020660035970</t>
        </is>
      </c>
      <c r="C2011" t="inlineStr">
        <is>
          <t>الرياض</t>
        </is>
      </c>
      <c r="D2011" t="inlineStr">
        <is>
          <t>كلا الفترتين</t>
        </is>
      </c>
      <c r="E2011" t="n">
        <v>1482</v>
      </c>
      <c r="F2011" t="b">
        <v>0</v>
      </c>
      <c r="G2011">
        <f>HYPERLINK("https://www.google.com/maps/search/?api=1&amp;query=24.75299068,46.80209584", "View Map")</f>
        <v/>
      </c>
    </row>
    <row r="2012">
      <c r="A2012" t="inlineStr">
        <is>
          <t>مسجدالمرزوقي      حي الحزم .</t>
        </is>
      </c>
      <c r="B2012" t="inlineStr">
        <is>
          <t>KFM2020660087422</t>
        </is>
      </c>
      <c r="C2012" t="inlineStr">
        <is>
          <t>الرياض</t>
        </is>
      </c>
      <c r="D2012" t="inlineStr">
        <is>
          <t>كلا الفترتين</t>
        </is>
      </c>
      <c r="E2012" t="n">
        <v>1482</v>
      </c>
      <c r="F2012" t="b">
        <v>1</v>
      </c>
      <c r="G2012">
        <f>HYPERLINK("https://www.google.com/maps/search/?api=1&amp;query=24.55163773,46.65317337", "View Map")</f>
        <v/>
      </c>
    </row>
    <row r="2013">
      <c r="A2013" t="inlineStr">
        <is>
          <t>مسجد عبدالله  الراجحى .</t>
        </is>
      </c>
      <c r="B2013" t="inlineStr">
        <is>
          <t>KFM2020660013846</t>
        </is>
      </c>
      <c r="C2013" t="inlineStr">
        <is>
          <t>الرياض</t>
        </is>
      </c>
      <c r="D2013" t="inlineStr">
        <is>
          <t>كلا الفترتين</t>
        </is>
      </c>
      <c r="E2013" t="n">
        <v>1480</v>
      </c>
      <c r="F2013" t="b">
        <v>1</v>
      </c>
      <c r="G2013">
        <f>HYPERLINK("https://www.google.com/maps/search/?api=1&amp;query=24.57216007,46.68666906", "View Map")</f>
        <v/>
      </c>
    </row>
    <row r="2014">
      <c r="A2014" t="inlineStr">
        <is>
          <t>مسجد      قتيبة      بن مسلم .</t>
        </is>
      </c>
      <c r="B2014" t="inlineStr">
        <is>
          <t>KFM2020660096104</t>
        </is>
      </c>
      <c r="C2014" t="inlineStr">
        <is>
          <t>الرياض</t>
        </is>
      </c>
      <c r="D2014" t="inlineStr">
        <is>
          <t>كلا الفترتين</t>
        </is>
      </c>
      <c r="E2014" t="n">
        <v>1480</v>
      </c>
      <c r="F2014" t="b">
        <v>1</v>
      </c>
      <c r="G2014">
        <f>HYPERLINK("https://www.google.com/maps/search/?api=1&amp;query=24.55442151,46.7069751", "View Map")</f>
        <v/>
      </c>
    </row>
    <row r="2015">
      <c r="A2015" t="inlineStr">
        <is>
          <t>مسجد/ حبيب  بن زيد .</t>
        </is>
      </c>
      <c r="B2015" t="inlineStr">
        <is>
          <t>KFM2020660045023</t>
        </is>
      </c>
      <c r="C2015" t="inlineStr">
        <is>
          <t>الرياض</t>
        </is>
      </c>
      <c r="D2015" t="inlineStr">
        <is>
          <t>كلا الفترتين</t>
        </is>
      </c>
      <c r="E2015" t="n">
        <v>1480</v>
      </c>
      <c r="F2015" t="b">
        <v>0</v>
      </c>
      <c r="G2015">
        <f>HYPERLINK("https://www.google.com/maps/search/?api=1&amp;query=24.60505422,46.72086313", "View Map")</f>
        <v/>
      </c>
    </row>
    <row r="2016">
      <c r="A2016" t="inlineStr">
        <is>
          <t>ﻭﺯﺍﺭﺓﺍﻟﺸﺌﻭﻥ ﺍﻻﺴﻼﻤﻴﺓﻭﺍﻻﻭﻗﺎﻑ .</t>
        </is>
      </c>
      <c r="B2016" t="inlineStr">
        <is>
          <t>KFM2020660200477</t>
        </is>
      </c>
      <c r="C2016" t="inlineStr">
        <is>
          <t>الرياض</t>
        </is>
      </c>
      <c r="D2016" t="inlineStr">
        <is>
          <t>كلا الفترتين</t>
        </is>
      </c>
      <c r="E2016" t="n">
        <v>1480</v>
      </c>
      <c r="F2016" t="b">
        <v>0</v>
      </c>
      <c r="G2016">
        <f>HYPERLINK("https://www.google.com/maps/search/?api=1&amp;query=24.48157673,46.63138669", "View Map")</f>
        <v/>
      </c>
    </row>
    <row r="2017">
      <c r="A2017" t="inlineStr">
        <is>
          <t xml:space="preserve">   مسجد حي الملز .</t>
        </is>
      </c>
      <c r="B2017" t="inlineStr">
        <is>
          <t>KFM2020660039565</t>
        </is>
      </c>
      <c r="C2017" t="inlineStr">
        <is>
          <t>الرياض</t>
        </is>
      </c>
      <c r="D2017" t="inlineStr">
        <is>
          <t>كلا الفترتين</t>
        </is>
      </c>
      <c r="E2017" t="n">
        <v>1479</v>
      </c>
      <c r="F2017" t="b">
        <v>0</v>
      </c>
      <c r="G2017">
        <f>HYPERLINK("https://www.google.com/maps/search/?api=1&amp;query=24.66033855,46.73400261", "View Map")</f>
        <v/>
      </c>
    </row>
    <row r="2018">
      <c r="A2018" t="inlineStr">
        <is>
          <t>ﻤﺴﺎﺠﺩ .</t>
        </is>
      </c>
      <c r="B2018" t="inlineStr">
        <is>
          <t>KFM2120660299864</t>
        </is>
      </c>
      <c r="C2018" t="inlineStr">
        <is>
          <t>الرياض</t>
        </is>
      </c>
      <c r="D2018" t="inlineStr">
        <is>
          <t>كلا الفترتين</t>
        </is>
      </c>
      <c r="E2018" t="n">
        <v>1479</v>
      </c>
      <c r="F2018" t="b">
        <v>0</v>
      </c>
      <c r="G2018">
        <f>HYPERLINK("https://www.google.com/maps/search/?api=1&amp;query=24.83734147,46.83282021", "View Map")</f>
        <v/>
      </c>
    </row>
    <row r="2019">
      <c r="A2019" t="inlineStr">
        <is>
          <t xml:space="preserve">   مسجد انس بن مالك .</t>
        </is>
      </c>
      <c r="B2019" t="inlineStr">
        <is>
          <t>KFM2020660193116</t>
        </is>
      </c>
      <c r="C2019" t="inlineStr">
        <is>
          <t>الرياض</t>
        </is>
      </c>
      <c r="D2019" t="inlineStr">
        <is>
          <t>كلا الفترتين</t>
        </is>
      </c>
      <c r="E2019" t="n">
        <v>1479</v>
      </c>
      <c r="F2019" t="b">
        <v>0</v>
      </c>
      <c r="G2019">
        <f>HYPERLINK("https://www.google.com/maps/search/?api=1&amp;query=24.76831581,46.61218218", "View Map")</f>
        <v/>
      </c>
    </row>
    <row r="2020">
      <c r="A2020" t="inlineStr">
        <is>
          <t xml:space="preserve">   مسحد      الشثري    ء .</t>
        </is>
      </c>
      <c r="B2020" t="inlineStr">
        <is>
          <t>KFM2020660173016</t>
        </is>
      </c>
      <c r="C2020" t="inlineStr">
        <is>
          <t>الرياض</t>
        </is>
      </c>
      <c r="D2020" t="inlineStr">
        <is>
          <t>كلا الفترتين</t>
        </is>
      </c>
      <c r="E2020" t="n">
        <v>1479</v>
      </c>
      <c r="F2020" t="b">
        <v>1</v>
      </c>
      <c r="G2020">
        <f>HYPERLINK("https://www.google.com/maps/search/?api=1&amp;query=24.78367714,46.71603454", "View Map")</f>
        <v/>
      </c>
    </row>
    <row r="2021">
      <c r="A2021" t="inlineStr">
        <is>
          <t xml:space="preserve">   مسجد المصيف .</t>
        </is>
      </c>
      <c r="B2021" t="inlineStr">
        <is>
          <t>KFM2020660173920</t>
        </is>
      </c>
      <c r="C2021" t="inlineStr">
        <is>
          <t>الرياض</t>
        </is>
      </c>
      <c r="D2021" t="inlineStr">
        <is>
          <t>كلا الفترتين</t>
        </is>
      </c>
      <c r="E2021" t="n">
        <v>1479</v>
      </c>
      <c r="F2021" t="b">
        <v>1</v>
      </c>
      <c r="G2021">
        <f>HYPERLINK("https://www.google.com/maps/search/?api=1&amp;query=24.7644474,46.67268185", "View Map")</f>
        <v/>
      </c>
    </row>
    <row r="2022">
      <c r="A2022" t="inlineStr">
        <is>
          <t xml:space="preserve">   مسجد ابراهيم العتيبى .</t>
        </is>
      </c>
      <c r="B2022" t="inlineStr">
        <is>
          <t>KFM2020660007041</t>
        </is>
      </c>
      <c r="C2022" t="inlineStr">
        <is>
          <t>الرياض</t>
        </is>
      </c>
      <c r="D2022" t="inlineStr">
        <is>
          <t>كلا الفترتين</t>
        </is>
      </c>
      <c r="E2022" t="n">
        <v>1477</v>
      </c>
      <c r="F2022" t="b">
        <v>0</v>
      </c>
      <c r="G2022">
        <f>HYPERLINK("https://www.google.com/maps/search/?api=1&amp;query=24.69553753,46.69833547", "View Map")</f>
        <v/>
      </c>
    </row>
    <row r="2023">
      <c r="A2023" t="inlineStr">
        <is>
          <t xml:space="preserve">   مسجد غرب حي الفيحاء .</t>
        </is>
      </c>
      <c r="B2023" t="inlineStr">
        <is>
          <t>KFM2120660254722</t>
        </is>
      </c>
      <c r="C2023" t="inlineStr">
        <is>
          <t>الرياض</t>
        </is>
      </c>
      <c r="D2023" t="inlineStr">
        <is>
          <t>كلا الفترتين</t>
        </is>
      </c>
      <c r="E2023" t="n">
        <v>1477</v>
      </c>
      <c r="F2023" t="b">
        <v>0</v>
      </c>
      <c r="G2023">
        <f>HYPERLINK("https://www.google.com/maps/search/?api=1&amp;query=24.68548369,46.79857043", "View Map")</f>
        <v/>
      </c>
    </row>
    <row r="2024">
      <c r="A2024" t="inlineStr">
        <is>
          <t>ﻤﺴﺎﺠﺩ .</t>
        </is>
      </c>
      <c r="B2024" t="inlineStr">
        <is>
          <t>SMR2020865089398</t>
        </is>
      </c>
      <c r="C2024" t="inlineStr">
        <is>
          <t>الرياض</t>
        </is>
      </c>
      <c r="D2024" t="inlineStr">
        <is>
          <t>كلا الفترتين</t>
        </is>
      </c>
      <c r="E2024" t="n">
        <v>1477</v>
      </c>
      <c r="F2024" t="b">
        <v>1</v>
      </c>
      <c r="G2024">
        <f>HYPERLINK("https://www.google.com/maps/search/?api=1&amp;query=24.8276279,46.80258216", "View Map")</f>
        <v/>
      </c>
    </row>
    <row r="2025">
      <c r="A2025" t="inlineStr">
        <is>
          <t>ﻤﺴﺎﺠﺩ .</t>
        </is>
      </c>
      <c r="B2025" t="inlineStr">
        <is>
          <t>KFM2020660104918</t>
        </is>
      </c>
      <c r="C2025" t="inlineStr">
        <is>
          <t>الرياض</t>
        </is>
      </c>
      <c r="D2025" t="inlineStr">
        <is>
          <t>كلا الفترتين</t>
        </is>
      </c>
      <c r="E2025" t="n">
        <v>1474</v>
      </c>
      <c r="F2025" t="b">
        <v>1</v>
      </c>
      <c r="G2025">
        <f>HYPERLINK("https://www.google.com/maps/search/?api=1&amp;query=24.8766636,46.63321108", "View Map")</f>
        <v/>
      </c>
    </row>
    <row r="2026">
      <c r="A2026" t="inlineStr">
        <is>
          <t xml:space="preserve">   مسجد معاذ بن جبل .</t>
        </is>
      </c>
      <c r="B2026" t="inlineStr">
        <is>
          <t>KFM2020660056667</t>
        </is>
      </c>
      <c r="C2026" t="inlineStr">
        <is>
          <t>الرياض</t>
        </is>
      </c>
      <c r="D2026" t="inlineStr">
        <is>
          <t>كلا الفترتين</t>
        </is>
      </c>
      <c r="E2026" t="n">
        <v>1472</v>
      </c>
      <c r="F2026" t="b">
        <v>0</v>
      </c>
      <c r="G2026">
        <f>HYPERLINK("https://www.google.com/maps/search/?api=1&amp;query=24.72051339,46.79714379", "View Map")</f>
        <v/>
      </c>
    </row>
    <row r="2027">
      <c r="A2027" t="inlineStr">
        <is>
          <t>مسجدبن مغيثر .</t>
        </is>
      </c>
      <c r="B2027" t="inlineStr">
        <is>
          <t>KFM2020660203497</t>
        </is>
      </c>
      <c r="C2027" t="inlineStr">
        <is>
          <t>الرياض</t>
        </is>
      </c>
      <c r="D2027" t="inlineStr">
        <is>
          <t>كلا الفترتين</t>
        </is>
      </c>
      <c r="E2027" t="n">
        <v>1472</v>
      </c>
      <c r="F2027" t="b">
        <v>1</v>
      </c>
      <c r="G2027">
        <f>HYPERLINK("https://www.google.com/maps/search/?api=1&amp;query=24.61904927,46.71494535", "View Map")</f>
        <v/>
      </c>
    </row>
    <row r="2028">
      <c r="A2028" t="inlineStr">
        <is>
          <t xml:space="preserve">       مسجد   حي   الحمراء .</t>
        </is>
      </c>
      <c r="B2028" t="inlineStr">
        <is>
          <t>KFM2020660042690</t>
        </is>
      </c>
      <c r="C2028" t="inlineStr">
        <is>
          <t>الرياض</t>
        </is>
      </c>
      <c r="D2028" t="inlineStr">
        <is>
          <t>كلا الفترتين</t>
        </is>
      </c>
      <c r="E2028" t="n">
        <v>1470</v>
      </c>
      <c r="F2028" t="b">
        <v>1</v>
      </c>
      <c r="G2028">
        <f>HYPERLINK("https://www.google.com/maps/search/?api=1&amp;query=24.76462421,46.74507395", "View Map")</f>
        <v/>
      </c>
    </row>
    <row r="2029">
      <c r="A2029" t="inlineStr">
        <is>
          <t xml:space="preserve">   مسجد الماضي / حي السليمانيه .</t>
        </is>
      </c>
      <c r="B2029" t="inlineStr">
        <is>
          <t>KFM2020660169597</t>
        </is>
      </c>
      <c r="C2029" t="inlineStr">
        <is>
          <t>الرياض</t>
        </is>
      </c>
      <c r="D2029" t="inlineStr">
        <is>
          <t>كلا الفترتين</t>
        </is>
      </c>
      <c r="E2029" t="n">
        <v>1468</v>
      </c>
      <c r="F2029" t="b">
        <v>0</v>
      </c>
      <c r="G2029">
        <f>HYPERLINK("https://www.google.com/maps/search/?api=1&amp;query=24.69901721,46.70317307", "View Map")</f>
        <v/>
      </c>
    </row>
    <row r="2030">
      <c r="A2030" t="inlineStr">
        <is>
          <t>ﻤﺴﺎﺠﺩ .</t>
        </is>
      </c>
      <c r="B2030" t="inlineStr">
        <is>
          <t>KFM2020660171455</t>
        </is>
      </c>
      <c r="C2030" t="inlineStr">
        <is>
          <t>الرياض</t>
        </is>
      </c>
      <c r="D2030" t="inlineStr">
        <is>
          <t>كلا الفترتين</t>
        </is>
      </c>
      <c r="E2030" t="n">
        <v>1468</v>
      </c>
      <c r="F2030" t="b">
        <v>1</v>
      </c>
      <c r="G2030">
        <f>HYPERLINK("https://www.google.com/maps/search/?api=1&amp;query=24.83222163,46.88963968", "View Map")</f>
        <v/>
      </c>
    </row>
    <row r="2031">
      <c r="A2031" t="inlineStr">
        <is>
          <t xml:space="preserve">   مسجد / علي فهد الهزاع .</t>
        </is>
      </c>
      <c r="B2031" t="inlineStr">
        <is>
          <t>KFM2020660053262</t>
        </is>
      </c>
      <c r="C2031" t="inlineStr">
        <is>
          <t>الرياض</t>
        </is>
      </c>
      <c r="D2031" t="inlineStr">
        <is>
          <t>كلا الفترتين</t>
        </is>
      </c>
      <c r="E2031" t="n">
        <v>1467</v>
      </c>
      <c r="F2031" t="b">
        <v>0</v>
      </c>
      <c r="G2031">
        <f>HYPERLINK("https://www.google.com/maps/search/?api=1&amp;query=24.72103852,46.85780052", "View Map")</f>
        <v/>
      </c>
    </row>
    <row r="2032">
      <c r="A2032" t="inlineStr">
        <is>
          <t xml:space="preserve">   مسجد/ لطيفه .</t>
        </is>
      </c>
      <c r="B2032" t="inlineStr">
        <is>
          <t>KFM2020660025451</t>
        </is>
      </c>
      <c r="C2032" t="inlineStr">
        <is>
          <t>الرياض</t>
        </is>
      </c>
      <c r="D2032" t="inlineStr">
        <is>
          <t>كلا الفترتين</t>
        </is>
      </c>
      <c r="E2032" t="n">
        <v>1467</v>
      </c>
      <c r="F2032" t="b">
        <v>0</v>
      </c>
      <c r="G2032">
        <f>HYPERLINK("https://www.google.com/maps/search/?api=1&amp;query=24.76968857,46.80777119", "View Map")</f>
        <v/>
      </c>
    </row>
    <row r="2033">
      <c r="A2033" t="inlineStr">
        <is>
          <t xml:space="preserve">   مسجد والديحسن  بن   العجمي .</t>
        </is>
      </c>
      <c r="B2033" t="inlineStr">
        <is>
          <t>KFM2020660201326</t>
        </is>
      </c>
      <c r="C2033" t="inlineStr">
        <is>
          <t>الدرعية</t>
        </is>
      </c>
      <c r="D2033" t="inlineStr">
        <is>
          <t>كلا الفترتين</t>
        </is>
      </c>
      <c r="E2033" t="n">
        <v>1466</v>
      </c>
      <c r="F2033" t="b">
        <v>0</v>
      </c>
      <c r="G2033">
        <f>HYPERLINK("https://www.google.com/maps/search/?api=1&amp;query=24.90711903,46.44101417", "View Map")</f>
        <v/>
      </c>
    </row>
    <row r="2034">
      <c r="A2034" t="inlineStr">
        <is>
          <t>ﻤﺴﺎﺠﺩ .</t>
        </is>
      </c>
      <c r="B2034" t="inlineStr">
        <is>
          <t>KFM2120660291838</t>
        </is>
      </c>
      <c r="C2034" t="inlineStr">
        <is>
          <t>الرياض</t>
        </is>
      </c>
      <c r="D2034" t="inlineStr">
        <is>
          <t>كلا الفترتين</t>
        </is>
      </c>
      <c r="E2034" t="n">
        <v>1464</v>
      </c>
      <c r="F2034" t="b">
        <v>1</v>
      </c>
      <c r="G2034">
        <f>HYPERLINK("https://www.google.com/maps/search/?api=1&amp;query=24.79167228,46.6115861", "View Map")</f>
        <v/>
      </c>
    </row>
    <row r="2035">
      <c r="A2035" t="inlineStr">
        <is>
          <t xml:space="preserve">   مسجد حي المصيف .</t>
        </is>
      </c>
      <c r="B2035" t="inlineStr">
        <is>
          <t>KFM2020660127617</t>
        </is>
      </c>
      <c r="C2035" t="inlineStr">
        <is>
          <t>الرياض</t>
        </is>
      </c>
      <c r="D2035" t="inlineStr">
        <is>
          <t>كلا الفترتين</t>
        </is>
      </c>
      <c r="E2035" t="n">
        <v>1464</v>
      </c>
      <c r="F2035" t="b">
        <v>0</v>
      </c>
      <c r="G2035">
        <f>HYPERLINK("https://www.google.com/maps/search/?api=1&amp;query=24.7564232,46.6780316", "View Map")</f>
        <v/>
      </c>
    </row>
    <row r="2036">
      <c r="A2036" t="inlineStr">
        <is>
          <t xml:space="preserve">   مسجد      مهدي      ال رشيد .</t>
        </is>
      </c>
      <c r="B2036" t="inlineStr">
        <is>
          <t>KFM2020660191841</t>
        </is>
      </c>
      <c r="C2036" t="inlineStr">
        <is>
          <t>الرياض</t>
        </is>
      </c>
      <c r="D2036" t="inlineStr">
        <is>
          <t>كلا الفترتين</t>
        </is>
      </c>
      <c r="E2036" t="n">
        <v>1463</v>
      </c>
      <c r="F2036" t="b">
        <v>0</v>
      </c>
      <c r="G2036">
        <f>HYPERLINK("https://www.google.com/maps/search/?api=1&amp;query=24.81871042,46.74988871", "View Map")</f>
        <v/>
      </c>
    </row>
    <row r="2037">
      <c r="A2037" t="inlineStr">
        <is>
          <t xml:space="preserve">   وزارة الشئون الاسلاميه مسجد .</t>
        </is>
      </c>
      <c r="B2037" t="inlineStr">
        <is>
          <t>KFM2020660162308</t>
        </is>
      </c>
      <c r="C2037" t="inlineStr">
        <is>
          <t>الرياض</t>
        </is>
      </c>
      <c r="D2037" t="inlineStr">
        <is>
          <t>كلا الفترتين</t>
        </is>
      </c>
      <c r="E2037" t="n">
        <v>1463</v>
      </c>
      <c r="F2037" t="b">
        <v>0</v>
      </c>
      <c r="G2037">
        <f>HYPERLINK("https://www.google.com/maps/search/?api=1&amp;query=24.56263167,46.7726167", "View Map")</f>
        <v/>
      </c>
    </row>
    <row r="2038">
      <c r="A2038" t="inlineStr">
        <is>
          <t xml:space="preserve">   مسجد      النافل    / .</t>
        </is>
      </c>
      <c r="B2038" t="inlineStr">
        <is>
          <t>KFM2020660054558</t>
        </is>
      </c>
      <c r="C2038" t="inlineStr">
        <is>
          <t>الرياض</t>
        </is>
      </c>
      <c r="D2038" t="inlineStr">
        <is>
          <t>كلا الفترتين</t>
        </is>
      </c>
      <c r="E2038" t="n">
        <v>1463</v>
      </c>
      <c r="F2038" t="b">
        <v>0</v>
      </c>
      <c r="G2038">
        <f>HYPERLINK("https://www.google.com/maps/search/?api=1&amp;query=24.72159968,46.83753929", "View Map")</f>
        <v/>
      </c>
    </row>
    <row r="2039">
      <c r="A2039" t="inlineStr">
        <is>
          <t xml:space="preserve">   مسجدام الحمام .</t>
        </is>
      </c>
      <c r="B2039" t="inlineStr">
        <is>
          <t>KFM2020660212029</t>
        </is>
      </c>
      <c r="C2039" t="inlineStr">
        <is>
          <t>الرياض</t>
        </is>
      </c>
      <c r="D2039" t="inlineStr">
        <is>
          <t>كلا الفترتين</t>
        </is>
      </c>
      <c r="E2039" t="n">
        <v>1462</v>
      </c>
      <c r="F2039" t="b">
        <v>0</v>
      </c>
      <c r="G2039">
        <f>HYPERLINK("https://www.google.com/maps/search/?api=1&amp;query=24.6901217,46.64576329", "View Map")</f>
        <v/>
      </c>
    </row>
    <row r="2040">
      <c r="A2040" t="inlineStr">
        <is>
          <t>مسجد/ عبدالله  بن مسعود .</t>
        </is>
      </c>
      <c r="B2040" t="inlineStr">
        <is>
          <t>KFM2020660013735</t>
        </is>
      </c>
      <c r="C2040" t="inlineStr">
        <is>
          <t>الرياض</t>
        </is>
      </c>
      <c r="D2040" t="inlineStr">
        <is>
          <t>كلا الفترتين</t>
        </is>
      </c>
      <c r="E2040" t="n">
        <v>1462</v>
      </c>
      <c r="F2040" t="b">
        <v>0</v>
      </c>
      <c r="G2040">
        <f>HYPERLINK("https://www.google.com/maps/search/?api=1&amp;query=24.56231932,46.68050073", "View Map")</f>
        <v/>
      </c>
    </row>
    <row r="2041">
      <c r="A2041" t="inlineStr">
        <is>
          <t>ﻤﺴﺎﺠﺩ .</t>
        </is>
      </c>
      <c r="B2041" t="inlineStr">
        <is>
          <t>SMR2320661031278</t>
        </is>
      </c>
      <c r="C2041" t="inlineStr">
        <is>
          <t>الرياض</t>
        </is>
      </c>
      <c r="D2041" t="inlineStr">
        <is>
          <t>كلا الفترتين</t>
        </is>
      </c>
      <c r="E2041" t="n">
        <v>1461</v>
      </c>
      <c r="F2041" t="b">
        <v>0</v>
      </c>
      <c r="G2041">
        <f>HYPERLINK("https://www.google.com/maps/search/?api=1&amp;query=24.66616094,46.5153889", "View Map")</f>
        <v/>
      </c>
    </row>
    <row r="2042">
      <c r="A2042" t="inlineStr">
        <is>
          <t xml:space="preserve">   مسجد هشام بن عبدالملك .</t>
        </is>
      </c>
      <c r="B2042" t="inlineStr">
        <is>
          <t>KFM2020660174126</t>
        </is>
      </c>
      <c r="C2042" t="inlineStr">
        <is>
          <t>الرياض</t>
        </is>
      </c>
      <c r="D2042" t="inlineStr">
        <is>
          <t>كلا الفترتين</t>
        </is>
      </c>
      <c r="E2042" t="n">
        <v>1461</v>
      </c>
      <c r="F2042" t="b">
        <v>1</v>
      </c>
      <c r="G2042">
        <f>HYPERLINK("https://www.google.com/maps/search/?api=1&amp;query=24.75081,46.6834", "View Map")</f>
        <v/>
      </c>
    </row>
    <row r="2043">
      <c r="A2043" t="inlineStr">
        <is>
          <t>ﻤﺴﺎﺠﺩ .</t>
        </is>
      </c>
      <c r="B2043" t="inlineStr">
        <is>
          <t>KFM2020660190391</t>
        </is>
      </c>
      <c r="C2043" t="inlineStr">
        <is>
          <t>الرياض</t>
        </is>
      </c>
      <c r="D2043" t="inlineStr">
        <is>
          <t>كلا الفترتين</t>
        </is>
      </c>
      <c r="E2043" t="n">
        <v>1461</v>
      </c>
      <c r="F2043" t="b">
        <v>1</v>
      </c>
      <c r="G2043">
        <f>HYPERLINK("https://www.google.com/maps/search/?api=1&amp;query=24.87773,46.60725", "View Map")</f>
        <v/>
      </c>
    </row>
    <row r="2044">
      <c r="A2044" t="inlineStr">
        <is>
          <t xml:space="preserve">   مسجد جنوب بندةالعلياء .</t>
        </is>
      </c>
      <c r="B2044" t="inlineStr">
        <is>
          <t>KFM2020660051326</t>
        </is>
      </c>
      <c r="C2044" t="inlineStr">
        <is>
          <t>الرياض</t>
        </is>
      </c>
      <c r="D2044" t="inlineStr">
        <is>
          <t>كلا الفترتين</t>
        </is>
      </c>
      <c r="E2044" t="n">
        <v>1460</v>
      </c>
      <c r="F2044" t="b">
        <v>0</v>
      </c>
      <c r="G2044">
        <f>HYPERLINK("https://www.google.com/maps/search/?api=1&amp;query=24.69252727,46.69934526", "View Map")</f>
        <v/>
      </c>
    </row>
    <row r="2045">
      <c r="A2045" t="inlineStr">
        <is>
          <t xml:space="preserve">   جامع الشيخ محمد الدغيثر .</t>
        </is>
      </c>
      <c r="B2045" t="inlineStr">
        <is>
          <t>KFM2020660165391</t>
        </is>
      </c>
      <c r="C2045" t="inlineStr">
        <is>
          <t>الرياض</t>
        </is>
      </c>
      <c r="D2045" t="inlineStr">
        <is>
          <t>كلا الفترتين</t>
        </is>
      </c>
      <c r="E2045" t="n">
        <v>1460</v>
      </c>
      <c r="F2045" t="b">
        <v>0</v>
      </c>
      <c r="G2045">
        <f>HYPERLINK("https://www.google.com/maps/search/?api=1&amp;query=24.70497222,46.69325261", "View Map")</f>
        <v/>
      </c>
    </row>
    <row r="2046">
      <c r="A2046" t="inlineStr">
        <is>
          <t xml:space="preserve">   مسجد      جامع      . .</t>
        </is>
      </c>
      <c r="B2046" t="inlineStr">
        <is>
          <t>KFM2020660174235</t>
        </is>
      </c>
      <c r="C2046" t="inlineStr">
        <is>
          <t>الرياض</t>
        </is>
      </c>
      <c r="D2046" t="inlineStr">
        <is>
          <t>صباحا</t>
        </is>
      </c>
      <c r="E2046" t="n">
        <v>1460</v>
      </c>
      <c r="F2046" t="b">
        <v>0</v>
      </c>
      <c r="G2046">
        <f>HYPERLINK("https://www.google.com/maps/search/?api=1&amp;query=24.74385,46.69448", "View Map")</f>
        <v/>
      </c>
    </row>
    <row r="2047">
      <c r="A2047" t="inlineStr">
        <is>
          <t>.      مسجد الشيخ /صالح .</t>
        </is>
      </c>
      <c r="B2047" t="inlineStr">
        <is>
          <t>KFM2020660202639</t>
        </is>
      </c>
      <c r="C2047" t="inlineStr">
        <is>
          <t>الرياض</t>
        </is>
      </c>
      <c r="D2047" t="inlineStr">
        <is>
          <t>كلا الفترتين</t>
        </is>
      </c>
      <c r="E2047" t="n">
        <v>1458</v>
      </c>
      <c r="F2047" t="b">
        <v>0</v>
      </c>
      <c r="G2047">
        <f>HYPERLINK("https://www.google.com/maps/search/?api=1&amp;query=24.56918754,46.69135625", "View Map")</f>
        <v/>
      </c>
    </row>
    <row r="2048">
      <c r="A2048" t="inlineStr">
        <is>
          <t xml:space="preserve">   مسجد اسد السنة .</t>
        </is>
      </c>
      <c r="B2048" t="inlineStr">
        <is>
          <t>KFM2020660057569</t>
        </is>
      </c>
      <c r="C2048" t="inlineStr">
        <is>
          <t>الرياض</t>
        </is>
      </c>
      <c r="D2048" t="inlineStr">
        <is>
          <t>كلا الفترتين</t>
        </is>
      </c>
      <c r="E2048" t="n">
        <v>1458</v>
      </c>
      <c r="F2048" t="b">
        <v>0</v>
      </c>
      <c r="G2048">
        <f>HYPERLINK("https://www.google.com/maps/search/?api=1&amp;query=24.63096823,46.77575977", "View Map")</f>
        <v/>
      </c>
    </row>
    <row r="2049">
      <c r="A2049" t="inlineStr">
        <is>
          <t xml:space="preserve">   مسجد النفيسه .</t>
        </is>
      </c>
      <c r="B2049" t="inlineStr">
        <is>
          <t>KFM2120660251614</t>
        </is>
      </c>
      <c r="C2049" t="inlineStr">
        <is>
          <t>الرياض</t>
        </is>
      </c>
      <c r="D2049" t="inlineStr">
        <is>
          <t>كلا الفترتين</t>
        </is>
      </c>
      <c r="E2049" t="n">
        <v>1458</v>
      </c>
      <c r="F2049" t="b">
        <v>1</v>
      </c>
      <c r="G2049">
        <f>HYPERLINK("https://www.google.com/maps/search/?api=1&amp;query=24.80983245,46.88281636", "View Map")</f>
        <v/>
      </c>
    </row>
    <row r="2050">
      <c r="A2050" t="inlineStr">
        <is>
          <t xml:space="preserve">   مسجد صالح عبدالله الحمادي .</t>
        </is>
      </c>
      <c r="B2050" t="inlineStr">
        <is>
          <t>KFM2020660047763</t>
        </is>
      </c>
      <c r="C2050" t="inlineStr">
        <is>
          <t>الرياض</t>
        </is>
      </c>
      <c r="D2050" t="inlineStr">
        <is>
          <t>كلا الفترتين</t>
        </is>
      </c>
      <c r="E2050" t="n">
        <v>1457</v>
      </c>
      <c r="F2050" t="b">
        <v>0</v>
      </c>
      <c r="G2050">
        <f>HYPERLINK("https://www.google.com/maps/search/?api=1&amp;query=24.65588646,46.75547512", "View Map")</f>
        <v/>
      </c>
    </row>
    <row r="2051">
      <c r="A2051" t="inlineStr">
        <is>
          <t>ﻭﺯﺍﺭﺓﺍﻟﺸﺌﻭﻥ ﺍﻻﺴﻼﻤﻴﺓﻭﺍﻻﻭﻗﺎﻑ .</t>
        </is>
      </c>
      <c r="B2051" t="inlineStr">
        <is>
          <t>KFM2020660177066</t>
        </is>
      </c>
      <c r="C2051" t="inlineStr">
        <is>
          <t>الرياض</t>
        </is>
      </c>
      <c r="D2051" t="inlineStr">
        <is>
          <t>كلا الفترتين</t>
        </is>
      </c>
      <c r="E2051" t="n">
        <v>1457</v>
      </c>
      <c r="F2051" t="b">
        <v>1</v>
      </c>
      <c r="G2051">
        <f>HYPERLINK("https://www.google.com/maps/search/?api=1&amp;query=24.557567,46.55944384", "View Map")</f>
        <v/>
      </c>
    </row>
    <row r="2052">
      <c r="A2052" t="inlineStr">
        <is>
          <t>ﻭﺯﺍﺭﺓﺍﻟﺸﺌﻭﻥ ﺍﻻﺴﻼﻤﻴﺓﻭﺍﻻﻭﻗﺎﻑ .</t>
        </is>
      </c>
      <c r="B2052" t="inlineStr">
        <is>
          <t>KFM2020660038844</t>
        </is>
      </c>
      <c r="C2052" t="inlineStr">
        <is>
          <t>الرياض</t>
        </is>
      </c>
      <c r="D2052" t="inlineStr">
        <is>
          <t>كلا الفترتين</t>
        </is>
      </c>
      <c r="E2052" t="n">
        <v>1456</v>
      </c>
      <c r="F2052" t="b">
        <v>1</v>
      </c>
      <c r="G2052">
        <f>HYPERLINK("https://www.google.com/maps/search/?api=1&amp;query=24.625613,46.697227", "View Map")</f>
        <v/>
      </c>
    </row>
    <row r="2053">
      <c r="A2053" t="inlineStr">
        <is>
          <t xml:space="preserve">   مسجد محمد السدحان .</t>
        </is>
      </c>
      <c r="B2053" t="inlineStr">
        <is>
          <t>KFM2020660104802</t>
        </is>
      </c>
      <c r="C2053" t="inlineStr">
        <is>
          <t>الرياض</t>
        </is>
      </c>
      <c r="D2053" t="inlineStr">
        <is>
          <t>كلا الفترتين</t>
        </is>
      </c>
      <c r="E2053" t="n">
        <v>1455</v>
      </c>
      <c r="F2053" t="b">
        <v>1</v>
      </c>
      <c r="G2053">
        <f>HYPERLINK("https://www.google.com/maps/search/?api=1&amp;query=24.79991039,46.74318327", "View Map")</f>
        <v/>
      </c>
    </row>
    <row r="2054">
      <c r="A2054" t="inlineStr">
        <is>
          <t xml:space="preserve">   مسجد عطا الله العنزي .</t>
        </is>
      </c>
      <c r="B2054" t="inlineStr">
        <is>
          <t>KFM2020660042639</t>
        </is>
      </c>
      <c r="C2054" t="inlineStr">
        <is>
          <t>الرياض</t>
        </is>
      </c>
      <c r="D2054" t="inlineStr">
        <is>
          <t>كلا الفترتين</t>
        </is>
      </c>
      <c r="E2054" t="n">
        <v>1455</v>
      </c>
      <c r="F2054" t="b">
        <v>0</v>
      </c>
      <c r="G2054">
        <f>HYPERLINK("https://www.google.com/maps/search/?api=1&amp;query=24.71843199,46.85317115", "View Map")</f>
        <v/>
      </c>
    </row>
    <row r="2055">
      <c r="A2055" t="inlineStr">
        <is>
          <t>ﻤﺴﺎﺠﺩ .</t>
        </is>
      </c>
      <c r="B2055" t="inlineStr">
        <is>
          <t>SMR2220661017806</t>
        </is>
      </c>
      <c r="C2055" t="inlineStr">
        <is>
          <t>الرياض</t>
        </is>
      </c>
      <c r="D2055" t="inlineStr">
        <is>
          <t>كلا الفترتين</t>
        </is>
      </c>
      <c r="E2055" t="n">
        <v>1454</v>
      </c>
      <c r="F2055" t="b">
        <v>1</v>
      </c>
      <c r="G2055">
        <f>HYPERLINK("https://www.google.com/maps/search/?api=1&amp;query=24.87035104,46.65307017", "View Map")</f>
        <v/>
      </c>
    </row>
    <row r="2056">
      <c r="A2056" t="inlineStr">
        <is>
          <t>مسجدبن عويسان .</t>
        </is>
      </c>
      <c r="B2056" t="inlineStr">
        <is>
          <t>KFM2020660011934</t>
        </is>
      </c>
      <c r="C2056" t="inlineStr">
        <is>
          <t>الرياض</t>
        </is>
      </c>
      <c r="D2056" t="inlineStr">
        <is>
          <t>كلا الفترتين</t>
        </is>
      </c>
      <c r="E2056" t="n">
        <v>1453</v>
      </c>
      <c r="F2056" t="b">
        <v>0</v>
      </c>
      <c r="G2056">
        <f>HYPERLINK("https://www.google.com/maps/search/?api=1&amp;query=24.62083809,46.7033077", "View Map")</f>
        <v/>
      </c>
    </row>
    <row r="2057">
      <c r="A2057" t="inlineStr">
        <is>
          <t xml:space="preserve">   جامع السلى .</t>
        </is>
      </c>
      <c r="B2057" t="inlineStr">
        <is>
          <t>KFM2120660304981</t>
        </is>
      </c>
      <c r="C2057" t="inlineStr">
        <is>
          <t>الرياض</t>
        </is>
      </c>
      <c r="D2057" t="inlineStr">
        <is>
          <t>كلا الفترتين</t>
        </is>
      </c>
      <c r="E2057" t="n">
        <v>1453</v>
      </c>
      <c r="F2057" t="b">
        <v>0</v>
      </c>
      <c r="G2057">
        <f>HYPERLINK("https://www.google.com/maps/search/?api=1&amp;query=24.67219664,46.80932935", "View Map")</f>
        <v/>
      </c>
    </row>
    <row r="2058">
      <c r="A2058" t="inlineStr">
        <is>
          <t>مسجد/ابراهيم  محمد الحمود .</t>
        </is>
      </c>
      <c r="B2058" t="inlineStr">
        <is>
          <t>KFM2120660295190</t>
        </is>
      </c>
      <c r="C2058" t="inlineStr">
        <is>
          <t>الرياض</t>
        </is>
      </c>
      <c r="D2058" t="inlineStr">
        <is>
          <t>كلا الفترتين</t>
        </is>
      </c>
      <c r="E2058" t="n">
        <v>1451</v>
      </c>
      <c r="F2058" t="b">
        <v>0</v>
      </c>
      <c r="G2058">
        <f>HYPERLINK("https://www.google.com/maps/search/?api=1&amp;query=24.57726345,46.69667648", "View Map")</f>
        <v/>
      </c>
    </row>
    <row r="2059">
      <c r="A2059" t="inlineStr">
        <is>
          <t xml:space="preserve">   مساجد .</t>
        </is>
      </c>
      <c r="B2059" t="inlineStr">
        <is>
          <t>KFM2020660191827</t>
        </is>
      </c>
      <c r="C2059" t="inlineStr">
        <is>
          <t>الرياض</t>
        </is>
      </c>
      <c r="D2059" t="inlineStr">
        <is>
          <t>كلا الفترتين</t>
        </is>
      </c>
      <c r="E2059" t="n">
        <v>1450</v>
      </c>
      <c r="F2059" t="b">
        <v>1</v>
      </c>
      <c r="G2059">
        <f>HYPERLINK("https://www.google.com/maps/search/?api=1&amp;query=24.8436,46.8181", "View Map")</f>
        <v/>
      </c>
    </row>
    <row r="2060">
      <c r="A2060" t="inlineStr">
        <is>
          <t>مسجدالاميرفهدبن فيصل  الفرحان .</t>
        </is>
      </c>
      <c r="B2060" t="inlineStr">
        <is>
          <t>KFM2020660056017</t>
        </is>
      </c>
      <c r="C2060" t="inlineStr">
        <is>
          <t>الرياض</t>
        </is>
      </c>
      <c r="D2060" t="inlineStr">
        <is>
          <t>كلا الفترتين</t>
        </is>
      </c>
      <c r="E2060" t="n">
        <v>1447</v>
      </c>
      <c r="F2060" t="b">
        <v>0</v>
      </c>
      <c r="G2060">
        <f>HYPERLINK("https://www.google.com/maps/search/?api=1&amp;query=24.62398434,46.67861971", "View Map")</f>
        <v/>
      </c>
    </row>
    <row r="2061">
      <c r="A2061" t="inlineStr">
        <is>
          <t xml:space="preserve">   مسجد سعود السبيعي .</t>
        </is>
      </c>
      <c r="B2061" t="inlineStr">
        <is>
          <t>KFM2020660167819</t>
        </is>
      </c>
      <c r="C2061" t="inlineStr">
        <is>
          <t>الرياض</t>
        </is>
      </c>
      <c r="D2061" t="inlineStr">
        <is>
          <t>كلا الفترتين</t>
        </is>
      </c>
      <c r="E2061" t="n">
        <v>1447</v>
      </c>
      <c r="F2061" t="b">
        <v>0</v>
      </c>
      <c r="G2061">
        <f>HYPERLINK("https://www.google.com/maps/search/?api=1&amp;query=24.73495996,46.82072804", "View Map")</f>
        <v/>
      </c>
    </row>
    <row r="2062">
      <c r="A2062" t="inlineStr">
        <is>
          <t xml:space="preserve">   مسجد ابراهيم الحصين ومرافقه .</t>
        </is>
      </c>
      <c r="B2062" t="inlineStr">
        <is>
          <t>ECC2020810865796</t>
        </is>
      </c>
      <c r="C2062" t="inlineStr">
        <is>
          <t>الرياض</t>
        </is>
      </c>
      <c r="D2062" t="inlineStr">
        <is>
          <t>كلا الفترتين</t>
        </is>
      </c>
      <c r="E2062" t="n">
        <v>1447</v>
      </c>
      <c r="F2062" t="b">
        <v>1</v>
      </c>
      <c r="G2062">
        <f>HYPERLINK("https://www.google.com/maps/search/?api=1&amp;query=24.79646133,46.70030065", "View Map")</f>
        <v/>
      </c>
    </row>
    <row r="2063">
      <c r="A2063" t="inlineStr">
        <is>
          <t>مسجد التوحيد بالعريجاء .</t>
        </is>
      </c>
      <c r="B2063" t="inlineStr">
        <is>
          <t>KFM2020660153735</t>
        </is>
      </c>
      <c r="C2063" t="inlineStr">
        <is>
          <t>الرياض</t>
        </is>
      </c>
      <c r="D2063" t="inlineStr">
        <is>
          <t>كلا الفترتين</t>
        </is>
      </c>
      <c r="E2063" t="n">
        <v>1445</v>
      </c>
      <c r="F2063" t="b">
        <v>1</v>
      </c>
      <c r="G2063">
        <f>HYPERLINK("https://www.google.com/maps/search/?api=1&amp;query=24.57768278,46.56258624", "View Map")</f>
        <v/>
      </c>
    </row>
    <row r="2064">
      <c r="A2064" t="inlineStr">
        <is>
          <t xml:space="preserve">   مسجد الفاروق .</t>
        </is>
      </c>
      <c r="B2064" t="inlineStr">
        <is>
          <t>KFM2120660271550</t>
        </is>
      </c>
      <c r="C2064" t="inlineStr">
        <is>
          <t>الرياض</t>
        </is>
      </c>
      <c r="D2064" t="inlineStr">
        <is>
          <t>كلا الفترتين</t>
        </is>
      </c>
      <c r="E2064" t="n">
        <v>1445</v>
      </c>
      <c r="F2064" t="b">
        <v>1</v>
      </c>
      <c r="G2064">
        <f>HYPERLINK("https://www.google.com/maps/search/?api=1&amp;query=24.65276525,46.79890963", "View Map")</f>
        <v/>
      </c>
    </row>
    <row r="2065">
      <c r="A2065" t="inlineStr">
        <is>
          <t>0    مسجد      الشعلان .</t>
        </is>
      </c>
      <c r="B2065" t="inlineStr">
        <is>
          <t>KFM2020660201705</t>
        </is>
      </c>
      <c r="C2065" t="inlineStr">
        <is>
          <t>الرياض</t>
        </is>
      </c>
      <c r="D2065" t="inlineStr">
        <is>
          <t>كلا الفترتين</t>
        </is>
      </c>
      <c r="E2065" t="n">
        <v>1444</v>
      </c>
      <c r="F2065" t="b">
        <v>1</v>
      </c>
      <c r="G2065">
        <f>HYPERLINK("https://www.google.com/maps/search/?api=1&amp;query=24.57519491,46.5990841", "View Map")</f>
        <v/>
      </c>
    </row>
    <row r="2066">
      <c r="A2066" t="inlineStr">
        <is>
          <t xml:space="preserve">   مسجد عبدالله الكابري .</t>
        </is>
      </c>
      <c r="B2066" t="inlineStr">
        <is>
          <t>KFM2020660174452</t>
        </is>
      </c>
      <c r="C2066" t="inlineStr">
        <is>
          <t>الرياض</t>
        </is>
      </c>
      <c r="D2066" t="inlineStr">
        <is>
          <t>كلا الفترتين</t>
        </is>
      </c>
      <c r="E2066" t="n">
        <v>1443</v>
      </c>
      <c r="F2066" t="b">
        <v>0</v>
      </c>
      <c r="G2066">
        <f>HYPERLINK("https://www.google.com/maps/search/?api=1&amp;query=24.70491,46.82291", "View Map")</f>
        <v/>
      </c>
    </row>
    <row r="2067">
      <c r="A2067" t="inlineStr">
        <is>
          <t xml:space="preserve">   مساجد .</t>
        </is>
      </c>
      <c r="B2067" t="inlineStr">
        <is>
          <t>KFM2020660192521</t>
        </is>
      </c>
      <c r="C2067" t="inlineStr">
        <is>
          <t>الرياض</t>
        </is>
      </c>
      <c r="D2067" t="inlineStr">
        <is>
          <t>كلا الفترتين</t>
        </is>
      </c>
      <c r="E2067" t="n">
        <v>1443</v>
      </c>
      <c r="F2067" t="b">
        <v>0</v>
      </c>
      <c r="G2067">
        <f>HYPERLINK("https://www.google.com/maps/search/?api=1&amp;query=24.65120375,46.58584585", "View Map")</f>
        <v/>
      </c>
    </row>
    <row r="2068">
      <c r="A2068" t="inlineStr">
        <is>
          <t xml:space="preserve">   مسجد      جامع      ا .</t>
        </is>
      </c>
      <c r="B2068" t="inlineStr">
        <is>
          <t>KFM2020660211270</t>
        </is>
      </c>
      <c r="C2068" t="inlineStr">
        <is>
          <t>الدرعية</t>
        </is>
      </c>
      <c r="D2068" t="inlineStr">
        <is>
          <t>كلا الفترتين</t>
        </is>
      </c>
      <c r="E2068" t="n">
        <v>1442</v>
      </c>
      <c r="F2068" t="b">
        <v>0</v>
      </c>
      <c r="G2068">
        <f>HYPERLINK("https://www.google.com/maps/search/?api=1&amp;query=25.0125383,46.46613682", "View Map")</f>
        <v/>
      </c>
    </row>
    <row r="2069">
      <c r="A2069" t="inlineStr">
        <is>
          <t xml:space="preserve">   مسجد عبدالطيف العبدالطيف .</t>
        </is>
      </c>
      <c r="B2069" t="inlineStr">
        <is>
          <t>KFM2120660279592</t>
        </is>
      </c>
      <c r="C2069" t="inlineStr">
        <is>
          <t>الرياض</t>
        </is>
      </c>
      <c r="D2069" t="inlineStr">
        <is>
          <t>كلا الفترتين</t>
        </is>
      </c>
      <c r="E2069" t="n">
        <v>1442</v>
      </c>
      <c r="F2069" t="b">
        <v>0</v>
      </c>
      <c r="G2069">
        <f>HYPERLINK("https://www.google.com/maps/search/?api=1&amp;query=24.67615268,46.74511819", "View Map")</f>
        <v/>
      </c>
    </row>
    <row r="2070">
      <c r="A2070" t="inlineStr">
        <is>
          <t xml:space="preserve">    مسجد وادي لبن الا ول .</t>
        </is>
      </c>
      <c r="B2070" t="inlineStr">
        <is>
          <t>KFM2020660192602</t>
        </is>
      </c>
      <c r="C2070" t="inlineStr">
        <is>
          <t>الرياض</t>
        </is>
      </c>
      <c r="D2070" t="inlineStr">
        <is>
          <t>كلا الفترتين</t>
        </is>
      </c>
      <c r="E2070" t="n">
        <v>1441</v>
      </c>
      <c r="F2070" t="b">
        <v>1</v>
      </c>
      <c r="G2070">
        <f>HYPERLINK("https://www.google.com/maps/search/?api=1&amp;query=24.6342636,46.61424206", "View Map")</f>
        <v/>
      </c>
    </row>
    <row r="2071">
      <c r="A2071" t="inlineStr">
        <is>
          <t xml:space="preserve">   مسجد عوده العبدالله العوده .</t>
        </is>
      </c>
      <c r="B2071" t="inlineStr">
        <is>
          <t>KFM2120660285398</t>
        </is>
      </c>
      <c r="C2071" t="inlineStr">
        <is>
          <t>الرياض</t>
        </is>
      </c>
      <c r="D2071" t="inlineStr">
        <is>
          <t>كلا الفترتين</t>
        </is>
      </c>
      <c r="E2071" t="n">
        <v>1441</v>
      </c>
      <c r="F2071" t="b">
        <v>0</v>
      </c>
      <c r="G2071">
        <f>HYPERLINK("https://www.google.com/maps/search/?api=1&amp;query=24.61923434,46.73555924", "View Map")</f>
        <v/>
      </c>
    </row>
    <row r="2072">
      <c r="A2072" t="inlineStr">
        <is>
          <t xml:space="preserve">   جامع عمر المختار .</t>
        </is>
      </c>
      <c r="B2072" t="inlineStr">
        <is>
          <t>SMR2220661018901</t>
        </is>
      </c>
      <c r="C2072" t="inlineStr">
        <is>
          <t>الرياض</t>
        </is>
      </c>
      <c r="D2072" t="inlineStr">
        <is>
          <t>كلا الفترتين</t>
        </is>
      </c>
      <c r="E2072" t="n">
        <v>1441</v>
      </c>
      <c r="F2072" t="b">
        <v>0</v>
      </c>
      <c r="G2072">
        <f>HYPERLINK("https://www.google.com/maps/search/?api=1&amp;query=24.5803236,46.84041839", "View Map")</f>
        <v/>
      </c>
    </row>
    <row r="2073">
      <c r="A2073" t="inlineStr">
        <is>
          <t xml:space="preserve">   مسجد عبدالله الغنام .</t>
        </is>
      </c>
      <c r="B2073" t="inlineStr">
        <is>
          <t>KFM2020660036389</t>
        </is>
      </c>
      <c r="C2073" t="inlineStr">
        <is>
          <t>الرياض</t>
        </is>
      </c>
      <c r="D2073" t="inlineStr">
        <is>
          <t>كلا الفترتين</t>
        </is>
      </c>
      <c r="E2073" t="n">
        <v>1440</v>
      </c>
      <c r="F2073" t="b">
        <v>1</v>
      </c>
      <c r="G2073">
        <f>HYPERLINK("https://www.google.com/maps/search/?api=1&amp;query=24.7006255,46.82128013", "View Map")</f>
        <v/>
      </c>
    </row>
    <row r="2074">
      <c r="A2074" t="inlineStr">
        <is>
          <t xml:space="preserve">   مسجد عبدالله ولوالديه .</t>
        </is>
      </c>
      <c r="B2074" t="inlineStr">
        <is>
          <t>KFM2020766172033</t>
        </is>
      </c>
      <c r="C2074" t="inlineStr">
        <is>
          <t>الرياض</t>
        </is>
      </c>
      <c r="D2074" t="inlineStr">
        <is>
          <t>كلا الفترتين</t>
        </is>
      </c>
      <c r="E2074" t="n">
        <v>1440</v>
      </c>
      <c r="F2074" t="b">
        <v>0</v>
      </c>
      <c r="G2074">
        <f>HYPERLINK("https://www.google.com/maps/search/?api=1&amp;query=24.789881,46.81354787", "View Map")</f>
        <v/>
      </c>
    </row>
    <row r="2075">
      <c r="A2075" t="inlineStr">
        <is>
          <t xml:space="preserve"> مسجدالاميرة/منيرة سلطان بن عبدالعزيز .</t>
        </is>
      </c>
      <c r="B2075" t="inlineStr">
        <is>
          <t>KFM2120660272459</t>
        </is>
      </c>
      <c r="C2075" t="inlineStr">
        <is>
          <t>الرياض</t>
        </is>
      </c>
      <c r="D2075" t="inlineStr">
        <is>
          <t>كلا الفترتين</t>
        </is>
      </c>
      <c r="E2075" t="n">
        <v>1440</v>
      </c>
      <c r="F2075" t="b">
        <v>1</v>
      </c>
      <c r="G2075">
        <f>HYPERLINK("https://www.google.com/maps/search/?api=1&amp;query=24.76235624,46.68537258", "View Map")</f>
        <v/>
      </c>
    </row>
    <row r="2076">
      <c r="A2076" t="inlineStr">
        <is>
          <t>مسجد      ابو بكر الصديق .</t>
        </is>
      </c>
      <c r="B2076" t="inlineStr">
        <is>
          <t>KFM2020660191158</t>
        </is>
      </c>
      <c r="C2076" t="inlineStr">
        <is>
          <t>الرياض</t>
        </is>
      </c>
      <c r="D2076" t="inlineStr">
        <is>
          <t>كلا الفترتين</t>
        </is>
      </c>
      <c r="E2076" t="n">
        <v>1440</v>
      </c>
      <c r="F2076" t="b">
        <v>1</v>
      </c>
      <c r="G2076">
        <f>HYPERLINK("https://www.google.com/maps/search/?api=1&amp;query=24.56298908,46.5635717", "View Map")</f>
        <v/>
      </c>
    </row>
    <row r="2077">
      <c r="A2077" t="inlineStr">
        <is>
          <t xml:space="preserve">   مسجد الامير مشعل بن عبدالعزيز .</t>
        </is>
      </c>
      <c r="B2077" t="inlineStr">
        <is>
          <t>SMR2420661035986</t>
        </is>
      </c>
      <c r="C2077" t="inlineStr">
        <is>
          <t>الرياض</t>
        </is>
      </c>
      <c r="D2077" t="inlineStr">
        <is>
          <t>كلا الفترتين</t>
        </is>
      </c>
      <c r="E2077" t="n">
        <v>1439</v>
      </c>
      <c r="F2077" t="b">
        <v>1</v>
      </c>
      <c r="G2077">
        <f>HYPERLINK("https://www.google.com/maps/search/?api=1&amp;query=24.68129367,46.80878535", "View Map")</f>
        <v/>
      </c>
    </row>
    <row r="2078">
      <c r="A2078" t="inlineStr">
        <is>
          <t xml:space="preserve">   مسجد      سارة      . .</t>
        </is>
      </c>
      <c r="B2078" t="inlineStr">
        <is>
          <t>KFM2020660060501</t>
        </is>
      </c>
      <c r="C2078" t="inlineStr">
        <is>
          <t>الرياض</t>
        </is>
      </c>
      <c r="D2078" t="inlineStr">
        <is>
          <t>كلا الفترتين</t>
        </is>
      </c>
      <c r="E2078" t="n">
        <v>1439</v>
      </c>
      <c r="F2078" t="b">
        <v>0</v>
      </c>
      <c r="G2078">
        <f>HYPERLINK("https://www.google.com/maps/search/?api=1&amp;query=24.78872338,46.81821817", "View Map")</f>
        <v/>
      </c>
    </row>
    <row r="2079">
      <c r="A2079" t="inlineStr">
        <is>
          <t>مسجد  محمد فهد   الحكير .</t>
        </is>
      </c>
      <c r="B2079" t="inlineStr">
        <is>
          <t>KFM2020660051416</t>
        </is>
      </c>
      <c r="C2079" t="inlineStr">
        <is>
          <t>الرياض</t>
        </is>
      </c>
      <c r="D2079" t="inlineStr">
        <is>
          <t>مساءا</t>
        </is>
      </c>
      <c r="E2079" t="n">
        <v>1437</v>
      </c>
      <c r="F2079" t="b">
        <v>0</v>
      </c>
      <c r="G2079">
        <f>HYPERLINK("https://www.google.com/maps/search/?api=1&amp;query=24.6261388,46.65293838", "View Map")</f>
        <v/>
      </c>
    </row>
    <row r="2080">
      <c r="A2080" t="inlineStr">
        <is>
          <t>ﻤﺴﺎﺠﺩ .</t>
        </is>
      </c>
      <c r="B2080" t="inlineStr">
        <is>
          <t>KFM2120660304959</t>
        </is>
      </c>
      <c r="C2080" t="inlineStr">
        <is>
          <t>الرياض</t>
        </is>
      </c>
      <c r="D2080" t="inlineStr">
        <is>
          <t>كلا الفترتين</t>
        </is>
      </c>
      <c r="E2080" t="n">
        <v>1436</v>
      </c>
      <c r="F2080" t="b">
        <v>0</v>
      </c>
      <c r="G2080">
        <f>HYPERLINK("https://www.google.com/maps/search/?api=1&amp;query=24.64917485,46.83991769", "View Map")</f>
        <v/>
      </c>
    </row>
    <row r="2081">
      <c r="A2081" t="inlineStr">
        <is>
          <t xml:space="preserve">   جامع القدس .</t>
        </is>
      </c>
      <c r="B2081" t="inlineStr">
        <is>
          <t>KFM2020660170873</t>
        </is>
      </c>
      <c r="C2081" t="inlineStr">
        <is>
          <t>الرياض</t>
        </is>
      </c>
      <c r="D2081" t="inlineStr">
        <is>
          <t>كلا الفترتين</t>
        </is>
      </c>
      <c r="E2081" t="n">
        <v>1435</v>
      </c>
      <c r="F2081" t="b">
        <v>1</v>
      </c>
      <c r="G2081">
        <f>HYPERLINK("https://www.google.com/maps/search/?api=1&amp;query=24.75574702,46.76296887", "View Map")</f>
        <v/>
      </c>
    </row>
    <row r="2082">
      <c r="A2082" t="inlineStr">
        <is>
          <t>ﻤﺴﺎﺠﺩ .</t>
        </is>
      </c>
      <c r="B2082" t="inlineStr">
        <is>
          <t>KFM2020660104894</t>
        </is>
      </c>
      <c r="C2082" t="inlineStr">
        <is>
          <t>الرياض</t>
        </is>
      </c>
      <c r="D2082" t="inlineStr">
        <is>
          <t>كلا الفترتين</t>
        </is>
      </c>
      <c r="E2082" t="n">
        <v>1435</v>
      </c>
      <c r="F2082" t="b">
        <v>1</v>
      </c>
      <c r="G2082">
        <f>HYPERLINK("https://www.google.com/maps/search/?api=1&amp;query=24.8856,46.6236", "View Map")</f>
        <v/>
      </c>
    </row>
    <row r="2083">
      <c r="A2083" t="inlineStr">
        <is>
          <t xml:space="preserve">   مسجد المليفي  بحي لبن .</t>
        </is>
      </c>
      <c r="B2083" t="inlineStr">
        <is>
          <t>KFM2020660211323</t>
        </is>
      </c>
      <c r="C2083" t="inlineStr">
        <is>
          <t>الرياض</t>
        </is>
      </c>
      <c r="D2083" t="inlineStr">
        <is>
          <t>كلا الفترتين</t>
        </is>
      </c>
      <c r="E2083" t="n">
        <v>1435</v>
      </c>
      <c r="F2083" t="b">
        <v>1</v>
      </c>
      <c r="G2083">
        <f>HYPERLINK("https://www.google.com/maps/search/?api=1&amp;query=24.62691815,46.54646608", "View Map")</f>
        <v/>
      </c>
    </row>
    <row r="2084">
      <c r="A2084" t="inlineStr">
        <is>
          <t>ﻤﺴﺎﺠﺩ .</t>
        </is>
      </c>
      <c r="B2084" t="inlineStr">
        <is>
          <t>KFM2120660249238</t>
        </is>
      </c>
      <c r="C2084" t="inlineStr">
        <is>
          <t>الدرعية</t>
        </is>
      </c>
      <c r="D2084" t="inlineStr">
        <is>
          <t>كلا الفترتين</t>
        </is>
      </c>
      <c r="E2084" t="n">
        <v>1434</v>
      </c>
      <c r="F2084" t="b">
        <v>1</v>
      </c>
      <c r="G2084">
        <f>HYPERLINK("https://www.google.com/maps/search/?api=1&amp;query=24.83085588,46.57274894", "View Map")</f>
        <v/>
      </c>
    </row>
    <row r="2085">
      <c r="A2085" t="inlineStr">
        <is>
          <t xml:space="preserve">   مسجد الرشودى .</t>
        </is>
      </c>
      <c r="B2085" t="inlineStr">
        <is>
          <t>KFM2020660196517</t>
        </is>
      </c>
      <c r="C2085" t="inlineStr">
        <is>
          <t>الرياض</t>
        </is>
      </c>
      <c r="D2085" t="inlineStr">
        <is>
          <t>كلا الفترتين</t>
        </is>
      </c>
      <c r="E2085" t="n">
        <v>1434</v>
      </c>
      <c r="F2085" t="b">
        <v>1</v>
      </c>
      <c r="G2085">
        <f>HYPERLINK("https://www.google.com/maps/search/?api=1&amp;query=24.75339638,46.65612992", "View Map")</f>
        <v/>
      </c>
    </row>
    <row r="2086">
      <c r="A2086" t="inlineStr">
        <is>
          <t>مسجدام  سعود .</t>
        </is>
      </c>
      <c r="B2086" t="inlineStr">
        <is>
          <t>KFM2020660173466</t>
        </is>
      </c>
      <c r="C2086" t="inlineStr">
        <is>
          <t>الرياض</t>
        </is>
      </c>
      <c r="D2086" t="inlineStr">
        <is>
          <t>كلا الفترتين</t>
        </is>
      </c>
      <c r="E2086" t="n">
        <v>1434</v>
      </c>
      <c r="F2086" t="b">
        <v>1</v>
      </c>
      <c r="G2086">
        <f>HYPERLINK("https://www.google.com/maps/search/?api=1&amp;query=24.64237338,46.70168903", "View Map")</f>
        <v/>
      </c>
    </row>
    <row r="2087">
      <c r="A2087" t="inlineStr">
        <is>
          <t>مسجد حي العريجاء .</t>
        </is>
      </c>
      <c r="B2087" t="inlineStr">
        <is>
          <t>KFM2020660054382</t>
        </is>
      </c>
      <c r="C2087" t="inlineStr">
        <is>
          <t>الرياض</t>
        </is>
      </c>
      <c r="D2087" t="inlineStr">
        <is>
          <t>كلا الفترتين</t>
        </is>
      </c>
      <c r="E2087" t="n">
        <v>1433</v>
      </c>
      <c r="F2087" t="b">
        <v>1</v>
      </c>
      <c r="G2087">
        <f>HYPERLINK("https://www.google.com/maps/search/?api=1&amp;query=24.57975637,46.57967382", "View Map")</f>
        <v/>
      </c>
    </row>
    <row r="2088">
      <c r="A2088" t="inlineStr">
        <is>
          <t xml:space="preserve">   مسجد عاصم بن عمر .</t>
        </is>
      </c>
      <c r="B2088" t="inlineStr">
        <is>
          <t>KFM2020660041671</t>
        </is>
      </c>
      <c r="C2088" t="inlineStr">
        <is>
          <t>الرياض</t>
        </is>
      </c>
      <c r="D2088" t="inlineStr">
        <is>
          <t>كلا الفترتين</t>
        </is>
      </c>
      <c r="E2088" t="n">
        <v>1433</v>
      </c>
      <c r="F2088" t="b">
        <v>0</v>
      </c>
      <c r="G2088">
        <f>HYPERLINK("https://www.google.com/maps/search/?api=1&amp;query=24.74005821,46.84410149", "View Map")</f>
        <v/>
      </c>
    </row>
    <row r="2089">
      <c r="A2089" t="inlineStr">
        <is>
          <t xml:space="preserve">   مسجد حصة بنت صالح العلى السالم .</t>
        </is>
      </c>
      <c r="B2089" t="inlineStr">
        <is>
          <t>KFM2020660056917</t>
        </is>
      </c>
      <c r="C2089" t="inlineStr">
        <is>
          <t>الرياض</t>
        </is>
      </c>
      <c r="D2089" t="inlineStr">
        <is>
          <t>كلا الفترتين</t>
        </is>
      </c>
      <c r="E2089" t="n">
        <v>1433</v>
      </c>
      <c r="F2089" t="b">
        <v>1</v>
      </c>
      <c r="G2089">
        <f>HYPERLINK("https://www.google.com/maps/search/?api=1&amp;query=24.79599211,46.78337301", "View Map")</f>
        <v/>
      </c>
    </row>
    <row r="2090">
      <c r="A2090" t="inlineStr">
        <is>
          <t xml:space="preserve">   مسجد / محمد بن صالح العذل .</t>
        </is>
      </c>
      <c r="B2090" t="inlineStr">
        <is>
          <t>KFM2020660144580</t>
        </is>
      </c>
      <c r="C2090" t="inlineStr">
        <is>
          <t>الرياض</t>
        </is>
      </c>
      <c r="D2090" t="inlineStr">
        <is>
          <t>كلا الفترتين</t>
        </is>
      </c>
      <c r="E2090" t="n">
        <v>1432</v>
      </c>
      <c r="F2090" t="b">
        <v>1</v>
      </c>
      <c r="G2090">
        <f>HYPERLINK("https://www.google.com/maps/search/?api=1&amp;query=24.74180542,46.67161672", "View Map")</f>
        <v/>
      </c>
    </row>
    <row r="2091">
      <c r="A2091" t="inlineStr">
        <is>
          <t xml:space="preserve">   مسجد محمد الحربي .</t>
        </is>
      </c>
      <c r="B2091" t="inlineStr">
        <is>
          <t>KFM2120660285355</t>
        </is>
      </c>
      <c r="C2091" t="inlineStr">
        <is>
          <t>الرياض</t>
        </is>
      </c>
      <c r="D2091" t="inlineStr">
        <is>
          <t>كلا الفترتين</t>
        </is>
      </c>
      <c r="E2091" t="n">
        <v>1432</v>
      </c>
      <c r="F2091" t="b">
        <v>0</v>
      </c>
      <c r="G2091">
        <f>HYPERLINK("https://www.google.com/maps/search/?api=1&amp;query=24.58376196,46.76947643", "View Map")</f>
        <v/>
      </c>
    </row>
    <row r="2092">
      <c r="A2092" t="inlineStr">
        <is>
          <t>ﻤﺴﺎﺠﺩ .</t>
        </is>
      </c>
      <c r="B2092" t="inlineStr">
        <is>
          <t>KFM2120655001342</t>
        </is>
      </c>
      <c r="C2092" t="inlineStr">
        <is>
          <t>الرياض</t>
        </is>
      </c>
      <c r="D2092" t="inlineStr">
        <is>
          <t>كلا الفترتين</t>
        </is>
      </c>
      <c r="E2092" t="n">
        <v>1432</v>
      </c>
      <c r="F2092" t="b">
        <v>1</v>
      </c>
      <c r="G2092">
        <f>HYPERLINK("https://www.google.com/maps/search/?api=1&amp;query=24.89909243,46.86152296", "View Map")</f>
        <v/>
      </c>
    </row>
    <row r="2093">
      <c r="A2093" t="inlineStr">
        <is>
          <t>ﻤﺴﺎﺠﺩ .</t>
        </is>
      </c>
      <c r="B2093" t="inlineStr">
        <is>
          <t>KFM2020660104187</t>
        </is>
      </c>
      <c r="C2093" t="inlineStr">
        <is>
          <t>الرياض</t>
        </is>
      </c>
      <c r="D2093" t="inlineStr">
        <is>
          <t>كلا الفترتين</t>
        </is>
      </c>
      <c r="E2093" t="n">
        <v>1432</v>
      </c>
      <c r="F2093" t="b">
        <v>1</v>
      </c>
      <c r="G2093">
        <f>HYPERLINK("https://www.google.com/maps/search/?api=1&amp;query=24.8333,46.625", "View Map")</f>
        <v/>
      </c>
    </row>
    <row r="2094">
      <c r="A2094" t="inlineStr">
        <is>
          <t xml:space="preserve">   مساجد .</t>
        </is>
      </c>
      <c r="B2094" t="inlineStr">
        <is>
          <t>KFM2020660133886</t>
        </is>
      </c>
      <c r="C2094" t="inlineStr">
        <is>
          <t>الرياض</t>
        </is>
      </c>
      <c r="D2094" t="inlineStr">
        <is>
          <t>كلا الفترتين</t>
        </is>
      </c>
      <c r="E2094" t="n">
        <v>1431</v>
      </c>
      <c r="F2094" t="b">
        <v>0</v>
      </c>
      <c r="G2094">
        <f>HYPERLINK("https://www.google.com/maps/search/?api=1&amp;query=24.81624839,46.8341442", "View Map")</f>
        <v/>
      </c>
    </row>
    <row r="2095">
      <c r="A2095" t="inlineStr">
        <is>
          <t xml:space="preserve">   مسجد حي الوادي .</t>
        </is>
      </c>
      <c r="B2095" t="inlineStr">
        <is>
          <t>KFM2020660201108</t>
        </is>
      </c>
      <c r="C2095" t="inlineStr">
        <is>
          <t>الرياض</t>
        </is>
      </c>
      <c r="D2095" t="inlineStr">
        <is>
          <t>كلا الفترتين</t>
        </is>
      </c>
      <c r="E2095" t="n">
        <v>1431</v>
      </c>
      <c r="F2095" t="b">
        <v>1</v>
      </c>
      <c r="G2095">
        <f>HYPERLINK("https://www.google.com/maps/search/?api=1&amp;query=24.78675534,46.69088504", "View Map")</f>
        <v/>
      </c>
    </row>
    <row r="2096">
      <c r="A2096" t="inlineStr">
        <is>
          <t xml:space="preserve">   مسجد بن سعيدان .</t>
        </is>
      </c>
      <c r="B2096" t="inlineStr">
        <is>
          <t>KFM2020660127769</t>
        </is>
      </c>
      <c r="C2096" t="inlineStr">
        <is>
          <t>الرياض</t>
        </is>
      </c>
      <c r="D2096" t="inlineStr">
        <is>
          <t>كلا الفترتين</t>
        </is>
      </c>
      <c r="E2096" t="n">
        <v>1431</v>
      </c>
      <c r="F2096" t="b">
        <v>0</v>
      </c>
      <c r="G2096">
        <f>HYPERLINK("https://www.google.com/maps/search/?api=1&amp;query=24.76110876,46.68694082", "View Map")</f>
        <v/>
      </c>
    </row>
    <row r="2097">
      <c r="A2097" t="inlineStr">
        <is>
          <t xml:space="preserve">   مسجد اسكان الجزيره .</t>
        </is>
      </c>
      <c r="B2097" t="inlineStr">
        <is>
          <t>KFM2120660260343</t>
        </is>
      </c>
      <c r="C2097" t="inlineStr">
        <is>
          <t>الرياض</t>
        </is>
      </c>
      <c r="D2097" t="inlineStr">
        <is>
          <t>كلا الفترتين</t>
        </is>
      </c>
      <c r="E2097" t="n">
        <v>1431</v>
      </c>
      <c r="F2097" t="b">
        <v>0</v>
      </c>
      <c r="G2097">
        <f>HYPERLINK("https://www.google.com/maps/search/?api=1&amp;query=24.66200276,46.8076914", "View Map")</f>
        <v/>
      </c>
    </row>
    <row r="2098">
      <c r="A2098" t="inlineStr">
        <is>
          <t xml:space="preserve">   مسجد اسواق بن دايل .</t>
        </is>
      </c>
      <c r="B2098" t="inlineStr">
        <is>
          <t>KFM2020660161665</t>
        </is>
      </c>
      <c r="C2098" t="inlineStr">
        <is>
          <t>الرياض</t>
        </is>
      </c>
      <c r="D2098" t="inlineStr">
        <is>
          <t>كلا الفترتين</t>
        </is>
      </c>
      <c r="E2098" t="n">
        <v>1431</v>
      </c>
      <c r="F2098" t="b">
        <v>1</v>
      </c>
      <c r="G2098">
        <f>HYPERLINK("https://www.google.com/maps/search/?api=1&amp;query=24.56874677,46.8361548", "View Map")</f>
        <v/>
      </c>
    </row>
    <row r="2099">
      <c r="A2099" t="inlineStr">
        <is>
          <t xml:space="preserve">   وزارة الشئون الاسلامية والاوقاف .</t>
        </is>
      </c>
      <c r="B2099" t="inlineStr">
        <is>
          <t>KFM2120660246958</t>
        </is>
      </c>
      <c r="C2099" t="inlineStr">
        <is>
          <t>الرياض</t>
        </is>
      </c>
      <c r="D2099" t="inlineStr">
        <is>
          <t>كلا الفترتين</t>
        </is>
      </c>
      <c r="E2099" t="n">
        <v>1431</v>
      </c>
      <c r="F2099" t="b">
        <v>0</v>
      </c>
      <c r="G2099">
        <f>HYPERLINK("https://www.google.com/maps/search/?api=1&amp;query=24.64427,46.5459", "View Map")</f>
        <v/>
      </c>
    </row>
    <row r="2100">
      <c r="A2100" t="inlineStr">
        <is>
          <t>وزارة      الشئون    والاوقاف -السد .</t>
        </is>
      </c>
      <c r="B2100" t="inlineStr">
        <is>
          <t>KFM2020660177041</t>
        </is>
      </c>
      <c r="C2100" t="inlineStr">
        <is>
          <t>الرياض</t>
        </is>
      </c>
      <c r="D2100" t="inlineStr">
        <is>
          <t>كلا الفترتين</t>
        </is>
      </c>
      <c r="E2100" t="n">
        <v>1430</v>
      </c>
      <c r="F2100" t="b">
        <v>0</v>
      </c>
      <c r="G2100">
        <f>HYPERLINK("https://www.google.com/maps/search/?api=1&amp;query=24.57384886,46.71337917", "View Map")</f>
        <v/>
      </c>
    </row>
    <row r="2101">
      <c r="A2101" t="inlineStr">
        <is>
          <t>وزارة الشؤونوالاوقاف  مسجدالاميرتركي .</t>
        </is>
      </c>
      <c r="B2101" t="inlineStr">
        <is>
          <t>KFM2020660201630</t>
        </is>
      </c>
      <c r="C2101" t="inlineStr">
        <is>
          <t>الرياض</t>
        </is>
      </c>
      <c r="D2101" t="inlineStr">
        <is>
          <t>كلا الفترتين</t>
        </is>
      </c>
      <c r="E2101" t="n">
        <v>1428</v>
      </c>
      <c r="F2101" t="b">
        <v>0</v>
      </c>
      <c r="G2101">
        <f>HYPERLINK("https://www.google.com/maps/search/?api=1&amp;query=24.62456792,46.71668478", "View Map")</f>
        <v/>
      </c>
    </row>
    <row r="2102">
      <c r="A2102" t="inlineStr">
        <is>
          <t>مسجد جامع  حله  المطران .</t>
        </is>
      </c>
      <c r="B2102" t="inlineStr">
        <is>
          <t>KFM2020660006624</t>
        </is>
      </c>
      <c r="C2102" t="inlineStr">
        <is>
          <t>الرياض</t>
        </is>
      </c>
      <c r="D2102" t="inlineStr">
        <is>
          <t>كلا الفترتين</t>
        </is>
      </c>
      <c r="E2102" t="n">
        <v>1427</v>
      </c>
      <c r="F2102" t="b">
        <v>0</v>
      </c>
      <c r="G2102">
        <f>HYPERLINK("https://www.google.com/maps/search/?api=1&amp;query=24.615,46.7242", "View Map")</f>
        <v/>
      </c>
    </row>
    <row r="2103">
      <c r="A2103" t="inlineStr">
        <is>
          <t xml:space="preserve">   مسجد الدحام بحي لبن .</t>
        </is>
      </c>
      <c r="B2103" t="inlineStr">
        <is>
          <t>KFM2020660202304</t>
        </is>
      </c>
      <c r="C2103" t="inlineStr">
        <is>
          <t>الرياض</t>
        </is>
      </c>
      <c r="D2103" t="inlineStr">
        <is>
          <t>كلا الفترتين</t>
        </is>
      </c>
      <c r="E2103" t="n">
        <v>1427</v>
      </c>
      <c r="F2103" t="b">
        <v>1</v>
      </c>
      <c r="G2103">
        <f>HYPERLINK("https://www.google.com/maps/search/?api=1&amp;query=24.62227729,46.56980949", "View Map")</f>
        <v/>
      </c>
    </row>
    <row r="2104">
      <c r="A2104" t="inlineStr">
        <is>
          <t>مسجد / النفيسه .</t>
        </is>
      </c>
      <c r="B2104" t="inlineStr">
        <is>
          <t>KFM2020660096038</t>
        </is>
      </c>
      <c r="C2104" t="inlineStr">
        <is>
          <t>الرياض</t>
        </is>
      </c>
      <c r="D2104" t="inlineStr">
        <is>
          <t>كلا الفترتين</t>
        </is>
      </c>
      <c r="E2104" t="n">
        <v>1427</v>
      </c>
      <c r="F2104" t="b">
        <v>0</v>
      </c>
      <c r="G2104">
        <f>HYPERLINK("https://www.google.com/maps/search/?api=1&amp;query=24.55931226,46.70118497", "View Map")</f>
        <v/>
      </c>
    </row>
    <row r="2105">
      <c r="A2105" t="inlineStr">
        <is>
          <t xml:space="preserve">   مسجد محمد ابراهيم السليمان .</t>
        </is>
      </c>
      <c r="B2105" t="inlineStr">
        <is>
          <t>KFM2020660211203</t>
        </is>
      </c>
      <c r="C2105" t="inlineStr">
        <is>
          <t>الرياض</t>
        </is>
      </c>
      <c r="D2105" t="inlineStr">
        <is>
          <t>كلا الفترتين</t>
        </is>
      </c>
      <c r="E2105" t="n">
        <v>1426</v>
      </c>
      <c r="F2105" t="b">
        <v>1</v>
      </c>
      <c r="G2105">
        <f>HYPERLINK("https://www.google.com/maps/search/?api=1&amp;query=24.66121066,46.74543344", "View Map")</f>
        <v/>
      </c>
    </row>
    <row r="2106">
      <c r="A2106" t="inlineStr">
        <is>
          <t xml:space="preserve">   وزارة الشئون الاسلامية والاوقاف .</t>
        </is>
      </c>
      <c r="B2106" t="inlineStr">
        <is>
          <t>KFM2020660214084</t>
        </is>
      </c>
      <c r="C2106" t="inlineStr">
        <is>
          <t>الرياض</t>
        </is>
      </c>
      <c r="D2106" t="inlineStr">
        <is>
          <t>كلا الفترتين</t>
        </is>
      </c>
      <c r="E2106" t="n">
        <v>1425</v>
      </c>
      <c r="F2106" t="b">
        <v>1</v>
      </c>
      <c r="G2106">
        <f>HYPERLINK("https://www.google.com/maps/search/?api=1&amp;query=24.79928671,46.67671869", "View Map")</f>
        <v/>
      </c>
    </row>
    <row r="2107">
      <c r="A2107" t="inlineStr">
        <is>
          <t>ﻤﺴﺎﺠﺩ .</t>
        </is>
      </c>
      <c r="B2107" t="inlineStr">
        <is>
          <t>SMR2220661002446</t>
        </is>
      </c>
      <c r="C2107" t="inlineStr">
        <is>
          <t>الرياض</t>
        </is>
      </c>
      <c r="D2107" t="inlineStr">
        <is>
          <t>كلا الفترتين</t>
        </is>
      </c>
      <c r="E2107" t="n">
        <v>1425</v>
      </c>
      <c r="F2107" t="b">
        <v>1</v>
      </c>
      <c r="G2107">
        <f>HYPERLINK("https://www.google.com/maps/search/?api=1&amp;query=24.76863869,46.6986284", "View Map")</f>
        <v/>
      </c>
    </row>
    <row r="2108">
      <c r="A2108" t="inlineStr">
        <is>
          <t>ﻤﺴﺎﺠﺩ .</t>
        </is>
      </c>
      <c r="B2108" t="inlineStr">
        <is>
          <t>KFM2020660176738</t>
        </is>
      </c>
      <c r="C2108" t="inlineStr">
        <is>
          <t>الدرعية</t>
        </is>
      </c>
      <c r="D2108" t="inlineStr">
        <is>
          <t>كلا الفترتين</t>
        </is>
      </c>
      <c r="E2108" t="n">
        <v>1425</v>
      </c>
      <c r="F2108" t="b">
        <v>1</v>
      </c>
      <c r="G2108">
        <f>HYPERLINK("https://www.google.com/maps/search/?api=1&amp;query=24.89832022,46.4406564", "View Map")</f>
        <v/>
      </c>
    </row>
    <row r="2109">
      <c r="A2109" t="inlineStr">
        <is>
          <t xml:space="preserve">   مسجد ناصربن عتيق .</t>
        </is>
      </c>
      <c r="B2109" t="inlineStr">
        <is>
          <t>KFM2120660267478</t>
        </is>
      </c>
      <c r="C2109" t="inlineStr">
        <is>
          <t>الرياض</t>
        </is>
      </c>
      <c r="D2109" t="inlineStr">
        <is>
          <t>كلا الفترتين</t>
        </is>
      </c>
      <c r="E2109" t="n">
        <v>1424</v>
      </c>
      <c r="F2109" t="b">
        <v>0</v>
      </c>
      <c r="G2109">
        <f>HYPERLINK("https://www.google.com/maps/search/?api=1&amp;query=24.60749038,46.74804161", "View Map")</f>
        <v/>
      </c>
    </row>
    <row r="2110">
      <c r="A2110" t="inlineStr">
        <is>
          <t xml:space="preserve">   مسجد حى السهول .</t>
        </is>
      </c>
      <c r="B2110" t="inlineStr">
        <is>
          <t>KFM2020660191315</t>
        </is>
      </c>
      <c r="C2110" t="inlineStr">
        <is>
          <t>الدرعية</t>
        </is>
      </c>
      <c r="D2110" t="inlineStr">
        <is>
          <t>كلا الفترتين</t>
        </is>
      </c>
      <c r="E2110" t="n">
        <v>1422</v>
      </c>
      <c r="F2110" t="b">
        <v>1</v>
      </c>
      <c r="G2110">
        <f>HYPERLINK("https://www.google.com/maps/search/?api=1&amp;query=24.75799778,46.56479366", "View Map")</f>
        <v/>
      </c>
    </row>
    <row r="2111">
      <c r="A2111" t="inlineStr">
        <is>
          <t>ﻤﺴﺎﺠﺩ .</t>
        </is>
      </c>
      <c r="B2111" t="inlineStr">
        <is>
          <t>KFM2020660197298</t>
        </is>
      </c>
      <c r="C2111" t="inlineStr">
        <is>
          <t>الرياض</t>
        </is>
      </c>
      <c r="D2111" t="inlineStr">
        <is>
          <t>كلا الفترتين</t>
        </is>
      </c>
      <c r="E2111" t="n">
        <v>1422</v>
      </c>
      <c r="F2111" t="b">
        <v>1</v>
      </c>
      <c r="G2111">
        <f>HYPERLINK("https://www.google.com/maps/search/?api=1&amp;query=24.80490542,46.61386904", "View Map")</f>
        <v/>
      </c>
    </row>
    <row r="2112">
      <c r="A2112" t="inlineStr">
        <is>
          <t>مسجد الشيخ  سعد الحامد .</t>
        </is>
      </c>
      <c r="B2112" t="inlineStr">
        <is>
          <t>KFM2020660038864</t>
        </is>
      </c>
      <c r="C2112" t="inlineStr">
        <is>
          <t>الرياض</t>
        </is>
      </c>
      <c r="D2112" t="inlineStr">
        <is>
          <t>كلا الفترتين</t>
        </is>
      </c>
      <c r="E2112" t="n">
        <v>1422</v>
      </c>
      <c r="F2112" t="b">
        <v>1</v>
      </c>
      <c r="G2112">
        <f>HYPERLINK("https://www.google.com/maps/search/?api=1&amp;query=24.55900659,46.68057761", "View Map")</f>
        <v/>
      </c>
    </row>
    <row r="2113">
      <c r="A2113" t="inlineStr">
        <is>
          <t xml:space="preserve">   مسجد شرق قرطبة .</t>
        </is>
      </c>
      <c r="B2113" t="inlineStr">
        <is>
          <t>KFM2020660142143</t>
        </is>
      </c>
      <c r="C2113" t="inlineStr">
        <is>
          <t>الرياض</t>
        </is>
      </c>
      <c r="D2113" t="inlineStr">
        <is>
          <t>كلا الفترتين</t>
        </is>
      </c>
      <c r="E2113" t="n">
        <v>1422</v>
      </c>
      <c r="F2113" t="b">
        <v>0</v>
      </c>
      <c r="G2113">
        <f>HYPERLINK("https://www.google.com/maps/search/?api=1&amp;query=24.82032996,46.76044133", "View Map")</f>
        <v/>
      </c>
    </row>
    <row r="2114">
      <c r="A2114" t="inlineStr">
        <is>
          <t>مسجدالامام  ابن الصلاح .</t>
        </is>
      </c>
      <c r="B2114" t="inlineStr">
        <is>
          <t>KFM2020660038575</t>
        </is>
      </c>
      <c r="C2114" t="inlineStr">
        <is>
          <t>الرياض</t>
        </is>
      </c>
      <c r="D2114" t="inlineStr">
        <is>
          <t>كلا الفترتين</t>
        </is>
      </c>
      <c r="E2114" t="n">
        <v>1421</v>
      </c>
      <c r="F2114" t="b">
        <v>1</v>
      </c>
      <c r="G2114">
        <f>HYPERLINK("https://www.google.com/maps/search/?api=1&amp;query=24.54926874,46.70853761", "View Map")</f>
        <v/>
      </c>
    </row>
    <row r="2115">
      <c r="A2115" t="inlineStr">
        <is>
          <t xml:space="preserve">   مسجد عثمان بن عفان .</t>
        </is>
      </c>
      <c r="B2115" t="inlineStr">
        <is>
          <t>KFM2120660301484</t>
        </is>
      </c>
      <c r="C2115" t="inlineStr">
        <is>
          <t>الرياض</t>
        </is>
      </c>
      <c r="D2115" t="inlineStr">
        <is>
          <t>كلا الفترتين</t>
        </is>
      </c>
      <c r="E2115" t="n">
        <v>1421</v>
      </c>
      <c r="F2115" t="b">
        <v>1</v>
      </c>
      <c r="G2115">
        <f>HYPERLINK("https://www.google.com/maps/search/?api=1&amp;query=24.5773279,46.78669752", "View Map")</f>
        <v/>
      </c>
    </row>
    <row r="2116">
      <c r="A2116" t="inlineStr">
        <is>
          <t xml:space="preserve">   مسجدعبدالله ابراهيم الحصيني .</t>
        </is>
      </c>
      <c r="B2116" t="inlineStr">
        <is>
          <t>KFM2020660095467</t>
        </is>
      </c>
      <c r="C2116" t="inlineStr">
        <is>
          <t>الرياض</t>
        </is>
      </c>
      <c r="D2116" t="inlineStr">
        <is>
          <t>كلا الفترتين</t>
        </is>
      </c>
      <c r="E2116" t="n">
        <v>1421</v>
      </c>
      <c r="F2116" t="b">
        <v>1</v>
      </c>
      <c r="G2116">
        <f>HYPERLINK("https://www.google.com/maps/search/?api=1&amp;query=24.78753967,46.67607239", "View Map")</f>
        <v/>
      </c>
    </row>
    <row r="2117">
      <c r="A2117" t="inlineStr">
        <is>
          <t xml:space="preserve">   مسجد جامع الرائد .</t>
        </is>
      </c>
      <c r="B2117" t="inlineStr">
        <is>
          <t>KFM2020660031499</t>
        </is>
      </c>
      <c r="C2117" t="inlineStr">
        <is>
          <t>الرياض</t>
        </is>
      </c>
      <c r="D2117" t="inlineStr">
        <is>
          <t>كلا الفترتين</t>
        </is>
      </c>
      <c r="E2117" t="n">
        <v>1421</v>
      </c>
      <c r="F2117" t="b">
        <v>0</v>
      </c>
      <c r="G2117">
        <f>HYPERLINK("https://www.google.com/maps/search/?api=1&amp;query=24.71157002,46.63674319", "View Map")</f>
        <v/>
      </c>
    </row>
    <row r="2118">
      <c r="A2118" t="inlineStr">
        <is>
          <t xml:space="preserve">   مسجد الخير مع سكن الامام و المؤذن .</t>
        </is>
      </c>
      <c r="B2118" t="inlineStr">
        <is>
          <t>KFM2020660061243</t>
        </is>
      </c>
      <c r="C2118" t="inlineStr">
        <is>
          <t>الرياض</t>
        </is>
      </c>
      <c r="D2118" t="inlineStr">
        <is>
          <t>كلا الفترتين</t>
        </is>
      </c>
      <c r="E2118" t="n">
        <v>1420</v>
      </c>
      <c r="F2118" t="b">
        <v>0</v>
      </c>
      <c r="G2118">
        <f>HYPERLINK("https://www.google.com/maps/search/?api=1&amp;query=24.77912425,46.74615559", "View Map")</f>
        <v/>
      </c>
    </row>
    <row r="2119">
      <c r="A2119" t="inlineStr">
        <is>
          <t>مسجدجامع  الاميرخالدبن سعود .</t>
        </is>
      </c>
      <c r="B2119" t="inlineStr">
        <is>
          <t>KFM2020660200441</t>
        </is>
      </c>
      <c r="C2119" t="inlineStr">
        <is>
          <t>الرياض</t>
        </is>
      </c>
      <c r="D2119" t="inlineStr">
        <is>
          <t>كلا الفترتين</t>
        </is>
      </c>
      <c r="E2119" t="n">
        <v>1420</v>
      </c>
      <c r="F2119" t="b">
        <v>0</v>
      </c>
      <c r="G2119">
        <f>HYPERLINK("https://www.google.com/maps/search/?api=1&amp;query=24.58943306,46.60147551", "View Map")</f>
        <v/>
      </c>
    </row>
    <row r="2120">
      <c r="A2120" t="inlineStr">
        <is>
          <t>ﻭﺯﺍﺭﺓﺍﻟﺸﺌﻭﻥ ﺍﻻﺴﻼﻤﻴﺓﻭﺍﻻﻭﻗﺎﻑ .</t>
        </is>
      </c>
      <c r="B2120" t="inlineStr">
        <is>
          <t>SMR2420661038927</t>
        </is>
      </c>
      <c r="C2120" t="inlineStr">
        <is>
          <t>الرياض</t>
        </is>
      </c>
      <c r="D2120" t="inlineStr">
        <is>
          <t>كلا الفترتين</t>
        </is>
      </c>
      <c r="E2120" t="n">
        <v>1419</v>
      </c>
      <c r="F2120" t="b">
        <v>0</v>
      </c>
      <c r="G2120">
        <f>HYPERLINK("https://www.google.com/maps/search/?api=1&amp;query=24.55322867,46.62017845", "View Map")</f>
        <v/>
      </c>
    </row>
    <row r="2121">
      <c r="A2121" t="inlineStr">
        <is>
          <t xml:space="preserve">       مسجد ابن شايع .</t>
        </is>
      </c>
      <c r="B2121" t="inlineStr">
        <is>
          <t>KFM2020660049697</t>
        </is>
      </c>
      <c r="C2121" t="inlineStr">
        <is>
          <t>الرياض</t>
        </is>
      </c>
      <c r="D2121" t="inlineStr">
        <is>
          <t>كلا الفترتين</t>
        </is>
      </c>
      <c r="E2121" t="n">
        <v>1419</v>
      </c>
      <c r="F2121" t="b">
        <v>0</v>
      </c>
      <c r="G2121">
        <f>HYPERLINK("https://www.google.com/maps/search/?api=1&amp;query=24.77164775,46.83430954", "View Map")</f>
        <v/>
      </c>
    </row>
    <row r="2122">
      <c r="A2122" t="inlineStr">
        <is>
          <t>مسجد / بلال  بن رباح .</t>
        </is>
      </c>
      <c r="B2122" t="inlineStr">
        <is>
          <t>KFM2020660052778</t>
        </is>
      </c>
      <c r="C2122" t="inlineStr">
        <is>
          <t>الرياض</t>
        </is>
      </c>
      <c r="D2122" t="inlineStr">
        <is>
          <t>كلا الفترتين</t>
        </is>
      </c>
      <c r="E2122" t="n">
        <v>1418</v>
      </c>
      <c r="F2122" t="b">
        <v>0</v>
      </c>
      <c r="G2122">
        <f>HYPERLINK("https://www.google.com/maps/search/?api=1&amp;query=24.60283617,46.6027304", "View Map")</f>
        <v/>
      </c>
    </row>
    <row r="2123">
      <c r="A2123" t="inlineStr">
        <is>
          <t>ﻤﺴﺎﺠﺩ .</t>
        </is>
      </c>
      <c r="B2123" t="inlineStr">
        <is>
          <t>SMR2320661034417</t>
        </is>
      </c>
      <c r="C2123" t="inlineStr">
        <is>
          <t>الرياض</t>
        </is>
      </c>
      <c r="D2123" t="inlineStr">
        <is>
          <t>كلا الفترتين</t>
        </is>
      </c>
      <c r="E2123" t="n">
        <v>1418</v>
      </c>
      <c r="F2123" t="b">
        <v>1</v>
      </c>
      <c r="G2123">
        <f>HYPERLINK("https://www.google.com/maps/search/?api=1&amp;query=24.85478018,46.62643913", "View Map")</f>
        <v/>
      </c>
    </row>
    <row r="2124">
      <c r="A2124" t="inlineStr">
        <is>
          <t xml:space="preserve">   مسجد فهد المسند .</t>
        </is>
      </c>
      <c r="B2124" t="inlineStr">
        <is>
          <t>KFM2020660174884</t>
        </is>
      </c>
      <c r="C2124" t="inlineStr">
        <is>
          <t>الرياض</t>
        </is>
      </c>
      <c r="D2124" t="inlineStr">
        <is>
          <t>كلا الفترتين</t>
        </is>
      </c>
      <c r="E2124" t="n">
        <v>1418</v>
      </c>
      <c r="F2124" t="b">
        <v>1</v>
      </c>
      <c r="G2124">
        <f>HYPERLINK("https://www.google.com/maps/search/?api=1&amp;query=24.69487303,46.80547083", "View Map")</f>
        <v/>
      </c>
    </row>
    <row r="2125">
      <c r="A2125" t="inlineStr">
        <is>
          <t>مسجد      محمد      بن ماجد .</t>
        </is>
      </c>
      <c r="B2125" t="inlineStr">
        <is>
          <t>KFM2020660023359</t>
        </is>
      </c>
      <c r="C2125" t="inlineStr">
        <is>
          <t>الرياض</t>
        </is>
      </c>
      <c r="D2125" t="inlineStr">
        <is>
          <t>كلا الفترتين</t>
        </is>
      </c>
      <c r="E2125" t="n">
        <v>1417</v>
      </c>
      <c r="F2125" t="b">
        <v>1</v>
      </c>
      <c r="G2125">
        <f>HYPERLINK("https://www.google.com/maps/search/?api=1&amp;query=24.59485371,46.65533906", "View Map")</f>
        <v/>
      </c>
    </row>
    <row r="2126">
      <c r="A2126" t="inlineStr">
        <is>
          <t>مساجد .</t>
        </is>
      </c>
      <c r="B2126" t="inlineStr">
        <is>
          <t>KFM2020660041621</t>
        </is>
      </c>
      <c r="C2126" t="inlineStr">
        <is>
          <t>الرياض</t>
        </is>
      </c>
      <c r="D2126" t="inlineStr">
        <is>
          <t>كلا الفترتين</t>
        </is>
      </c>
      <c r="E2126" t="n">
        <v>1417</v>
      </c>
      <c r="F2126" t="b">
        <v>1</v>
      </c>
      <c r="G2126">
        <f>HYPERLINK("https://www.google.com/maps/search/?api=1&amp;query=24.79565301,46.60994772", "View Map")</f>
        <v/>
      </c>
    </row>
    <row r="2127">
      <c r="A2127" t="inlineStr">
        <is>
          <t xml:space="preserve">   مسجدالجزيره .</t>
        </is>
      </c>
      <c r="B2127" t="inlineStr">
        <is>
          <t>KFM2020660035623</t>
        </is>
      </c>
      <c r="C2127" t="inlineStr">
        <is>
          <t>الرياض</t>
        </is>
      </c>
      <c r="D2127" t="inlineStr">
        <is>
          <t>كلا الفترتين</t>
        </is>
      </c>
      <c r="E2127" t="n">
        <v>1417</v>
      </c>
      <c r="F2127" t="b">
        <v>1</v>
      </c>
      <c r="G2127">
        <f>HYPERLINK("https://www.google.com/maps/search/?api=1&amp;query=24.76015784,46.61615019", "View Map")</f>
        <v/>
      </c>
    </row>
    <row r="2128">
      <c r="A2128" t="inlineStr">
        <is>
          <t xml:space="preserve">   مسجد ابن حجنه .</t>
        </is>
      </c>
      <c r="B2128" t="inlineStr">
        <is>
          <t>KFM2020660045372</t>
        </is>
      </c>
      <c r="C2128" t="inlineStr">
        <is>
          <t>الرياض</t>
        </is>
      </c>
      <c r="D2128" t="inlineStr">
        <is>
          <t>كلا الفترتين</t>
        </is>
      </c>
      <c r="E2128" t="n">
        <v>1416</v>
      </c>
      <c r="F2128" t="b">
        <v>0</v>
      </c>
      <c r="G2128">
        <f>HYPERLINK("https://www.google.com/maps/search/?api=1&amp;query=24.74056975,46.82994626", "View Map")</f>
        <v/>
      </c>
    </row>
    <row r="2129">
      <c r="A2129" t="inlineStr">
        <is>
          <t xml:space="preserve">   مسجد      الفاضل    - .</t>
        </is>
      </c>
      <c r="B2129" t="inlineStr">
        <is>
          <t>KFM2020760010094</t>
        </is>
      </c>
      <c r="C2129" t="inlineStr">
        <is>
          <t>الرياض</t>
        </is>
      </c>
      <c r="D2129" t="inlineStr">
        <is>
          <t>كلا الفترتين</t>
        </is>
      </c>
      <c r="E2129" t="n">
        <v>1416</v>
      </c>
      <c r="F2129" t="b">
        <v>0</v>
      </c>
      <c r="G2129">
        <f>HYPERLINK("https://www.google.com/maps/search/?api=1&amp;query=24.69292043,46.76261806", "View Map")</f>
        <v/>
      </c>
    </row>
    <row r="2130">
      <c r="A2130" t="inlineStr">
        <is>
          <t>مسجد      ابراهيم    الشيبان .</t>
        </is>
      </c>
      <c r="B2130" t="inlineStr">
        <is>
          <t>KFM2020660013840</t>
        </is>
      </c>
      <c r="C2130" t="inlineStr">
        <is>
          <t>الرياض</t>
        </is>
      </c>
      <c r="D2130" t="inlineStr">
        <is>
          <t>كلا الفترتين</t>
        </is>
      </c>
      <c r="E2130" t="n">
        <v>1416</v>
      </c>
      <c r="F2130" t="b">
        <v>0</v>
      </c>
      <c r="G2130">
        <f>HYPERLINK("https://www.google.com/maps/search/?api=1&amp;query=24.57046906,46.6182374", "View Map")</f>
        <v/>
      </c>
    </row>
    <row r="2131">
      <c r="A2131" t="inlineStr">
        <is>
          <t>مسجد/حى بدر .</t>
        </is>
      </c>
      <c r="B2131" t="inlineStr">
        <is>
          <t>KFM2020660115774</t>
        </is>
      </c>
      <c r="C2131" t="inlineStr">
        <is>
          <t>الرياض</t>
        </is>
      </c>
      <c r="D2131" t="inlineStr">
        <is>
          <t>كلا الفترتين</t>
        </is>
      </c>
      <c r="E2131" t="n">
        <v>1416</v>
      </c>
      <c r="F2131" t="b">
        <v>0</v>
      </c>
      <c r="G2131">
        <f>HYPERLINK("https://www.google.com/maps/search/?api=1&amp;query=24.5496813,46.72383562", "View Map")</f>
        <v/>
      </c>
    </row>
    <row r="2132">
      <c r="A2132" t="inlineStr">
        <is>
          <t xml:space="preserve">   مسجدابوبكر الصديق .</t>
        </is>
      </c>
      <c r="B2132" t="inlineStr">
        <is>
          <t>KFM2020660166503</t>
        </is>
      </c>
      <c r="C2132" t="inlineStr">
        <is>
          <t>الرياض</t>
        </is>
      </c>
      <c r="D2132" t="inlineStr">
        <is>
          <t>كلا الفترتين</t>
        </is>
      </c>
      <c r="E2132" t="n">
        <v>1416</v>
      </c>
      <c r="F2132" t="b">
        <v>0</v>
      </c>
      <c r="G2132">
        <f>HYPERLINK("https://www.google.com/maps/search/?api=1&amp;query=24.76344774,46.74205352", "View Map")</f>
        <v/>
      </c>
    </row>
    <row r="2133">
      <c r="A2133" t="inlineStr">
        <is>
          <t>ﻤﺴﺎﺠﺩ .</t>
        </is>
      </c>
      <c r="B2133" t="inlineStr">
        <is>
          <t>KFM2020660060541</t>
        </is>
      </c>
      <c r="C2133" t="inlineStr">
        <is>
          <t>الرياض</t>
        </is>
      </c>
      <c r="D2133" t="inlineStr">
        <is>
          <t>كلا الفترتين</t>
        </is>
      </c>
      <c r="E2133" t="n">
        <v>1416</v>
      </c>
      <c r="F2133" t="b">
        <v>0</v>
      </c>
      <c r="G2133">
        <f>HYPERLINK("https://www.google.com/maps/search/?api=1&amp;query=24.80816634,46.81859988", "View Map")</f>
        <v/>
      </c>
    </row>
    <row r="2134">
      <c r="A2134" t="inlineStr">
        <is>
          <t>مسجد بن شويش .</t>
        </is>
      </c>
      <c r="B2134" t="inlineStr">
        <is>
          <t>KFM2020660168530</t>
        </is>
      </c>
      <c r="C2134" t="inlineStr">
        <is>
          <t>الرياض</t>
        </is>
      </c>
      <c r="D2134" t="inlineStr">
        <is>
          <t>كلا الفترتين</t>
        </is>
      </c>
      <c r="E2134" t="n">
        <v>1416</v>
      </c>
      <c r="F2134" t="b">
        <v>0</v>
      </c>
      <c r="G2134">
        <f>HYPERLINK("https://www.google.com/maps/search/?api=1&amp;query=24.59506565,46.70733893", "View Map")</f>
        <v/>
      </c>
    </row>
    <row r="2135">
      <c r="A2135" t="inlineStr">
        <is>
          <t xml:space="preserve">   مسجدالشيخ ابوحبيب الشثري ومرافقه .</t>
        </is>
      </c>
      <c r="B2135" t="inlineStr">
        <is>
          <t>KFM2020660175491</t>
        </is>
      </c>
      <c r="C2135" t="inlineStr">
        <is>
          <t>الرياض</t>
        </is>
      </c>
      <c r="D2135" t="inlineStr">
        <is>
          <t>كلا الفترتين</t>
        </is>
      </c>
      <c r="E2135" t="n">
        <v>1415</v>
      </c>
      <c r="F2135" t="b">
        <v>0</v>
      </c>
      <c r="G2135">
        <f>HYPERLINK("https://www.google.com/maps/search/?api=1&amp;query=24.68156398,46.66570811", "View Map")</f>
        <v/>
      </c>
    </row>
    <row r="2136">
      <c r="A2136" t="inlineStr">
        <is>
          <t xml:space="preserve">   مسجد الجوزاء .</t>
        </is>
      </c>
      <c r="B2136" t="inlineStr">
        <is>
          <t>KFM2120660299247</t>
        </is>
      </c>
      <c r="C2136" t="inlineStr">
        <is>
          <t>الرياض</t>
        </is>
      </c>
      <c r="D2136" t="inlineStr">
        <is>
          <t>كلا الفترتين</t>
        </is>
      </c>
      <c r="E2136" t="n">
        <v>1415</v>
      </c>
      <c r="F2136" t="b">
        <v>0</v>
      </c>
      <c r="G2136">
        <f>HYPERLINK("https://www.google.com/maps/search/?api=1&amp;query=24.60680673,46.76526728", "View Map")</f>
        <v/>
      </c>
    </row>
    <row r="2137">
      <c r="A2137" t="inlineStr">
        <is>
          <t>مسجد السبعان /حي منفوحة .</t>
        </is>
      </c>
      <c r="B2137" t="inlineStr">
        <is>
          <t>KFM2020660056105</t>
        </is>
      </c>
      <c r="C2137" t="inlineStr">
        <is>
          <t>الرياض</t>
        </is>
      </c>
      <c r="D2137" t="inlineStr">
        <is>
          <t>كلا الفترتين</t>
        </is>
      </c>
      <c r="E2137" t="n">
        <v>1415</v>
      </c>
      <c r="F2137" t="b">
        <v>0</v>
      </c>
      <c r="G2137">
        <f>HYPERLINK("https://www.google.com/maps/search/?api=1&amp;query=24.6094,46.7206", "View Map")</f>
        <v/>
      </c>
    </row>
    <row r="2138">
      <c r="A2138" t="inlineStr">
        <is>
          <t xml:space="preserve">   مسجد      الحمراء .</t>
        </is>
      </c>
      <c r="B2138" t="inlineStr">
        <is>
          <t>KFM2020660042685</t>
        </is>
      </c>
      <c r="C2138" t="inlineStr">
        <is>
          <t>الرياض</t>
        </is>
      </c>
      <c r="D2138" t="inlineStr">
        <is>
          <t>كلا الفترتين</t>
        </is>
      </c>
      <c r="E2138" t="n">
        <v>1415</v>
      </c>
      <c r="F2138" t="b">
        <v>0</v>
      </c>
      <c r="G2138">
        <f>HYPERLINK("https://www.google.com/maps/search/?api=1&amp;query=24.77643803,46.74750749", "View Map")</f>
        <v/>
      </c>
    </row>
    <row r="2139">
      <c r="A2139" t="inlineStr">
        <is>
          <t>ﻤﺴﺎﺠﺩ .</t>
        </is>
      </c>
      <c r="B2139" t="inlineStr">
        <is>
          <t>KFM2120660242830</t>
        </is>
      </c>
      <c r="C2139" t="inlineStr">
        <is>
          <t>الرياض</t>
        </is>
      </c>
      <c r="D2139" t="inlineStr">
        <is>
          <t>كلا الفترتين</t>
        </is>
      </c>
      <c r="E2139" t="n">
        <v>1412</v>
      </c>
      <c r="F2139" t="b">
        <v>1</v>
      </c>
      <c r="G2139">
        <f>HYPERLINK("https://www.google.com/maps/search/?api=1&amp;query=24.88221777,46.8624745", "View Map")</f>
        <v/>
      </c>
    </row>
    <row r="2140">
      <c r="A2140" t="inlineStr">
        <is>
          <t>مسجد الدار البيضاء .</t>
        </is>
      </c>
      <c r="B2140" t="inlineStr">
        <is>
          <t>KFM2020660162240</t>
        </is>
      </c>
      <c r="C2140" t="inlineStr">
        <is>
          <t>الرياض</t>
        </is>
      </c>
      <c r="D2140" t="inlineStr">
        <is>
          <t>كلا الفترتين</t>
        </is>
      </c>
      <c r="E2140" t="n">
        <v>1412</v>
      </c>
      <c r="F2140" t="b">
        <v>1</v>
      </c>
      <c r="G2140">
        <f>HYPERLINK("https://www.google.com/maps/search/?api=1&amp;query=24.5558777,46.79015483", "View Map")</f>
        <v/>
      </c>
    </row>
    <row r="2141">
      <c r="A2141" t="inlineStr">
        <is>
          <t xml:space="preserve">   وزارة الشؤون الا سلا ميه والا وقاف .</t>
        </is>
      </c>
      <c r="B2141" t="inlineStr">
        <is>
          <t>KFM2020660206921</t>
        </is>
      </c>
      <c r="C2141" t="inlineStr">
        <is>
          <t>الرياض</t>
        </is>
      </c>
      <c r="D2141" t="inlineStr">
        <is>
          <t>كلا الفترتين</t>
        </is>
      </c>
      <c r="E2141" t="n">
        <v>1411</v>
      </c>
      <c r="F2141" t="b">
        <v>1</v>
      </c>
      <c r="G2141">
        <f>HYPERLINK("https://www.google.com/maps/search/?api=1&amp;query=24.82071432,46.65063474", "View Map")</f>
        <v/>
      </c>
    </row>
    <row r="2142">
      <c r="A2142" t="inlineStr">
        <is>
          <t xml:space="preserve">   مسجد نورة بنت عبدالعزيز المسعود .</t>
        </is>
      </c>
      <c r="B2142" t="inlineStr">
        <is>
          <t>KFM2020660198567</t>
        </is>
      </c>
      <c r="C2142" t="inlineStr">
        <is>
          <t>الرياض</t>
        </is>
      </c>
      <c r="D2142" t="inlineStr">
        <is>
          <t>كلا الفترتين</t>
        </is>
      </c>
      <c r="E2142" t="n">
        <v>1411</v>
      </c>
      <c r="F2142" t="b">
        <v>0</v>
      </c>
      <c r="G2142">
        <f>HYPERLINK("https://www.google.com/maps/search/?api=1&amp;query=24.63451704,46.59397562", "View Map")</f>
        <v/>
      </c>
    </row>
    <row r="2143">
      <c r="A2143" t="inlineStr">
        <is>
          <t xml:space="preserve">  مسجد شركه عبدالعزيز و محمد الجميح .</t>
        </is>
      </c>
      <c r="B2143" t="inlineStr">
        <is>
          <t>KFM2020660201416</t>
        </is>
      </c>
      <c r="C2143" t="inlineStr">
        <is>
          <t>الرياض</t>
        </is>
      </c>
      <c r="D2143" t="inlineStr">
        <is>
          <t>كلا الفترتين</t>
        </is>
      </c>
      <c r="E2143" t="n">
        <v>1410</v>
      </c>
      <c r="F2143" t="b">
        <v>1</v>
      </c>
      <c r="G2143">
        <f>HYPERLINK("https://www.google.com/maps/search/?api=1&amp;query=24.6796903,46.66705264", "View Map")</f>
        <v/>
      </c>
    </row>
    <row r="2144">
      <c r="A2144" t="inlineStr">
        <is>
          <t xml:space="preserve">   مسجد وسكن   هلال  المشرافي .</t>
        </is>
      </c>
      <c r="B2144" t="inlineStr">
        <is>
          <t>KFM2020660061253</t>
        </is>
      </c>
      <c r="C2144" t="inlineStr">
        <is>
          <t>الرياض</t>
        </is>
      </c>
      <c r="D2144" t="inlineStr">
        <is>
          <t>كلا الفترتين</t>
        </is>
      </c>
      <c r="E2144" t="n">
        <v>1409</v>
      </c>
      <c r="F2144" t="b">
        <v>1</v>
      </c>
      <c r="G2144">
        <f>HYPERLINK("https://www.google.com/maps/search/?api=1&amp;query=24.81315951,46.79012088", "View Map")</f>
        <v/>
      </c>
    </row>
    <row r="2145">
      <c r="A2145" t="inlineStr">
        <is>
          <t xml:space="preserve">   مسجد ابراهيم الحماد .</t>
        </is>
      </c>
      <c r="B2145" t="inlineStr">
        <is>
          <t>KFM2020660104291</t>
        </is>
      </c>
      <c r="C2145" t="inlineStr">
        <is>
          <t>الرياض</t>
        </is>
      </c>
      <c r="D2145" t="inlineStr">
        <is>
          <t>كلا الفترتين</t>
        </is>
      </c>
      <c r="E2145" t="n">
        <v>1409</v>
      </c>
      <c r="F2145" t="b">
        <v>0</v>
      </c>
      <c r="G2145">
        <f>HYPERLINK("https://www.google.com/maps/search/?api=1&amp;query=24.81391481,46.6502242", "View Map")</f>
        <v/>
      </c>
    </row>
    <row r="2146">
      <c r="A2146" t="inlineStr">
        <is>
          <t>ﻭﺯﺍﺭﺓﺍﻟﺸﺌﻭﻥ ﺍﻻﺴﻼﻤﻴﺓﻭﺍﻻﻭﻗﺎﻑ .</t>
        </is>
      </c>
      <c r="B2146" t="inlineStr">
        <is>
          <t>KFM2020660049553</t>
        </is>
      </c>
      <c r="C2146" t="inlineStr">
        <is>
          <t>الرياض</t>
        </is>
      </c>
      <c r="D2146" t="inlineStr">
        <is>
          <t>كلا الفترتين</t>
        </is>
      </c>
      <c r="E2146" t="n">
        <v>1409</v>
      </c>
      <c r="F2146" t="b">
        <v>0</v>
      </c>
      <c r="G2146">
        <f>HYPERLINK("https://www.google.com/maps/search/?api=1&amp;query=24.55389683,46.52898021", "View Map")</f>
        <v/>
      </c>
    </row>
    <row r="2147">
      <c r="A2147" t="inlineStr">
        <is>
          <t xml:space="preserve">   مسجد والدة الملك سعود .</t>
        </is>
      </c>
      <c r="B2147" t="inlineStr">
        <is>
          <t>KFM2120660273614</t>
        </is>
      </c>
      <c r="C2147" t="inlineStr">
        <is>
          <t>الرياض</t>
        </is>
      </c>
      <c r="D2147" t="inlineStr">
        <is>
          <t>كلا الفترتين</t>
        </is>
      </c>
      <c r="E2147" t="n">
        <v>1408</v>
      </c>
      <c r="F2147" t="b">
        <v>0</v>
      </c>
      <c r="G2147">
        <f>HYPERLINK("https://www.google.com/maps/search/?api=1&amp;query=24.68163196,46.76580946", "View Map")</f>
        <v/>
      </c>
    </row>
    <row r="2148">
      <c r="A2148" t="inlineStr">
        <is>
          <t>جامع الشيخ  / عبدالعزيز أبوحبيب .</t>
        </is>
      </c>
      <c r="B2148" t="inlineStr">
        <is>
          <t>KFM2020660200409</t>
        </is>
      </c>
      <c r="C2148" t="inlineStr">
        <is>
          <t>الرياض</t>
        </is>
      </c>
      <c r="D2148" t="inlineStr">
        <is>
          <t>كلا الفترتين</t>
        </is>
      </c>
      <c r="E2148" t="n">
        <v>1408</v>
      </c>
      <c r="F2148" t="b">
        <v>0</v>
      </c>
      <c r="G2148">
        <f>HYPERLINK("https://www.google.com/maps/search/?api=1&amp;query=24.57211209,46.63986071", "View Map")</f>
        <v/>
      </c>
    </row>
    <row r="2149">
      <c r="A2149" t="inlineStr">
        <is>
          <t xml:space="preserve">   مسجد التوحيد .</t>
        </is>
      </c>
      <c r="B2149" t="inlineStr">
        <is>
          <t>KFM2020660045941</t>
        </is>
      </c>
      <c r="C2149" t="inlineStr">
        <is>
          <t>الرياض</t>
        </is>
      </c>
      <c r="D2149" t="inlineStr">
        <is>
          <t>كلا الفترتين</t>
        </is>
      </c>
      <c r="E2149" t="n">
        <v>1407</v>
      </c>
      <c r="F2149" t="b">
        <v>0</v>
      </c>
      <c r="G2149">
        <f>HYPERLINK("https://www.google.com/maps/search/?api=1&amp;query=24.70944673,46.80414976", "View Map")</f>
        <v/>
      </c>
    </row>
    <row r="2150">
      <c r="A2150" t="inlineStr">
        <is>
          <t xml:space="preserve">   مسجد حي الخليج .</t>
        </is>
      </c>
      <c r="B2150" t="inlineStr">
        <is>
          <t>KFM2020660049758</t>
        </is>
      </c>
      <c r="C2150" t="inlineStr">
        <is>
          <t>الرياض</t>
        </is>
      </c>
      <c r="D2150" t="inlineStr">
        <is>
          <t>كلا الفترتين</t>
        </is>
      </c>
      <c r="E2150" t="n">
        <v>1407</v>
      </c>
      <c r="F2150" t="b">
        <v>0</v>
      </c>
      <c r="G2150">
        <f>HYPERLINK("https://www.google.com/maps/search/?api=1&amp;query=24.76882926,46.79507954", "View Map")</f>
        <v/>
      </c>
    </row>
    <row r="2151">
      <c r="A2151" t="inlineStr">
        <is>
          <t xml:space="preserve">   مساجد .</t>
        </is>
      </c>
      <c r="B2151" t="inlineStr">
        <is>
          <t>KFM2020660008704</t>
        </is>
      </c>
      <c r="C2151" t="inlineStr">
        <is>
          <t>الرياض</t>
        </is>
      </c>
      <c r="D2151" t="inlineStr">
        <is>
          <t>كلا الفترتين</t>
        </is>
      </c>
      <c r="E2151" t="n">
        <v>1406</v>
      </c>
      <c r="F2151" t="b">
        <v>1</v>
      </c>
      <c r="G2151">
        <f>HYPERLINK("https://www.google.com/maps/search/?api=1&amp;query=24.82796432,46.76651492", "View Map")</f>
        <v/>
      </c>
    </row>
    <row r="2152">
      <c r="A2152" t="inlineStr">
        <is>
          <t xml:space="preserve">   مسجد  عبدالرحمن بن  عوف .</t>
        </is>
      </c>
      <c r="B2152" t="inlineStr">
        <is>
          <t>KFM2020660038158</t>
        </is>
      </c>
      <c r="C2152" t="inlineStr">
        <is>
          <t>الرياض</t>
        </is>
      </c>
      <c r="D2152" t="inlineStr">
        <is>
          <t>كلا الفترتين</t>
        </is>
      </c>
      <c r="E2152" t="n">
        <v>1406</v>
      </c>
      <c r="F2152" t="b">
        <v>1</v>
      </c>
      <c r="G2152">
        <f>HYPERLINK("https://www.google.com/maps/search/?api=1&amp;query=24.78744643,46.89643378", "View Map")</f>
        <v/>
      </c>
    </row>
    <row r="2153">
      <c r="A2153" t="inlineStr">
        <is>
          <t>ﻤﺴﺎﺠﺩ .</t>
        </is>
      </c>
      <c r="B2153" t="inlineStr">
        <is>
          <t>KFM2120655004601</t>
        </is>
      </c>
      <c r="C2153" t="inlineStr">
        <is>
          <t>الرياض</t>
        </is>
      </c>
      <c r="D2153" t="inlineStr">
        <is>
          <t>كلا الفترتين</t>
        </is>
      </c>
      <c r="E2153" t="n">
        <v>1406</v>
      </c>
      <c r="F2153" t="b">
        <v>1</v>
      </c>
      <c r="G2153">
        <f>HYPERLINK("https://www.google.com/maps/search/?api=1&amp;query=24.92525789,46.82341566", "View Map")</f>
        <v/>
      </c>
    </row>
    <row r="2154">
      <c r="A2154" t="inlineStr">
        <is>
          <t>ﻤﺴﺎﺠﺩ .</t>
        </is>
      </c>
      <c r="B2154" t="inlineStr">
        <is>
          <t>KFM2120660249223</t>
        </is>
      </c>
      <c r="C2154" t="inlineStr">
        <is>
          <t>الرياض</t>
        </is>
      </c>
      <c r="D2154" t="inlineStr">
        <is>
          <t>كلا الفترتين</t>
        </is>
      </c>
      <c r="E2154" t="n">
        <v>1406</v>
      </c>
      <c r="F2154" t="b">
        <v>1</v>
      </c>
      <c r="G2154">
        <f>HYPERLINK("https://www.google.com/maps/search/?api=1&amp;query=24.86500371,46.62250016", "View Map")</f>
        <v/>
      </c>
    </row>
    <row r="2155">
      <c r="A2155" t="inlineStr">
        <is>
          <t>مسجد      مسفر      ال  دريس .</t>
        </is>
      </c>
      <c r="B2155" t="inlineStr">
        <is>
          <t>KFM2020660196858</t>
        </is>
      </c>
      <c r="C2155" t="inlineStr">
        <is>
          <t>الرياض</t>
        </is>
      </c>
      <c r="D2155" t="inlineStr">
        <is>
          <t>كلا الفترتين</t>
        </is>
      </c>
      <c r="E2155" t="n">
        <v>1405</v>
      </c>
      <c r="F2155" t="b">
        <v>0</v>
      </c>
      <c r="G2155">
        <f>HYPERLINK("https://www.google.com/maps/search/?api=1&amp;query=24.53334819,46.71084819", "View Map")</f>
        <v/>
      </c>
    </row>
    <row r="2156">
      <c r="A2156" t="inlineStr">
        <is>
          <t>ﻤﺴﺎﺠﺩ .</t>
        </is>
      </c>
      <c r="B2156" t="inlineStr">
        <is>
          <t>KFM2020660202085</t>
        </is>
      </c>
      <c r="C2156" t="inlineStr">
        <is>
          <t>الرياض</t>
        </is>
      </c>
      <c r="D2156" t="inlineStr">
        <is>
          <t>كلا الفترتين</t>
        </is>
      </c>
      <c r="E2156" t="n">
        <v>1405</v>
      </c>
      <c r="F2156" t="b">
        <v>0</v>
      </c>
      <c r="G2156">
        <f>HYPERLINK("https://www.google.com/maps/search/?api=1&amp;query=24.88801077,46.63703612", "View Map")</f>
        <v/>
      </c>
    </row>
    <row r="2157">
      <c r="A2157" t="inlineStr">
        <is>
          <t>ﻤﺴﺎﺠﺩ .</t>
        </is>
      </c>
      <c r="B2157" t="inlineStr">
        <is>
          <t>KFM2120660283883</t>
        </is>
      </c>
      <c r="C2157" t="inlineStr">
        <is>
          <t>الرياض</t>
        </is>
      </c>
      <c r="D2157" t="inlineStr">
        <is>
          <t>كلا الفترتين</t>
        </is>
      </c>
      <c r="E2157" t="n">
        <v>1404</v>
      </c>
      <c r="F2157" t="b">
        <v>0</v>
      </c>
      <c r="G2157">
        <f>HYPERLINK("https://www.google.com/maps/search/?api=1&amp;query=24.62140919,46.51406057", "View Map")</f>
        <v/>
      </c>
    </row>
    <row r="2158">
      <c r="A2158" t="inlineStr">
        <is>
          <t xml:space="preserve">   مسجدشمال حى الفيحاء .</t>
        </is>
      </c>
      <c r="B2158" t="inlineStr">
        <is>
          <t>KFM2120660271688</t>
        </is>
      </c>
      <c r="C2158" t="inlineStr">
        <is>
          <t>الرياض</t>
        </is>
      </c>
      <c r="D2158" t="inlineStr">
        <is>
          <t>كلا الفترتين</t>
        </is>
      </c>
      <c r="E2158" t="n">
        <v>1404</v>
      </c>
      <c r="F2158" t="b">
        <v>0</v>
      </c>
      <c r="G2158">
        <f>HYPERLINK("https://www.google.com/maps/search/?api=1&amp;query=24.67939049,46.81463535", "View Map")</f>
        <v/>
      </c>
    </row>
    <row r="2159">
      <c r="A2159" t="inlineStr">
        <is>
          <t xml:space="preserve">   مسجد جنوب حي الملك فيصل .</t>
        </is>
      </c>
      <c r="B2159" t="inlineStr">
        <is>
          <t>KFM2020660040605</t>
        </is>
      </c>
      <c r="C2159" t="inlineStr">
        <is>
          <t>الرياض</t>
        </is>
      </c>
      <c r="D2159" t="inlineStr">
        <is>
          <t>كلا الفترتين</t>
        </is>
      </c>
      <c r="E2159" t="n">
        <v>1404</v>
      </c>
      <c r="F2159" t="b">
        <v>1</v>
      </c>
      <c r="G2159">
        <f>HYPERLINK("https://www.google.com/maps/search/?api=1&amp;query=24.74743239,46.79256609", "View Map")</f>
        <v/>
      </c>
    </row>
    <row r="2160">
      <c r="A2160" t="inlineStr">
        <is>
          <t xml:space="preserve">   مسجد حى الفاروق .</t>
        </is>
      </c>
      <c r="B2160" t="inlineStr">
        <is>
          <t>KFM2020766162326</t>
        </is>
      </c>
      <c r="C2160" t="inlineStr">
        <is>
          <t>الرياض</t>
        </is>
      </c>
      <c r="D2160" t="inlineStr">
        <is>
          <t>مساءا</t>
        </is>
      </c>
      <c r="E2160" t="n">
        <v>1404</v>
      </c>
      <c r="F2160" t="b">
        <v>0</v>
      </c>
      <c r="G2160">
        <f>HYPERLINK("https://www.google.com/maps/search/?api=1&amp;query=24.6486736,46.76319581", "View Map")</f>
        <v/>
      </c>
    </row>
    <row r="2161">
      <c r="A2161" t="inlineStr">
        <is>
          <t xml:space="preserve">   مسجد الهجره .</t>
        </is>
      </c>
      <c r="B2161" t="inlineStr">
        <is>
          <t>KFM2020660172774</t>
        </is>
      </c>
      <c r="C2161" t="inlineStr">
        <is>
          <t>الرياض</t>
        </is>
      </c>
      <c r="D2161" t="inlineStr">
        <is>
          <t>كلا الفترتين</t>
        </is>
      </c>
      <c r="E2161" t="n">
        <v>1403</v>
      </c>
      <c r="F2161" t="b">
        <v>0</v>
      </c>
      <c r="G2161">
        <f>HYPERLINK("https://www.google.com/maps/search/?api=1&amp;query=24.68384044,46.76442379", "View Map")</f>
        <v/>
      </c>
    </row>
    <row r="2162">
      <c r="A2162" t="inlineStr">
        <is>
          <t xml:space="preserve">   مسجد/ابراهيم الجميعه .</t>
        </is>
      </c>
      <c r="B2162" t="inlineStr">
        <is>
          <t>KFM2020660012623</t>
        </is>
      </c>
      <c r="C2162" t="inlineStr">
        <is>
          <t>الرياض</t>
        </is>
      </c>
      <c r="D2162" t="inlineStr">
        <is>
          <t>كلا الفترتين</t>
        </is>
      </c>
      <c r="E2162" t="n">
        <v>1403</v>
      </c>
      <c r="F2162" t="b">
        <v>0</v>
      </c>
      <c r="G2162">
        <f>HYPERLINK("https://www.google.com/maps/search/?api=1&amp;query=24.74660643,46.78485708", "View Map")</f>
        <v/>
      </c>
    </row>
    <row r="2163">
      <c r="A2163" t="inlineStr">
        <is>
          <t>مسجد/ فهد ابراهيم  المقبل  مع السكن .</t>
        </is>
      </c>
      <c r="B2163" t="inlineStr">
        <is>
          <t>KFM2020660007964</t>
        </is>
      </c>
      <c r="C2163" t="inlineStr">
        <is>
          <t>الرياض</t>
        </is>
      </c>
      <c r="D2163" t="inlineStr">
        <is>
          <t>كلا الفترتين</t>
        </is>
      </c>
      <c r="E2163" t="n">
        <v>1403</v>
      </c>
      <c r="F2163" t="b">
        <v>0</v>
      </c>
      <c r="G2163">
        <f>HYPERLINK("https://www.google.com/maps/search/?api=1&amp;query=24.5760346,46.67445151", "View Map")</f>
        <v/>
      </c>
    </row>
    <row r="2164">
      <c r="A2164" t="inlineStr">
        <is>
          <t>مسجد سلوم  السلوم (ابراهيم  السبعان .</t>
        </is>
      </c>
      <c r="B2164" t="inlineStr">
        <is>
          <t>KFM2020660096040</t>
        </is>
      </c>
      <c r="C2164" t="inlineStr">
        <is>
          <t>الرياض</t>
        </is>
      </c>
      <c r="D2164" t="inlineStr">
        <is>
          <t>كلا الفترتين</t>
        </is>
      </c>
      <c r="E2164" t="n">
        <v>1402</v>
      </c>
      <c r="F2164" t="b">
        <v>0</v>
      </c>
      <c r="G2164">
        <f>HYPERLINK("https://www.google.com/maps/search/?api=1&amp;query=24.55732054,46.70137618", "View Map")</f>
        <v/>
      </c>
    </row>
    <row r="2165">
      <c r="A2165" t="inlineStr">
        <is>
          <t>مسجد سلطانه .</t>
        </is>
      </c>
      <c r="B2165" t="inlineStr">
        <is>
          <t>KFM2120660303311</t>
        </is>
      </c>
      <c r="C2165" t="inlineStr">
        <is>
          <t>الرياض</t>
        </is>
      </c>
      <c r="D2165" t="inlineStr">
        <is>
          <t>كلا الفترتين</t>
        </is>
      </c>
      <c r="E2165" t="n">
        <v>1402</v>
      </c>
      <c r="F2165" t="b">
        <v>1</v>
      </c>
      <c r="G2165">
        <f>HYPERLINK("https://www.google.com/maps/search/?api=1&amp;query=24.60303417,46.6919254", "View Map")</f>
        <v/>
      </c>
    </row>
    <row r="2166">
      <c r="A2166" t="inlineStr">
        <is>
          <t>مسجد ذو النوريين .</t>
        </is>
      </c>
      <c r="B2166" t="inlineStr">
        <is>
          <t>KFM2020660189400</t>
        </is>
      </c>
      <c r="C2166" t="inlineStr">
        <is>
          <t>الرياض</t>
        </is>
      </c>
      <c r="D2166" t="inlineStr">
        <is>
          <t>كلا الفترتين</t>
        </is>
      </c>
      <c r="E2166" t="n">
        <v>1401</v>
      </c>
      <c r="F2166" t="b">
        <v>0</v>
      </c>
      <c r="G2166">
        <f>HYPERLINK("https://www.google.com/maps/search/?api=1&amp;query=24.56457099,46.69482586", "View Map")</f>
        <v/>
      </c>
    </row>
    <row r="2167">
      <c r="A2167" t="inlineStr">
        <is>
          <t xml:space="preserve">   مسجد وسكن فنجال العتيبي .</t>
        </is>
      </c>
      <c r="B2167" t="inlineStr">
        <is>
          <t>KFM2020660038837</t>
        </is>
      </c>
      <c r="C2167" t="inlineStr">
        <is>
          <t>الرياض</t>
        </is>
      </c>
      <c r="D2167" t="inlineStr">
        <is>
          <t>كلا الفترتين</t>
        </is>
      </c>
      <c r="E2167" t="n">
        <v>1401</v>
      </c>
      <c r="F2167" t="b">
        <v>0</v>
      </c>
      <c r="G2167">
        <f>HYPERLINK("https://www.google.com/maps/search/?api=1&amp;query=24.8251662,46.80683298", "View Map")</f>
        <v/>
      </c>
    </row>
    <row r="2168">
      <c r="A2168" t="inlineStr">
        <is>
          <t xml:space="preserve">   مسجد بحي العزيزية .</t>
        </is>
      </c>
      <c r="B2168" t="inlineStr">
        <is>
          <t>KFM2120660299243</t>
        </is>
      </c>
      <c r="C2168" t="inlineStr">
        <is>
          <t>الرياض</t>
        </is>
      </c>
      <c r="D2168" t="inlineStr">
        <is>
          <t>كلا الفترتين</t>
        </is>
      </c>
      <c r="E2168" t="n">
        <v>1401</v>
      </c>
      <c r="F2168" t="b">
        <v>1</v>
      </c>
      <c r="G2168">
        <f>HYPERLINK("https://www.google.com/maps/search/?api=1&amp;query=24.58693637,46.76576371", "View Map")</f>
        <v/>
      </c>
    </row>
    <row r="2169">
      <c r="A2169" t="inlineStr">
        <is>
          <t xml:space="preserve">   مسجد عبدالعزيز الغفيص .</t>
        </is>
      </c>
      <c r="B2169" t="inlineStr">
        <is>
          <t>KFM2120660242769</t>
        </is>
      </c>
      <c r="C2169" t="inlineStr">
        <is>
          <t>الرياض</t>
        </is>
      </c>
      <c r="D2169" t="inlineStr">
        <is>
          <t>كلا الفترتين</t>
        </is>
      </c>
      <c r="E2169" t="n">
        <v>1401</v>
      </c>
      <c r="F2169" t="b">
        <v>0</v>
      </c>
      <c r="G2169">
        <f>HYPERLINK("https://www.google.com/maps/search/?api=1&amp;query=24.71509161,46.78822783", "View Map")</f>
        <v/>
      </c>
    </row>
    <row r="2170">
      <c r="A2170" t="inlineStr">
        <is>
          <t xml:space="preserve">   مسجدعمربن عبدالعزيزحى الملك فهد .</t>
        </is>
      </c>
      <c r="B2170" t="inlineStr">
        <is>
          <t>KFM2020660227079</t>
        </is>
      </c>
      <c r="C2170" t="inlineStr">
        <is>
          <t>الرياض</t>
        </is>
      </c>
      <c r="D2170" t="inlineStr">
        <is>
          <t>كلا الفترتين</t>
        </is>
      </c>
      <c r="E2170" t="n">
        <v>1401</v>
      </c>
      <c r="F2170" t="b">
        <v>0</v>
      </c>
      <c r="G2170">
        <f>HYPERLINK("https://www.google.com/maps/search/?api=1&amp;query=24.75037532,46.67545665", "View Map")</f>
        <v/>
      </c>
    </row>
    <row r="2171">
      <c r="A2171" t="inlineStr">
        <is>
          <t xml:space="preserve">   مسجد حي الصحافة .</t>
        </is>
      </c>
      <c r="B2171" t="inlineStr">
        <is>
          <t>KFM2020660127594</t>
        </is>
      </c>
      <c r="C2171" t="inlineStr">
        <is>
          <t>الرياض</t>
        </is>
      </c>
      <c r="D2171" t="inlineStr">
        <is>
          <t>كلا الفترتين</t>
        </is>
      </c>
      <c r="E2171" t="n">
        <v>1401</v>
      </c>
      <c r="F2171" t="b">
        <v>0</v>
      </c>
      <c r="G2171">
        <f>HYPERLINK("https://www.google.com/maps/search/?api=1&amp;query=24.82270876,46.63974852", "View Map")</f>
        <v/>
      </c>
    </row>
    <row r="2172">
      <c r="A2172" t="inlineStr">
        <is>
          <t>3611 مسجدالعريجاء الغربيه  مخطط .</t>
        </is>
      </c>
      <c r="B2172" t="inlineStr">
        <is>
          <t>KFM2020660023502</t>
        </is>
      </c>
      <c r="C2172" t="inlineStr">
        <is>
          <t>الرياض</t>
        </is>
      </c>
      <c r="D2172" t="inlineStr">
        <is>
          <t>كلا الفترتين</t>
        </is>
      </c>
      <c r="E2172" t="n">
        <v>1400</v>
      </c>
      <c r="F2172" t="b">
        <v>0</v>
      </c>
      <c r="G2172">
        <f>HYPERLINK("https://www.google.com/maps/search/?api=1&amp;query=24.6279413,46.65734119", "View Map")</f>
        <v/>
      </c>
    </row>
    <row r="2173">
      <c r="A2173" t="inlineStr">
        <is>
          <t xml:space="preserve">   مسجد عبدالعزيز عبدالرحمن المنصور .</t>
        </is>
      </c>
      <c r="B2173" t="inlineStr">
        <is>
          <t>KFM2120660273708</t>
        </is>
      </c>
      <c r="C2173" t="inlineStr">
        <is>
          <t>الرياض</t>
        </is>
      </c>
      <c r="D2173" t="inlineStr">
        <is>
          <t>كلا الفترتين</t>
        </is>
      </c>
      <c r="E2173" t="n">
        <v>1399</v>
      </c>
      <c r="F2173" t="b">
        <v>0</v>
      </c>
      <c r="G2173">
        <f>HYPERLINK("https://www.google.com/maps/search/?api=1&amp;query=24.7024078,46.84533026", "View Map")</f>
        <v/>
      </c>
    </row>
    <row r="2174">
      <c r="A2174" t="inlineStr">
        <is>
          <t>ﻭﺯﺍﺭﺓﺍﻟﺸﺌﻭﻥ ﺍﻻﺴﻼﻤﻴﺓﻭﺍﻻﻭﻗﺎﻑ .</t>
        </is>
      </c>
      <c r="B2174" t="inlineStr">
        <is>
          <t>KFM2020660051674</t>
        </is>
      </c>
      <c r="C2174" t="inlineStr">
        <is>
          <t>الرياض</t>
        </is>
      </c>
      <c r="D2174" t="inlineStr">
        <is>
          <t>كلا الفترتين</t>
        </is>
      </c>
      <c r="E2174" t="n">
        <v>1399</v>
      </c>
      <c r="F2174" t="b">
        <v>1</v>
      </c>
      <c r="G2174">
        <f>HYPERLINK("https://www.google.com/maps/search/?api=1&amp;query=24.56178627,46.5237511", "View Map")</f>
        <v/>
      </c>
    </row>
    <row r="2175">
      <c r="A2175" t="inlineStr">
        <is>
          <t>وزارة الشئون الا سلا مية والااوقاف .</t>
        </is>
      </c>
      <c r="B2175" t="inlineStr">
        <is>
          <t>KFM2020760210708</t>
        </is>
      </c>
      <c r="C2175" t="inlineStr">
        <is>
          <t>الرياض</t>
        </is>
      </c>
      <c r="D2175" t="inlineStr">
        <is>
          <t>كلا الفترتين</t>
        </is>
      </c>
      <c r="E2175" t="n">
        <v>1398</v>
      </c>
      <c r="F2175" t="b">
        <v>0</v>
      </c>
      <c r="G2175">
        <f>HYPERLINK("https://www.google.com/maps/search/?api=1&amp;query=24.6281474,46.64944386", "View Map")</f>
        <v/>
      </c>
    </row>
    <row r="2176">
      <c r="A2176" t="inlineStr">
        <is>
          <t xml:space="preserve">   مسجدالصناعيةالقديمة .</t>
        </is>
      </c>
      <c r="B2176" t="inlineStr">
        <is>
          <t>KFM2020660057324</t>
        </is>
      </c>
      <c r="C2176" t="inlineStr">
        <is>
          <t>الرياض</t>
        </is>
      </c>
      <c r="D2176" t="inlineStr">
        <is>
          <t>كلا الفترتين</t>
        </is>
      </c>
      <c r="E2176" t="n">
        <v>1398</v>
      </c>
      <c r="F2176" t="b">
        <v>1</v>
      </c>
      <c r="G2176">
        <f>HYPERLINK("https://www.google.com/maps/search/?api=1&amp;query=24.63805728,46.74544209", "View Map")</f>
        <v/>
      </c>
    </row>
    <row r="2177">
      <c r="A2177" t="inlineStr">
        <is>
          <t>ﻤﺴﺎﺠﺩ .</t>
        </is>
      </c>
      <c r="B2177" t="inlineStr">
        <is>
          <t>MMF2420601024401</t>
        </is>
      </c>
      <c r="C2177" t="inlineStr">
        <is>
          <t>الرياض</t>
        </is>
      </c>
      <c r="D2177" t="inlineStr">
        <is>
          <t>كلا الفترتين</t>
        </is>
      </c>
      <c r="E2177" t="n">
        <v>1398</v>
      </c>
      <c r="F2177" t="b">
        <v>0</v>
      </c>
      <c r="G2177">
        <f>HYPERLINK("https://www.google.com/maps/search/?api=1&amp;query=0.0,0.0", "View Map")</f>
        <v/>
      </c>
    </row>
    <row r="2178">
      <c r="A2178" t="inlineStr">
        <is>
          <t>مسجد حله  بن دايل .</t>
        </is>
      </c>
      <c r="B2178" t="inlineStr">
        <is>
          <t>KFM2020660019244</t>
        </is>
      </c>
      <c r="C2178" t="inlineStr">
        <is>
          <t>الرياض</t>
        </is>
      </c>
      <c r="D2178" t="inlineStr">
        <is>
          <t>كلا الفترتين</t>
        </is>
      </c>
      <c r="E2178" t="n">
        <v>1398</v>
      </c>
      <c r="F2178" t="b">
        <v>0</v>
      </c>
      <c r="G2178">
        <f>HYPERLINK("https://www.google.com/maps/search/?api=1&amp;query=24.59302892,46.70819325", "View Map")</f>
        <v/>
      </c>
    </row>
    <row r="2179">
      <c r="A2179" t="inlineStr">
        <is>
          <t>ﻤﺴﺎﺠﺩ .</t>
        </is>
      </c>
      <c r="B2179" t="inlineStr">
        <is>
          <t>KFM2020660190358</t>
        </is>
      </c>
      <c r="C2179" t="inlineStr">
        <is>
          <t>الرياض</t>
        </is>
      </c>
      <c r="D2179" t="inlineStr">
        <is>
          <t>كلا الفترتين</t>
        </is>
      </c>
      <c r="E2179" t="n">
        <v>1397</v>
      </c>
      <c r="F2179" t="b">
        <v>1</v>
      </c>
      <c r="G2179">
        <f>HYPERLINK("https://www.google.com/maps/search/?api=1&amp;query=24.83664801,46.66750039", "View Map")</f>
        <v/>
      </c>
    </row>
    <row r="2180">
      <c r="A2180" t="inlineStr">
        <is>
          <t xml:space="preserve">   مسجد خنشليله .</t>
        </is>
      </c>
      <c r="B2180" t="inlineStr">
        <is>
          <t>KFM2120660299140</t>
        </is>
      </c>
      <c r="C2180" t="inlineStr">
        <is>
          <t>الرياض</t>
        </is>
      </c>
      <c r="D2180" t="inlineStr">
        <is>
          <t>كلا الفترتين</t>
        </is>
      </c>
      <c r="E2180" t="n">
        <v>1397</v>
      </c>
      <c r="F2180" t="b">
        <v>1</v>
      </c>
      <c r="G2180">
        <f>HYPERLINK("https://www.google.com/maps/search/?api=1&amp;query=24.61086386,46.7418818", "View Map")</f>
        <v/>
      </c>
    </row>
    <row r="2181">
      <c r="A2181" t="inlineStr">
        <is>
          <t>ﻤﺴﺎﺠﺩﺍﻟﺨـﺭﺝ .</t>
        </is>
      </c>
      <c r="B2181" t="inlineStr">
        <is>
          <t>MMF2420601025808</t>
        </is>
      </c>
      <c r="C2181" t="inlineStr">
        <is>
          <t>الرياض</t>
        </is>
      </c>
      <c r="D2181" t="inlineStr">
        <is>
          <t>كلا الفترتين</t>
        </is>
      </c>
      <c r="E2181" t="n">
        <v>1396</v>
      </c>
      <c r="F2181" t="b">
        <v>1</v>
      </c>
      <c r="G2181">
        <f>HYPERLINK("https://www.google.com/maps/search/?api=1&amp;query=0.0,0.0", "View Map")</f>
        <v/>
      </c>
    </row>
    <row r="2182">
      <c r="A2182" t="inlineStr">
        <is>
          <t>وزارة     الشؤون    والأوقاف .</t>
        </is>
      </c>
      <c r="B2182" t="inlineStr">
        <is>
          <t>KFM2020660051260</t>
        </is>
      </c>
      <c r="C2182" t="inlineStr">
        <is>
          <t>الرياض</t>
        </is>
      </c>
      <c r="D2182" t="inlineStr">
        <is>
          <t>كلا الفترتين</t>
        </is>
      </c>
      <c r="E2182" t="n">
        <v>1395</v>
      </c>
      <c r="F2182" t="b">
        <v>1</v>
      </c>
      <c r="G2182">
        <f>HYPERLINK("https://www.google.com/maps/search/?api=1&amp;query=24.68589089,46.57203168", "View Map")</f>
        <v/>
      </c>
    </row>
    <row r="2183">
      <c r="A2183" t="inlineStr">
        <is>
          <t xml:space="preserve">   مسجدالمرشدى .</t>
        </is>
      </c>
      <c r="B2183" t="inlineStr">
        <is>
          <t>KFM2020660060676</t>
        </is>
      </c>
      <c r="C2183" t="inlineStr">
        <is>
          <t>الرياض</t>
        </is>
      </c>
      <c r="D2183" t="inlineStr">
        <is>
          <t>كلا الفترتين</t>
        </is>
      </c>
      <c r="E2183" t="n">
        <v>1395</v>
      </c>
      <c r="F2183" t="b">
        <v>0</v>
      </c>
      <c r="G2183">
        <f>HYPERLINK("https://www.google.com/maps/search/?api=1&amp;query=24.7881747,46.8108076", "View Map")</f>
        <v/>
      </c>
    </row>
    <row r="2184">
      <c r="A2184" t="inlineStr">
        <is>
          <t>مسجد ابن تيميه .</t>
        </is>
      </c>
      <c r="B2184" t="inlineStr">
        <is>
          <t>KFM2020660203897</t>
        </is>
      </c>
      <c r="C2184" t="inlineStr">
        <is>
          <t>الرياض</t>
        </is>
      </c>
      <c r="D2184" t="inlineStr">
        <is>
          <t>كلا الفترتين</t>
        </is>
      </c>
      <c r="E2184" t="n">
        <v>1394</v>
      </c>
      <c r="F2184" t="b">
        <v>0</v>
      </c>
      <c r="G2184">
        <f>HYPERLINK("https://www.google.com/maps/search/?api=1&amp;query=24.50294325,46.62841406", "View Map")</f>
        <v/>
      </c>
    </row>
    <row r="2185">
      <c r="A2185" t="inlineStr">
        <is>
          <t>.     مسجد      السلمه .</t>
        </is>
      </c>
      <c r="B2185" t="inlineStr">
        <is>
          <t>KFM2020660171768</t>
        </is>
      </c>
      <c r="C2185" t="inlineStr">
        <is>
          <t>الرياض</t>
        </is>
      </c>
      <c r="D2185" t="inlineStr">
        <is>
          <t>كلا الفترتين</t>
        </is>
      </c>
      <c r="E2185" t="n">
        <v>1394</v>
      </c>
      <c r="F2185" t="b">
        <v>0</v>
      </c>
      <c r="G2185">
        <f>HYPERLINK("https://www.google.com/maps/search/?api=1&amp;query=24.6341806,46.71126352", "View Map")</f>
        <v/>
      </c>
    </row>
    <row r="2186">
      <c r="A2186" t="inlineStr">
        <is>
          <t xml:space="preserve">   مسجدعيدالعصيمي مع سكن امام ومؤذن .</t>
        </is>
      </c>
      <c r="B2186" t="inlineStr">
        <is>
          <t>KFM2020660054737</t>
        </is>
      </c>
      <c r="C2186" t="inlineStr">
        <is>
          <t>الرياض</t>
        </is>
      </c>
      <c r="D2186" t="inlineStr">
        <is>
          <t>كلا الفترتين</t>
        </is>
      </c>
      <c r="E2186" t="n">
        <v>1394</v>
      </c>
      <c r="F2186" t="b">
        <v>1</v>
      </c>
      <c r="G2186">
        <f>HYPERLINK("https://www.google.com/maps/search/?api=1&amp;query=24.79984265,46.80466108", "View Map")</f>
        <v/>
      </c>
    </row>
    <row r="2187">
      <c r="A2187" t="inlineStr">
        <is>
          <t>ﻭﺯﺍﺭﺓﺍﻟﺸﺌﻭﻥ ﺍﻻﺴﻼﻤﻴﺓﻭﺍﻻﻭﻗﺎﻑ .</t>
        </is>
      </c>
      <c r="B2187" t="inlineStr">
        <is>
          <t>KFM2120660281496</t>
        </is>
      </c>
      <c r="C2187" t="inlineStr">
        <is>
          <t>الرياض</t>
        </is>
      </c>
      <c r="D2187" t="inlineStr">
        <is>
          <t>كلا الفترتين</t>
        </is>
      </c>
      <c r="E2187" t="n">
        <v>1393</v>
      </c>
      <c r="F2187" t="b">
        <v>0</v>
      </c>
      <c r="G2187">
        <f>HYPERLINK("https://www.google.com/maps/search/?api=1&amp;query=24.6125,46.7017", "View Map")</f>
        <v/>
      </c>
    </row>
    <row r="2188">
      <c r="A2188" t="inlineStr">
        <is>
          <t>ﻭﺯﺍﺭﺓﺍﻟﺸﺌﻭﻥ ﺍﻻﺴﻼﻤﻴﺓﻭﺍﻻﻭﻗﺎﻑ .</t>
        </is>
      </c>
      <c r="B2188" t="inlineStr">
        <is>
          <t>MMF2420601023932</t>
        </is>
      </c>
      <c r="C2188" t="inlineStr">
        <is>
          <t>الرياض</t>
        </is>
      </c>
      <c r="D2188" t="inlineStr">
        <is>
          <t>كلا الفترتين</t>
        </is>
      </c>
      <c r="E2188" t="n">
        <v>1392</v>
      </c>
      <c r="F2188" t="b">
        <v>0</v>
      </c>
      <c r="G2188">
        <f>HYPERLINK("https://www.google.com/maps/search/?api=1&amp;query=0.0,0.0", "View Map")</f>
        <v/>
      </c>
    </row>
    <row r="2189">
      <c r="A2189" t="inlineStr">
        <is>
          <t xml:space="preserve">   مسجد مسفر العتيبي .</t>
        </is>
      </c>
      <c r="B2189" t="inlineStr">
        <is>
          <t>KFM2020660049709</t>
        </is>
      </c>
      <c r="C2189" t="inlineStr">
        <is>
          <t>الرياض</t>
        </is>
      </c>
      <c r="D2189" t="inlineStr">
        <is>
          <t>كلا الفترتين</t>
        </is>
      </c>
      <c r="E2189" t="n">
        <v>1390</v>
      </c>
      <c r="F2189" t="b">
        <v>1</v>
      </c>
      <c r="G2189">
        <f>HYPERLINK("https://www.google.com/maps/search/?api=1&amp;query=24.74558011,46.76686643", "View Map")</f>
        <v/>
      </c>
    </row>
    <row r="2190">
      <c r="A2190" t="inlineStr">
        <is>
          <t xml:space="preserve">   مسجد بن عروان .</t>
        </is>
      </c>
      <c r="B2190" t="inlineStr">
        <is>
          <t>KFM2120660300611</t>
        </is>
      </c>
      <c r="C2190" t="inlineStr">
        <is>
          <t>الرياض</t>
        </is>
      </c>
      <c r="D2190" t="inlineStr">
        <is>
          <t>كلا الفترتين</t>
        </is>
      </c>
      <c r="E2190" t="n">
        <v>1390</v>
      </c>
      <c r="F2190" t="b">
        <v>0</v>
      </c>
      <c r="G2190">
        <f>HYPERLINK("https://www.google.com/maps/search/?api=1&amp;query=24.69005098,46.85004594", "View Map")</f>
        <v/>
      </c>
    </row>
    <row r="2191">
      <c r="A2191" t="inlineStr">
        <is>
          <t xml:space="preserve">   مسجد أبوبكر الصديق .</t>
        </is>
      </c>
      <c r="B2191" t="inlineStr">
        <is>
          <t>KFM2120660271669</t>
        </is>
      </c>
      <c r="C2191" t="inlineStr">
        <is>
          <t>الرياض</t>
        </is>
      </c>
      <c r="D2191" t="inlineStr">
        <is>
          <t>كلا الفترتين</t>
        </is>
      </c>
      <c r="E2191" t="n">
        <v>1390</v>
      </c>
      <c r="F2191" t="b">
        <v>0</v>
      </c>
      <c r="G2191">
        <f>HYPERLINK("https://www.google.com/maps/search/?api=1&amp;query=24.67174456,46.80004021", "View Map")</f>
        <v/>
      </c>
    </row>
    <row r="2192">
      <c r="A2192" t="inlineStr">
        <is>
          <t xml:space="preserve">   مسجد والدة عبدالله   الشلوي .</t>
        </is>
      </c>
      <c r="B2192" t="inlineStr">
        <is>
          <t>KFM2020660036979</t>
        </is>
      </c>
      <c r="C2192" t="inlineStr">
        <is>
          <t>الرياض</t>
        </is>
      </c>
      <c r="D2192" t="inlineStr">
        <is>
          <t>كلا الفترتين</t>
        </is>
      </c>
      <c r="E2192" t="n">
        <v>1389</v>
      </c>
      <c r="F2192" t="b">
        <v>0</v>
      </c>
      <c r="G2192">
        <f>HYPERLINK("https://www.google.com/maps/search/?api=1&amp;query=24.75218874,46.81579638", "View Map")</f>
        <v/>
      </c>
    </row>
    <row r="2193">
      <c r="A2193" t="inlineStr">
        <is>
          <t xml:space="preserve">   مسجدالحنطي ومرافقه-المروج .</t>
        </is>
      </c>
      <c r="B2193" t="inlineStr">
        <is>
          <t>KFM2020660173708</t>
        </is>
      </c>
      <c r="C2193" t="inlineStr">
        <is>
          <t>الرياض</t>
        </is>
      </c>
      <c r="D2193" t="inlineStr">
        <is>
          <t>كلا الفترتين</t>
        </is>
      </c>
      <c r="E2193" t="n">
        <v>1389</v>
      </c>
      <c r="F2193" t="b">
        <v>0</v>
      </c>
      <c r="G2193">
        <f>HYPERLINK("https://www.google.com/maps/search/?api=1&amp;query=24.753966,46.67009436", "View Map")</f>
        <v/>
      </c>
    </row>
    <row r="2194">
      <c r="A2194" t="inlineStr">
        <is>
          <t xml:space="preserve">   مسجد مبارك الدباسي ( الجنادريه) .</t>
        </is>
      </c>
      <c r="B2194" t="inlineStr">
        <is>
          <t>KFM2020660175819</t>
        </is>
      </c>
      <c r="C2194" t="inlineStr">
        <is>
          <t>الرياض</t>
        </is>
      </c>
      <c r="D2194" t="inlineStr">
        <is>
          <t>كلا الفترتين</t>
        </is>
      </c>
      <c r="E2194" t="n">
        <v>1388</v>
      </c>
      <c r="F2194" t="b">
        <v>0</v>
      </c>
      <c r="G2194">
        <f>HYPERLINK("https://www.google.com/maps/search/?api=1&amp;query=24.81960235,46.87716607", "View Map")</f>
        <v/>
      </c>
    </row>
    <row r="2195">
      <c r="A2195" t="inlineStr">
        <is>
          <t>ﻤﺴﺎﺠﺩ .</t>
        </is>
      </c>
      <c r="B2195" t="inlineStr">
        <is>
          <t>SMR2220621001914</t>
        </is>
      </c>
      <c r="C2195" t="inlineStr">
        <is>
          <t>الرياض</t>
        </is>
      </c>
      <c r="D2195" t="inlineStr">
        <is>
          <t>كلا الفترتين</t>
        </is>
      </c>
      <c r="E2195" t="n">
        <v>1388</v>
      </c>
      <c r="F2195" t="b">
        <v>1</v>
      </c>
      <c r="G2195">
        <f>HYPERLINK("https://www.google.com/maps/search/?api=1&amp;query=24.74720507,46.62626778", "View Map")</f>
        <v/>
      </c>
    </row>
    <row r="2196">
      <c r="A2196" t="inlineStr">
        <is>
          <t xml:space="preserve">   مسجد حي  القادسيه .</t>
        </is>
      </c>
      <c r="B2196" t="inlineStr">
        <is>
          <t>KFM2020660060689</t>
        </is>
      </c>
      <c r="C2196" t="inlineStr">
        <is>
          <t>الرياض</t>
        </is>
      </c>
      <c r="D2196" t="inlineStr">
        <is>
          <t>كلا الفترتين</t>
        </is>
      </c>
      <c r="E2196" t="n">
        <v>1388</v>
      </c>
      <c r="F2196" t="b">
        <v>1</v>
      </c>
      <c r="G2196">
        <f>HYPERLINK("https://www.google.com/maps/search/?api=1&amp;query=24.82287554,46.8130742", "View Map")</f>
        <v/>
      </c>
    </row>
    <row r="2197">
      <c r="A2197" t="inlineStr">
        <is>
          <t>مسجد الامام  عبدالله  بن المبارك .</t>
        </is>
      </c>
      <c r="B2197" t="inlineStr">
        <is>
          <t>KFM2020660098751</t>
        </is>
      </c>
      <c r="C2197" t="inlineStr">
        <is>
          <t>الرياض</t>
        </is>
      </c>
      <c r="D2197" t="inlineStr">
        <is>
          <t>كلا الفترتين</t>
        </is>
      </c>
      <c r="E2197" t="n">
        <v>1387</v>
      </c>
      <c r="F2197" t="b">
        <v>0</v>
      </c>
      <c r="G2197">
        <f>HYPERLINK("https://www.google.com/maps/search/?api=1&amp;query=24.55760724,46.6878584", "View Map")</f>
        <v/>
      </c>
    </row>
    <row r="2198">
      <c r="A2198" t="inlineStr">
        <is>
          <t xml:space="preserve">   مسجدالهاجرى .</t>
        </is>
      </c>
      <c r="B2198" t="inlineStr">
        <is>
          <t>KFM2020660165379</t>
        </is>
      </c>
      <c r="C2198" t="inlineStr">
        <is>
          <t>الرياض</t>
        </is>
      </c>
      <c r="D2198" t="inlineStr">
        <is>
          <t>كلا الفترتين</t>
        </is>
      </c>
      <c r="E2198" t="n">
        <v>1386</v>
      </c>
      <c r="F2198" t="b">
        <v>1</v>
      </c>
      <c r="G2198">
        <f>HYPERLINK("https://www.google.com/maps/search/?api=1&amp;query=24.70905937,46.69910084", "View Map")</f>
        <v/>
      </c>
    </row>
    <row r="2199">
      <c r="A2199" t="inlineStr">
        <is>
          <t>مسجد جامع  ام  سليم .</t>
        </is>
      </c>
      <c r="B2199" t="inlineStr">
        <is>
          <t>KFM2020660014236</t>
        </is>
      </c>
      <c r="C2199" t="inlineStr">
        <is>
          <t>الرياض</t>
        </is>
      </c>
      <c r="D2199" t="inlineStr">
        <is>
          <t>كلا الفترتين</t>
        </is>
      </c>
      <c r="E2199" t="n">
        <v>1385</v>
      </c>
      <c r="F2199" t="b">
        <v>1</v>
      </c>
      <c r="G2199">
        <f>HYPERLINK("https://www.google.com/maps/search/?api=1&amp;query=24.63013063,46.69867179", "View Map")</f>
        <v/>
      </c>
    </row>
    <row r="2200">
      <c r="A2200" t="inlineStr">
        <is>
          <t xml:space="preserve">   مسجد صالح عبدالعزيز الراجحى .</t>
        </is>
      </c>
      <c r="B2200" t="inlineStr">
        <is>
          <t>KFM2020660192216</t>
        </is>
      </c>
      <c r="C2200" t="inlineStr">
        <is>
          <t>الرياض</t>
        </is>
      </c>
      <c r="D2200" t="inlineStr">
        <is>
          <t>كلا الفترتين</t>
        </is>
      </c>
      <c r="E2200" t="n">
        <v>1385</v>
      </c>
      <c r="F2200" t="b">
        <v>1</v>
      </c>
      <c r="G2200">
        <f>HYPERLINK("https://www.google.com/maps/search/?api=1&amp;query=24.64942153,46.70695369", "View Map")</f>
        <v/>
      </c>
    </row>
    <row r="2201">
      <c r="A2201" t="inlineStr">
        <is>
          <t>ﻤﺴﺎﺠﺩ .</t>
        </is>
      </c>
      <c r="B2201" t="inlineStr">
        <is>
          <t>KFM2120660280735</t>
        </is>
      </c>
      <c r="C2201" t="inlineStr">
        <is>
          <t>الرياض</t>
        </is>
      </c>
      <c r="D2201" t="inlineStr">
        <is>
          <t>كلا الفترتين</t>
        </is>
      </c>
      <c r="E2201" t="n">
        <v>1384</v>
      </c>
      <c r="F2201" t="b">
        <v>0</v>
      </c>
      <c r="G2201">
        <f>HYPERLINK("https://www.google.com/maps/search/?api=1&amp;query=24.55737,46.78211", "View Map")</f>
        <v/>
      </c>
    </row>
    <row r="2202">
      <c r="A2202" t="inlineStr">
        <is>
          <t xml:space="preserve"> مسجدالاميرفهد بن سلمان بن عبدالعزيز .</t>
        </is>
      </c>
      <c r="B2202" t="inlineStr">
        <is>
          <t>KFM2020660203790</t>
        </is>
      </c>
      <c r="C2202" t="inlineStr">
        <is>
          <t>الرياض</t>
        </is>
      </c>
      <c r="D2202" t="inlineStr">
        <is>
          <t>كلا الفترتين</t>
        </is>
      </c>
      <c r="E2202" t="n">
        <v>1384</v>
      </c>
      <c r="F2202" t="b">
        <v>0</v>
      </c>
      <c r="G2202">
        <f>HYPERLINK("https://www.google.com/maps/search/?api=1&amp;query=24.65510558,46.68118063", "View Map")</f>
        <v/>
      </c>
    </row>
    <row r="2203">
      <c r="A2203" t="inlineStr">
        <is>
          <t xml:space="preserve">    مسجدعبدالله بن باز .</t>
        </is>
      </c>
      <c r="B2203" t="inlineStr">
        <is>
          <t>KFM2020660208533</t>
        </is>
      </c>
      <c r="C2203" t="inlineStr">
        <is>
          <t>الرياض</t>
        </is>
      </c>
      <c r="D2203" t="inlineStr">
        <is>
          <t>كلا الفترتين</t>
        </is>
      </c>
      <c r="E2203" t="n">
        <v>1384</v>
      </c>
      <c r="F2203" t="b">
        <v>0</v>
      </c>
      <c r="G2203">
        <f>HYPERLINK("https://www.google.com/maps/search/?api=1&amp;query=24.64993149,46.70709396", "View Map")</f>
        <v/>
      </c>
    </row>
    <row r="2204">
      <c r="A2204" t="inlineStr">
        <is>
          <t xml:space="preserve">   مسـجد كمال ادهم .</t>
        </is>
      </c>
      <c r="B2204" t="inlineStr">
        <is>
          <t>AEC2020830318974</t>
        </is>
      </c>
      <c r="C2204" t="inlineStr">
        <is>
          <t>الرياض</t>
        </is>
      </c>
      <c r="D2204" t="inlineStr">
        <is>
          <t>كلا الفترتين</t>
        </is>
      </c>
      <c r="E2204" t="n">
        <v>1383</v>
      </c>
      <c r="F2204" t="b">
        <v>0</v>
      </c>
      <c r="G2204">
        <f>HYPERLINK("https://www.google.com/maps/search/?api=1&amp;query=24.72908518,46.66035017", "View Map")</f>
        <v/>
      </c>
    </row>
    <row r="2205">
      <c r="A2205" t="inlineStr">
        <is>
          <t xml:space="preserve">   مسجد ناصر المهوس  بحي المصيف .</t>
        </is>
      </c>
      <c r="B2205" t="inlineStr">
        <is>
          <t>KFM2020660104319</t>
        </is>
      </c>
      <c r="C2205" t="inlineStr">
        <is>
          <t>الرياض</t>
        </is>
      </c>
      <c r="D2205" t="inlineStr">
        <is>
          <t>كلا الفترتين</t>
        </is>
      </c>
      <c r="E2205" t="n">
        <v>1382</v>
      </c>
      <c r="F2205" t="b">
        <v>1</v>
      </c>
      <c r="G2205">
        <f>HYPERLINK("https://www.google.com/maps/search/?api=1&amp;query=24.76836736,46.68432541", "View Map")</f>
        <v/>
      </c>
    </row>
    <row r="2206">
      <c r="A2206" t="inlineStr">
        <is>
          <t>مسجد السويدى .</t>
        </is>
      </c>
      <c r="B2206" t="inlineStr">
        <is>
          <t>KFM2020660054939</t>
        </is>
      </c>
      <c r="C2206" t="inlineStr">
        <is>
          <t>الرياض</t>
        </is>
      </c>
      <c r="D2206" t="inlineStr">
        <is>
          <t>كلا الفترتين</t>
        </is>
      </c>
      <c r="E2206" t="n">
        <v>1382</v>
      </c>
      <c r="F2206" t="b">
        <v>0</v>
      </c>
      <c r="G2206">
        <f>HYPERLINK("https://www.google.com/maps/search/?api=1&amp;query=24.5861994,46.65743851", "View Map")</f>
        <v/>
      </c>
    </row>
    <row r="2207">
      <c r="A2207" t="inlineStr">
        <is>
          <t xml:space="preserve">   مسجد حي المطار .</t>
        </is>
      </c>
      <c r="B2207" t="inlineStr">
        <is>
          <t>KFM2020660040847</t>
        </is>
      </c>
      <c r="C2207" t="inlineStr">
        <is>
          <t>الرياض</t>
        </is>
      </c>
      <c r="D2207" t="inlineStr">
        <is>
          <t>كلا الفترتين</t>
        </is>
      </c>
      <c r="E2207" t="n">
        <v>1381</v>
      </c>
      <c r="F2207" t="b">
        <v>1</v>
      </c>
      <c r="G2207">
        <f>HYPERLINK("https://www.google.com/maps/search/?api=1&amp;query=24.78364555,46.74349542", "View Map")</f>
        <v/>
      </c>
    </row>
    <row r="2208">
      <c r="A2208" t="inlineStr">
        <is>
          <t>جامع منفوحة  الكبير .</t>
        </is>
      </c>
      <c r="B2208" t="inlineStr">
        <is>
          <t>KFM2020660015399</t>
        </is>
      </c>
      <c r="C2208" t="inlineStr">
        <is>
          <t>الرياض</t>
        </is>
      </c>
      <c r="D2208" t="inlineStr">
        <is>
          <t>كلا الفترتين</t>
        </is>
      </c>
      <c r="E2208" t="n">
        <v>1381</v>
      </c>
      <c r="F2208" t="b">
        <v>0</v>
      </c>
      <c r="G2208">
        <f>HYPERLINK("https://www.google.com/maps/search/?api=1&amp;query=24.6164,46.7219", "View Map")</f>
        <v/>
      </c>
    </row>
    <row r="2209">
      <c r="A2209" t="inlineStr">
        <is>
          <t>المسجد الموقت بالشفا .</t>
        </is>
      </c>
      <c r="B2209" t="inlineStr">
        <is>
          <t>KFM2020660096103</t>
        </is>
      </c>
      <c r="C2209" t="inlineStr">
        <is>
          <t>الرياض</t>
        </is>
      </c>
      <c r="D2209" t="inlineStr">
        <is>
          <t>كلا الفترتين</t>
        </is>
      </c>
      <c r="E2209" t="n">
        <v>1379</v>
      </c>
      <c r="F2209" t="b">
        <v>0</v>
      </c>
      <c r="G2209">
        <f>HYPERLINK("https://www.google.com/maps/search/?api=1&amp;query=24.55872124,46.70698581", "View Map")</f>
        <v/>
      </c>
    </row>
    <row r="2210">
      <c r="A2210" t="inlineStr">
        <is>
          <t xml:space="preserve">       مسجد  حافظ  رجب الحنبلي .</t>
        </is>
      </c>
      <c r="B2210" t="inlineStr">
        <is>
          <t>KFM2020660042051</t>
        </is>
      </c>
      <c r="C2210" t="inlineStr">
        <is>
          <t>الرياض</t>
        </is>
      </c>
      <c r="D2210" t="inlineStr">
        <is>
          <t>كلا الفترتين</t>
        </is>
      </c>
      <c r="E2210" t="n">
        <v>1379</v>
      </c>
      <c r="F2210" t="b">
        <v>1</v>
      </c>
      <c r="G2210">
        <f>HYPERLINK("https://www.google.com/maps/search/?api=1&amp;query=24.74151523,46.81355322", "View Map")</f>
        <v/>
      </c>
    </row>
    <row r="2211">
      <c r="A2211" t="inlineStr">
        <is>
          <t>ﻤﺴﺎﺠﺩ .</t>
        </is>
      </c>
      <c r="B2211" t="inlineStr">
        <is>
          <t>SMR2320661034189</t>
        </is>
      </c>
      <c r="C2211" t="inlineStr">
        <is>
          <t>الرياض</t>
        </is>
      </c>
      <c r="D2211" t="inlineStr">
        <is>
          <t>كلا الفترتين</t>
        </is>
      </c>
      <c r="E2211" t="n">
        <v>1378</v>
      </c>
      <c r="F2211" t="b">
        <v>0</v>
      </c>
      <c r="G2211">
        <f>HYPERLINK("https://www.google.com/maps/search/?api=1&amp;query=24.74719087,46.62624905", "View Map")</f>
        <v/>
      </c>
    </row>
    <row r="2212">
      <c r="A2212" t="inlineStr">
        <is>
          <t xml:space="preserve">   مسجد بحي اليرموك .</t>
        </is>
      </c>
      <c r="B2212" t="inlineStr">
        <is>
          <t>KFM2020660053591</t>
        </is>
      </c>
      <c r="C2212" t="inlineStr">
        <is>
          <t>الرياض</t>
        </is>
      </c>
      <c r="D2212" t="inlineStr">
        <is>
          <t>كلا الفترتين</t>
        </is>
      </c>
      <c r="E2212" t="n">
        <v>1378</v>
      </c>
      <c r="F2212" t="b">
        <v>1</v>
      </c>
      <c r="G2212">
        <f>HYPERLINK("https://www.google.com/maps/search/?api=1&amp;query=24.80239133,46.7870053", "View Map")</f>
        <v/>
      </c>
    </row>
    <row r="2213">
      <c r="A2213" t="inlineStr">
        <is>
          <t>ﻤﺴﺎﺠﺩ .</t>
        </is>
      </c>
      <c r="B2213" t="inlineStr">
        <is>
          <t>SMR2220661002521</t>
        </is>
      </c>
      <c r="C2213" t="inlineStr">
        <is>
          <t>الرياض</t>
        </is>
      </c>
      <c r="D2213" t="inlineStr">
        <is>
          <t>كلا الفترتين</t>
        </is>
      </c>
      <c r="E2213" t="n">
        <v>1378</v>
      </c>
      <c r="F2213" t="b">
        <v>0</v>
      </c>
      <c r="G2213">
        <f>HYPERLINK("https://www.google.com/maps/search/?api=1&amp;query=24.82437239,46.59852622", "View Map")</f>
        <v/>
      </c>
    </row>
    <row r="2214">
      <c r="A2214" t="inlineStr">
        <is>
          <t xml:space="preserve">   مسجد أم عبدالعزيز .</t>
        </is>
      </c>
      <c r="B2214" t="inlineStr">
        <is>
          <t>KFM2020660127740</t>
        </is>
      </c>
      <c r="C2214" t="inlineStr">
        <is>
          <t>الرياض</t>
        </is>
      </c>
      <c r="D2214" t="inlineStr">
        <is>
          <t>مساءا</t>
        </is>
      </c>
      <c r="E2214" t="n">
        <v>1378</v>
      </c>
      <c r="F2214" t="b">
        <v>0</v>
      </c>
      <c r="G2214">
        <f>HYPERLINK("https://www.google.com/maps/search/?api=1&amp;query=24.81758851,46.62703273", "View Map")</f>
        <v/>
      </c>
    </row>
    <row r="2215">
      <c r="A2215" t="inlineStr">
        <is>
          <t>وزارة الشؤون الاسلا مية  مسجد العمر .</t>
        </is>
      </c>
      <c r="B2215" t="inlineStr">
        <is>
          <t>KFM2020660098892</t>
        </is>
      </c>
      <c r="C2215" t="inlineStr">
        <is>
          <t>الرياض</t>
        </is>
      </c>
      <c r="D2215" t="inlineStr">
        <is>
          <t>كلا الفترتين</t>
        </is>
      </c>
      <c r="E2215" t="n">
        <v>1378</v>
      </c>
      <c r="F2215" t="b">
        <v>0</v>
      </c>
      <c r="G2215">
        <f>HYPERLINK("https://www.google.com/maps/search/?api=1&amp;query=24.55102918,46.66025004", "View Map")</f>
        <v/>
      </c>
    </row>
    <row r="2216">
      <c r="A2216" t="inlineStr">
        <is>
          <t>ﻤﺴﺎﺠﺩ .</t>
        </is>
      </c>
      <c r="B2216" t="inlineStr">
        <is>
          <t>SMR2220621000847</t>
        </is>
      </c>
      <c r="C2216" t="inlineStr">
        <is>
          <t>الرياض</t>
        </is>
      </c>
      <c r="D2216" t="inlineStr">
        <is>
          <t>كلا الفترتين</t>
        </is>
      </c>
      <c r="E2216" t="n">
        <v>1377</v>
      </c>
      <c r="F2216" t="b">
        <v>0</v>
      </c>
      <c r="G2216">
        <f>HYPERLINK("https://www.google.com/maps/search/?api=1&amp;query=24.7794697,46.8378725", "View Map")</f>
        <v/>
      </c>
    </row>
    <row r="2217">
      <c r="A2217" t="inlineStr">
        <is>
          <t xml:space="preserve">   مسجدحارة الجبس .</t>
        </is>
      </c>
      <c r="B2217" t="inlineStr">
        <is>
          <t>KFM2120660299070</t>
        </is>
      </c>
      <c r="C2217" t="inlineStr">
        <is>
          <t>الرياض</t>
        </is>
      </c>
      <c r="D2217" t="inlineStr">
        <is>
          <t>كلا الفترتين</t>
        </is>
      </c>
      <c r="E2217" t="n">
        <v>1376</v>
      </c>
      <c r="F2217" t="b">
        <v>0</v>
      </c>
      <c r="G2217">
        <f>HYPERLINK("https://www.google.com/maps/search/?api=1&amp;query=24.5987296,46.79995374", "View Map")</f>
        <v/>
      </c>
    </row>
    <row r="2218">
      <c r="A2218" t="inlineStr">
        <is>
          <t xml:space="preserve">   وزارة الشئون الاسلامية والاوقاف .</t>
        </is>
      </c>
      <c r="B2218" t="inlineStr">
        <is>
          <t>KFM2020660127454</t>
        </is>
      </c>
      <c r="C2218" t="inlineStr">
        <is>
          <t>الرياض</t>
        </is>
      </c>
      <c r="D2218" t="inlineStr">
        <is>
          <t>كلا الفترتين</t>
        </is>
      </c>
      <c r="E2218" t="n">
        <v>1375</v>
      </c>
      <c r="F2218" t="b">
        <v>0</v>
      </c>
      <c r="G2218">
        <f>HYPERLINK("https://www.google.com/maps/search/?api=1&amp;query=24.78738884,46.62578337", "View Map")</f>
        <v/>
      </c>
    </row>
    <row r="2219">
      <c r="A2219" t="inlineStr">
        <is>
          <t>مسجد حى  المروه .</t>
        </is>
      </c>
      <c r="B2219" t="inlineStr">
        <is>
          <t>KFM2020660060706</t>
        </is>
      </c>
      <c r="C2219" t="inlineStr">
        <is>
          <t>الرياض</t>
        </is>
      </c>
      <c r="D2219" t="inlineStr">
        <is>
          <t>كلا الفترتين</t>
        </is>
      </c>
      <c r="E2219" t="n">
        <v>1375</v>
      </c>
      <c r="F2219" t="b">
        <v>0</v>
      </c>
      <c r="G2219">
        <f>HYPERLINK("https://www.google.com/maps/search/?api=1&amp;query=24.54333926,46.66521239", "View Map")</f>
        <v/>
      </c>
    </row>
    <row r="2220">
      <c r="A2220" t="inlineStr">
        <is>
          <t>الحرس الوطني .</t>
        </is>
      </c>
      <c r="B2220" t="inlineStr">
        <is>
          <t>KFM2020660175870</t>
        </is>
      </c>
      <c r="C2220" t="inlineStr">
        <is>
          <t>الرياض</t>
        </is>
      </c>
      <c r="D2220" t="inlineStr">
        <is>
          <t>كلا الفترتين</t>
        </is>
      </c>
      <c r="E2220" t="n">
        <v>1374</v>
      </c>
      <c r="F2220" t="b">
        <v>0</v>
      </c>
      <c r="G2220">
        <f>HYPERLINK("https://www.google.com/maps/search/?api=1&amp;query=24.48664965,46.60303987", "View Map")</f>
        <v/>
      </c>
    </row>
    <row r="2221">
      <c r="A2221" t="inlineStr">
        <is>
          <t xml:space="preserve">   مسجد سليمان بن عثمان السبت .</t>
        </is>
      </c>
      <c r="B2221" t="inlineStr">
        <is>
          <t>KFM2020660031620</t>
        </is>
      </c>
      <c r="C2221" t="inlineStr">
        <is>
          <t>الرياض</t>
        </is>
      </c>
      <c r="D2221" t="inlineStr">
        <is>
          <t>كلا الفترتين</t>
        </is>
      </c>
      <c r="E2221" t="n">
        <v>1373</v>
      </c>
      <c r="F2221" t="b">
        <v>0</v>
      </c>
      <c r="G2221">
        <f>HYPERLINK("https://www.google.com/maps/search/?api=1&amp;query=24.68534751,46.81105118", "View Map")</f>
        <v/>
      </c>
    </row>
    <row r="2222">
      <c r="A2222" t="inlineStr">
        <is>
          <t xml:space="preserve">   وزارة الشئؤن الاسلاميةمسجد التعاون .</t>
        </is>
      </c>
      <c r="B2222" t="inlineStr">
        <is>
          <t>KFM2020660160617</t>
        </is>
      </c>
      <c r="C2222" t="inlineStr">
        <is>
          <t>الرياض</t>
        </is>
      </c>
      <c r="D2222" t="inlineStr">
        <is>
          <t>كلا الفترتين</t>
        </is>
      </c>
      <c r="E2222" t="n">
        <v>1373</v>
      </c>
      <c r="F2222" t="b">
        <v>0</v>
      </c>
      <c r="G2222">
        <f>HYPERLINK("https://www.google.com/maps/search/?api=1&amp;query=24.7702475,46.70547109", "View Map")</f>
        <v/>
      </c>
    </row>
    <row r="2223">
      <c r="A2223" t="inlineStr">
        <is>
          <t>ﻭﺯﺍﺭﺓﺍﻟﺸﺌﻭﻥ ﺍﻻﺴﻼﻤﻴﺓﻭﺍﻻﻭﻗﺎﻑ .</t>
        </is>
      </c>
      <c r="B2223" t="inlineStr">
        <is>
          <t>SMR2320661034684</t>
        </is>
      </c>
      <c r="C2223" t="inlineStr">
        <is>
          <t>الرياض</t>
        </is>
      </c>
      <c r="D2223" t="inlineStr">
        <is>
          <t>كلا الفترتين</t>
        </is>
      </c>
      <c r="E2223" t="n">
        <v>1373</v>
      </c>
      <c r="F2223" t="b">
        <v>1</v>
      </c>
      <c r="G2223">
        <f>HYPERLINK("https://www.google.com/maps/search/?api=1&amp;query=24.57209052,46.55457131", "View Map")</f>
        <v/>
      </c>
    </row>
    <row r="2224">
      <c r="A2224" t="inlineStr">
        <is>
          <t xml:space="preserve">   مسجد حي الأندلس .</t>
        </is>
      </c>
      <c r="B2224" t="inlineStr">
        <is>
          <t>KFM2020660053527</t>
        </is>
      </c>
      <c r="C2224" t="inlineStr">
        <is>
          <t>الرياض</t>
        </is>
      </c>
      <c r="D2224" t="inlineStr">
        <is>
          <t>كلا الفترتين</t>
        </is>
      </c>
      <c r="E2224" t="n">
        <v>1372</v>
      </c>
      <c r="F2224" t="b">
        <v>0</v>
      </c>
      <c r="G2224">
        <f>HYPERLINK("https://www.google.com/maps/search/?api=1&amp;query=24.74493399,46.77377883", "View Map")</f>
        <v/>
      </c>
    </row>
    <row r="2225">
      <c r="A2225" t="inlineStr">
        <is>
          <t>مسجد الامير سلطان .</t>
        </is>
      </c>
      <c r="B2225" t="inlineStr">
        <is>
          <t>KFM2020660051639</t>
        </is>
      </c>
      <c r="C2225" t="inlineStr">
        <is>
          <t>الرياض</t>
        </is>
      </c>
      <c r="D2225" t="inlineStr">
        <is>
          <t>كلا الفترتين</t>
        </is>
      </c>
      <c r="E2225" t="n">
        <v>1370</v>
      </c>
      <c r="F2225" t="b">
        <v>0</v>
      </c>
      <c r="G2225">
        <f>HYPERLINK("https://www.google.com/maps/search/?api=1&amp;query=24.60466498,46.63437106", "View Map")</f>
        <v/>
      </c>
    </row>
    <row r="2226">
      <c r="A2226" t="inlineStr">
        <is>
          <t>ﻤﺴﺎﺠﺩ .</t>
        </is>
      </c>
      <c r="B2226" t="inlineStr">
        <is>
          <t>KFM2020660046528</t>
        </is>
      </c>
      <c r="C2226" t="inlineStr">
        <is>
          <t>الرياض</t>
        </is>
      </c>
      <c r="D2226" t="inlineStr">
        <is>
          <t>كلا الفترتين</t>
        </is>
      </c>
      <c r="E2226" t="n">
        <v>1370</v>
      </c>
      <c r="F2226" t="b">
        <v>1</v>
      </c>
      <c r="G2226">
        <f>HYPERLINK("https://www.google.com/maps/search/?api=1&amp;query=24.84240754,46.79025005", "View Map")</f>
        <v/>
      </c>
    </row>
    <row r="2227">
      <c r="A2227" t="inlineStr">
        <is>
          <t>مسجد الاميرسلمان بن محمد .</t>
        </is>
      </c>
      <c r="B2227" t="inlineStr">
        <is>
          <t>KFM2020660038742</t>
        </is>
      </c>
      <c r="C2227" t="inlineStr">
        <is>
          <t>الرياض</t>
        </is>
      </c>
      <c r="D2227" t="inlineStr">
        <is>
          <t>كلا الفترتين</t>
        </is>
      </c>
      <c r="E2227" t="n">
        <v>1369</v>
      </c>
      <c r="F2227" t="b">
        <v>1</v>
      </c>
      <c r="G2227">
        <f>HYPERLINK("https://www.google.com/maps/search/?api=1&amp;query=24.62549501,46.69035341", "View Map")</f>
        <v/>
      </c>
    </row>
    <row r="2228">
      <c r="A2228" t="inlineStr">
        <is>
          <t xml:space="preserve">   مسجد حي المنصورة .</t>
        </is>
      </c>
      <c r="B2228" t="inlineStr">
        <is>
          <t>KFM2120660248193</t>
        </is>
      </c>
      <c r="C2228" t="inlineStr">
        <is>
          <t>الرياض</t>
        </is>
      </c>
      <c r="D2228" t="inlineStr">
        <is>
          <t>كلا الفترتين</t>
        </is>
      </c>
      <c r="E2228" t="n">
        <v>1368</v>
      </c>
      <c r="F2228" t="b">
        <v>0</v>
      </c>
      <c r="G2228">
        <f>HYPERLINK("https://www.google.com/maps/search/?api=1&amp;query=24.60547967,46.74862502", "View Map")</f>
        <v/>
      </c>
    </row>
    <row r="2229">
      <c r="A2229" t="inlineStr">
        <is>
          <t>مسجد      بجاد حلة   العماج .</t>
        </is>
      </c>
      <c r="B2229" t="inlineStr">
        <is>
          <t>KFM2020660201740</t>
        </is>
      </c>
      <c r="C2229" t="inlineStr">
        <is>
          <t>الرياض</t>
        </is>
      </c>
      <c r="D2229" t="inlineStr">
        <is>
          <t>كلا الفترتين</t>
        </is>
      </c>
      <c r="E2229" t="n">
        <v>1368</v>
      </c>
      <c r="F2229" t="b">
        <v>1</v>
      </c>
      <c r="G2229">
        <f>HYPERLINK("https://www.google.com/maps/search/?api=1&amp;query=24.62298743,46.69722577", "View Map")</f>
        <v/>
      </c>
    </row>
    <row r="2230">
      <c r="A2230" t="inlineStr">
        <is>
          <t xml:space="preserve">   وزارةالشئون الاسلا ميه/مسجدالسعاده .</t>
        </is>
      </c>
      <c r="B2230" t="inlineStr">
        <is>
          <t>KFM2120660242262</t>
        </is>
      </c>
      <c r="C2230" t="inlineStr">
        <is>
          <t>الرياض</t>
        </is>
      </c>
      <c r="D2230" t="inlineStr">
        <is>
          <t>كلا الفترتين</t>
        </is>
      </c>
      <c r="E2230" t="n">
        <v>1367</v>
      </c>
      <c r="F2230" t="b">
        <v>0</v>
      </c>
      <c r="G2230">
        <f>HYPERLINK("https://www.google.com/maps/search/?api=1&amp;query=24.69921059,46.85217229", "View Map")</f>
        <v/>
      </c>
    </row>
    <row r="2231">
      <c r="A2231" t="inlineStr">
        <is>
          <t xml:space="preserve">   مسجد      الفصام .</t>
        </is>
      </c>
      <c r="B2231" t="inlineStr">
        <is>
          <t>KFM2020660025588</t>
        </is>
      </c>
      <c r="C2231" t="inlineStr">
        <is>
          <t>الرياض</t>
        </is>
      </c>
      <c r="D2231" t="inlineStr">
        <is>
          <t>كلا الفترتين</t>
        </is>
      </c>
      <c r="E2231" t="n">
        <v>1366</v>
      </c>
      <c r="F2231" t="b">
        <v>1</v>
      </c>
      <c r="G2231">
        <f>HYPERLINK("https://www.google.com/maps/search/?api=1&amp;query=24.778807,46.806766", "View Map")</f>
        <v/>
      </c>
    </row>
    <row r="2232">
      <c r="A2232" t="inlineStr">
        <is>
          <t>ﻭﺯﺍﺭﺓﺍﻟﺸﺌﻭﻥ ﺍﻻﺴﻼﻤﻴﺓﻭﺍﻻﻭﻗﺎﻑ .</t>
        </is>
      </c>
      <c r="B2232" t="inlineStr">
        <is>
          <t>SMR2220621001086</t>
        </is>
      </c>
      <c r="C2232" t="inlineStr">
        <is>
          <t>الرياض</t>
        </is>
      </c>
      <c r="D2232" t="inlineStr">
        <is>
          <t>كلا الفترتين</t>
        </is>
      </c>
      <c r="E2232" t="n">
        <v>1366</v>
      </c>
      <c r="F2232" t="b">
        <v>1</v>
      </c>
      <c r="G2232">
        <f>HYPERLINK("https://www.google.com/maps/search/?api=1&amp;query=24.55363955,46.6674507", "View Map")</f>
        <v/>
      </c>
    </row>
    <row r="2233">
      <c r="A2233" t="inlineStr">
        <is>
          <t xml:space="preserve">   مسجد شرق سوق الربوه .</t>
        </is>
      </c>
      <c r="B2233" t="inlineStr">
        <is>
          <t>KFM2020660129797</t>
        </is>
      </c>
      <c r="C2233" t="inlineStr">
        <is>
          <t>الرياض</t>
        </is>
      </c>
      <c r="D2233" t="inlineStr">
        <is>
          <t>كلا الفترتين</t>
        </is>
      </c>
      <c r="E2233" t="n">
        <v>1366</v>
      </c>
      <c r="F2233" t="b">
        <v>1</v>
      </c>
      <c r="G2233">
        <f>HYPERLINK("https://www.google.com/maps/search/?api=1&amp;query=24.70104458,46.78713846", "View Map")</f>
        <v/>
      </c>
    </row>
    <row r="2234">
      <c r="A2234" t="inlineStr">
        <is>
          <t xml:space="preserve">   مسجد/عبدالعزيز الحمدان .</t>
        </is>
      </c>
      <c r="B2234" t="inlineStr">
        <is>
          <t>KFM2020660192331</t>
        </is>
      </c>
      <c r="C2234" t="inlineStr">
        <is>
          <t>الرياض</t>
        </is>
      </c>
      <c r="D2234" t="inlineStr">
        <is>
          <t>كلا الفترتين</t>
        </is>
      </c>
      <c r="E2234" t="n">
        <v>1365</v>
      </c>
      <c r="F2234" t="b">
        <v>0</v>
      </c>
      <c r="G2234">
        <f>HYPERLINK("https://www.google.com/maps/search/?api=1&amp;query=24.75567718,46.68313838", "View Map")</f>
        <v/>
      </c>
    </row>
    <row r="2235">
      <c r="A2235" t="inlineStr">
        <is>
          <t xml:space="preserve">   مسجدابراهيم المفيريج و مرافقه .</t>
        </is>
      </c>
      <c r="B2235" t="inlineStr">
        <is>
          <t>KFM2020660173665</t>
        </is>
      </c>
      <c r="C2235" t="inlineStr">
        <is>
          <t>الدرعية</t>
        </is>
      </c>
      <c r="D2235" t="inlineStr">
        <is>
          <t>كلا الفترتين</t>
        </is>
      </c>
      <c r="E2235" t="n">
        <v>1365</v>
      </c>
      <c r="F2235" t="b">
        <v>1</v>
      </c>
      <c r="G2235">
        <f>HYPERLINK("https://www.google.com/maps/search/?api=1&amp;query=24.7462698,46.58998719", "View Map")</f>
        <v/>
      </c>
    </row>
    <row r="2236">
      <c r="A2236" t="inlineStr">
        <is>
          <t xml:space="preserve">   وزارةالشؤن-مسجدصالح الشثري .</t>
        </is>
      </c>
      <c r="B2236" t="inlineStr">
        <is>
          <t>KFM2120660247062</t>
        </is>
      </c>
      <c r="C2236" t="inlineStr">
        <is>
          <t>الرياض</t>
        </is>
      </c>
      <c r="D2236" t="inlineStr">
        <is>
          <t>كلا الفترتين</t>
        </is>
      </c>
      <c r="E2236" t="n">
        <v>1365</v>
      </c>
      <c r="F2236" t="b">
        <v>0</v>
      </c>
      <c r="G2236">
        <f>HYPERLINK("https://www.google.com/maps/search/?api=1&amp;query=24.61319567,46.52029142", "View Map")</f>
        <v/>
      </c>
    </row>
    <row r="2237">
      <c r="A2237" t="inlineStr">
        <is>
          <t>مسجد الدخل  المحدود .</t>
        </is>
      </c>
      <c r="B2237" t="inlineStr">
        <is>
          <t>KFM2020660171613</t>
        </is>
      </c>
      <c r="C2237" t="inlineStr">
        <is>
          <t>الرياض</t>
        </is>
      </c>
      <c r="D2237" t="inlineStr">
        <is>
          <t>كلا الفترتين</t>
        </is>
      </c>
      <c r="E2237" t="n">
        <v>1365</v>
      </c>
      <c r="F2237" t="b">
        <v>1</v>
      </c>
      <c r="G2237">
        <f>HYPERLINK("https://www.google.com/maps/search/?api=1&amp;query=24.61098195,46.60350751", "View Map")</f>
        <v/>
      </c>
    </row>
    <row r="2238">
      <c r="A2238" t="inlineStr">
        <is>
          <t>ﻤﺴﺎﺠﺩ .</t>
        </is>
      </c>
      <c r="B2238" t="inlineStr">
        <is>
          <t>KFM2020660097281</t>
        </is>
      </c>
      <c r="C2238" t="inlineStr">
        <is>
          <t>الرياض</t>
        </is>
      </c>
      <c r="D2238" t="inlineStr">
        <is>
          <t>كلا الفترتين</t>
        </is>
      </c>
      <c r="E2238" t="n">
        <v>1364</v>
      </c>
      <c r="F2238" t="b">
        <v>1</v>
      </c>
      <c r="G2238">
        <f>HYPERLINK("https://www.google.com/maps/search/?api=1&amp;query=24.68199808,46.56583415", "View Map")</f>
        <v/>
      </c>
    </row>
    <row r="2239">
      <c r="A2239" t="inlineStr">
        <is>
          <t>ﻤﺴﺎﺠﺩ .</t>
        </is>
      </c>
      <c r="B2239" t="inlineStr">
        <is>
          <t>KFM2020660211247</t>
        </is>
      </c>
      <c r="C2239" t="inlineStr">
        <is>
          <t>الدرعية</t>
        </is>
      </c>
      <c r="D2239" t="inlineStr">
        <is>
          <t>كلا الفترتين</t>
        </is>
      </c>
      <c r="E2239" t="n">
        <v>1364</v>
      </c>
      <c r="F2239" t="b">
        <v>0</v>
      </c>
      <c r="G2239">
        <f>HYPERLINK("https://www.google.com/maps/search/?api=1&amp;query=24.91306254,46.46192095", "View Map")</f>
        <v/>
      </c>
    </row>
    <row r="2240">
      <c r="A2240" t="inlineStr">
        <is>
          <t xml:space="preserve">   مسجد المنصورة .</t>
        </is>
      </c>
      <c r="B2240" t="inlineStr">
        <is>
          <t>KFM2120660304171</t>
        </is>
      </c>
      <c r="C2240" t="inlineStr">
        <is>
          <t>الرياض</t>
        </is>
      </c>
      <c r="D2240" t="inlineStr">
        <is>
          <t>كلا الفترتين</t>
        </is>
      </c>
      <c r="E2240" t="n">
        <v>1364</v>
      </c>
      <c r="F2240" t="b">
        <v>0</v>
      </c>
      <c r="G2240">
        <f>HYPERLINK("https://www.google.com/maps/search/?api=1&amp;query=24.60341739,46.73835327", "View Map")</f>
        <v/>
      </c>
    </row>
    <row r="2241">
      <c r="A2241" t="inlineStr">
        <is>
          <t xml:space="preserve">   مسجد المانع .</t>
        </is>
      </c>
      <c r="B2241" t="inlineStr">
        <is>
          <t>KFM2020660057136</t>
        </is>
      </c>
      <c r="C2241" t="inlineStr">
        <is>
          <t>الرياض</t>
        </is>
      </c>
      <c r="D2241" t="inlineStr">
        <is>
          <t>كلا الفترتين</t>
        </is>
      </c>
      <c r="E2241" t="n">
        <v>1363</v>
      </c>
      <c r="F2241" t="b">
        <v>0</v>
      </c>
      <c r="G2241">
        <f>HYPERLINK("https://www.google.com/maps/search/?api=1&amp;query=24.71654173,46.79855543", "View Map")</f>
        <v/>
      </c>
    </row>
    <row r="2242">
      <c r="A2242" t="inlineStr">
        <is>
          <t>مسجد العقيل .</t>
        </is>
      </c>
      <c r="B2242" t="inlineStr">
        <is>
          <t>KFM2020660087410</t>
        </is>
      </c>
      <c r="C2242" t="inlineStr">
        <is>
          <t>الرياض</t>
        </is>
      </c>
      <c r="D2242" t="inlineStr">
        <is>
          <t>كلا الفترتين</t>
        </is>
      </c>
      <c r="E2242" t="n">
        <v>1363</v>
      </c>
      <c r="F2242" t="b">
        <v>0</v>
      </c>
      <c r="G2242">
        <f>HYPERLINK("https://www.google.com/maps/search/?api=1&amp;query=24.62234533,46.71892535", "View Map")</f>
        <v/>
      </c>
    </row>
    <row r="2243">
      <c r="A2243" t="inlineStr">
        <is>
          <t>مسجدالقميعة بجاورالمكتبة الوطنية .</t>
        </is>
      </c>
      <c r="B2243" t="inlineStr">
        <is>
          <t>KFM2020660038687</t>
        </is>
      </c>
      <c r="C2243" t="inlineStr">
        <is>
          <t>الرياض</t>
        </is>
      </c>
      <c r="D2243" t="inlineStr">
        <is>
          <t>كلا الفترتين</t>
        </is>
      </c>
      <c r="E2243" t="n">
        <v>1363</v>
      </c>
      <c r="F2243" t="b">
        <v>1</v>
      </c>
      <c r="G2243">
        <f>HYPERLINK("https://www.google.com/maps/search/?api=1&amp;query=24.6397,46.7139", "View Map")</f>
        <v/>
      </c>
    </row>
    <row r="2244">
      <c r="A2244" t="inlineStr">
        <is>
          <t xml:space="preserve">   مسجد والدة أحمد الشايع .</t>
        </is>
      </c>
      <c r="B2244" t="inlineStr">
        <is>
          <t>KFM2120660262145</t>
        </is>
      </c>
      <c r="C2244" t="inlineStr">
        <is>
          <t>الرياض</t>
        </is>
      </c>
      <c r="D2244" t="inlineStr">
        <is>
          <t>كلا الفترتين</t>
        </is>
      </c>
      <c r="E2244" t="n">
        <v>1362</v>
      </c>
      <c r="F2244" t="b">
        <v>0</v>
      </c>
      <c r="G2244">
        <f>HYPERLINK("https://www.google.com/maps/search/?api=1&amp;query=24.83197841,46.64545065", "View Map")</f>
        <v/>
      </c>
    </row>
    <row r="2245">
      <c r="A2245" t="inlineStr">
        <is>
          <t xml:space="preserve">   مسجد      صالح      الرضيان .</t>
        </is>
      </c>
      <c r="B2245" t="inlineStr">
        <is>
          <t>KFM2120660268053</t>
        </is>
      </c>
      <c r="C2245" t="inlineStr">
        <is>
          <t>الرياض</t>
        </is>
      </c>
      <c r="D2245" t="inlineStr">
        <is>
          <t>كلا الفترتين</t>
        </is>
      </c>
      <c r="E2245" t="n">
        <v>1362</v>
      </c>
      <c r="F2245" t="b">
        <v>1</v>
      </c>
      <c r="G2245">
        <f>HYPERLINK("https://www.google.com/maps/search/?api=1&amp;query=24.62816711,46.74875571", "View Map")</f>
        <v/>
      </c>
    </row>
    <row r="2246">
      <c r="A2246" t="inlineStr">
        <is>
          <t>2)مسجد /مشروع  الاميرسلمان .</t>
        </is>
      </c>
      <c r="B2246" t="inlineStr">
        <is>
          <t>KFM2020660038598</t>
        </is>
      </c>
      <c r="C2246" t="inlineStr">
        <is>
          <t>الرياض</t>
        </is>
      </c>
      <c r="D2246" t="inlineStr">
        <is>
          <t>كلا الفترتين</t>
        </is>
      </c>
      <c r="E2246" t="n">
        <v>1361</v>
      </c>
      <c r="F2246" t="b">
        <v>0</v>
      </c>
      <c r="G2246">
        <f>HYPERLINK("https://www.google.com/maps/search/?api=1&amp;query=24.61957312,46.69230611", "View Map")</f>
        <v/>
      </c>
    </row>
    <row r="2247">
      <c r="A2247" t="inlineStr">
        <is>
          <t xml:space="preserve">   مسجد عمر بن الخطاب .</t>
        </is>
      </c>
      <c r="B2247" t="inlineStr">
        <is>
          <t>KFM2020660195830</t>
        </is>
      </c>
      <c r="C2247" t="inlineStr">
        <is>
          <t>الرياض</t>
        </is>
      </c>
      <c r="D2247" t="inlineStr">
        <is>
          <t>كلا الفترتين</t>
        </is>
      </c>
      <c r="E2247" t="n">
        <v>1361</v>
      </c>
      <c r="F2247" t="b">
        <v>0</v>
      </c>
      <c r="G2247">
        <f>HYPERLINK("https://www.google.com/maps/search/?api=1&amp;query=24.74831454,46.770672", "View Map")</f>
        <v/>
      </c>
    </row>
    <row r="2248">
      <c r="A2248" t="inlineStr">
        <is>
          <t xml:space="preserve">   مسجد علي الحوشاني .</t>
        </is>
      </c>
      <c r="B2248" t="inlineStr">
        <is>
          <t>KFM2020660191800</t>
        </is>
      </c>
      <c r="C2248" t="inlineStr">
        <is>
          <t>الرياض</t>
        </is>
      </c>
      <c r="D2248" t="inlineStr">
        <is>
          <t>كلا الفترتين</t>
        </is>
      </c>
      <c r="E2248" t="n">
        <v>1361</v>
      </c>
      <c r="F2248" t="b">
        <v>0</v>
      </c>
      <c r="G2248">
        <f>HYPERLINK("https://www.google.com/maps/search/?api=1&amp;query=24.71571067,46.82345801", "View Map")</f>
        <v/>
      </c>
    </row>
    <row r="2249">
      <c r="A2249" t="inlineStr">
        <is>
          <t>مسجد/ الشيخ  الهويمل .</t>
        </is>
      </c>
      <c r="B2249" t="inlineStr">
        <is>
          <t>KFM2020660198337</t>
        </is>
      </c>
      <c r="C2249" t="inlineStr">
        <is>
          <t>الرياض</t>
        </is>
      </c>
      <c r="D2249" t="inlineStr">
        <is>
          <t>كلا الفترتين</t>
        </is>
      </c>
      <c r="E2249" t="n">
        <v>1361</v>
      </c>
      <c r="F2249" t="b">
        <v>0</v>
      </c>
      <c r="G2249">
        <f>HYPERLINK("https://www.google.com/maps/search/?api=1&amp;query=24.58646029,46.63881093", "View Map")</f>
        <v/>
      </c>
    </row>
    <row r="2250">
      <c r="A2250" t="inlineStr">
        <is>
          <t xml:space="preserve">   مسجد الشيخ مبارك الرشود .</t>
        </is>
      </c>
      <c r="B2250" t="inlineStr">
        <is>
          <t>KFM2020660206525</t>
        </is>
      </c>
      <c r="C2250" t="inlineStr">
        <is>
          <t>الرياض</t>
        </is>
      </c>
      <c r="D2250" t="inlineStr">
        <is>
          <t>كلا الفترتين</t>
        </is>
      </c>
      <c r="E2250" t="n">
        <v>1360</v>
      </c>
      <c r="F2250" t="b">
        <v>0</v>
      </c>
      <c r="G2250">
        <f>HYPERLINK("https://www.google.com/maps/search/?api=1&amp;query=24.80308317,46.68861468", "View Map")</f>
        <v/>
      </c>
    </row>
    <row r="2251">
      <c r="A2251" t="inlineStr">
        <is>
          <t xml:space="preserve">   مسجد سليمان الحصيني .</t>
        </is>
      </c>
      <c r="B2251" t="inlineStr">
        <is>
          <t>KFM2120660287366</t>
        </is>
      </c>
      <c r="C2251" t="inlineStr">
        <is>
          <t>الرياض</t>
        </is>
      </c>
      <c r="D2251" t="inlineStr">
        <is>
          <t>كلا الفترتين</t>
        </is>
      </c>
      <c r="E2251" t="n">
        <v>1359</v>
      </c>
      <c r="F2251" t="b">
        <v>1</v>
      </c>
      <c r="G2251">
        <f>HYPERLINK("https://www.google.com/maps/search/?api=1&amp;query=24.58747526,46.76039766", "View Map")</f>
        <v/>
      </c>
    </row>
    <row r="2252">
      <c r="A2252" t="inlineStr">
        <is>
          <t xml:space="preserve">   مسجدالفرقان .</t>
        </is>
      </c>
      <c r="B2252" t="inlineStr">
        <is>
          <t>KFM2020660041178</t>
        </is>
      </c>
      <c r="C2252" t="inlineStr">
        <is>
          <t>الرياض</t>
        </is>
      </c>
      <c r="D2252" t="inlineStr">
        <is>
          <t>كلا الفترتين</t>
        </is>
      </c>
      <c r="E2252" t="n">
        <v>1359</v>
      </c>
      <c r="F2252" t="b">
        <v>1</v>
      </c>
      <c r="G2252">
        <f>HYPERLINK("https://www.google.com/maps/search/?api=1&amp;query=24.7583,46.7833", "View Map")</f>
        <v/>
      </c>
    </row>
    <row r="2253">
      <c r="A2253" t="inlineStr">
        <is>
          <t>مسجد نورة بنت مرزوق .</t>
        </is>
      </c>
      <c r="B2253" t="inlineStr">
        <is>
          <t>KFM2120660299059</t>
        </is>
      </c>
      <c r="C2253" t="inlineStr">
        <is>
          <t>الرياض</t>
        </is>
      </c>
      <c r="D2253" t="inlineStr">
        <is>
          <t>كلا الفترتين</t>
        </is>
      </c>
      <c r="E2253" t="n">
        <v>1358</v>
      </c>
      <c r="F2253" t="b">
        <v>1</v>
      </c>
      <c r="G2253">
        <f>HYPERLINK("https://www.google.com/maps/search/?api=1&amp;query=24.57570091,46.75938962", "View Map")</f>
        <v/>
      </c>
    </row>
    <row r="2254">
      <c r="A2254" t="inlineStr">
        <is>
          <t xml:space="preserve">   مسجد حي غرناطه .</t>
        </is>
      </c>
      <c r="B2254" t="inlineStr">
        <is>
          <t>KFM2020660191588</t>
        </is>
      </c>
      <c r="C2254" t="inlineStr">
        <is>
          <t>الرياض</t>
        </is>
      </c>
      <c r="D2254" t="inlineStr">
        <is>
          <t>كلا الفترتين</t>
        </is>
      </c>
      <c r="E2254" t="n">
        <v>1358</v>
      </c>
      <c r="F2254" t="b">
        <v>1</v>
      </c>
      <c r="G2254">
        <f>HYPERLINK("https://www.google.com/maps/search/?api=1&amp;query=24.78343952,46.73346747", "View Map")</f>
        <v/>
      </c>
    </row>
    <row r="2255">
      <c r="A2255" t="inlineStr">
        <is>
          <t>مساجد .</t>
        </is>
      </c>
      <c r="B2255" t="inlineStr">
        <is>
          <t>MMF2020800125211</t>
        </is>
      </c>
      <c r="C2255" t="inlineStr">
        <is>
          <t>الدرعية</t>
        </is>
      </c>
      <c r="D2255" t="inlineStr">
        <is>
          <t>كلا الفترتين</t>
        </is>
      </c>
      <c r="E2255" t="n">
        <v>1357</v>
      </c>
      <c r="F2255" t="b">
        <v>1</v>
      </c>
      <c r="G2255">
        <f>HYPERLINK("https://www.google.com/maps/search/?api=1&amp;query=24.89494171,46.44201942", "View Map")</f>
        <v/>
      </c>
    </row>
    <row r="2256">
      <c r="A2256" t="inlineStr">
        <is>
          <t xml:space="preserve">   مسجد      بدريه     الحماد .</t>
        </is>
      </c>
      <c r="B2256" t="inlineStr">
        <is>
          <t>KFM2020660026329</t>
        </is>
      </c>
      <c r="C2256" t="inlineStr">
        <is>
          <t>الدرعية</t>
        </is>
      </c>
      <c r="D2256" t="inlineStr">
        <is>
          <t>كلا الفترتين</t>
        </is>
      </c>
      <c r="E2256" t="n">
        <v>1356</v>
      </c>
      <c r="F2256" t="b">
        <v>1</v>
      </c>
      <c r="G2256">
        <f>HYPERLINK("https://www.google.com/maps/search/?api=1&amp;query=24.74820868,46.53897423", "View Map")</f>
        <v/>
      </c>
    </row>
    <row r="2257">
      <c r="A2257" t="inlineStr">
        <is>
          <t xml:space="preserve">   مسجد محمد العجلان .</t>
        </is>
      </c>
      <c r="B2257" t="inlineStr">
        <is>
          <t>KFM2120660246653</t>
        </is>
      </c>
      <c r="C2257" t="inlineStr">
        <is>
          <t>الرياض</t>
        </is>
      </c>
      <c r="D2257" t="inlineStr">
        <is>
          <t>كلا الفترتين</t>
        </is>
      </c>
      <c r="E2257" t="n">
        <v>1356</v>
      </c>
      <c r="F2257" t="b">
        <v>1</v>
      </c>
      <c r="G2257">
        <f>HYPERLINK("https://www.google.com/maps/search/?api=1&amp;query=24.63989924,46.7349719", "View Map")</f>
        <v/>
      </c>
    </row>
    <row r="2258">
      <c r="A2258" t="inlineStr">
        <is>
          <t xml:space="preserve">   مسجد الشويعى .</t>
        </is>
      </c>
      <c r="B2258" t="inlineStr">
        <is>
          <t>KFM2120660281690</t>
        </is>
      </c>
      <c r="C2258" t="inlineStr">
        <is>
          <t>الرياض</t>
        </is>
      </c>
      <c r="D2258" t="inlineStr">
        <is>
          <t>كلا الفترتين</t>
        </is>
      </c>
      <c r="E2258" t="n">
        <v>1355</v>
      </c>
      <c r="F2258" t="b">
        <v>1</v>
      </c>
      <c r="G2258">
        <f>HYPERLINK("https://www.google.com/maps/search/?api=1&amp;query=24.58993496,46.78168271", "View Map")</f>
        <v/>
      </c>
    </row>
    <row r="2259">
      <c r="A2259" t="inlineStr">
        <is>
          <t xml:space="preserve">   مسجد حي الجزيره شارع رقم  14 .</t>
        </is>
      </c>
      <c r="B2259" t="inlineStr">
        <is>
          <t>KFM2120660304070</t>
        </is>
      </c>
      <c r="C2259" t="inlineStr">
        <is>
          <t>الرياض</t>
        </is>
      </c>
      <c r="D2259" t="inlineStr">
        <is>
          <t>كلا الفترتين</t>
        </is>
      </c>
      <c r="E2259" t="n">
        <v>1354</v>
      </c>
      <c r="F2259" t="b">
        <v>0</v>
      </c>
      <c r="G2259">
        <f>HYPERLINK("https://www.google.com/maps/search/?api=1&amp;query=24.67632908,46.79872813", "View Map")</f>
        <v/>
      </c>
    </row>
    <row r="2260">
      <c r="A2260" t="inlineStr">
        <is>
          <t xml:space="preserve">   مسجد حى الوادى .</t>
        </is>
      </c>
      <c r="B2260" t="inlineStr">
        <is>
          <t>KFM2020660211381</t>
        </is>
      </c>
      <c r="C2260" t="inlineStr">
        <is>
          <t>الرياض</t>
        </is>
      </c>
      <c r="D2260" t="inlineStr">
        <is>
          <t>كلا الفترتين</t>
        </is>
      </c>
      <c r="E2260" t="n">
        <v>1353</v>
      </c>
      <c r="F2260" t="b">
        <v>0</v>
      </c>
      <c r="G2260">
        <f>HYPERLINK("https://www.google.com/maps/search/?api=1&amp;query=24.79409119,46.68990334", "View Map")</f>
        <v/>
      </c>
    </row>
    <row r="2261">
      <c r="A2261" t="inlineStr">
        <is>
          <t>ﻤﺴﺎﺠﺩ .</t>
        </is>
      </c>
      <c r="B2261" t="inlineStr">
        <is>
          <t>SMR2220621000802</t>
        </is>
      </c>
      <c r="C2261" t="inlineStr">
        <is>
          <t>الرياض</t>
        </is>
      </c>
      <c r="D2261" t="inlineStr">
        <is>
          <t>كلا الفترتين</t>
        </is>
      </c>
      <c r="E2261" t="n">
        <v>1353</v>
      </c>
      <c r="F2261" t="b">
        <v>1</v>
      </c>
      <c r="G2261">
        <f>HYPERLINK("https://www.google.com/maps/search/?api=1&amp;query=24.64724593,46.49726664", "View Map")</f>
        <v/>
      </c>
    </row>
    <row r="2262">
      <c r="A2262" t="inlineStr">
        <is>
          <t>مسجد عبدالعزيز عبدالله  العثمان .</t>
        </is>
      </c>
      <c r="B2262" t="inlineStr">
        <is>
          <t>KFM2020660054917</t>
        </is>
      </c>
      <c r="C2262" t="inlineStr">
        <is>
          <t>الرياض</t>
        </is>
      </c>
      <c r="D2262" t="inlineStr">
        <is>
          <t>كلا الفترتين</t>
        </is>
      </c>
      <c r="E2262" t="n">
        <v>1351</v>
      </c>
      <c r="F2262" t="b">
        <v>0</v>
      </c>
      <c r="G2262">
        <f>HYPERLINK("https://www.google.com/maps/search/?api=1&amp;query=24.58503308,46.66263164", "View Map")</f>
        <v/>
      </c>
    </row>
    <row r="2263">
      <c r="A2263" t="inlineStr">
        <is>
          <t>ﻤﺴﺎﺠﺩ .</t>
        </is>
      </c>
      <c r="B2263" t="inlineStr">
        <is>
          <t>SMR2220661002713</t>
        </is>
      </c>
      <c r="C2263" t="inlineStr">
        <is>
          <t>الرياض</t>
        </is>
      </c>
      <c r="D2263" t="inlineStr">
        <is>
          <t>كلا الفترتين</t>
        </is>
      </c>
      <c r="E2263" t="n">
        <v>1350</v>
      </c>
      <c r="F2263" t="b">
        <v>0</v>
      </c>
      <c r="G2263">
        <f>HYPERLINK("https://www.google.com/maps/search/?api=1&amp;query=24.8867,46.6106", "View Map")</f>
        <v/>
      </c>
    </row>
    <row r="2264">
      <c r="A2264" t="inlineStr">
        <is>
          <t xml:space="preserve">   مسجد والدة الامير/ بدر .</t>
        </is>
      </c>
      <c r="B2264" t="inlineStr">
        <is>
          <t>KFM2120660258276</t>
        </is>
      </c>
      <c r="C2264" t="inlineStr">
        <is>
          <t>الرياض</t>
        </is>
      </c>
      <c r="D2264" t="inlineStr">
        <is>
          <t>كلا الفترتين</t>
        </is>
      </c>
      <c r="E2264" t="n">
        <v>1350</v>
      </c>
      <c r="F2264" t="b">
        <v>1</v>
      </c>
      <c r="G2264">
        <f>HYPERLINK("https://www.google.com/maps/search/?api=1&amp;query=24.77815313,46.7244194", "View Map")</f>
        <v/>
      </c>
    </row>
    <row r="2265">
      <c r="A2265" t="inlineStr">
        <is>
          <t xml:space="preserve">   مسجد / عبيد عبدالله .</t>
        </is>
      </c>
      <c r="B2265" t="inlineStr">
        <is>
          <t>KFM2120660248341</t>
        </is>
      </c>
      <c r="C2265" t="inlineStr">
        <is>
          <t>الرياض</t>
        </is>
      </c>
      <c r="D2265" t="inlineStr">
        <is>
          <t>كلا الفترتين</t>
        </is>
      </c>
      <c r="E2265" t="n">
        <v>1349</v>
      </c>
      <c r="F2265" t="b">
        <v>0</v>
      </c>
      <c r="G2265">
        <f>HYPERLINK("https://www.google.com/maps/search/?api=1&amp;query=24.62006556,46.72786876", "View Map")</f>
        <v/>
      </c>
    </row>
    <row r="2266">
      <c r="A2266" t="inlineStr">
        <is>
          <t>مسجد الشفاء .</t>
        </is>
      </c>
      <c r="B2266" t="inlineStr">
        <is>
          <t>KFM2020660013609</t>
        </is>
      </c>
      <c r="C2266" t="inlineStr">
        <is>
          <t>الرياض</t>
        </is>
      </c>
      <c r="D2266" t="inlineStr">
        <is>
          <t>كلا الفترتين</t>
        </is>
      </c>
      <c r="E2266" t="n">
        <v>1349</v>
      </c>
      <c r="F2266" t="b">
        <v>0</v>
      </c>
      <c r="G2266">
        <f>HYPERLINK("https://www.google.com/maps/search/?api=1&amp;query=24.56237813,46.68986147", "View Map")</f>
        <v/>
      </c>
    </row>
    <row r="2267">
      <c r="A2267" t="inlineStr">
        <is>
          <t xml:space="preserve">   مسجد النور .</t>
        </is>
      </c>
      <c r="B2267" t="inlineStr">
        <is>
          <t>KFM2120660239192</t>
        </is>
      </c>
      <c r="C2267" t="inlineStr">
        <is>
          <t>الرياض</t>
        </is>
      </c>
      <c r="D2267" t="inlineStr">
        <is>
          <t>كلا الفترتين</t>
        </is>
      </c>
      <c r="E2267" t="n">
        <v>1349</v>
      </c>
      <c r="F2267" t="b">
        <v>0</v>
      </c>
      <c r="G2267">
        <f>HYPERLINK("https://www.google.com/maps/search/?api=1&amp;query=24.69257482,46.75386476", "View Map")</f>
        <v/>
      </c>
    </row>
    <row r="2268">
      <c r="A2268" t="inlineStr">
        <is>
          <t>المسجد الموقت بالعريجاء .</t>
        </is>
      </c>
      <c r="B2268" t="inlineStr">
        <is>
          <t>KFM2020660013283</t>
        </is>
      </c>
      <c r="C2268" t="inlineStr">
        <is>
          <t>الرياض</t>
        </is>
      </c>
      <c r="D2268" t="inlineStr">
        <is>
          <t>كلا الفترتين</t>
        </is>
      </c>
      <c r="E2268" t="n">
        <v>1349</v>
      </c>
      <c r="F2268" t="b">
        <v>1</v>
      </c>
      <c r="G2268">
        <f>HYPERLINK("https://www.google.com/maps/search/?api=1&amp;query=24.57820219,46.58912509", "View Map")</f>
        <v/>
      </c>
    </row>
    <row r="2269">
      <c r="A2269" t="inlineStr">
        <is>
          <t>ﻤﺴﺎﺠﺩ .</t>
        </is>
      </c>
      <c r="B2269" t="inlineStr">
        <is>
          <t>KFM2020660232882</t>
        </is>
      </c>
      <c r="C2269" t="inlineStr">
        <is>
          <t>الرياض</t>
        </is>
      </c>
      <c r="D2269" t="inlineStr">
        <is>
          <t>كلا الفترتين</t>
        </is>
      </c>
      <c r="E2269" t="n">
        <v>1348</v>
      </c>
      <c r="F2269" t="b">
        <v>0</v>
      </c>
      <c r="G2269">
        <f>HYPERLINK("https://www.google.com/maps/search/?api=1&amp;query=24.80177215,46.82756238", "View Map")</f>
        <v/>
      </c>
    </row>
    <row r="2270">
      <c r="A2270" t="inlineStr">
        <is>
          <t>مسجد      علي       بن ابي طالب .</t>
        </is>
      </c>
      <c r="B2270" t="inlineStr">
        <is>
          <t>KFM2020660061336</t>
        </is>
      </c>
      <c r="C2270" t="inlineStr">
        <is>
          <t>الرياض</t>
        </is>
      </c>
      <c r="D2270" t="inlineStr">
        <is>
          <t>كلا الفترتين</t>
        </is>
      </c>
      <c r="E2270" t="n">
        <v>1347</v>
      </c>
      <c r="F2270" t="b">
        <v>0</v>
      </c>
      <c r="G2270">
        <f>HYPERLINK("https://www.google.com/maps/search/?api=1&amp;query=24.63089997,46.69888684", "View Map")</f>
        <v/>
      </c>
    </row>
    <row r="2271">
      <c r="A2271" t="inlineStr">
        <is>
          <t xml:space="preserve">   مسجد الشلوى بحى الوزارات .</t>
        </is>
      </c>
      <c r="B2271" t="inlineStr">
        <is>
          <t>KFM2020660208536</t>
        </is>
      </c>
      <c r="C2271" t="inlineStr">
        <is>
          <t>الرياض</t>
        </is>
      </c>
      <c r="D2271" t="inlineStr">
        <is>
          <t>كلا الفترتين</t>
        </is>
      </c>
      <c r="E2271" t="n">
        <v>1347</v>
      </c>
      <c r="F2271" t="b">
        <v>0</v>
      </c>
      <c r="G2271">
        <f>HYPERLINK("https://www.google.com/maps/search/?api=1&amp;query=24.67637851,46.71156544", "View Map")</f>
        <v/>
      </c>
    </row>
    <row r="2272">
      <c r="A2272" t="inlineStr">
        <is>
          <t xml:space="preserve">   مسجد عبدالله بن مسعود .</t>
        </is>
      </c>
      <c r="B2272" t="inlineStr">
        <is>
          <t>KFM2020660193686</t>
        </is>
      </c>
      <c r="C2272" t="inlineStr">
        <is>
          <t>الرياض</t>
        </is>
      </c>
      <c r="D2272" t="inlineStr">
        <is>
          <t>كلا الفترتين</t>
        </is>
      </c>
      <c r="E2272" t="n">
        <v>1346</v>
      </c>
      <c r="F2272" t="b">
        <v>0</v>
      </c>
      <c r="G2272">
        <f>HYPERLINK("https://www.google.com/maps/search/?api=1&amp;query=24.71360067,46.82437061", "View Map")</f>
        <v/>
      </c>
    </row>
    <row r="2273">
      <c r="A2273" t="inlineStr">
        <is>
          <t xml:space="preserve">   مساجد .</t>
        </is>
      </c>
      <c r="B2273" t="inlineStr">
        <is>
          <t>KFM2120660271145</t>
        </is>
      </c>
      <c r="C2273" t="inlineStr">
        <is>
          <t>الرياض</t>
        </is>
      </c>
      <c r="D2273" t="inlineStr">
        <is>
          <t>كلا الفترتين</t>
        </is>
      </c>
      <c r="E2273" t="n">
        <v>1346</v>
      </c>
      <c r="F2273" t="b">
        <v>1</v>
      </c>
      <c r="G2273">
        <f>HYPERLINK("https://www.google.com/maps/search/?api=1&amp;query=24.66535291,46.72518773", "View Map")</f>
        <v/>
      </c>
    </row>
    <row r="2274">
      <c r="A2274" t="inlineStr">
        <is>
          <t xml:space="preserve">   مسجد الامام الشافعي .</t>
        </is>
      </c>
      <c r="B2274" t="inlineStr">
        <is>
          <t>KFM2020660104202</t>
        </is>
      </c>
      <c r="C2274" t="inlineStr">
        <is>
          <t>الرياض</t>
        </is>
      </c>
      <c r="D2274" t="inlineStr">
        <is>
          <t>كلا الفترتين</t>
        </is>
      </c>
      <c r="E2274" t="n">
        <v>1346</v>
      </c>
      <c r="F2274" t="b">
        <v>1</v>
      </c>
      <c r="G2274">
        <f>HYPERLINK("https://www.google.com/maps/search/?api=1&amp;query=24.70567047,46.797484", "View Map")</f>
        <v/>
      </c>
    </row>
    <row r="2275">
      <c r="A2275" t="inlineStr">
        <is>
          <t xml:space="preserve">   مسجد الجميح .</t>
        </is>
      </c>
      <c r="B2275" t="inlineStr">
        <is>
          <t>KFM2020660012494</t>
        </is>
      </c>
      <c r="C2275" t="inlineStr">
        <is>
          <t>الرياض</t>
        </is>
      </c>
      <c r="D2275" t="inlineStr">
        <is>
          <t>كلا الفترتين</t>
        </is>
      </c>
      <c r="E2275" t="n">
        <v>1346</v>
      </c>
      <c r="F2275" t="b">
        <v>0</v>
      </c>
      <c r="G2275">
        <f>HYPERLINK("https://www.google.com/maps/search/?api=1&amp;query=24.76282314,46.77643728", "View Map")</f>
        <v/>
      </c>
    </row>
    <row r="2276">
      <c r="A2276" t="inlineStr">
        <is>
          <t xml:space="preserve">   مسجد عقبه بن نافع .</t>
        </is>
      </c>
      <c r="B2276" t="inlineStr">
        <is>
          <t>KFM2020660190934</t>
        </is>
      </c>
      <c r="C2276" t="inlineStr">
        <is>
          <t>الرياض</t>
        </is>
      </c>
      <c r="D2276" t="inlineStr">
        <is>
          <t>كلا الفترتين</t>
        </is>
      </c>
      <c r="E2276" t="n">
        <v>1345</v>
      </c>
      <c r="F2276" t="b">
        <v>0</v>
      </c>
      <c r="G2276">
        <f>HYPERLINK("https://www.google.com/maps/search/?api=1&amp;query=24.77707811,46.78082179", "View Map")</f>
        <v/>
      </c>
    </row>
    <row r="2277">
      <c r="A2277" t="inlineStr">
        <is>
          <t>مسجدحى  الشفاء .</t>
        </is>
      </c>
      <c r="B2277" t="inlineStr">
        <is>
          <t>KFM2120660262212</t>
        </is>
      </c>
      <c r="C2277" t="inlineStr">
        <is>
          <t>الرياض</t>
        </is>
      </c>
      <c r="D2277" t="inlineStr">
        <is>
          <t>كلا الفترتين</t>
        </is>
      </c>
      <c r="E2277" t="n">
        <v>1345</v>
      </c>
      <c r="F2277" t="b">
        <v>0</v>
      </c>
      <c r="G2277">
        <f>HYPERLINK("https://www.google.com/maps/search/?api=1&amp;query=24.57121308,46.70367526", "View Map")</f>
        <v/>
      </c>
    </row>
    <row r="2278">
      <c r="A2278" t="inlineStr">
        <is>
          <t xml:space="preserve">   مسجد الصحابة بحي اشبيليا .</t>
        </is>
      </c>
      <c r="B2278" t="inlineStr">
        <is>
          <t>KFM2020660191026</t>
        </is>
      </c>
      <c r="C2278" t="inlineStr">
        <is>
          <t>الرياض</t>
        </is>
      </c>
      <c r="D2278" t="inlineStr">
        <is>
          <t>كلا الفترتين</t>
        </is>
      </c>
      <c r="E2278" t="n">
        <v>1342</v>
      </c>
      <c r="F2278" t="b">
        <v>1</v>
      </c>
      <c r="G2278">
        <f>HYPERLINK("https://www.google.com/maps/search/?api=1&amp;query=24.78851025,46.78542207", "View Map")</f>
        <v/>
      </c>
    </row>
    <row r="2279">
      <c r="A2279" t="inlineStr">
        <is>
          <t xml:space="preserve">   مسجد الأندلس .</t>
        </is>
      </c>
      <c r="B2279" t="inlineStr">
        <is>
          <t>KFM2020660040608</t>
        </is>
      </c>
      <c r="C2279" t="inlineStr">
        <is>
          <t>الرياض</t>
        </is>
      </c>
      <c r="D2279" t="inlineStr">
        <is>
          <t>كلا الفترتين</t>
        </is>
      </c>
      <c r="E2279" t="n">
        <v>1342</v>
      </c>
      <c r="F2279" t="b">
        <v>0</v>
      </c>
      <c r="G2279">
        <f>HYPERLINK("https://www.google.com/maps/search/?api=1&amp;query=24.74901179,46.77937212", "View Map")</f>
        <v/>
      </c>
    </row>
    <row r="2280">
      <c r="A2280" t="inlineStr">
        <is>
          <t>4 مسجدحمدالقحطانى (بحى  العريجاءبلك .</t>
        </is>
      </c>
      <c r="B2280" t="inlineStr">
        <is>
          <t>KFM2020660203502</t>
        </is>
      </c>
      <c r="C2280" t="inlineStr">
        <is>
          <t>الرياض</t>
        </is>
      </c>
      <c r="D2280" t="inlineStr">
        <is>
          <t>كلا الفترتين</t>
        </is>
      </c>
      <c r="E2280" t="n">
        <v>1342</v>
      </c>
      <c r="F2280" t="b">
        <v>0</v>
      </c>
      <c r="G2280">
        <f>HYPERLINK("https://www.google.com/maps/search/?api=1&amp;query=24.59061519,46.54989312", "View Map")</f>
        <v/>
      </c>
    </row>
    <row r="2281">
      <c r="A2281" t="inlineStr">
        <is>
          <t>ﻭﺯﺍﺭﺓﺍﻟﺸﺌﻭﻥ ﺍﻻﺴﻼﻤﻴﺓﻭﺍﻻﻭﻗﺎﻑ .</t>
        </is>
      </c>
      <c r="B2281" t="inlineStr">
        <is>
          <t>KFM2020660049551</t>
        </is>
      </c>
      <c r="C2281" t="inlineStr">
        <is>
          <t>الرياض</t>
        </is>
      </c>
      <c r="D2281" t="inlineStr">
        <is>
          <t>كلا الفترتين</t>
        </is>
      </c>
      <c r="E2281" t="n">
        <v>1342</v>
      </c>
      <c r="F2281" t="b">
        <v>0</v>
      </c>
      <c r="G2281">
        <f>HYPERLINK("https://www.google.com/maps/search/?api=1&amp;query=24.56030096,46.54348166", "View Map")</f>
        <v/>
      </c>
    </row>
    <row r="2282">
      <c r="A2282" t="inlineStr">
        <is>
          <t>ﻤﺴﺎﺠﺩ .</t>
        </is>
      </c>
      <c r="B2282" t="inlineStr">
        <is>
          <t>KFM2020660190871</t>
        </is>
      </c>
      <c r="C2282" t="inlineStr">
        <is>
          <t>الرياض</t>
        </is>
      </c>
      <c r="D2282" t="inlineStr">
        <is>
          <t>كلا الفترتين</t>
        </is>
      </c>
      <c r="E2282" t="n">
        <v>1341</v>
      </c>
      <c r="F2282" t="b">
        <v>1</v>
      </c>
      <c r="G2282">
        <f>HYPERLINK("https://www.google.com/maps/search/?api=1&amp;query=24.82558304,46.65672149", "View Map")</f>
        <v/>
      </c>
    </row>
    <row r="2283">
      <c r="A2283" t="inlineStr">
        <is>
          <t xml:space="preserve">   مسجد/ ابراهيم عبدالله الزيد .</t>
        </is>
      </c>
      <c r="B2283" t="inlineStr">
        <is>
          <t>KFM2020660212142</t>
        </is>
      </c>
      <c r="C2283" t="inlineStr">
        <is>
          <t>الرياض</t>
        </is>
      </c>
      <c r="D2283" t="inlineStr">
        <is>
          <t>كلا الفترتين</t>
        </is>
      </c>
      <c r="E2283" t="n">
        <v>1341</v>
      </c>
      <c r="F2283" t="b">
        <v>0</v>
      </c>
      <c r="G2283">
        <f>HYPERLINK("https://www.google.com/maps/search/?api=1&amp;query=24.69673509,46.67856475", "View Map")</f>
        <v/>
      </c>
    </row>
    <row r="2284">
      <c r="A2284" t="inlineStr">
        <is>
          <t xml:space="preserve">   وزارة الشئون الاسلامية والاوقاف .</t>
        </is>
      </c>
      <c r="B2284" t="inlineStr">
        <is>
          <t>KFM2020660025968</t>
        </is>
      </c>
      <c r="C2284" t="inlineStr">
        <is>
          <t>الرياض</t>
        </is>
      </c>
      <c r="D2284" t="inlineStr">
        <is>
          <t>كلا الفترتين</t>
        </is>
      </c>
      <c r="E2284" t="n">
        <v>1341</v>
      </c>
      <c r="F2284" t="b">
        <v>1</v>
      </c>
      <c r="G2284">
        <f>HYPERLINK("https://www.google.com/maps/search/?api=1&amp;query=24.77366523,46.59357873", "View Map")</f>
        <v/>
      </c>
    </row>
    <row r="2285">
      <c r="A2285" t="inlineStr">
        <is>
          <t>ﻤﺴﺎﺠﺩ .</t>
        </is>
      </c>
      <c r="B2285" t="inlineStr">
        <is>
          <t>KFM2120660249967</t>
        </is>
      </c>
      <c r="C2285" t="inlineStr">
        <is>
          <t>الرياض</t>
        </is>
      </c>
      <c r="D2285" t="inlineStr">
        <is>
          <t>كلا الفترتين</t>
        </is>
      </c>
      <c r="E2285" t="n">
        <v>1340</v>
      </c>
      <c r="F2285" t="b">
        <v>1</v>
      </c>
      <c r="G2285">
        <f>HYPERLINK("https://www.google.com/maps/search/?api=1&amp;query=24.83501,46.59884", "View Map")</f>
        <v/>
      </c>
    </row>
    <row r="2286">
      <c r="A2286" t="inlineStr">
        <is>
          <t xml:space="preserve">   مسجد النور .</t>
        </is>
      </c>
      <c r="B2286" t="inlineStr">
        <is>
          <t>KFM2020660195154</t>
        </is>
      </c>
      <c r="C2286" t="inlineStr">
        <is>
          <t>الرياض</t>
        </is>
      </c>
      <c r="D2286" t="inlineStr">
        <is>
          <t>كلا الفترتين</t>
        </is>
      </c>
      <c r="E2286" t="n">
        <v>1340</v>
      </c>
      <c r="F2286" t="b">
        <v>0</v>
      </c>
      <c r="G2286">
        <f>HYPERLINK("https://www.google.com/maps/search/?api=1&amp;query=24.78392797,46.87686468", "View Map")</f>
        <v/>
      </c>
    </row>
    <row r="2287">
      <c r="A2287" t="inlineStr">
        <is>
          <t xml:space="preserve">   مسجدحي الربيع ومرافقه .</t>
        </is>
      </c>
      <c r="B2287" t="inlineStr">
        <is>
          <t>KFM2020660209213</t>
        </is>
      </c>
      <c r="C2287" t="inlineStr">
        <is>
          <t>الرياض</t>
        </is>
      </c>
      <c r="D2287" t="inlineStr">
        <is>
          <t>كلا الفترتين</t>
        </is>
      </c>
      <c r="E2287" t="n">
        <v>1339</v>
      </c>
      <c r="F2287" t="b">
        <v>1</v>
      </c>
      <c r="G2287">
        <f>HYPERLINK("https://www.google.com/maps/search/?api=1&amp;query=24.80307341,46.66421015", "View Map")</f>
        <v/>
      </c>
    </row>
    <row r="2288">
      <c r="A2288" t="inlineStr">
        <is>
          <t>مسجد السويدى .</t>
        </is>
      </c>
      <c r="B2288" t="inlineStr">
        <is>
          <t>KFM2020660044984</t>
        </is>
      </c>
      <c r="C2288" t="inlineStr">
        <is>
          <t>الرياض</t>
        </is>
      </c>
      <c r="D2288" t="inlineStr">
        <is>
          <t>كلا الفترتين</t>
        </is>
      </c>
      <c r="E2288" t="n">
        <v>1339</v>
      </c>
      <c r="F2288" t="b">
        <v>0</v>
      </c>
      <c r="G2288">
        <f>HYPERLINK("https://www.google.com/maps/search/?api=1&amp;query=24.58890957,46.68414001", "View Map")</f>
        <v/>
      </c>
    </row>
    <row r="2289">
      <c r="A2289" t="inlineStr">
        <is>
          <t>مسجد الحزم  وزاره  الشئون الاسلاميه .</t>
        </is>
      </c>
      <c r="B2289" t="inlineStr">
        <is>
          <t>KFM2020660174995</t>
        </is>
      </c>
      <c r="C2289" t="inlineStr">
        <is>
          <t>الرياض</t>
        </is>
      </c>
      <c r="D2289" t="inlineStr">
        <is>
          <t>كلا الفترتين</t>
        </is>
      </c>
      <c r="E2289" t="n">
        <v>1339</v>
      </c>
      <c r="F2289" t="b">
        <v>1</v>
      </c>
      <c r="G2289">
        <f>HYPERLINK("https://www.google.com/maps/search/?api=1&amp;query=24.53802594,46.64991827", "View Map")</f>
        <v/>
      </c>
    </row>
    <row r="2290">
      <c r="A2290" t="inlineStr">
        <is>
          <t xml:space="preserve">   مساجد .</t>
        </is>
      </c>
      <c r="B2290" t="inlineStr">
        <is>
          <t>KFM2020660012587</t>
        </is>
      </c>
      <c r="C2290" t="inlineStr">
        <is>
          <t>الرياض</t>
        </is>
      </c>
      <c r="D2290" t="inlineStr">
        <is>
          <t>كلا الفترتين</t>
        </is>
      </c>
      <c r="E2290" t="n">
        <v>1338</v>
      </c>
      <c r="F2290" t="b">
        <v>0</v>
      </c>
      <c r="G2290">
        <f>HYPERLINK("https://www.google.com/maps/search/?api=1&amp;query=24.76382962,46.82501521", "View Map")</f>
        <v/>
      </c>
    </row>
    <row r="2291">
      <c r="A2291" t="inlineStr">
        <is>
          <t xml:space="preserve">   مسجد محمد عبدالله العميل .</t>
        </is>
      </c>
      <c r="B2291" t="inlineStr">
        <is>
          <t>KFM2020660195969</t>
        </is>
      </c>
      <c r="C2291" t="inlineStr">
        <is>
          <t>الرياض</t>
        </is>
      </c>
      <c r="D2291" t="inlineStr">
        <is>
          <t>كلا الفترتين</t>
        </is>
      </c>
      <c r="E2291" t="n">
        <v>1337</v>
      </c>
      <c r="F2291" t="b">
        <v>1</v>
      </c>
      <c r="G2291">
        <f>HYPERLINK("https://www.google.com/maps/search/?api=1&amp;query=24.67619409,46.7902534", "View Map")</f>
        <v/>
      </c>
    </row>
    <row r="2292">
      <c r="A2292" t="inlineStr">
        <is>
          <t>ﻤﺴﺎﺠﺩ .</t>
        </is>
      </c>
      <c r="B2292" t="inlineStr">
        <is>
          <t>SMR2320661028264</t>
        </is>
      </c>
      <c r="C2292" t="inlineStr">
        <is>
          <t>الرياض</t>
        </is>
      </c>
      <c r="D2292" t="inlineStr">
        <is>
          <t>مساءا</t>
        </is>
      </c>
      <c r="E2292" t="n">
        <v>1337</v>
      </c>
      <c r="F2292" t="b">
        <v>0</v>
      </c>
      <c r="G2292">
        <f>HYPERLINK("https://www.google.com/maps/search/?api=1&amp;query=24.6504161,46.50754743", "View Map")</f>
        <v/>
      </c>
    </row>
    <row r="2293">
      <c r="A2293" t="inlineStr">
        <is>
          <t xml:space="preserve">   مسجد غرب الريان .</t>
        </is>
      </c>
      <c r="B2293" t="inlineStr">
        <is>
          <t>KFM2020660166497</t>
        </is>
      </c>
      <c r="C2293" t="inlineStr">
        <is>
          <t>الرياض</t>
        </is>
      </c>
      <c r="D2293" t="inlineStr">
        <is>
          <t>كلا الفترتين</t>
        </is>
      </c>
      <c r="E2293" t="n">
        <v>1336</v>
      </c>
      <c r="F2293" t="b">
        <v>1</v>
      </c>
      <c r="G2293">
        <f>HYPERLINK("https://www.google.com/maps/search/?api=1&amp;query=24.70235429,46.77728484", "View Map")</f>
        <v/>
      </c>
    </row>
    <row r="2294">
      <c r="A2294" t="inlineStr">
        <is>
          <t xml:space="preserve">   مسجد عبدالله العطاالله/ .</t>
        </is>
      </c>
      <c r="B2294" t="inlineStr">
        <is>
          <t>KFM2120660300485</t>
        </is>
      </c>
      <c r="C2294" t="inlineStr">
        <is>
          <t>الرياض</t>
        </is>
      </c>
      <c r="D2294" t="inlineStr">
        <is>
          <t>كلا الفترتين</t>
        </is>
      </c>
      <c r="E2294" t="n">
        <v>1336</v>
      </c>
      <c r="F2294" t="b">
        <v>0</v>
      </c>
      <c r="G2294">
        <f>HYPERLINK("https://www.google.com/maps/search/?api=1&amp;query=24.69011604,46.82454045", "View Map")</f>
        <v/>
      </c>
    </row>
    <row r="2295">
      <c r="A2295" t="inlineStr">
        <is>
          <t>ﻭﺯﺍﺭﺓﺍﻟﺸﺌﻭﻥ ﺍﻻﺴﻼﻤﻴﺓﻭﺍﻻﻭﻗﺎﻑ .</t>
        </is>
      </c>
      <c r="B2295" t="inlineStr">
        <is>
          <t>KFM2020766103473</t>
        </is>
      </c>
      <c r="C2295" t="inlineStr">
        <is>
          <t>الرياض</t>
        </is>
      </c>
      <c r="D2295" t="inlineStr">
        <is>
          <t>كلا الفترتين</t>
        </is>
      </c>
      <c r="E2295" t="n">
        <v>1336</v>
      </c>
      <c r="F2295" t="b">
        <v>1</v>
      </c>
      <c r="G2295">
        <f>HYPERLINK("https://www.google.com/maps/search/?api=1&amp;query=24.54381215,46.65745286", "View Map")</f>
        <v/>
      </c>
    </row>
    <row r="2296">
      <c r="A2296" t="inlineStr">
        <is>
          <t>ﻭﺯﺍﺭﺓﺍﻟﺸﺌﻭﻥ ﺍﻻﺴﻼﻤﻴﺓﻭﺍﻻﻭﻗﺎﻑ .</t>
        </is>
      </c>
      <c r="B2296" t="inlineStr">
        <is>
          <t>SMR2220661002152</t>
        </is>
      </c>
      <c r="C2296" t="inlineStr">
        <is>
          <t>الرياض</t>
        </is>
      </c>
      <c r="D2296" t="inlineStr">
        <is>
          <t>كلا الفترتين</t>
        </is>
      </c>
      <c r="E2296" t="n">
        <v>1336</v>
      </c>
      <c r="F2296" t="b">
        <v>1</v>
      </c>
      <c r="G2296">
        <f>HYPERLINK("https://www.google.com/maps/search/?api=1&amp;query=24.55393782,46.60335925", "View Map")</f>
        <v/>
      </c>
    </row>
    <row r="2297">
      <c r="A2297" t="inlineStr">
        <is>
          <t xml:space="preserve">   مسجد حي السلام .</t>
        </is>
      </c>
      <c r="B2297" t="inlineStr">
        <is>
          <t>KFM2020660036451</t>
        </is>
      </c>
      <c r="C2297" t="inlineStr">
        <is>
          <t>الرياض</t>
        </is>
      </c>
      <c r="D2297" t="inlineStr">
        <is>
          <t>كلا الفترتين</t>
        </is>
      </c>
      <c r="E2297" t="n">
        <v>1335</v>
      </c>
      <c r="F2297" t="b">
        <v>1</v>
      </c>
      <c r="G2297">
        <f>HYPERLINK("https://www.google.com/maps/search/?api=1&amp;query=24.70701599,46.80209152", "View Map")</f>
        <v/>
      </c>
    </row>
    <row r="2298">
      <c r="A2298" t="inlineStr">
        <is>
          <t xml:space="preserve">   وزارةالاوقاف -مسجد محمد المهيدب .</t>
        </is>
      </c>
      <c r="B2298" t="inlineStr">
        <is>
          <t>KFM2020660037650</t>
        </is>
      </c>
      <c r="C2298" t="inlineStr">
        <is>
          <t>الرياض</t>
        </is>
      </c>
      <c r="D2298" t="inlineStr">
        <is>
          <t>كلا الفترتين</t>
        </is>
      </c>
      <c r="E2298" t="n">
        <v>1334</v>
      </c>
      <c r="F2298" t="b">
        <v>0</v>
      </c>
      <c r="G2298">
        <f>HYPERLINK("https://www.google.com/maps/search/?api=1&amp;query=24.81214275,46.60843152", "View Map")</f>
        <v/>
      </c>
    </row>
    <row r="2299">
      <c r="A2299" t="inlineStr">
        <is>
          <t xml:space="preserve">   مسجد المنصورة .</t>
        </is>
      </c>
      <c r="B2299" t="inlineStr">
        <is>
          <t>KFM2120660253468</t>
        </is>
      </c>
      <c r="C2299" t="inlineStr">
        <is>
          <t>الرياض</t>
        </is>
      </c>
      <c r="D2299" t="inlineStr">
        <is>
          <t>كلا الفترتين</t>
        </is>
      </c>
      <c r="E2299" t="n">
        <v>1334</v>
      </c>
      <c r="F2299" t="b">
        <v>1</v>
      </c>
      <c r="G2299">
        <f>HYPERLINK("https://www.google.com/maps/search/?api=1&amp;query=24.614585,46.74055496", "View Map")</f>
        <v/>
      </c>
    </row>
    <row r="2300">
      <c r="A2300" t="inlineStr">
        <is>
          <t xml:space="preserve">   مساجد .</t>
        </is>
      </c>
      <c r="B2300" t="inlineStr">
        <is>
          <t>KFM2020660031970</t>
        </is>
      </c>
      <c r="C2300" t="inlineStr">
        <is>
          <t>الرياض</t>
        </is>
      </c>
      <c r="D2300" t="inlineStr">
        <is>
          <t>كلا الفترتين</t>
        </is>
      </c>
      <c r="E2300" t="n">
        <v>1333</v>
      </c>
      <c r="F2300" t="b">
        <v>0</v>
      </c>
      <c r="G2300">
        <f>HYPERLINK("https://www.google.com/maps/search/?api=1&amp;query=24.83129098,46.76080229", "View Map")</f>
        <v/>
      </c>
    </row>
    <row r="2301">
      <c r="A2301" t="inlineStr">
        <is>
          <t>مسجد الامير مشارى .</t>
        </is>
      </c>
      <c r="B2301" t="inlineStr">
        <is>
          <t>KFM2020660098871</t>
        </is>
      </c>
      <c r="C2301" t="inlineStr">
        <is>
          <t>الرياض</t>
        </is>
      </c>
      <c r="D2301" t="inlineStr">
        <is>
          <t>كلا الفترتين</t>
        </is>
      </c>
      <c r="E2301" t="n">
        <v>1332</v>
      </c>
      <c r="F2301" t="b">
        <v>0</v>
      </c>
      <c r="G2301">
        <f>HYPERLINK("https://www.google.com/maps/search/?api=1&amp;query=24.80334741,46.68383473", "View Map")</f>
        <v/>
      </c>
    </row>
    <row r="2302">
      <c r="A2302" t="inlineStr">
        <is>
          <t xml:space="preserve">   مسجد الدار البيضاء .</t>
        </is>
      </c>
      <c r="B2302" t="inlineStr">
        <is>
          <t>KFM2020660162723</t>
        </is>
      </c>
      <c r="C2302" t="inlineStr">
        <is>
          <t>الرياض</t>
        </is>
      </c>
      <c r="D2302" t="inlineStr">
        <is>
          <t>كلا الفترتين</t>
        </is>
      </c>
      <c r="E2302" t="n">
        <v>1331</v>
      </c>
      <c r="F2302" t="b">
        <v>0</v>
      </c>
      <c r="G2302">
        <f>HYPERLINK("https://www.google.com/maps/search/?api=1&amp;query=24.56840849,46.78635256", "View Map")</f>
        <v/>
      </c>
    </row>
    <row r="2303">
      <c r="A2303" t="inlineStr">
        <is>
          <t>0000     مسجد      التقوى .</t>
        </is>
      </c>
      <c r="B2303" t="inlineStr">
        <is>
          <t>KFM2020660203354</t>
        </is>
      </c>
      <c r="C2303" t="inlineStr">
        <is>
          <t>الرياض</t>
        </is>
      </c>
      <c r="D2303" t="inlineStr">
        <is>
          <t>كلا الفترتين</t>
        </is>
      </c>
      <c r="E2303" t="n">
        <v>1330</v>
      </c>
      <c r="F2303" t="b">
        <v>1</v>
      </c>
      <c r="G2303">
        <f>HYPERLINK("https://www.google.com/maps/search/?api=1&amp;query=24.57560634,46.68328169", "View Map")</f>
        <v/>
      </c>
    </row>
    <row r="2304">
      <c r="A2304" t="inlineStr">
        <is>
          <t>مسجد      محمد      بن تركي .</t>
        </is>
      </c>
      <c r="B2304" t="inlineStr">
        <is>
          <t>KFM2020660202491</t>
        </is>
      </c>
      <c r="C2304" t="inlineStr">
        <is>
          <t>الرياض</t>
        </is>
      </c>
      <c r="D2304" t="inlineStr">
        <is>
          <t>كلا الفترتين</t>
        </is>
      </c>
      <c r="E2304" t="n">
        <v>1330</v>
      </c>
      <c r="F2304" t="b">
        <v>0</v>
      </c>
      <c r="G2304">
        <f>HYPERLINK("https://www.google.com/maps/search/?api=1&amp;query=24.63398037,46.70505504", "View Map")</f>
        <v/>
      </c>
    </row>
    <row r="2305">
      <c r="A2305" t="inlineStr">
        <is>
          <t xml:space="preserve">   مساجد .</t>
        </is>
      </c>
      <c r="B2305" t="inlineStr">
        <is>
          <t>KFM2020660202780</t>
        </is>
      </c>
      <c r="C2305" t="inlineStr">
        <is>
          <t>الرياض</t>
        </is>
      </c>
      <c r="D2305" t="inlineStr">
        <is>
          <t>كلا الفترتين</t>
        </is>
      </c>
      <c r="E2305" t="n">
        <v>1330</v>
      </c>
      <c r="F2305" t="b">
        <v>0</v>
      </c>
      <c r="G2305">
        <f>HYPERLINK("https://www.google.com/maps/search/?api=1&amp;query=24.83344605,46.65309104", "View Map")</f>
        <v/>
      </c>
    </row>
    <row r="2306">
      <c r="A2306" t="inlineStr">
        <is>
          <t xml:space="preserve">   مسجد جامع الراجحي .</t>
        </is>
      </c>
      <c r="B2306" t="inlineStr">
        <is>
          <t>KFM2020660019394</t>
        </is>
      </c>
      <c r="C2306" t="inlineStr">
        <is>
          <t>الرياض</t>
        </is>
      </c>
      <c r="D2306" t="inlineStr">
        <is>
          <t>كلا الفترتين</t>
        </is>
      </c>
      <c r="E2306" t="n">
        <v>1328</v>
      </c>
      <c r="F2306" t="b">
        <v>0</v>
      </c>
      <c r="G2306">
        <f>HYPERLINK("https://www.google.com/maps/search/?api=1&amp;query=24.74972807,46.81182744", "View Map")</f>
        <v/>
      </c>
    </row>
    <row r="2307">
      <c r="A2307" t="inlineStr">
        <is>
          <t>وزارة الشئون الا سلا مية والااوقاف .</t>
        </is>
      </c>
      <c r="B2307" t="inlineStr">
        <is>
          <t>KFM2020660200374</t>
        </is>
      </c>
      <c r="C2307" t="inlineStr">
        <is>
          <t>الرياض</t>
        </is>
      </c>
      <c r="D2307" t="inlineStr">
        <is>
          <t>كلا الفترتين</t>
        </is>
      </c>
      <c r="E2307" t="n">
        <v>1327</v>
      </c>
      <c r="F2307" t="b">
        <v>0</v>
      </c>
      <c r="G2307">
        <f>HYPERLINK("https://www.google.com/maps/search/?api=1&amp;query=24.56103337,46.56076701", "View Map")</f>
        <v/>
      </c>
    </row>
    <row r="2308">
      <c r="A2308" t="inlineStr">
        <is>
          <t xml:space="preserve">   مسجد حله القصمان الشرقى .</t>
        </is>
      </c>
      <c r="B2308" t="inlineStr">
        <is>
          <t>KFM2120660282474</t>
        </is>
      </c>
      <c r="C2308" t="inlineStr">
        <is>
          <t>الرياض</t>
        </is>
      </c>
      <c r="D2308" t="inlineStr">
        <is>
          <t>كلا الفترتين</t>
        </is>
      </c>
      <c r="E2308" t="n">
        <v>1327</v>
      </c>
      <c r="F2308" t="b">
        <v>0</v>
      </c>
      <c r="G2308">
        <f>HYPERLINK("https://www.google.com/maps/search/?api=1&amp;query=24.63789255,46.72210323", "View Map")</f>
        <v/>
      </c>
    </row>
    <row r="2309">
      <c r="A2309" t="inlineStr">
        <is>
          <t xml:space="preserve">   مسجد محمداباالخيل .</t>
        </is>
      </c>
      <c r="B2309" t="inlineStr">
        <is>
          <t>KFM2020660135774</t>
        </is>
      </c>
      <c r="C2309" t="inlineStr">
        <is>
          <t>الرياض</t>
        </is>
      </c>
      <c r="D2309" t="inlineStr">
        <is>
          <t>كلا الفترتين</t>
        </is>
      </c>
      <c r="E2309" t="n">
        <v>1327</v>
      </c>
      <c r="F2309" t="b">
        <v>0</v>
      </c>
      <c r="G2309">
        <f>HYPERLINK("https://www.google.com/maps/search/?api=1&amp;query=24.68819604,46.79910071", "View Map")</f>
        <v/>
      </c>
    </row>
    <row r="2310">
      <c r="A2310" t="inlineStr">
        <is>
          <t xml:space="preserve">   مسجد السويلم .</t>
        </is>
      </c>
      <c r="B2310" t="inlineStr">
        <is>
          <t>KFM2020660161237</t>
        </is>
      </c>
      <c r="C2310" t="inlineStr">
        <is>
          <t>الرياض</t>
        </is>
      </c>
      <c r="D2310" t="inlineStr">
        <is>
          <t>كلا الفترتين</t>
        </is>
      </c>
      <c r="E2310" t="n">
        <v>1327</v>
      </c>
      <c r="F2310" t="b">
        <v>0</v>
      </c>
      <c r="G2310">
        <f>HYPERLINK("https://www.google.com/maps/search/?api=1&amp;query=24.72007056,46.77612613", "View Map")</f>
        <v/>
      </c>
    </row>
    <row r="2311">
      <c r="A2311" t="inlineStr">
        <is>
          <t xml:space="preserve"> مسجدالاميره الجوهره بنت سعود الكبير .</t>
        </is>
      </c>
      <c r="B2311" t="inlineStr">
        <is>
          <t>KFM2020660048648</t>
        </is>
      </c>
      <c r="C2311" t="inlineStr">
        <is>
          <t>الرياض</t>
        </is>
      </c>
      <c r="D2311" t="inlineStr">
        <is>
          <t>كلا الفترتين</t>
        </is>
      </c>
      <c r="E2311" t="n">
        <v>1327</v>
      </c>
      <c r="F2311" t="b">
        <v>1</v>
      </c>
      <c r="G2311">
        <f>HYPERLINK("https://www.google.com/maps/search/?api=1&amp;query=24.75665385,46.75256631", "View Map")</f>
        <v/>
      </c>
    </row>
    <row r="2312">
      <c r="A2312" t="inlineStr">
        <is>
          <t xml:space="preserve">   مسجد القحطاني .</t>
        </is>
      </c>
      <c r="B2312" t="inlineStr">
        <is>
          <t>KFM2120660271668</t>
        </is>
      </c>
      <c r="C2312" t="inlineStr">
        <is>
          <t>الرياض</t>
        </is>
      </c>
      <c r="D2312" t="inlineStr">
        <is>
          <t>كلا الفترتين</t>
        </is>
      </c>
      <c r="E2312" t="n">
        <v>1326</v>
      </c>
      <c r="F2312" t="b">
        <v>0</v>
      </c>
      <c r="G2312">
        <f>HYPERLINK("https://www.google.com/maps/search/?api=1&amp;query=24.67897541,46.80652705", "View Map")</f>
        <v/>
      </c>
    </row>
    <row r="2313">
      <c r="A2313" t="inlineStr">
        <is>
          <t>مساجد .</t>
        </is>
      </c>
      <c r="B2313" t="inlineStr">
        <is>
          <t>KFM2120660255595</t>
        </is>
      </c>
      <c r="C2313" t="inlineStr">
        <is>
          <t>الرياض</t>
        </is>
      </c>
      <c r="D2313" t="inlineStr">
        <is>
          <t>كلا الفترتين</t>
        </is>
      </c>
      <c r="E2313" t="n">
        <v>1325</v>
      </c>
      <c r="F2313" t="b">
        <v>0</v>
      </c>
      <c r="G2313">
        <f>HYPERLINK("https://www.google.com/maps/search/?api=1&amp;query=24.64797859,46.57036827", "View Map")</f>
        <v/>
      </c>
    </row>
    <row r="2314">
      <c r="A2314" t="inlineStr">
        <is>
          <t>وزاره      الشئون    مسجد الدريهم .</t>
        </is>
      </c>
      <c r="B2314" t="inlineStr">
        <is>
          <t>KFM2020660098780</t>
        </is>
      </c>
      <c r="C2314" t="inlineStr">
        <is>
          <t>الرياض</t>
        </is>
      </c>
      <c r="D2314" t="inlineStr">
        <is>
          <t>كلا الفترتين</t>
        </is>
      </c>
      <c r="E2314" t="n">
        <v>1324</v>
      </c>
      <c r="F2314" t="b">
        <v>1</v>
      </c>
      <c r="G2314">
        <f>HYPERLINK("https://www.google.com/maps/search/?api=1&amp;query=24.53020796,46.7136984", "View Map")</f>
        <v/>
      </c>
    </row>
    <row r="2315">
      <c r="A2315" t="inlineStr">
        <is>
          <t xml:space="preserve">   مسجد محمد السويلمبحي النفل .</t>
        </is>
      </c>
      <c r="B2315" t="inlineStr">
        <is>
          <t>KFM2020660052798</t>
        </is>
      </c>
      <c r="C2315" t="inlineStr">
        <is>
          <t>الرياض</t>
        </is>
      </c>
      <c r="D2315" t="inlineStr">
        <is>
          <t>كلا الفترتين</t>
        </is>
      </c>
      <c r="E2315" t="n">
        <v>1324</v>
      </c>
      <c r="F2315" t="b">
        <v>0</v>
      </c>
      <c r="G2315">
        <f>HYPERLINK("https://www.google.com/maps/search/?api=1&amp;query=24.77880281,46.67439311", "View Map")</f>
        <v/>
      </c>
    </row>
    <row r="2316">
      <c r="A2316" t="inlineStr">
        <is>
          <t xml:space="preserve">   مسجدالزبيربن العوام بحي التعاون .</t>
        </is>
      </c>
      <c r="B2316" t="inlineStr">
        <is>
          <t>KFM2020660173841</t>
        </is>
      </c>
      <c r="C2316" t="inlineStr">
        <is>
          <t>الرياض</t>
        </is>
      </c>
      <c r="D2316" t="inlineStr">
        <is>
          <t>كلا الفترتين</t>
        </is>
      </c>
      <c r="E2316" t="n">
        <v>1323</v>
      </c>
      <c r="F2316" t="b">
        <v>1</v>
      </c>
      <c r="G2316">
        <f>HYPERLINK("https://www.google.com/maps/search/?api=1&amp;query=24.76834081,46.69345578", "View Map")</f>
        <v/>
      </c>
    </row>
    <row r="2317">
      <c r="A2317" t="inlineStr">
        <is>
          <t>ﻤﺴﺎﺠﺩ .</t>
        </is>
      </c>
      <c r="B2317" t="inlineStr">
        <is>
          <t>KFM2120655001335</t>
        </is>
      </c>
      <c r="C2317" t="inlineStr">
        <is>
          <t>الرياض</t>
        </is>
      </c>
      <c r="D2317" t="inlineStr">
        <is>
          <t>مساءا</t>
        </is>
      </c>
      <c r="E2317" t="n">
        <v>1323</v>
      </c>
      <c r="F2317" t="b">
        <v>1</v>
      </c>
      <c r="G2317">
        <f>HYPERLINK("https://www.google.com/maps/search/?api=1&amp;query=24.85225717,46.77450288", "View Map")</f>
        <v/>
      </c>
    </row>
    <row r="2318">
      <c r="A2318" t="inlineStr">
        <is>
          <t>مسجدوالدة  موسى       القباع .</t>
        </is>
      </c>
      <c r="B2318" t="inlineStr">
        <is>
          <t>KFM2020660042269</t>
        </is>
      </c>
      <c r="C2318" t="inlineStr">
        <is>
          <t>الرياض</t>
        </is>
      </c>
      <c r="D2318" t="inlineStr">
        <is>
          <t>كلا الفترتين</t>
        </is>
      </c>
      <c r="E2318" t="n">
        <v>1321</v>
      </c>
      <c r="F2318" t="b">
        <v>1</v>
      </c>
      <c r="G2318">
        <f>HYPERLINK("https://www.google.com/maps/search/?api=1&amp;query=24.57428046,46.66244564", "View Map")</f>
        <v/>
      </c>
    </row>
    <row r="2319">
      <c r="A2319" t="inlineStr">
        <is>
          <t>مسجد حى  الشفاء .</t>
        </is>
      </c>
      <c r="B2319" t="inlineStr">
        <is>
          <t>KFM2020660022962</t>
        </is>
      </c>
      <c r="C2319" t="inlineStr">
        <is>
          <t>الرياض</t>
        </is>
      </c>
      <c r="D2319" t="inlineStr">
        <is>
          <t>كلا الفترتين</t>
        </is>
      </c>
      <c r="E2319" t="n">
        <v>1321</v>
      </c>
      <c r="F2319" t="b">
        <v>0</v>
      </c>
      <c r="G2319">
        <f>HYPERLINK("https://www.google.com/maps/search/?api=1&amp;query=24.5652924,46.70181754", "View Map")</f>
        <v/>
      </c>
    </row>
    <row r="2320">
      <c r="A2320" t="inlineStr">
        <is>
          <t>مسجد      الشيخ      البرغش .</t>
        </is>
      </c>
      <c r="B2320" t="inlineStr">
        <is>
          <t>KFM2020660054992</t>
        </is>
      </c>
      <c r="C2320" t="inlineStr">
        <is>
          <t>الرياض</t>
        </is>
      </c>
      <c r="D2320" t="inlineStr">
        <is>
          <t>كلا الفترتين</t>
        </is>
      </c>
      <c r="E2320" t="n">
        <v>1320</v>
      </c>
      <c r="F2320" t="b">
        <v>0</v>
      </c>
      <c r="G2320">
        <f>HYPERLINK("https://www.google.com/maps/search/?api=1&amp;query=24.58096773,46.68390103", "View Map")</f>
        <v/>
      </c>
    </row>
    <row r="2321">
      <c r="A2321" t="inlineStr">
        <is>
          <t xml:space="preserve">   مسجدالا ميرسلطان     عبدالعزيز .</t>
        </is>
      </c>
      <c r="B2321" t="inlineStr">
        <is>
          <t>KFM2120660251263</t>
        </is>
      </c>
      <c r="C2321" t="inlineStr">
        <is>
          <t>الدرعية</t>
        </is>
      </c>
      <c r="D2321" t="inlineStr">
        <is>
          <t>كلا الفترتين</t>
        </is>
      </c>
      <c r="E2321" t="n">
        <v>1320</v>
      </c>
      <c r="F2321" t="b">
        <v>0</v>
      </c>
      <c r="G2321">
        <f>HYPERLINK("https://www.google.com/maps/search/?api=1&amp;query=24.74142,46.58241", "View Map")</f>
        <v/>
      </c>
    </row>
    <row r="2322">
      <c r="A2322" t="inlineStr">
        <is>
          <t>مسجد حى  النزهه .</t>
        </is>
      </c>
      <c r="B2322" t="inlineStr">
        <is>
          <t>KFM2020660203892</t>
        </is>
      </c>
      <c r="C2322" t="inlineStr">
        <is>
          <t>الرياض</t>
        </is>
      </c>
      <c r="D2322" t="inlineStr">
        <is>
          <t>كلا الفترتين</t>
        </is>
      </c>
      <c r="E2322" t="n">
        <v>1318</v>
      </c>
      <c r="F2322" t="b">
        <v>0</v>
      </c>
      <c r="G2322">
        <f>HYPERLINK("https://www.google.com/maps/search/?api=1&amp;query=24.50250775,46.63760269", "View Map")</f>
        <v/>
      </c>
    </row>
    <row r="2323">
      <c r="A2323" t="inlineStr">
        <is>
          <t xml:space="preserve">   مسجد خالد سعود الحربي .</t>
        </is>
      </c>
      <c r="B2323" t="inlineStr">
        <is>
          <t>KFM2020660139813</t>
        </is>
      </c>
      <c r="C2323" t="inlineStr">
        <is>
          <t>الرياض</t>
        </is>
      </c>
      <c r="D2323" t="inlineStr">
        <is>
          <t>كلا الفترتين</t>
        </is>
      </c>
      <c r="E2323" t="n">
        <v>1318</v>
      </c>
      <c r="F2323" t="b">
        <v>1</v>
      </c>
      <c r="G2323">
        <f>HYPERLINK("https://www.google.com/maps/search/?api=1&amp;query=24.81081046,46.869733", "View Map")</f>
        <v/>
      </c>
    </row>
    <row r="2324">
      <c r="A2324" t="inlineStr">
        <is>
          <t>مسجد في حي العريجاء .</t>
        </is>
      </c>
      <c r="B2324" t="inlineStr">
        <is>
          <t>KFM2020660053863</t>
        </is>
      </c>
      <c r="C2324" t="inlineStr">
        <is>
          <t>الرياض</t>
        </is>
      </c>
      <c r="D2324" t="inlineStr">
        <is>
          <t>كلا الفترتين</t>
        </is>
      </c>
      <c r="E2324" t="n">
        <v>1318</v>
      </c>
      <c r="F2324" t="b">
        <v>0</v>
      </c>
      <c r="G2324">
        <f>HYPERLINK("https://www.google.com/maps/search/?api=1&amp;query=24.57915467,46.57371744", "View Map")</f>
        <v/>
      </c>
    </row>
    <row r="2325">
      <c r="A2325" t="inlineStr">
        <is>
          <t xml:space="preserve">   مسجد طريق الخرج .</t>
        </is>
      </c>
      <c r="B2325" t="inlineStr">
        <is>
          <t>KFM2020660234164</t>
        </is>
      </c>
      <c r="C2325" t="inlineStr">
        <is>
          <t>الرياض</t>
        </is>
      </c>
      <c r="D2325" t="inlineStr">
        <is>
          <t>كلا الفترتين</t>
        </is>
      </c>
      <c r="E2325" t="n">
        <v>1317</v>
      </c>
      <c r="F2325" t="b">
        <v>1</v>
      </c>
      <c r="G2325">
        <f>HYPERLINK("https://www.google.com/maps/search/?api=1&amp;query=24.55335453,46.86842219", "View Map")</f>
        <v/>
      </c>
    </row>
    <row r="2326">
      <c r="A2326" t="inlineStr">
        <is>
          <t xml:space="preserve">   مسجد الشيخ عبدالعزيز بن باز .</t>
        </is>
      </c>
      <c r="B2326" t="inlineStr">
        <is>
          <t>KFM2120660248235</t>
        </is>
      </c>
      <c r="C2326" t="inlineStr">
        <is>
          <t>الرياض</t>
        </is>
      </c>
      <c r="D2326" t="inlineStr">
        <is>
          <t>كلا الفترتين</t>
        </is>
      </c>
      <c r="E2326" t="n">
        <v>1317</v>
      </c>
      <c r="F2326" t="b">
        <v>0</v>
      </c>
      <c r="G2326">
        <f>HYPERLINK("https://www.google.com/maps/search/?api=1&amp;query=24.67118064,46.85395964", "View Map")</f>
        <v/>
      </c>
    </row>
    <row r="2327">
      <c r="A2327" t="inlineStr">
        <is>
          <t>ﻤﺴﺎﺠﺩ .</t>
        </is>
      </c>
      <c r="B2327" t="inlineStr">
        <is>
          <t>KFM2020660049692</t>
        </is>
      </c>
      <c r="C2327" t="inlineStr">
        <is>
          <t>الرياض</t>
        </is>
      </c>
      <c r="D2327" t="inlineStr">
        <is>
          <t>كلا الفترتين</t>
        </is>
      </c>
      <c r="E2327" t="n">
        <v>1317</v>
      </c>
      <c r="F2327" t="b">
        <v>1</v>
      </c>
      <c r="G2327">
        <f>HYPERLINK("https://www.google.com/maps/search/?api=1&amp;query=24.76839986,46.83408547", "View Map")</f>
        <v/>
      </c>
    </row>
    <row r="2328">
      <c r="A2328" t="inlineStr">
        <is>
          <t xml:space="preserve">   مسجدابن حطاب حارة الغنيمان .</t>
        </is>
      </c>
      <c r="B2328" t="inlineStr">
        <is>
          <t>KFM2020760210893</t>
        </is>
      </c>
      <c r="C2328" t="inlineStr">
        <is>
          <t>الرياض</t>
        </is>
      </c>
      <c r="D2328" t="inlineStr">
        <is>
          <t>كلا الفترتين</t>
        </is>
      </c>
      <c r="E2328" t="n">
        <v>1316</v>
      </c>
      <c r="F2328" t="b">
        <v>0</v>
      </c>
      <c r="G2328">
        <f>HYPERLINK("https://www.google.com/maps/search/?api=1&amp;query=24.3942408,46.83394213", "View Map")</f>
        <v/>
      </c>
    </row>
    <row r="2329">
      <c r="A2329" t="inlineStr">
        <is>
          <t xml:space="preserve">   مسجد حله بن نصار .</t>
        </is>
      </c>
      <c r="B2329" t="inlineStr">
        <is>
          <t>KFM2020660044646</t>
        </is>
      </c>
      <c r="C2329" t="inlineStr">
        <is>
          <t>الرياض</t>
        </is>
      </c>
      <c r="D2329" t="inlineStr">
        <is>
          <t>كلا الفترتين</t>
        </is>
      </c>
      <c r="E2329" t="n">
        <v>1316</v>
      </c>
      <c r="F2329" t="b">
        <v>0</v>
      </c>
      <c r="G2329">
        <f>HYPERLINK("https://www.google.com/maps/search/?api=1&amp;query=24.62839024,46.72038493", "View Map")</f>
        <v/>
      </c>
    </row>
    <row r="2330">
      <c r="A2330" t="inlineStr">
        <is>
          <t xml:space="preserve">   مسجد حي المنار .</t>
        </is>
      </c>
      <c r="B2330" t="inlineStr">
        <is>
          <t>KFM2020660193719</t>
        </is>
      </c>
      <c r="C2330" t="inlineStr">
        <is>
          <t>الرياض</t>
        </is>
      </c>
      <c r="D2330" t="inlineStr">
        <is>
          <t>كلا الفترتين</t>
        </is>
      </c>
      <c r="E2330" t="n">
        <v>1316</v>
      </c>
      <c r="F2330" t="b">
        <v>0</v>
      </c>
      <c r="G2330">
        <f>HYPERLINK("https://www.google.com/maps/search/?api=1&amp;query=24.72214895,46.79708419", "View Map")</f>
        <v/>
      </c>
    </row>
    <row r="2331">
      <c r="A2331" t="inlineStr">
        <is>
          <t xml:space="preserve">   مسجد ناصرالراشد .</t>
        </is>
      </c>
      <c r="B2331" t="inlineStr">
        <is>
          <t>KFM2020660019745</t>
        </is>
      </c>
      <c r="C2331" t="inlineStr">
        <is>
          <t>الرياض</t>
        </is>
      </c>
      <c r="D2331" t="inlineStr">
        <is>
          <t>كلا الفترتين</t>
        </is>
      </c>
      <c r="E2331" t="n">
        <v>1315</v>
      </c>
      <c r="F2331" t="b">
        <v>0</v>
      </c>
      <c r="G2331">
        <f>HYPERLINK("https://www.google.com/maps/search/?api=1&amp;query=24.74395742,46.61963474", "View Map")</f>
        <v/>
      </c>
    </row>
    <row r="2332">
      <c r="A2332" t="inlineStr">
        <is>
          <t xml:space="preserve">   مسجد العجلان / .</t>
        </is>
      </c>
      <c r="B2332" t="inlineStr">
        <is>
          <t>KFM2120660299270</t>
        </is>
      </c>
      <c r="C2332" t="inlineStr">
        <is>
          <t>الرياض</t>
        </is>
      </c>
      <c r="D2332" t="inlineStr">
        <is>
          <t>كلا الفترتين</t>
        </is>
      </c>
      <c r="E2332" t="n">
        <v>1314</v>
      </c>
      <c r="F2332" t="b">
        <v>0</v>
      </c>
      <c r="G2332">
        <f>HYPERLINK("https://www.google.com/maps/search/?api=1&amp;query=24.65203114,46.73855587", "View Map")</f>
        <v/>
      </c>
    </row>
    <row r="2333">
      <c r="A2333" t="inlineStr">
        <is>
          <t>ﺍﻭﻗﺎﻑ ﻭﻤﺴﺎﺠﺩ ﻀﺭﻤﺎء .</t>
        </is>
      </c>
      <c r="B2333" t="inlineStr">
        <is>
          <t>KFM2020660209411</t>
        </is>
      </c>
      <c r="C2333" t="inlineStr">
        <is>
          <t>الرياض</t>
        </is>
      </c>
      <c r="D2333" t="inlineStr">
        <is>
          <t>كلا الفترتين</t>
        </is>
      </c>
      <c r="E2333" t="n">
        <v>1313</v>
      </c>
      <c r="F2333" t="b">
        <v>1</v>
      </c>
      <c r="G2333">
        <f>HYPERLINK("https://www.google.com/maps/search/?api=1&amp;query=24.3947425,46.66050342", "View Map")</f>
        <v/>
      </c>
    </row>
    <row r="2334">
      <c r="A2334" t="inlineStr">
        <is>
          <t>ﻤﺴﺎﺠﺩ .</t>
        </is>
      </c>
      <c r="B2334" t="inlineStr">
        <is>
          <t>KFM2020660046558</t>
        </is>
      </c>
      <c r="C2334" t="inlineStr">
        <is>
          <t>الرياض</t>
        </is>
      </c>
      <c r="D2334" t="inlineStr">
        <is>
          <t>مساءا</t>
        </is>
      </c>
      <c r="E2334" t="n">
        <v>1313</v>
      </c>
      <c r="F2334" t="b">
        <v>1</v>
      </c>
      <c r="G2334">
        <f>HYPERLINK("https://www.google.com/maps/search/?api=1&amp;query=24.84375129,46.79091178", "View Map")</f>
        <v/>
      </c>
    </row>
    <row r="2335">
      <c r="A2335" t="inlineStr">
        <is>
          <t>مسجدالامير مشعل  بن عبد العزيز .</t>
        </is>
      </c>
      <c r="B2335" t="inlineStr">
        <is>
          <t>KFM2020660034124</t>
        </is>
      </c>
      <c r="C2335" t="inlineStr">
        <is>
          <t>الرياض</t>
        </is>
      </c>
      <c r="D2335" t="inlineStr">
        <is>
          <t>كلا الفترتين</t>
        </is>
      </c>
      <c r="E2335" t="n">
        <v>1312</v>
      </c>
      <c r="F2335" t="b">
        <v>1</v>
      </c>
      <c r="G2335">
        <f>HYPERLINK("https://www.google.com/maps/search/?api=1&amp;query=24.63898121,46.67516509", "View Map")</f>
        <v/>
      </c>
    </row>
    <row r="2336">
      <c r="A2336" t="inlineStr">
        <is>
          <t>مسجد والدة الامير/فيصل  بن سعد .</t>
        </is>
      </c>
      <c r="B2336" t="inlineStr">
        <is>
          <t>KFM2020660044532</t>
        </is>
      </c>
      <c r="C2336" t="inlineStr">
        <is>
          <t>الرياض</t>
        </is>
      </c>
      <c r="D2336" t="inlineStr">
        <is>
          <t>كلا الفترتين</t>
        </is>
      </c>
      <c r="E2336" t="n">
        <v>1311</v>
      </c>
      <c r="F2336" t="b">
        <v>0</v>
      </c>
      <c r="G2336">
        <f>HYPERLINK("https://www.google.com/maps/search/?api=1&amp;query=24.62204231,46.71914289", "View Map")</f>
        <v/>
      </c>
    </row>
    <row r="2337">
      <c r="A2337" t="inlineStr">
        <is>
          <t>.  مسجد      الدريهمية .</t>
        </is>
      </c>
      <c r="B2337" t="inlineStr">
        <is>
          <t>KFM2020660051452</t>
        </is>
      </c>
      <c r="C2337" t="inlineStr">
        <is>
          <t>الرياض</t>
        </is>
      </c>
      <c r="D2337" t="inlineStr">
        <is>
          <t>كلا الفترتين</t>
        </is>
      </c>
      <c r="E2337" t="n">
        <v>1311</v>
      </c>
      <c r="F2337" t="b">
        <v>0</v>
      </c>
      <c r="G2337">
        <f>HYPERLINK("https://www.google.com/maps/search/?api=1&amp;query=24.58796828,46.6979127", "View Map")</f>
        <v/>
      </c>
    </row>
    <row r="2338">
      <c r="A2338" t="inlineStr">
        <is>
          <t xml:space="preserve">   مسجدعبدالعزيزعبدالله الموسى .</t>
        </is>
      </c>
      <c r="B2338" t="inlineStr">
        <is>
          <t>KFM2120660285342</t>
        </is>
      </c>
      <c r="C2338" t="inlineStr">
        <is>
          <t>الرياض</t>
        </is>
      </c>
      <c r="D2338" t="inlineStr">
        <is>
          <t>كلا الفترتين</t>
        </is>
      </c>
      <c r="E2338" t="n">
        <v>1310</v>
      </c>
      <c r="F2338" t="b">
        <v>0</v>
      </c>
      <c r="G2338">
        <f>HYPERLINK("https://www.google.com/maps/search/?api=1&amp;query=24.59451786,46.76613478", "View Map")</f>
        <v/>
      </c>
    </row>
    <row r="2339">
      <c r="A2339" t="inlineStr">
        <is>
          <t xml:space="preserve">   مسجد حي شرق المعارض .</t>
        </is>
      </c>
      <c r="B2339" t="inlineStr">
        <is>
          <t>KFM2020660229424</t>
        </is>
      </c>
      <c r="C2339" t="inlineStr">
        <is>
          <t>الرياض</t>
        </is>
      </c>
      <c r="D2339" t="inlineStr">
        <is>
          <t>كلا الفترتين</t>
        </is>
      </c>
      <c r="E2339" t="n">
        <v>1310</v>
      </c>
      <c r="F2339" t="b">
        <v>0</v>
      </c>
      <c r="G2339">
        <f>HYPERLINK("https://www.google.com/maps/search/?api=1&amp;query=24.66575854,46.74530661", "View Map")</f>
        <v/>
      </c>
    </row>
    <row r="2340">
      <c r="A2340" t="inlineStr">
        <is>
          <t xml:space="preserve">   مسجد هادي الرشيد .</t>
        </is>
      </c>
      <c r="B2340" t="inlineStr">
        <is>
          <t>KFM2020660040613</t>
        </is>
      </c>
      <c r="C2340" t="inlineStr">
        <is>
          <t>الرياض</t>
        </is>
      </c>
      <c r="D2340" t="inlineStr">
        <is>
          <t>كلا الفترتين</t>
        </is>
      </c>
      <c r="E2340" t="n">
        <v>1310</v>
      </c>
      <c r="F2340" t="b">
        <v>0</v>
      </c>
      <c r="G2340">
        <f>HYPERLINK("https://www.google.com/maps/search/?api=1&amp;query=24.81240703,46.80444557", "View Map")</f>
        <v/>
      </c>
    </row>
    <row r="2341">
      <c r="A2341" t="inlineStr">
        <is>
          <t>مسجد منفوحه .</t>
        </is>
      </c>
      <c r="B2341" t="inlineStr">
        <is>
          <t>KFM2020660015205</t>
        </is>
      </c>
      <c r="C2341" t="inlineStr">
        <is>
          <t>الرياض</t>
        </is>
      </c>
      <c r="D2341" t="inlineStr">
        <is>
          <t>كلا الفترتين</t>
        </is>
      </c>
      <c r="E2341" t="n">
        <v>1309</v>
      </c>
      <c r="F2341" t="b">
        <v>0</v>
      </c>
      <c r="G2341">
        <f>HYPERLINK("https://www.google.com/maps/search/?api=1&amp;query=24.60373375,46.72476116", "View Map")</f>
        <v/>
      </c>
    </row>
    <row r="2342">
      <c r="A2342" t="inlineStr">
        <is>
          <t xml:space="preserve">   مسجدسليمان الغثبر .</t>
        </is>
      </c>
      <c r="B2342" t="inlineStr">
        <is>
          <t>KFM2020660231118</t>
        </is>
      </c>
      <c r="C2342" t="inlineStr">
        <is>
          <t>الرياض</t>
        </is>
      </c>
      <c r="D2342" t="inlineStr">
        <is>
          <t>كلا الفترتين</t>
        </is>
      </c>
      <c r="E2342" t="n">
        <v>1308</v>
      </c>
      <c r="F2342" t="b">
        <v>0</v>
      </c>
      <c r="G2342">
        <f>HYPERLINK("https://www.google.com/maps/search/?api=1&amp;query=24.71295674,46.68056328", "View Map")</f>
        <v/>
      </c>
    </row>
    <row r="2343">
      <c r="A2343" t="inlineStr">
        <is>
          <t xml:space="preserve">   مسجد/ راشدالعتيبي .</t>
        </is>
      </c>
      <c r="B2343" t="inlineStr">
        <is>
          <t>KFM2020660041707</t>
        </is>
      </c>
      <c r="C2343" t="inlineStr">
        <is>
          <t>الرياض</t>
        </is>
      </c>
      <c r="D2343" t="inlineStr">
        <is>
          <t>كلا الفترتين</t>
        </is>
      </c>
      <c r="E2343" t="n">
        <v>1308</v>
      </c>
      <c r="F2343" t="b">
        <v>0</v>
      </c>
      <c r="G2343">
        <f>HYPERLINK("https://www.google.com/maps/search/?api=1&amp;query=24.78182289,46.77324776", "View Map")</f>
        <v/>
      </c>
    </row>
    <row r="2344">
      <c r="A2344" t="inlineStr">
        <is>
          <t>مسجد /ماجدالقحطانى .</t>
        </is>
      </c>
      <c r="B2344" t="inlineStr">
        <is>
          <t>KFM2020660200435</t>
        </is>
      </c>
      <c r="C2344" t="inlineStr">
        <is>
          <t>الرياض</t>
        </is>
      </c>
      <c r="D2344" t="inlineStr">
        <is>
          <t>كلا الفترتين</t>
        </is>
      </c>
      <c r="E2344" t="n">
        <v>1308</v>
      </c>
      <c r="F2344" t="b">
        <v>1</v>
      </c>
      <c r="G2344">
        <f>HYPERLINK("https://www.google.com/maps/search/?api=1&amp;query=24.48985023,46.61884721", "View Map")</f>
        <v/>
      </c>
    </row>
    <row r="2345">
      <c r="A2345" t="inlineStr">
        <is>
          <t>ﻭﺯﺍﺭﺓﺍﻟﺸﺌﻭﻥ ﺍﻻﺴﻼﻤﻴﺓﻭﺍﻻﻭﻗﺎﻑ .</t>
        </is>
      </c>
      <c r="B2345" t="inlineStr">
        <is>
          <t>KFM2020660038796</t>
        </is>
      </c>
      <c r="C2345" t="inlineStr">
        <is>
          <t>الرياض</t>
        </is>
      </c>
      <c r="D2345" t="inlineStr">
        <is>
          <t>كلا الفترتين</t>
        </is>
      </c>
      <c r="E2345" t="n">
        <v>1307</v>
      </c>
      <c r="F2345" t="b">
        <v>0</v>
      </c>
      <c r="G2345">
        <f>HYPERLINK("https://www.google.com/maps/search/?api=1&amp;query=24.59889249,46.61894146", "View Map")</f>
        <v/>
      </c>
    </row>
    <row r="2346">
      <c r="A2346" t="inlineStr">
        <is>
          <t xml:space="preserve">   مسجدالهويريني والتركي / فاعل خير .</t>
        </is>
      </c>
      <c r="B2346" t="inlineStr">
        <is>
          <t>KFM2020660043520</t>
        </is>
      </c>
      <c r="C2346" t="inlineStr">
        <is>
          <t>الرياض</t>
        </is>
      </c>
      <c r="D2346" t="inlineStr">
        <is>
          <t>كلا الفترتين</t>
        </is>
      </c>
      <c r="E2346" t="n">
        <v>1307</v>
      </c>
      <c r="F2346" t="b">
        <v>0</v>
      </c>
      <c r="G2346">
        <f>HYPERLINK("https://www.google.com/maps/search/?api=1&amp;query=24.68282343,46.768399", "View Map")</f>
        <v/>
      </c>
    </row>
    <row r="2347">
      <c r="A2347" t="inlineStr">
        <is>
          <t>مسجد حى  بدر .</t>
        </is>
      </c>
      <c r="B2347" t="inlineStr">
        <is>
          <t>KFM2020660171572</t>
        </is>
      </c>
      <c r="C2347" t="inlineStr">
        <is>
          <t>الرياض</t>
        </is>
      </c>
      <c r="D2347" t="inlineStr">
        <is>
          <t>كلا الفترتين</t>
        </is>
      </c>
      <c r="E2347" t="n">
        <v>1307</v>
      </c>
      <c r="F2347" t="b">
        <v>1</v>
      </c>
      <c r="G2347">
        <f>HYPERLINK("https://www.google.com/maps/search/?api=1&amp;query=24.54393524,46.70151236", "View Map")</f>
        <v/>
      </c>
    </row>
    <row r="2348">
      <c r="A2348" t="inlineStr">
        <is>
          <t xml:space="preserve">   مساجد .</t>
        </is>
      </c>
      <c r="B2348" t="inlineStr">
        <is>
          <t>KFM2020660050757</t>
        </is>
      </c>
      <c r="C2348" t="inlineStr">
        <is>
          <t>الرياض</t>
        </is>
      </c>
      <c r="D2348" t="inlineStr">
        <is>
          <t>كلا الفترتين</t>
        </is>
      </c>
      <c r="E2348" t="n">
        <v>1306</v>
      </c>
      <c r="F2348" t="b">
        <v>0</v>
      </c>
      <c r="G2348">
        <f>HYPERLINK("https://www.google.com/maps/search/?api=1&amp;query=24.78536095,46.9029883", "View Map")</f>
        <v/>
      </c>
    </row>
    <row r="2349">
      <c r="A2349" t="inlineStr">
        <is>
          <t xml:space="preserve">   مسجد حى المصيف .</t>
        </is>
      </c>
      <c r="B2349" t="inlineStr">
        <is>
          <t>KFM2020660170861</t>
        </is>
      </c>
      <c r="C2349" t="inlineStr">
        <is>
          <t>الرياض</t>
        </is>
      </c>
      <c r="D2349" t="inlineStr">
        <is>
          <t>كلا الفترتين</t>
        </is>
      </c>
      <c r="E2349" t="n">
        <v>1305</v>
      </c>
      <c r="F2349" t="b">
        <v>1</v>
      </c>
      <c r="G2349">
        <f>HYPERLINK("https://www.google.com/maps/search/?api=1&amp;query=24.75861569,46.68282007", "View Map")</f>
        <v/>
      </c>
    </row>
    <row r="2350">
      <c r="A2350" t="inlineStr">
        <is>
          <t>مسجد مريم  بنت  عبد  الله  بن  حسن .</t>
        </is>
      </c>
      <c r="B2350" t="inlineStr">
        <is>
          <t>KFM2020660007932</t>
        </is>
      </c>
      <c r="C2350" t="inlineStr">
        <is>
          <t>الرياض</t>
        </is>
      </c>
      <c r="D2350" t="inlineStr">
        <is>
          <t>كلا الفترتين</t>
        </is>
      </c>
      <c r="E2350" t="n">
        <v>1305</v>
      </c>
      <c r="F2350" t="b">
        <v>1</v>
      </c>
      <c r="G2350">
        <f>HYPERLINK("https://www.google.com/maps/search/?api=1&amp;query=24.73708335,46.78969606", "View Map")</f>
        <v/>
      </c>
    </row>
    <row r="2351">
      <c r="A2351" t="inlineStr">
        <is>
          <t xml:space="preserve">   مسجدحي الفلاح .</t>
        </is>
      </c>
      <c r="B2351" t="inlineStr">
        <is>
          <t>KFM2020660214097</t>
        </is>
      </c>
      <c r="C2351" t="inlineStr">
        <is>
          <t>الرياض</t>
        </is>
      </c>
      <c r="D2351" t="inlineStr">
        <is>
          <t>كلا الفترتين</t>
        </is>
      </c>
      <c r="E2351" t="n">
        <v>1305</v>
      </c>
      <c r="F2351" t="b">
        <v>0</v>
      </c>
      <c r="G2351">
        <f>HYPERLINK("https://www.google.com/maps/search/?api=1&amp;query=24.79579869,46.70471849", "View Map")</f>
        <v/>
      </c>
    </row>
    <row r="2352">
      <c r="A2352" t="inlineStr">
        <is>
          <t>ﻤﺴﺎﺠﺩ .</t>
        </is>
      </c>
      <c r="B2352" t="inlineStr">
        <is>
          <t>KFM2020660208061</t>
        </is>
      </c>
      <c r="C2352" t="inlineStr">
        <is>
          <t>الدرعية</t>
        </is>
      </c>
      <c r="D2352" t="inlineStr">
        <is>
          <t>كلا الفترتين</t>
        </is>
      </c>
      <c r="E2352" t="n">
        <v>1305</v>
      </c>
      <c r="F2352" t="b">
        <v>0</v>
      </c>
      <c r="G2352">
        <f>HYPERLINK("https://www.google.com/maps/search/?api=1&amp;query=24.73665,46.5098", "View Map")</f>
        <v/>
      </c>
    </row>
    <row r="2353">
      <c r="A2353" t="inlineStr">
        <is>
          <t>ﻭﺯﺍﺭﺓﺍﻟﺸﺌﻭﻥ ﺍﻻﺴﻼﻤﻴﺓﻭﺍﻻﻭﻗﺎﻑ .</t>
        </is>
      </c>
      <c r="B2353" t="inlineStr">
        <is>
          <t>KFM2020660171728</t>
        </is>
      </c>
      <c r="C2353" t="inlineStr">
        <is>
          <t>الرياض</t>
        </is>
      </c>
      <c r="D2353" t="inlineStr">
        <is>
          <t>كلا الفترتين</t>
        </is>
      </c>
      <c r="E2353" t="n">
        <v>1305</v>
      </c>
      <c r="F2353" t="b">
        <v>0</v>
      </c>
      <c r="G2353">
        <f>HYPERLINK("https://www.google.com/maps/search/?api=1&amp;query=24.58705242,46.71247986", "View Map")</f>
        <v/>
      </c>
    </row>
    <row r="2354">
      <c r="A2354" t="inlineStr">
        <is>
          <t>ﻤﺴﺎﺠﺩ .</t>
        </is>
      </c>
      <c r="B2354" t="inlineStr">
        <is>
          <t>KFM2020660190353</t>
        </is>
      </c>
      <c r="C2354" t="inlineStr">
        <is>
          <t>الرياض</t>
        </is>
      </c>
      <c r="D2354" t="inlineStr">
        <is>
          <t>كلا الفترتين</t>
        </is>
      </c>
      <c r="E2354" t="n">
        <v>1305</v>
      </c>
      <c r="F2354" t="b">
        <v>0</v>
      </c>
      <c r="G2354">
        <f>HYPERLINK("https://www.google.com/maps/search/?api=1&amp;query=24.83559,46.67634", "View Map")</f>
        <v/>
      </c>
    </row>
    <row r="2355">
      <c r="A2355" t="inlineStr">
        <is>
          <t>ﻤﺴﺎﺠﺩ .</t>
        </is>
      </c>
      <c r="B2355" t="inlineStr">
        <is>
          <t>KFM2020660197757</t>
        </is>
      </c>
      <c r="C2355" t="inlineStr">
        <is>
          <t>الرياض</t>
        </is>
      </c>
      <c r="D2355" t="inlineStr">
        <is>
          <t>كلا الفترتين</t>
        </is>
      </c>
      <c r="E2355" t="n">
        <v>1304</v>
      </c>
      <c r="F2355" t="b">
        <v>0</v>
      </c>
      <c r="G2355">
        <f>HYPERLINK("https://www.google.com/maps/search/?api=1&amp;query=24.64433971,46.5514691", "View Map")</f>
        <v/>
      </c>
    </row>
    <row r="2356">
      <c r="A2356" t="inlineStr">
        <is>
          <t xml:space="preserve">   جامع الفاروق .</t>
        </is>
      </c>
      <c r="B2356" t="inlineStr">
        <is>
          <t>KFM2020660175726</t>
        </is>
      </c>
      <c r="C2356" t="inlineStr">
        <is>
          <t>الرياض</t>
        </is>
      </c>
      <c r="D2356" t="inlineStr">
        <is>
          <t>كلا الفترتين</t>
        </is>
      </c>
      <c r="E2356" t="n">
        <v>1304</v>
      </c>
      <c r="F2356" t="b">
        <v>0</v>
      </c>
      <c r="G2356">
        <f>HYPERLINK("https://www.google.com/maps/search/?api=1&amp;query=24.72273716,46.83319149", "View Map")</f>
        <v/>
      </c>
    </row>
    <row r="2357">
      <c r="A2357" t="inlineStr">
        <is>
          <t xml:space="preserve">     وزارة الشئون الاسلامية والاوقاف .</t>
        </is>
      </c>
      <c r="B2357" t="inlineStr">
        <is>
          <t>KFM2120660262198</t>
        </is>
      </c>
      <c r="C2357" t="inlineStr">
        <is>
          <t>الرياض</t>
        </is>
      </c>
      <c r="D2357" t="inlineStr">
        <is>
          <t>كلا الفترتين</t>
        </is>
      </c>
      <c r="E2357" t="n">
        <v>1303</v>
      </c>
      <c r="F2357" t="b">
        <v>0</v>
      </c>
      <c r="G2357">
        <f>HYPERLINK("https://www.google.com/maps/search/?api=1&amp;query=24.6457,46.66099", "View Map")</f>
        <v/>
      </c>
    </row>
    <row r="2358">
      <c r="A2358" t="inlineStr">
        <is>
          <t xml:space="preserve">   مسجد الهزاع .</t>
        </is>
      </c>
      <c r="B2358" t="inlineStr">
        <is>
          <t>KFM2020660057023</t>
        </is>
      </c>
      <c r="C2358" t="inlineStr">
        <is>
          <t>الرياض</t>
        </is>
      </c>
      <c r="D2358" t="inlineStr">
        <is>
          <t>كلا الفترتين</t>
        </is>
      </c>
      <c r="E2358" t="n">
        <v>1303</v>
      </c>
      <c r="F2358" t="b">
        <v>0</v>
      </c>
      <c r="G2358">
        <f>HYPERLINK("https://www.google.com/maps/search/?api=1&amp;query=24.71266107,46.84090257", "View Map")</f>
        <v/>
      </c>
    </row>
    <row r="2359">
      <c r="A2359" t="inlineStr">
        <is>
          <t xml:space="preserve">   مسجد العساف .</t>
        </is>
      </c>
      <c r="B2359" t="inlineStr">
        <is>
          <t>SMR2220661000355</t>
        </is>
      </c>
      <c r="C2359" t="inlineStr">
        <is>
          <t>الرياض</t>
        </is>
      </c>
      <c r="D2359" t="inlineStr">
        <is>
          <t>كلا الفترتين</t>
        </is>
      </c>
      <c r="E2359" t="n">
        <v>1303</v>
      </c>
      <c r="F2359" t="b">
        <v>0</v>
      </c>
      <c r="G2359">
        <f>HYPERLINK("https://www.google.com/maps/search/?api=1&amp;query=24.75338127,46.74998884", "View Map")</f>
        <v/>
      </c>
    </row>
    <row r="2360">
      <c r="A2360" t="inlineStr">
        <is>
          <t xml:space="preserve">   مسجد حي الازدهار .</t>
        </is>
      </c>
      <c r="B2360" t="inlineStr">
        <is>
          <t>KFM2020660175150</t>
        </is>
      </c>
      <c r="C2360" t="inlineStr">
        <is>
          <t>الرياض</t>
        </is>
      </c>
      <c r="D2360" t="inlineStr">
        <is>
          <t>كلا الفترتين</t>
        </is>
      </c>
      <c r="E2360" t="n">
        <v>1302</v>
      </c>
      <c r="F2360" t="b">
        <v>1</v>
      </c>
      <c r="G2360">
        <f>HYPERLINK("https://www.google.com/maps/search/?api=1&amp;query=24.78386498,46.71254496", "View Map")</f>
        <v/>
      </c>
    </row>
    <row r="2361">
      <c r="A2361" t="inlineStr">
        <is>
          <t xml:space="preserve">   مسجد الشيخعبدالله   ومرافقه .</t>
        </is>
      </c>
      <c r="B2361" t="inlineStr">
        <is>
          <t>KFM2120660247104</t>
        </is>
      </c>
      <c r="C2361" t="inlineStr">
        <is>
          <t>الرياض</t>
        </is>
      </c>
      <c r="D2361" t="inlineStr">
        <is>
          <t>كلا الفترتين</t>
        </is>
      </c>
      <c r="E2361" t="n">
        <v>1302</v>
      </c>
      <c r="F2361" t="b">
        <v>0</v>
      </c>
      <c r="G2361">
        <f>HYPERLINK("https://www.google.com/maps/search/?api=1&amp;query=24.74503756,46.61500998", "View Map")</f>
        <v/>
      </c>
    </row>
    <row r="2362">
      <c r="A2362" t="inlineStr">
        <is>
          <t>مسجد حي بطيحاء العمران .</t>
        </is>
      </c>
      <c r="B2362" t="inlineStr">
        <is>
          <t>KFM2020660191099</t>
        </is>
      </c>
      <c r="C2362" t="inlineStr">
        <is>
          <t>الرياض</t>
        </is>
      </c>
      <c r="D2362" t="inlineStr">
        <is>
          <t>كلا الفترتين</t>
        </is>
      </c>
      <c r="E2362" t="n">
        <v>1302</v>
      </c>
      <c r="F2362" t="b">
        <v>0</v>
      </c>
      <c r="G2362">
        <f>HYPERLINK("https://www.google.com/maps/search/?api=1&amp;query=24.61272913,46.69543896", "View Map")</f>
        <v/>
      </c>
    </row>
    <row r="2363">
      <c r="A2363" t="inlineStr">
        <is>
          <t>مسجد ابراهيم  المزروع .</t>
        </is>
      </c>
      <c r="B2363" t="inlineStr">
        <is>
          <t>KFM2020760000605</t>
        </is>
      </c>
      <c r="C2363" t="inlineStr">
        <is>
          <t>الرياض</t>
        </is>
      </c>
      <c r="D2363" t="inlineStr">
        <is>
          <t>كلا الفترتين</t>
        </is>
      </c>
      <c r="E2363" t="n">
        <v>1301</v>
      </c>
      <c r="F2363" t="b">
        <v>0</v>
      </c>
      <c r="G2363">
        <f>HYPERLINK("https://www.google.com/maps/search/?api=1&amp;query=24.59633026,46.72794563", "View Map")</f>
        <v/>
      </c>
    </row>
    <row r="2364">
      <c r="A2364" t="inlineStr">
        <is>
          <t>ﻭﺯﺍﺭﺓﺍﻟﺸﺌﻭﻥ ﺍﻻﺴﻼﻤﻴﺓﻭﺍﻻﻭﻗﺎﻑ .</t>
        </is>
      </c>
      <c r="B2364" t="inlineStr">
        <is>
          <t>KFM2020760014881</t>
        </is>
      </c>
      <c r="C2364" t="inlineStr">
        <is>
          <t>الرياض</t>
        </is>
      </c>
      <c r="D2364" t="inlineStr">
        <is>
          <t>كلا الفترتين</t>
        </is>
      </c>
      <c r="E2364" t="n">
        <v>1301</v>
      </c>
      <c r="F2364" t="b">
        <v>0</v>
      </c>
      <c r="G2364">
        <f>HYPERLINK("https://www.google.com/maps/search/?api=1&amp;query=24.52749365,46.72755615", "View Map")</f>
        <v/>
      </c>
    </row>
    <row r="2365">
      <c r="A2365" t="inlineStr">
        <is>
          <t>ﻤﺴﺎﺠﺩ .</t>
        </is>
      </c>
      <c r="B2365" t="inlineStr">
        <is>
          <t>KFM2020660196922</t>
        </is>
      </c>
      <c r="C2365" t="inlineStr">
        <is>
          <t>الرياض</t>
        </is>
      </c>
      <c r="D2365" t="inlineStr">
        <is>
          <t>كلا الفترتين</t>
        </is>
      </c>
      <c r="E2365" t="n">
        <v>1301</v>
      </c>
      <c r="F2365" t="b">
        <v>1</v>
      </c>
      <c r="G2365">
        <f>HYPERLINK("https://www.google.com/maps/search/?api=1&amp;query=24.60634539,46.76231214", "View Map")</f>
        <v/>
      </c>
    </row>
    <row r="2366">
      <c r="A2366" t="inlineStr">
        <is>
          <t xml:space="preserve">   مسجد حي التعاون .</t>
        </is>
      </c>
      <c r="B2366" t="inlineStr">
        <is>
          <t>KFM2020660167122</t>
        </is>
      </c>
      <c r="C2366" t="inlineStr">
        <is>
          <t>الرياض</t>
        </is>
      </c>
      <c r="D2366" t="inlineStr">
        <is>
          <t>كلا الفترتين</t>
        </is>
      </c>
      <c r="E2366" t="n">
        <v>1301</v>
      </c>
      <c r="F2366" t="b">
        <v>0</v>
      </c>
      <c r="G2366">
        <f>HYPERLINK("https://www.google.com/maps/search/?api=1&amp;query=24.76615888,46.70065001", "View Map")</f>
        <v/>
      </c>
    </row>
    <row r="2367">
      <c r="A2367" t="inlineStr">
        <is>
          <t xml:space="preserve">   مسجد/ابراهيم بن ناصر بن داود .</t>
        </is>
      </c>
      <c r="B2367" t="inlineStr">
        <is>
          <t>KFM2020660060712</t>
        </is>
      </c>
      <c r="C2367" t="inlineStr">
        <is>
          <t>الدرعية</t>
        </is>
      </c>
      <c r="D2367" t="inlineStr">
        <is>
          <t>كلا الفترتين</t>
        </is>
      </c>
      <c r="E2367" t="n">
        <v>1301</v>
      </c>
      <c r="F2367" t="b">
        <v>1</v>
      </c>
      <c r="G2367">
        <f>HYPERLINK("https://www.google.com/maps/search/?api=1&amp;query=24.74611713,46.52684451", "View Map")</f>
        <v/>
      </c>
    </row>
    <row r="2368">
      <c r="A2368" t="inlineStr">
        <is>
          <t xml:space="preserve">   مسجد المنديل .</t>
        </is>
      </c>
      <c r="B2368" t="inlineStr">
        <is>
          <t>KFM2020660056790</t>
        </is>
      </c>
      <c r="C2368" t="inlineStr">
        <is>
          <t>الرياض</t>
        </is>
      </c>
      <c r="D2368" t="inlineStr">
        <is>
          <t>كلا الفترتين</t>
        </is>
      </c>
      <c r="E2368" t="n">
        <v>1300</v>
      </c>
      <c r="F2368" t="b">
        <v>0</v>
      </c>
      <c r="G2368">
        <f>HYPERLINK("https://www.google.com/maps/search/?api=1&amp;query=24.72330664,46.76500445", "View Map")</f>
        <v/>
      </c>
    </row>
    <row r="2369">
      <c r="A2369" t="inlineStr">
        <is>
          <t>مسجد حي بدر .</t>
        </is>
      </c>
      <c r="B2369" t="inlineStr">
        <is>
          <t>KFM2020660202481</t>
        </is>
      </c>
      <c r="C2369" t="inlineStr">
        <is>
          <t>الرياض</t>
        </is>
      </c>
      <c r="D2369" t="inlineStr">
        <is>
          <t>كلا الفترتين</t>
        </is>
      </c>
      <c r="E2369" t="n">
        <v>1300</v>
      </c>
      <c r="F2369" t="b">
        <v>0</v>
      </c>
      <c r="G2369">
        <f>HYPERLINK("https://www.google.com/maps/search/?api=1&amp;query=24.53701108,46.72293121", "View Map")</f>
        <v/>
      </c>
    </row>
    <row r="2370">
      <c r="A2370" t="inlineStr">
        <is>
          <t xml:space="preserve">   مسجد حى المروج .</t>
        </is>
      </c>
      <c r="B2370" t="inlineStr">
        <is>
          <t>KFM2020660213988</t>
        </is>
      </c>
      <c r="C2370" t="inlineStr">
        <is>
          <t>الرياض</t>
        </is>
      </c>
      <c r="D2370" t="inlineStr">
        <is>
          <t>كلا الفترتين</t>
        </is>
      </c>
      <c r="E2370" t="n">
        <v>1299</v>
      </c>
      <c r="F2370" t="b">
        <v>0</v>
      </c>
      <c r="G2370">
        <f>HYPERLINK("https://www.google.com/maps/search/?api=1&amp;query=24.76231613,46.6706648", "View Map")</f>
        <v/>
      </c>
    </row>
    <row r="2371">
      <c r="A2371" t="inlineStr">
        <is>
          <t xml:space="preserve">   مسجدابوبكر .</t>
        </is>
      </c>
      <c r="B2371" t="inlineStr">
        <is>
          <t>KFM2020660047750</t>
        </is>
      </c>
      <c r="C2371" t="inlineStr">
        <is>
          <t>الرياض</t>
        </is>
      </c>
      <c r="D2371" t="inlineStr">
        <is>
          <t>كلا الفترتين</t>
        </is>
      </c>
      <c r="E2371" t="n">
        <v>1298</v>
      </c>
      <c r="F2371" t="b">
        <v>1</v>
      </c>
      <c r="G2371">
        <f>HYPERLINK("https://www.google.com/maps/search/?api=1&amp;query=24.70343706,46.84071593", "View Map")</f>
        <v/>
      </c>
    </row>
    <row r="2372">
      <c r="A2372" t="inlineStr">
        <is>
          <t xml:space="preserve">   مسجد      الوادي    العبيد .</t>
        </is>
      </c>
      <c r="B2372" t="inlineStr">
        <is>
          <t>KFM2120660246738</t>
        </is>
      </c>
      <c r="C2372" t="inlineStr">
        <is>
          <t>الرياض</t>
        </is>
      </c>
      <c r="D2372" t="inlineStr">
        <is>
          <t>كلا الفترتين</t>
        </is>
      </c>
      <c r="E2372" t="n">
        <v>1297</v>
      </c>
      <c r="F2372" t="b">
        <v>0</v>
      </c>
      <c r="G2372">
        <f>HYPERLINK("https://www.google.com/maps/search/?api=1&amp;query=24.78807358,46.69483607", "View Map")</f>
        <v/>
      </c>
    </row>
    <row r="2373">
      <c r="A2373" t="inlineStr">
        <is>
          <t>مسجد الحمدان .</t>
        </is>
      </c>
      <c r="B2373" t="inlineStr">
        <is>
          <t>KFM2020660042250</t>
        </is>
      </c>
      <c r="C2373" t="inlineStr">
        <is>
          <t>الرياض</t>
        </is>
      </c>
      <c r="D2373" t="inlineStr">
        <is>
          <t>كلا الفترتين</t>
        </is>
      </c>
      <c r="E2373" t="n">
        <v>1296</v>
      </c>
      <c r="F2373" t="b">
        <v>0</v>
      </c>
      <c r="G2373">
        <f>HYPERLINK("https://www.google.com/maps/search/?api=1&amp;query=24.52630983,46.64841684", "View Map")</f>
        <v/>
      </c>
    </row>
    <row r="2374">
      <c r="A2374" t="inlineStr">
        <is>
          <t xml:space="preserve">   مسجد الرحمانيه .</t>
        </is>
      </c>
      <c r="B2374" t="inlineStr">
        <is>
          <t>KFM2020660191987</t>
        </is>
      </c>
      <c r="C2374" t="inlineStr">
        <is>
          <t>الرياض</t>
        </is>
      </c>
      <c r="D2374" t="inlineStr">
        <is>
          <t>كلا الفترتين</t>
        </is>
      </c>
      <c r="E2374" t="n">
        <v>1296</v>
      </c>
      <c r="F2374" t="b">
        <v>0</v>
      </c>
      <c r="G2374">
        <f>HYPERLINK("https://www.google.com/maps/search/?api=1&amp;query=24.71062461,46.66700732", "View Map")</f>
        <v/>
      </c>
    </row>
    <row r="2375">
      <c r="A2375" t="inlineStr">
        <is>
          <t xml:space="preserve">   مسجد حي السعاده .</t>
        </is>
      </c>
      <c r="B2375" t="inlineStr">
        <is>
          <t>KFM2120660241513</t>
        </is>
      </c>
      <c r="C2375" t="inlineStr">
        <is>
          <t>الرياض</t>
        </is>
      </c>
      <c r="D2375" t="inlineStr">
        <is>
          <t>كلا الفترتين</t>
        </is>
      </c>
      <c r="E2375" t="n">
        <v>1295</v>
      </c>
      <c r="F2375" t="b">
        <v>1</v>
      </c>
      <c r="G2375">
        <f>HYPERLINK("https://www.google.com/maps/search/?api=1&amp;query=24.69333033,46.83849449", "View Map")</f>
        <v/>
      </c>
    </row>
    <row r="2376">
      <c r="A2376" t="inlineStr">
        <is>
          <t>مسجد جنوب الشفاء .</t>
        </is>
      </c>
      <c r="B2376" t="inlineStr">
        <is>
          <t>KFM2020660038691</t>
        </is>
      </c>
      <c r="C2376" t="inlineStr">
        <is>
          <t>الرياض</t>
        </is>
      </c>
      <c r="D2376" t="inlineStr">
        <is>
          <t>كلا الفترتين</t>
        </is>
      </c>
      <c r="E2376" t="n">
        <v>1295</v>
      </c>
      <c r="F2376" t="b">
        <v>1</v>
      </c>
      <c r="G2376">
        <f>HYPERLINK("https://www.google.com/maps/search/?api=1&amp;query=24.56043827,46.71587598", "View Map")</f>
        <v/>
      </c>
    </row>
    <row r="2377">
      <c r="A2377" t="inlineStr">
        <is>
          <t>مسجد خبيب  بن عدي .</t>
        </is>
      </c>
      <c r="B2377" t="inlineStr">
        <is>
          <t>KFM2020660191096</t>
        </is>
      </c>
      <c r="C2377" t="inlineStr">
        <is>
          <t>الرياض</t>
        </is>
      </c>
      <c r="D2377" t="inlineStr">
        <is>
          <t>كلا الفترتين</t>
        </is>
      </c>
      <c r="E2377" t="n">
        <v>1295</v>
      </c>
      <c r="F2377" t="b">
        <v>1</v>
      </c>
      <c r="G2377">
        <f>HYPERLINK("https://www.google.com/maps/search/?api=1&amp;query=24.60888921,46.60308595", "View Map")</f>
        <v/>
      </c>
    </row>
    <row r="2378">
      <c r="A2378" t="inlineStr">
        <is>
          <t xml:space="preserve">   (مسجد) وزارة الشئون والاوقاف .</t>
        </is>
      </c>
      <c r="B2378" t="inlineStr">
        <is>
          <t>KFM2020660197525</t>
        </is>
      </c>
      <c r="C2378" t="inlineStr">
        <is>
          <t>الدرعية</t>
        </is>
      </c>
      <c r="D2378" t="inlineStr">
        <is>
          <t>كلا الفترتين</t>
        </is>
      </c>
      <c r="E2378" t="n">
        <v>1295</v>
      </c>
      <c r="F2378" t="b">
        <v>0</v>
      </c>
      <c r="G2378">
        <f>HYPERLINK("https://www.google.com/maps/search/?api=1&amp;query=24.73045235,46.60210809", "View Map")</f>
        <v/>
      </c>
    </row>
    <row r="2379">
      <c r="A2379" t="inlineStr">
        <is>
          <t>ﻭﺯﺍﺭﺓﺍﻟﺸﺌﻭﻥ ﺍﻻﺴﻼﻤﻴﺓﻭﺍﻻﻭﻗﺎﻑ .</t>
        </is>
      </c>
      <c r="B2379" t="inlineStr">
        <is>
          <t>KFM2120655004267</t>
        </is>
      </c>
      <c r="C2379" t="inlineStr">
        <is>
          <t>الرياض</t>
        </is>
      </c>
      <c r="D2379" t="inlineStr">
        <is>
          <t>كلا الفترتين</t>
        </is>
      </c>
      <c r="E2379" t="n">
        <v>1294</v>
      </c>
      <c r="F2379" t="b">
        <v>1</v>
      </c>
      <c r="G2379">
        <f>HYPERLINK("https://www.google.com/maps/search/?api=1&amp;query=24.59,46.7", "View Map")</f>
        <v/>
      </c>
    </row>
    <row r="2380">
      <c r="A2380" t="inlineStr">
        <is>
          <t>مسجدالشيخ  /عبدالله  بن جبرين .</t>
        </is>
      </c>
      <c r="B2380" t="inlineStr">
        <is>
          <t>KFM2020660055000</t>
        </is>
      </c>
      <c r="C2380" t="inlineStr">
        <is>
          <t>الرياض</t>
        </is>
      </c>
      <c r="D2380" t="inlineStr">
        <is>
          <t>كلا الفترتين</t>
        </is>
      </c>
      <c r="E2380" t="n">
        <v>1294</v>
      </c>
      <c r="F2380" t="b">
        <v>0</v>
      </c>
      <c r="G2380">
        <f>HYPERLINK("https://www.google.com/maps/search/?api=1&amp;query=24.58093639,46.67879537", "View Map")</f>
        <v/>
      </c>
    </row>
    <row r="2381">
      <c r="A2381" t="inlineStr">
        <is>
          <t>مسجد قتيبه  بن مسلم .</t>
        </is>
      </c>
      <c r="B2381" t="inlineStr">
        <is>
          <t>KFM2020660096106</t>
        </is>
      </c>
      <c r="C2381" t="inlineStr">
        <is>
          <t>الرياض</t>
        </is>
      </c>
      <c r="D2381" t="inlineStr">
        <is>
          <t>كلا الفترتين</t>
        </is>
      </c>
      <c r="E2381" t="n">
        <v>1294</v>
      </c>
      <c r="F2381" t="b">
        <v>0</v>
      </c>
      <c r="G2381">
        <f>HYPERLINK("https://www.google.com/maps/search/?api=1&amp;query=24.55440887,46.70699337", "View Map")</f>
        <v/>
      </c>
    </row>
    <row r="2382">
      <c r="A2382" t="inlineStr">
        <is>
          <t xml:space="preserve">   مسجد الفداء .</t>
        </is>
      </c>
      <c r="B2382" t="inlineStr">
        <is>
          <t>KFM2120660271583</t>
        </is>
      </c>
      <c r="C2382" t="inlineStr">
        <is>
          <t>الرياض</t>
        </is>
      </c>
      <c r="D2382" t="inlineStr">
        <is>
          <t>كلا الفترتين</t>
        </is>
      </c>
      <c r="E2382" t="n">
        <v>1294</v>
      </c>
      <c r="F2382" t="b">
        <v>0</v>
      </c>
      <c r="G2382">
        <f>HYPERLINK("https://www.google.com/maps/search/?api=1&amp;query=24.67283897,46.78712445", "View Map")</f>
        <v/>
      </c>
    </row>
    <row r="2383">
      <c r="A2383" t="inlineStr">
        <is>
          <t>مسجد      جامع      السويدي .</t>
        </is>
      </c>
      <c r="B2383" t="inlineStr">
        <is>
          <t>KFM2020660054935</t>
        </is>
      </c>
      <c r="C2383" t="inlineStr">
        <is>
          <t>الرياض</t>
        </is>
      </c>
      <c r="D2383" t="inlineStr">
        <is>
          <t>كلا الفترتين</t>
        </is>
      </c>
      <c r="E2383" t="n">
        <v>1293</v>
      </c>
      <c r="F2383" t="b">
        <v>1</v>
      </c>
      <c r="G2383">
        <f>HYPERLINK("https://www.google.com/maps/search/?api=1&amp;query=24.58993157,46.65970334", "View Map")</f>
        <v/>
      </c>
    </row>
    <row r="2384">
      <c r="A2384" t="inlineStr">
        <is>
          <t>ﻤﺴﺎﺠﺩ .</t>
        </is>
      </c>
      <c r="B2384" t="inlineStr">
        <is>
          <t>SMR2320661022840</t>
        </is>
      </c>
      <c r="C2384" t="inlineStr">
        <is>
          <t>الرياض</t>
        </is>
      </c>
      <c r="D2384" t="inlineStr">
        <is>
          <t>كلا الفترتين</t>
        </is>
      </c>
      <c r="E2384" t="n">
        <v>1293</v>
      </c>
      <c r="F2384" t="b">
        <v>0</v>
      </c>
      <c r="G2384">
        <f>HYPERLINK("https://www.google.com/maps/search/?api=1&amp;query=0.0,0.0", "View Map")</f>
        <v/>
      </c>
    </row>
    <row r="2385">
      <c r="A2385" t="inlineStr">
        <is>
          <t>ﻤﺴﺎﺠﺩ .</t>
        </is>
      </c>
      <c r="B2385" t="inlineStr">
        <is>
          <t>KFM2120660251283</t>
        </is>
      </c>
      <c r="C2385" t="inlineStr">
        <is>
          <t>الرياض</t>
        </is>
      </c>
      <c r="D2385" t="inlineStr">
        <is>
          <t>كلا الفترتين</t>
        </is>
      </c>
      <c r="E2385" t="n">
        <v>1293</v>
      </c>
      <c r="F2385" t="b">
        <v>0</v>
      </c>
      <c r="G2385">
        <f>HYPERLINK("https://www.google.com/maps/search/?api=1&amp;query=24.90174301,46.64012698", "View Map")</f>
        <v/>
      </c>
    </row>
    <row r="2386">
      <c r="A2386" t="inlineStr">
        <is>
          <t xml:space="preserve">     مسجد   الخفره .</t>
        </is>
      </c>
      <c r="B2386" t="inlineStr">
        <is>
          <t>KFM2020660135782</t>
        </is>
      </c>
      <c r="C2386" t="inlineStr">
        <is>
          <t>الرياض</t>
        </is>
      </c>
      <c r="D2386" t="inlineStr">
        <is>
          <t>كلا الفترتين</t>
        </is>
      </c>
      <c r="E2386" t="n">
        <v>1293</v>
      </c>
      <c r="F2386" t="b">
        <v>0</v>
      </c>
      <c r="G2386">
        <f>HYPERLINK("https://www.google.com/maps/search/?api=1&amp;query=24.68501402,46.78269899", "View Map")</f>
        <v/>
      </c>
    </row>
    <row r="2387">
      <c r="A2387" t="inlineStr">
        <is>
          <t>ﻭﺯﺍﺭﺓﺍﻟﺸﺌﻭﻥ ﺍﻻﺴﻼﻤﻴﺓﻭﺍﻻﻭﻗﺎﻑ .</t>
        </is>
      </c>
      <c r="B2387" t="inlineStr">
        <is>
          <t>KFM2020660202141</t>
        </is>
      </c>
      <c r="C2387" t="inlineStr">
        <is>
          <t>الرياض</t>
        </is>
      </c>
      <c r="D2387" t="inlineStr">
        <is>
          <t>كلا الفترتين</t>
        </is>
      </c>
      <c r="E2387" t="n">
        <v>1291</v>
      </c>
      <c r="F2387" t="b">
        <v>0</v>
      </c>
      <c r="G2387">
        <f>HYPERLINK("https://www.google.com/maps/search/?api=1&amp;query=24.55448358,46.67532304", "View Map")</f>
        <v/>
      </c>
    </row>
    <row r="2388">
      <c r="A2388" t="inlineStr">
        <is>
          <t>مساجد .</t>
        </is>
      </c>
      <c r="B2388" t="inlineStr">
        <is>
          <t>KFM2120660249218</t>
        </is>
      </c>
      <c r="C2388" t="inlineStr">
        <is>
          <t>الرياض</t>
        </is>
      </c>
      <c r="D2388" t="inlineStr">
        <is>
          <t>كلا الفترتين</t>
        </is>
      </c>
      <c r="E2388" t="n">
        <v>1291</v>
      </c>
      <c r="F2388" t="b">
        <v>0</v>
      </c>
      <c r="G2388">
        <f>HYPERLINK("https://www.google.com/maps/search/?api=1&amp;query=24.86409161,46.63442743", "View Map")</f>
        <v/>
      </c>
    </row>
    <row r="2389">
      <c r="A2389" t="inlineStr">
        <is>
          <t>ﻭﺯﺍﺭﺓﺍﻟﺸﺌﻭﻥ ﺍﻻﺴﻼﻤﻴﺓﻭﺍﻻﻭﻗﺎﻑ .</t>
        </is>
      </c>
      <c r="B2389" t="inlineStr">
        <is>
          <t>KFM2020660049557</t>
        </is>
      </c>
      <c r="C2389" t="inlineStr">
        <is>
          <t>الرياض</t>
        </is>
      </c>
      <c r="D2389" t="inlineStr">
        <is>
          <t>صباحا</t>
        </is>
      </c>
      <c r="E2389" t="n">
        <v>1290</v>
      </c>
      <c r="F2389" t="b">
        <v>0</v>
      </c>
      <c r="G2389">
        <f>HYPERLINK("https://www.google.com/maps/search/?api=1&amp;query=24.56193195,46.54860037", "View Map")</f>
        <v/>
      </c>
    </row>
    <row r="2390">
      <c r="A2390" t="inlineStr">
        <is>
          <t xml:space="preserve">   مسجد حله الاحرار .</t>
        </is>
      </c>
      <c r="B2390" t="inlineStr">
        <is>
          <t>KFM2120660241528</t>
        </is>
      </c>
      <c r="C2390" t="inlineStr">
        <is>
          <t>الرياض</t>
        </is>
      </c>
      <c r="D2390" t="inlineStr">
        <is>
          <t>كلا الفترتين</t>
        </is>
      </c>
      <c r="E2390" t="n">
        <v>1287</v>
      </c>
      <c r="F2390" t="b">
        <v>0</v>
      </c>
      <c r="G2390">
        <f>HYPERLINK("https://www.google.com/maps/search/?api=1&amp;query=24.62959525,46.71986943", "View Map")</f>
        <v/>
      </c>
    </row>
    <row r="2391">
      <c r="A2391" t="inlineStr">
        <is>
          <t xml:space="preserve">   مسجد حي الشرفيه .</t>
        </is>
      </c>
      <c r="B2391" t="inlineStr">
        <is>
          <t>KFM2020660209250</t>
        </is>
      </c>
      <c r="C2391" t="inlineStr">
        <is>
          <t>الرياض</t>
        </is>
      </c>
      <c r="D2391" t="inlineStr">
        <is>
          <t>كلا الفترتين</t>
        </is>
      </c>
      <c r="E2391" t="n">
        <v>1286</v>
      </c>
      <c r="F2391" t="b">
        <v>0</v>
      </c>
      <c r="G2391">
        <f>HYPERLINK("https://www.google.com/maps/search/?api=1&amp;query=24.65893769,46.66787632", "View Map")</f>
        <v/>
      </c>
    </row>
    <row r="2392">
      <c r="A2392" t="inlineStr">
        <is>
          <t xml:space="preserve">   مسجد حي الصحافة .</t>
        </is>
      </c>
      <c r="B2392" t="inlineStr">
        <is>
          <t>KFM2020660212994</t>
        </is>
      </c>
      <c r="C2392" t="inlineStr">
        <is>
          <t>الرياض</t>
        </is>
      </c>
      <c r="D2392" t="inlineStr">
        <is>
          <t>كلا الفترتين</t>
        </is>
      </c>
      <c r="E2392" t="n">
        <v>1286</v>
      </c>
      <c r="F2392" t="b">
        <v>1</v>
      </c>
      <c r="G2392">
        <f>HYPERLINK("https://www.google.com/maps/search/?api=1&amp;query=24.80943836,46.64490465", "View Map")</f>
        <v/>
      </c>
    </row>
    <row r="2393">
      <c r="A2393" t="inlineStr">
        <is>
          <t>ﻤﺴﺎﺠﺩ .</t>
        </is>
      </c>
      <c r="B2393" t="inlineStr">
        <is>
          <t>MMF2020800263860</t>
        </is>
      </c>
      <c r="C2393" t="inlineStr">
        <is>
          <t>الرياض</t>
        </is>
      </c>
      <c r="D2393" t="inlineStr">
        <is>
          <t>كلا الفترتين</t>
        </is>
      </c>
      <c r="E2393" t="n">
        <v>1286</v>
      </c>
      <c r="F2393" t="b">
        <v>0</v>
      </c>
      <c r="G2393">
        <f>HYPERLINK("https://www.google.com/maps/search/?api=1&amp;query=24.79526866,46.61667302", "View Map")</f>
        <v/>
      </c>
    </row>
    <row r="2394">
      <c r="A2394" t="inlineStr">
        <is>
          <t xml:space="preserve">    مسجد حي المغرزات .</t>
        </is>
      </c>
      <c r="B2394" t="inlineStr">
        <is>
          <t>KFM2120660255421</t>
        </is>
      </c>
      <c r="C2394" t="inlineStr">
        <is>
          <t>الرياض</t>
        </is>
      </c>
      <c r="D2394" t="inlineStr">
        <is>
          <t>كلا الفترتين</t>
        </is>
      </c>
      <c r="E2394" t="n">
        <v>1285</v>
      </c>
      <c r="F2394" t="b">
        <v>0</v>
      </c>
      <c r="G2394">
        <f>HYPERLINK("https://www.google.com/maps/search/?api=1&amp;query=24.81386025,46.68862474", "View Map")</f>
        <v/>
      </c>
    </row>
    <row r="2395">
      <c r="A2395" t="inlineStr">
        <is>
          <t>ﻤﺴﺎﺠﺩ .</t>
        </is>
      </c>
      <c r="B2395" t="inlineStr">
        <is>
          <t>KFM2020660201944</t>
        </is>
      </c>
      <c r="C2395" t="inlineStr">
        <is>
          <t>الرياض</t>
        </is>
      </c>
      <c r="D2395" t="inlineStr">
        <is>
          <t>كلا الفترتين</t>
        </is>
      </c>
      <c r="E2395" t="n">
        <v>1284</v>
      </c>
      <c r="F2395" t="b">
        <v>1</v>
      </c>
      <c r="G2395">
        <f>HYPERLINK("https://www.google.com/maps/search/?api=1&amp;query=24.88832178,46.63600145", "View Map")</f>
        <v/>
      </c>
    </row>
    <row r="2396">
      <c r="A2396" t="inlineStr">
        <is>
          <t>.   مسجد      الفوزان .</t>
        </is>
      </c>
      <c r="B2396" t="inlineStr">
        <is>
          <t>KFM2020660006664</t>
        </is>
      </c>
      <c r="C2396" t="inlineStr">
        <is>
          <t>الرياض</t>
        </is>
      </c>
      <c r="D2396" t="inlineStr">
        <is>
          <t>كلا الفترتين</t>
        </is>
      </c>
      <c r="E2396" t="n">
        <v>1283</v>
      </c>
      <c r="F2396" t="b">
        <v>0</v>
      </c>
      <c r="G2396">
        <f>HYPERLINK("https://www.google.com/maps/search/?api=1&amp;query=24.59015362,46.66312236", "View Map")</f>
        <v/>
      </c>
    </row>
    <row r="2397">
      <c r="A2397" t="inlineStr">
        <is>
          <t xml:space="preserve">   مسجد ناصر عبدالله الجفن .</t>
        </is>
      </c>
      <c r="B2397" t="inlineStr">
        <is>
          <t>KFM2120660299420</t>
        </is>
      </c>
      <c r="C2397" t="inlineStr">
        <is>
          <t>الرياض</t>
        </is>
      </c>
      <c r="D2397" t="inlineStr">
        <is>
          <t>كلا الفترتين</t>
        </is>
      </c>
      <c r="E2397" t="n">
        <v>1283</v>
      </c>
      <c r="F2397" t="b">
        <v>0</v>
      </c>
      <c r="G2397">
        <f>HYPERLINK("https://www.google.com/maps/search/?api=1&amp;query=24.59597354,46.74231397", "View Map")</f>
        <v/>
      </c>
    </row>
    <row r="2398">
      <c r="A2398" t="inlineStr">
        <is>
          <t>وقاف ومساجد نفي .</t>
        </is>
      </c>
      <c r="B2398" t="inlineStr">
        <is>
          <t>KFM2120660268842</t>
        </is>
      </c>
      <c r="C2398" t="inlineStr">
        <is>
          <t>الرياض</t>
        </is>
      </c>
      <c r="D2398" t="inlineStr">
        <is>
          <t>كلا الفترتين</t>
        </is>
      </c>
      <c r="E2398" t="n">
        <v>1282</v>
      </c>
      <c r="F2398" t="b">
        <v>0</v>
      </c>
      <c r="G2398">
        <f>HYPERLINK("https://www.google.com/maps/search/?api=1&amp;query=24.68752239,46.81156908", "View Map")</f>
        <v/>
      </c>
    </row>
    <row r="2399">
      <c r="A2399" t="inlineStr">
        <is>
          <t xml:space="preserve">   وزارة الشئون الاسلامية والاوقاف .</t>
        </is>
      </c>
      <c r="B2399" t="inlineStr">
        <is>
          <t>KFM2020660026034</t>
        </is>
      </c>
      <c r="C2399" t="inlineStr">
        <is>
          <t>الرياض</t>
        </is>
      </c>
      <c r="D2399" t="inlineStr">
        <is>
          <t>كلا الفترتين</t>
        </is>
      </c>
      <c r="E2399" t="n">
        <v>1282</v>
      </c>
      <c r="F2399" t="b">
        <v>0</v>
      </c>
      <c r="G2399">
        <f>HYPERLINK("https://www.google.com/maps/search/?api=1&amp;query=24.78225854,46.58861322", "View Map")</f>
        <v/>
      </c>
    </row>
    <row r="2400">
      <c r="A2400" t="inlineStr">
        <is>
          <t xml:space="preserve">   مساجد .</t>
        </is>
      </c>
      <c r="B2400" t="inlineStr">
        <is>
          <t>KFM2020660190453</t>
        </is>
      </c>
      <c r="C2400" t="inlineStr">
        <is>
          <t>الرياض</t>
        </is>
      </c>
      <c r="D2400" t="inlineStr">
        <is>
          <t>كلا الفترتين</t>
        </is>
      </c>
      <c r="E2400" t="n">
        <v>1280</v>
      </c>
      <c r="F2400" t="b">
        <v>0</v>
      </c>
      <c r="G2400">
        <f>HYPERLINK("https://www.google.com/maps/search/?api=1&amp;query=24.82851438,46.65938841", "View Map")</f>
        <v/>
      </c>
    </row>
    <row r="2401">
      <c r="A2401" t="inlineStr">
        <is>
          <t xml:space="preserve">   مسجد عبدالله تركي الضحيان .</t>
        </is>
      </c>
      <c r="B2401" t="inlineStr">
        <is>
          <t>KFM2020660198948</t>
        </is>
      </c>
      <c r="C2401" t="inlineStr">
        <is>
          <t>الرياض</t>
        </is>
      </c>
      <c r="D2401" t="inlineStr">
        <is>
          <t>كلا الفترتين</t>
        </is>
      </c>
      <c r="E2401" t="n">
        <v>1280</v>
      </c>
      <c r="F2401" t="b">
        <v>1</v>
      </c>
      <c r="G2401">
        <f>HYPERLINK("https://www.google.com/maps/search/?api=1&amp;query=24.70409773,46.76719183", "View Map")</f>
        <v/>
      </c>
    </row>
    <row r="2402">
      <c r="A2402" t="inlineStr">
        <is>
          <t xml:space="preserve">   وزارة الشئون الاسلامية والاوقاف .</t>
        </is>
      </c>
      <c r="B2402" t="inlineStr">
        <is>
          <t>KFM2120660255670</t>
        </is>
      </c>
      <c r="C2402" t="inlineStr">
        <is>
          <t>الرياض</t>
        </is>
      </c>
      <c r="D2402" t="inlineStr">
        <is>
          <t>كلا الفترتين</t>
        </is>
      </c>
      <c r="E2402" t="n">
        <v>1280</v>
      </c>
      <c r="F2402" t="b">
        <v>0</v>
      </c>
      <c r="G2402">
        <f>HYPERLINK("https://www.google.com/maps/search/?api=1&amp;query=24.63453204,46.54721356", "View Map")</f>
        <v/>
      </c>
    </row>
    <row r="2403">
      <c r="A2403" t="inlineStr">
        <is>
          <t>مسجد ابن قدامه  المقدسي .</t>
        </is>
      </c>
      <c r="B2403" t="inlineStr">
        <is>
          <t>KFM2020660051592</t>
        </is>
      </c>
      <c r="C2403" t="inlineStr">
        <is>
          <t>الرياض</t>
        </is>
      </c>
      <c r="D2403" t="inlineStr">
        <is>
          <t>كلا الفترتين</t>
        </is>
      </c>
      <c r="E2403" t="n">
        <v>1280</v>
      </c>
      <c r="F2403" t="b">
        <v>0</v>
      </c>
      <c r="G2403">
        <f>HYPERLINK("https://www.google.com/maps/search/?api=1&amp;query=24.61124568,46.64608173", "View Map")</f>
        <v/>
      </c>
    </row>
    <row r="2404">
      <c r="A2404" t="inlineStr">
        <is>
          <t>مسجد زامل  السليم .</t>
        </is>
      </c>
      <c r="B2404" t="inlineStr">
        <is>
          <t>KFM2020660152995</t>
        </is>
      </c>
      <c r="C2404" t="inlineStr">
        <is>
          <t>الرياض</t>
        </is>
      </c>
      <c r="D2404" t="inlineStr">
        <is>
          <t>كلا الفترتين</t>
        </is>
      </c>
      <c r="E2404" t="n">
        <v>1279</v>
      </c>
      <c r="F2404" t="b">
        <v>1</v>
      </c>
      <c r="G2404">
        <f>HYPERLINK("https://www.google.com/maps/search/?api=1&amp;query=24.57494514,46.7129081", "View Map")</f>
        <v/>
      </c>
    </row>
    <row r="2405">
      <c r="A2405" t="inlineStr">
        <is>
          <t xml:space="preserve">   مسجد الامام الذهبي .</t>
        </is>
      </c>
      <c r="B2405" t="inlineStr">
        <is>
          <t>KFM2120660271561</t>
        </is>
      </c>
      <c r="C2405" t="inlineStr">
        <is>
          <t>الرياض</t>
        </is>
      </c>
      <c r="D2405" t="inlineStr">
        <is>
          <t>كلا الفترتين</t>
        </is>
      </c>
      <c r="E2405" t="n">
        <v>1277</v>
      </c>
      <c r="F2405" t="b">
        <v>1</v>
      </c>
      <c r="G2405">
        <f>HYPERLINK("https://www.google.com/maps/search/?api=1&amp;query=24.70482385,46.74874615", "View Map")</f>
        <v/>
      </c>
    </row>
    <row r="2406">
      <c r="A2406" t="inlineStr">
        <is>
          <t>مسجد /عبدالرحمن مبارك ال فريح .</t>
        </is>
      </c>
      <c r="B2406" t="inlineStr">
        <is>
          <t>KFM2020660203271</t>
        </is>
      </c>
      <c r="C2406" t="inlineStr">
        <is>
          <t>الرياض</t>
        </is>
      </c>
      <c r="D2406" t="inlineStr">
        <is>
          <t>كلا الفترتين</t>
        </is>
      </c>
      <c r="E2406" t="n">
        <v>1277</v>
      </c>
      <c r="F2406" t="b">
        <v>0</v>
      </c>
      <c r="G2406">
        <f>HYPERLINK("https://www.google.com/maps/search/?api=1&amp;query=24.72924778,46.74156178", "View Map")</f>
        <v/>
      </c>
    </row>
    <row r="2407">
      <c r="A2407" t="inlineStr">
        <is>
          <t xml:space="preserve">  مسجدالاميرعبدالرحمن العبدالله فيصل .</t>
        </is>
      </c>
      <c r="B2407" t="inlineStr">
        <is>
          <t>KFM2020660012636</t>
        </is>
      </c>
      <c r="C2407" t="inlineStr">
        <is>
          <t>الرياض</t>
        </is>
      </c>
      <c r="D2407" t="inlineStr">
        <is>
          <t>كلا الفترتين</t>
        </is>
      </c>
      <c r="E2407" t="n">
        <v>1275</v>
      </c>
      <c r="F2407" t="b">
        <v>0</v>
      </c>
      <c r="G2407">
        <f>HYPERLINK("https://www.google.com/maps/search/?api=1&amp;query=24.76411792,46.7708659", "View Map")</f>
        <v/>
      </c>
    </row>
    <row r="2408">
      <c r="A2408" t="inlineStr">
        <is>
          <t xml:space="preserve">   مسجدسعيدبن معاذ .</t>
        </is>
      </c>
      <c r="B2408" t="inlineStr">
        <is>
          <t>KFM2120660273738</t>
        </is>
      </c>
      <c r="C2408" t="inlineStr">
        <is>
          <t>الرياض</t>
        </is>
      </c>
      <c r="D2408" t="inlineStr">
        <is>
          <t>كلا الفترتين</t>
        </is>
      </c>
      <c r="E2408" t="n">
        <v>1274</v>
      </c>
      <c r="F2408" t="b">
        <v>0</v>
      </c>
      <c r="G2408">
        <f>HYPERLINK("https://www.google.com/maps/search/?api=1&amp;query=24.69143883,46.8090988", "View Map")</f>
        <v/>
      </c>
    </row>
    <row r="2409">
      <c r="A2409" t="inlineStr">
        <is>
          <t xml:space="preserve">   مسجد حي الربوة .</t>
        </is>
      </c>
      <c r="B2409" t="inlineStr">
        <is>
          <t>KFM2020660043385</t>
        </is>
      </c>
      <c r="C2409" t="inlineStr">
        <is>
          <t>الرياض</t>
        </is>
      </c>
      <c r="D2409" t="inlineStr">
        <is>
          <t>كلا الفترتين</t>
        </is>
      </c>
      <c r="E2409" t="n">
        <v>1274</v>
      </c>
      <c r="F2409" t="b">
        <v>1</v>
      </c>
      <c r="G2409">
        <f>HYPERLINK("https://www.google.com/maps/search/?api=1&amp;query=24.6818563,46.76009502", "View Map")</f>
        <v/>
      </c>
    </row>
    <row r="2410">
      <c r="A2410" t="inlineStr">
        <is>
          <t xml:space="preserve">   مسجد الميدان .</t>
        </is>
      </c>
      <c r="B2410" t="inlineStr">
        <is>
          <t>KFM2020660054863</t>
        </is>
      </c>
      <c r="C2410" t="inlineStr">
        <is>
          <t>الرياض</t>
        </is>
      </c>
      <c r="D2410" t="inlineStr">
        <is>
          <t>كلا الفترتين</t>
        </is>
      </c>
      <c r="E2410" t="n">
        <v>1273</v>
      </c>
      <c r="F2410" t="b">
        <v>0</v>
      </c>
      <c r="G2410">
        <f>HYPERLINK("https://www.google.com/maps/search/?api=1&amp;query=24.6671534,46.74067112", "View Map")</f>
        <v/>
      </c>
    </row>
    <row r="2411">
      <c r="A2411" t="inlineStr">
        <is>
          <t>مسجد بن جلعود .</t>
        </is>
      </c>
      <c r="B2411" t="inlineStr">
        <is>
          <t>KFM2020660171730</t>
        </is>
      </c>
      <c r="C2411" t="inlineStr">
        <is>
          <t>الرياض</t>
        </is>
      </c>
      <c r="D2411" t="inlineStr">
        <is>
          <t>كلا الفترتين</t>
        </is>
      </c>
      <c r="E2411" t="n">
        <v>1273</v>
      </c>
      <c r="F2411" t="b">
        <v>0</v>
      </c>
      <c r="G2411">
        <f>HYPERLINK("https://www.google.com/maps/search/?api=1&amp;query=24.5842,46.65", "View Map")</f>
        <v/>
      </c>
    </row>
    <row r="2412">
      <c r="A2412" t="inlineStr">
        <is>
          <t xml:space="preserve">   مسجد عبدالعزيز الخريف .</t>
        </is>
      </c>
      <c r="B2412" t="inlineStr">
        <is>
          <t>KFM2020660031185</t>
        </is>
      </c>
      <c r="C2412" t="inlineStr">
        <is>
          <t>الرياض</t>
        </is>
      </c>
      <c r="D2412" t="inlineStr">
        <is>
          <t>كلا الفترتين</t>
        </is>
      </c>
      <c r="E2412" t="n">
        <v>1273</v>
      </c>
      <c r="F2412" t="b">
        <v>0</v>
      </c>
      <c r="G2412">
        <f>HYPERLINK("https://www.google.com/maps/search/?api=1&amp;query=24.67892788,46.67711122", "View Map")</f>
        <v/>
      </c>
    </row>
    <row r="2413">
      <c r="A2413" t="inlineStr">
        <is>
          <t>مسجد الملك  عبدالعزيز .</t>
        </is>
      </c>
      <c r="B2413" t="inlineStr">
        <is>
          <t>KFM2020660054888</t>
        </is>
      </c>
      <c r="C2413" t="inlineStr">
        <is>
          <t>الرياض</t>
        </is>
      </c>
      <c r="D2413" t="inlineStr">
        <is>
          <t>كلا الفترتين</t>
        </is>
      </c>
      <c r="E2413" t="n">
        <v>1272</v>
      </c>
      <c r="F2413" t="b">
        <v>0</v>
      </c>
      <c r="G2413">
        <f>HYPERLINK("https://www.google.com/maps/search/?api=1&amp;query=24.58233104,46.58818715", "View Map")</f>
        <v/>
      </c>
    </row>
    <row r="2414">
      <c r="A2414" t="inlineStr">
        <is>
          <t>ﻤﺴﺎﺠﺩ .</t>
        </is>
      </c>
      <c r="B2414" t="inlineStr">
        <is>
          <t>KFM2020660213530</t>
        </is>
      </c>
      <c r="C2414" t="inlineStr">
        <is>
          <t>الرياض</t>
        </is>
      </c>
      <c r="D2414" t="inlineStr">
        <is>
          <t>كلا الفترتين</t>
        </is>
      </c>
      <c r="E2414" t="n">
        <v>1272</v>
      </c>
      <c r="F2414" t="b">
        <v>1</v>
      </c>
      <c r="G2414">
        <f>HYPERLINK("https://www.google.com/maps/search/?api=1&amp;query=24.82437239,46.59852622", "View Map")</f>
        <v/>
      </c>
    </row>
    <row r="2415">
      <c r="A2415" t="inlineStr">
        <is>
          <t>مسجدالثنيان .</t>
        </is>
      </c>
      <c r="B2415" t="inlineStr">
        <is>
          <t>KFM2020660038653</t>
        </is>
      </c>
      <c r="C2415" t="inlineStr">
        <is>
          <t>الرياض</t>
        </is>
      </c>
      <c r="D2415" t="inlineStr">
        <is>
          <t>كلا الفترتين</t>
        </is>
      </c>
      <c r="E2415" t="n">
        <v>1272</v>
      </c>
      <c r="F2415" t="b">
        <v>0</v>
      </c>
      <c r="G2415">
        <f>HYPERLINK("https://www.google.com/maps/search/?api=1&amp;query=24.63341338,46.68545423", "View Map")</f>
        <v/>
      </c>
    </row>
    <row r="2416">
      <c r="A2416" t="inlineStr">
        <is>
          <t xml:space="preserve">   مسجد دار السلام .</t>
        </is>
      </c>
      <c r="B2416" t="inlineStr">
        <is>
          <t>KFM2020660046036</t>
        </is>
      </c>
      <c r="C2416" t="inlineStr">
        <is>
          <t>الرياض</t>
        </is>
      </c>
      <c r="D2416" t="inlineStr">
        <is>
          <t>كلا الفترتين</t>
        </is>
      </c>
      <c r="E2416" t="n">
        <v>1271</v>
      </c>
      <c r="F2416" t="b">
        <v>0</v>
      </c>
      <c r="G2416">
        <f>HYPERLINK("https://www.google.com/maps/search/?api=1&amp;query=24.69621488,46.81417334", "View Map")</f>
        <v/>
      </c>
    </row>
    <row r="2417">
      <c r="A2417" t="inlineStr">
        <is>
          <t>مسجدالملك  عبدالعزيز .</t>
        </is>
      </c>
      <c r="B2417" t="inlineStr">
        <is>
          <t>KFM2020660025861</t>
        </is>
      </c>
      <c r="C2417" t="inlineStr">
        <is>
          <t>الرياض</t>
        </is>
      </c>
      <c r="D2417" t="inlineStr">
        <is>
          <t>كلا الفترتين</t>
        </is>
      </c>
      <c r="E2417" t="n">
        <v>1271</v>
      </c>
      <c r="F2417" t="b">
        <v>0</v>
      </c>
      <c r="G2417">
        <f>HYPERLINK("https://www.google.com/maps/search/?api=1&amp;query=24.61245219,46.67157611", "View Map")</f>
        <v/>
      </c>
    </row>
    <row r="2418">
      <c r="A2418" t="inlineStr">
        <is>
          <t>مسجد      اسواق      ابن دايل .</t>
        </is>
      </c>
      <c r="B2418" t="inlineStr">
        <is>
          <t>KFM2020660025789</t>
        </is>
      </c>
      <c r="C2418" t="inlineStr">
        <is>
          <t>الرياض</t>
        </is>
      </c>
      <c r="D2418" t="inlineStr">
        <is>
          <t>كلا الفترتين</t>
        </is>
      </c>
      <c r="E2418" t="n">
        <v>1271</v>
      </c>
      <c r="F2418" t="b">
        <v>0</v>
      </c>
      <c r="G2418">
        <f>HYPERLINK("https://www.google.com/maps/search/?api=1&amp;query=24.61547752,46.7062525", "View Map")</f>
        <v/>
      </c>
    </row>
    <row r="2419">
      <c r="A2419" t="inlineStr">
        <is>
          <t xml:space="preserve">   مسجد      عثمان     بن عفان .</t>
        </is>
      </c>
      <c r="B2419" t="inlineStr">
        <is>
          <t>KFM2020660040488</t>
        </is>
      </c>
      <c r="C2419" t="inlineStr">
        <is>
          <t>الرياض</t>
        </is>
      </c>
      <c r="D2419" t="inlineStr">
        <is>
          <t>كلا الفترتين</t>
        </is>
      </c>
      <c r="E2419" t="n">
        <v>1271</v>
      </c>
      <c r="F2419" t="b">
        <v>0</v>
      </c>
      <c r="G2419">
        <f>HYPERLINK("https://www.google.com/maps/search/?api=1&amp;query=24.76587883,46.81075913", "View Map")</f>
        <v/>
      </c>
    </row>
    <row r="2420">
      <c r="A2420" t="inlineStr">
        <is>
          <t xml:space="preserve">   مسجدعبدالله المقرن  مام .</t>
        </is>
      </c>
      <c r="B2420" t="inlineStr">
        <is>
          <t>KFM2020660047092</t>
        </is>
      </c>
      <c r="C2420" t="inlineStr">
        <is>
          <t>الرياض</t>
        </is>
      </c>
      <c r="D2420" t="inlineStr">
        <is>
          <t>كلا الفترتين</t>
        </is>
      </c>
      <c r="E2420" t="n">
        <v>1271</v>
      </c>
      <c r="F2420" t="b">
        <v>0</v>
      </c>
      <c r="G2420">
        <f>HYPERLINK("https://www.google.com/maps/search/?api=1&amp;query=24.77862528,46.83270117", "View Map")</f>
        <v/>
      </c>
    </row>
    <row r="2421">
      <c r="A2421" t="inlineStr">
        <is>
          <t xml:space="preserve">   مسجد المحمديه .</t>
        </is>
      </c>
      <c r="B2421" t="inlineStr">
        <is>
          <t>KFM2020660052997</t>
        </is>
      </c>
      <c r="C2421" t="inlineStr">
        <is>
          <t>الرياض</t>
        </is>
      </c>
      <c r="D2421" t="inlineStr">
        <is>
          <t>كلا الفترتين</t>
        </is>
      </c>
      <c r="E2421" t="n">
        <v>1270</v>
      </c>
      <c r="F2421" t="b">
        <v>0</v>
      </c>
      <c r="G2421">
        <f>HYPERLINK("https://www.google.com/maps/search/?api=1&amp;query=24.7249854,46.65135602", "View Map")</f>
        <v/>
      </c>
    </row>
    <row r="2422">
      <c r="A2422" t="inlineStr">
        <is>
          <t xml:space="preserve">   مسجدجامع حى الزهرة .</t>
        </is>
      </c>
      <c r="B2422" t="inlineStr">
        <is>
          <t>KFM2020660043403</t>
        </is>
      </c>
      <c r="C2422" t="inlineStr">
        <is>
          <t>الرياض</t>
        </is>
      </c>
      <c r="D2422" t="inlineStr">
        <is>
          <t>كلا الفترتين</t>
        </is>
      </c>
      <c r="E2422" t="n">
        <v>1269</v>
      </c>
      <c r="F2422" t="b">
        <v>0</v>
      </c>
      <c r="G2422">
        <f>HYPERLINK("https://www.google.com/maps/search/?api=1&amp;query=24.6705034,46.73703973", "View Map")</f>
        <v/>
      </c>
    </row>
    <row r="2423">
      <c r="A2423" t="inlineStr">
        <is>
          <t>مسجد      .         شلاله .</t>
        </is>
      </c>
      <c r="B2423" t="inlineStr">
        <is>
          <t>KFM2020660098908</t>
        </is>
      </c>
      <c r="C2423" t="inlineStr">
        <is>
          <t>الرياض</t>
        </is>
      </c>
      <c r="D2423" t="inlineStr">
        <is>
          <t>كلا الفترتين</t>
        </is>
      </c>
      <c r="E2423" t="n">
        <v>1269</v>
      </c>
      <c r="F2423" t="b">
        <v>0</v>
      </c>
      <c r="G2423">
        <f>HYPERLINK("https://www.google.com/maps/search/?api=1&amp;query=24.61477591,46.68814778", "View Map")</f>
        <v/>
      </c>
    </row>
    <row r="2424">
      <c r="A2424" t="inlineStr">
        <is>
          <t>مسجد حي الفواز .</t>
        </is>
      </c>
      <c r="B2424" t="inlineStr">
        <is>
          <t>ECC2020810690966</t>
        </is>
      </c>
      <c r="C2424" t="inlineStr">
        <is>
          <t>الرياض</t>
        </is>
      </c>
      <c r="D2424" t="inlineStr">
        <is>
          <t>كلا الفترتين</t>
        </is>
      </c>
      <c r="E2424" t="n">
        <v>1268</v>
      </c>
      <c r="F2424" t="b">
        <v>0</v>
      </c>
      <c r="G2424">
        <f>HYPERLINK("https://www.google.com/maps/search/?api=1&amp;query=24.50292507,46.63061117", "View Map")</f>
        <v/>
      </c>
    </row>
    <row r="2425">
      <c r="A2425" t="inlineStr">
        <is>
          <t xml:space="preserve">   مسجد الفوزان .</t>
        </is>
      </c>
      <c r="B2425" t="inlineStr">
        <is>
          <t>KFM2120660304889</t>
        </is>
      </c>
      <c r="C2425" t="inlineStr">
        <is>
          <t>الرياض</t>
        </is>
      </c>
      <c r="D2425" t="inlineStr">
        <is>
          <t>كلا الفترتين</t>
        </is>
      </c>
      <c r="E2425" t="n">
        <v>1268</v>
      </c>
      <c r="F2425" t="b">
        <v>0</v>
      </c>
      <c r="G2425">
        <f>HYPERLINK("https://www.google.com/maps/search/?api=1&amp;query=24.6258664,46.76179574", "View Map")</f>
        <v/>
      </c>
    </row>
    <row r="2426">
      <c r="A2426" t="inlineStr">
        <is>
          <t xml:space="preserve">   مسجد عبدالله ولوالديه .</t>
        </is>
      </c>
      <c r="B2426" t="inlineStr">
        <is>
          <t>KFM2020766172032</t>
        </is>
      </c>
      <c r="C2426" t="inlineStr">
        <is>
          <t>الرياض</t>
        </is>
      </c>
      <c r="D2426" t="inlineStr">
        <is>
          <t>كلا الفترتين</t>
        </is>
      </c>
      <c r="E2426" t="n">
        <v>1268</v>
      </c>
      <c r="F2426" t="b">
        <v>0</v>
      </c>
      <c r="G2426">
        <f>HYPERLINK("https://www.google.com/maps/search/?api=1&amp;query=24.79019027,46.81340406", "View Map")</f>
        <v/>
      </c>
    </row>
    <row r="2427">
      <c r="A2427" t="inlineStr">
        <is>
          <t xml:space="preserve">   مسجد الأمير فيصل بن مشعل .</t>
        </is>
      </c>
      <c r="B2427" t="inlineStr">
        <is>
          <t>KFM2020660053493</t>
        </is>
      </c>
      <c r="C2427" t="inlineStr">
        <is>
          <t>الرياض</t>
        </is>
      </c>
      <c r="D2427" t="inlineStr">
        <is>
          <t>كلا الفترتين</t>
        </is>
      </c>
      <c r="E2427" t="n">
        <v>1267</v>
      </c>
      <c r="F2427" t="b">
        <v>1</v>
      </c>
      <c r="G2427">
        <f>HYPERLINK("https://www.google.com/maps/search/?api=1&amp;query=24.74345091,46.75898679", "View Map")</f>
        <v/>
      </c>
    </row>
    <row r="2428">
      <c r="A2428" t="inlineStr">
        <is>
          <t>ثامر أحمد الصمعاني .</t>
        </is>
      </c>
      <c r="B2428" t="inlineStr">
        <is>
          <t>KFM2020660229355</t>
        </is>
      </c>
      <c r="C2428" t="inlineStr">
        <is>
          <t>الرياض</t>
        </is>
      </c>
      <c r="D2428" t="inlineStr">
        <is>
          <t>كلا الفترتين</t>
        </is>
      </c>
      <c r="E2428" t="n">
        <v>1267</v>
      </c>
      <c r="F2428" t="b">
        <v>0</v>
      </c>
      <c r="G2428">
        <f>HYPERLINK("https://www.google.com/maps/search/?api=1&amp;query=24.67086237,46.75838885", "View Map")</f>
        <v/>
      </c>
    </row>
    <row r="2429">
      <c r="A2429" t="inlineStr">
        <is>
          <t xml:space="preserve">   مساجد .</t>
        </is>
      </c>
      <c r="B2429" t="inlineStr">
        <is>
          <t>KFM2020660170632</t>
        </is>
      </c>
      <c r="C2429" t="inlineStr">
        <is>
          <t>الرياض</t>
        </is>
      </c>
      <c r="D2429" t="inlineStr">
        <is>
          <t>كلا الفترتين</t>
        </is>
      </c>
      <c r="E2429" t="n">
        <v>1266</v>
      </c>
      <c r="F2429" t="b">
        <v>0</v>
      </c>
      <c r="G2429">
        <f>HYPERLINK("https://www.google.com/maps/search/?api=1&amp;query=24.83698236,46.77368173", "View Map")</f>
        <v/>
      </c>
    </row>
    <row r="2430">
      <c r="A2430" t="inlineStr">
        <is>
          <t>مسجد/حي الشفا .</t>
        </is>
      </c>
      <c r="B2430" t="inlineStr">
        <is>
          <t>KFM2020660152996</t>
        </is>
      </c>
      <c r="C2430" t="inlineStr">
        <is>
          <t>الرياض</t>
        </is>
      </c>
      <c r="D2430" t="inlineStr">
        <is>
          <t>كلا الفترتين</t>
        </is>
      </c>
      <c r="E2430" t="n">
        <v>1264</v>
      </c>
      <c r="F2430" t="b">
        <v>1</v>
      </c>
      <c r="G2430">
        <f>HYPERLINK("https://www.google.com/maps/search/?api=1&amp;query=24.56065423,46.68798093", "View Map")</f>
        <v/>
      </c>
    </row>
    <row r="2431">
      <c r="A2431" t="inlineStr">
        <is>
          <t xml:space="preserve">   مسجد فهد عبدالله العويضه .</t>
        </is>
      </c>
      <c r="B2431" t="inlineStr">
        <is>
          <t>KFM2120660241092</t>
        </is>
      </c>
      <c r="C2431" t="inlineStr">
        <is>
          <t>الرياض</t>
        </is>
      </c>
      <c r="D2431" t="inlineStr">
        <is>
          <t>كلا الفترتين</t>
        </is>
      </c>
      <c r="E2431" t="n">
        <v>1264</v>
      </c>
      <c r="F2431" t="b">
        <v>0</v>
      </c>
      <c r="G2431">
        <f>HYPERLINK("https://www.google.com/maps/search/?api=1&amp;query=24.63008709,46.76001989", "View Map")</f>
        <v/>
      </c>
    </row>
    <row r="2432">
      <c r="A2432" t="inlineStr">
        <is>
          <t xml:space="preserve">   مسجد الغليقة .</t>
        </is>
      </c>
      <c r="B2432" t="inlineStr">
        <is>
          <t>KFM2020660053457</t>
        </is>
      </c>
      <c r="C2432" t="inlineStr">
        <is>
          <t>الرياض</t>
        </is>
      </c>
      <c r="D2432" t="inlineStr">
        <is>
          <t>كلا الفترتين</t>
        </is>
      </c>
      <c r="E2432" t="n">
        <v>1264</v>
      </c>
      <c r="F2432" t="b">
        <v>0</v>
      </c>
      <c r="G2432">
        <f>HYPERLINK("https://www.google.com/maps/search/?api=1&amp;query=24.76985014,46.74216619", "View Map")</f>
        <v/>
      </c>
    </row>
    <row r="2433">
      <c r="A2433" t="inlineStr">
        <is>
          <t>مسجد / عائشة  ام  المؤمنين .</t>
        </is>
      </c>
      <c r="B2433" t="inlineStr">
        <is>
          <t>KFM2020660198526</t>
        </is>
      </c>
      <c r="C2433" t="inlineStr">
        <is>
          <t>الرياض</t>
        </is>
      </c>
      <c r="D2433" t="inlineStr">
        <is>
          <t>كلا الفترتين</t>
        </is>
      </c>
      <c r="E2433" t="n">
        <v>1263</v>
      </c>
      <c r="F2433" t="b">
        <v>0</v>
      </c>
      <c r="G2433">
        <f>HYPERLINK("https://www.google.com/maps/search/?api=1&amp;query=24.56315532,46.71478928", "View Map")</f>
        <v/>
      </c>
    </row>
    <row r="2434">
      <c r="A2434" t="inlineStr">
        <is>
          <t xml:space="preserve">   مسجد السلام .</t>
        </is>
      </c>
      <c r="B2434" t="inlineStr">
        <is>
          <t>KFM2020660045987</t>
        </is>
      </c>
      <c r="C2434" t="inlineStr">
        <is>
          <t>الرياض</t>
        </is>
      </c>
      <c r="D2434" t="inlineStr">
        <is>
          <t>كلا الفترتين</t>
        </is>
      </c>
      <c r="E2434" t="n">
        <v>1262</v>
      </c>
      <c r="F2434" t="b">
        <v>1</v>
      </c>
      <c r="G2434">
        <f>HYPERLINK("https://www.google.com/maps/search/?api=1&amp;query=24.70761085,46.81183148", "View Map")</f>
        <v/>
      </c>
    </row>
    <row r="2435">
      <c r="A2435" t="inlineStr">
        <is>
          <t xml:space="preserve">   مسجد/الاسكان طريق الخرج .</t>
        </is>
      </c>
      <c r="B2435" t="inlineStr">
        <is>
          <t>KFM2020660160845</t>
        </is>
      </c>
      <c r="C2435" t="inlineStr">
        <is>
          <t>الرياض</t>
        </is>
      </c>
      <c r="D2435" t="inlineStr">
        <is>
          <t>كلا الفترتين</t>
        </is>
      </c>
      <c r="E2435" t="n">
        <v>1262</v>
      </c>
      <c r="F2435" t="b">
        <v>0</v>
      </c>
      <c r="G2435">
        <f>HYPERLINK("https://www.google.com/maps/search/?api=1&amp;query=24.56680568,46.84948975", "View Map")</f>
        <v/>
      </c>
    </row>
    <row r="2436">
      <c r="A2436" t="inlineStr">
        <is>
          <t xml:space="preserve">   جامع      الملك     . .</t>
        </is>
      </c>
      <c r="B2436" t="inlineStr">
        <is>
          <t>KFM2020660051174</t>
        </is>
      </c>
      <c r="C2436" t="inlineStr">
        <is>
          <t>الرياض</t>
        </is>
      </c>
      <c r="D2436" t="inlineStr">
        <is>
          <t>كلا الفترتين</t>
        </is>
      </c>
      <c r="E2436" t="n">
        <v>1261</v>
      </c>
      <c r="F2436" t="b">
        <v>0</v>
      </c>
      <c r="G2436">
        <f>HYPERLINK("https://www.google.com/maps/search/?api=1&amp;query=24.688332,46.6885594", "View Map")</f>
        <v/>
      </c>
    </row>
    <row r="2437">
      <c r="A2437" t="inlineStr">
        <is>
          <t xml:space="preserve">   مسجد هياء الشويعر .</t>
        </is>
      </c>
      <c r="B2437" t="inlineStr">
        <is>
          <t>KFM2020660145206</t>
        </is>
      </c>
      <c r="C2437" t="inlineStr">
        <is>
          <t>الرياض</t>
        </is>
      </c>
      <c r="D2437" t="inlineStr">
        <is>
          <t>كلا الفترتين</t>
        </is>
      </c>
      <c r="E2437" t="n">
        <v>1260</v>
      </c>
      <c r="F2437" t="b">
        <v>0</v>
      </c>
      <c r="G2437">
        <f>HYPERLINK("https://www.google.com/maps/search/?api=1&amp;query=24.82874793,46.77754085", "View Map")</f>
        <v/>
      </c>
    </row>
    <row r="2438">
      <c r="A2438" t="inlineStr">
        <is>
          <t xml:space="preserve">   وزارة الشئون الاسلامية والاوقاف .</t>
        </is>
      </c>
      <c r="B2438" t="inlineStr">
        <is>
          <t>KFM2120660262528</t>
        </is>
      </c>
      <c r="C2438" t="inlineStr">
        <is>
          <t>الرياض</t>
        </is>
      </c>
      <c r="D2438" t="inlineStr">
        <is>
          <t>كلا الفترتين</t>
        </is>
      </c>
      <c r="E2438" t="n">
        <v>1260</v>
      </c>
      <c r="F2438" t="b">
        <v>1</v>
      </c>
      <c r="G2438">
        <f>HYPERLINK("https://www.google.com/maps/search/?api=1&amp;query=24.62550515,46.52090561", "View Map")</f>
        <v/>
      </c>
    </row>
    <row r="2439">
      <c r="A2439" t="inlineStr">
        <is>
          <t>ﻤﺴﺎﺠﺩ .</t>
        </is>
      </c>
      <c r="B2439" t="inlineStr">
        <is>
          <t>KFM2020660211371</t>
        </is>
      </c>
      <c r="C2439" t="inlineStr">
        <is>
          <t>الرياض</t>
        </is>
      </c>
      <c r="D2439" t="inlineStr">
        <is>
          <t>كلا الفترتين</t>
        </is>
      </c>
      <c r="E2439" t="n">
        <v>1259</v>
      </c>
      <c r="F2439" t="b">
        <v>1</v>
      </c>
      <c r="G2439">
        <f>HYPERLINK("https://www.google.com/maps/search/?api=1&amp;query=24.61395679,46.50235749", "View Map")</f>
        <v/>
      </c>
    </row>
    <row r="2440">
      <c r="A2440" t="inlineStr">
        <is>
          <t xml:space="preserve">   مسجد حى الملك فهد .</t>
        </is>
      </c>
      <c r="B2440" t="inlineStr">
        <is>
          <t>KFM2020660227073</t>
        </is>
      </c>
      <c r="C2440" t="inlineStr">
        <is>
          <t>الرياض</t>
        </is>
      </c>
      <c r="D2440" t="inlineStr">
        <is>
          <t>كلا الفترتين</t>
        </is>
      </c>
      <c r="E2440" t="n">
        <v>1258</v>
      </c>
      <c r="F2440" t="b">
        <v>0</v>
      </c>
      <c r="G2440">
        <f>HYPERLINK("https://www.google.com/maps/search/?api=1&amp;query=24.74136346,46.66900499", "View Map")</f>
        <v/>
      </c>
    </row>
    <row r="2441">
      <c r="A2441" t="inlineStr">
        <is>
          <t xml:space="preserve">   مسجد      المونسيه .</t>
        </is>
      </c>
      <c r="B2441" t="inlineStr">
        <is>
          <t>KFM2120655004385</t>
        </is>
      </c>
      <c r="C2441" t="inlineStr">
        <is>
          <t>الرياض</t>
        </is>
      </c>
      <c r="D2441" t="inlineStr">
        <is>
          <t>كلا الفترتين</t>
        </is>
      </c>
      <c r="E2441" t="n">
        <v>1258</v>
      </c>
      <c r="F2441" t="b">
        <v>1</v>
      </c>
      <c r="G2441">
        <f>HYPERLINK("https://www.google.com/maps/search/?api=1&amp;query=24.84327773,46.76685246", "View Map")</f>
        <v/>
      </c>
    </row>
    <row r="2442">
      <c r="A2442" t="inlineStr">
        <is>
          <t xml:space="preserve">   جامع حي السعادة .</t>
        </is>
      </c>
      <c r="B2442" t="inlineStr">
        <is>
          <t>KFM2120660251346</t>
        </is>
      </c>
      <c r="C2442" t="inlineStr">
        <is>
          <t>الرياض</t>
        </is>
      </c>
      <c r="D2442" t="inlineStr">
        <is>
          <t>كلا الفترتين</t>
        </is>
      </c>
      <c r="E2442" t="n">
        <v>1257</v>
      </c>
      <c r="F2442" t="b">
        <v>0</v>
      </c>
      <c r="G2442">
        <f>HYPERLINK("https://www.google.com/maps/search/?api=1&amp;query=24.69070115,46.8532452", "View Map")</f>
        <v/>
      </c>
    </row>
    <row r="2443">
      <c r="A2443" t="inlineStr">
        <is>
          <t>ﻤﺴﺎﺠﺩ .</t>
        </is>
      </c>
      <c r="B2443" t="inlineStr">
        <is>
          <t>KFM2020660047331</t>
        </is>
      </c>
      <c r="C2443" t="inlineStr">
        <is>
          <t>الدرعية</t>
        </is>
      </c>
      <c r="D2443" t="inlineStr">
        <is>
          <t>كلا الفترتين</t>
        </is>
      </c>
      <c r="E2443" t="n">
        <v>1257</v>
      </c>
      <c r="F2443" t="b">
        <v>0</v>
      </c>
      <c r="G2443">
        <f>HYPERLINK("https://www.google.com/maps/search/?api=1&amp;query=24.77900361,46.56888038", "View Map")</f>
        <v/>
      </c>
    </row>
    <row r="2444">
      <c r="A2444" t="inlineStr">
        <is>
          <t xml:space="preserve">   مسجد بلال ابن رباح .</t>
        </is>
      </c>
      <c r="B2444" t="inlineStr">
        <is>
          <t>KFM2020660034599</t>
        </is>
      </c>
      <c r="C2444" t="inlineStr">
        <is>
          <t>الرياض</t>
        </is>
      </c>
      <c r="D2444" t="inlineStr">
        <is>
          <t>كلا الفترتين</t>
        </is>
      </c>
      <c r="E2444" t="n">
        <v>1256</v>
      </c>
      <c r="F2444" t="b">
        <v>0</v>
      </c>
      <c r="G2444">
        <f>HYPERLINK("https://www.google.com/maps/search/?api=1&amp;query=24.69207975,46.81154014", "View Map")</f>
        <v/>
      </c>
    </row>
    <row r="2445">
      <c r="A2445" t="inlineStr">
        <is>
          <t xml:space="preserve">   مسجد صالح العليان .</t>
        </is>
      </c>
      <c r="B2445" t="inlineStr">
        <is>
          <t>KFM2020660227076</t>
        </is>
      </c>
      <c r="C2445" t="inlineStr">
        <is>
          <t>الرياض</t>
        </is>
      </c>
      <c r="D2445" t="inlineStr">
        <is>
          <t>كلا الفترتين</t>
        </is>
      </c>
      <c r="E2445" t="n">
        <v>1256</v>
      </c>
      <c r="F2445" t="b">
        <v>1</v>
      </c>
      <c r="G2445">
        <f>HYPERLINK("https://www.google.com/maps/search/?api=1&amp;query=24.73938537,46.66705395", "View Map")</f>
        <v/>
      </c>
    </row>
    <row r="2446">
      <c r="A2446" t="inlineStr">
        <is>
          <t>مساجد .</t>
        </is>
      </c>
      <c r="B2446" t="inlineStr">
        <is>
          <t>SMR2220621001847</t>
        </is>
      </c>
      <c r="C2446" t="inlineStr">
        <is>
          <t>الرياض</t>
        </is>
      </c>
      <c r="D2446" t="inlineStr">
        <is>
          <t>كلا الفترتين</t>
        </is>
      </c>
      <c r="E2446" t="n">
        <v>1256</v>
      </c>
      <c r="F2446" t="b">
        <v>0</v>
      </c>
      <c r="G2446">
        <f>HYPERLINK("https://www.google.com/maps/search/?api=1&amp;query=24.83177614,46.68945504", "View Map")</f>
        <v/>
      </c>
    </row>
    <row r="2447">
      <c r="A2447" t="inlineStr">
        <is>
          <t xml:space="preserve">   مسجد حي النظيم .</t>
        </is>
      </c>
      <c r="B2447" t="inlineStr">
        <is>
          <t>KFM2020660174857</t>
        </is>
      </c>
      <c r="C2447" t="inlineStr">
        <is>
          <t>الرياض</t>
        </is>
      </c>
      <c r="D2447" t="inlineStr">
        <is>
          <t>كلا الفترتين</t>
        </is>
      </c>
      <c r="E2447" t="n">
        <v>1256</v>
      </c>
      <c r="F2447" t="b">
        <v>0</v>
      </c>
      <c r="G2447">
        <f>HYPERLINK("https://www.google.com/maps/search/?api=1&amp;query=24.79511782,46.90296469", "View Map")</f>
        <v/>
      </c>
    </row>
    <row r="2448">
      <c r="A2448" t="inlineStr">
        <is>
          <t xml:space="preserve">   مسجد الفاروق .</t>
        </is>
      </c>
      <c r="B2448" t="inlineStr">
        <is>
          <t>KFM2020660173323</t>
        </is>
      </c>
      <c r="C2448" t="inlineStr">
        <is>
          <t>الرياض</t>
        </is>
      </c>
      <c r="D2448" t="inlineStr">
        <is>
          <t>كلا الفترتين</t>
        </is>
      </c>
      <c r="E2448" t="n">
        <v>1256</v>
      </c>
      <c r="F2448" t="b">
        <v>0</v>
      </c>
      <c r="G2448">
        <f>HYPERLINK("https://www.google.com/maps/search/?api=1&amp;query=24.75415456,46.71229993", "View Map")</f>
        <v/>
      </c>
    </row>
    <row r="2449">
      <c r="A2449" t="inlineStr">
        <is>
          <t xml:space="preserve">   وزارة الشئون الاسلامية والاوقاف .</t>
        </is>
      </c>
      <c r="B2449" t="inlineStr">
        <is>
          <t>KFM2020660188957</t>
        </is>
      </c>
      <c r="C2449" t="inlineStr">
        <is>
          <t>الرياض</t>
        </is>
      </c>
      <c r="D2449" t="inlineStr">
        <is>
          <t>كلا الفترتين</t>
        </is>
      </c>
      <c r="E2449" t="n">
        <v>1256</v>
      </c>
      <c r="F2449" t="b">
        <v>1</v>
      </c>
      <c r="G2449">
        <f>HYPERLINK("https://www.google.com/maps/search/?api=1&amp;query=24.76186,46.71891", "View Map")</f>
        <v/>
      </c>
    </row>
    <row r="2450">
      <c r="A2450" t="inlineStr">
        <is>
          <t>مسجد والدة  الملك  الراحل  سعود .</t>
        </is>
      </c>
      <c r="B2450" t="inlineStr">
        <is>
          <t>KFM2020660054287</t>
        </is>
      </c>
      <c r="C2450" t="inlineStr">
        <is>
          <t>الرياض</t>
        </is>
      </c>
      <c r="D2450" t="inlineStr">
        <is>
          <t>كلا الفترتين</t>
        </is>
      </c>
      <c r="E2450" t="n">
        <v>1256</v>
      </c>
      <c r="F2450" t="b">
        <v>0</v>
      </c>
      <c r="G2450">
        <f>HYPERLINK("https://www.google.com/maps/search/?api=1&amp;query=24.636778,46.701024", "View Map")</f>
        <v/>
      </c>
    </row>
    <row r="2451">
      <c r="A2451" t="inlineStr">
        <is>
          <t>مسجد/ الامير سلمان .</t>
        </is>
      </c>
      <c r="B2451" t="inlineStr">
        <is>
          <t>KFM2020660023516</t>
        </is>
      </c>
      <c r="C2451" t="inlineStr">
        <is>
          <t>الرياض</t>
        </is>
      </c>
      <c r="D2451" t="inlineStr">
        <is>
          <t>كلا الفترتين</t>
        </is>
      </c>
      <c r="E2451" t="n">
        <v>1256</v>
      </c>
      <c r="F2451" t="b">
        <v>1</v>
      </c>
      <c r="G2451">
        <f>HYPERLINK("https://www.google.com/maps/search/?api=1&amp;query=24.61218068,46.69679777", "View Map")</f>
        <v/>
      </c>
    </row>
    <row r="2452">
      <c r="A2452" t="inlineStr">
        <is>
          <t xml:space="preserve">   مسجد  ماجد ضيف الله  الغربي .</t>
        </is>
      </c>
      <c r="B2452" t="inlineStr">
        <is>
          <t>KFM2020660174899</t>
        </is>
      </c>
      <c r="C2452" t="inlineStr">
        <is>
          <t>الرياض</t>
        </is>
      </c>
      <c r="D2452" t="inlineStr">
        <is>
          <t>كلا الفترتين</t>
        </is>
      </c>
      <c r="E2452" t="n">
        <v>1255</v>
      </c>
      <c r="F2452" t="b">
        <v>0</v>
      </c>
      <c r="G2452">
        <f>HYPERLINK("https://www.google.com/maps/search/?api=1&amp;query=24.71496876,46.84993356", "View Map")</f>
        <v/>
      </c>
    </row>
    <row r="2453">
      <c r="A2453" t="inlineStr">
        <is>
          <t>ﻭﺯﺍﺭﺓﺍﻟﺸﺌﻭﻥ ﺍﻻﺴﻼﻤﻴﺓﻭﺍﻻﻭﻗﺎﻑ .</t>
        </is>
      </c>
      <c r="B2453" t="inlineStr">
        <is>
          <t>SMR2220761016208</t>
        </is>
      </c>
      <c r="C2453" t="inlineStr">
        <is>
          <t>الرياض</t>
        </is>
      </c>
      <c r="D2453" t="inlineStr">
        <is>
          <t>كلا الفترتين</t>
        </is>
      </c>
      <c r="E2453" t="n">
        <v>1254</v>
      </c>
      <c r="F2453" t="b">
        <v>0</v>
      </c>
      <c r="G2453">
        <f>HYPERLINK("https://www.google.com/maps/search/?api=1&amp;query=24.55363955,46.6674507", "View Map")</f>
        <v/>
      </c>
    </row>
    <row r="2454">
      <c r="A2454" t="inlineStr">
        <is>
          <t xml:space="preserve">   مسجد الرشيد .</t>
        </is>
      </c>
      <c r="B2454" t="inlineStr">
        <is>
          <t>SMR2020850027473</t>
        </is>
      </c>
      <c r="C2454" t="inlineStr">
        <is>
          <t>الرياض</t>
        </is>
      </c>
      <c r="D2454" t="inlineStr">
        <is>
          <t>كلا الفترتين</t>
        </is>
      </c>
      <c r="E2454" t="n">
        <v>1253</v>
      </c>
      <c r="F2454" t="b">
        <v>1</v>
      </c>
      <c r="G2454">
        <f>HYPERLINK("https://www.google.com/maps/search/?api=1&amp;query=24.8242,46.7614", "View Map")</f>
        <v/>
      </c>
    </row>
    <row r="2455">
      <c r="A2455" t="inlineStr">
        <is>
          <t xml:space="preserve">   مسجدالملزالجديد .</t>
        </is>
      </c>
      <c r="B2455" t="inlineStr">
        <is>
          <t>KFM2020660210792</t>
        </is>
      </c>
      <c r="C2455" t="inlineStr">
        <is>
          <t>الرياض</t>
        </is>
      </c>
      <c r="D2455" t="inlineStr">
        <is>
          <t>كلا الفترتين</t>
        </is>
      </c>
      <c r="E2455" t="n">
        <v>1252</v>
      </c>
      <c r="F2455" t="b">
        <v>1</v>
      </c>
      <c r="G2455">
        <f>HYPERLINK("https://www.google.com/maps/search/?api=1&amp;query=24.65898538,46.73720849", "View Map")</f>
        <v/>
      </c>
    </row>
    <row r="2456">
      <c r="A2456" t="inlineStr">
        <is>
          <t>مسجد      عبدالطيف   جميل .</t>
        </is>
      </c>
      <c r="B2456" t="inlineStr">
        <is>
          <t>KFM2020660025700</t>
        </is>
      </c>
      <c r="C2456" t="inlineStr">
        <is>
          <t>الرياض</t>
        </is>
      </c>
      <c r="D2456" t="inlineStr">
        <is>
          <t>كلا الفترتين</t>
        </is>
      </c>
      <c r="E2456" t="n">
        <v>1252</v>
      </c>
      <c r="F2456" t="b">
        <v>0</v>
      </c>
      <c r="G2456">
        <f>HYPERLINK("https://www.google.com/maps/search/?api=1&amp;query=24.60662201,46.6698177", "View Map")</f>
        <v/>
      </c>
    </row>
    <row r="2457">
      <c r="A2457" t="inlineStr">
        <is>
          <t>ﻤﺴﺎﺠﺩ .</t>
        </is>
      </c>
      <c r="B2457" t="inlineStr">
        <is>
          <t>SMR2220661007625</t>
        </is>
      </c>
      <c r="C2457" t="inlineStr">
        <is>
          <t>الرياض</t>
        </is>
      </c>
      <c r="D2457" t="inlineStr">
        <is>
          <t>كلا الفترتين</t>
        </is>
      </c>
      <c r="E2457" t="n">
        <v>1252</v>
      </c>
      <c r="F2457" t="b">
        <v>1</v>
      </c>
      <c r="G2457">
        <f>HYPERLINK("https://www.google.com/maps/search/?api=1&amp;query=24.74721727,46.62628386", "View Map")</f>
        <v/>
      </c>
    </row>
    <row r="2458">
      <c r="A2458" t="inlineStr">
        <is>
          <t>ﻤﺴﺎﺠﺩ .</t>
        </is>
      </c>
      <c r="B2458" t="inlineStr">
        <is>
          <t>KFM2020660207552</t>
        </is>
      </c>
      <c r="C2458" t="inlineStr">
        <is>
          <t>الرياض</t>
        </is>
      </c>
      <c r="D2458" t="inlineStr">
        <is>
          <t>كلا الفترتين</t>
        </is>
      </c>
      <c r="E2458" t="n">
        <v>1251</v>
      </c>
      <c r="F2458" t="b">
        <v>1</v>
      </c>
      <c r="G2458">
        <f>HYPERLINK("https://www.google.com/maps/search/?api=1&amp;query=24.80385421,46.68183238", "View Map")</f>
        <v/>
      </c>
    </row>
    <row r="2459">
      <c r="A2459" t="inlineStr">
        <is>
          <t xml:space="preserve">   مسجد حي الخليج .</t>
        </is>
      </c>
      <c r="B2459" t="inlineStr">
        <is>
          <t>KFM2020660057200</t>
        </is>
      </c>
      <c r="C2459" t="inlineStr">
        <is>
          <t>الرياض</t>
        </is>
      </c>
      <c r="D2459" t="inlineStr">
        <is>
          <t>كلا الفترتين</t>
        </is>
      </c>
      <c r="E2459" t="n">
        <v>1251</v>
      </c>
      <c r="F2459" t="b">
        <v>1</v>
      </c>
      <c r="G2459">
        <f>HYPERLINK("https://www.google.com/maps/search/?api=1&amp;query=24.76573903,46.79209436", "View Map")</f>
        <v/>
      </c>
    </row>
    <row r="2460">
      <c r="A2460" t="inlineStr">
        <is>
          <t>ﻭﺯﺍﺭﺓﺍﻟﺸﺌﻭﻥ ﺍﻻﺴﻼﻤﻴﺓﻭﺍﻻﻭﻗﺎﻑ .</t>
        </is>
      </c>
      <c r="B2460" t="inlineStr">
        <is>
          <t>SMR2220661007486</t>
        </is>
      </c>
      <c r="C2460" t="inlineStr">
        <is>
          <t>الرياض</t>
        </is>
      </c>
      <c r="D2460" t="inlineStr">
        <is>
          <t>كلا الفترتين</t>
        </is>
      </c>
      <c r="E2460" t="n">
        <v>1249</v>
      </c>
      <c r="F2460" t="b">
        <v>0</v>
      </c>
      <c r="G2460">
        <f>HYPERLINK("https://www.google.com/maps/search/?api=1&amp;query=24.56162455,46.70484907", "View Map")</f>
        <v/>
      </c>
    </row>
    <row r="2461">
      <c r="A2461" t="inlineStr">
        <is>
          <t>مسجد الشبانات .</t>
        </is>
      </c>
      <c r="B2461" t="inlineStr">
        <is>
          <t>KFM2020660136276</t>
        </is>
      </c>
      <c r="C2461" t="inlineStr">
        <is>
          <t>الرياض</t>
        </is>
      </c>
      <c r="D2461" t="inlineStr">
        <is>
          <t>كلا الفترتين</t>
        </is>
      </c>
      <c r="E2461" t="n">
        <v>1249</v>
      </c>
      <c r="F2461" t="b">
        <v>0</v>
      </c>
      <c r="G2461">
        <f>HYPERLINK("https://www.google.com/maps/search/?api=1&amp;query=24.58247189,46.69210319", "View Map")</f>
        <v/>
      </c>
    </row>
    <row r="2462">
      <c r="A2462" t="inlineStr">
        <is>
          <t xml:space="preserve">   مسجد حى الربوة .</t>
        </is>
      </c>
      <c r="B2462" t="inlineStr">
        <is>
          <t>KFM2020660043386</t>
        </is>
      </c>
      <c r="C2462" t="inlineStr">
        <is>
          <t>الرياض</t>
        </is>
      </c>
      <c r="D2462" t="inlineStr">
        <is>
          <t>كلا الفترتين</t>
        </is>
      </c>
      <c r="E2462" t="n">
        <v>1249</v>
      </c>
      <c r="F2462" t="b">
        <v>0</v>
      </c>
      <c r="G2462">
        <f>HYPERLINK("https://www.google.com/maps/search/?api=1&amp;query=24.67966117,46.75848429", "View Map")</f>
        <v/>
      </c>
    </row>
    <row r="2463">
      <c r="A2463" t="inlineStr">
        <is>
          <t>المسجد الموقت فى  المخطط .</t>
        </is>
      </c>
      <c r="B2463" t="inlineStr">
        <is>
          <t>SMR2220661006745</t>
        </is>
      </c>
      <c r="C2463" t="inlineStr">
        <is>
          <t>الرياض</t>
        </is>
      </c>
      <c r="D2463" t="inlineStr">
        <is>
          <t>كلا الفترتين</t>
        </is>
      </c>
      <c r="E2463" t="n">
        <v>1249</v>
      </c>
      <c r="F2463" t="b">
        <v>1</v>
      </c>
      <c r="G2463">
        <f>HYPERLINK("https://www.google.com/maps/search/?api=1&amp;query=24.55615944,46.70645238", "View Map")</f>
        <v/>
      </c>
    </row>
    <row r="2464">
      <c r="A2464" t="inlineStr">
        <is>
          <t xml:space="preserve">   مسجد هيت الثانى .</t>
        </is>
      </c>
      <c r="B2464" t="inlineStr">
        <is>
          <t>MMF2020800211988</t>
        </is>
      </c>
      <c r="C2464" t="inlineStr">
        <is>
          <t>الرياض</t>
        </is>
      </c>
      <c r="D2464" t="inlineStr">
        <is>
          <t>كلا الفترتين</t>
        </is>
      </c>
      <c r="E2464" t="n">
        <v>1248</v>
      </c>
      <c r="F2464" t="b">
        <v>0</v>
      </c>
      <c r="G2464">
        <f>HYPERLINK("https://www.google.com/maps/search/?api=1&amp;query=24.82123323,46.63923618", "View Map")</f>
        <v/>
      </c>
    </row>
    <row r="2465">
      <c r="A2465" t="inlineStr">
        <is>
          <t xml:space="preserve">   مسجد والدة الملك سعود .</t>
        </is>
      </c>
      <c r="B2465" t="inlineStr">
        <is>
          <t>KFM2020660019492</t>
        </is>
      </c>
      <c r="C2465" t="inlineStr">
        <is>
          <t>الرياض</t>
        </is>
      </c>
      <c r="D2465" t="inlineStr">
        <is>
          <t>كلا الفترتين</t>
        </is>
      </c>
      <c r="E2465" t="n">
        <v>1248</v>
      </c>
      <c r="F2465" t="b">
        <v>1</v>
      </c>
      <c r="G2465">
        <f>HYPERLINK("https://www.google.com/maps/search/?api=1&amp;query=24.70920666,46.66952135", "View Map")</f>
        <v/>
      </c>
    </row>
    <row r="2466">
      <c r="A2466" t="inlineStr">
        <is>
          <t xml:space="preserve">   مسجد/ علي بن حمودالعذل .</t>
        </is>
      </c>
      <c r="B2466" t="inlineStr">
        <is>
          <t>KFM2020660213476</t>
        </is>
      </c>
      <c r="C2466" t="inlineStr">
        <is>
          <t>الرياض</t>
        </is>
      </c>
      <c r="D2466" t="inlineStr">
        <is>
          <t>كلا الفترتين</t>
        </is>
      </c>
      <c r="E2466" t="n">
        <v>1247</v>
      </c>
      <c r="F2466" t="b">
        <v>0</v>
      </c>
      <c r="G2466">
        <f>HYPERLINK("https://www.google.com/maps/search/?api=1&amp;query=24.80040579,46.71023779", "View Map")</f>
        <v/>
      </c>
    </row>
    <row r="2467">
      <c r="A2467" t="inlineStr">
        <is>
          <t>وزارة الشئون الا سلا مية والااوقاف .</t>
        </is>
      </c>
      <c r="B2467" t="inlineStr">
        <is>
          <t>KFM2020660057865</t>
        </is>
      </c>
      <c r="C2467" t="inlineStr">
        <is>
          <t>الرياض</t>
        </is>
      </c>
      <c r="D2467" t="inlineStr">
        <is>
          <t>مساءا</t>
        </is>
      </c>
      <c r="E2467" t="n">
        <v>1247</v>
      </c>
      <c r="F2467" t="b">
        <v>1</v>
      </c>
      <c r="G2467">
        <f>HYPERLINK("https://www.google.com/maps/search/?api=1&amp;query=24.59258883,46.53948231", "View Map")</f>
        <v/>
      </c>
    </row>
    <row r="2468">
      <c r="A2468" t="inlineStr">
        <is>
          <t>مسجد العريجا .</t>
        </is>
      </c>
      <c r="B2468" t="inlineStr">
        <is>
          <t>KFM2020660198404</t>
        </is>
      </c>
      <c r="C2468" t="inlineStr">
        <is>
          <t>الرياض</t>
        </is>
      </c>
      <c r="D2468" t="inlineStr">
        <is>
          <t>كلا الفترتين</t>
        </is>
      </c>
      <c r="E2468" t="n">
        <v>1247</v>
      </c>
      <c r="F2468" t="b">
        <v>0</v>
      </c>
      <c r="G2468">
        <f>HYPERLINK("https://www.google.com/maps/search/?api=1&amp;query=24.57248513,46.59060284", "View Map")</f>
        <v/>
      </c>
    </row>
    <row r="2469">
      <c r="A2469" t="inlineStr">
        <is>
          <t>.0 مسجد      ال  كريديس .</t>
        </is>
      </c>
      <c r="B2469" t="inlineStr">
        <is>
          <t>MMF2020800006976</t>
        </is>
      </c>
      <c r="C2469" t="inlineStr">
        <is>
          <t>الرياض</t>
        </is>
      </c>
      <c r="D2469" t="inlineStr">
        <is>
          <t>كلا الفترتين</t>
        </is>
      </c>
      <c r="E2469" t="n">
        <v>1247</v>
      </c>
      <c r="F2469" t="b">
        <v>0</v>
      </c>
      <c r="G2469">
        <f>HYPERLINK("https://www.google.com/maps/search/?api=1&amp;query=24.63808125,46.68975562", "View Map")</f>
        <v/>
      </c>
    </row>
    <row r="2470">
      <c r="A2470" t="inlineStr">
        <is>
          <t xml:space="preserve">   مساجد .</t>
        </is>
      </c>
      <c r="B2470" t="inlineStr">
        <is>
          <t>KFM2020660174869</t>
        </is>
      </c>
      <c r="C2470" t="inlineStr">
        <is>
          <t>الرياض</t>
        </is>
      </c>
      <c r="D2470" t="inlineStr">
        <is>
          <t>كلا الفترتين</t>
        </is>
      </c>
      <c r="E2470" t="n">
        <v>1246</v>
      </c>
      <c r="F2470" t="b">
        <v>0</v>
      </c>
      <c r="G2470">
        <f>HYPERLINK("https://www.google.com/maps/search/?api=1&amp;query=24.82987639,46.75374211", "View Map")</f>
        <v/>
      </c>
    </row>
    <row r="2471">
      <c r="A2471" t="inlineStr">
        <is>
          <t xml:space="preserve">   مسجد جنوب الاستاد الرياضى .</t>
        </is>
      </c>
      <c r="B2471" t="inlineStr">
        <is>
          <t>SMR2420861010238</t>
        </is>
      </c>
      <c r="C2471" t="inlineStr">
        <is>
          <t>الرياض</t>
        </is>
      </c>
      <c r="D2471" t="inlineStr">
        <is>
          <t>كلا الفترتين</t>
        </is>
      </c>
      <c r="E2471" t="n">
        <v>1246</v>
      </c>
      <c r="F2471" t="b">
        <v>0</v>
      </c>
      <c r="G2471">
        <f>HYPERLINK("https://www.google.com/maps/search/?api=1&amp;query=24.6546478,46.74515324", "View Map")</f>
        <v/>
      </c>
    </row>
    <row r="2472">
      <c r="A2472" t="inlineStr">
        <is>
          <t xml:space="preserve">   مسجد غرناطه .</t>
        </is>
      </c>
      <c r="B2472" t="inlineStr">
        <is>
          <t>KFM2020660175800</t>
        </is>
      </c>
      <c r="C2472" t="inlineStr">
        <is>
          <t>الرياض</t>
        </is>
      </c>
      <c r="D2472" t="inlineStr">
        <is>
          <t>كلا الفترتين</t>
        </is>
      </c>
      <c r="E2472" t="n">
        <v>1246</v>
      </c>
      <c r="F2472" t="b">
        <v>0</v>
      </c>
      <c r="G2472">
        <f>HYPERLINK("https://www.google.com/maps/search/?api=1&amp;query=24.79353745,46.73622187", "View Map")</f>
        <v/>
      </c>
    </row>
    <row r="2473">
      <c r="A2473" t="inlineStr">
        <is>
          <t>مسجد الفاروق .</t>
        </is>
      </c>
      <c r="B2473" t="inlineStr">
        <is>
          <t>KFM2020660023467</t>
        </is>
      </c>
      <c r="C2473" t="inlineStr">
        <is>
          <t>الرياض</t>
        </is>
      </c>
      <c r="D2473" t="inlineStr">
        <is>
          <t>كلا الفترتين</t>
        </is>
      </c>
      <c r="E2473" t="n">
        <v>1246</v>
      </c>
      <c r="F2473" t="b">
        <v>0</v>
      </c>
      <c r="G2473">
        <f>HYPERLINK("https://www.google.com/maps/search/?api=1&amp;query=24.59384368,46.64208415", "View Map")</f>
        <v/>
      </c>
    </row>
    <row r="2474">
      <c r="A2474" t="inlineStr">
        <is>
          <t xml:space="preserve">   مسجد منيره تركي التركي .</t>
        </is>
      </c>
      <c r="B2474" t="inlineStr">
        <is>
          <t>KFM2120660255560</t>
        </is>
      </c>
      <c r="C2474" t="inlineStr">
        <is>
          <t>الرياض</t>
        </is>
      </c>
      <c r="D2474" t="inlineStr">
        <is>
          <t>كلا الفترتين</t>
        </is>
      </c>
      <c r="E2474" t="n">
        <v>1246</v>
      </c>
      <c r="F2474" t="b">
        <v>0</v>
      </c>
      <c r="G2474">
        <f>HYPERLINK("https://www.google.com/maps/search/?api=1&amp;query=24.82716125,46.62098908", "View Map")</f>
        <v/>
      </c>
    </row>
    <row r="2475">
      <c r="A2475" t="inlineStr">
        <is>
          <t xml:space="preserve">     مسجدخادم الحرمين الشريفين .</t>
        </is>
      </c>
      <c r="B2475" t="inlineStr">
        <is>
          <t>KFM2020660012496</t>
        </is>
      </c>
      <c r="C2475" t="inlineStr">
        <is>
          <t>الرياض</t>
        </is>
      </c>
      <c r="D2475" t="inlineStr">
        <is>
          <t>كلا الفترتين</t>
        </is>
      </c>
      <c r="E2475" t="n">
        <v>1245</v>
      </c>
      <c r="F2475" t="b">
        <v>0</v>
      </c>
      <c r="G2475">
        <f>HYPERLINK("https://www.google.com/maps/search/?api=1&amp;query=24.80239001,46.85367524", "View Map")</f>
        <v/>
      </c>
    </row>
    <row r="2476">
      <c r="A2476" t="inlineStr">
        <is>
          <t xml:space="preserve">   مسجد حى المصيف .</t>
        </is>
      </c>
      <c r="B2476" t="inlineStr">
        <is>
          <t>KFM2020660173805</t>
        </is>
      </c>
      <c r="C2476" t="inlineStr">
        <is>
          <t>الرياض</t>
        </is>
      </c>
      <c r="D2476" t="inlineStr">
        <is>
          <t>كلا الفترتين</t>
        </is>
      </c>
      <c r="E2476" t="n">
        <v>1244</v>
      </c>
      <c r="F2476" t="b">
        <v>0</v>
      </c>
      <c r="G2476">
        <f>HYPERLINK("https://www.google.com/maps/search/?api=1&amp;query=24.77458959,46.68340349", "View Map")</f>
        <v/>
      </c>
    </row>
    <row r="2477">
      <c r="A2477" t="inlineStr">
        <is>
          <t xml:space="preserve">   مسجد الهزاع. .</t>
        </is>
      </c>
      <c r="B2477" t="inlineStr">
        <is>
          <t>KFM2020660132605</t>
        </is>
      </c>
      <c r="C2477" t="inlineStr">
        <is>
          <t>الرياض</t>
        </is>
      </c>
      <c r="D2477" t="inlineStr">
        <is>
          <t>كلا الفترتين</t>
        </is>
      </c>
      <c r="E2477" t="n">
        <v>1244</v>
      </c>
      <c r="F2477" t="b">
        <v>0</v>
      </c>
      <c r="G2477">
        <f>HYPERLINK("https://www.google.com/maps/search/?api=1&amp;query=24.71511969,46.84495574", "View Map")</f>
        <v/>
      </c>
    </row>
    <row r="2478">
      <c r="A2478" t="inlineStr">
        <is>
          <t xml:space="preserve">   مسجد جوهرة الفوزان .</t>
        </is>
      </c>
      <c r="B2478" t="inlineStr">
        <is>
          <t>KFM2020660213579</t>
        </is>
      </c>
      <c r="C2478" t="inlineStr">
        <is>
          <t>الرياض</t>
        </is>
      </c>
      <c r="D2478" t="inlineStr">
        <is>
          <t>كلا الفترتين</t>
        </is>
      </c>
      <c r="E2478" t="n">
        <v>1244</v>
      </c>
      <c r="F2478" t="b">
        <v>0</v>
      </c>
      <c r="G2478">
        <f>HYPERLINK("https://www.google.com/maps/search/?api=1&amp;query=24.8043107,46.66636311", "View Map")</f>
        <v/>
      </c>
    </row>
    <row r="2479">
      <c r="A2479" t="inlineStr">
        <is>
          <t>مسجد / حمد المغيره .</t>
        </is>
      </c>
      <c r="B2479" t="inlineStr">
        <is>
          <t>KFM2020660039990</t>
        </is>
      </c>
      <c r="C2479" t="inlineStr">
        <is>
          <t>الرياض</t>
        </is>
      </c>
      <c r="D2479" t="inlineStr">
        <is>
          <t>كلا الفترتين</t>
        </is>
      </c>
      <c r="E2479" t="n">
        <v>1242</v>
      </c>
      <c r="F2479" t="b">
        <v>1</v>
      </c>
      <c r="G2479">
        <f>HYPERLINK("https://www.google.com/maps/search/?api=1&amp;query=24.57175114,46.66794553", "View Map")</f>
        <v/>
      </c>
    </row>
    <row r="2480">
      <c r="A2480" t="inlineStr">
        <is>
          <t>.  مسجد      ابن ماجد .</t>
        </is>
      </c>
      <c r="B2480" t="inlineStr">
        <is>
          <t>KFM2020660096738</t>
        </is>
      </c>
      <c r="C2480" t="inlineStr">
        <is>
          <t>الرياض</t>
        </is>
      </c>
      <c r="D2480" t="inlineStr">
        <is>
          <t>كلا الفترتين</t>
        </is>
      </c>
      <c r="E2480" t="n">
        <v>1242</v>
      </c>
      <c r="F2480" t="b">
        <v>1</v>
      </c>
      <c r="G2480">
        <f>HYPERLINK("https://www.google.com/maps/search/?api=1&amp;query=24.5996097,46.68403518", "View Map")</f>
        <v/>
      </c>
    </row>
    <row r="2481">
      <c r="A2481" t="inlineStr">
        <is>
          <t>مسجد مصعب  بن عمير .</t>
        </is>
      </c>
      <c r="B2481" t="inlineStr">
        <is>
          <t>KFM2020660013740</t>
        </is>
      </c>
      <c r="C2481" t="inlineStr">
        <is>
          <t>الرياض</t>
        </is>
      </c>
      <c r="D2481" t="inlineStr">
        <is>
          <t>كلا الفترتين</t>
        </is>
      </c>
      <c r="E2481" t="n">
        <v>1241</v>
      </c>
      <c r="F2481" t="b">
        <v>0</v>
      </c>
      <c r="G2481">
        <f>HYPERLINK("https://www.google.com/maps/search/?api=1&amp;query=24.56420999,46.68005908", "View Map")</f>
        <v/>
      </c>
    </row>
    <row r="2482">
      <c r="A2482" t="inlineStr">
        <is>
          <t xml:space="preserve">   مسجد عبدالعزيز الراجحي .</t>
        </is>
      </c>
      <c r="B2482" t="inlineStr">
        <is>
          <t>KFM2020660190478</t>
        </is>
      </c>
      <c r="C2482" t="inlineStr">
        <is>
          <t>الرياض</t>
        </is>
      </c>
      <c r="D2482" t="inlineStr">
        <is>
          <t>كلا الفترتين</t>
        </is>
      </c>
      <c r="E2482" t="n">
        <v>1239</v>
      </c>
      <c r="F2482" t="b">
        <v>1</v>
      </c>
      <c r="G2482">
        <f>HYPERLINK("https://www.google.com/maps/search/?api=1&amp;query=24.63917976,46.6589951", "View Map")</f>
        <v/>
      </c>
    </row>
    <row r="2483">
      <c r="A2483" t="inlineStr">
        <is>
          <t xml:space="preserve">   مسجد بلال بن رباح .</t>
        </is>
      </c>
      <c r="B2483" t="inlineStr">
        <is>
          <t>KFM2020660056882</t>
        </is>
      </c>
      <c r="C2483" t="inlineStr">
        <is>
          <t>الرياض</t>
        </is>
      </c>
      <c r="D2483" t="inlineStr">
        <is>
          <t>كلا الفترتين</t>
        </is>
      </c>
      <c r="E2483" t="n">
        <v>1239</v>
      </c>
      <c r="F2483" t="b">
        <v>0</v>
      </c>
      <c r="G2483">
        <f>HYPERLINK("https://www.google.com/maps/search/?api=1&amp;query=24.74275208,46.74966629", "View Map")</f>
        <v/>
      </c>
    </row>
    <row r="2484">
      <c r="A2484" t="inlineStr">
        <is>
          <t xml:space="preserve">   المسجد الجامع بالدرعيه .</t>
        </is>
      </c>
      <c r="B2484" t="inlineStr">
        <is>
          <t>KFM2020760048893</t>
        </is>
      </c>
      <c r="C2484" t="inlineStr">
        <is>
          <t>الدرعية</t>
        </is>
      </c>
      <c r="D2484" t="inlineStr">
        <is>
          <t>كلا الفترتين</t>
        </is>
      </c>
      <c r="E2484" t="n">
        <v>1239</v>
      </c>
      <c r="F2484" t="b">
        <v>0</v>
      </c>
      <c r="G2484">
        <f>HYPERLINK("https://www.google.com/maps/search/?api=1&amp;query=24.76524244,46.53854941", "View Map")</f>
        <v/>
      </c>
    </row>
    <row r="2485">
      <c r="A2485" t="inlineStr">
        <is>
          <t>مسجد الامام  على  بن ابى  طالب .</t>
        </is>
      </c>
      <c r="B2485" t="inlineStr">
        <is>
          <t>KFM2020660189453</t>
        </is>
      </c>
      <c r="C2485" t="inlineStr">
        <is>
          <t>الرياض</t>
        </is>
      </c>
      <c r="D2485" t="inlineStr">
        <is>
          <t>كلا الفترتين</t>
        </is>
      </c>
      <c r="E2485" t="n">
        <v>1239</v>
      </c>
      <c r="F2485" t="b">
        <v>0</v>
      </c>
      <c r="G2485">
        <f>HYPERLINK("https://www.google.com/maps/search/?api=1&amp;query=24.54393524,46.70151236", "View Map")</f>
        <v/>
      </c>
    </row>
    <row r="2486">
      <c r="A2486" t="inlineStr">
        <is>
          <t xml:space="preserve">   مسجد بلال بن رباح .</t>
        </is>
      </c>
      <c r="B2486" t="inlineStr">
        <is>
          <t>KFM2020660060127</t>
        </is>
      </c>
      <c r="C2486" t="inlineStr">
        <is>
          <t>الرياض</t>
        </is>
      </c>
      <c r="D2486" t="inlineStr">
        <is>
          <t>كلا الفترتين</t>
        </is>
      </c>
      <c r="E2486" t="n">
        <v>1239</v>
      </c>
      <c r="F2486" t="b">
        <v>0</v>
      </c>
      <c r="G2486">
        <f>HYPERLINK("https://www.google.com/maps/search/?api=1&amp;query=24.81508246,46.88640375", "View Map")</f>
        <v/>
      </c>
    </row>
    <row r="2487">
      <c r="A2487" t="inlineStr">
        <is>
          <t xml:space="preserve">   مسجد عبدالعزيز اليعيش .</t>
        </is>
      </c>
      <c r="B2487" t="inlineStr">
        <is>
          <t>KFM2020660049688</t>
        </is>
      </c>
      <c r="C2487" t="inlineStr">
        <is>
          <t>الرياض</t>
        </is>
      </c>
      <c r="D2487" t="inlineStr">
        <is>
          <t>كلا الفترتين</t>
        </is>
      </c>
      <c r="E2487" t="n">
        <v>1238</v>
      </c>
      <c r="F2487" t="b">
        <v>0</v>
      </c>
      <c r="G2487">
        <f>HYPERLINK("https://www.google.com/maps/search/?api=1&amp;query=24.81552698,46.83827553", "View Map")</f>
        <v/>
      </c>
    </row>
    <row r="2488">
      <c r="A2488" t="inlineStr">
        <is>
          <t>مسجد عبدالرحمن الداخل .</t>
        </is>
      </c>
      <c r="B2488" t="inlineStr">
        <is>
          <t>KFM2020660044980</t>
        </is>
      </c>
      <c r="C2488" t="inlineStr">
        <is>
          <t>الرياض</t>
        </is>
      </c>
      <c r="D2488" t="inlineStr">
        <is>
          <t>كلا الفترتين</t>
        </is>
      </c>
      <c r="E2488" t="n">
        <v>1238</v>
      </c>
      <c r="F2488" t="b">
        <v>1</v>
      </c>
      <c r="G2488">
        <f>HYPERLINK("https://www.google.com/maps/search/?api=1&amp;query=24.56774478,46.65163705", "View Map")</f>
        <v/>
      </c>
    </row>
    <row r="2489">
      <c r="A2489" t="inlineStr">
        <is>
          <t xml:space="preserve">   وزارة     الشئون    (مسجد حي الر .</t>
        </is>
      </c>
      <c r="B2489" t="inlineStr">
        <is>
          <t>KFM2120660272399</t>
        </is>
      </c>
      <c r="C2489" t="inlineStr">
        <is>
          <t>الرياض</t>
        </is>
      </c>
      <c r="D2489" t="inlineStr">
        <is>
          <t>كلا الفترتين</t>
        </is>
      </c>
      <c r="E2489" t="n">
        <v>1238</v>
      </c>
      <c r="F2489" t="b">
        <v>0</v>
      </c>
      <c r="G2489">
        <f>HYPERLINK("https://www.google.com/maps/search/?api=1&amp;query=24.78537893,46.65196584", "View Map")</f>
        <v/>
      </c>
    </row>
    <row r="2490">
      <c r="A2490" t="inlineStr">
        <is>
          <t xml:space="preserve">   مسجد جامع سوق الغنم .</t>
        </is>
      </c>
      <c r="B2490" t="inlineStr">
        <is>
          <t>KFM2120660239141</t>
        </is>
      </c>
      <c r="C2490" t="inlineStr">
        <is>
          <t>الرياض</t>
        </is>
      </c>
      <c r="D2490" t="inlineStr">
        <is>
          <t>كلا الفترتين</t>
        </is>
      </c>
      <c r="E2490" t="n">
        <v>1236</v>
      </c>
      <c r="F2490" t="b">
        <v>0</v>
      </c>
      <c r="G2490">
        <f>HYPERLINK("https://www.google.com/maps/search/?api=1&amp;query=24.58648244,46.74601097", "View Map")</f>
        <v/>
      </c>
    </row>
    <row r="2491">
      <c r="A2491" t="inlineStr">
        <is>
          <t xml:space="preserve">   مسجد   حي   قرطبه .</t>
        </is>
      </c>
      <c r="B2491" t="inlineStr">
        <is>
          <t>KFM2020660046495</t>
        </is>
      </c>
      <c r="C2491" t="inlineStr">
        <is>
          <t>الرياض</t>
        </is>
      </c>
      <c r="D2491" t="inlineStr">
        <is>
          <t>كلا الفترتين</t>
        </is>
      </c>
      <c r="E2491" t="n">
        <v>1236</v>
      </c>
      <c r="F2491" t="b">
        <v>0</v>
      </c>
      <c r="G2491">
        <f>HYPERLINK("https://www.google.com/maps/search/?api=1&amp;query=24.8247873,46.74452647", "View Map")</f>
        <v/>
      </c>
    </row>
    <row r="2492">
      <c r="A2492" t="inlineStr">
        <is>
          <t>ﺍﻭﻗﺎﻑ ﻭﻤﺴﺎﺠﺩ ﺍﻟﻤﺯﺍﺤﻤﻴﻩ .</t>
        </is>
      </c>
      <c r="B2492" t="inlineStr">
        <is>
          <t>SMR2420861002304</t>
        </is>
      </c>
      <c r="C2492" t="inlineStr">
        <is>
          <t>الرياض</t>
        </is>
      </c>
      <c r="D2492" t="inlineStr">
        <is>
          <t>كلا الفترتين</t>
        </is>
      </c>
      <c r="E2492" t="n">
        <v>1235</v>
      </c>
      <c r="F2492" t="b">
        <v>0</v>
      </c>
      <c r="G2492">
        <f>HYPERLINK("https://www.google.com/maps/search/?api=1&amp;query=0.0,0.0", "View Map")</f>
        <v/>
      </c>
    </row>
    <row r="2493">
      <c r="A2493" t="inlineStr">
        <is>
          <t>مسجد حي العريجاء الغربي .</t>
        </is>
      </c>
      <c r="B2493" t="inlineStr">
        <is>
          <t>KFM2020660174997</t>
        </is>
      </c>
      <c r="C2493" t="inlineStr">
        <is>
          <t>الرياض</t>
        </is>
      </c>
      <c r="D2493" t="inlineStr">
        <is>
          <t>كلا الفترتين</t>
        </is>
      </c>
      <c r="E2493" t="n">
        <v>1235</v>
      </c>
      <c r="F2493" t="b">
        <v>0</v>
      </c>
      <c r="G2493">
        <f>HYPERLINK("https://www.google.com/maps/search/?api=1&amp;query=24.59826043,46.58311059", "View Map")</f>
        <v/>
      </c>
    </row>
    <row r="2494">
      <c r="A2494" t="inlineStr">
        <is>
          <t xml:space="preserve">   جامع حي الخليج .</t>
        </is>
      </c>
      <c r="B2494" t="inlineStr">
        <is>
          <t>KFM2020660060957</t>
        </is>
      </c>
      <c r="C2494" t="inlineStr">
        <is>
          <t>الرياض</t>
        </is>
      </c>
      <c r="D2494" t="inlineStr">
        <is>
          <t>كلا الفترتين</t>
        </is>
      </c>
      <c r="E2494" t="n">
        <v>1235</v>
      </c>
      <c r="F2494" t="b">
        <v>0</v>
      </c>
      <c r="G2494">
        <f>HYPERLINK("https://www.google.com/maps/search/?api=1&amp;query=24.78675189,46.81888122", "View Map")</f>
        <v/>
      </c>
    </row>
    <row r="2495">
      <c r="A2495" t="inlineStr">
        <is>
          <t>مسجد حى  بدر .</t>
        </is>
      </c>
      <c r="B2495" t="inlineStr">
        <is>
          <t>KFM2020660191204</t>
        </is>
      </c>
      <c r="C2495" t="inlineStr">
        <is>
          <t>الرياض</t>
        </is>
      </c>
      <c r="D2495" t="inlineStr">
        <is>
          <t>كلا الفترتين</t>
        </is>
      </c>
      <c r="E2495" t="n">
        <v>1235</v>
      </c>
      <c r="F2495" t="b">
        <v>0</v>
      </c>
      <c r="G2495">
        <f>HYPERLINK("https://www.google.com/maps/search/?api=1&amp;query=24.54186146,46.69824246", "View Map")</f>
        <v/>
      </c>
    </row>
    <row r="2496">
      <c r="A2496" t="inlineStr">
        <is>
          <t xml:space="preserve">   مسجد حي الجنادرية .</t>
        </is>
      </c>
      <c r="B2496" t="inlineStr">
        <is>
          <t>KFM2020660190957</t>
        </is>
      </c>
      <c r="C2496" t="inlineStr">
        <is>
          <t>الرياض</t>
        </is>
      </c>
      <c r="D2496" t="inlineStr">
        <is>
          <t>كلا الفترتين</t>
        </is>
      </c>
      <c r="E2496" t="n">
        <v>1235</v>
      </c>
      <c r="F2496" t="b">
        <v>0</v>
      </c>
      <c r="G2496">
        <f>HYPERLINK("https://www.google.com/maps/search/?api=1&amp;query=24.8050507,46.86419857", "View Map")</f>
        <v/>
      </c>
    </row>
    <row r="2497">
      <c r="A2497" t="inlineStr">
        <is>
          <t>مسجد      الموسى .</t>
        </is>
      </c>
      <c r="B2497" t="inlineStr">
        <is>
          <t>KFM2020660202585</t>
        </is>
      </c>
      <c r="C2497" t="inlineStr">
        <is>
          <t>الرياض</t>
        </is>
      </c>
      <c r="D2497" t="inlineStr">
        <is>
          <t>كلا الفترتين</t>
        </is>
      </c>
      <c r="E2497" t="n">
        <v>1234</v>
      </c>
      <c r="F2497" t="b">
        <v>0</v>
      </c>
      <c r="G2497">
        <f>HYPERLINK("https://www.google.com/maps/search/?api=1&amp;query=24.58117468,46.73653156", "View Map")</f>
        <v/>
      </c>
    </row>
    <row r="2498">
      <c r="A2498" t="inlineStr">
        <is>
          <t xml:space="preserve">   مسجد      احمد      الحصين .</t>
        </is>
      </c>
      <c r="B2498" t="inlineStr">
        <is>
          <t>KFM2020660170647</t>
        </is>
      </c>
      <c r="C2498" t="inlineStr">
        <is>
          <t>الرياض</t>
        </is>
      </c>
      <c r="D2498" t="inlineStr">
        <is>
          <t>كلا الفترتين</t>
        </is>
      </c>
      <c r="E2498" t="n">
        <v>1234</v>
      </c>
      <c r="F2498" t="b">
        <v>0</v>
      </c>
      <c r="G2498">
        <f>HYPERLINK("https://www.google.com/maps/search/?api=1&amp;query=24.83185183,46.75088176", "View Map")</f>
        <v/>
      </c>
    </row>
    <row r="2499">
      <c r="A2499" t="inlineStr">
        <is>
          <t>جامع ساره  الفواز .</t>
        </is>
      </c>
      <c r="B2499" t="inlineStr">
        <is>
          <t>KFM2020660199516</t>
        </is>
      </c>
      <c r="C2499" t="inlineStr">
        <is>
          <t>الرياض</t>
        </is>
      </c>
      <c r="D2499" t="inlineStr">
        <is>
          <t>كلا الفترتين</t>
        </is>
      </c>
      <c r="E2499" t="n">
        <v>1233</v>
      </c>
      <c r="F2499" t="b">
        <v>0</v>
      </c>
      <c r="G2499">
        <f>HYPERLINK("https://www.google.com/maps/search/?api=1&amp;query=24.54567425,46.67219982", "View Map")</f>
        <v/>
      </c>
    </row>
    <row r="2500">
      <c r="A2500" t="inlineStr">
        <is>
          <t xml:space="preserve">   مسجد المنصورة .</t>
        </is>
      </c>
      <c r="B2500" t="inlineStr">
        <is>
          <t>KFM2120660248189</t>
        </is>
      </c>
      <c r="C2500" t="inlineStr">
        <is>
          <t>الرياض</t>
        </is>
      </c>
      <c r="D2500" t="inlineStr">
        <is>
          <t>كلا الفترتين</t>
        </is>
      </c>
      <c r="E2500" t="n">
        <v>1232</v>
      </c>
      <c r="F2500" t="b">
        <v>0</v>
      </c>
      <c r="G2500">
        <f>HYPERLINK("https://www.google.com/maps/search/?api=1&amp;query=24.61201695,46.76081118", "View Map")</f>
        <v/>
      </c>
    </row>
    <row r="2501">
      <c r="A2501" t="inlineStr">
        <is>
          <t xml:space="preserve">   مسجد روضة الصالحين .</t>
        </is>
      </c>
      <c r="B2501" t="inlineStr">
        <is>
          <t>KFM2120660249325</t>
        </is>
      </c>
      <c r="C2501" t="inlineStr">
        <is>
          <t>الرياض</t>
        </is>
      </c>
      <c r="D2501" t="inlineStr">
        <is>
          <t>كلا الفترتين</t>
        </is>
      </c>
      <c r="E2501" t="n">
        <v>1232</v>
      </c>
      <c r="F2501" t="b">
        <v>0</v>
      </c>
      <c r="G2501">
        <f>HYPERLINK("https://www.google.com/maps/search/?api=1&amp;query=24.67307022,46.78202841", "View Map")</f>
        <v/>
      </c>
    </row>
    <row r="2502">
      <c r="A2502" t="inlineStr">
        <is>
          <t xml:space="preserve">   وزارة الشئون الاسلاميه مسجد المقيط .</t>
        </is>
      </c>
      <c r="B2502" t="inlineStr">
        <is>
          <t>KFM2120660262374</t>
        </is>
      </c>
      <c r="C2502" t="inlineStr">
        <is>
          <t>الرياض</t>
        </is>
      </c>
      <c r="D2502" t="inlineStr">
        <is>
          <t>كلا الفترتين</t>
        </is>
      </c>
      <c r="E2502" t="n">
        <v>1232</v>
      </c>
      <c r="F2502" t="b">
        <v>1</v>
      </c>
      <c r="G2502">
        <f>HYPERLINK("https://www.google.com/maps/search/?api=1&amp;query=24.65746489,46.82236998", "View Map")</f>
        <v/>
      </c>
    </row>
    <row r="2503">
      <c r="A2503" t="inlineStr">
        <is>
          <t>مسجد حله  ال  عقيل .</t>
        </is>
      </c>
      <c r="B2503" t="inlineStr">
        <is>
          <t>KFM2020660202646</t>
        </is>
      </c>
      <c r="C2503" t="inlineStr">
        <is>
          <t>الرياض</t>
        </is>
      </c>
      <c r="D2503" t="inlineStr">
        <is>
          <t>كلا الفترتين</t>
        </is>
      </c>
      <c r="E2503" t="n">
        <v>1231</v>
      </c>
      <c r="F2503" t="b">
        <v>0</v>
      </c>
      <c r="G2503">
        <f>HYPERLINK("https://www.google.com/maps/search/?api=1&amp;query=24.62077793,46.72050534", "View Map")</f>
        <v/>
      </c>
    </row>
    <row r="2504">
      <c r="A2504" t="inlineStr">
        <is>
          <t xml:space="preserve">   مسجد شرق الاسكان .</t>
        </is>
      </c>
      <c r="B2504" t="inlineStr">
        <is>
          <t>KFM2020660224474</t>
        </is>
      </c>
      <c r="C2504" t="inlineStr">
        <is>
          <t>الرياض</t>
        </is>
      </c>
      <c r="D2504" t="inlineStr">
        <is>
          <t>كلا الفترتين</t>
        </is>
      </c>
      <c r="E2504" t="n">
        <v>1230</v>
      </c>
      <c r="F2504" t="b">
        <v>1</v>
      </c>
      <c r="G2504">
        <f>HYPERLINK("https://www.google.com/maps/search/?api=1&amp;query=24.68219712,46.70444767", "View Map")</f>
        <v/>
      </c>
    </row>
    <row r="2505">
      <c r="A2505" t="inlineStr">
        <is>
          <t xml:space="preserve">   مسجدحي التعاون وسكن الامام والمؤذ .</t>
        </is>
      </c>
      <c r="B2505" t="inlineStr">
        <is>
          <t>KFM2020660167464</t>
        </is>
      </c>
      <c r="C2505" t="inlineStr">
        <is>
          <t>الرياض</t>
        </is>
      </c>
      <c r="D2505" t="inlineStr">
        <is>
          <t>صباحا</t>
        </is>
      </c>
      <c r="E2505" t="n">
        <v>1230</v>
      </c>
      <c r="F2505" t="b">
        <v>0</v>
      </c>
      <c r="G2505">
        <f>HYPERLINK("https://www.google.com/maps/search/?api=1&amp;query=24.77880073,46.70693998", "View Map")</f>
        <v/>
      </c>
    </row>
    <row r="2506">
      <c r="A2506" t="inlineStr">
        <is>
          <t xml:space="preserve">   مسجد التوحيد .</t>
        </is>
      </c>
      <c r="B2506" t="inlineStr">
        <is>
          <t>KFM2020660042054</t>
        </is>
      </c>
      <c r="C2506" t="inlineStr">
        <is>
          <t>الرياض</t>
        </is>
      </c>
      <c r="D2506" t="inlineStr">
        <is>
          <t>كلا الفترتين</t>
        </is>
      </c>
      <c r="E2506" t="n">
        <v>1229</v>
      </c>
      <c r="F2506" t="b">
        <v>0</v>
      </c>
      <c r="G2506">
        <f>HYPERLINK("https://www.google.com/maps/search/?api=1&amp;query=24.70982637,46.82888247", "View Map")</f>
        <v/>
      </c>
    </row>
    <row r="2507">
      <c r="A2507" t="inlineStr">
        <is>
          <t>ﻭﺯﺍﺭﺓﺍﻟﺸﺌﻭﻥ ﺍﻻﺴﻼﻤﻴﺓﻭﺍﻻﻭﻗﺎﻑ .</t>
        </is>
      </c>
      <c r="B2507" t="inlineStr">
        <is>
          <t>KFM2020660175013</t>
        </is>
      </c>
      <c r="C2507" t="inlineStr">
        <is>
          <t>الرياض</t>
        </is>
      </c>
      <c r="D2507" t="inlineStr">
        <is>
          <t>كلا الفترتين</t>
        </is>
      </c>
      <c r="E2507" t="n">
        <v>1229</v>
      </c>
      <c r="F2507" t="b">
        <v>0</v>
      </c>
      <c r="G2507">
        <f>HYPERLINK("https://www.google.com/maps/search/?api=1&amp;query=24.4853788,46.62547786", "View Map")</f>
        <v/>
      </c>
    </row>
    <row r="2508">
      <c r="A2508" t="inlineStr">
        <is>
          <t xml:space="preserve">   جامع الغرابى .</t>
        </is>
      </c>
      <c r="B2508" t="inlineStr">
        <is>
          <t>KFM2120660246648</t>
        </is>
      </c>
      <c r="C2508" t="inlineStr">
        <is>
          <t>الرياض</t>
        </is>
      </c>
      <c r="D2508" t="inlineStr">
        <is>
          <t>كلا الفترتين</t>
        </is>
      </c>
      <c r="E2508" t="n">
        <v>1229</v>
      </c>
      <c r="F2508" t="b">
        <v>0</v>
      </c>
      <c r="G2508">
        <f>HYPERLINK("https://www.google.com/maps/search/?api=1&amp;query=24.64161127,46.71922078", "View Map")</f>
        <v/>
      </c>
    </row>
    <row r="2509">
      <c r="A2509" t="inlineStr">
        <is>
          <t xml:space="preserve">   مسجدالهداية .</t>
        </is>
      </c>
      <c r="B2509" t="inlineStr">
        <is>
          <t>KFM2120660270273</t>
        </is>
      </c>
      <c r="C2509" t="inlineStr">
        <is>
          <t>الرياض</t>
        </is>
      </c>
      <c r="D2509" t="inlineStr">
        <is>
          <t>كلا الفترتين</t>
        </is>
      </c>
      <c r="E2509" t="n">
        <v>1229</v>
      </c>
      <c r="F2509" t="b">
        <v>1</v>
      </c>
      <c r="G2509">
        <f>HYPERLINK("https://www.google.com/maps/search/?api=1&amp;query=24.6782855,46.81130859", "View Map")</f>
        <v/>
      </c>
    </row>
    <row r="2510">
      <c r="A2510" t="inlineStr">
        <is>
          <t xml:space="preserve">   مسجد ابوخليل .</t>
        </is>
      </c>
      <c r="B2510" t="inlineStr">
        <is>
          <t>KFM2120660247492</t>
        </is>
      </c>
      <c r="C2510" t="inlineStr">
        <is>
          <t>الرياض</t>
        </is>
      </c>
      <c r="D2510" t="inlineStr">
        <is>
          <t>كلا الفترتين</t>
        </is>
      </c>
      <c r="E2510" t="n">
        <v>1228</v>
      </c>
      <c r="F2510" t="b">
        <v>0</v>
      </c>
      <c r="G2510">
        <f>HYPERLINK("https://www.google.com/maps/search/?api=1&amp;query=24.64723694,46.80699797", "View Map")</f>
        <v/>
      </c>
    </row>
    <row r="2511">
      <c r="A2511" t="inlineStr">
        <is>
          <t>وزارة الشئون الا سلا مية والااوقاف .</t>
        </is>
      </c>
      <c r="B2511" t="inlineStr">
        <is>
          <t>KFM2020660115710</t>
        </is>
      </c>
      <c r="C2511" t="inlineStr">
        <is>
          <t>الرياض</t>
        </is>
      </c>
      <c r="D2511" t="inlineStr">
        <is>
          <t>كلا الفترتين</t>
        </is>
      </c>
      <c r="E2511" t="n">
        <v>1228</v>
      </c>
      <c r="F2511" t="b">
        <v>0</v>
      </c>
      <c r="G2511">
        <f>HYPERLINK("https://www.google.com/maps/search/?api=1&amp;query=24.51572816,46.66250828", "View Map")</f>
        <v/>
      </c>
    </row>
    <row r="2512">
      <c r="A2512" t="inlineStr">
        <is>
          <t>ﻤﺴﺎﺠﺩ .</t>
        </is>
      </c>
      <c r="B2512" t="inlineStr">
        <is>
          <t>KFM2020660203015</t>
        </is>
      </c>
      <c r="C2512" t="inlineStr">
        <is>
          <t>الرياض</t>
        </is>
      </c>
      <c r="D2512" t="inlineStr">
        <is>
          <t>كلا الفترتين</t>
        </is>
      </c>
      <c r="E2512" t="n">
        <v>1228</v>
      </c>
      <c r="F2512" t="b">
        <v>0</v>
      </c>
      <c r="G2512">
        <f>HYPERLINK("https://www.google.com/maps/search/?api=1&amp;query=24.60732311,46.50291254", "View Map")</f>
        <v/>
      </c>
    </row>
    <row r="2513">
      <c r="A2513" t="inlineStr">
        <is>
          <t>مسجد      حي    الشفاء .</t>
        </is>
      </c>
      <c r="B2513" t="inlineStr">
        <is>
          <t>KFM2020660045030</t>
        </is>
      </c>
      <c r="C2513" t="inlineStr">
        <is>
          <t>الرياض</t>
        </is>
      </c>
      <c r="D2513" t="inlineStr">
        <is>
          <t>كلا الفترتين</t>
        </is>
      </c>
      <c r="E2513" t="n">
        <v>1227</v>
      </c>
      <c r="F2513" t="b">
        <v>0</v>
      </c>
      <c r="G2513">
        <f>HYPERLINK("https://www.google.com/maps/search/?api=1&amp;query=24.55963634,46.71337314", "View Map")</f>
        <v/>
      </c>
    </row>
    <row r="2514">
      <c r="A2514" t="inlineStr">
        <is>
          <t xml:space="preserve">   مسجد حي النظيم .</t>
        </is>
      </c>
      <c r="B2514" t="inlineStr">
        <is>
          <t>KFM2020660174750</t>
        </is>
      </c>
      <c r="C2514" t="inlineStr">
        <is>
          <t>الرياض</t>
        </is>
      </c>
      <c r="D2514" t="inlineStr">
        <is>
          <t>كلا الفترتين</t>
        </is>
      </c>
      <c r="E2514" t="n">
        <v>1227</v>
      </c>
      <c r="F2514" t="b">
        <v>0</v>
      </c>
      <c r="G2514">
        <f>HYPERLINK("https://www.google.com/maps/search/?api=1&amp;query=24.80415947,46.89831973", "View Map")</f>
        <v/>
      </c>
    </row>
    <row r="2515">
      <c r="A2515" t="inlineStr">
        <is>
          <t xml:space="preserve">   وزارة     الشئون    والاوقاف .</t>
        </is>
      </c>
      <c r="B2515" t="inlineStr">
        <is>
          <t>KFM2020660190489</t>
        </is>
      </c>
      <c r="C2515" t="inlineStr">
        <is>
          <t>الرياض</t>
        </is>
      </c>
      <c r="D2515" t="inlineStr">
        <is>
          <t>كلا الفترتين</t>
        </is>
      </c>
      <c r="E2515" t="n">
        <v>1227</v>
      </c>
      <c r="F2515" t="b">
        <v>0</v>
      </c>
      <c r="G2515">
        <f>HYPERLINK("https://www.google.com/maps/search/?api=1&amp;query=24.82214281,46.63325997", "View Map")</f>
        <v/>
      </c>
    </row>
    <row r="2516">
      <c r="A2516" t="inlineStr">
        <is>
          <t xml:space="preserve">           مسجد   حي   المروج .</t>
        </is>
      </c>
      <c r="B2516" t="inlineStr">
        <is>
          <t>KFM2020660173637</t>
        </is>
      </c>
      <c r="C2516" t="inlineStr">
        <is>
          <t>الرياض</t>
        </is>
      </c>
      <c r="D2516" t="inlineStr">
        <is>
          <t>كلا الفترتين</t>
        </is>
      </c>
      <c r="E2516" t="n">
        <v>1226</v>
      </c>
      <c r="F2516" t="b">
        <v>0</v>
      </c>
      <c r="G2516">
        <f>HYPERLINK("https://www.google.com/maps/search/?api=1&amp;query=24.7587323,46.65901776", "View Map")</f>
        <v/>
      </c>
    </row>
    <row r="2517">
      <c r="A2517" t="inlineStr">
        <is>
          <t xml:space="preserve">   مسجد حي القدس .</t>
        </is>
      </c>
      <c r="B2517" t="inlineStr">
        <is>
          <t>KFM2020660058529</t>
        </is>
      </c>
      <c r="C2517" t="inlineStr">
        <is>
          <t>الرياض</t>
        </is>
      </c>
      <c r="D2517" t="inlineStr">
        <is>
          <t>كلا الفترتين</t>
        </is>
      </c>
      <c r="E2517" t="n">
        <v>1226</v>
      </c>
      <c r="F2517" t="b">
        <v>0</v>
      </c>
      <c r="G2517">
        <f>HYPERLINK("https://www.google.com/maps/search/?api=1&amp;query=24.73861982,46.75275256", "View Map")</f>
        <v/>
      </c>
    </row>
    <row r="2518">
      <c r="A2518" t="inlineStr">
        <is>
          <t xml:space="preserve">   مسجد منيره العبدالكريم .</t>
        </is>
      </c>
      <c r="B2518" t="inlineStr">
        <is>
          <t>KFM2120660281770</t>
        </is>
      </c>
      <c r="C2518" t="inlineStr">
        <is>
          <t>الرياض</t>
        </is>
      </c>
      <c r="D2518" t="inlineStr">
        <is>
          <t>كلا الفترتين</t>
        </is>
      </c>
      <c r="E2518" t="n">
        <v>1226</v>
      </c>
      <c r="F2518" t="b">
        <v>0</v>
      </c>
      <c r="G2518">
        <f>HYPERLINK("https://www.google.com/maps/search/?api=1&amp;query=24.67861345,46.78768907", "View Map")</f>
        <v/>
      </c>
    </row>
    <row r="2519">
      <c r="A2519" t="inlineStr">
        <is>
          <t>ﻤﺴﺎﺠﺩ .</t>
        </is>
      </c>
      <c r="B2519" t="inlineStr">
        <is>
          <t>MMF2420601015549</t>
        </is>
      </c>
      <c r="C2519" t="inlineStr">
        <is>
          <t>الرياض</t>
        </is>
      </c>
      <c r="D2519" t="inlineStr">
        <is>
          <t>كلا الفترتين</t>
        </is>
      </c>
      <c r="E2519" t="n">
        <v>1226</v>
      </c>
      <c r="F2519" t="b">
        <v>1</v>
      </c>
      <c r="G2519">
        <f>HYPERLINK("https://www.google.com/maps/search/?api=1&amp;query=24.85169586,46.79771996", "View Map")</f>
        <v/>
      </c>
    </row>
    <row r="2520">
      <c r="A2520" t="inlineStr">
        <is>
          <t xml:space="preserve">   مسجدسعودالكبير .</t>
        </is>
      </c>
      <c r="B2520" t="inlineStr">
        <is>
          <t>KFM2020660047751</t>
        </is>
      </c>
      <c r="C2520" t="inlineStr">
        <is>
          <t>الرياض</t>
        </is>
      </c>
      <c r="D2520" t="inlineStr">
        <is>
          <t>كلا الفترتين</t>
        </is>
      </c>
      <c r="E2520" t="n">
        <v>1226</v>
      </c>
      <c r="F2520" t="b">
        <v>1</v>
      </c>
      <c r="G2520">
        <f>HYPERLINK("https://www.google.com/maps/search/?api=1&amp;query=24.64139843,46.72323201", "View Map")</f>
        <v/>
      </c>
    </row>
    <row r="2521">
      <c r="A2521" t="inlineStr">
        <is>
          <t xml:space="preserve">   مسجد شيخ الاسلام ابن تيميه .</t>
        </is>
      </c>
      <c r="B2521" t="inlineStr">
        <is>
          <t>KFM2120660299096</t>
        </is>
      </c>
      <c r="C2521" t="inlineStr">
        <is>
          <t>الرياض</t>
        </is>
      </c>
      <c r="D2521" t="inlineStr">
        <is>
          <t>كلا الفترتين</t>
        </is>
      </c>
      <c r="E2521" t="n">
        <v>1225</v>
      </c>
      <c r="F2521" t="b">
        <v>0</v>
      </c>
      <c r="G2521">
        <f>HYPERLINK("https://www.google.com/maps/search/?api=1&amp;query=24.62239097,46.74077855", "View Map")</f>
        <v/>
      </c>
    </row>
    <row r="2522">
      <c r="A2522" t="inlineStr">
        <is>
          <t xml:space="preserve">   مسجد مصعب بن عمير .</t>
        </is>
      </c>
      <c r="B2522" t="inlineStr">
        <is>
          <t>KFM2120660304641</t>
        </is>
      </c>
      <c r="C2522" t="inlineStr">
        <is>
          <t>الرياض</t>
        </is>
      </c>
      <c r="D2522" t="inlineStr">
        <is>
          <t>كلا الفترتين</t>
        </is>
      </c>
      <c r="E2522" t="n">
        <v>1225</v>
      </c>
      <c r="F2522" t="b">
        <v>0</v>
      </c>
      <c r="G2522">
        <f>HYPERLINK("https://www.google.com/maps/search/?api=1&amp;query=24.60294939,46.74625428", "View Map")</f>
        <v/>
      </c>
    </row>
    <row r="2523">
      <c r="A2523" t="inlineStr">
        <is>
          <t xml:space="preserve">   مسجد معاويه بن أبي سفيان .</t>
        </is>
      </c>
      <c r="B2523" t="inlineStr">
        <is>
          <t>KFM2020766160194</t>
        </is>
      </c>
      <c r="C2523" t="inlineStr">
        <is>
          <t>الرياض</t>
        </is>
      </c>
      <c r="D2523" t="inlineStr">
        <is>
          <t>كلا الفترتين</t>
        </is>
      </c>
      <c r="E2523" t="n">
        <v>1224</v>
      </c>
      <c r="F2523" t="b">
        <v>1</v>
      </c>
      <c r="G2523">
        <f>HYPERLINK("https://www.google.com/maps/search/?api=1&amp;query=24.73463634,46.77801906", "View Map")</f>
        <v/>
      </c>
    </row>
    <row r="2524">
      <c r="A2524" t="inlineStr">
        <is>
          <t xml:space="preserve">   مسجد العباس  بن عبدالمطلب .</t>
        </is>
      </c>
      <c r="B2524" t="inlineStr">
        <is>
          <t>KFM2020660191055</t>
        </is>
      </c>
      <c r="C2524" t="inlineStr">
        <is>
          <t>الرياض</t>
        </is>
      </c>
      <c r="D2524" t="inlineStr">
        <is>
          <t>كلا الفترتين</t>
        </is>
      </c>
      <c r="E2524" t="n">
        <v>1223</v>
      </c>
      <c r="F2524" t="b">
        <v>1</v>
      </c>
      <c r="G2524">
        <f>HYPERLINK("https://www.google.com/maps/search/?api=1&amp;query=24.7878944,46.80593822", "View Map")</f>
        <v/>
      </c>
    </row>
    <row r="2525">
      <c r="A2525" t="inlineStr">
        <is>
          <t>ﻤﺴﺎﺠﺩ .</t>
        </is>
      </c>
      <c r="B2525" t="inlineStr">
        <is>
          <t>KFM2020660031264</t>
        </is>
      </c>
      <c r="C2525" t="inlineStr">
        <is>
          <t>الرياض</t>
        </is>
      </c>
      <c r="D2525" t="inlineStr">
        <is>
          <t>كلا الفترتين</t>
        </is>
      </c>
      <c r="E2525" t="n">
        <v>1223</v>
      </c>
      <c r="F2525" t="b">
        <v>0</v>
      </c>
      <c r="G2525">
        <f>HYPERLINK("https://www.google.com/maps/search/?api=1&amp;query=24.69309525,46.67827768", "View Map")</f>
        <v/>
      </c>
    </row>
    <row r="2526">
      <c r="A2526" t="inlineStr">
        <is>
          <t xml:space="preserve">    مسجد      الطريقي   أشبيلية .</t>
        </is>
      </c>
      <c r="B2526" t="inlineStr">
        <is>
          <t>KFM2020660139730</t>
        </is>
      </c>
      <c r="C2526" t="inlineStr">
        <is>
          <t>الرياض</t>
        </is>
      </c>
      <c r="D2526" t="inlineStr">
        <is>
          <t>كلا الفترتين</t>
        </is>
      </c>
      <c r="E2526" t="n">
        <v>1222</v>
      </c>
      <c r="F2526" t="b">
        <v>0</v>
      </c>
      <c r="G2526">
        <f>HYPERLINK("https://www.google.com/maps/search/?api=1&amp;query=24.78454585,46.77305851", "View Map")</f>
        <v/>
      </c>
    </row>
    <row r="2527">
      <c r="A2527" t="inlineStr">
        <is>
          <t xml:space="preserve">   مسجد/ حي الخليج .</t>
        </is>
      </c>
      <c r="B2527" t="inlineStr">
        <is>
          <t>KFM2020660047147</t>
        </is>
      </c>
      <c r="C2527" t="inlineStr">
        <is>
          <t>الرياض</t>
        </is>
      </c>
      <c r="D2527" t="inlineStr">
        <is>
          <t>كلا الفترتين</t>
        </is>
      </c>
      <c r="E2527" t="n">
        <v>1222</v>
      </c>
      <c r="F2527" t="b">
        <v>1</v>
      </c>
      <c r="G2527">
        <f>HYPERLINK("https://www.google.com/maps/search/?api=1&amp;query=24.77974236,46.79705114", "View Map")</f>
        <v/>
      </c>
    </row>
    <row r="2528">
      <c r="A2528" t="inlineStr">
        <is>
          <t>ﻤﺴﺎﺠﺩ .</t>
        </is>
      </c>
      <c r="B2528" t="inlineStr">
        <is>
          <t>KFM2120660299614</t>
        </is>
      </c>
      <c r="C2528" t="inlineStr">
        <is>
          <t>الرياض</t>
        </is>
      </c>
      <c r="D2528" t="inlineStr">
        <is>
          <t>كلا الفترتين</t>
        </is>
      </c>
      <c r="E2528" t="n">
        <v>1221</v>
      </c>
      <c r="F2528" t="b">
        <v>1</v>
      </c>
      <c r="G2528">
        <f>HYPERLINK("https://www.google.com/maps/search/?api=1&amp;query=24.78529326,46.71730123", "View Map")</f>
        <v/>
      </c>
    </row>
    <row r="2529">
      <c r="A2529" t="inlineStr">
        <is>
          <t xml:space="preserve">   مسجد الشيخ عبدالعزيز رجب .</t>
        </is>
      </c>
      <c r="B2529" t="inlineStr">
        <is>
          <t>KFM2020660161624</t>
        </is>
      </c>
      <c r="C2529" t="inlineStr">
        <is>
          <t>الرياض</t>
        </is>
      </c>
      <c r="D2529" t="inlineStr">
        <is>
          <t>كلا الفترتين</t>
        </is>
      </c>
      <c r="E2529" t="n">
        <v>1221</v>
      </c>
      <c r="F2529" t="b">
        <v>0</v>
      </c>
      <c r="G2529">
        <f>HYPERLINK("https://www.google.com/maps/search/?api=1&amp;query=24.56640818,46.78645152", "View Map")</f>
        <v/>
      </c>
    </row>
    <row r="2530">
      <c r="A2530" t="inlineStr">
        <is>
          <t>مسجد      الجرادية   الاسلامية .</t>
        </is>
      </c>
      <c r="B2530" t="inlineStr">
        <is>
          <t>KFM2020660177061</t>
        </is>
      </c>
      <c r="C2530" t="inlineStr">
        <is>
          <t>الرياض</t>
        </is>
      </c>
      <c r="D2530" t="inlineStr">
        <is>
          <t>كلا الفترتين</t>
        </is>
      </c>
      <c r="E2530" t="n">
        <v>1221</v>
      </c>
      <c r="F2530" t="b">
        <v>0</v>
      </c>
      <c r="G2530">
        <f>HYPERLINK("https://www.google.com/maps/search/?api=1&amp;query=24.6145666,46.70212435", "View Map")</f>
        <v/>
      </c>
    </row>
    <row r="2531">
      <c r="A2531" t="inlineStr">
        <is>
          <t xml:space="preserve">   مسجدصاحب السموالملكي ولي العهد .</t>
        </is>
      </c>
      <c r="B2531" t="inlineStr">
        <is>
          <t>KFM2120660299441</t>
        </is>
      </c>
      <c r="C2531" t="inlineStr">
        <is>
          <t>الرياض</t>
        </is>
      </c>
      <c r="D2531" t="inlineStr">
        <is>
          <t>كلا الفترتين</t>
        </is>
      </c>
      <c r="E2531" t="n">
        <v>1220</v>
      </c>
      <c r="F2531" t="b">
        <v>0</v>
      </c>
      <c r="G2531">
        <f>HYPERLINK("https://www.google.com/maps/search/?api=1&amp;query=24.64700197,46.72518615", "View Map")</f>
        <v/>
      </c>
    </row>
    <row r="2532">
      <c r="A2532" t="inlineStr">
        <is>
          <t xml:space="preserve">   مسجد حي   النخيل    الشون .</t>
        </is>
      </c>
      <c r="B2532" t="inlineStr">
        <is>
          <t>KFM2120660256700</t>
        </is>
      </c>
      <c r="C2532" t="inlineStr">
        <is>
          <t>الرياض</t>
        </is>
      </c>
      <c r="D2532" t="inlineStr">
        <is>
          <t>كلا الفترتين</t>
        </is>
      </c>
      <c r="E2532" t="n">
        <v>1220</v>
      </c>
      <c r="F2532" t="b">
        <v>0</v>
      </c>
      <c r="G2532">
        <f>HYPERLINK("https://www.google.com/maps/search/?api=1&amp;query=24.73401482,46.61181588", "View Map")</f>
        <v/>
      </c>
    </row>
    <row r="2533">
      <c r="A2533" t="inlineStr">
        <is>
          <t xml:space="preserve">   مسجداليرموك .</t>
        </is>
      </c>
      <c r="B2533" t="inlineStr">
        <is>
          <t>KFM2020660060658</t>
        </is>
      </c>
      <c r="C2533" t="inlineStr">
        <is>
          <t>الرياض</t>
        </is>
      </c>
      <c r="D2533" t="inlineStr">
        <is>
          <t>كلا الفترتين</t>
        </is>
      </c>
      <c r="E2533" t="n">
        <v>1219</v>
      </c>
      <c r="F2533" t="b">
        <v>0</v>
      </c>
      <c r="G2533">
        <f>HYPERLINK("https://www.google.com/maps/search/?api=1&amp;query=24.82059653,46.80499636", "View Map")</f>
        <v/>
      </c>
    </row>
    <row r="2534">
      <c r="A2534" t="inlineStr">
        <is>
          <t xml:space="preserve">   مساجد .</t>
        </is>
      </c>
      <c r="B2534" t="inlineStr">
        <is>
          <t>KFM2020660014999</t>
        </is>
      </c>
      <c r="C2534" t="inlineStr">
        <is>
          <t>الرياض</t>
        </is>
      </c>
      <c r="D2534" t="inlineStr">
        <is>
          <t>كلا الفترتين</t>
        </is>
      </c>
      <c r="E2534" t="n">
        <v>1219</v>
      </c>
      <c r="F2534" t="b">
        <v>0</v>
      </c>
      <c r="G2534">
        <f>HYPERLINK("https://www.google.com/maps/search/?api=1&amp;query=24.83331876,46.74016241", "View Map")</f>
        <v/>
      </c>
    </row>
    <row r="2535">
      <c r="A2535" t="inlineStr">
        <is>
          <t>مسجد /عبدالله  بن عمر .</t>
        </is>
      </c>
      <c r="B2535" t="inlineStr">
        <is>
          <t>KFM2020660056120</t>
        </is>
      </c>
      <c r="C2535" t="inlineStr">
        <is>
          <t>الرياض</t>
        </is>
      </c>
      <c r="D2535" t="inlineStr">
        <is>
          <t>كلا الفترتين</t>
        </is>
      </c>
      <c r="E2535" t="n">
        <v>1218</v>
      </c>
      <c r="F2535" t="b">
        <v>1</v>
      </c>
      <c r="G2535">
        <f>HYPERLINK("https://www.google.com/maps/search/?api=1&amp;query=24.56661351,46.6275459", "View Map")</f>
        <v/>
      </c>
    </row>
    <row r="2536">
      <c r="A2536" t="inlineStr">
        <is>
          <t xml:space="preserve">   جامع الشيخ محمد الدغيثر .</t>
        </is>
      </c>
      <c r="B2536" t="inlineStr">
        <is>
          <t>KFM2020660165396</t>
        </is>
      </c>
      <c r="C2536" t="inlineStr">
        <is>
          <t>الرياض</t>
        </is>
      </c>
      <c r="D2536" t="inlineStr">
        <is>
          <t>كلا الفترتين</t>
        </is>
      </c>
      <c r="E2536" t="n">
        <v>1218</v>
      </c>
      <c r="F2536" t="b">
        <v>1</v>
      </c>
      <c r="G2536">
        <f>HYPERLINK("https://www.google.com/maps/search/?api=1&amp;query=24.70495823,46.69325971", "View Map")</f>
        <v/>
      </c>
    </row>
    <row r="2537">
      <c r="A2537" t="inlineStr">
        <is>
          <t xml:space="preserve">   مسجد علي عبدالرؤوف باحميد .</t>
        </is>
      </c>
      <c r="B2537" t="inlineStr">
        <is>
          <t>KFM2120660299065</t>
        </is>
      </c>
      <c r="C2537" t="inlineStr">
        <is>
          <t>الرياض</t>
        </is>
      </c>
      <c r="D2537" t="inlineStr">
        <is>
          <t>كلا الفترتين</t>
        </is>
      </c>
      <c r="E2537" t="n">
        <v>1217</v>
      </c>
      <c r="F2537" t="b">
        <v>0</v>
      </c>
      <c r="G2537">
        <f>HYPERLINK("https://www.google.com/maps/search/?api=1&amp;query=24.57407675,46.76710118", "View Map")</f>
        <v/>
      </c>
    </row>
    <row r="2538">
      <c r="A2538" t="inlineStr">
        <is>
          <t>مساجد .</t>
        </is>
      </c>
      <c r="B2538" t="inlineStr">
        <is>
          <t>KFM2120660274237</t>
        </is>
      </c>
      <c r="C2538" t="inlineStr">
        <is>
          <t>الرياض</t>
        </is>
      </c>
      <c r="D2538" t="inlineStr">
        <is>
          <t>كلا الفترتين</t>
        </is>
      </c>
      <c r="E2538" t="n">
        <v>1216</v>
      </c>
      <c r="F2538" t="b">
        <v>0</v>
      </c>
      <c r="G2538">
        <f>HYPERLINK("https://www.google.com/maps/search/?api=1&amp;query=24.64363665,46.76690571", "View Map")</f>
        <v/>
      </c>
    </row>
    <row r="2539">
      <c r="A2539" t="inlineStr">
        <is>
          <t>ﻤﺴﺎﺠﺩ .</t>
        </is>
      </c>
      <c r="B2539" t="inlineStr">
        <is>
          <t>MMF2420601020067</t>
        </is>
      </c>
      <c r="C2539" t="inlineStr">
        <is>
          <t>الرياض</t>
        </is>
      </c>
      <c r="D2539" t="inlineStr">
        <is>
          <t>كلا الفترتين</t>
        </is>
      </c>
      <c r="E2539" t="n">
        <v>1214</v>
      </c>
      <c r="F2539" t="b">
        <v>0</v>
      </c>
      <c r="G2539">
        <f>HYPERLINK("https://www.google.com/maps/search/?api=1&amp;query=0.0,0.0", "View Map")</f>
        <v/>
      </c>
    </row>
    <row r="2540">
      <c r="A2540" t="inlineStr">
        <is>
          <t>ﻭﺯﺍﺭﺓﺍﻟﺸﺌﻭﻥ ﺍﻻﺴﻼﻤﻴﺓﻭﺍﻻﻭﻗﺎﻑ .</t>
        </is>
      </c>
      <c r="B2540" t="inlineStr">
        <is>
          <t>KFM2020660007871</t>
        </is>
      </c>
      <c r="C2540" t="inlineStr">
        <is>
          <t>الرياض</t>
        </is>
      </c>
      <c r="D2540" t="inlineStr">
        <is>
          <t>كلا الفترتين</t>
        </is>
      </c>
      <c r="E2540" t="n">
        <v>1213</v>
      </c>
      <c r="F2540" t="b">
        <v>0</v>
      </c>
      <c r="G2540">
        <f>HYPERLINK("https://www.google.com/maps/search/?api=1&amp;query=24.54522849,46.5181886", "View Map")</f>
        <v/>
      </c>
    </row>
    <row r="2541">
      <c r="A2541" t="inlineStr">
        <is>
          <t>ﻭﺯﺍﺭﺓﺍﻟﺸﺌﻭﻥ ﺍﻻﺴﻼﻤﻴﺓﻭﺍﻻﻭﻗﺎﻑ .</t>
        </is>
      </c>
      <c r="B2541" t="inlineStr">
        <is>
          <t>KFM2020660203727</t>
        </is>
      </c>
      <c r="C2541" t="inlineStr">
        <is>
          <t>الرياض</t>
        </is>
      </c>
      <c r="D2541" t="inlineStr">
        <is>
          <t>كلا الفترتين</t>
        </is>
      </c>
      <c r="E2541" t="n">
        <v>1213</v>
      </c>
      <c r="F2541" t="b">
        <v>0</v>
      </c>
      <c r="G2541">
        <f>HYPERLINK("https://www.google.com/maps/search/?api=1&amp;query=24.55050256,46.56866486", "View Map")</f>
        <v/>
      </c>
    </row>
    <row r="2542">
      <c r="A2542" t="inlineStr">
        <is>
          <t xml:space="preserve">   مساجد .</t>
        </is>
      </c>
      <c r="B2542" t="inlineStr">
        <is>
          <t>KFM2020660192882</t>
        </is>
      </c>
      <c r="C2542" t="inlineStr">
        <is>
          <t>الرياض</t>
        </is>
      </c>
      <c r="D2542" t="inlineStr">
        <is>
          <t>كلا الفترتين</t>
        </is>
      </c>
      <c r="E2542" t="n">
        <v>1213</v>
      </c>
      <c r="F2542" t="b">
        <v>1</v>
      </c>
      <c r="G2542">
        <f>HYPERLINK("https://www.google.com/maps/search/?api=1&amp;query=24.83885086,46.79183085", "View Map")</f>
        <v/>
      </c>
    </row>
    <row r="2543">
      <c r="A2543" t="inlineStr">
        <is>
          <t xml:space="preserve">   مسـجد الخالديه  ( العريفي  ) .</t>
        </is>
      </c>
      <c r="B2543" t="inlineStr">
        <is>
          <t>KFM2020660191322</t>
        </is>
      </c>
      <c r="C2543" t="inlineStr">
        <is>
          <t>الدرعية</t>
        </is>
      </c>
      <c r="D2543" t="inlineStr">
        <is>
          <t>كلا الفترتين</t>
        </is>
      </c>
      <c r="E2543" t="n">
        <v>1212</v>
      </c>
      <c r="F2543" t="b">
        <v>0</v>
      </c>
      <c r="G2543">
        <f>HYPERLINK("https://www.google.com/maps/search/?api=1&amp;query=24.74899343,46.56930956", "View Map")</f>
        <v/>
      </c>
    </row>
    <row r="2544">
      <c r="A2544" t="inlineStr">
        <is>
          <t xml:space="preserve">   مسجد حي المنار .</t>
        </is>
      </c>
      <c r="B2544" t="inlineStr">
        <is>
          <t>KFM2020660061521</t>
        </is>
      </c>
      <c r="C2544" t="inlineStr">
        <is>
          <t>الرياض</t>
        </is>
      </c>
      <c r="D2544" t="inlineStr">
        <is>
          <t>كلا الفترتين</t>
        </is>
      </c>
      <c r="E2544" t="n">
        <v>1212</v>
      </c>
      <c r="F2544" t="b">
        <v>0</v>
      </c>
      <c r="G2544">
        <f>HYPERLINK("https://www.google.com/maps/search/?api=1&amp;query=24.73095434,46.79152552", "View Map")</f>
        <v/>
      </c>
    </row>
    <row r="2545">
      <c r="A2545" t="inlineStr">
        <is>
          <t xml:space="preserve">   (مسجد)حمد محمدال موسى .</t>
        </is>
      </c>
      <c r="B2545" t="inlineStr">
        <is>
          <t>KFM2020660048995</t>
        </is>
      </c>
      <c r="C2545" t="inlineStr">
        <is>
          <t>الرياض</t>
        </is>
      </c>
      <c r="D2545" t="inlineStr">
        <is>
          <t>كلا الفترتين</t>
        </is>
      </c>
      <c r="E2545" t="n">
        <v>1212</v>
      </c>
      <c r="F2545" t="b">
        <v>0</v>
      </c>
      <c r="G2545">
        <f>HYPERLINK("https://www.google.com/maps/search/?api=1&amp;query=24.75151009,46.60468275", "View Map")</f>
        <v/>
      </c>
    </row>
    <row r="2546">
      <c r="A2546" t="inlineStr">
        <is>
          <t xml:space="preserve">   مسجد وسكن العبداللطيف .</t>
        </is>
      </c>
      <c r="B2546" t="inlineStr">
        <is>
          <t>KFM2020660170725</t>
        </is>
      </c>
      <c r="C2546" t="inlineStr">
        <is>
          <t>الرياض</t>
        </is>
      </c>
      <c r="D2546" t="inlineStr">
        <is>
          <t>كلا الفترتين</t>
        </is>
      </c>
      <c r="E2546" t="n">
        <v>1210</v>
      </c>
      <c r="F2546" t="b">
        <v>0</v>
      </c>
      <c r="G2546">
        <f>HYPERLINK("https://www.google.com/maps/search/?api=1&amp;query=24.77351916,46.80573385", "View Map")</f>
        <v/>
      </c>
    </row>
    <row r="2547">
      <c r="A2547" t="inlineStr">
        <is>
          <t>مسجد ميدان عليشه .</t>
        </is>
      </c>
      <c r="B2547" t="inlineStr">
        <is>
          <t>KFM2020660053857</t>
        </is>
      </c>
      <c r="C2547" t="inlineStr">
        <is>
          <t>الرياض</t>
        </is>
      </c>
      <c r="D2547" t="inlineStr">
        <is>
          <t>كلا الفترتين</t>
        </is>
      </c>
      <c r="E2547" t="n">
        <v>1210</v>
      </c>
      <c r="F2547" t="b">
        <v>0</v>
      </c>
      <c r="G2547">
        <f>HYPERLINK("https://www.google.com/maps/search/?api=1&amp;query=24.62848236,46.68284861", "View Map")</f>
        <v/>
      </c>
    </row>
    <row r="2548">
      <c r="A2548" t="inlineStr">
        <is>
          <t xml:space="preserve">   جامع وسكن مترك عايض الجعيد .</t>
        </is>
      </c>
      <c r="B2548" t="inlineStr">
        <is>
          <t>MMF2020800195241</t>
        </is>
      </c>
      <c r="C2548" t="inlineStr">
        <is>
          <t>الرياض</t>
        </is>
      </c>
      <c r="D2548" t="inlineStr">
        <is>
          <t>كلا الفترتين</t>
        </is>
      </c>
      <c r="E2548" t="n">
        <v>1209</v>
      </c>
      <c r="F2548" t="b">
        <v>0</v>
      </c>
      <c r="G2548">
        <f>HYPERLINK("https://www.google.com/maps/search/?api=1&amp;query=24.76762151,46.73791755", "View Map")</f>
        <v/>
      </c>
    </row>
    <row r="2549">
      <c r="A2549" t="inlineStr">
        <is>
          <t xml:space="preserve">   مسجدحي المناخ .</t>
        </is>
      </c>
      <c r="B2549" t="inlineStr">
        <is>
          <t>KFM2120660268712</t>
        </is>
      </c>
      <c r="C2549" t="inlineStr">
        <is>
          <t>الرياض</t>
        </is>
      </c>
      <c r="D2549" t="inlineStr">
        <is>
          <t>كلا الفترتين</t>
        </is>
      </c>
      <c r="E2549" t="n">
        <v>1208</v>
      </c>
      <c r="F2549" t="b">
        <v>0</v>
      </c>
      <c r="G2549">
        <f>HYPERLINK("https://www.google.com/maps/search/?api=1&amp;query=24.59827896,46.80672086", "View Map")</f>
        <v/>
      </c>
    </row>
    <row r="2550">
      <c r="A2550" t="inlineStr">
        <is>
          <t>مسجد      حي        اليمامة .</t>
        </is>
      </c>
      <c r="B2550" t="inlineStr">
        <is>
          <t>KFM2020660042378</t>
        </is>
      </c>
      <c r="C2550" t="inlineStr">
        <is>
          <t>الرياض</t>
        </is>
      </c>
      <c r="D2550" t="inlineStr">
        <is>
          <t>كلا الفترتين</t>
        </is>
      </c>
      <c r="E2550" t="n">
        <v>1207</v>
      </c>
      <c r="F2550" t="b">
        <v>0</v>
      </c>
      <c r="G2550">
        <f>HYPERLINK("https://www.google.com/maps/search/?api=1&amp;query=24.5958806,46.71917739", "View Map")</f>
        <v/>
      </c>
    </row>
    <row r="2551">
      <c r="A2551" t="inlineStr">
        <is>
          <t>مسجدابراهيم  السبر ووالدية  وزوجتة .</t>
        </is>
      </c>
      <c r="B2551" t="inlineStr">
        <is>
          <t>KFM2020660115744</t>
        </is>
      </c>
      <c r="C2551" t="inlineStr">
        <is>
          <t>الرياض</t>
        </is>
      </c>
      <c r="D2551" t="inlineStr">
        <is>
          <t>كلا الفترتين</t>
        </is>
      </c>
      <c r="E2551" t="n">
        <v>1207</v>
      </c>
      <c r="F2551" t="b">
        <v>1</v>
      </c>
      <c r="G2551">
        <f>HYPERLINK("https://www.google.com/maps/search/?api=1&amp;query=24.54813471,46.73042738", "View Map")</f>
        <v/>
      </c>
    </row>
    <row r="2552">
      <c r="A2552" t="inlineStr">
        <is>
          <t xml:space="preserve">    مسجد الرحيمي .</t>
        </is>
      </c>
      <c r="B2552" t="inlineStr">
        <is>
          <t>KFM2020766082225</t>
        </is>
      </c>
      <c r="C2552" t="inlineStr">
        <is>
          <t>الرياض</t>
        </is>
      </c>
      <c r="D2552" t="inlineStr">
        <is>
          <t>كلا الفترتين</t>
        </is>
      </c>
      <c r="E2552" t="n">
        <v>1207</v>
      </c>
      <c r="F2552" t="b">
        <v>0</v>
      </c>
      <c r="G2552">
        <f>HYPERLINK("https://www.google.com/maps/search/?api=1&amp;query=24.82233523,46.79747346", "View Map")</f>
        <v/>
      </c>
    </row>
    <row r="2553">
      <c r="A2553" t="inlineStr">
        <is>
          <t>ﻤﺴﺎﺠﺩ .</t>
        </is>
      </c>
      <c r="B2553" t="inlineStr">
        <is>
          <t>KFM2020660046425</t>
        </is>
      </c>
      <c r="C2553" t="inlineStr">
        <is>
          <t>الرياض</t>
        </is>
      </c>
      <c r="D2553" t="inlineStr">
        <is>
          <t>كلا الفترتين</t>
        </is>
      </c>
      <c r="E2553" t="n">
        <v>1207</v>
      </c>
      <c r="F2553" t="b">
        <v>1</v>
      </c>
      <c r="G2553">
        <f>HYPERLINK("https://www.google.com/maps/search/?api=1&amp;query=24.6894484,46.84775405", "View Map")</f>
        <v/>
      </c>
    </row>
    <row r="2554">
      <c r="A2554" t="inlineStr">
        <is>
          <t xml:space="preserve">   مسجد      ركيب      الكود .</t>
        </is>
      </c>
      <c r="B2554" t="inlineStr">
        <is>
          <t>KFM2020660042412</t>
        </is>
      </c>
      <c r="C2554" t="inlineStr">
        <is>
          <t>الرياض</t>
        </is>
      </c>
      <c r="D2554" t="inlineStr">
        <is>
          <t>كلا الفترتين</t>
        </is>
      </c>
      <c r="E2554" t="n">
        <v>1206</v>
      </c>
      <c r="F2554" t="b">
        <v>1</v>
      </c>
      <c r="G2554">
        <f>HYPERLINK("https://www.google.com/maps/search/?api=1&amp;query=24.75081973,46.84537714", "View Map")</f>
        <v/>
      </c>
    </row>
    <row r="2555">
      <c r="A2555" t="inlineStr">
        <is>
          <t xml:space="preserve">   مساجد .</t>
        </is>
      </c>
      <c r="B2555" t="inlineStr">
        <is>
          <t>KFM2020660046434</t>
        </is>
      </c>
      <c r="C2555" t="inlineStr">
        <is>
          <t>الرياض</t>
        </is>
      </c>
      <c r="D2555" t="inlineStr">
        <is>
          <t>مساءا</t>
        </is>
      </c>
      <c r="E2555" t="n">
        <v>1206</v>
      </c>
      <c r="F2555" t="b">
        <v>1</v>
      </c>
      <c r="G2555">
        <f>HYPERLINK("https://www.google.com/maps/search/?api=1&amp;query=24.82533509,46.74783763", "View Map")</f>
        <v/>
      </c>
    </row>
    <row r="2556">
      <c r="A2556" t="inlineStr">
        <is>
          <t xml:space="preserve">   مسجد عمربنالخطاب بحي الملك فهد .</t>
        </is>
      </c>
      <c r="B2556" t="inlineStr">
        <is>
          <t>KFM2020660224373</t>
        </is>
      </c>
      <c r="C2556" t="inlineStr">
        <is>
          <t>الرياض</t>
        </is>
      </c>
      <c r="D2556" t="inlineStr">
        <is>
          <t>صباحا</t>
        </is>
      </c>
      <c r="E2556" t="n">
        <v>1203</v>
      </c>
      <c r="F2556" t="b">
        <v>0</v>
      </c>
      <c r="G2556">
        <f>HYPERLINK("https://www.google.com/maps/search/?api=1&amp;query=24.74787527,46.66976285", "View Map")</f>
        <v/>
      </c>
    </row>
    <row r="2557">
      <c r="A2557" t="inlineStr">
        <is>
          <t xml:space="preserve">   مسجد موفق الميدانى .</t>
        </is>
      </c>
      <c r="B2557" t="inlineStr">
        <is>
          <t>KFM2020660163016</t>
        </is>
      </c>
      <c r="C2557" t="inlineStr">
        <is>
          <t>الرياض</t>
        </is>
      </c>
      <c r="D2557" t="inlineStr">
        <is>
          <t>كلا الفترتين</t>
        </is>
      </c>
      <c r="E2557" t="n">
        <v>1202</v>
      </c>
      <c r="F2557" t="b">
        <v>0</v>
      </c>
      <c r="G2557">
        <f>HYPERLINK("https://www.google.com/maps/search/?api=1&amp;query=24.7006,46.6803", "View Map")</f>
        <v/>
      </c>
    </row>
    <row r="2558">
      <c r="A2558" t="inlineStr">
        <is>
          <t>.    مسجد      الغملاس .</t>
        </is>
      </c>
      <c r="B2558" t="inlineStr">
        <is>
          <t>KFM2020660202436</t>
        </is>
      </c>
      <c r="C2558" t="inlineStr">
        <is>
          <t>الرياض</t>
        </is>
      </c>
      <c r="D2558" t="inlineStr">
        <is>
          <t>كلا الفترتين</t>
        </is>
      </c>
      <c r="E2558" t="n">
        <v>1201</v>
      </c>
      <c r="F2558" t="b">
        <v>1</v>
      </c>
      <c r="G2558">
        <f>HYPERLINK("https://www.google.com/maps/search/?api=1&amp;query=24.53152096,46.72424144", "View Map")</f>
        <v/>
      </c>
    </row>
    <row r="2559">
      <c r="A2559" t="inlineStr">
        <is>
          <t xml:space="preserve">   مسجد صالح عبدالله .</t>
        </is>
      </c>
      <c r="B2559" t="inlineStr">
        <is>
          <t>KFM2020660056876</t>
        </is>
      </c>
      <c r="C2559" t="inlineStr">
        <is>
          <t>الرياض</t>
        </is>
      </c>
      <c r="D2559" t="inlineStr">
        <is>
          <t>كلا الفترتين</t>
        </is>
      </c>
      <c r="E2559" t="n">
        <v>1201</v>
      </c>
      <c r="F2559" t="b">
        <v>0</v>
      </c>
      <c r="G2559">
        <f>HYPERLINK("https://www.google.com/maps/search/?api=1&amp;query=24.75022578,46.77365846", "View Map")</f>
        <v/>
      </c>
    </row>
    <row r="2560">
      <c r="A2560" t="inlineStr">
        <is>
          <t>ﻤﺴﺎﺠﺩ .</t>
        </is>
      </c>
      <c r="B2560" t="inlineStr">
        <is>
          <t>KFM2120660304274</t>
        </is>
      </c>
      <c r="C2560" t="inlineStr">
        <is>
          <t>الرياض</t>
        </is>
      </c>
      <c r="D2560" t="inlineStr">
        <is>
          <t>كلا الفترتين</t>
        </is>
      </c>
      <c r="E2560" t="n">
        <v>1200</v>
      </c>
      <c r="F2560" t="b">
        <v>1</v>
      </c>
      <c r="G2560">
        <f>HYPERLINK("https://www.google.com/maps/search/?api=1&amp;query=24.87893936,46.87002482", "View Map")</f>
        <v/>
      </c>
    </row>
    <row r="2561">
      <c r="A2561" t="inlineStr">
        <is>
          <t xml:space="preserve">   مسجد ابانمي .</t>
        </is>
      </c>
      <c r="B2561" t="inlineStr">
        <is>
          <t>KFM2020660030502</t>
        </is>
      </c>
      <c r="C2561" t="inlineStr">
        <is>
          <t>الرياض</t>
        </is>
      </c>
      <c r="D2561" t="inlineStr">
        <is>
          <t>كلا الفترتين</t>
        </is>
      </c>
      <c r="E2561" t="n">
        <v>1200</v>
      </c>
      <c r="F2561" t="b">
        <v>1</v>
      </c>
      <c r="G2561">
        <f>HYPERLINK("https://www.google.com/maps/search/?api=1&amp;query=24.6977115,46.76944296", "View Map")</f>
        <v/>
      </c>
    </row>
    <row r="2562">
      <c r="A2562" t="inlineStr">
        <is>
          <t xml:space="preserve">   مسجدوالدة سعد الفالح واخوانه .</t>
        </is>
      </c>
      <c r="B2562" t="inlineStr">
        <is>
          <t>KFM2120660248289</t>
        </is>
      </c>
      <c r="C2562" t="inlineStr">
        <is>
          <t>الرياض</t>
        </is>
      </c>
      <c r="D2562" t="inlineStr">
        <is>
          <t>كلا الفترتين</t>
        </is>
      </c>
      <c r="E2562" t="n">
        <v>1200</v>
      </c>
      <c r="F2562" t="b">
        <v>1</v>
      </c>
      <c r="G2562">
        <f>HYPERLINK("https://www.google.com/maps/search/?api=1&amp;query=24.60857789,46.73029463", "View Map")</f>
        <v/>
      </c>
    </row>
    <row r="2563">
      <c r="A2563" t="inlineStr">
        <is>
          <t xml:space="preserve">   مسجد العساف .</t>
        </is>
      </c>
      <c r="B2563" t="inlineStr">
        <is>
          <t>KFM2020660167853</t>
        </is>
      </c>
      <c r="C2563" t="inlineStr">
        <is>
          <t>الرياض</t>
        </is>
      </c>
      <c r="D2563" t="inlineStr">
        <is>
          <t>كلا الفترتين</t>
        </is>
      </c>
      <c r="E2563" t="n">
        <v>1199</v>
      </c>
      <c r="F2563" t="b">
        <v>1</v>
      </c>
      <c r="G2563">
        <f>HYPERLINK("https://www.google.com/maps/search/?api=1&amp;query=24.74161406,46.77668002", "View Map")</f>
        <v/>
      </c>
    </row>
    <row r="2564">
      <c r="A2564" t="inlineStr">
        <is>
          <t>.مسجدجامع  مزيدالثامر .</t>
        </is>
      </c>
      <c r="B2564" t="inlineStr">
        <is>
          <t>KFM2020660175038</t>
        </is>
      </c>
      <c r="C2564" t="inlineStr">
        <is>
          <t>الرياض</t>
        </is>
      </c>
      <c r="D2564" t="inlineStr">
        <is>
          <t>كلا الفترتين</t>
        </is>
      </c>
      <c r="E2564" t="n">
        <v>1199</v>
      </c>
      <c r="F2564" t="b">
        <v>0</v>
      </c>
      <c r="G2564">
        <f>HYPERLINK("https://www.google.com/maps/search/?api=1&amp;query=24.54,46.6586", "View Map")</f>
        <v/>
      </c>
    </row>
    <row r="2565">
      <c r="A2565" t="inlineStr">
        <is>
          <t xml:space="preserve">   مسجد الهزاع .</t>
        </is>
      </c>
      <c r="B2565" t="inlineStr">
        <is>
          <t>KFM2020660041920</t>
        </is>
      </c>
      <c r="C2565" t="inlineStr">
        <is>
          <t>الرياض</t>
        </is>
      </c>
      <c r="D2565" t="inlineStr">
        <is>
          <t>كلا الفترتين</t>
        </is>
      </c>
      <c r="E2565" t="n">
        <v>1199</v>
      </c>
      <c r="F2565" t="b">
        <v>0</v>
      </c>
      <c r="G2565">
        <f>HYPERLINK("https://www.google.com/maps/search/?api=1&amp;query=24.51514961,46.72642852", "View Map")</f>
        <v/>
      </c>
    </row>
    <row r="2566">
      <c r="A2566" t="inlineStr">
        <is>
          <t>ﻤﺴﺎﺠﺩ .</t>
        </is>
      </c>
      <c r="B2566" t="inlineStr">
        <is>
          <t>KFM2020660202931</t>
        </is>
      </c>
      <c r="C2566" t="inlineStr">
        <is>
          <t>الدرعية</t>
        </is>
      </c>
      <c r="D2566" t="inlineStr">
        <is>
          <t>كلا الفترتين</t>
        </is>
      </c>
      <c r="E2566" t="n">
        <v>1198</v>
      </c>
      <c r="F2566" t="b">
        <v>1</v>
      </c>
      <c r="G2566">
        <f>HYPERLINK("https://www.google.com/maps/search/?api=1&amp;query=24.7453,46.5272", "View Map")</f>
        <v/>
      </c>
    </row>
    <row r="2567">
      <c r="A2567" t="inlineStr">
        <is>
          <t xml:space="preserve">   مسجد  صالح العجروش .</t>
        </is>
      </c>
      <c r="B2567" t="inlineStr">
        <is>
          <t>KFM2020660234194</t>
        </is>
      </c>
      <c r="C2567" t="inlineStr">
        <is>
          <t>الرياض</t>
        </is>
      </c>
      <c r="D2567" t="inlineStr">
        <is>
          <t>كلا الفترتين</t>
        </is>
      </c>
      <c r="E2567" t="n">
        <v>1197</v>
      </c>
      <c r="F2567" t="b">
        <v>0</v>
      </c>
      <c r="G2567">
        <f>HYPERLINK("https://www.google.com/maps/search/?api=1&amp;query=24.68730075,46.72812836", "View Map")</f>
        <v/>
      </c>
    </row>
    <row r="2568">
      <c r="A2568" t="inlineStr">
        <is>
          <t xml:space="preserve">   مسجد عبدالعزيز المتوزي .</t>
        </is>
      </c>
      <c r="B2568" t="inlineStr">
        <is>
          <t>KFM2020660057351</t>
        </is>
      </c>
      <c r="C2568" t="inlineStr">
        <is>
          <t>الرياض</t>
        </is>
      </c>
      <c r="D2568" t="inlineStr">
        <is>
          <t>كلا الفترتين</t>
        </is>
      </c>
      <c r="E2568" t="n">
        <v>1196</v>
      </c>
      <c r="F2568" t="b">
        <v>1</v>
      </c>
      <c r="G2568">
        <f>HYPERLINK("https://www.google.com/maps/search/?api=1&amp;query=24.61597068,46.7530875", "View Map")</f>
        <v/>
      </c>
    </row>
    <row r="2569">
      <c r="A2569" t="inlineStr">
        <is>
          <t>ﻤﺴﺎﺠﺩ .</t>
        </is>
      </c>
      <c r="B2569" t="inlineStr">
        <is>
          <t>KFM2020660012602</t>
        </is>
      </c>
      <c r="C2569" t="inlineStr">
        <is>
          <t>الرياض</t>
        </is>
      </c>
      <c r="D2569" t="inlineStr">
        <is>
          <t>كلا الفترتين</t>
        </is>
      </c>
      <c r="E2569" t="n">
        <v>1196</v>
      </c>
      <c r="F2569" t="b">
        <v>0</v>
      </c>
      <c r="G2569">
        <f>HYPERLINK("https://www.google.com/maps/search/?api=1&amp;query=24.81806154,46.83045765", "View Map")</f>
        <v/>
      </c>
    </row>
    <row r="2570">
      <c r="A2570" t="inlineStr">
        <is>
          <t>ﻤﺴﺎﺠﺩ .</t>
        </is>
      </c>
      <c r="B2570" t="inlineStr">
        <is>
          <t>KFM2020660192932</t>
        </is>
      </c>
      <c r="C2570" t="inlineStr">
        <is>
          <t>الرياض</t>
        </is>
      </c>
      <c r="D2570" t="inlineStr">
        <is>
          <t>كلا الفترتين</t>
        </is>
      </c>
      <c r="E2570" t="n">
        <v>1196</v>
      </c>
      <c r="F2570" t="b">
        <v>1</v>
      </c>
      <c r="G2570">
        <f>HYPERLINK("https://www.google.com/maps/search/?api=1&amp;query=24.85202816,46.831367", "View Map")</f>
        <v/>
      </c>
    </row>
    <row r="2571">
      <c r="A2571" t="inlineStr">
        <is>
          <t xml:space="preserve">   مسجد حى الاندلس .</t>
        </is>
      </c>
      <c r="B2571" t="inlineStr">
        <is>
          <t>KFM2020660166491</t>
        </is>
      </c>
      <c r="C2571" t="inlineStr">
        <is>
          <t>الرياض</t>
        </is>
      </c>
      <c r="D2571" t="inlineStr">
        <is>
          <t>كلا الفترتين</t>
        </is>
      </c>
      <c r="E2571" t="n">
        <v>1196</v>
      </c>
      <c r="F2571" t="b">
        <v>0</v>
      </c>
      <c r="G2571">
        <f>HYPERLINK("https://www.google.com/maps/search/?api=1&amp;query=24.74932422,46.79804212", "View Map")</f>
        <v/>
      </c>
    </row>
    <row r="2572">
      <c r="A2572" t="inlineStr">
        <is>
          <t>مسجد /عبدالرحمن بن عوف .</t>
        </is>
      </c>
      <c r="B2572" t="inlineStr">
        <is>
          <t>KFM2020660060791</t>
        </is>
      </c>
      <c r="C2572" t="inlineStr">
        <is>
          <t>الرياض</t>
        </is>
      </c>
      <c r="D2572" t="inlineStr">
        <is>
          <t>كلا الفترتين</t>
        </is>
      </c>
      <c r="E2572" t="n">
        <v>1195</v>
      </c>
      <c r="F2572" t="b">
        <v>1</v>
      </c>
      <c r="G2572">
        <f>HYPERLINK("https://www.google.com/maps/search/?api=1&amp;query=24.53569995,46.66798414", "View Map")</f>
        <v/>
      </c>
    </row>
    <row r="2573">
      <c r="A2573" t="inlineStr">
        <is>
          <t xml:space="preserve">   مسجد حي النهضه .</t>
        </is>
      </c>
      <c r="B2573" t="inlineStr">
        <is>
          <t>KFM2020660035964</t>
        </is>
      </c>
      <c r="C2573" t="inlineStr">
        <is>
          <t>الرياض</t>
        </is>
      </c>
      <c r="D2573" t="inlineStr">
        <is>
          <t>كلا الفترتين</t>
        </is>
      </c>
      <c r="E2573" t="n">
        <v>1195</v>
      </c>
      <c r="F2573" t="b">
        <v>0</v>
      </c>
      <c r="G2573">
        <f>HYPERLINK("https://www.google.com/maps/search/?api=1&amp;query=24.76393654,46.80558081", "View Map")</f>
        <v/>
      </c>
    </row>
    <row r="2574">
      <c r="A2574" t="inlineStr">
        <is>
          <t xml:space="preserve">   مساجد .</t>
        </is>
      </c>
      <c r="B2574" t="inlineStr">
        <is>
          <t>KFM2020660018862</t>
        </is>
      </c>
      <c r="C2574" t="inlineStr">
        <is>
          <t>الرياض</t>
        </is>
      </c>
      <c r="D2574" t="inlineStr">
        <is>
          <t>كلا الفترتين</t>
        </is>
      </c>
      <c r="E2574" t="n">
        <v>1194</v>
      </c>
      <c r="F2574" t="b">
        <v>1</v>
      </c>
      <c r="G2574">
        <f>HYPERLINK("https://www.google.com/maps/search/?api=1&amp;query=24.80864369,46.84182029", "View Map")</f>
        <v/>
      </c>
    </row>
    <row r="2575">
      <c r="A2575" t="inlineStr">
        <is>
          <t xml:space="preserve">   مسجد الامير سلمان بن عبدالعزيز .</t>
        </is>
      </c>
      <c r="B2575" t="inlineStr">
        <is>
          <t>KFM2020660037486</t>
        </is>
      </c>
      <c r="C2575" t="inlineStr">
        <is>
          <t>الرياض</t>
        </is>
      </c>
      <c r="D2575" t="inlineStr">
        <is>
          <t>كلا الفترتين</t>
        </is>
      </c>
      <c r="E2575" t="n">
        <v>1194</v>
      </c>
      <c r="F2575" t="b">
        <v>0</v>
      </c>
      <c r="G2575">
        <f>HYPERLINK("https://www.google.com/maps/search/?api=1&amp;query=24.7691183,46.81951705", "View Map")</f>
        <v/>
      </c>
    </row>
    <row r="2576">
      <c r="A2576" t="inlineStr">
        <is>
          <t>مسجدالعتبان .</t>
        </is>
      </c>
      <c r="B2576" t="inlineStr">
        <is>
          <t>KFM2020660006628</t>
        </is>
      </c>
      <c r="C2576" t="inlineStr">
        <is>
          <t>الرياض</t>
        </is>
      </c>
      <c r="D2576" t="inlineStr">
        <is>
          <t>كلا الفترتين</t>
        </is>
      </c>
      <c r="E2576" t="n">
        <v>1193</v>
      </c>
      <c r="F2576" t="b">
        <v>0</v>
      </c>
      <c r="G2576">
        <f>HYPERLINK("https://www.google.com/maps/search/?api=1&amp;query=24.6065563,46.72695161", "View Map")</f>
        <v/>
      </c>
    </row>
    <row r="2577">
      <c r="A2577" t="inlineStr">
        <is>
          <t>ﻭﺯﺍﺭﺓﺍﻟﺸﺌﻭﻥ ﺍﻻﺴﻼﻤﻴﺓﻭﺍﻻﻭﻗﺎﻑ .</t>
        </is>
      </c>
      <c r="B2577" t="inlineStr">
        <is>
          <t>SMR2320661033418</t>
        </is>
      </c>
      <c r="C2577" t="inlineStr">
        <is>
          <t>الرياض</t>
        </is>
      </c>
      <c r="D2577" t="inlineStr">
        <is>
          <t>كلا الفترتين</t>
        </is>
      </c>
      <c r="E2577" t="n">
        <v>1192</v>
      </c>
      <c r="F2577" t="b">
        <v>0</v>
      </c>
      <c r="G2577">
        <f>HYPERLINK("https://www.google.com/maps/search/?api=1&amp;query=24.6390005,46.71039808", "View Map")</f>
        <v/>
      </c>
    </row>
    <row r="2578">
      <c r="A2578" t="inlineStr">
        <is>
          <t xml:space="preserve">   مسجد محمدالغيث مع سكن الامام .</t>
        </is>
      </c>
      <c r="B2578" t="inlineStr">
        <is>
          <t>KFM2020660061536</t>
        </is>
      </c>
      <c r="C2578" t="inlineStr">
        <is>
          <t>الرياض</t>
        </is>
      </c>
      <c r="D2578" t="inlineStr">
        <is>
          <t>كلا الفترتين</t>
        </is>
      </c>
      <c r="E2578" t="n">
        <v>1192</v>
      </c>
      <c r="F2578" t="b">
        <v>0</v>
      </c>
      <c r="G2578">
        <f>HYPERLINK("https://www.google.com/maps/search/?api=1&amp;query=24.78113336,46.74491589", "View Map")</f>
        <v/>
      </c>
    </row>
    <row r="2579">
      <c r="A2579" t="inlineStr">
        <is>
          <t>ﻤﺴﺎﺠﺩ .</t>
        </is>
      </c>
      <c r="B2579" t="inlineStr">
        <is>
          <t>KFM2020660177121</t>
        </is>
      </c>
      <c r="C2579" t="inlineStr">
        <is>
          <t>الرياض</t>
        </is>
      </c>
      <c r="D2579" t="inlineStr">
        <is>
          <t>كلا الفترتين</t>
        </is>
      </c>
      <c r="E2579" t="n">
        <v>1191</v>
      </c>
      <c r="F2579" t="b">
        <v>1</v>
      </c>
      <c r="G2579">
        <f>HYPERLINK("https://www.google.com/maps/search/?api=1&amp;query=24.68382281,46.58055853", "View Map")</f>
        <v/>
      </c>
    </row>
    <row r="2580">
      <c r="A2580" t="inlineStr">
        <is>
          <t xml:space="preserve">   مسجد وضحي .</t>
        </is>
      </c>
      <c r="B2580" t="inlineStr">
        <is>
          <t>KFM2120660260288</t>
        </is>
      </c>
      <c r="C2580" t="inlineStr">
        <is>
          <t>الرياض</t>
        </is>
      </c>
      <c r="D2580" t="inlineStr">
        <is>
          <t>كلا الفترتين</t>
        </is>
      </c>
      <c r="E2580" t="n">
        <v>1188</v>
      </c>
      <c r="F2580" t="b">
        <v>1</v>
      </c>
      <c r="G2580">
        <f>HYPERLINK("https://www.google.com/maps/search/?api=1&amp;query=24.68685741,46.85477145", "View Map")</f>
        <v/>
      </c>
    </row>
    <row r="2581">
      <c r="A2581" t="inlineStr">
        <is>
          <t>ﻤﺴﺎﺠﺩ .</t>
        </is>
      </c>
      <c r="B2581" t="inlineStr">
        <is>
          <t>KFM2020660190355</t>
        </is>
      </c>
      <c r="C2581" t="inlineStr">
        <is>
          <t>الرياض</t>
        </is>
      </c>
      <c r="D2581" t="inlineStr">
        <is>
          <t>كلا الفترتين</t>
        </is>
      </c>
      <c r="E2581" t="n">
        <v>1187</v>
      </c>
      <c r="F2581" t="b">
        <v>1</v>
      </c>
      <c r="G2581">
        <f>HYPERLINK("https://www.google.com/maps/search/?api=1&amp;query=24.83921676,46.67400011", "View Map")</f>
        <v/>
      </c>
    </row>
    <row r="2582">
      <c r="A2582" t="inlineStr">
        <is>
          <t xml:space="preserve">   مساجد .</t>
        </is>
      </c>
      <c r="B2582" t="inlineStr">
        <is>
          <t>KFM2020660142231</t>
        </is>
      </c>
      <c r="C2582" t="inlineStr">
        <is>
          <t>الرياض</t>
        </is>
      </c>
      <c r="D2582" t="inlineStr">
        <is>
          <t>كلا الفترتين</t>
        </is>
      </c>
      <c r="E2582" t="n">
        <v>1185</v>
      </c>
      <c r="F2582" t="b">
        <v>0</v>
      </c>
      <c r="G2582">
        <f>HYPERLINK("https://www.google.com/maps/search/?api=1&amp;query=24.81306938,46.73811223", "View Map")</f>
        <v/>
      </c>
    </row>
    <row r="2583">
      <c r="A2583" t="inlineStr">
        <is>
          <t>مسجد حى  الشعلان .</t>
        </is>
      </c>
      <c r="B2583" t="inlineStr">
        <is>
          <t>KFM2020660177108</t>
        </is>
      </c>
      <c r="C2583" t="inlineStr">
        <is>
          <t>الرياض</t>
        </is>
      </c>
      <c r="D2583" t="inlineStr">
        <is>
          <t>كلا الفترتين</t>
        </is>
      </c>
      <c r="E2583" t="n">
        <v>1185</v>
      </c>
      <c r="F2583" t="b">
        <v>1</v>
      </c>
      <c r="G2583">
        <f>HYPERLINK("https://www.google.com/maps/search/?api=1&amp;query=24.54903582,46.68769823", "View Map")</f>
        <v/>
      </c>
    </row>
    <row r="2584">
      <c r="A2584" t="inlineStr">
        <is>
          <t>ﻤﺴﺎﺠﺩ .</t>
        </is>
      </c>
      <c r="B2584" t="inlineStr">
        <is>
          <t>KFM2020660127604</t>
        </is>
      </c>
      <c r="C2584" t="inlineStr">
        <is>
          <t>الرياض</t>
        </is>
      </c>
      <c r="D2584" t="inlineStr">
        <is>
          <t>كلا الفترتين</t>
        </is>
      </c>
      <c r="E2584" t="n">
        <v>1184</v>
      </c>
      <c r="F2584" t="b">
        <v>1</v>
      </c>
      <c r="G2584">
        <f>HYPERLINK("https://www.google.com/maps/search/?api=1&amp;query=24.8292511,46.62597262", "View Map")</f>
        <v/>
      </c>
    </row>
    <row r="2585">
      <c r="A2585" t="inlineStr">
        <is>
          <t xml:space="preserve">   مسجد      حي        اشبيليا .</t>
        </is>
      </c>
      <c r="B2585" t="inlineStr">
        <is>
          <t>KFM2020660041256</t>
        </is>
      </c>
      <c r="C2585" t="inlineStr">
        <is>
          <t>الرياض</t>
        </is>
      </c>
      <c r="D2585" t="inlineStr">
        <is>
          <t>كلا الفترتين</t>
        </is>
      </c>
      <c r="E2585" t="n">
        <v>1183</v>
      </c>
      <c r="F2585" t="b">
        <v>1</v>
      </c>
      <c r="G2585">
        <f>HYPERLINK("https://www.google.com/maps/search/?api=1&amp;query=24.79055915,46.79616398", "View Map")</f>
        <v/>
      </c>
    </row>
    <row r="2586">
      <c r="A2586" t="inlineStr">
        <is>
          <t xml:space="preserve">   مسجد/سعدمحمدعبدالعزيزبن معمر .</t>
        </is>
      </c>
      <c r="B2586" t="inlineStr">
        <is>
          <t>KFM2020760231473</t>
        </is>
      </c>
      <c r="C2586" t="inlineStr">
        <is>
          <t>الدرعية</t>
        </is>
      </c>
      <c r="D2586" t="inlineStr">
        <is>
          <t>كلا الفترتين</t>
        </is>
      </c>
      <c r="E2586" t="n">
        <v>1182</v>
      </c>
      <c r="F2586" t="b">
        <v>0</v>
      </c>
      <c r="G2586">
        <f>HYPERLINK("https://www.google.com/maps/search/?api=1&amp;query=24.99169954,46.23244505", "View Map")</f>
        <v/>
      </c>
    </row>
    <row r="2587">
      <c r="A2587" t="inlineStr">
        <is>
          <t>مسجدالامير/فهد بن سعد .</t>
        </is>
      </c>
      <c r="B2587" t="inlineStr">
        <is>
          <t>KFM2020660014140</t>
        </is>
      </c>
      <c r="C2587" t="inlineStr">
        <is>
          <t>الرياض</t>
        </is>
      </c>
      <c r="D2587" t="inlineStr">
        <is>
          <t>كلا الفترتين</t>
        </is>
      </c>
      <c r="E2587" t="n">
        <v>1182</v>
      </c>
      <c r="F2587" t="b">
        <v>0</v>
      </c>
      <c r="G2587">
        <f>HYPERLINK("https://www.google.com/maps/search/?api=1&amp;query=24.63487555,46.69858206", "View Map")</f>
        <v/>
      </c>
    </row>
    <row r="2588">
      <c r="A2588" t="inlineStr">
        <is>
          <t>ﻤﺴﺎﺠﺩ .</t>
        </is>
      </c>
      <c r="B2588" t="inlineStr">
        <is>
          <t>KFM2120660268891</t>
        </is>
      </c>
      <c r="C2588" t="inlineStr">
        <is>
          <t>الرياض</t>
        </is>
      </c>
      <c r="D2588" t="inlineStr">
        <is>
          <t>كلا الفترتين</t>
        </is>
      </c>
      <c r="E2588" t="n">
        <v>1182</v>
      </c>
      <c r="F2588" t="b">
        <v>1</v>
      </c>
      <c r="G2588">
        <f>HYPERLINK("https://www.google.com/maps/search/?api=1&amp;query=24.6628,46.5247", "View Map")</f>
        <v/>
      </c>
    </row>
    <row r="2589">
      <c r="A2589" t="inlineStr">
        <is>
          <t>مسجدالسهله .</t>
        </is>
      </c>
      <c r="B2589" t="inlineStr">
        <is>
          <t>KFM2020660056071</t>
        </is>
      </c>
      <c r="C2589" t="inlineStr">
        <is>
          <t>الرياض</t>
        </is>
      </c>
      <c r="D2589" t="inlineStr">
        <is>
          <t>كلا الفترتين</t>
        </is>
      </c>
      <c r="E2589" t="n">
        <v>1180</v>
      </c>
      <c r="F2589" t="b">
        <v>0</v>
      </c>
      <c r="G2589">
        <f>HYPERLINK("https://www.google.com/maps/search/?api=1&amp;query=24.6123126,46.71145752", "View Map")</f>
        <v/>
      </c>
    </row>
    <row r="2590">
      <c r="A2590" t="inlineStr">
        <is>
          <t>مسجد الدخل  المحدود .</t>
        </is>
      </c>
      <c r="B2590" t="inlineStr">
        <is>
          <t>KFM2020660034220</t>
        </is>
      </c>
      <c r="C2590" t="inlineStr">
        <is>
          <t>الرياض</t>
        </is>
      </c>
      <c r="D2590" t="inlineStr">
        <is>
          <t>كلا الفترتين</t>
        </is>
      </c>
      <c r="E2590" t="n">
        <v>1179</v>
      </c>
      <c r="F2590" t="b">
        <v>0</v>
      </c>
      <c r="G2590">
        <f>HYPERLINK("https://www.google.com/maps/search/?api=1&amp;query=24.60484884,46.61958417", "View Map")</f>
        <v/>
      </c>
    </row>
    <row r="2591">
      <c r="A2591" t="inlineStr">
        <is>
          <t xml:space="preserve">   مسجد وزارة الشؤن الا سلامية .</t>
        </is>
      </c>
      <c r="B2591" t="inlineStr">
        <is>
          <t>KFM2020660173119</t>
        </is>
      </c>
      <c r="C2591" t="inlineStr">
        <is>
          <t>الرياض</t>
        </is>
      </c>
      <c r="D2591" t="inlineStr">
        <is>
          <t>كلا الفترتين</t>
        </is>
      </c>
      <c r="E2591" t="n">
        <v>1179</v>
      </c>
      <c r="F2591" t="b">
        <v>0</v>
      </c>
      <c r="G2591">
        <f>HYPERLINK("https://www.google.com/maps/search/?api=1&amp;query=24.63142561,46.55495993", "View Map")</f>
        <v/>
      </c>
    </row>
    <row r="2592">
      <c r="A2592" t="inlineStr">
        <is>
          <t>ﻤﺴﺎﺠﺩ .</t>
        </is>
      </c>
      <c r="B2592" t="inlineStr">
        <is>
          <t>SMR2320661022921</t>
        </is>
      </c>
      <c r="C2592" t="inlineStr">
        <is>
          <t>الرياض</t>
        </is>
      </c>
      <c r="D2592" t="inlineStr">
        <is>
          <t>كلا الفترتين</t>
        </is>
      </c>
      <c r="E2592" t="n">
        <v>1179</v>
      </c>
      <c r="F2592" t="b">
        <v>1</v>
      </c>
      <c r="G2592">
        <f>HYPERLINK("https://www.google.com/maps/search/?api=1&amp;query=24.85912035,46.65934211", "View Map")</f>
        <v/>
      </c>
    </row>
    <row r="2593">
      <c r="A2593" t="inlineStr">
        <is>
          <t xml:space="preserve">        مسجد ومدرسة سارة الحميزي .</t>
        </is>
      </c>
      <c r="B2593" t="inlineStr">
        <is>
          <t>KFM2020660129876</t>
        </is>
      </c>
      <c r="C2593" t="inlineStr">
        <is>
          <t>الرياض</t>
        </is>
      </c>
      <c r="D2593" t="inlineStr">
        <is>
          <t>صباحا</t>
        </is>
      </c>
      <c r="E2593" t="n">
        <v>1179</v>
      </c>
      <c r="F2593" t="b">
        <v>0</v>
      </c>
      <c r="G2593">
        <f>HYPERLINK("https://www.google.com/maps/search/?api=1&amp;query=24.78637157,46.77580972", "View Map")</f>
        <v/>
      </c>
    </row>
    <row r="2594">
      <c r="A2594" t="inlineStr">
        <is>
          <t>مسجدعبدالعزيزعلى  الخرجى .</t>
        </is>
      </c>
      <c r="B2594" t="inlineStr">
        <is>
          <t>KFM2020660011938</t>
        </is>
      </c>
      <c r="C2594" t="inlineStr">
        <is>
          <t>الرياض</t>
        </is>
      </c>
      <c r="D2594" t="inlineStr">
        <is>
          <t>كلا الفترتين</t>
        </is>
      </c>
      <c r="E2594" t="n">
        <v>1179</v>
      </c>
      <c r="F2594" t="b">
        <v>0</v>
      </c>
      <c r="G2594">
        <f>HYPERLINK("https://www.google.com/maps/search/?api=1&amp;query=24.62381385,46.7214933", "View Map")</f>
        <v/>
      </c>
    </row>
    <row r="2595">
      <c r="A2595" t="inlineStr">
        <is>
          <t>مساجد .</t>
        </is>
      </c>
      <c r="B2595" t="inlineStr">
        <is>
          <t>KFM2020660043884</t>
        </is>
      </c>
      <c r="C2595" t="inlineStr">
        <is>
          <t>الرياض</t>
        </is>
      </c>
      <c r="D2595" t="inlineStr">
        <is>
          <t>كلا الفترتين</t>
        </is>
      </c>
      <c r="E2595" t="n">
        <v>1177</v>
      </c>
      <c r="F2595" t="b">
        <v>0</v>
      </c>
      <c r="G2595">
        <f>HYPERLINK("https://www.google.com/maps/search/?api=1&amp;query=24.5600512,46.5465041", "View Map")</f>
        <v/>
      </c>
    </row>
    <row r="2596">
      <c r="A2596" t="inlineStr">
        <is>
          <t>ﻤﺴﺎﺠﺩ .</t>
        </is>
      </c>
      <c r="B2596" t="inlineStr">
        <is>
          <t>KFM2020660198474</t>
        </is>
      </c>
      <c r="C2596" t="inlineStr">
        <is>
          <t>الرياض</t>
        </is>
      </c>
      <c r="D2596" t="inlineStr">
        <is>
          <t>كلا الفترتين</t>
        </is>
      </c>
      <c r="E2596" t="n">
        <v>1177</v>
      </c>
      <c r="F2596" t="b">
        <v>1</v>
      </c>
      <c r="G2596">
        <f>HYPERLINK("https://www.google.com/maps/search/?api=1&amp;query=24.63065981,46.52829146", "View Map")</f>
        <v/>
      </c>
    </row>
    <row r="2597">
      <c r="A2597" t="inlineStr">
        <is>
          <t xml:space="preserve">   مساجد .</t>
        </is>
      </c>
      <c r="B2597" t="inlineStr">
        <is>
          <t>KFM2020660211314</t>
        </is>
      </c>
      <c r="C2597" t="inlineStr">
        <is>
          <t>الرياض</t>
        </is>
      </c>
      <c r="D2597" t="inlineStr">
        <is>
          <t>كلا الفترتين</t>
        </is>
      </c>
      <c r="E2597" t="n">
        <v>1177</v>
      </c>
      <c r="F2597" t="b">
        <v>0</v>
      </c>
      <c r="G2597">
        <f>HYPERLINK("https://www.google.com/maps/search/?api=1&amp;query=24.61707847,46.53316512", "View Map")</f>
        <v/>
      </c>
    </row>
    <row r="2598">
      <c r="A2598" t="inlineStr">
        <is>
          <t xml:space="preserve">   مسجد العقيل .</t>
        </is>
      </c>
      <c r="B2598" t="inlineStr">
        <is>
          <t>KFM2020660039573</t>
        </is>
      </c>
      <c r="C2598" t="inlineStr">
        <is>
          <t>الرياض</t>
        </is>
      </c>
      <c r="D2598" t="inlineStr">
        <is>
          <t>كلا الفترتين</t>
        </is>
      </c>
      <c r="E2598" t="n">
        <v>1177</v>
      </c>
      <c r="F2598" t="b">
        <v>0</v>
      </c>
      <c r="G2598">
        <f>HYPERLINK("https://www.google.com/maps/search/?api=1&amp;query=24.62418346,46.74383133", "View Map")</f>
        <v/>
      </c>
    </row>
    <row r="2599">
      <c r="A2599" t="inlineStr">
        <is>
          <t>مسجد      موضى       بن سعيدان .</t>
        </is>
      </c>
      <c r="B2599" t="inlineStr">
        <is>
          <t>KFM2020660197086</t>
        </is>
      </c>
      <c r="C2599" t="inlineStr">
        <is>
          <t>الرياض</t>
        </is>
      </c>
      <c r="D2599" t="inlineStr">
        <is>
          <t>كلا الفترتين</t>
        </is>
      </c>
      <c r="E2599" t="n">
        <v>1177</v>
      </c>
      <c r="F2599" t="b">
        <v>1</v>
      </c>
      <c r="G2599">
        <f>HYPERLINK("https://www.google.com/maps/search/?api=1&amp;query=24.55238324,46.51014576", "View Map")</f>
        <v/>
      </c>
    </row>
    <row r="2600">
      <c r="A2600" t="inlineStr">
        <is>
          <t xml:space="preserve">   مسجد الربوة .</t>
        </is>
      </c>
      <c r="B2600" t="inlineStr">
        <is>
          <t>KFM2120660301968</t>
        </is>
      </c>
      <c r="C2600" t="inlineStr">
        <is>
          <t>الرياض</t>
        </is>
      </c>
      <c r="D2600" t="inlineStr">
        <is>
          <t>كلا الفترتين</t>
        </is>
      </c>
      <c r="E2600" t="n">
        <v>1177</v>
      </c>
      <c r="F2600" t="b">
        <v>0</v>
      </c>
      <c r="G2600">
        <f>HYPERLINK("https://www.google.com/maps/search/?api=1&amp;query=24.70231294,46.75759735", "View Map")</f>
        <v/>
      </c>
    </row>
    <row r="2601">
      <c r="A2601" t="inlineStr">
        <is>
          <t xml:space="preserve">   مساجد .</t>
        </is>
      </c>
      <c r="B2601" t="inlineStr">
        <is>
          <t>KFM2020660174534</t>
        </is>
      </c>
      <c r="C2601" t="inlineStr">
        <is>
          <t>الرياض</t>
        </is>
      </c>
      <c r="D2601" t="inlineStr">
        <is>
          <t>كلا الفترتين</t>
        </is>
      </c>
      <c r="E2601" t="n">
        <v>1176</v>
      </c>
      <c r="F2601" t="b">
        <v>0</v>
      </c>
      <c r="G2601">
        <f>HYPERLINK("https://www.google.com/maps/search/?api=1&amp;query=24.80479585,46.79033581", "View Map")</f>
        <v/>
      </c>
    </row>
    <row r="2602">
      <c r="A2602" t="inlineStr">
        <is>
          <t>ﻤﺴﺎﺠﺩ .</t>
        </is>
      </c>
      <c r="B2602" t="inlineStr">
        <is>
          <t>MMF2420601020522</t>
        </is>
      </c>
      <c r="C2602" t="inlineStr">
        <is>
          <t>الرياض</t>
        </is>
      </c>
      <c r="D2602" t="inlineStr">
        <is>
          <t>كلا الفترتين</t>
        </is>
      </c>
      <c r="E2602" t="n">
        <v>1176</v>
      </c>
      <c r="F2602" t="b">
        <v>1</v>
      </c>
      <c r="G2602">
        <f>HYPERLINK("https://www.google.com/maps/search/?api=1&amp;query=24.80508487,46.67411866", "View Map")</f>
        <v/>
      </c>
    </row>
    <row r="2603">
      <c r="A2603" t="inlineStr">
        <is>
          <t>مسجد      0         الجضيعى .</t>
        </is>
      </c>
      <c r="B2603" t="inlineStr">
        <is>
          <t>KFM2020660051605</t>
        </is>
      </c>
      <c r="C2603" t="inlineStr">
        <is>
          <t>الرياض</t>
        </is>
      </c>
      <c r="D2603" t="inlineStr">
        <is>
          <t>كلا الفترتين</t>
        </is>
      </c>
      <c r="E2603" t="n">
        <v>1176</v>
      </c>
      <c r="F2603" t="b">
        <v>0</v>
      </c>
      <c r="G2603">
        <f>HYPERLINK("https://www.google.com/maps/search/?api=1&amp;query=24.586637,46.60297669", "View Map")</f>
        <v/>
      </c>
    </row>
    <row r="2604">
      <c r="A2604" t="inlineStr">
        <is>
          <t xml:space="preserve">   مسجد      وزارة     الاسلا ميةوالاو .</t>
        </is>
      </c>
      <c r="B2604" t="inlineStr">
        <is>
          <t>KFM2020660160613</t>
        </is>
      </c>
      <c r="C2604" t="inlineStr">
        <is>
          <t>الرياض</t>
        </is>
      </c>
      <c r="D2604" t="inlineStr">
        <is>
          <t>مساءا</t>
        </is>
      </c>
      <c r="E2604" t="n">
        <v>1175</v>
      </c>
      <c r="F2604" t="b">
        <v>0</v>
      </c>
      <c r="G2604">
        <f>HYPERLINK("https://www.google.com/maps/search/?api=1&amp;query=24.7720249,46.70346379", "View Map")</f>
        <v/>
      </c>
    </row>
    <row r="2605">
      <c r="A2605" t="inlineStr">
        <is>
          <t>ﻭﺯﺍﺭﺓﺍﻟﺸﺌﻭﻥ ﺍﻻﺴﻼﻤﻴﺓﻭﺍﻻﻭﻗﺎﻑ .</t>
        </is>
      </c>
      <c r="B2605" t="inlineStr">
        <is>
          <t>KFM2020660049550</t>
        </is>
      </c>
      <c r="C2605" t="inlineStr">
        <is>
          <t>الرياض</t>
        </is>
      </c>
      <c r="D2605" t="inlineStr">
        <is>
          <t>كلا الفترتين</t>
        </is>
      </c>
      <c r="E2605" t="n">
        <v>1174</v>
      </c>
      <c r="F2605" t="b">
        <v>0</v>
      </c>
      <c r="G2605">
        <f>HYPERLINK("https://www.google.com/maps/search/?api=1&amp;query=24.53983419,46.71934268", "View Map")</f>
        <v/>
      </c>
    </row>
    <row r="2606">
      <c r="A2606" t="inlineStr">
        <is>
          <t xml:space="preserve">   مسجد الامام أحمد بن حنبل .</t>
        </is>
      </c>
      <c r="B2606" t="inlineStr">
        <is>
          <t>KFM2020660012608</t>
        </is>
      </c>
      <c r="C2606" t="inlineStr">
        <is>
          <t>الرياض</t>
        </is>
      </c>
      <c r="D2606" t="inlineStr">
        <is>
          <t>كلا الفترتين</t>
        </is>
      </c>
      <c r="E2606" t="n">
        <v>1174</v>
      </c>
      <c r="F2606" t="b">
        <v>1</v>
      </c>
      <c r="G2606">
        <f>HYPERLINK("https://www.google.com/maps/search/?api=1&amp;query=24.79519104,46.85067337", "View Map")</f>
        <v/>
      </c>
    </row>
    <row r="2607">
      <c r="A2607" t="inlineStr">
        <is>
          <t xml:space="preserve">   مسجد      عبدالله الحزيمي .</t>
        </is>
      </c>
      <c r="B2607" t="inlineStr">
        <is>
          <t>KFM2020660061498</t>
        </is>
      </c>
      <c r="C2607" t="inlineStr">
        <is>
          <t>الرياض</t>
        </is>
      </c>
      <c r="D2607" t="inlineStr">
        <is>
          <t>كلا الفترتين</t>
        </is>
      </c>
      <c r="E2607" t="n">
        <v>1173</v>
      </c>
      <c r="F2607" t="b">
        <v>0</v>
      </c>
      <c r="G2607">
        <f>HYPERLINK("https://www.google.com/maps/search/?api=1&amp;query=24.81630679,46.72359517", "View Map")</f>
        <v/>
      </c>
    </row>
    <row r="2608">
      <c r="A2608" t="inlineStr">
        <is>
          <t xml:space="preserve">   مسجد حارة بن غنام .</t>
        </is>
      </c>
      <c r="B2608" t="inlineStr">
        <is>
          <t>KFM2120660281700</t>
        </is>
      </c>
      <c r="C2608" t="inlineStr">
        <is>
          <t>الرياض</t>
        </is>
      </c>
      <c r="D2608" t="inlineStr">
        <is>
          <t>كلا الفترتين</t>
        </is>
      </c>
      <c r="E2608" t="n">
        <v>1171</v>
      </c>
      <c r="F2608" t="b">
        <v>0</v>
      </c>
      <c r="G2608">
        <f>HYPERLINK("https://www.google.com/maps/search/?api=1&amp;query=24.47968017,46.80468886", "View Map")</f>
        <v/>
      </c>
    </row>
    <row r="2609">
      <c r="A2609" t="inlineStr">
        <is>
          <t>مساجد .</t>
        </is>
      </c>
      <c r="B2609" t="inlineStr">
        <is>
          <t>KFM2020660207553</t>
        </is>
      </c>
      <c r="C2609" t="inlineStr">
        <is>
          <t>الرياض</t>
        </is>
      </c>
      <c r="D2609" t="inlineStr">
        <is>
          <t>كلا الفترتين</t>
        </is>
      </c>
      <c r="E2609" t="n">
        <v>1171</v>
      </c>
      <c r="F2609" t="b">
        <v>1</v>
      </c>
      <c r="G2609">
        <f>HYPERLINK("https://www.google.com/maps/search/?api=1&amp;query=24.80023158,46.6833755", "View Map")</f>
        <v/>
      </c>
    </row>
    <row r="2610">
      <c r="A2610" t="inlineStr">
        <is>
          <t>ﻭﺯﺍﺭﺓﺍﻟﺸﺌﻭﻥ ﺍﻻﺴﻼﻤﻴﺓﻭﺍﻻﻭﻗﺎﻑ .</t>
        </is>
      </c>
      <c r="B2610" t="inlineStr">
        <is>
          <t>KFM2020660051387</t>
        </is>
      </c>
      <c r="C2610" t="inlineStr">
        <is>
          <t>الرياض</t>
        </is>
      </c>
      <c r="D2610" t="inlineStr">
        <is>
          <t>كلا الفترتين</t>
        </is>
      </c>
      <c r="E2610" t="n">
        <v>1171</v>
      </c>
      <c r="F2610" t="b">
        <v>1</v>
      </c>
      <c r="G2610">
        <f>HYPERLINK("https://www.google.com/maps/search/?api=1&amp;query=24.52131839,46.65888569", "View Map")</f>
        <v/>
      </c>
    </row>
    <row r="2611">
      <c r="A2611" t="inlineStr">
        <is>
          <t>مسجد الموسى .</t>
        </is>
      </c>
      <c r="B2611" t="inlineStr">
        <is>
          <t>KFM2020660198273</t>
        </is>
      </c>
      <c r="C2611" t="inlineStr">
        <is>
          <t>الرياض</t>
        </is>
      </c>
      <c r="D2611" t="inlineStr">
        <is>
          <t>كلا الفترتين</t>
        </is>
      </c>
      <c r="E2611" t="n">
        <v>1170</v>
      </c>
      <c r="F2611" t="b">
        <v>1</v>
      </c>
      <c r="G2611">
        <f>HYPERLINK("https://www.google.com/maps/search/?api=1&amp;query=24.575306,46.582452", "View Map")</f>
        <v/>
      </c>
    </row>
    <row r="2612">
      <c r="A2612" t="inlineStr">
        <is>
          <t xml:space="preserve">   وزارة الشئون الاسلاميه والاوقاف .</t>
        </is>
      </c>
      <c r="B2612" t="inlineStr">
        <is>
          <t>KFM2020660160228</t>
        </is>
      </c>
      <c r="C2612" t="inlineStr">
        <is>
          <t>الرياض</t>
        </is>
      </c>
      <c r="D2612" t="inlineStr">
        <is>
          <t>كلا الفترتين</t>
        </is>
      </c>
      <c r="E2612" t="n">
        <v>1169</v>
      </c>
      <c r="F2612" t="b">
        <v>0</v>
      </c>
      <c r="G2612">
        <f>HYPERLINK("https://www.google.com/maps/search/?api=1&amp;query=24.72150666,46.67409428", "View Map")</f>
        <v/>
      </c>
    </row>
    <row r="2613">
      <c r="A2613" t="inlineStr">
        <is>
          <t xml:space="preserve">   مـسـجـد الـتـقـو ى .</t>
        </is>
      </c>
      <c r="B2613" t="inlineStr">
        <is>
          <t>KFM2020660173098</t>
        </is>
      </c>
      <c r="C2613" t="inlineStr">
        <is>
          <t>الرياض</t>
        </is>
      </c>
      <c r="D2613" t="inlineStr">
        <is>
          <t>كلا الفترتين</t>
        </is>
      </c>
      <c r="E2613" t="n">
        <v>1168</v>
      </c>
      <c r="F2613" t="b">
        <v>1</v>
      </c>
      <c r="G2613">
        <f>HYPERLINK("https://www.google.com/maps/search/?api=1&amp;query=24.77552941,46.72267279", "View Map")</f>
        <v/>
      </c>
    </row>
    <row r="2614">
      <c r="A2614" t="inlineStr">
        <is>
          <t xml:space="preserve">   مساجد .</t>
        </is>
      </c>
      <c r="B2614" t="inlineStr">
        <is>
          <t>KFM2020660057024</t>
        </is>
      </c>
      <c r="C2614" t="inlineStr">
        <is>
          <t>الرياض</t>
        </is>
      </c>
      <c r="D2614" t="inlineStr">
        <is>
          <t>كلا الفترتين</t>
        </is>
      </c>
      <c r="E2614" t="n">
        <v>1168</v>
      </c>
      <c r="F2614" t="b">
        <v>0</v>
      </c>
      <c r="G2614">
        <f>HYPERLINK("https://www.google.com/maps/search/?api=1&amp;query=24.7176634,46.83329429", "View Map")</f>
        <v/>
      </c>
    </row>
    <row r="2615">
      <c r="A2615" t="inlineStr">
        <is>
          <t xml:space="preserve">   مسجد الهاجرى .</t>
        </is>
      </c>
      <c r="B2615" t="inlineStr">
        <is>
          <t>KFM2020660169817</t>
        </is>
      </c>
      <c r="C2615" t="inlineStr">
        <is>
          <t>الرياض</t>
        </is>
      </c>
      <c r="D2615" t="inlineStr">
        <is>
          <t>كلا الفترتين</t>
        </is>
      </c>
      <c r="E2615" t="n">
        <v>1168</v>
      </c>
      <c r="F2615" t="b">
        <v>1</v>
      </c>
      <c r="G2615">
        <f>HYPERLINK("https://www.google.com/maps/search/?api=1&amp;query=24.69362563,46.70914528", "View Map")</f>
        <v/>
      </c>
    </row>
    <row r="2616">
      <c r="A2616" t="inlineStr">
        <is>
          <t xml:space="preserve">   مسجد احمد بن حنبل .</t>
        </is>
      </c>
      <c r="B2616" t="inlineStr">
        <is>
          <t>KFM2020660057027</t>
        </is>
      </c>
      <c r="C2616" t="inlineStr">
        <is>
          <t>الرياض</t>
        </is>
      </c>
      <c r="D2616" t="inlineStr">
        <is>
          <t>كلا الفترتين</t>
        </is>
      </c>
      <c r="E2616" t="n">
        <v>1167</v>
      </c>
      <c r="F2616" t="b">
        <v>0</v>
      </c>
      <c r="G2616">
        <f>HYPERLINK("https://www.google.com/maps/search/?api=1&amp;query=24.71981618,46.83474361", "View Map")</f>
        <v/>
      </c>
    </row>
    <row r="2617">
      <c r="A2617" t="inlineStr">
        <is>
          <t>ﻤﺴﺎﺠﺩ .</t>
        </is>
      </c>
      <c r="B2617" t="inlineStr">
        <is>
          <t>KFM2120660262531</t>
        </is>
      </c>
      <c r="C2617" t="inlineStr">
        <is>
          <t>الرياض</t>
        </is>
      </c>
      <c r="D2617" t="inlineStr">
        <is>
          <t>كلا الفترتين</t>
        </is>
      </c>
      <c r="E2617" t="n">
        <v>1167</v>
      </c>
      <c r="F2617" t="b">
        <v>1</v>
      </c>
      <c r="G2617">
        <f>HYPERLINK("https://www.google.com/maps/search/?api=1&amp;query=24.6067,46.5183", "View Map")</f>
        <v/>
      </c>
    </row>
    <row r="2618">
      <c r="A2618" t="inlineStr">
        <is>
          <t xml:space="preserve">   مسجدحي الصحافه /القبس / .</t>
        </is>
      </c>
      <c r="B2618" t="inlineStr">
        <is>
          <t>KFM2120660257386</t>
        </is>
      </c>
      <c r="C2618" t="inlineStr">
        <is>
          <t>الرياض</t>
        </is>
      </c>
      <c r="D2618" t="inlineStr">
        <is>
          <t>كلا الفترتين</t>
        </is>
      </c>
      <c r="E2618" t="n">
        <v>1167</v>
      </c>
      <c r="F2618" t="b">
        <v>0</v>
      </c>
      <c r="G2618">
        <f>HYPERLINK("https://www.google.com/maps/search/?api=1&amp;query=24.79424058,46.64743725", "View Map")</f>
        <v/>
      </c>
    </row>
    <row r="2619">
      <c r="A2619" t="inlineStr">
        <is>
          <t xml:space="preserve">   مسجد حى المرسلات .</t>
        </is>
      </c>
      <c r="B2619" t="inlineStr">
        <is>
          <t>KFM2020660192229</t>
        </is>
      </c>
      <c r="C2619" t="inlineStr">
        <is>
          <t>الرياض</t>
        </is>
      </c>
      <c r="D2619" t="inlineStr">
        <is>
          <t>كلا الفترتين</t>
        </is>
      </c>
      <c r="E2619" t="n">
        <v>1165</v>
      </c>
      <c r="F2619" t="b">
        <v>0</v>
      </c>
      <c r="G2619">
        <f>HYPERLINK("https://www.google.com/maps/search/?api=1&amp;query=24.7559137,46.69511064", "View Map")</f>
        <v/>
      </c>
    </row>
    <row r="2620">
      <c r="A2620" t="inlineStr">
        <is>
          <t xml:space="preserve">   مسجد شرق الغرابى .</t>
        </is>
      </c>
      <c r="B2620" t="inlineStr">
        <is>
          <t>KFM2120660282509</t>
        </is>
      </c>
      <c r="C2620" t="inlineStr">
        <is>
          <t>الرياض</t>
        </is>
      </c>
      <c r="D2620" t="inlineStr">
        <is>
          <t>كلا الفترتين</t>
        </is>
      </c>
      <c r="E2620" t="n">
        <v>1165</v>
      </c>
      <c r="F2620" t="b">
        <v>0</v>
      </c>
      <c r="G2620">
        <f>HYPERLINK("https://www.google.com/maps/search/?api=1&amp;query=24.64598377,46.72275005", "View Map")</f>
        <v/>
      </c>
    </row>
    <row r="2621">
      <c r="A2621" t="inlineStr">
        <is>
          <t>مساجد .</t>
        </is>
      </c>
      <c r="B2621" t="inlineStr">
        <is>
          <t>KFM2020660104177</t>
        </is>
      </c>
      <c r="C2621" t="inlineStr">
        <is>
          <t>الرياض</t>
        </is>
      </c>
      <c r="D2621" t="inlineStr">
        <is>
          <t>كلا الفترتين</t>
        </is>
      </c>
      <c r="E2621" t="n">
        <v>1163</v>
      </c>
      <c r="F2621" t="b">
        <v>0</v>
      </c>
      <c r="G2621">
        <f>HYPERLINK("https://www.google.com/maps/search/?api=1&amp;query=24.83426654,46.64855176", "View Map")</f>
        <v/>
      </c>
    </row>
    <row r="2622">
      <c r="A2622" t="inlineStr">
        <is>
          <t>ﻤﺴﺎﺠﺩ .</t>
        </is>
      </c>
      <c r="B2622" t="inlineStr">
        <is>
          <t>KFM2020660031251</t>
        </is>
      </c>
      <c r="C2622" t="inlineStr">
        <is>
          <t>الرياض</t>
        </is>
      </c>
      <c r="D2622" t="inlineStr">
        <is>
          <t>كلا الفترتين</t>
        </is>
      </c>
      <c r="E2622" t="n">
        <v>1162</v>
      </c>
      <c r="F2622" t="b">
        <v>0</v>
      </c>
      <c r="G2622">
        <f>HYPERLINK("https://www.google.com/maps/search/?api=1&amp;query=24.71896658,46.66461713", "View Map")</f>
        <v/>
      </c>
    </row>
    <row r="2623">
      <c r="A2623" t="inlineStr">
        <is>
          <t>مسجدمحمدسعدالمهنا .</t>
        </is>
      </c>
      <c r="B2623" t="inlineStr">
        <is>
          <t>KFM2020660098924</t>
        </is>
      </c>
      <c r="C2623" t="inlineStr">
        <is>
          <t>الرياض</t>
        </is>
      </c>
      <c r="D2623" t="inlineStr">
        <is>
          <t>كلا الفترتين</t>
        </is>
      </c>
      <c r="E2623" t="n">
        <v>1162</v>
      </c>
      <c r="F2623" t="b">
        <v>1</v>
      </c>
      <c r="G2623">
        <f>HYPERLINK("https://www.google.com/maps/search/?api=1&amp;query=24.58642562,46.61800224", "View Map")</f>
        <v/>
      </c>
    </row>
    <row r="2624">
      <c r="A2624" t="inlineStr">
        <is>
          <t>ﻤﺴﺎﺠﺩ .</t>
        </is>
      </c>
      <c r="B2624" t="inlineStr">
        <is>
          <t>KFM2020660004039</t>
        </is>
      </c>
      <c r="C2624" t="inlineStr">
        <is>
          <t>الرياض</t>
        </is>
      </c>
      <c r="D2624" t="inlineStr">
        <is>
          <t>كلا الفترتين</t>
        </is>
      </c>
      <c r="E2624" t="n">
        <v>1162</v>
      </c>
      <c r="F2624" t="b">
        <v>0</v>
      </c>
      <c r="G2624">
        <f>HYPERLINK("https://www.google.com/maps/search/?api=1&amp;query=24.84077763,46.81525419", "View Map")</f>
        <v/>
      </c>
    </row>
    <row r="2625">
      <c r="A2625" t="inlineStr">
        <is>
          <t xml:space="preserve">   مسجد علي الهزاع .</t>
        </is>
      </c>
      <c r="B2625" t="inlineStr">
        <is>
          <t>KFM2020660057040</t>
        </is>
      </c>
      <c r="C2625" t="inlineStr">
        <is>
          <t>الرياض</t>
        </is>
      </c>
      <c r="D2625" t="inlineStr">
        <is>
          <t>كلا الفترتين</t>
        </is>
      </c>
      <c r="E2625" t="n">
        <v>1162</v>
      </c>
      <c r="F2625" t="b">
        <v>0</v>
      </c>
      <c r="G2625">
        <f>HYPERLINK("https://www.google.com/maps/search/?api=1&amp;query=24.73482398,46.81726352", "View Map")</f>
        <v/>
      </c>
    </row>
    <row r="2626">
      <c r="A2626" t="inlineStr">
        <is>
          <t xml:space="preserve">   مسجد ابوبكر الصديق .</t>
        </is>
      </c>
      <c r="B2626" t="inlineStr">
        <is>
          <t>KFM2020660162164</t>
        </is>
      </c>
      <c r="C2626" t="inlineStr">
        <is>
          <t>الرياض</t>
        </is>
      </c>
      <c r="D2626" t="inlineStr">
        <is>
          <t>كلا الفترتين</t>
        </is>
      </c>
      <c r="E2626" t="n">
        <v>1161</v>
      </c>
      <c r="F2626" t="b">
        <v>0</v>
      </c>
      <c r="G2626">
        <f>HYPERLINK("https://www.google.com/maps/search/?api=1&amp;query=24.5670318,46.79597581", "View Map")</f>
        <v/>
      </c>
    </row>
    <row r="2627">
      <c r="A2627" t="inlineStr">
        <is>
          <t xml:space="preserve">   مسجد الربوه .</t>
        </is>
      </c>
      <c r="B2627" t="inlineStr">
        <is>
          <t>KFM2020660193587</t>
        </is>
      </c>
      <c r="C2627" t="inlineStr">
        <is>
          <t>الرياض</t>
        </is>
      </c>
      <c r="D2627" t="inlineStr">
        <is>
          <t>كلا الفترتين</t>
        </is>
      </c>
      <c r="E2627" t="n">
        <v>1160</v>
      </c>
      <c r="F2627" t="b">
        <v>1</v>
      </c>
      <c r="G2627">
        <f>HYPERLINK("https://www.google.com/maps/search/?api=1&amp;query=24.69856028,46.78649476", "View Map")</f>
        <v/>
      </c>
    </row>
    <row r="2628">
      <c r="A2628" t="inlineStr">
        <is>
          <t xml:space="preserve">   مسجد السنانى .</t>
        </is>
      </c>
      <c r="B2628" t="inlineStr">
        <is>
          <t>KFM2020660049812</t>
        </is>
      </c>
      <c r="C2628" t="inlineStr">
        <is>
          <t>الرياض</t>
        </is>
      </c>
      <c r="D2628" t="inlineStr">
        <is>
          <t>كلا الفترتين</t>
        </is>
      </c>
      <c r="E2628" t="n">
        <v>1159</v>
      </c>
      <c r="F2628" t="b">
        <v>0</v>
      </c>
      <c r="G2628">
        <f>HYPERLINK("https://www.google.com/maps/search/?api=1&amp;query=24.70833156,46.62823253", "View Map")</f>
        <v/>
      </c>
    </row>
    <row r="2629">
      <c r="A2629" t="inlineStr">
        <is>
          <t>ﻭﺯﺍﺭﺓﺍﻟﺸﺌﻭﻥ ﺍﻻﺴﻼﻤﻴﺓﻭﺍﻻﻭﻗﺎﻑ .</t>
        </is>
      </c>
      <c r="B2629" t="inlineStr">
        <is>
          <t>KFM2020660166797</t>
        </is>
      </c>
      <c r="C2629" t="inlineStr">
        <is>
          <t>الرياض</t>
        </is>
      </c>
      <c r="D2629" t="inlineStr">
        <is>
          <t>كلا الفترتين</t>
        </is>
      </c>
      <c r="E2629" t="n">
        <v>1158</v>
      </c>
      <c r="F2629" t="b">
        <v>1</v>
      </c>
      <c r="G2629">
        <f>HYPERLINK("https://www.google.com/maps/search/?api=1&amp;query=24.6156,46.6939", "View Map")</f>
        <v/>
      </c>
    </row>
    <row r="2630">
      <c r="A2630" t="inlineStr">
        <is>
          <t>مسجد عبدالله  العتيق .</t>
        </is>
      </c>
      <c r="B2630" t="inlineStr">
        <is>
          <t>KFM2020660201720</t>
        </is>
      </c>
      <c r="C2630" t="inlineStr">
        <is>
          <t>الرياض</t>
        </is>
      </c>
      <c r="D2630" t="inlineStr">
        <is>
          <t>كلا الفترتين</t>
        </is>
      </c>
      <c r="E2630" t="n">
        <v>1158</v>
      </c>
      <c r="F2630" t="b">
        <v>0</v>
      </c>
      <c r="G2630">
        <f>HYPERLINK("https://www.google.com/maps/search/?api=1&amp;query=24.53908772,46.70975259", "View Map")</f>
        <v/>
      </c>
    </row>
    <row r="2631">
      <c r="A2631" t="inlineStr">
        <is>
          <t xml:space="preserve">   مسجد اباالخيل الحجرى .</t>
        </is>
      </c>
      <c r="B2631" t="inlineStr">
        <is>
          <t>KFM2120660303779</t>
        </is>
      </c>
      <c r="C2631" t="inlineStr">
        <is>
          <t>الرياض</t>
        </is>
      </c>
      <c r="D2631" t="inlineStr">
        <is>
          <t>كلا الفترتين</t>
        </is>
      </c>
      <c r="E2631" t="n">
        <v>1158</v>
      </c>
      <c r="F2631" t="b">
        <v>0</v>
      </c>
      <c r="G2631">
        <f>HYPERLINK("https://www.google.com/maps/search/?api=1&amp;query=24.63897865,46.72488425", "View Map")</f>
        <v/>
      </c>
    </row>
    <row r="2632">
      <c r="A2632" t="inlineStr">
        <is>
          <t>ﻭﺯﺍﺭﺓﺍﻟﺸﺌﻭﻥ ﺍﻻﺴﻼﻤﻴﺓﻭﺍﻻﻭﻗﺎﻑ .</t>
        </is>
      </c>
      <c r="B2632" t="inlineStr">
        <is>
          <t>KFM2020660049565</t>
        </is>
      </c>
      <c r="C2632" t="inlineStr">
        <is>
          <t>الرياض</t>
        </is>
      </c>
      <c r="D2632" t="inlineStr">
        <is>
          <t>كلا الفترتين</t>
        </is>
      </c>
      <c r="E2632" t="n">
        <v>1158</v>
      </c>
      <c r="F2632" t="b">
        <v>1</v>
      </c>
      <c r="G2632">
        <f>HYPERLINK("https://www.google.com/maps/search/?api=1&amp;query=24.5567,46.5722", "View Map")</f>
        <v/>
      </c>
    </row>
    <row r="2633">
      <c r="A2633" t="inlineStr">
        <is>
          <t>مسجد الزهرانى .</t>
        </is>
      </c>
      <c r="B2633" t="inlineStr">
        <is>
          <t>KFM2020660015372</t>
        </is>
      </c>
      <c r="C2633" t="inlineStr">
        <is>
          <t>الرياض</t>
        </is>
      </c>
      <c r="D2633" t="inlineStr">
        <is>
          <t>صباحا</t>
        </is>
      </c>
      <c r="E2633" t="n">
        <v>1157</v>
      </c>
      <c r="F2633" t="b">
        <v>0</v>
      </c>
      <c r="G2633">
        <f>HYPERLINK("https://www.google.com/maps/search/?api=1&amp;query=24.5764,46.5892", "View Map")</f>
        <v/>
      </c>
    </row>
    <row r="2634">
      <c r="A2634" t="inlineStr">
        <is>
          <t>مسجد العباسى .</t>
        </is>
      </c>
      <c r="B2634" t="inlineStr">
        <is>
          <t>KFM2020660035605</t>
        </is>
      </c>
      <c r="C2634" t="inlineStr">
        <is>
          <t>الرياض</t>
        </is>
      </c>
      <c r="D2634" t="inlineStr">
        <is>
          <t>كلا الفترتين</t>
        </is>
      </c>
      <c r="E2634" t="n">
        <v>1157</v>
      </c>
      <c r="F2634" t="b">
        <v>1</v>
      </c>
      <c r="G2634">
        <f>HYPERLINK("https://www.google.com/maps/search/?api=1&amp;query=24.56147312,46.68505211", "View Map")</f>
        <v/>
      </c>
    </row>
    <row r="2635">
      <c r="A2635" t="inlineStr">
        <is>
          <t>مسجد /  عبدالله    النقيه .</t>
        </is>
      </c>
      <c r="B2635" t="inlineStr">
        <is>
          <t>KFM2020660198445</t>
        </is>
      </c>
      <c r="C2635" t="inlineStr">
        <is>
          <t>الرياض</t>
        </is>
      </c>
      <c r="D2635" t="inlineStr">
        <is>
          <t>كلا الفترتين</t>
        </is>
      </c>
      <c r="E2635" t="n">
        <v>1157</v>
      </c>
      <c r="F2635" t="b">
        <v>0</v>
      </c>
      <c r="G2635">
        <f>HYPERLINK("https://www.google.com/maps/search/?api=1&amp;query=24.53526036,46.69762732", "View Map")</f>
        <v/>
      </c>
    </row>
    <row r="2636">
      <c r="A2636" t="inlineStr">
        <is>
          <t xml:space="preserve">   مسجد الشيخ  الالباني .</t>
        </is>
      </c>
      <c r="B2636" t="inlineStr">
        <is>
          <t>KFM2020660057091</t>
        </is>
      </c>
      <c r="C2636" t="inlineStr">
        <is>
          <t>الرياض</t>
        </is>
      </c>
      <c r="D2636" t="inlineStr">
        <is>
          <t>كلا الفترتين</t>
        </is>
      </c>
      <c r="E2636" t="n">
        <v>1156</v>
      </c>
      <c r="F2636" t="b">
        <v>0</v>
      </c>
      <c r="G2636">
        <f>HYPERLINK("https://www.google.com/maps/search/?api=1&amp;query=24.74773026,46.82348913", "View Map")</f>
        <v/>
      </c>
    </row>
    <row r="2637">
      <c r="A2637" t="inlineStr">
        <is>
          <t xml:space="preserve">   مسجد حي   الريان    . .</t>
        </is>
      </c>
      <c r="B2637" t="inlineStr">
        <is>
          <t>KFM2020660167791</t>
        </is>
      </c>
      <c r="C2637" t="inlineStr">
        <is>
          <t>الرياض</t>
        </is>
      </c>
      <c r="D2637" t="inlineStr">
        <is>
          <t>كلا الفترتين</t>
        </is>
      </c>
      <c r="E2637" t="n">
        <v>1156</v>
      </c>
      <c r="F2637" t="b">
        <v>0</v>
      </c>
      <c r="G2637">
        <f>HYPERLINK("https://www.google.com/maps/search/?api=1&amp;query=24.71166402,46.77993013", "View Map")</f>
        <v/>
      </c>
    </row>
    <row r="2638">
      <c r="A2638" t="inlineStr">
        <is>
          <t xml:space="preserve">   مسجد علي بن أبي طالب .</t>
        </is>
      </c>
      <c r="B2638" t="inlineStr">
        <is>
          <t>KFM2020660037043</t>
        </is>
      </c>
      <c r="C2638" t="inlineStr">
        <is>
          <t>الرياض</t>
        </is>
      </c>
      <c r="D2638" t="inlineStr">
        <is>
          <t>كلا الفترتين</t>
        </is>
      </c>
      <c r="E2638" t="n">
        <v>1156</v>
      </c>
      <c r="F2638" t="b">
        <v>0</v>
      </c>
      <c r="G2638">
        <f>HYPERLINK("https://www.google.com/maps/search/?api=1&amp;query=24.74777031,46.83822862", "View Map")</f>
        <v/>
      </c>
    </row>
    <row r="2639">
      <c r="A2639" t="inlineStr">
        <is>
          <t>ﻭﺯﺍﺭﺓﺍﻟﺸﺌﻭﻥ ﺍﻻﺴﻼﻤﻴﺓﻭﺍﻻﻭﻗﺎﻑ .</t>
        </is>
      </c>
      <c r="B2639" t="inlineStr">
        <is>
          <t>KFM2020660007979</t>
        </is>
      </c>
      <c r="C2639" t="inlineStr">
        <is>
          <t>الرياض</t>
        </is>
      </c>
      <c r="D2639" t="inlineStr">
        <is>
          <t>كلا الفترتين</t>
        </is>
      </c>
      <c r="E2639" t="n">
        <v>1156</v>
      </c>
      <c r="F2639" t="b">
        <v>0</v>
      </c>
      <c r="G2639">
        <f>HYPERLINK("https://www.google.com/maps/search/?api=1&amp;query=24.55068893,46.63014862", "View Map")</f>
        <v/>
      </c>
    </row>
    <row r="2640">
      <c r="A2640" t="inlineStr">
        <is>
          <t xml:space="preserve">   سكن مسجد عمر بن الخطاب .</t>
        </is>
      </c>
      <c r="B2640" t="inlineStr">
        <is>
          <t>MMF2020800250326</t>
        </is>
      </c>
      <c r="C2640" t="inlineStr">
        <is>
          <t>الرياض</t>
        </is>
      </c>
      <c r="D2640" t="inlineStr">
        <is>
          <t>كلا الفترتين</t>
        </is>
      </c>
      <c r="E2640" t="n">
        <v>1155</v>
      </c>
      <c r="F2640" t="b">
        <v>0</v>
      </c>
      <c r="G2640">
        <f>HYPERLINK("https://www.google.com/maps/search/?api=1&amp;query=24.76146996,46.7665743", "View Map")</f>
        <v/>
      </c>
    </row>
    <row r="2641">
      <c r="A2641" t="inlineStr">
        <is>
          <t>مسجد      محمد      الشفرود .</t>
        </is>
      </c>
      <c r="B2641" t="inlineStr">
        <is>
          <t>KFM2120660283977</t>
        </is>
      </c>
      <c r="C2641" t="inlineStr">
        <is>
          <t>الرياض</t>
        </is>
      </c>
      <c r="D2641" t="inlineStr">
        <is>
          <t>كلا الفترتين</t>
        </is>
      </c>
      <c r="E2641" t="n">
        <v>1155</v>
      </c>
      <c r="F2641" t="b">
        <v>0</v>
      </c>
      <c r="G2641">
        <f>HYPERLINK("https://www.google.com/maps/search/?api=1&amp;query=24.55681254,46.70454415", "View Map")</f>
        <v/>
      </c>
    </row>
    <row r="2642">
      <c r="A2642" t="inlineStr">
        <is>
          <t xml:space="preserve">   مسجد عمر بن عبدالعزيز .</t>
        </is>
      </c>
      <c r="B2642" t="inlineStr">
        <is>
          <t>KFM2020660046206</t>
        </is>
      </c>
      <c r="C2642" t="inlineStr">
        <is>
          <t>الرياض</t>
        </is>
      </c>
      <c r="D2642" t="inlineStr">
        <is>
          <t>كلا الفترتين</t>
        </is>
      </c>
      <c r="E2642" t="n">
        <v>1154</v>
      </c>
      <c r="F2642" t="b">
        <v>1</v>
      </c>
      <c r="G2642">
        <f>HYPERLINK("https://www.google.com/maps/search/?api=1&amp;query=24.71151969,46.81877496", "View Map")</f>
        <v/>
      </c>
    </row>
    <row r="2643">
      <c r="A2643" t="inlineStr">
        <is>
          <t>مسجد الشيخ عبدالرحمن الراشد .</t>
        </is>
      </c>
      <c r="B2643" t="inlineStr">
        <is>
          <t>KFM2020660203291</t>
        </is>
      </c>
      <c r="C2643" t="inlineStr">
        <is>
          <t>الرياض</t>
        </is>
      </c>
      <c r="D2643" t="inlineStr">
        <is>
          <t>كلا الفترتين</t>
        </is>
      </c>
      <c r="E2643" t="n">
        <v>1154</v>
      </c>
      <c r="F2643" t="b">
        <v>0</v>
      </c>
      <c r="G2643">
        <f>HYPERLINK("https://www.google.com/maps/search/?api=1&amp;query=24.60259749,46.65124715", "View Map")</f>
        <v/>
      </c>
    </row>
    <row r="2644">
      <c r="A2644" t="inlineStr">
        <is>
          <t xml:space="preserve">   وزارةالشؤون الاسلامية/مسجدالجاسر .</t>
        </is>
      </c>
      <c r="B2644" t="inlineStr">
        <is>
          <t>KFM2020660187989</t>
        </is>
      </c>
      <c r="C2644" t="inlineStr">
        <is>
          <t>الدرعية</t>
        </is>
      </c>
      <c r="D2644" t="inlineStr">
        <is>
          <t>كلا الفترتين</t>
        </is>
      </c>
      <c r="E2644" t="n">
        <v>1153</v>
      </c>
      <c r="F2644" t="b">
        <v>0</v>
      </c>
      <c r="G2644">
        <f>HYPERLINK("https://www.google.com/maps/search/?api=1&amp;query=24.7698187,46.57941972", "View Map")</f>
        <v/>
      </c>
    </row>
    <row r="2645">
      <c r="A2645" t="inlineStr">
        <is>
          <t>مسجد السويدى .</t>
        </is>
      </c>
      <c r="B2645" t="inlineStr">
        <is>
          <t>KFM2020660057811</t>
        </is>
      </c>
      <c r="C2645" t="inlineStr">
        <is>
          <t>الرياض</t>
        </is>
      </c>
      <c r="D2645" t="inlineStr">
        <is>
          <t>كلا الفترتين</t>
        </is>
      </c>
      <c r="E2645" t="n">
        <v>1153</v>
      </c>
      <c r="F2645" t="b">
        <v>0</v>
      </c>
      <c r="G2645">
        <f>HYPERLINK("https://www.google.com/maps/search/?api=1&amp;query=24.59251674,46.66826536", "View Map")</f>
        <v/>
      </c>
    </row>
    <row r="2646">
      <c r="A2646" t="inlineStr">
        <is>
          <t xml:space="preserve">   مسجد عدي بن حاتم .</t>
        </is>
      </c>
      <c r="B2646" t="inlineStr">
        <is>
          <t>KFM2020660057081</t>
        </is>
      </c>
      <c r="C2646" t="inlineStr">
        <is>
          <t>الرياض</t>
        </is>
      </c>
      <c r="D2646" t="inlineStr">
        <is>
          <t>كلا الفترتين</t>
        </is>
      </c>
      <c r="E2646" t="n">
        <v>1153</v>
      </c>
      <c r="F2646" t="b">
        <v>0</v>
      </c>
      <c r="G2646">
        <f>HYPERLINK("https://www.google.com/maps/search/?api=1&amp;query=24.72740175,46.82874819", "View Map")</f>
        <v/>
      </c>
    </row>
    <row r="2647">
      <c r="A2647" t="inlineStr">
        <is>
          <t>ﻤﺴﺎﺠﺩ .</t>
        </is>
      </c>
      <c r="B2647" t="inlineStr">
        <is>
          <t>KFM2020660207554</t>
        </is>
      </c>
      <c r="C2647" t="inlineStr">
        <is>
          <t>الرياض</t>
        </is>
      </c>
      <c r="D2647" t="inlineStr">
        <is>
          <t>كلا الفترتين</t>
        </is>
      </c>
      <c r="E2647" t="n">
        <v>1153</v>
      </c>
      <c r="F2647" t="b">
        <v>0</v>
      </c>
      <c r="G2647">
        <f>HYPERLINK("https://www.google.com/maps/search/?api=1&amp;query=24.80672,46.68404", "View Map")</f>
        <v/>
      </c>
    </row>
    <row r="2648">
      <c r="A2648" t="inlineStr">
        <is>
          <t xml:space="preserve">   جامع الروسان .</t>
        </is>
      </c>
      <c r="B2648" t="inlineStr">
        <is>
          <t>KFM2020660049754</t>
        </is>
      </c>
      <c r="C2648" t="inlineStr">
        <is>
          <t>الرياض</t>
        </is>
      </c>
      <c r="D2648" t="inlineStr">
        <is>
          <t>كلا الفترتين</t>
        </is>
      </c>
      <c r="E2648" t="n">
        <v>1153</v>
      </c>
      <c r="F2648" t="b">
        <v>0</v>
      </c>
      <c r="G2648">
        <f>HYPERLINK("https://www.google.com/maps/search/?api=1&amp;query=24.77213135,46.81169049", "View Map")</f>
        <v/>
      </c>
    </row>
    <row r="2649">
      <c r="A2649" t="inlineStr">
        <is>
          <t>مسجد /عروه  بن الزبير .</t>
        </is>
      </c>
      <c r="B2649" t="inlineStr">
        <is>
          <t>KFM2020660173204</t>
        </is>
      </c>
      <c r="C2649" t="inlineStr">
        <is>
          <t>الرياض</t>
        </is>
      </c>
      <c r="D2649" t="inlineStr">
        <is>
          <t>كلا الفترتين</t>
        </is>
      </c>
      <c r="E2649" t="n">
        <v>1152</v>
      </c>
      <c r="F2649" t="b">
        <v>0</v>
      </c>
      <c r="G2649">
        <f>HYPERLINK("https://www.google.com/maps/search/?api=1&amp;query=24.55741485,46.69213812", "View Map")</f>
        <v/>
      </c>
    </row>
    <row r="2650">
      <c r="A2650" t="inlineStr">
        <is>
          <t xml:space="preserve">   مساجد .</t>
        </is>
      </c>
      <c r="B2650" t="inlineStr">
        <is>
          <t>KFM2020660124256</t>
        </is>
      </c>
      <c r="C2650" t="inlineStr">
        <is>
          <t>الرياض</t>
        </is>
      </c>
      <c r="D2650" t="inlineStr">
        <is>
          <t>كلا الفترتين</t>
        </is>
      </c>
      <c r="E2650" t="n">
        <v>1152</v>
      </c>
      <c r="F2650" t="b">
        <v>0</v>
      </c>
      <c r="G2650">
        <f>HYPERLINK("https://www.google.com/maps/search/?api=1&amp;query=24.77403814,46.82981711", "View Map")</f>
        <v/>
      </c>
    </row>
    <row r="2651">
      <c r="A2651" t="inlineStr">
        <is>
          <t xml:space="preserve">  مسجد وزارةالشؤون الاسلامية و الاوقاف .</t>
        </is>
      </c>
      <c r="B2651" t="inlineStr">
        <is>
          <t>KFM2020660197147</t>
        </is>
      </c>
      <c r="C2651" t="inlineStr">
        <is>
          <t>الرياض</t>
        </is>
      </c>
      <c r="D2651" t="inlineStr">
        <is>
          <t>كلا الفترتين</t>
        </is>
      </c>
      <c r="E2651" t="n">
        <v>1152</v>
      </c>
      <c r="F2651" t="b">
        <v>1</v>
      </c>
      <c r="G2651">
        <f>HYPERLINK("https://www.google.com/maps/search/?api=1&amp;query=24.86473785,46.64968371", "View Map")</f>
        <v/>
      </c>
    </row>
    <row r="2652">
      <c r="A2652" t="inlineStr">
        <is>
          <t>مسجد   أبوبكر الصديق .</t>
        </is>
      </c>
      <c r="B2652" t="inlineStr">
        <is>
          <t>KFM2020660011941</t>
        </is>
      </c>
      <c r="C2652" t="inlineStr">
        <is>
          <t>الرياض</t>
        </is>
      </c>
      <c r="D2652" t="inlineStr">
        <is>
          <t>كلا الفترتين</t>
        </is>
      </c>
      <c r="E2652" t="n">
        <v>1150</v>
      </c>
      <c r="F2652" t="b">
        <v>0</v>
      </c>
      <c r="G2652">
        <f>HYPERLINK("https://www.google.com/maps/search/?api=1&amp;query=24.53856303,46.64038544", "View Map")</f>
        <v/>
      </c>
    </row>
    <row r="2653">
      <c r="A2653" t="inlineStr">
        <is>
          <t xml:space="preserve">   مسجد ابوبكر الصديق 5/3613</t>
        </is>
      </c>
      <c r="B2653" t="inlineStr">
        <is>
          <t>KFM2120660299720</t>
        </is>
      </c>
      <c r="C2653" t="inlineStr">
        <is>
          <t>الرياض</t>
        </is>
      </c>
      <c r="D2653" t="inlineStr">
        <is>
          <t>كلا الفترتين</t>
        </is>
      </c>
      <c r="E2653" t="n">
        <v>1150</v>
      </c>
      <c r="F2653" t="b">
        <v>0</v>
      </c>
      <c r="G2653">
        <f>HYPERLINK("https://www.google.com/maps/search/?api=1&amp;query=24.59738143,46.76602763", "View Map")</f>
        <v/>
      </c>
    </row>
    <row r="2654">
      <c r="A2654" t="inlineStr">
        <is>
          <t xml:space="preserve">   مسجد      ابن       طياش .</t>
        </is>
      </c>
      <c r="B2654" t="inlineStr">
        <is>
          <t>KFM2020660057970</t>
        </is>
      </c>
      <c r="C2654" t="inlineStr">
        <is>
          <t>الرياض</t>
        </is>
      </c>
      <c r="D2654" t="inlineStr">
        <is>
          <t>كلا الفترتين</t>
        </is>
      </c>
      <c r="E2654" t="n">
        <v>1149</v>
      </c>
      <c r="F2654" t="b">
        <v>0</v>
      </c>
      <c r="G2654">
        <f>HYPERLINK("https://www.google.com/maps/search/?api=1&amp;query=24.80965456,46.77451082", "View Map")</f>
        <v/>
      </c>
    </row>
    <row r="2655">
      <c r="A2655" t="inlineStr">
        <is>
          <t>.  مسجد      ابن ربيعه .</t>
        </is>
      </c>
      <c r="B2655" t="inlineStr">
        <is>
          <t>KFM2020766160772</t>
        </is>
      </c>
      <c r="C2655" t="inlineStr">
        <is>
          <t>الرياض</t>
        </is>
      </c>
      <c r="D2655" t="inlineStr">
        <is>
          <t>كلا الفترتين</t>
        </is>
      </c>
      <c r="E2655" t="n">
        <v>1149</v>
      </c>
      <c r="F2655" t="b">
        <v>1</v>
      </c>
      <c r="G2655">
        <f>HYPERLINK("https://www.google.com/maps/search/?api=1&amp;query=24.63163884,46.68222544", "View Map")</f>
        <v/>
      </c>
    </row>
    <row r="2656">
      <c r="A2656" t="inlineStr">
        <is>
          <t xml:space="preserve">   وزارة الشئون الاسلامية والاوقاف .</t>
        </is>
      </c>
      <c r="B2656" t="inlineStr">
        <is>
          <t>KFM2020660211313</t>
        </is>
      </c>
      <c r="C2656" t="inlineStr">
        <is>
          <t>الرياض</t>
        </is>
      </c>
      <c r="D2656" t="inlineStr">
        <is>
          <t>كلا الفترتين</t>
        </is>
      </c>
      <c r="E2656" t="n">
        <v>1149</v>
      </c>
      <c r="F2656" t="b">
        <v>0</v>
      </c>
      <c r="G2656">
        <f>HYPERLINK("https://www.google.com/maps/search/?api=1&amp;query=24.62373953,46.54477428", "View Map")</f>
        <v/>
      </c>
    </row>
    <row r="2657">
      <c r="A2657" t="inlineStr">
        <is>
          <t>مسجد الجوير .</t>
        </is>
      </c>
      <c r="B2657" t="inlineStr">
        <is>
          <t>KFM2120660236389</t>
        </is>
      </c>
      <c r="C2657" t="inlineStr">
        <is>
          <t>الرياض</t>
        </is>
      </c>
      <c r="D2657" t="inlineStr">
        <is>
          <t>كلا الفترتين</t>
        </is>
      </c>
      <c r="E2657" t="n">
        <v>1148</v>
      </c>
      <c r="F2657" t="b">
        <v>1</v>
      </c>
      <c r="G2657">
        <f>HYPERLINK("https://www.google.com/maps/search/?api=1&amp;query=24.64746215,46.79678856", "View Map")</f>
        <v/>
      </c>
    </row>
    <row r="2658">
      <c r="A2658" t="inlineStr">
        <is>
          <t xml:space="preserve">   وزارة الشئون الاسلامية مسجدابوبكر .</t>
        </is>
      </c>
      <c r="B2658" t="inlineStr">
        <is>
          <t>KFM2020660192610</t>
        </is>
      </c>
      <c r="C2658" t="inlineStr">
        <is>
          <t>الرياض</t>
        </is>
      </c>
      <c r="D2658" t="inlineStr">
        <is>
          <t>كلا الفترتين</t>
        </is>
      </c>
      <c r="E2658" t="n">
        <v>1148</v>
      </c>
      <c r="F2658" t="b">
        <v>0</v>
      </c>
      <c r="G2658">
        <f>HYPERLINK("https://www.google.com/maps/search/?api=1&amp;query=24.64328185,46.57308951", "View Map")</f>
        <v/>
      </c>
    </row>
    <row r="2659">
      <c r="A2659" t="inlineStr">
        <is>
          <t xml:space="preserve">   مساجد .</t>
        </is>
      </c>
      <c r="B2659" t="inlineStr">
        <is>
          <t>KFM2020660049603</t>
        </is>
      </c>
      <c r="C2659" t="inlineStr">
        <is>
          <t>الرياض</t>
        </is>
      </c>
      <c r="D2659" t="inlineStr">
        <is>
          <t>كلا الفترتين</t>
        </is>
      </c>
      <c r="E2659" t="n">
        <v>1148</v>
      </c>
      <c r="F2659" t="b">
        <v>0</v>
      </c>
      <c r="G2659">
        <f>HYPERLINK("https://www.google.com/maps/search/?api=1&amp;query=24.76576978,46.80191706", "View Map")</f>
        <v/>
      </c>
    </row>
    <row r="2660">
      <c r="A2660" t="inlineStr">
        <is>
          <t xml:space="preserve">   مسجد عبدالرحمن العمودي .</t>
        </is>
      </c>
      <c r="B2660" t="inlineStr">
        <is>
          <t>KFM2120660299416</t>
        </is>
      </c>
      <c r="C2660" t="inlineStr">
        <is>
          <t>الرياض</t>
        </is>
      </c>
      <c r="D2660" t="inlineStr">
        <is>
          <t>كلا الفترتين</t>
        </is>
      </c>
      <c r="E2660" t="n">
        <v>1148</v>
      </c>
      <c r="F2660" t="b">
        <v>0</v>
      </c>
      <c r="G2660">
        <f>HYPERLINK("https://www.google.com/maps/search/?api=1&amp;query=24.5965079,46.74344273", "View Map")</f>
        <v/>
      </c>
    </row>
    <row r="2661">
      <c r="A2661" t="inlineStr">
        <is>
          <t xml:space="preserve">   مسجد حصة ماضي الربيعان .</t>
        </is>
      </c>
      <c r="B2661" t="inlineStr">
        <is>
          <t>KFM2020660031623</t>
        </is>
      </c>
      <c r="C2661" t="inlineStr">
        <is>
          <t>الرياض</t>
        </is>
      </c>
      <c r="D2661" t="inlineStr">
        <is>
          <t>كلا الفترتين</t>
        </is>
      </c>
      <c r="E2661" t="n">
        <v>1147</v>
      </c>
      <c r="F2661" t="b">
        <v>1</v>
      </c>
      <c r="G2661">
        <f>HYPERLINK("https://www.google.com/maps/search/?api=1&amp;query=24.69909441,46.82676965", "View Map")</f>
        <v/>
      </c>
    </row>
    <row r="2662">
      <c r="A2662" t="inlineStr">
        <is>
          <t xml:space="preserve">   مسجد حي الجنادريه .</t>
        </is>
      </c>
      <c r="B2662" t="inlineStr">
        <is>
          <t>KFM2020660139816</t>
        </is>
      </c>
      <c r="C2662" t="inlineStr">
        <is>
          <t>الرياض</t>
        </is>
      </c>
      <c r="D2662" t="inlineStr">
        <is>
          <t>كلا الفترتين</t>
        </is>
      </c>
      <c r="E2662" t="n">
        <v>1146</v>
      </c>
      <c r="F2662" t="b">
        <v>0</v>
      </c>
      <c r="G2662">
        <f>HYPERLINK("https://www.google.com/maps/search/?api=1&amp;query=24.82060625,46.88149569", "View Map")</f>
        <v/>
      </c>
    </row>
    <row r="2663">
      <c r="A2663" t="inlineStr">
        <is>
          <t>مسجد/ناصر سعد الخريجى .</t>
        </is>
      </c>
      <c r="B2663" t="inlineStr">
        <is>
          <t>KFM2020660201666</t>
        </is>
      </c>
      <c r="C2663" t="inlineStr">
        <is>
          <t>الرياض</t>
        </is>
      </c>
      <c r="D2663" t="inlineStr">
        <is>
          <t>كلا الفترتين</t>
        </is>
      </c>
      <c r="E2663" t="n">
        <v>1146</v>
      </c>
      <c r="F2663" t="b">
        <v>0</v>
      </c>
      <c r="G2663">
        <f>HYPERLINK("https://www.google.com/maps/search/?api=1&amp;query=24.59170063,46.7111747", "View Map")</f>
        <v/>
      </c>
    </row>
    <row r="2664">
      <c r="A2664" t="inlineStr">
        <is>
          <t>.       مسجد      شعبه .</t>
        </is>
      </c>
      <c r="B2664" t="inlineStr">
        <is>
          <t>KFM2020660198261</t>
        </is>
      </c>
      <c r="C2664" t="inlineStr">
        <is>
          <t>الرياض</t>
        </is>
      </c>
      <c r="D2664" t="inlineStr">
        <is>
          <t>كلا الفترتين</t>
        </is>
      </c>
      <c r="E2664" t="n">
        <v>1145</v>
      </c>
      <c r="F2664" t="b">
        <v>0</v>
      </c>
      <c r="G2664">
        <f>HYPERLINK("https://www.google.com/maps/search/?api=1&amp;query=24.63111757,46.69551872", "View Map")</f>
        <v/>
      </c>
    </row>
    <row r="2665">
      <c r="A2665" t="inlineStr">
        <is>
          <t>ﻤﺴﺎﺠﺩ .</t>
        </is>
      </c>
      <c r="B2665" t="inlineStr">
        <is>
          <t>KFM2020660175811</t>
        </is>
      </c>
      <c r="C2665" t="inlineStr">
        <is>
          <t>الرياض</t>
        </is>
      </c>
      <c r="D2665" t="inlineStr">
        <is>
          <t>كلا الفترتين</t>
        </is>
      </c>
      <c r="E2665" t="n">
        <v>1145</v>
      </c>
      <c r="F2665" t="b">
        <v>0</v>
      </c>
      <c r="G2665">
        <f>HYPERLINK("https://www.google.com/maps/search/?api=1&amp;query=24.81402222,46.8764172", "View Map")</f>
        <v/>
      </c>
    </row>
    <row r="2666">
      <c r="A2666" t="inlineStr">
        <is>
          <t>ﺃﻭﻗﺎﻑ ﻭﻤﺴﺎﺠﺩ ﺍﻟﻭﺸﻡ .</t>
        </is>
      </c>
      <c r="B2666" t="inlineStr">
        <is>
          <t>MMF2320801117649</t>
        </is>
      </c>
      <c r="C2666" t="inlineStr">
        <is>
          <t>الرياض</t>
        </is>
      </c>
      <c r="D2666" t="inlineStr">
        <is>
          <t>كلا الفترتين</t>
        </is>
      </c>
      <c r="E2666" t="n">
        <v>1144</v>
      </c>
      <c r="F2666" t="b">
        <v>0</v>
      </c>
      <c r="G2666">
        <f>HYPERLINK("https://www.google.com/maps/search/?api=1&amp;query=24.63540842242,46.557078692864", "View Map")</f>
        <v/>
      </c>
    </row>
    <row r="2667">
      <c r="A2667" t="inlineStr">
        <is>
          <t xml:space="preserve">   مسجد الامير سلطان بن عبدالعزيز .</t>
        </is>
      </c>
      <c r="B2667" t="inlineStr">
        <is>
          <t>KFM2120660258404</t>
        </is>
      </c>
      <c r="C2667" t="inlineStr">
        <is>
          <t>الرياض</t>
        </is>
      </c>
      <c r="D2667" t="inlineStr">
        <is>
          <t>كلا الفترتين</t>
        </is>
      </c>
      <c r="E2667" t="n">
        <v>1144</v>
      </c>
      <c r="F2667" t="b">
        <v>0</v>
      </c>
      <c r="G2667">
        <f>HYPERLINK("https://www.google.com/maps/search/?api=1&amp;query=24.75182989,46.70293572", "View Map")</f>
        <v/>
      </c>
    </row>
    <row r="2668">
      <c r="A2668" t="inlineStr">
        <is>
          <t xml:space="preserve">   مسجد و سكن نوره الفارس .</t>
        </is>
      </c>
      <c r="B2668" t="inlineStr">
        <is>
          <t>KFM2020660041278</t>
        </is>
      </c>
      <c r="C2668" t="inlineStr">
        <is>
          <t>الرياض</t>
        </is>
      </c>
      <c r="D2668" t="inlineStr">
        <is>
          <t>كلا الفترتين</t>
        </is>
      </c>
      <c r="E2668" t="n">
        <v>1144</v>
      </c>
      <c r="F2668" t="b">
        <v>0</v>
      </c>
      <c r="G2668">
        <f>HYPERLINK("https://www.google.com/maps/search/?api=1&amp;query=24.81199178,46.79092932", "View Map")</f>
        <v/>
      </c>
    </row>
    <row r="2669">
      <c r="A2669" t="inlineStr">
        <is>
          <t>مسجد ناصر العبدالقادر بحي هيت .</t>
        </is>
      </c>
      <c r="B2669" t="inlineStr">
        <is>
          <t>KFM2120660303087</t>
        </is>
      </c>
      <c r="C2669" t="inlineStr">
        <is>
          <t>الرياض</t>
        </is>
      </c>
      <c r="D2669" t="inlineStr">
        <is>
          <t>كلا الفترتين</t>
        </is>
      </c>
      <c r="E2669" t="n">
        <v>1143</v>
      </c>
      <c r="F2669" t="b">
        <v>0</v>
      </c>
      <c r="G2669">
        <f>HYPERLINK("https://www.google.com/maps/search/?api=1&amp;query=24.50858488,46.94779739", "View Map")</f>
        <v/>
      </c>
    </row>
    <row r="2670">
      <c r="A2670" t="inlineStr">
        <is>
          <t xml:space="preserve">   مسجدالبرومرافقه بحي عقيق الموسي .</t>
        </is>
      </c>
      <c r="B2670" t="inlineStr">
        <is>
          <t>KFM2020660104859</t>
        </is>
      </c>
      <c r="C2670" t="inlineStr">
        <is>
          <t>الرياض</t>
        </is>
      </c>
      <c r="D2670" t="inlineStr">
        <is>
          <t>كلا الفترتين</t>
        </is>
      </c>
      <c r="E2670" t="n">
        <v>1143</v>
      </c>
      <c r="F2670" t="b">
        <v>0</v>
      </c>
      <c r="G2670">
        <f>HYPERLINK("https://www.google.com/maps/search/?api=1&amp;query=24.76838394,46.62415635", "View Map")</f>
        <v/>
      </c>
    </row>
    <row r="2671">
      <c r="A2671" t="inlineStr">
        <is>
          <t>ﻤﺴﺎﺠﺩ .</t>
        </is>
      </c>
      <c r="B2671" t="inlineStr">
        <is>
          <t>KFM2020760131121</t>
        </is>
      </c>
      <c r="C2671" t="inlineStr">
        <is>
          <t>الرياض</t>
        </is>
      </c>
      <c r="D2671" t="inlineStr">
        <is>
          <t>كلا الفترتين</t>
        </is>
      </c>
      <c r="E2671" t="n">
        <v>1143</v>
      </c>
      <c r="F2671" t="b">
        <v>0</v>
      </c>
      <c r="G2671">
        <f>HYPERLINK("https://www.google.com/maps/search/?api=1&amp;query=24.80150202,46.67652617", "View Map")</f>
        <v/>
      </c>
    </row>
    <row r="2672">
      <c r="A2672" t="inlineStr">
        <is>
          <t>مسجد والدة خالد المصيريعي .</t>
        </is>
      </c>
      <c r="B2672" t="inlineStr">
        <is>
          <t>KFM2020660045237</t>
        </is>
      </c>
      <c r="C2672" t="inlineStr">
        <is>
          <t>الرياض</t>
        </is>
      </c>
      <c r="D2672" t="inlineStr">
        <is>
          <t>كلا الفترتين</t>
        </is>
      </c>
      <c r="E2672" t="n">
        <v>1142</v>
      </c>
      <c r="F2672" t="b">
        <v>0</v>
      </c>
      <c r="G2672">
        <f>HYPERLINK("https://www.google.com/maps/search/?api=1&amp;query=24.70083532,46.76946321", "View Map")</f>
        <v/>
      </c>
    </row>
    <row r="2673">
      <c r="A2673" t="inlineStr">
        <is>
          <t>مسجد جامع  الجوهرة .</t>
        </is>
      </c>
      <c r="B2673" t="inlineStr">
        <is>
          <t>KFM2020660201670</t>
        </is>
      </c>
      <c r="C2673" t="inlineStr">
        <is>
          <t>الرياض</t>
        </is>
      </c>
      <c r="D2673" t="inlineStr">
        <is>
          <t>كلا الفترتين</t>
        </is>
      </c>
      <c r="E2673" t="n">
        <v>1141</v>
      </c>
      <c r="F2673" t="b">
        <v>0</v>
      </c>
      <c r="G2673">
        <f>HYPERLINK("https://www.google.com/maps/search/?api=1&amp;query=24.59165387,46.7092736", "View Map")</f>
        <v/>
      </c>
    </row>
    <row r="2674">
      <c r="A2674" t="inlineStr">
        <is>
          <t>ﻤﺴﺎﺠﺩ .</t>
        </is>
      </c>
      <c r="B2674" t="inlineStr">
        <is>
          <t>KFM2020660197174</t>
        </is>
      </c>
      <c r="C2674" t="inlineStr">
        <is>
          <t>الرياض</t>
        </is>
      </c>
      <c r="D2674" t="inlineStr">
        <is>
          <t>كلا الفترتين</t>
        </is>
      </c>
      <c r="E2674" t="n">
        <v>1140</v>
      </c>
      <c r="F2674" t="b">
        <v>0</v>
      </c>
      <c r="G2674">
        <f>HYPERLINK("https://www.google.com/maps/search/?api=1&amp;query=24.68883198,46.60036037", "View Map")</f>
        <v/>
      </c>
    </row>
    <row r="2675">
      <c r="A2675" t="inlineStr">
        <is>
          <t xml:space="preserve">   مسجد حي الدار البيضاء .</t>
        </is>
      </c>
      <c r="B2675" t="inlineStr">
        <is>
          <t>KFM2020660162218</t>
        </is>
      </c>
      <c r="C2675" t="inlineStr">
        <is>
          <t>الرياض</t>
        </is>
      </c>
      <c r="D2675" t="inlineStr">
        <is>
          <t>كلا الفترتين</t>
        </is>
      </c>
      <c r="E2675" t="n">
        <v>1140</v>
      </c>
      <c r="F2675" t="b">
        <v>0</v>
      </c>
      <c r="G2675">
        <f>HYPERLINK("https://www.google.com/maps/search/?api=1&amp;query=24.57282464,46.79363251", "View Map")</f>
        <v/>
      </c>
    </row>
    <row r="2676">
      <c r="A2676" t="inlineStr">
        <is>
          <t>ﻤﺴﺎﺠﺩ .</t>
        </is>
      </c>
      <c r="B2676" t="inlineStr">
        <is>
          <t>KFM2120660287337</t>
        </is>
      </c>
      <c r="C2676" t="inlineStr">
        <is>
          <t>الرياض</t>
        </is>
      </c>
      <c r="D2676" t="inlineStr">
        <is>
          <t>كلا الفترتين</t>
        </is>
      </c>
      <c r="E2676" t="n">
        <v>1138</v>
      </c>
      <c r="F2676" t="b">
        <v>0</v>
      </c>
      <c r="G2676">
        <f>HYPERLINK("https://www.google.com/maps/search/?api=1&amp;query=24.5739061,46.79219834", "View Map")</f>
        <v/>
      </c>
    </row>
    <row r="2677">
      <c r="A2677" t="inlineStr">
        <is>
          <t xml:space="preserve">   مسجد جنوب شارع صيته .</t>
        </is>
      </c>
      <c r="B2677" t="inlineStr">
        <is>
          <t>KFM2020660043573</t>
        </is>
      </c>
      <c r="C2677" t="inlineStr">
        <is>
          <t>الرياض</t>
        </is>
      </c>
      <c r="D2677" t="inlineStr">
        <is>
          <t>كلا الفترتين</t>
        </is>
      </c>
      <c r="E2677" t="n">
        <v>1138</v>
      </c>
      <c r="F2677" t="b">
        <v>0</v>
      </c>
      <c r="G2677">
        <f>HYPERLINK("https://www.google.com/maps/search/?api=1&amp;query=24.65488059,46.75307789", "View Map")</f>
        <v/>
      </c>
    </row>
    <row r="2678">
      <c r="A2678" t="inlineStr">
        <is>
          <t>ﻤﺴﺎﺠﺩ .</t>
        </is>
      </c>
      <c r="B2678" t="inlineStr">
        <is>
          <t>KFM2120660257873</t>
        </is>
      </c>
      <c r="C2678" t="inlineStr">
        <is>
          <t>الرياض</t>
        </is>
      </c>
      <c r="D2678" t="inlineStr">
        <is>
          <t>كلا الفترتين</t>
        </is>
      </c>
      <c r="E2678" t="n">
        <v>1137</v>
      </c>
      <c r="F2678" t="b">
        <v>0</v>
      </c>
      <c r="G2678">
        <f>HYPERLINK("https://www.google.com/maps/search/?api=1&amp;query=24.86492007,46.62385124", "View Map")</f>
        <v/>
      </c>
    </row>
    <row r="2679">
      <c r="A2679" t="inlineStr">
        <is>
          <t xml:space="preserve">   مسجد عبدالله السبيعي .</t>
        </is>
      </c>
      <c r="B2679" t="inlineStr">
        <is>
          <t>KFM2120660281686</t>
        </is>
      </c>
      <c r="C2679" t="inlineStr">
        <is>
          <t>الرياض</t>
        </is>
      </c>
      <c r="D2679" t="inlineStr">
        <is>
          <t>كلا الفترتين</t>
        </is>
      </c>
      <c r="E2679" t="n">
        <v>1137</v>
      </c>
      <c r="F2679" t="b">
        <v>0</v>
      </c>
      <c r="G2679">
        <f>HYPERLINK("https://www.google.com/maps/search/?api=1&amp;query=24.40975051,46.84541596", "View Map")</f>
        <v/>
      </c>
    </row>
    <row r="2680">
      <c r="A2680" t="inlineStr">
        <is>
          <t xml:space="preserve">   مسجد دباس  العتيبي .</t>
        </is>
      </c>
      <c r="B2680" t="inlineStr">
        <is>
          <t>KFM2020660195821</t>
        </is>
      </c>
      <c r="C2680" t="inlineStr">
        <is>
          <t>الرياض</t>
        </is>
      </c>
      <c r="D2680" t="inlineStr">
        <is>
          <t>كلا الفترتين</t>
        </is>
      </c>
      <c r="E2680" t="n">
        <v>1137</v>
      </c>
      <c r="F2680" t="b">
        <v>0</v>
      </c>
      <c r="G2680">
        <f>HYPERLINK("https://www.google.com/maps/search/?api=1&amp;query=24.71284546,46.82683447", "View Map")</f>
        <v/>
      </c>
    </row>
    <row r="2681">
      <c r="A2681" t="inlineStr">
        <is>
          <t>مسجد بن سرحان .</t>
        </is>
      </c>
      <c r="B2681" t="inlineStr">
        <is>
          <t>KFM2020660044990</t>
        </is>
      </c>
      <c r="C2681" t="inlineStr">
        <is>
          <t>الرياض</t>
        </is>
      </c>
      <c r="D2681" t="inlineStr">
        <is>
          <t>كلا الفترتين</t>
        </is>
      </c>
      <c r="E2681" t="n">
        <v>1136</v>
      </c>
      <c r="F2681" t="b">
        <v>0</v>
      </c>
      <c r="G2681">
        <f>HYPERLINK("https://www.google.com/maps/search/?api=1&amp;query=24.61088732,46.71677076", "View Map")</f>
        <v/>
      </c>
    </row>
    <row r="2682">
      <c r="A2682" t="inlineStr">
        <is>
          <t xml:space="preserve">   مسجد/سليمان الحديثى .</t>
        </is>
      </c>
      <c r="B2682" t="inlineStr">
        <is>
          <t>KFM2020660196621</t>
        </is>
      </c>
      <c r="C2682" t="inlineStr">
        <is>
          <t>الرياض</t>
        </is>
      </c>
      <c r="D2682" t="inlineStr">
        <is>
          <t>كلا الفترتين</t>
        </is>
      </c>
      <c r="E2682" t="n">
        <v>1136</v>
      </c>
      <c r="F2682" t="b">
        <v>0</v>
      </c>
      <c r="G2682">
        <f>HYPERLINK("https://www.google.com/maps/search/?api=1&amp;query=24.74117288,46.67560649", "View Map")</f>
        <v/>
      </c>
    </row>
    <row r="2683">
      <c r="A2683" t="inlineStr">
        <is>
          <t xml:space="preserve">   وزارة الشئون الاسلاميةوالاوقاف .</t>
        </is>
      </c>
      <c r="B2683" t="inlineStr">
        <is>
          <t>KFM2120660254550</t>
        </is>
      </c>
      <c r="C2683" t="inlineStr">
        <is>
          <t>الرياض</t>
        </is>
      </c>
      <c r="D2683" t="inlineStr">
        <is>
          <t>كلا الفترتين</t>
        </is>
      </c>
      <c r="E2683" t="n">
        <v>1136</v>
      </c>
      <c r="F2683" t="b">
        <v>1</v>
      </c>
      <c r="G2683">
        <f>HYPERLINK("https://www.google.com/maps/search/?api=1&amp;query=24.74187,46.61066", "View Map")</f>
        <v/>
      </c>
    </row>
    <row r="2684">
      <c r="A2684" t="inlineStr">
        <is>
          <t>مسجد الفصام .</t>
        </is>
      </c>
      <c r="B2684" t="inlineStr">
        <is>
          <t>KFM2020660038645</t>
        </is>
      </c>
      <c r="C2684" t="inlineStr">
        <is>
          <t>الرياض</t>
        </is>
      </c>
      <c r="D2684" t="inlineStr">
        <is>
          <t>كلا الفترتين</t>
        </is>
      </c>
      <c r="E2684" t="n">
        <v>1135</v>
      </c>
      <c r="F2684" t="b">
        <v>0</v>
      </c>
      <c r="G2684">
        <f>HYPERLINK("https://www.google.com/maps/search/?api=1&amp;query=24.58415541,46.60684764", "View Map")</f>
        <v/>
      </c>
    </row>
    <row r="2685">
      <c r="A2685" t="inlineStr">
        <is>
          <t>مساجد .</t>
        </is>
      </c>
      <c r="B2685" t="inlineStr">
        <is>
          <t>KFM2020660187554</t>
        </is>
      </c>
      <c r="C2685" t="inlineStr">
        <is>
          <t>الرياض</t>
        </is>
      </c>
      <c r="D2685" t="inlineStr">
        <is>
          <t>كلا الفترتين</t>
        </is>
      </c>
      <c r="E2685" t="n">
        <v>1135</v>
      </c>
      <c r="F2685" t="b">
        <v>0</v>
      </c>
      <c r="G2685">
        <f>HYPERLINK("https://www.google.com/maps/search/?api=1&amp;query=24.62671177,46.57259546", "View Map")</f>
        <v/>
      </c>
    </row>
    <row r="2686">
      <c r="A2686" t="inlineStr">
        <is>
          <t xml:space="preserve">   مسجد وسكن عبدالعزيز الطريقي .</t>
        </is>
      </c>
      <c r="B2686" t="inlineStr">
        <is>
          <t>KFM2020660145207</t>
        </is>
      </c>
      <c r="C2686" t="inlineStr">
        <is>
          <t>الرياض</t>
        </is>
      </c>
      <c r="D2686" t="inlineStr">
        <is>
          <t>كلا الفترتين</t>
        </is>
      </c>
      <c r="E2686" t="n">
        <v>1135</v>
      </c>
      <c r="F2686" t="b">
        <v>0</v>
      </c>
      <c r="G2686">
        <f>HYPERLINK("https://www.google.com/maps/search/?api=1&amp;query=24.82343883,46.76047918", "View Map")</f>
        <v/>
      </c>
    </row>
    <row r="2687">
      <c r="A2687" t="inlineStr">
        <is>
          <t xml:space="preserve">   مسجد مخطط 47 بالدرعيه .</t>
        </is>
      </c>
      <c r="B2687" t="inlineStr">
        <is>
          <t>KFM2020660191253</t>
        </is>
      </c>
      <c r="C2687" t="inlineStr">
        <is>
          <t>الدرعية</t>
        </is>
      </c>
      <c r="D2687" t="inlineStr">
        <is>
          <t>كلا الفترتين</t>
        </is>
      </c>
      <c r="E2687" t="n">
        <v>1135</v>
      </c>
      <c r="F2687" t="b">
        <v>0</v>
      </c>
      <c r="G2687">
        <f>HYPERLINK("https://www.google.com/maps/search/?api=1&amp;query=24.74627474,46.57041743", "View Map")</f>
        <v/>
      </c>
    </row>
    <row r="2688">
      <c r="A2688" t="inlineStr">
        <is>
          <t xml:space="preserve">   مسجد الضيافة بحي الوشام .</t>
        </is>
      </c>
      <c r="B2688" t="inlineStr">
        <is>
          <t>KFM2120760243803</t>
        </is>
      </c>
      <c r="C2688" t="inlineStr">
        <is>
          <t>الرياض</t>
        </is>
      </c>
      <c r="D2688" t="inlineStr">
        <is>
          <t>كلا الفترتين</t>
        </is>
      </c>
      <c r="E2688" t="n">
        <v>1134</v>
      </c>
      <c r="F2688" t="b">
        <v>0</v>
      </c>
      <c r="G2688">
        <f>HYPERLINK("https://www.google.com/maps/search/?api=1&amp;query=24.6578,46.6983", "View Map")</f>
        <v/>
      </c>
    </row>
    <row r="2689">
      <c r="A2689" t="inlineStr">
        <is>
          <t xml:space="preserve">   مسجد بحي قرطبة .</t>
        </is>
      </c>
      <c r="B2689" t="inlineStr">
        <is>
          <t>KFM2020660046516</t>
        </is>
      </c>
      <c r="C2689" t="inlineStr">
        <is>
          <t>الرياض</t>
        </is>
      </c>
      <c r="D2689" t="inlineStr">
        <is>
          <t>كلا الفترتين</t>
        </is>
      </c>
      <c r="E2689" t="n">
        <v>1134</v>
      </c>
      <c r="F2689" t="b">
        <v>0</v>
      </c>
      <c r="G2689">
        <f>HYPERLINK("https://www.google.com/maps/search/?api=1&amp;query=24.81887828,46.73195953", "View Map")</f>
        <v/>
      </c>
    </row>
    <row r="2690">
      <c r="A2690" t="inlineStr">
        <is>
          <t>ﻤﺴﺎﺠﺩ .</t>
        </is>
      </c>
      <c r="B2690" t="inlineStr">
        <is>
          <t>KFM2020660132826</t>
        </is>
      </c>
      <c r="C2690" t="inlineStr">
        <is>
          <t>الرياض</t>
        </is>
      </c>
      <c r="D2690" t="inlineStr">
        <is>
          <t>كلا الفترتين</t>
        </is>
      </c>
      <c r="E2690" t="n">
        <v>1134</v>
      </c>
      <c r="F2690" t="b">
        <v>0</v>
      </c>
      <c r="G2690">
        <f>HYPERLINK("https://www.google.com/maps/search/?api=1&amp;query=24.83315314,46.78689177", "View Map")</f>
        <v/>
      </c>
    </row>
    <row r="2691">
      <c r="A2691" t="inlineStr">
        <is>
          <t>ﻤﺴﺎﺠﺩ .</t>
        </is>
      </c>
      <c r="B2691" t="inlineStr">
        <is>
          <t>KFM2020660213488</t>
        </is>
      </c>
      <c r="C2691" t="inlineStr">
        <is>
          <t>الرياض</t>
        </is>
      </c>
      <c r="D2691" t="inlineStr">
        <is>
          <t>صباحا</t>
        </is>
      </c>
      <c r="E2691" t="n">
        <v>1133</v>
      </c>
      <c r="F2691" t="b">
        <v>0</v>
      </c>
      <c r="G2691">
        <f>HYPERLINK("https://www.google.com/maps/search/?api=1&amp;query=24.7973959,46.70690553", "View Map")</f>
        <v/>
      </c>
    </row>
    <row r="2692">
      <c r="A2692" t="inlineStr">
        <is>
          <t>مسجد  عبد العزيز الغانم .</t>
        </is>
      </c>
      <c r="B2692" t="inlineStr">
        <is>
          <t>KFM2020660198301</t>
        </is>
      </c>
      <c r="C2692" t="inlineStr">
        <is>
          <t>الرياض</t>
        </is>
      </c>
      <c r="D2692" t="inlineStr">
        <is>
          <t>كلا الفترتين</t>
        </is>
      </c>
      <c r="E2692" t="n">
        <v>1133</v>
      </c>
      <c r="F2692" t="b">
        <v>1</v>
      </c>
      <c r="G2692">
        <f>HYPERLINK("https://www.google.com/maps/search/?api=1&amp;query=24.53604199,46.6909334", "View Map")</f>
        <v/>
      </c>
    </row>
    <row r="2693">
      <c r="A2693" t="inlineStr">
        <is>
          <t xml:space="preserve">   مسجد ذو النورين .</t>
        </is>
      </c>
      <c r="B2693" t="inlineStr">
        <is>
          <t>KFM2120660293669</t>
        </is>
      </c>
      <c r="C2693" t="inlineStr">
        <is>
          <t>الرياض</t>
        </is>
      </c>
      <c r="D2693" t="inlineStr">
        <is>
          <t>كلا الفترتين</t>
        </is>
      </c>
      <c r="E2693" t="n">
        <v>1132</v>
      </c>
      <c r="F2693" t="b">
        <v>1</v>
      </c>
      <c r="G2693">
        <f>HYPERLINK("https://www.google.com/maps/search/?api=1&amp;query=24.67718239,46.85305015", "View Map")</f>
        <v/>
      </c>
    </row>
    <row r="2694">
      <c r="A2694" t="inlineStr">
        <is>
          <t xml:space="preserve">   مسجد عبدالعزيز الضبيعي .</t>
        </is>
      </c>
      <c r="B2694" t="inlineStr">
        <is>
          <t>KFM2120660301485</t>
        </is>
      </c>
      <c r="C2694" t="inlineStr">
        <is>
          <t>الرياض</t>
        </is>
      </c>
      <c r="D2694" t="inlineStr">
        <is>
          <t>كلا الفترتين</t>
        </is>
      </c>
      <c r="E2694" t="n">
        <v>1131</v>
      </c>
      <c r="F2694" t="b">
        <v>0</v>
      </c>
      <c r="G2694">
        <f>HYPERLINK("https://www.google.com/maps/search/?api=1&amp;query=24.57900579,46.78884714", "View Map")</f>
        <v/>
      </c>
    </row>
    <row r="2695">
      <c r="A2695" t="inlineStr">
        <is>
          <t>مسجد السويدي .</t>
        </is>
      </c>
      <c r="B2695" t="inlineStr">
        <is>
          <t>KFM2020660006599</t>
        </is>
      </c>
      <c r="C2695" t="inlineStr">
        <is>
          <t>الرياض</t>
        </is>
      </c>
      <c r="D2695" t="inlineStr">
        <is>
          <t>كلا الفترتين</t>
        </is>
      </c>
      <c r="E2695" t="n">
        <v>1130</v>
      </c>
      <c r="F2695" t="b">
        <v>0</v>
      </c>
      <c r="G2695">
        <f>HYPERLINK("https://www.google.com/maps/search/?api=1&amp;query=24.56907615,46.65770003", "View Map")</f>
        <v/>
      </c>
    </row>
    <row r="2696">
      <c r="A2696" t="inlineStr">
        <is>
          <t>مسجدالايمان .</t>
        </is>
      </c>
      <c r="B2696" t="inlineStr">
        <is>
          <t>KFM2020660203478</t>
        </is>
      </c>
      <c r="C2696" t="inlineStr">
        <is>
          <t>الرياض</t>
        </is>
      </c>
      <c r="D2696" t="inlineStr">
        <is>
          <t>كلا الفترتين</t>
        </is>
      </c>
      <c r="E2696" t="n">
        <v>1130</v>
      </c>
      <c r="F2696" t="b">
        <v>0</v>
      </c>
      <c r="G2696">
        <f>HYPERLINK("https://www.google.com/maps/search/?api=1&amp;query=24.53071229,46.66097934", "View Map")</f>
        <v/>
      </c>
    </row>
    <row r="2697">
      <c r="A2697" t="inlineStr">
        <is>
          <t xml:space="preserve">   مسجد عمر بن الخطاب .</t>
        </is>
      </c>
      <c r="B2697" t="inlineStr">
        <is>
          <t>KFM2020660060113</t>
        </is>
      </c>
      <c r="C2697" t="inlineStr">
        <is>
          <t>الرياض</t>
        </is>
      </c>
      <c r="D2697" t="inlineStr">
        <is>
          <t>كلا الفترتين</t>
        </is>
      </c>
      <c r="E2697" t="n">
        <v>1129</v>
      </c>
      <c r="F2697" t="b">
        <v>1</v>
      </c>
      <c r="G2697">
        <f>HYPERLINK("https://www.google.com/maps/search/?api=1&amp;query=24.7639438,46.8178028", "View Map")</f>
        <v/>
      </c>
    </row>
    <row r="2698">
      <c r="A2698" t="inlineStr">
        <is>
          <t xml:space="preserve">   مسجد حي الوادي .</t>
        </is>
      </c>
      <c r="B2698" t="inlineStr">
        <is>
          <t>KFM2020660203345</t>
        </is>
      </c>
      <c r="C2698" t="inlineStr">
        <is>
          <t>الرياض</t>
        </is>
      </c>
      <c r="D2698" t="inlineStr">
        <is>
          <t>كلا الفترتين</t>
        </is>
      </c>
      <c r="E2698" t="n">
        <v>1129</v>
      </c>
      <c r="F2698" t="b">
        <v>0</v>
      </c>
      <c r="G2698">
        <f>HYPERLINK("https://www.google.com/maps/search/?api=1&amp;query=24.78332153,46.69001095", "View Map")</f>
        <v/>
      </c>
    </row>
    <row r="2699">
      <c r="A2699" t="inlineStr">
        <is>
          <t xml:space="preserve">   مسجد حي العقيق .</t>
        </is>
      </c>
      <c r="B2699" t="inlineStr">
        <is>
          <t>KFM2020660127755</t>
        </is>
      </c>
      <c r="C2699" t="inlineStr">
        <is>
          <t>الرياض</t>
        </is>
      </c>
      <c r="D2699" t="inlineStr">
        <is>
          <t>كلا الفترتين</t>
        </is>
      </c>
      <c r="E2699" t="n">
        <v>1128</v>
      </c>
      <c r="F2699" t="b">
        <v>0</v>
      </c>
      <c r="G2699">
        <f>HYPERLINK("https://www.google.com/maps/search/?api=1&amp;query=24.79069356,46.62581457", "View Map")</f>
        <v/>
      </c>
    </row>
    <row r="2700">
      <c r="A2700" t="inlineStr">
        <is>
          <t xml:space="preserve">   مسجد معيضى العتيبى .</t>
        </is>
      </c>
      <c r="B2700" t="inlineStr">
        <is>
          <t>KFM2020660178213</t>
        </is>
      </c>
      <c r="C2700" t="inlineStr">
        <is>
          <t>الرياض</t>
        </is>
      </c>
      <c r="D2700" t="inlineStr">
        <is>
          <t>كلا الفترتين</t>
        </is>
      </c>
      <c r="E2700" t="n">
        <v>1128</v>
      </c>
      <c r="F2700" t="b">
        <v>0</v>
      </c>
      <c r="G2700">
        <f>HYPERLINK("https://www.google.com/maps/search/?api=1&amp;query=24.7654926,46.67842436", "View Map")</f>
        <v/>
      </c>
    </row>
    <row r="2701">
      <c r="A2701" t="inlineStr">
        <is>
          <t xml:space="preserve">   مسجد حي العزيزية .</t>
        </is>
      </c>
      <c r="B2701" t="inlineStr">
        <is>
          <t>KFM2120660301483</t>
        </is>
      </c>
      <c r="C2701" t="inlineStr">
        <is>
          <t>الرياض</t>
        </is>
      </c>
      <c r="D2701" t="inlineStr">
        <is>
          <t>كلا الفترتين</t>
        </is>
      </c>
      <c r="E2701" t="n">
        <v>1128</v>
      </c>
      <c r="F2701" t="b">
        <v>0</v>
      </c>
      <c r="G2701">
        <f>HYPERLINK("https://www.google.com/maps/search/?api=1&amp;query=24.59426827,46.77897917", "View Map")</f>
        <v/>
      </c>
    </row>
    <row r="2702">
      <c r="A2702" t="inlineStr">
        <is>
          <t xml:space="preserve">   مسجد الدار البيضاء في الجهة الشر .</t>
        </is>
      </c>
      <c r="B2702" t="inlineStr">
        <is>
          <t>KFM2020660161625</t>
        </is>
      </c>
      <c r="C2702" t="inlineStr">
        <is>
          <t>الرياض</t>
        </is>
      </c>
      <c r="D2702" t="inlineStr">
        <is>
          <t>كلا الفترتين</t>
        </is>
      </c>
      <c r="E2702" t="n">
        <v>1128</v>
      </c>
      <c r="F2702" t="b">
        <v>1</v>
      </c>
      <c r="G2702">
        <f>HYPERLINK("https://www.google.com/maps/search/?api=1&amp;query=24.56470211,46.78912401", "View Map")</f>
        <v/>
      </c>
    </row>
    <row r="2703">
      <c r="A2703" t="inlineStr">
        <is>
          <t xml:space="preserve">   مسجد الرا جحي .</t>
        </is>
      </c>
      <c r="B2703" t="inlineStr">
        <is>
          <t>KFM2120660300422</t>
        </is>
      </c>
      <c r="C2703" t="inlineStr">
        <is>
          <t>الرياض</t>
        </is>
      </c>
      <c r="D2703" t="inlineStr">
        <is>
          <t>كلا الفترتين</t>
        </is>
      </c>
      <c r="E2703" t="n">
        <v>1127</v>
      </c>
      <c r="F2703" t="b">
        <v>0</v>
      </c>
      <c r="G2703">
        <f>HYPERLINK("https://www.google.com/maps/search/?api=1&amp;query=24.64446094,46.7183882", "View Map")</f>
        <v/>
      </c>
    </row>
    <row r="2704">
      <c r="A2704" t="inlineStr">
        <is>
          <t xml:space="preserve">   مسجدام الحمام الشرقيه .</t>
        </is>
      </c>
      <c r="B2704" t="inlineStr">
        <is>
          <t>KFM2020660174064</t>
        </is>
      </c>
      <c r="C2704" t="inlineStr">
        <is>
          <t>الرياض</t>
        </is>
      </c>
      <c r="D2704" t="inlineStr">
        <is>
          <t>كلا الفترتين</t>
        </is>
      </c>
      <c r="E2704" t="n">
        <v>1127</v>
      </c>
      <c r="F2704" t="b">
        <v>0</v>
      </c>
      <c r="G2704">
        <f>HYPERLINK("https://www.google.com/maps/search/?api=1&amp;query=24.69527587,46.65150975", "View Map")</f>
        <v/>
      </c>
    </row>
    <row r="2705">
      <c r="A2705" t="inlineStr">
        <is>
          <t>مسجد الفايز .</t>
        </is>
      </c>
      <c r="B2705" t="inlineStr">
        <is>
          <t>KFM2020660011891</t>
        </is>
      </c>
      <c r="C2705" t="inlineStr">
        <is>
          <t>الرياض</t>
        </is>
      </c>
      <c r="D2705" t="inlineStr">
        <is>
          <t>كلا الفترتين</t>
        </is>
      </c>
      <c r="E2705" t="n">
        <v>1127</v>
      </c>
      <c r="F2705" t="b">
        <v>0</v>
      </c>
      <c r="G2705">
        <f>HYPERLINK("https://www.google.com/maps/search/?api=1&amp;query=24.57485421,46.62675184", "View Map")</f>
        <v/>
      </c>
    </row>
    <row r="2706">
      <c r="A2706" t="inlineStr">
        <is>
          <t xml:space="preserve">   مسجد عمار بن ياسر .</t>
        </is>
      </c>
      <c r="B2706" t="inlineStr">
        <is>
          <t>KFM2020660056724</t>
        </is>
      </c>
      <c r="C2706" t="inlineStr">
        <is>
          <t>الرياض</t>
        </is>
      </c>
      <c r="D2706" t="inlineStr">
        <is>
          <t>كلا الفترتين</t>
        </is>
      </c>
      <c r="E2706" t="n">
        <v>1126</v>
      </c>
      <c r="F2706" t="b">
        <v>0</v>
      </c>
      <c r="G2706">
        <f>HYPERLINK("https://www.google.com/maps/search/?api=1&amp;query=24.76033643,46.75424267", "View Map")</f>
        <v/>
      </c>
    </row>
    <row r="2707">
      <c r="A2707" t="inlineStr">
        <is>
          <t xml:space="preserve">   مسجد/ أسماء بنت أبي بكر .</t>
        </is>
      </c>
      <c r="B2707" t="inlineStr">
        <is>
          <t>KFM2120660268972</t>
        </is>
      </c>
      <c r="C2707" t="inlineStr">
        <is>
          <t>الدرعية</t>
        </is>
      </c>
      <c r="D2707" t="inlineStr">
        <is>
          <t>كلا الفترتين</t>
        </is>
      </c>
      <c r="E2707" t="n">
        <v>1126</v>
      </c>
      <c r="F2707" t="b">
        <v>0</v>
      </c>
      <c r="G2707">
        <f>HYPERLINK("https://www.google.com/maps/search/?api=1&amp;query=24.75461295,46.53530444", "View Map")</f>
        <v/>
      </c>
    </row>
    <row r="2708">
      <c r="A2708" t="inlineStr">
        <is>
          <t xml:space="preserve">   مسجد أسامه بن زيد .</t>
        </is>
      </c>
      <c r="B2708" t="inlineStr">
        <is>
          <t>MMF2020800211257</t>
        </is>
      </c>
      <c r="C2708" t="inlineStr">
        <is>
          <t>الرياض</t>
        </is>
      </c>
      <c r="D2708" t="inlineStr">
        <is>
          <t>كلا الفترتين</t>
        </is>
      </c>
      <c r="E2708" t="n">
        <v>1125</v>
      </c>
      <c r="F2708" t="b">
        <v>0</v>
      </c>
      <c r="G2708">
        <f>HYPERLINK("https://www.google.com/maps/search/?api=1&amp;query=24.71508193,46.78469468", "View Map")</f>
        <v/>
      </c>
    </row>
    <row r="2709">
      <c r="A2709" t="inlineStr">
        <is>
          <t>ﻤﺴﺎﺠﺩ .</t>
        </is>
      </c>
      <c r="B2709" t="inlineStr">
        <is>
          <t>SMR2220661000665</t>
        </is>
      </c>
      <c r="C2709" t="inlineStr">
        <is>
          <t>الرياض</t>
        </is>
      </c>
      <c r="D2709" t="inlineStr">
        <is>
          <t>كلا الفترتين</t>
        </is>
      </c>
      <c r="E2709" t="n">
        <v>1124</v>
      </c>
      <c r="F2709" t="b">
        <v>1</v>
      </c>
      <c r="G2709">
        <f>HYPERLINK("https://www.google.com/maps/search/?api=1&amp;query=24.74721727,46.62628386", "View Map")</f>
        <v/>
      </c>
    </row>
    <row r="2710">
      <c r="A2710" t="inlineStr">
        <is>
          <t>ﻤﺴﺎﺠﺩ .</t>
        </is>
      </c>
      <c r="B2710" t="inlineStr">
        <is>
          <t>SMR2220661000301</t>
        </is>
      </c>
      <c r="C2710" t="inlineStr">
        <is>
          <t>الرياض</t>
        </is>
      </c>
      <c r="D2710" t="inlineStr">
        <is>
          <t>كلا الفترتين</t>
        </is>
      </c>
      <c r="E2710" t="n">
        <v>1124</v>
      </c>
      <c r="F2710" t="b">
        <v>1</v>
      </c>
      <c r="G2710">
        <f>HYPERLINK("https://www.google.com/maps/search/?api=1&amp;query=24.87410778,46.61739178", "View Map")</f>
        <v/>
      </c>
    </row>
    <row r="2711">
      <c r="A2711" t="inlineStr">
        <is>
          <t xml:space="preserve">   مسجد حي المربع .</t>
        </is>
      </c>
      <c r="B2711" t="inlineStr">
        <is>
          <t>KFM2020660188841</t>
        </is>
      </c>
      <c r="C2711" t="inlineStr">
        <is>
          <t>الرياض</t>
        </is>
      </c>
      <c r="D2711" t="inlineStr">
        <is>
          <t>كلا الفترتين</t>
        </is>
      </c>
      <c r="E2711" t="n">
        <v>1124</v>
      </c>
      <c r="F2711" t="b">
        <v>0</v>
      </c>
      <c r="G2711">
        <f>HYPERLINK("https://www.google.com/maps/search/?api=1&amp;query=24.65032942,46.7048459", "View Map")</f>
        <v/>
      </c>
    </row>
    <row r="2712">
      <c r="A2712" t="inlineStr">
        <is>
          <t xml:space="preserve">   مسجد فهد ال حسين  / مدرسةالتحفيظ .</t>
        </is>
      </c>
      <c r="B2712" t="inlineStr">
        <is>
          <t>KFM2120660286466</t>
        </is>
      </c>
      <c r="C2712" t="inlineStr">
        <is>
          <t>الرياض</t>
        </is>
      </c>
      <c r="D2712" t="inlineStr">
        <is>
          <t>صباحا</t>
        </is>
      </c>
      <c r="E2712" t="n">
        <v>1123</v>
      </c>
      <c r="F2712" t="b">
        <v>0</v>
      </c>
      <c r="G2712">
        <f>HYPERLINK("https://www.google.com/maps/search/?api=1&amp;query=24.59347232,46.76192855", "View Map")</f>
        <v/>
      </c>
    </row>
    <row r="2713">
      <c r="A2713" t="inlineStr">
        <is>
          <t>مسجد /عبدالله  الجارالله .</t>
        </is>
      </c>
      <c r="B2713" t="inlineStr">
        <is>
          <t>KFM2020660200346</t>
        </is>
      </c>
      <c r="C2713" t="inlineStr">
        <is>
          <t>الرياض</t>
        </is>
      </c>
      <c r="D2713" t="inlineStr">
        <is>
          <t>كلا الفترتين</t>
        </is>
      </c>
      <c r="E2713" t="n">
        <v>1123</v>
      </c>
      <c r="F2713" t="b">
        <v>0</v>
      </c>
      <c r="G2713">
        <f>HYPERLINK("https://www.google.com/maps/search/?api=1&amp;query=24.60158635,46.62071947", "View Map")</f>
        <v/>
      </c>
    </row>
    <row r="2714">
      <c r="A2714" t="inlineStr">
        <is>
          <t xml:space="preserve">   مسجد حي الربيع .</t>
        </is>
      </c>
      <c r="B2714" t="inlineStr">
        <is>
          <t>KFM2020660201148</t>
        </is>
      </c>
      <c r="C2714" t="inlineStr">
        <is>
          <t>الرياض</t>
        </is>
      </c>
      <c r="D2714" t="inlineStr">
        <is>
          <t>كلا الفترتين</t>
        </is>
      </c>
      <c r="E2714" t="n">
        <v>1123</v>
      </c>
      <c r="F2714" t="b">
        <v>0</v>
      </c>
      <c r="G2714">
        <f>HYPERLINK("https://www.google.com/maps/search/?api=1&amp;query=24.78995232,46.66200466", "View Map")</f>
        <v/>
      </c>
    </row>
    <row r="2715">
      <c r="A2715" t="inlineStr">
        <is>
          <t xml:space="preserve">   مسجد  ذو النورين .</t>
        </is>
      </c>
      <c r="B2715" t="inlineStr">
        <is>
          <t>KFM2020660195097</t>
        </is>
      </c>
      <c r="C2715" t="inlineStr">
        <is>
          <t>الرياض</t>
        </is>
      </c>
      <c r="D2715" t="inlineStr">
        <is>
          <t>كلا الفترتين</t>
        </is>
      </c>
      <c r="E2715" t="n">
        <v>1122</v>
      </c>
      <c r="F2715" t="b">
        <v>0</v>
      </c>
      <c r="G2715">
        <f>HYPERLINK("https://www.google.com/maps/search/?api=1&amp;query=24.81124286,46.87934113", "View Map")</f>
        <v/>
      </c>
    </row>
    <row r="2716">
      <c r="A2716" t="inlineStr">
        <is>
          <t>ﻤﺴﺎﺠﺩ .</t>
        </is>
      </c>
      <c r="B2716" t="inlineStr">
        <is>
          <t>KFM2020660012606</t>
        </is>
      </c>
      <c r="C2716" t="inlineStr">
        <is>
          <t>الرياض</t>
        </is>
      </c>
      <c r="D2716" t="inlineStr">
        <is>
          <t>كلا الفترتين</t>
        </is>
      </c>
      <c r="E2716" t="n">
        <v>1122</v>
      </c>
      <c r="F2716" t="b">
        <v>0</v>
      </c>
      <c r="G2716">
        <f>HYPERLINK("https://www.google.com/maps/search/?api=1&amp;query=24.79964045,46.8481822", "View Map")</f>
        <v/>
      </c>
    </row>
    <row r="2717">
      <c r="A2717" t="inlineStr">
        <is>
          <t>ﻤﺴﺎﺠﺩ .</t>
        </is>
      </c>
      <c r="B2717" t="inlineStr">
        <is>
          <t>KFM2020660195145</t>
        </is>
      </c>
      <c r="C2717" t="inlineStr">
        <is>
          <t>الرياض</t>
        </is>
      </c>
      <c r="D2717" t="inlineStr">
        <is>
          <t>كلا الفترتين</t>
        </is>
      </c>
      <c r="E2717" t="n">
        <v>1122</v>
      </c>
      <c r="F2717" t="b">
        <v>0</v>
      </c>
      <c r="G2717">
        <f>HYPERLINK("https://www.google.com/maps/search/?api=1&amp;query=24.80475097,46.88470169", "View Map")</f>
        <v/>
      </c>
    </row>
    <row r="2718">
      <c r="A2718" t="inlineStr">
        <is>
          <t>ﻭﺯﺍﺭﺓﺍﻟﺸﺌﻭﻥ ﺍﻻﺴﻼﻤﻴﺓﻭﺍﻻﻭﻗﺎﻑ .</t>
        </is>
      </c>
      <c r="B2718" t="inlineStr">
        <is>
          <t>KFM2020760239663</t>
        </is>
      </c>
      <c r="C2718" t="inlineStr">
        <is>
          <t>الرياض</t>
        </is>
      </c>
      <c r="D2718" t="inlineStr">
        <is>
          <t>كلا الفترتين</t>
        </is>
      </c>
      <c r="E2718" t="n">
        <v>1121</v>
      </c>
      <c r="F2718" t="b">
        <v>0</v>
      </c>
      <c r="G2718">
        <f>HYPERLINK("https://www.google.com/maps/search/?api=1&amp;query=24.52129251,46.65667587", "View Map")</f>
        <v/>
      </c>
    </row>
    <row r="2719">
      <c r="A2719" t="inlineStr">
        <is>
          <t xml:space="preserve">   صالح عبدالله العمري مسجد .</t>
        </is>
      </c>
      <c r="B2719" t="inlineStr">
        <is>
          <t>KFM2020660187963</t>
        </is>
      </c>
      <c r="C2719" t="inlineStr">
        <is>
          <t>الرياض</t>
        </is>
      </c>
      <c r="D2719" t="inlineStr">
        <is>
          <t>كلا الفترتين</t>
        </is>
      </c>
      <c r="E2719" t="n">
        <v>1121</v>
      </c>
      <c r="F2719" t="b">
        <v>0</v>
      </c>
      <c r="G2719">
        <f>HYPERLINK("https://www.google.com/maps/search/?api=1&amp;query=24.81237221,46.61698586", "View Map")</f>
        <v/>
      </c>
    </row>
    <row r="2720">
      <c r="A2720" t="inlineStr">
        <is>
          <t xml:space="preserve">   مسجدجامع السليمانيه .</t>
        </is>
      </c>
      <c r="B2720" t="inlineStr">
        <is>
          <t>KFM2020660197778</t>
        </is>
      </c>
      <c r="C2720" t="inlineStr">
        <is>
          <t>الرياض</t>
        </is>
      </c>
      <c r="D2720" t="inlineStr">
        <is>
          <t>كلا الفترتين</t>
        </is>
      </c>
      <c r="E2720" t="n">
        <v>1121</v>
      </c>
      <c r="F2720" t="b">
        <v>1</v>
      </c>
      <c r="G2720">
        <f>HYPERLINK("https://www.google.com/maps/search/?api=1&amp;query=24.7059,46.70366", "View Map")</f>
        <v/>
      </c>
    </row>
    <row r="2721">
      <c r="A2721" t="inlineStr">
        <is>
          <t xml:space="preserve">   مسجد الشيخ عبدالعزيز بن باز .</t>
        </is>
      </c>
      <c r="B2721" t="inlineStr">
        <is>
          <t>KFM2020660161667</t>
        </is>
      </c>
      <c r="C2721" t="inlineStr">
        <is>
          <t>الرياض</t>
        </is>
      </c>
      <c r="D2721" t="inlineStr">
        <is>
          <t>كلا الفترتين</t>
        </is>
      </c>
      <c r="E2721" t="n">
        <v>1120</v>
      </c>
      <c r="F2721" t="b">
        <v>0</v>
      </c>
      <c r="G2721">
        <f>HYPERLINK("https://www.google.com/maps/search/?api=1&amp;query=24.57156494,46.84634385", "View Map")</f>
        <v/>
      </c>
    </row>
    <row r="2722">
      <c r="A2722" t="inlineStr">
        <is>
          <t xml:space="preserve">   مسجد/بندربن عبدالعزيز .</t>
        </is>
      </c>
      <c r="B2722" t="inlineStr">
        <is>
          <t>KFM2020660189542</t>
        </is>
      </c>
      <c r="C2722" t="inlineStr">
        <is>
          <t>الرياض</t>
        </is>
      </c>
      <c r="D2722" t="inlineStr">
        <is>
          <t>كلا الفترتين</t>
        </is>
      </c>
      <c r="E2722" t="n">
        <v>1120</v>
      </c>
      <c r="F2722" t="b">
        <v>0</v>
      </c>
      <c r="G2722">
        <f>HYPERLINK("https://www.google.com/maps/search/?api=1&amp;query=24.79738643,46.64707458", "View Map")</f>
        <v/>
      </c>
    </row>
    <row r="2723">
      <c r="A2723" t="inlineStr">
        <is>
          <t>مسجد  عبدالعزيز بن سليم .</t>
        </is>
      </c>
      <c r="B2723" t="inlineStr">
        <is>
          <t>KFM2020660196744</t>
        </is>
      </c>
      <c r="C2723" t="inlineStr">
        <is>
          <t>الرياض</t>
        </is>
      </c>
      <c r="D2723" t="inlineStr">
        <is>
          <t>كلا الفترتين</t>
        </is>
      </c>
      <c r="E2723" t="n">
        <v>1120</v>
      </c>
      <c r="F2723" t="b">
        <v>0</v>
      </c>
      <c r="G2723">
        <f>HYPERLINK("https://www.google.com/maps/search/?api=1&amp;query=24.62684156,46.69399564", "View Map")</f>
        <v/>
      </c>
    </row>
    <row r="2724">
      <c r="A2724" t="inlineStr">
        <is>
          <t>ﻤﺴﺎﺠﺩ .</t>
        </is>
      </c>
      <c r="B2724" t="inlineStr">
        <is>
          <t>KFM2120660299424</t>
        </is>
      </c>
      <c r="C2724" t="inlineStr">
        <is>
          <t>الرياض</t>
        </is>
      </c>
      <c r="D2724" t="inlineStr">
        <is>
          <t>كلا الفترتين</t>
        </is>
      </c>
      <c r="E2724" t="n">
        <v>1119</v>
      </c>
      <c r="F2724" t="b">
        <v>0</v>
      </c>
      <c r="G2724">
        <f>HYPERLINK("https://www.google.com/maps/search/?api=1&amp;query=24.54856517,46.80100296", "View Map")</f>
        <v/>
      </c>
    </row>
    <row r="2725">
      <c r="A2725" t="inlineStr">
        <is>
          <t xml:space="preserve">   مسجد الشيخ عبدالله العوين .</t>
        </is>
      </c>
      <c r="B2725" t="inlineStr">
        <is>
          <t>KFM2020660213473</t>
        </is>
      </c>
      <c r="C2725" t="inlineStr">
        <is>
          <t>الرياض</t>
        </is>
      </c>
      <c r="D2725" t="inlineStr">
        <is>
          <t>كلا الفترتين</t>
        </is>
      </c>
      <c r="E2725" t="n">
        <v>1118</v>
      </c>
      <c r="F2725" t="b">
        <v>0</v>
      </c>
      <c r="G2725">
        <f>HYPERLINK("https://www.google.com/maps/search/?api=1&amp;query=24.80205412,46.70658444", "View Map")</f>
        <v/>
      </c>
    </row>
    <row r="2726">
      <c r="A2726" t="inlineStr">
        <is>
          <t xml:space="preserve"> مسجد فهد عبدالله الراجحي-وزارةالشؤن .</t>
        </is>
      </c>
      <c r="B2726" t="inlineStr">
        <is>
          <t>KFM2020660209185</t>
        </is>
      </c>
      <c r="C2726" t="inlineStr">
        <is>
          <t>الرياض</t>
        </is>
      </c>
      <c r="D2726" t="inlineStr">
        <is>
          <t>كلا الفترتين</t>
        </is>
      </c>
      <c r="E2726" t="n">
        <v>1118</v>
      </c>
      <c r="F2726" t="b">
        <v>0</v>
      </c>
      <c r="G2726">
        <f>HYPERLINK("https://www.google.com/maps/search/?api=1&amp;query=24.7563553,46.70733311", "View Map")</f>
        <v/>
      </c>
    </row>
    <row r="2727">
      <c r="A2727" t="inlineStr">
        <is>
          <t xml:space="preserve">   مسجد بن طياش .</t>
        </is>
      </c>
      <c r="B2727" t="inlineStr">
        <is>
          <t>KFM2120660299173</t>
        </is>
      </c>
      <c r="C2727" t="inlineStr">
        <is>
          <t>الرياض</t>
        </is>
      </c>
      <c r="D2727" t="inlineStr">
        <is>
          <t>كلا الفترتين</t>
        </is>
      </c>
      <c r="E2727" t="n">
        <v>1118</v>
      </c>
      <c r="F2727" t="b">
        <v>0</v>
      </c>
      <c r="G2727">
        <f>HYPERLINK("https://www.google.com/maps/search/?api=1&amp;query=24.62557207,46.73534343", "View Map")</f>
        <v/>
      </c>
    </row>
    <row r="2728">
      <c r="A2728" t="inlineStr">
        <is>
          <t>ﻤﺴﺎﺠﺩ .</t>
        </is>
      </c>
      <c r="B2728" t="inlineStr">
        <is>
          <t>KFM2020660145889</t>
        </is>
      </c>
      <c r="C2728" t="inlineStr">
        <is>
          <t>الرياض</t>
        </is>
      </c>
      <c r="D2728" t="inlineStr">
        <is>
          <t>كلا الفترتين</t>
        </is>
      </c>
      <c r="E2728" t="n">
        <v>1118</v>
      </c>
      <c r="F2728" t="b">
        <v>0</v>
      </c>
      <c r="G2728">
        <f>HYPERLINK("https://www.google.com/maps/search/?api=1&amp;query=24.81638137,46.59606545", "View Map")</f>
        <v/>
      </c>
    </row>
    <row r="2729">
      <c r="A2729" t="inlineStr">
        <is>
          <t xml:space="preserve">   مسجد مانع القحطاني .</t>
        </is>
      </c>
      <c r="B2729" t="inlineStr">
        <is>
          <t>KFM2020660053292</t>
        </is>
      </c>
      <c r="C2729" t="inlineStr">
        <is>
          <t>الرياض</t>
        </is>
      </c>
      <c r="D2729" t="inlineStr">
        <is>
          <t>كلا الفترتين</t>
        </is>
      </c>
      <c r="E2729" t="n">
        <v>1118</v>
      </c>
      <c r="F2729" t="b">
        <v>0</v>
      </c>
      <c r="G2729">
        <f>HYPERLINK("https://www.google.com/maps/search/?api=1&amp;query=24.780734,46.76991222", "View Map")</f>
        <v/>
      </c>
    </row>
    <row r="2730">
      <c r="A2730" t="inlineStr">
        <is>
          <t>ﻤﺴﺎﺠﺩ .</t>
        </is>
      </c>
      <c r="B2730" t="inlineStr">
        <is>
          <t>SMR2320661034026</t>
        </is>
      </c>
      <c r="C2730" t="inlineStr">
        <is>
          <t>الرياض</t>
        </is>
      </c>
      <c r="D2730" t="inlineStr">
        <is>
          <t>كلا الفترتين</t>
        </is>
      </c>
      <c r="E2730" t="n">
        <v>1117</v>
      </c>
      <c r="F2730" t="b">
        <v>0</v>
      </c>
      <c r="G2730">
        <f>HYPERLINK("https://www.google.com/maps/search/?api=1&amp;query=24.691375,46.67529229", "View Map")</f>
        <v/>
      </c>
    </row>
    <row r="2731">
      <c r="A2731" t="inlineStr">
        <is>
          <t xml:space="preserve">   مسجدالحصيني .</t>
        </is>
      </c>
      <c r="B2731" t="inlineStr">
        <is>
          <t>KFM2020660060716</t>
        </is>
      </c>
      <c r="C2731" t="inlineStr">
        <is>
          <t>الدرعية</t>
        </is>
      </c>
      <c r="D2731" t="inlineStr">
        <is>
          <t>كلا الفترتين</t>
        </is>
      </c>
      <c r="E2731" t="n">
        <v>1117</v>
      </c>
      <c r="F2731" t="b">
        <v>0</v>
      </c>
      <c r="G2731">
        <f>HYPERLINK("https://www.google.com/maps/search/?api=1&amp;query=24.74949569,46.52405982", "View Map")</f>
        <v/>
      </c>
    </row>
    <row r="2732">
      <c r="A2732" t="inlineStr">
        <is>
          <t xml:space="preserve">   مسجد الحامد .</t>
        </is>
      </c>
      <c r="B2732" t="inlineStr">
        <is>
          <t>KFM2020760041832</t>
        </is>
      </c>
      <c r="C2732" t="inlineStr">
        <is>
          <t>الرياض</t>
        </is>
      </c>
      <c r="D2732" t="inlineStr">
        <is>
          <t>كلا الفترتين</t>
        </is>
      </c>
      <c r="E2732" t="n">
        <v>1117</v>
      </c>
      <c r="F2732" t="b">
        <v>0</v>
      </c>
      <c r="G2732">
        <f>HYPERLINK("https://www.google.com/maps/search/?api=1&amp;query=24.72366288,46.81965454", "View Map")</f>
        <v/>
      </c>
    </row>
    <row r="2733">
      <c r="A2733" t="inlineStr">
        <is>
          <t xml:space="preserve">   مسجد ع.المعمري .</t>
        </is>
      </c>
      <c r="B2733" t="inlineStr">
        <is>
          <t>KFM2120660299062</t>
        </is>
      </c>
      <c r="C2733" t="inlineStr">
        <is>
          <t>الرياض</t>
        </is>
      </c>
      <c r="D2733" t="inlineStr">
        <is>
          <t>كلا الفترتين</t>
        </is>
      </c>
      <c r="E2733" t="n">
        <v>1116</v>
      </c>
      <c r="F2733" t="b">
        <v>0</v>
      </c>
      <c r="G2733">
        <f>HYPERLINK("https://www.google.com/maps/search/?api=1&amp;query=24.57053949,46.76688472", "View Map")</f>
        <v/>
      </c>
    </row>
    <row r="2734">
      <c r="A2734" t="inlineStr">
        <is>
          <t xml:space="preserve">   مسجد      الفالح مع والمؤذن .</t>
        </is>
      </c>
      <c r="B2734" t="inlineStr">
        <is>
          <t>KFM2020660133858</t>
        </is>
      </c>
      <c r="C2734" t="inlineStr">
        <is>
          <t>الرياض</t>
        </is>
      </c>
      <c r="D2734" t="inlineStr">
        <is>
          <t>كلا الفترتين</t>
        </is>
      </c>
      <c r="E2734" t="n">
        <v>1114</v>
      </c>
      <c r="F2734" t="b">
        <v>0</v>
      </c>
      <c r="G2734">
        <f>HYPERLINK("https://www.google.com/maps/search/?api=1&amp;query=24.77754758,46.75447248", "View Map")</f>
        <v/>
      </c>
    </row>
    <row r="2735">
      <c r="A2735" t="inlineStr">
        <is>
          <t xml:space="preserve">   مسجد حي الملز .</t>
        </is>
      </c>
      <c r="B2735" t="inlineStr">
        <is>
          <t>KFM2120660247994</t>
        </is>
      </c>
      <c r="C2735" t="inlineStr">
        <is>
          <t>الرياض</t>
        </is>
      </c>
      <c r="D2735" t="inlineStr">
        <is>
          <t>كلا الفترتين</t>
        </is>
      </c>
      <c r="E2735" t="n">
        <v>1114</v>
      </c>
      <c r="F2735" t="b">
        <v>1</v>
      </c>
      <c r="G2735">
        <f>HYPERLINK("https://www.google.com/maps/search/?api=1&amp;query=24.68012154,46.74429679", "View Map")</f>
        <v/>
      </c>
    </row>
    <row r="2736">
      <c r="A2736" t="inlineStr">
        <is>
          <t xml:space="preserve">   مسجد الجوهره .</t>
        </is>
      </c>
      <c r="B2736" t="inlineStr">
        <is>
          <t>KFM2020660095900</t>
        </is>
      </c>
      <c r="C2736" t="inlineStr">
        <is>
          <t>الرياض</t>
        </is>
      </c>
      <c r="D2736" t="inlineStr">
        <is>
          <t>كلا الفترتين</t>
        </is>
      </c>
      <c r="E2736" t="n">
        <v>1114</v>
      </c>
      <c r="F2736" t="b">
        <v>0</v>
      </c>
      <c r="G2736">
        <f>HYPERLINK("https://www.google.com/maps/search/?api=1&amp;query=24.69737175,46.76072907", "View Map")</f>
        <v/>
      </c>
    </row>
    <row r="2737">
      <c r="A2737" t="inlineStr">
        <is>
          <t xml:space="preserve">   مسجد      خزام .</t>
        </is>
      </c>
      <c r="B2737" t="inlineStr">
        <is>
          <t>KFM2020660190225</t>
        </is>
      </c>
      <c r="C2737" t="inlineStr">
        <is>
          <t>الرياض</t>
        </is>
      </c>
      <c r="D2737" t="inlineStr">
        <is>
          <t>كلا الفترتين</t>
        </is>
      </c>
      <c r="E2737" t="n">
        <v>1113</v>
      </c>
      <c r="F2737" t="b">
        <v>0</v>
      </c>
      <c r="G2737">
        <f>HYPERLINK("https://www.google.com/maps/search/?api=1&amp;query=24.92223137,46.77732115", "View Map")</f>
        <v/>
      </c>
    </row>
    <row r="2738">
      <c r="A2738" t="inlineStr">
        <is>
          <t>مسجد      غازي       المقاطي .</t>
        </is>
      </c>
      <c r="B2738" t="inlineStr">
        <is>
          <t>KFM2020660051394</t>
        </is>
      </c>
      <c r="C2738" t="inlineStr">
        <is>
          <t>الرياض</t>
        </is>
      </c>
      <c r="D2738" t="inlineStr">
        <is>
          <t>كلا الفترتين</t>
        </is>
      </c>
      <c r="E2738" t="n">
        <v>1113</v>
      </c>
      <c r="F2738" t="b">
        <v>0</v>
      </c>
      <c r="G2738">
        <f>HYPERLINK("https://www.google.com/maps/search/?api=1&amp;query=24.54541336,46.66119481", "View Map")</f>
        <v/>
      </c>
    </row>
    <row r="2739">
      <c r="A2739" t="inlineStr">
        <is>
          <t xml:space="preserve">   مسجدابوبكرالصديق بعرقه .</t>
        </is>
      </c>
      <c r="B2739" t="inlineStr">
        <is>
          <t>KFM2020660190318</t>
        </is>
      </c>
      <c r="C2739" t="inlineStr">
        <is>
          <t>الرياض</t>
        </is>
      </c>
      <c r="D2739" t="inlineStr">
        <is>
          <t>كلا الفترتين</t>
        </is>
      </c>
      <c r="E2739" t="n">
        <v>1113</v>
      </c>
      <c r="F2739" t="b">
        <v>0</v>
      </c>
      <c r="G2739">
        <f>HYPERLINK("https://www.google.com/maps/search/?api=1&amp;query=24.6802488,46.58285119", "View Map")</f>
        <v/>
      </c>
    </row>
    <row r="2740">
      <c r="A2740" t="inlineStr">
        <is>
          <t xml:space="preserve">   مسجد فهدبن  سلمه .</t>
        </is>
      </c>
      <c r="B2740" t="inlineStr">
        <is>
          <t>KFM2020660127429</t>
        </is>
      </c>
      <c r="C2740" t="inlineStr">
        <is>
          <t>الرياض</t>
        </is>
      </c>
      <c r="D2740" t="inlineStr">
        <is>
          <t>كلا الفترتين</t>
        </is>
      </c>
      <c r="E2740" t="n">
        <v>1112</v>
      </c>
      <c r="F2740" t="b">
        <v>1</v>
      </c>
      <c r="G2740">
        <f>HYPERLINK("https://www.google.com/maps/search/?api=1&amp;query=24.81102581,46.64342992", "View Map")</f>
        <v/>
      </c>
    </row>
    <row r="2741">
      <c r="A2741" t="inlineStr">
        <is>
          <t>ﻭﺯﺍﺭﺓﺍﻟﺸﺌﻭﻥ ﺍﻻﺴﻼﻤﻴﺓﻭﺍﻻﻭﻗﺎﻑ .</t>
        </is>
      </c>
      <c r="B2741" t="inlineStr">
        <is>
          <t>LYE2020830014521</t>
        </is>
      </c>
      <c r="C2741" t="inlineStr">
        <is>
          <t>الدرعية</t>
        </is>
      </c>
      <c r="D2741" t="inlineStr">
        <is>
          <t>كلا الفترتين</t>
        </is>
      </c>
      <c r="E2741" t="n">
        <v>1112</v>
      </c>
      <c r="F2741" t="b">
        <v>1</v>
      </c>
      <c r="G2741">
        <f>HYPERLINK("https://www.google.com/maps/search/?api=1&amp;query=24.7572,46.5453", "View Map")</f>
        <v/>
      </c>
    </row>
    <row r="2742">
      <c r="A2742" t="inlineStr">
        <is>
          <t>مسجد شبراء .</t>
        </is>
      </c>
      <c r="B2742" t="inlineStr">
        <is>
          <t>KFM2020660015319</t>
        </is>
      </c>
      <c r="C2742" t="inlineStr">
        <is>
          <t>الرياض</t>
        </is>
      </c>
      <c r="D2742" t="inlineStr">
        <is>
          <t>كلا الفترتين</t>
        </is>
      </c>
      <c r="E2742" t="n">
        <v>1112</v>
      </c>
      <c r="F2742" t="b">
        <v>0</v>
      </c>
      <c r="G2742">
        <f>HYPERLINK("https://www.google.com/maps/search/?api=1&amp;query=24.58300865,46.68434332", "View Map")</f>
        <v/>
      </c>
    </row>
    <row r="2743">
      <c r="A2743" t="inlineStr">
        <is>
          <t xml:space="preserve">   مسجد والدة سعد الدريس .</t>
        </is>
      </c>
      <c r="B2743" t="inlineStr">
        <is>
          <t>KFM2020660190780</t>
        </is>
      </c>
      <c r="C2743" t="inlineStr">
        <is>
          <t>الرياض</t>
        </is>
      </c>
      <c r="D2743" t="inlineStr">
        <is>
          <t>مساءا</t>
        </is>
      </c>
      <c r="E2743" t="n">
        <v>1112</v>
      </c>
      <c r="F2743" t="b">
        <v>0</v>
      </c>
      <c r="G2743">
        <f>HYPERLINK("https://www.google.com/maps/search/?api=1&amp;query=24.8074545,46.65999872", "View Map")</f>
        <v/>
      </c>
    </row>
    <row r="2744">
      <c r="A2744" t="inlineStr">
        <is>
          <t xml:space="preserve">   مسجد حي المنصورة .</t>
        </is>
      </c>
      <c r="B2744" t="inlineStr">
        <is>
          <t>KFM2120660283024</t>
        </is>
      </c>
      <c r="C2744" t="inlineStr">
        <is>
          <t>الرياض</t>
        </is>
      </c>
      <c r="D2744" t="inlineStr">
        <is>
          <t>كلا الفترتين</t>
        </is>
      </c>
      <c r="E2744" t="n">
        <v>1112</v>
      </c>
      <c r="F2744" t="b">
        <v>1</v>
      </c>
      <c r="G2744">
        <f>HYPERLINK("https://www.google.com/maps/search/?api=1&amp;query=24.61205914,46.73509434", "View Map")</f>
        <v/>
      </c>
    </row>
    <row r="2745">
      <c r="A2745" t="inlineStr">
        <is>
          <t xml:space="preserve">   مسجد النور .</t>
        </is>
      </c>
      <c r="B2745" t="inlineStr">
        <is>
          <t>KFM2020660171857</t>
        </is>
      </c>
      <c r="C2745" t="inlineStr">
        <is>
          <t>الرياض</t>
        </is>
      </c>
      <c r="D2745" t="inlineStr">
        <is>
          <t>كلا الفترتين</t>
        </is>
      </c>
      <c r="E2745" t="n">
        <v>1111</v>
      </c>
      <c r="F2745" t="b">
        <v>0</v>
      </c>
      <c r="G2745">
        <f>HYPERLINK("https://www.google.com/maps/search/?api=1&amp;query=24.62896511,46.80640333", "View Map")</f>
        <v/>
      </c>
    </row>
    <row r="2746">
      <c r="A2746" t="inlineStr">
        <is>
          <t>مسجد بن سلامه .</t>
        </is>
      </c>
      <c r="B2746" t="inlineStr">
        <is>
          <t>SMR2220661000466</t>
        </is>
      </c>
      <c r="C2746" t="inlineStr">
        <is>
          <t>الرياض</t>
        </is>
      </c>
      <c r="D2746" t="inlineStr">
        <is>
          <t>كلا الفترتين</t>
        </is>
      </c>
      <c r="E2746" t="n">
        <v>1111</v>
      </c>
      <c r="F2746" t="b">
        <v>0</v>
      </c>
      <c r="G2746">
        <f>HYPERLINK("https://www.google.com/maps/search/?api=1&amp;query=24.57958915,46.61910479", "View Map")</f>
        <v/>
      </c>
    </row>
    <row r="2747">
      <c r="A2747" t="inlineStr">
        <is>
          <t xml:space="preserve">   مسجد حي العزيزيه .</t>
        </is>
      </c>
      <c r="B2747" t="inlineStr">
        <is>
          <t>KFM2120660235677</t>
        </is>
      </c>
      <c r="C2747" t="inlineStr">
        <is>
          <t>الرياض</t>
        </is>
      </c>
      <c r="D2747" t="inlineStr">
        <is>
          <t>كلا الفترتين</t>
        </is>
      </c>
      <c r="E2747" t="n">
        <v>1111</v>
      </c>
      <c r="F2747" t="b">
        <v>0</v>
      </c>
      <c r="G2747">
        <f>HYPERLINK("https://www.google.com/maps/search/?api=1&amp;query=24.59883425,46.7789473", "View Map")</f>
        <v/>
      </c>
    </row>
    <row r="2748">
      <c r="A2748" t="inlineStr">
        <is>
          <t xml:space="preserve">  وزارةالشئون الاسلامية والاوقاف(مسجد) .</t>
        </is>
      </c>
      <c r="B2748" t="inlineStr">
        <is>
          <t>KFM2120660257801</t>
        </is>
      </c>
      <c r="C2748" t="inlineStr">
        <is>
          <t>الرياض</t>
        </is>
      </c>
      <c r="D2748" t="inlineStr">
        <is>
          <t>كلا الفترتين</t>
        </is>
      </c>
      <c r="E2748" t="n">
        <v>1111</v>
      </c>
      <c r="F2748" t="b">
        <v>0</v>
      </c>
      <c r="G2748">
        <f>HYPERLINK("https://www.google.com/maps/search/?api=1&amp;query=24.790299,46.67507852", "View Map")</f>
        <v/>
      </c>
    </row>
    <row r="2749">
      <c r="A2749" t="inlineStr">
        <is>
          <t>المسجدالموقتبالدخل  المحدود .</t>
        </is>
      </c>
      <c r="B2749" t="inlineStr">
        <is>
          <t>KFM2020660015377</t>
        </is>
      </c>
      <c r="C2749" t="inlineStr">
        <is>
          <t>الرياض</t>
        </is>
      </c>
      <c r="D2749" t="inlineStr">
        <is>
          <t>كلا الفترتين</t>
        </is>
      </c>
      <c r="E2749" t="n">
        <v>1109</v>
      </c>
      <c r="F2749" t="b">
        <v>0</v>
      </c>
      <c r="G2749">
        <f>HYPERLINK("https://www.google.com/maps/search/?api=1&amp;query=24.57453587,46.58848251", "View Map")</f>
        <v/>
      </c>
    </row>
    <row r="2750">
      <c r="A2750" t="inlineStr">
        <is>
          <t>ﻤﺴﺎﺠﺩ .</t>
        </is>
      </c>
      <c r="B2750" t="inlineStr">
        <is>
          <t>KFM2020660227080</t>
        </is>
      </c>
      <c r="C2750" t="inlineStr">
        <is>
          <t>الرياض</t>
        </is>
      </c>
      <c r="D2750" t="inlineStr">
        <is>
          <t>صباحا</t>
        </is>
      </c>
      <c r="E2750" t="n">
        <v>1109</v>
      </c>
      <c r="F2750" t="b">
        <v>0</v>
      </c>
      <c r="G2750">
        <f>HYPERLINK("https://www.google.com/maps/search/?api=1&amp;query=24.75079771,46.67264312", "View Map")</f>
        <v/>
      </c>
    </row>
    <row r="2751">
      <c r="A2751" t="inlineStr">
        <is>
          <t>مسجد بلال  بن رباح .</t>
        </is>
      </c>
      <c r="B2751" t="inlineStr">
        <is>
          <t>KFM2020660054296</t>
        </is>
      </c>
      <c r="C2751" t="inlineStr">
        <is>
          <t>الرياض</t>
        </is>
      </c>
      <c r="D2751" t="inlineStr">
        <is>
          <t>كلا الفترتين</t>
        </is>
      </c>
      <c r="E2751" t="n">
        <v>1108</v>
      </c>
      <c r="F2751" t="b">
        <v>0</v>
      </c>
      <c r="G2751">
        <f>HYPERLINK("https://www.google.com/maps/search/?api=1&amp;query=24.58316662,46.55490265", "View Map")</f>
        <v/>
      </c>
    </row>
    <row r="2752">
      <c r="A2752" t="inlineStr">
        <is>
          <t xml:space="preserve">   مسجدسباق الخيل .</t>
        </is>
      </c>
      <c r="B2752" t="inlineStr">
        <is>
          <t>MMF2020800232039</t>
        </is>
      </c>
      <c r="C2752" t="inlineStr">
        <is>
          <t>الرياض</t>
        </is>
      </c>
      <c r="D2752" t="inlineStr">
        <is>
          <t>كلا الفترتين</t>
        </is>
      </c>
      <c r="E2752" t="n">
        <v>1108</v>
      </c>
      <c r="F2752" t="b">
        <v>0</v>
      </c>
      <c r="G2752">
        <f>HYPERLINK("https://www.google.com/maps/search/?api=1&amp;query=24.66505504,46.73443238", "View Map")</f>
        <v/>
      </c>
    </row>
    <row r="2753">
      <c r="A2753" t="inlineStr">
        <is>
          <t xml:space="preserve">   وزارة الشئون الاسلامية والاوقاف .</t>
        </is>
      </c>
      <c r="B2753" t="inlineStr">
        <is>
          <t>KFM2020660031798</t>
        </is>
      </c>
      <c r="C2753" t="inlineStr">
        <is>
          <t>الرياض</t>
        </is>
      </c>
      <c r="D2753" t="inlineStr">
        <is>
          <t>كلا الفترتين</t>
        </is>
      </c>
      <c r="E2753" t="n">
        <v>1107</v>
      </c>
      <c r="F2753" t="b">
        <v>0</v>
      </c>
      <c r="G2753">
        <f>HYPERLINK("https://www.google.com/maps/search/?api=1&amp;query=24.7538789,46.61361161", "View Map")</f>
        <v/>
      </c>
    </row>
    <row r="2754">
      <c r="A2754" t="inlineStr">
        <is>
          <t>ﻤﺴﺎﺠﺩ .</t>
        </is>
      </c>
      <c r="B2754" t="inlineStr">
        <is>
          <t>SMR2020850003650</t>
        </is>
      </c>
      <c r="C2754" t="inlineStr">
        <is>
          <t>الرياض</t>
        </is>
      </c>
      <c r="D2754" t="inlineStr">
        <is>
          <t>كلا الفترتين</t>
        </is>
      </c>
      <c r="E2754" t="n">
        <v>1107</v>
      </c>
      <c r="F2754" t="b">
        <v>0</v>
      </c>
      <c r="G2754">
        <f>HYPERLINK("https://www.google.com/maps/search/?api=1&amp;query=24.86586119,46.63841105", "View Map")</f>
        <v/>
      </c>
    </row>
    <row r="2755">
      <c r="A2755" t="inlineStr">
        <is>
          <t>مسجد الا زهر .</t>
        </is>
      </c>
      <c r="B2755" t="inlineStr">
        <is>
          <t>KFM2020660134150</t>
        </is>
      </c>
      <c r="C2755" t="inlineStr">
        <is>
          <t>الرياض</t>
        </is>
      </c>
      <c r="D2755" t="inlineStr">
        <is>
          <t>كلا الفترتين</t>
        </is>
      </c>
      <c r="E2755" t="n">
        <v>1107</v>
      </c>
      <c r="F2755" t="b">
        <v>0</v>
      </c>
      <c r="G2755">
        <f>HYPERLINK("https://www.google.com/maps/search/?api=1&amp;query=24.5952346,46.64540346", "View Map")</f>
        <v/>
      </c>
    </row>
    <row r="2756">
      <c r="A2756" t="inlineStr">
        <is>
          <t>مسجد التوحيد بالعريجاء .</t>
        </is>
      </c>
      <c r="B2756" t="inlineStr">
        <is>
          <t>KFM2020660057870</t>
        </is>
      </c>
      <c r="C2756" t="inlineStr">
        <is>
          <t>الرياض</t>
        </is>
      </c>
      <c r="D2756" t="inlineStr">
        <is>
          <t>كلا الفترتين</t>
        </is>
      </c>
      <c r="E2756" t="n">
        <v>1106</v>
      </c>
      <c r="F2756" t="b">
        <v>0</v>
      </c>
      <c r="G2756">
        <f>HYPERLINK("https://www.google.com/maps/search/?api=1&amp;query=24.59049145,46.53907667", "View Map")</f>
        <v/>
      </c>
    </row>
    <row r="2757">
      <c r="A2757" t="inlineStr">
        <is>
          <t xml:space="preserve">   مسجد الشيخ عبدالله الشثري .</t>
        </is>
      </c>
      <c r="B2757" t="inlineStr">
        <is>
          <t>KFM2020660201208</t>
        </is>
      </c>
      <c r="C2757" t="inlineStr">
        <is>
          <t>الرياض</t>
        </is>
      </c>
      <c r="D2757" t="inlineStr">
        <is>
          <t>كلا الفترتين</t>
        </is>
      </c>
      <c r="E2757" t="n">
        <v>1106</v>
      </c>
      <c r="F2757" t="b">
        <v>0</v>
      </c>
      <c r="G2757">
        <f>HYPERLINK("https://www.google.com/maps/search/?api=1&amp;query=24.76543416,46.71266227", "View Map")</f>
        <v/>
      </c>
    </row>
    <row r="2758">
      <c r="A2758" t="inlineStr">
        <is>
          <t xml:space="preserve">   مسجد العزيزية .</t>
        </is>
      </c>
      <c r="B2758" t="inlineStr">
        <is>
          <t>KFM2120660295376</t>
        </is>
      </c>
      <c r="C2758" t="inlineStr">
        <is>
          <t>الرياض</t>
        </is>
      </c>
      <c r="D2758" t="inlineStr">
        <is>
          <t>كلا الفترتين</t>
        </is>
      </c>
      <c r="E2758" t="n">
        <v>1106</v>
      </c>
      <c r="F2758" t="b">
        <v>0</v>
      </c>
      <c r="G2758">
        <f>HYPERLINK("https://www.google.com/maps/search/?api=1&amp;query=24.60159283,46.76137899", "View Map")</f>
        <v/>
      </c>
    </row>
    <row r="2759">
      <c r="A2759" t="inlineStr">
        <is>
          <t>مسجد النور الموقت .</t>
        </is>
      </c>
      <c r="B2759" t="inlineStr">
        <is>
          <t>KFM2020660043914</t>
        </is>
      </c>
      <c r="C2759" t="inlineStr">
        <is>
          <t>الرياض</t>
        </is>
      </c>
      <c r="D2759" t="inlineStr">
        <is>
          <t>كلا الفترتين</t>
        </is>
      </c>
      <c r="E2759" t="n">
        <v>1105</v>
      </c>
      <c r="F2759" t="b">
        <v>0</v>
      </c>
      <c r="G2759">
        <f>HYPERLINK("https://www.google.com/maps/search/?api=1&amp;query=24.58957426,46.56968774", "View Map")</f>
        <v/>
      </c>
    </row>
    <row r="2760">
      <c r="A2760" t="inlineStr">
        <is>
          <t>ﻭﺯﺍﺭﺓﺍﻟﺸﺌﻭﻥ ﺍﻻﺴﻼﻤﻴﺓﻭﺍﻻﻭﻗﺎﻑ .</t>
        </is>
      </c>
      <c r="B2760" t="inlineStr">
        <is>
          <t>SMR2220661018046</t>
        </is>
      </c>
      <c r="C2760" t="inlineStr">
        <is>
          <t>الرياض</t>
        </is>
      </c>
      <c r="D2760" t="inlineStr">
        <is>
          <t>كلا الفترتين</t>
        </is>
      </c>
      <c r="E2760" t="n">
        <v>1105</v>
      </c>
      <c r="F2760" t="b">
        <v>0</v>
      </c>
      <c r="G2760">
        <f>HYPERLINK("https://www.google.com/maps/search/?api=1&amp;query=24.67050962,46.57164983", "View Map")</f>
        <v/>
      </c>
    </row>
    <row r="2761">
      <c r="A2761" t="inlineStr">
        <is>
          <t xml:space="preserve">   جامع الملك فهد .</t>
        </is>
      </c>
      <c r="B2761" t="inlineStr">
        <is>
          <t>KFM2120660299461</t>
        </is>
      </c>
      <c r="C2761" t="inlineStr">
        <is>
          <t>الرياض</t>
        </is>
      </c>
      <c r="D2761" t="inlineStr">
        <is>
          <t>كلا الفترتين</t>
        </is>
      </c>
      <c r="E2761" t="n">
        <v>1105</v>
      </c>
      <c r="F2761" t="b">
        <v>0</v>
      </c>
      <c r="G2761">
        <f>HYPERLINK("https://www.google.com/maps/search/?api=1&amp;query=24.64898377,46.72001269", "View Map")</f>
        <v/>
      </c>
    </row>
    <row r="2762">
      <c r="A2762" t="inlineStr">
        <is>
          <t xml:space="preserve">   مسجد / محمد الهاجرى .</t>
        </is>
      </c>
      <c r="B2762" t="inlineStr">
        <is>
          <t>KFM2020660031375</t>
        </is>
      </c>
      <c r="C2762" t="inlineStr">
        <is>
          <t>الرياض</t>
        </is>
      </c>
      <c r="D2762" t="inlineStr">
        <is>
          <t>كلا الفترتين</t>
        </is>
      </c>
      <c r="E2762" t="n">
        <v>1104</v>
      </c>
      <c r="F2762" t="b">
        <v>0</v>
      </c>
      <c r="G2762">
        <f>HYPERLINK("https://www.google.com/maps/search/?api=1&amp;query=24.71129217,46.66363214", "View Map")</f>
        <v/>
      </c>
    </row>
    <row r="2763">
      <c r="A2763" t="inlineStr">
        <is>
          <t>ﻭﺯﺍﺭﺓﺍﻟﺸﺌﻭﻥ ﺍﻻﺴﻼﻤﻴﺓﻭﺍﻻﻭﻗﺎﻑ .</t>
        </is>
      </c>
      <c r="B2763" t="inlineStr">
        <is>
          <t>KFM2020660175010</t>
        </is>
      </c>
      <c r="C2763" t="inlineStr">
        <is>
          <t>الرياض</t>
        </is>
      </c>
      <c r="D2763" t="inlineStr">
        <is>
          <t>كلا الفترتين</t>
        </is>
      </c>
      <c r="E2763" t="n">
        <v>1104</v>
      </c>
      <c r="F2763" t="b">
        <v>0</v>
      </c>
      <c r="G2763">
        <f>HYPERLINK("https://www.google.com/maps/search/?api=1&amp;query=24.52690324,46.65844168", "View Map")</f>
        <v/>
      </c>
    </row>
    <row r="2764">
      <c r="A2764" t="inlineStr">
        <is>
          <t>مسجد حى  البديعه .</t>
        </is>
      </c>
      <c r="B2764" t="inlineStr">
        <is>
          <t>KFM2020660173256</t>
        </is>
      </c>
      <c r="C2764" t="inlineStr">
        <is>
          <t>الرياض</t>
        </is>
      </c>
      <c r="D2764" t="inlineStr">
        <is>
          <t>كلا الفترتين</t>
        </is>
      </c>
      <c r="E2764" t="n">
        <v>1104</v>
      </c>
      <c r="F2764" t="b">
        <v>0</v>
      </c>
      <c r="G2764">
        <f>HYPERLINK("https://www.google.com/maps/search/?api=1&amp;query=24.59745902,46.63510843", "View Map")</f>
        <v/>
      </c>
    </row>
    <row r="2765">
      <c r="A2765" t="inlineStr">
        <is>
          <t xml:space="preserve">   مسجد مصعب بن عمير .</t>
        </is>
      </c>
      <c r="B2765" t="inlineStr">
        <is>
          <t>KFM2020660161582</t>
        </is>
      </c>
      <c r="C2765" t="inlineStr">
        <is>
          <t>الرياض</t>
        </is>
      </c>
      <c r="D2765" t="inlineStr">
        <is>
          <t>كلا الفترتين</t>
        </is>
      </c>
      <c r="E2765" t="n">
        <v>1103</v>
      </c>
      <c r="F2765" t="b">
        <v>1</v>
      </c>
      <c r="G2765">
        <f>HYPERLINK("https://www.google.com/maps/search/?api=1&amp;query=24.57502104,46.83168619", "View Map")</f>
        <v/>
      </c>
    </row>
    <row r="2766">
      <c r="A2766" t="inlineStr">
        <is>
          <t>ﻤﺴﺎﺠﺩ .</t>
        </is>
      </c>
      <c r="B2766" t="inlineStr">
        <is>
          <t>KFM2020660203035</t>
        </is>
      </c>
      <c r="C2766" t="inlineStr">
        <is>
          <t>الدرعية</t>
        </is>
      </c>
      <c r="D2766" t="inlineStr">
        <is>
          <t>كلا الفترتين</t>
        </is>
      </c>
      <c r="E2766" t="n">
        <v>1103</v>
      </c>
      <c r="F2766" t="b">
        <v>0</v>
      </c>
      <c r="G2766">
        <f>HYPERLINK("https://www.google.com/maps/search/?api=1&amp;query=24.90313982,46.37321847", "View Map")</f>
        <v/>
      </c>
    </row>
    <row r="2767">
      <c r="A2767" t="inlineStr">
        <is>
          <t xml:space="preserve">   مسجد حي الروابي .</t>
        </is>
      </c>
      <c r="B2767" t="inlineStr">
        <is>
          <t>KFM2020660138305</t>
        </is>
      </c>
      <c r="C2767" t="inlineStr">
        <is>
          <t>الرياض</t>
        </is>
      </c>
      <c r="D2767" t="inlineStr">
        <is>
          <t>كلا الفترتين</t>
        </is>
      </c>
      <c r="E2767" t="n">
        <v>1102</v>
      </c>
      <c r="F2767" t="b">
        <v>1</v>
      </c>
      <c r="G2767">
        <f>HYPERLINK("https://www.google.com/maps/search/?api=1&amp;query=24.69278165,46.78913772", "View Map")</f>
        <v/>
      </c>
    </row>
    <row r="2768">
      <c r="A2768" t="inlineStr">
        <is>
          <t xml:space="preserve">   مسجد بن فريان بحي الشرفيه .</t>
        </is>
      </c>
      <c r="B2768" t="inlineStr">
        <is>
          <t>KFM2120660252379</t>
        </is>
      </c>
      <c r="C2768" t="inlineStr">
        <is>
          <t>الرياض</t>
        </is>
      </c>
      <c r="D2768" t="inlineStr">
        <is>
          <t>كلا الفترتين</t>
        </is>
      </c>
      <c r="E2768" t="n">
        <v>1102</v>
      </c>
      <c r="F2768" t="b">
        <v>0</v>
      </c>
      <c r="G2768">
        <f>HYPERLINK("https://www.google.com/maps/search/?api=1&amp;query=24.65411653,46.6742242", "View Map")</f>
        <v/>
      </c>
    </row>
    <row r="2769">
      <c r="A2769" t="inlineStr">
        <is>
          <t>مسجد الشيخ محمد العمراني سكن .</t>
        </is>
      </c>
      <c r="B2769" t="inlineStr">
        <is>
          <t>KFM2020660145907</t>
        </is>
      </c>
      <c r="C2769" t="inlineStr">
        <is>
          <t>الرياض</t>
        </is>
      </c>
      <c r="D2769" t="inlineStr">
        <is>
          <t>كلا الفترتين</t>
        </is>
      </c>
      <c r="E2769" t="n">
        <v>1102</v>
      </c>
      <c r="F2769" t="b">
        <v>1</v>
      </c>
      <c r="G2769">
        <f>HYPERLINK("https://www.google.com/maps/search/?api=1&amp;query=24.81176894,46.59821957", "View Map")</f>
        <v/>
      </c>
    </row>
    <row r="2770">
      <c r="A2770" t="inlineStr">
        <is>
          <t>.    مسجد      العريفى .</t>
        </is>
      </c>
      <c r="B2770" t="inlineStr">
        <is>
          <t>KFM2020660054352</t>
        </is>
      </c>
      <c r="C2770" t="inlineStr">
        <is>
          <t>الرياض</t>
        </is>
      </c>
      <c r="D2770" t="inlineStr">
        <is>
          <t>كلا الفترتين</t>
        </is>
      </c>
      <c r="E2770" t="n">
        <v>1101</v>
      </c>
      <c r="F2770" t="b">
        <v>0</v>
      </c>
      <c r="G2770">
        <f>HYPERLINK("https://www.google.com/maps/search/?api=1&amp;query=24.58556811,46.73896285", "View Map")</f>
        <v/>
      </c>
    </row>
    <row r="2771">
      <c r="A2771" t="inlineStr">
        <is>
          <t>مسجد حسن ال  الشيخ .</t>
        </is>
      </c>
      <c r="B2771" t="inlineStr">
        <is>
          <t>KFM2020660098988</t>
        </is>
      </c>
      <c r="C2771" t="inlineStr">
        <is>
          <t>الرياض</t>
        </is>
      </c>
      <c r="D2771" t="inlineStr">
        <is>
          <t>كلا الفترتين</t>
        </is>
      </c>
      <c r="E2771" t="n">
        <v>1101</v>
      </c>
      <c r="F2771" t="b">
        <v>0</v>
      </c>
      <c r="G2771">
        <f>HYPERLINK("https://www.google.com/maps/search/?api=1&amp;query=24.59958837,46.72868665", "View Map")</f>
        <v/>
      </c>
    </row>
    <row r="2772">
      <c r="A2772" t="inlineStr">
        <is>
          <t xml:space="preserve">   مسجد هياء راشد الحسين .</t>
        </is>
      </c>
      <c r="B2772" t="inlineStr">
        <is>
          <t>KFM2020660191589</t>
        </is>
      </c>
      <c r="C2772" t="inlineStr">
        <is>
          <t>الرياض</t>
        </is>
      </c>
      <c r="D2772" t="inlineStr">
        <is>
          <t>كلا الفترتين</t>
        </is>
      </c>
      <c r="E2772" t="n">
        <v>1101</v>
      </c>
      <c r="F2772" t="b">
        <v>1</v>
      </c>
      <c r="G2772">
        <f>HYPERLINK("https://www.google.com/maps/search/?api=1&amp;query=24.78699566,46.7386955", "View Map")</f>
        <v/>
      </c>
    </row>
    <row r="2773">
      <c r="A2773" t="inlineStr">
        <is>
          <t xml:space="preserve">   مساجد .</t>
        </is>
      </c>
      <c r="B2773" t="inlineStr">
        <is>
          <t>KFM2020660170701</t>
        </is>
      </c>
      <c r="C2773" t="inlineStr">
        <is>
          <t>الرياض</t>
        </is>
      </c>
      <c r="D2773" t="inlineStr">
        <is>
          <t>كلا الفترتين</t>
        </is>
      </c>
      <c r="E2773" t="n">
        <v>1100</v>
      </c>
      <c r="F2773" t="b">
        <v>0</v>
      </c>
      <c r="G2773">
        <f>HYPERLINK("https://www.google.com/maps/search/?api=1&amp;query=24.84236232,46.76819195", "View Map")</f>
        <v/>
      </c>
    </row>
    <row r="2774">
      <c r="A2774" t="inlineStr">
        <is>
          <t xml:space="preserve">   مسجد الهدايه .</t>
        </is>
      </c>
      <c r="B2774" t="inlineStr">
        <is>
          <t>KFM2020660011200</t>
        </is>
      </c>
      <c r="C2774" t="inlineStr">
        <is>
          <t>الرياض</t>
        </is>
      </c>
      <c r="D2774" t="inlineStr">
        <is>
          <t>كلا الفترتين</t>
        </is>
      </c>
      <c r="E2774" t="n">
        <v>1100</v>
      </c>
      <c r="F2774" t="b">
        <v>0</v>
      </c>
      <c r="G2774">
        <f>HYPERLINK("https://www.google.com/maps/search/?api=1&amp;query=24.7789,46.6286", "View Map")</f>
        <v/>
      </c>
    </row>
    <row r="2775">
      <c r="A2775" t="inlineStr">
        <is>
          <t>.      مسجد      جابر .</t>
        </is>
      </c>
      <c r="B2775" t="inlineStr">
        <is>
          <t>KFM2020660043888</t>
        </is>
      </c>
      <c r="C2775" t="inlineStr">
        <is>
          <t>الرياض</t>
        </is>
      </c>
      <c r="D2775" t="inlineStr">
        <is>
          <t>كلا الفترتين</t>
        </is>
      </c>
      <c r="E2775" t="n">
        <v>1100</v>
      </c>
      <c r="F2775" t="b">
        <v>1</v>
      </c>
      <c r="G2775">
        <f>HYPERLINK("https://www.google.com/maps/search/?api=1&amp;query=24.57269015,46.54711981", "View Map")</f>
        <v/>
      </c>
    </row>
    <row r="2776">
      <c r="A2776" t="inlineStr">
        <is>
          <t xml:space="preserve">   مسجد الصالحين .</t>
        </is>
      </c>
      <c r="B2776" t="inlineStr">
        <is>
          <t>KFM2120660251596</t>
        </is>
      </c>
      <c r="C2776" t="inlineStr">
        <is>
          <t>الرياض</t>
        </is>
      </c>
      <c r="D2776" t="inlineStr">
        <is>
          <t>كلا الفترتين</t>
        </is>
      </c>
      <c r="E2776" t="n">
        <v>1098</v>
      </c>
      <c r="F2776" t="b">
        <v>0</v>
      </c>
      <c r="G2776">
        <f>HYPERLINK("https://www.google.com/maps/search/?api=1&amp;query=24.67039111,46.74838018", "View Map")</f>
        <v/>
      </c>
    </row>
    <row r="2777">
      <c r="A2777" t="inlineStr">
        <is>
          <t>مسجد ابن  الشيخ .</t>
        </is>
      </c>
      <c r="B2777" t="inlineStr">
        <is>
          <t>KFM2020660022924</t>
        </is>
      </c>
      <c r="C2777" t="inlineStr">
        <is>
          <t>الرياض</t>
        </is>
      </c>
      <c r="D2777" t="inlineStr">
        <is>
          <t>كلا الفترتين</t>
        </is>
      </c>
      <c r="E2777" t="n">
        <v>1098</v>
      </c>
      <c r="F2777" t="b">
        <v>0</v>
      </c>
      <c r="G2777">
        <f>HYPERLINK("https://www.google.com/maps/search/?api=1&amp;query=24.57774947,46.70604046", "View Map")</f>
        <v/>
      </c>
    </row>
    <row r="2778">
      <c r="A2778" t="inlineStr">
        <is>
          <t xml:space="preserve">   مسجد محمد عبدالرحمن الجحلان .</t>
        </is>
      </c>
      <c r="B2778" t="inlineStr">
        <is>
          <t>KFM2020660145558</t>
        </is>
      </c>
      <c r="C2778" t="inlineStr">
        <is>
          <t>الرياض</t>
        </is>
      </c>
      <c r="D2778" t="inlineStr">
        <is>
          <t>كلا الفترتين</t>
        </is>
      </c>
      <c r="E2778" t="n">
        <v>1098</v>
      </c>
      <c r="F2778" t="b">
        <v>0</v>
      </c>
      <c r="G2778">
        <f>HYPERLINK("https://www.google.com/maps/search/?api=1&amp;query=24.82722544,46.6510338", "View Map")</f>
        <v/>
      </c>
    </row>
    <row r="2779">
      <c r="A2779" t="inlineStr">
        <is>
          <t xml:space="preserve">   مسجد=نوره عبدالرحمن الشيخ .</t>
        </is>
      </c>
      <c r="B2779" t="inlineStr">
        <is>
          <t>KFM2020660213480</t>
        </is>
      </c>
      <c r="C2779" t="inlineStr">
        <is>
          <t>الرياض</t>
        </is>
      </c>
      <c r="D2779" t="inlineStr">
        <is>
          <t>كلا الفترتين</t>
        </is>
      </c>
      <c r="E2779" t="n">
        <v>1095</v>
      </c>
      <c r="F2779" t="b">
        <v>0</v>
      </c>
      <c r="G2779">
        <f>HYPERLINK("https://www.google.com/maps/search/?api=1&amp;query=24.80070469,46.6994715", "View Map")</f>
        <v/>
      </c>
    </row>
    <row r="2780">
      <c r="A2780" t="inlineStr">
        <is>
          <t>ﻭﺯﺍﺭﺓﺍﻟﺸﺌﻭﻥ ﺍﻻﺴﻼﻤﻴﺓﻭﺍﻻﻭﻗﺎﻑ .</t>
        </is>
      </c>
      <c r="B2780" t="inlineStr">
        <is>
          <t>KFM2020660051381</t>
        </is>
      </c>
      <c r="C2780" t="inlineStr">
        <is>
          <t>الرياض</t>
        </is>
      </c>
      <c r="D2780" t="inlineStr">
        <is>
          <t>كلا الفترتين</t>
        </is>
      </c>
      <c r="E2780" t="n">
        <v>1094</v>
      </c>
      <c r="F2780" t="b">
        <v>1</v>
      </c>
      <c r="G2780">
        <f>HYPERLINK("https://www.google.com/maps/search/?api=1&amp;query=24.51664533,46.66644697", "View Map")</f>
        <v/>
      </c>
    </row>
    <row r="2781">
      <c r="A2781" t="inlineStr">
        <is>
          <t>مسجد/الامير محمدبن ناصرال  سعود .</t>
        </is>
      </c>
      <c r="B2781" t="inlineStr">
        <is>
          <t>KFM2020660015393</t>
        </is>
      </c>
      <c r="C2781" t="inlineStr">
        <is>
          <t>الرياض</t>
        </is>
      </c>
      <c r="D2781" t="inlineStr">
        <is>
          <t>كلا الفترتين</t>
        </is>
      </c>
      <c r="E2781" t="n">
        <v>1094</v>
      </c>
      <c r="F2781" t="b">
        <v>0</v>
      </c>
      <c r="G2781">
        <f>HYPERLINK("https://www.google.com/maps/search/?api=1&amp;query=24.61763462,46.72421066", "View Map")</f>
        <v/>
      </c>
    </row>
    <row r="2782">
      <c r="A2782" t="inlineStr">
        <is>
          <t>مسجد المقصب .</t>
        </is>
      </c>
      <c r="B2782" t="inlineStr">
        <is>
          <t>KFM2020660201759</t>
        </is>
      </c>
      <c r="C2782" t="inlineStr">
        <is>
          <t>الرياض</t>
        </is>
      </c>
      <c r="D2782" t="inlineStr">
        <is>
          <t>كلا الفترتين</t>
        </is>
      </c>
      <c r="E2782" t="n">
        <v>1094</v>
      </c>
      <c r="F2782" t="b">
        <v>0</v>
      </c>
      <c r="G2782">
        <f>HYPERLINK("https://www.google.com/maps/search/?api=1&amp;query=24.62678108,46.69682321", "View Map")</f>
        <v/>
      </c>
    </row>
    <row r="2783">
      <c r="A2783" t="inlineStr">
        <is>
          <t>ﻤﺴﺎﺠﺩ .</t>
        </is>
      </c>
      <c r="B2783" t="inlineStr">
        <is>
          <t>KFM2120655002106</t>
        </is>
      </c>
      <c r="C2783" t="inlineStr">
        <is>
          <t>الرياض</t>
        </is>
      </c>
      <c r="D2783" t="inlineStr">
        <is>
          <t>كلا الفترتين</t>
        </is>
      </c>
      <c r="E2783" t="n">
        <v>1094</v>
      </c>
      <c r="F2783" t="b">
        <v>0</v>
      </c>
      <c r="G2783">
        <f>HYPERLINK("https://www.google.com/maps/search/?api=1&amp;query=24.86294256,46.62975305", "View Map")</f>
        <v/>
      </c>
    </row>
    <row r="2784">
      <c r="A2784" t="inlineStr">
        <is>
          <t xml:space="preserve">   مسجدعقيل الراجحي/عبدالرحمن راجحي .</t>
        </is>
      </c>
      <c r="B2784" t="inlineStr">
        <is>
          <t>KFM2120660271576</t>
        </is>
      </c>
      <c r="C2784" t="inlineStr">
        <is>
          <t>الرياض</t>
        </is>
      </c>
      <c r="D2784" t="inlineStr">
        <is>
          <t>كلا الفترتين</t>
        </is>
      </c>
      <c r="E2784" t="n">
        <v>1093</v>
      </c>
      <c r="F2784" t="b">
        <v>0</v>
      </c>
      <c r="G2784">
        <f>HYPERLINK("https://www.google.com/maps/search/?api=1&amp;query=24.669603,46.78822501", "View Map")</f>
        <v/>
      </c>
    </row>
    <row r="2785">
      <c r="A2785" t="inlineStr">
        <is>
          <t xml:space="preserve">   مسجد شرق حي الخليج .</t>
        </is>
      </c>
      <c r="B2785" t="inlineStr">
        <is>
          <t>KFM2020660190958</t>
        </is>
      </c>
      <c r="C2785" t="inlineStr">
        <is>
          <t>الرياض</t>
        </is>
      </c>
      <c r="D2785" t="inlineStr">
        <is>
          <t>كلا الفترتين</t>
        </is>
      </c>
      <c r="E2785" t="n">
        <v>1093</v>
      </c>
      <c r="F2785" t="b">
        <v>1</v>
      </c>
      <c r="G2785">
        <f>HYPERLINK("https://www.google.com/maps/search/?api=1&amp;query=24.78473086,46.80780761", "View Map")</f>
        <v/>
      </c>
    </row>
    <row r="2786">
      <c r="A2786" t="inlineStr">
        <is>
          <t xml:space="preserve">   مسجد السويلم .</t>
        </is>
      </c>
      <c r="B2786" t="inlineStr">
        <is>
          <t>KFM2020660191656</t>
        </is>
      </c>
      <c r="C2786" t="inlineStr">
        <is>
          <t>الرياض</t>
        </is>
      </c>
      <c r="D2786" t="inlineStr">
        <is>
          <t>كلا الفترتين</t>
        </is>
      </c>
      <c r="E2786" t="n">
        <v>1093</v>
      </c>
      <c r="F2786" t="b">
        <v>0</v>
      </c>
      <c r="G2786">
        <f>HYPERLINK("https://www.google.com/maps/search/?api=1&amp;query=24.78592525,46.68432489", "View Map")</f>
        <v/>
      </c>
    </row>
    <row r="2787">
      <c r="A2787" t="inlineStr">
        <is>
          <t xml:space="preserve">   مسجد ماجد الماجد .</t>
        </is>
      </c>
      <c r="B2787" t="inlineStr">
        <is>
          <t>KFM2020660190894</t>
        </is>
      </c>
      <c r="C2787" t="inlineStr">
        <is>
          <t>الرياض</t>
        </is>
      </c>
      <c r="D2787" t="inlineStr">
        <is>
          <t>كلا الفترتين</t>
        </is>
      </c>
      <c r="E2787" t="n">
        <v>1092</v>
      </c>
      <c r="F2787" t="b">
        <v>1</v>
      </c>
      <c r="G2787">
        <f>HYPERLINK("https://www.google.com/maps/search/?api=1&amp;query=24.80910136,46.6500693", "View Map")</f>
        <v/>
      </c>
    </row>
    <row r="2788">
      <c r="A2788" t="inlineStr">
        <is>
          <t>مسجد الشعلان .</t>
        </is>
      </c>
      <c r="B2788" t="inlineStr">
        <is>
          <t>KFM2020660056051</t>
        </is>
      </c>
      <c r="C2788" t="inlineStr">
        <is>
          <t>الرياض</t>
        </is>
      </c>
      <c r="D2788" t="inlineStr">
        <is>
          <t>صباحا</t>
        </is>
      </c>
      <c r="E2788" t="n">
        <v>1091</v>
      </c>
      <c r="F2788" t="b">
        <v>0</v>
      </c>
      <c r="G2788">
        <f>HYPERLINK("https://www.google.com/maps/search/?api=1&amp;query=24.60116202,46.68076179", "View Map")</f>
        <v/>
      </c>
    </row>
    <row r="2789">
      <c r="A2789" t="inlineStr">
        <is>
          <t xml:space="preserve">   مسجدعبدالرحمن بن عوف .</t>
        </is>
      </c>
      <c r="B2789" t="inlineStr">
        <is>
          <t>KFM2020660162795</t>
        </is>
      </c>
      <c r="C2789" t="inlineStr">
        <is>
          <t>الرياض</t>
        </is>
      </c>
      <c r="D2789" t="inlineStr">
        <is>
          <t>كلا الفترتين</t>
        </is>
      </c>
      <c r="E2789" t="n">
        <v>1090</v>
      </c>
      <c r="F2789" t="b">
        <v>1</v>
      </c>
      <c r="G2789">
        <f>HYPERLINK("https://www.google.com/maps/search/?api=1&amp;query=24.55758165,46.78406404", "View Map")</f>
        <v/>
      </c>
    </row>
    <row r="2790">
      <c r="A2790" t="inlineStr">
        <is>
          <t xml:space="preserve">   جامع المربع .</t>
        </is>
      </c>
      <c r="B2790" t="inlineStr">
        <is>
          <t>KFM2020660188818</t>
        </is>
      </c>
      <c r="C2790" t="inlineStr">
        <is>
          <t>الرياض</t>
        </is>
      </c>
      <c r="D2790" t="inlineStr">
        <is>
          <t>كلا الفترتين</t>
        </is>
      </c>
      <c r="E2790" t="n">
        <v>1090</v>
      </c>
      <c r="F2790" t="b">
        <v>0</v>
      </c>
      <c r="G2790">
        <f>HYPERLINK("https://www.google.com/maps/search/?api=1&amp;query=24.656609,46.70982143", "View Map")</f>
        <v/>
      </c>
    </row>
    <row r="2791">
      <c r="A2791" t="inlineStr">
        <is>
          <t>مسجد حى  النزهه .</t>
        </is>
      </c>
      <c r="B2791" t="inlineStr">
        <is>
          <t>KFM2020660034141</t>
        </is>
      </c>
      <c r="C2791" t="inlineStr">
        <is>
          <t>الرياض</t>
        </is>
      </c>
      <c r="D2791" t="inlineStr">
        <is>
          <t>كلا الفترتين</t>
        </is>
      </c>
      <c r="E2791" t="n">
        <v>1090</v>
      </c>
      <c r="F2791" t="b">
        <v>0</v>
      </c>
      <c r="G2791">
        <f>HYPERLINK("https://www.google.com/maps/search/?api=1&amp;query=24.505,46.6364", "View Map")</f>
        <v/>
      </c>
    </row>
    <row r="2792">
      <c r="A2792" t="inlineStr">
        <is>
          <t xml:space="preserve">   مسجد عبدالله الشدى .</t>
        </is>
      </c>
      <c r="B2792" t="inlineStr">
        <is>
          <t>KFM2020660187738</t>
        </is>
      </c>
      <c r="C2792" t="inlineStr">
        <is>
          <t>الرياض</t>
        </is>
      </c>
      <c r="D2792" t="inlineStr">
        <is>
          <t>كلا الفترتين</t>
        </is>
      </c>
      <c r="E2792" t="n">
        <v>1089</v>
      </c>
      <c r="F2792" t="b">
        <v>0</v>
      </c>
      <c r="G2792">
        <f>HYPERLINK("https://www.google.com/maps/search/?api=1&amp;query=24.68982516,46.64392024", "View Map")</f>
        <v/>
      </c>
    </row>
    <row r="2793">
      <c r="A2793" t="inlineStr">
        <is>
          <t xml:space="preserve">   مسجدالمرقب القديم .</t>
        </is>
      </c>
      <c r="B2793" t="inlineStr">
        <is>
          <t>SMR2220661019011</t>
        </is>
      </c>
      <c r="C2793" t="inlineStr">
        <is>
          <t>الرياض</t>
        </is>
      </c>
      <c r="D2793" t="inlineStr">
        <is>
          <t>كلا الفترتين</t>
        </is>
      </c>
      <c r="E2793" t="n">
        <v>1088</v>
      </c>
      <c r="F2793" t="b">
        <v>0</v>
      </c>
      <c r="G2793">
        <f>HYPERLINK("https://www.google.com/maps/search/?api=1&amp;query=24.63137116,46.71816224", "View Map")</f>
        <v/>
      </c>
    </row>
    <row r="2794">
      <c r="A2794" t="inlineStr">
        <is>
          <t>مسجد حي بدر .</t>
        </is>
      </c>
      <c r="B2794" t="inlineStr">
        <is>
          <t>KFM2020660198448</t>
        </is>
      </c>
      <c r="C2794" t="inlineStr">
        <is>
          <t>الرياض</t>
        </is>
      </c>
      <c r="D2794" t="inlineStr">
        <is>
          <t>كلا الفترتين</t>
        </is>
      </c>
      <c r="E2794" t="n">
        <v>1088</v>
      </c>
      <c r="F2794" t="b">
        <v>0</v>
      </c>
      <c r="G2794">
        <f>HYPERLINK("https://www.google.com/maps/search/?api=1&amp;query=24.57384886,46.71337917", "View Map")</f>
        <v/>
      </c>
    </row>
    <row r="2795">
      <c r="A2795" t="inlineStr">
        <is>
          <t xml:space="preserve">   وزارة     الشئون    والاواقاف .</t>
        </is>
      </c>
      <c r="B2795" t="inlineStr">
        <is>
          <t>KFM2020660211316</t>
        </is>
      </c>
      <c r="C2795" t="inlineStr">
        <is>
          <t>الرياض</t>
        </is>
      </c>
      <c r="D2795" t="inlineStr">
        <is>
          <t>كلا الفترتين</t>
        </is>
      </c>
      <c r="E2795" t="n">
        <v>1088</v>
      </c>
      <c r="F2795" t="b">
        <v>1</v>
      </c>
      <c r="G2795">
        <f>HYPERLINK("https://www.google.com/maps/search/?api=1&amp;query=24.63652647,46.56941693", "View Map")</f>
        <v/>
      </c>
    </row>
    <row r="2796">
      <c r="A2796" t="inlineStr">
        <is>
          <t xml:space="preserve">   مسجد (حي اشبيليا) .</t>
        </is>
      </c>
      <c r="B2796" t="inlineStr">
        <is>
          <t>KFM2020660053547</t>
        </is>
      </c>
      <c r="C2796" t="inlineStr">
        <is>
          <t>الرياض</t>
        </is>
      </c>
      <c r="D2796" t="inlineStr">
        <is>
          <t>كلا الفترتين</t>
        </is>
      </c>
      <c r="E2796" t="n">
        <v>1087</v>
      </c>
      <c r="F2796" t="b">
        <v>0</v>
      </c>
      <c r="G2796">
        <f>HYPERLINK("https://www.google.com/maps/search/?api=1&amp;query=24.78271439,46.79052022", "View Map")</f>
        <v/>
      </c>
    </row>
    <row r="2797">
      <c r="A2797" t="inlineStr">
        <is>
          <t xml:space="preserve">   مسجدالامير/عبدالرحمن بن عبدالعزيز .</t>
        </is>
      </c>
      <c r="B2797" t="inlineStr">
        <is>
          <t>KFM2020660057406</t>
        </is>
      </c>
      <c r="C2797" t="inlineStr">
        <is>
          <t>الرياض</t>
        </is>
      </c>
      <c r="D2797" t="inlineStr">
        <is>
          <t>كلا الفترتين</t>
        </is>
      </c>
      <c r="E2797" t="n">
        <v>1086</v>
      </c>
      <c r="F2797" t="b">
        <v>1</v>
      </c>
      <c r="G2797">
        <f>HYPERLINK("https://www.google.com/maps/search/?api=1&amp;query=24.64501956,46.73064645", "View Map")</f>
        <v/>
      </c>
    </row>
    <row r="2798">
      <c r="A2798" t="inlineStr">
        <is>
          <t xml:space="preserve">   مسجد حي الربوه .</t>
        </is>
      </c>
      <c r="B2798" t="inlineStr">
        <is>
          <t>KFM2020660043470</t>
        </is>
      </c>
      <c r="C2798" t="inlineStr">
        <is>
          <t>الرياض</t>
        </is>
      </c>
      <c r="D2798" t="inlineStr">
        <is>
          <t>كلا الفترتين</t>
        </is>
      </c>
      <c r="E2798" t="n">
        <v>1084</v>
      </c>
      <c r="F2798" t="b">
        <v>0</v>
      </c>
      <c r="G2798">
        <f>HYPERLINK("https://www.google.com/maps/search/?api=1&amp;query=24.67877319,46.77162856", "View Map")</f>
        <v/>
      </c>
    </row>
    <row r="2799">
      <c r="A2799" t="inlineStr">
        <is>
          <t>مسجد صياح .</t>
        </is>
      </c>
      <c r="B2799" t="inlineStr">
        <is>
          <t>KFM2020660099030</t>
        </is>
      </c>
      <c r="C2799" t="inlineStr">
        <is>
          <t>الرياض</t>
        </is>
      </c>
      <c r="D2799" t="inlineStr">
        <is>
          <t>كلا الفترتين</t>
        </is>
      </c>
      <c r="E2799" t="n">
        <v>1084</v>
      </c>
      <c r="F2799" t="b">
        <v>0</v>
      </c>
      <c r="G2799">
        <f>HYPERLINK("https://www.google.com/maps/search/?api=1&amp;query=24.6098255,46.69984917", "View Map")</f>
        <v/>
      </c>
    </row>
    <row r="2800">
      <c r="A2800" t="inlineStr">
        <is>
          <t>مسجدالشيخ  ناصر      الشتري .</t>
        </is>
      </c>
      <c r="B2800" t="inlineStr">
        <is>
          <t>KFM2020660198341</t>
        </is>
      </c>
      <c r="C2800" t="inlineStr">
        <is>
          <t>الرياض</t>
        </is>
      </c>
      <c r="D2800" t="inlineStr">
        <is>
          <t>كلا الفترتين</t>
        </is>
      </c>
      <c r="E2800" t="n">
        <v>1083</v>
      </c>
      <c r="F2800" t="b">
        <v>0</v>
      </c>
      <c r="G2800">
        <f>HYPERLINK("https://www.google.com/maps/search/?api=1&amp;query=24.62184641,46.67882586", "View Map")</f>
        <v/>
      </c>
    </row>
    <row r="2801">
      <c r="A2801" t="inlineStr">
        <is>
          <t>مسجد /عبدالرحمن بن عوف .</t>
        </is>
      </c>
      <c r="B2801" t="inlineStr">
        <is>
          <t>SMR2220661000195</t>
        </is>
      </c>
      <c r="C2801" t="inlineStr">
        <is>
          <t>الرياض</t>
        </is>
      </c>
      <c r="D2801" t="inlineStr">
        <is>
          <t>كلا الفترتين</t>
        </is>
      </c>
      <c r="E2801" t="n">
        <v>1082</v>
      </c>
      <c r="F2801" t="b">
        <v>0</v>
      </c>
      <c r="G2801">
        <f>HYPERLINK("https://www.google.com/maps/search/?api=1&amp;query=24.59095325,46.56002792", "View Map")</f>
        <v/>
      </c>
    </row>
    <row r="2802">
      <c r="A2802" t="inlineStr">
        <is>
          <t xml:space="preserve">   مسجدطرفه عبدالعزيزالسيف ومرافقة .</t>
        </is>
      </c>
      <c r="B2802" t="inlineStr">
        <is>
          <t>SMR2220661002749</t>
        </is>
      </c>
      <c r="C2802" t="inlineStr">
        <is>
          <t>الرياض</t>
        </is>
      </c>
      <c r="D2802" t="inlineStr">
        <is>
          <t>كلا الفترتين</t>
        </is>
      </c>
      <c r="E2802" t="n">
        <v>1081</v>
      </c>
      <c r="F2802" t="b">
        <v>0</v>
      </c>
      <c r="G2802">
        <f>HYPERLINK("https://www.google.com/maps/search/?api=1&amp;query=24.80220353,46.64023386", "View Map")</f>
        <v/>
      </c>
    </row>
    <row r="2803">
      <c r="A2803" t="inlineStr">
        <is>
          <t>مسجد حى  بدر الغربى .</t>
        </is>
      </c>
      <c r="B2803" t="inlineStr">
        <is>
          <t>KFM2020660177000</t>
        </is>
      </c>
      <c r="C2803" t="inlineStr">
        <is>
          <t>الرياض</t>
        </is>
      </c>
      <c r="D2803" t="inlineStr">
        <is>
          <t>كلا الفترتين</t>
        </is>
      </c>
      <c r="E2803" t="n">
        <v>1079</v>
      </c>
      <c r="F2803" t="b">
        <v>0</v>
      </c>
      <c r="G2803">
        <f>HYPERLINK("https://www.google.com/maps/search/?api=1&amp;query=24.53681225,46.70143153", "View Map")</f>
        <v/>
      </c>
    </row>
    <row r="2804">
      <c r="A2804" t="inlineStr">
        <is>
          <t>مسجد الخراشي .</t>
        </is>
      </c>
      <c r="B2804" t="inlineStr">
        <is>
          <t>KFM2020660052780</t>
        </is>
      </c>
      <c r="C2804" t="inlineStr">
        <is>
          <t>الرياض</t>
        </is>
      </c>
      <c r="D2804" t="inlineStr">
        <is>
          <t>كلا الفترتين</t>
        </is>
      </c>
      <c r="E2804" t="n">
        <v>1079</v>
      </c>
      <c r="F2804" t="b">
        <v>1</v>
      </c>
      <c r="G2804">
        <f>HYPERLINK("https://www.google.com/maps/search/?api=1&amp;query=24.59929334,46.60025905", "View Map")</f>
        <v/>
      </c>
    </row>
    <row r="2805">
      <c r="A2805" t="inlineStr">
        <is>
          <t xml:space="preserve">   مسجد زمزم .</t>
        </is>
      </c>
      <c r="B2805" t="inlineStr">
        <is>
          <t>KFM2020660046040</t>
        </is>
      </c>
      <c r="C2805" t="inlineStr">
        <is>
          <t>الرياض</t>
        </is>
      </c>
      <c r="D2805" t="inlineStr">
        <is>
          <t>كلا الفترتين</t>
        </is>
      </c>
      <c r="E2805" t="n">
        <v>1078</v>
      </c>
      <c r="F2805" t="b">
        <v>0</v>
      </c>
      <c r="G2805">
        <f>HYPERLINK("https://www.google.com/maps/search/?api=1&amp;query=24.69974256,46.81331548", "View Map")</f>
        <v/>
      </c>
    </row>
    <row r="2806">
      <c r="A2806" t="inlineStr">
        <is>
          <t>مسجد حارة  بن دايل  بعتيقة .</t>
        </is>
      </c>
      <c r="B2806" t="inlineStr">
        <is>
          <t>KFM2020660019242</t>
        </is>
      </c>
      <c r="C2806" t="inlineStr">
        <is>
          <t>الرياض</t>
        </is>
      </c>
      <c r="D2806" t="inlineStr">
        <is>
          <t>كلا الفترتين</t>
        </is>
      </c>
      <c r="E2806" t="n">
        <v>1078</v>
      </c>
      <c r="F2806" t="b">
        <v>0</v>
      </c>
      <c r="G2806">
        <f>HYPERLINK("https://www.google.com/maps/search/?api=1&amp;query=24.59448072,46.70934964", "View Map")</f>
        <v/>
      </c>
    </row>
    <row r="2807">
      <c r="A2807" t="inlineStr">
        <is>
          <t xml:space="preserve">   مسجد/ معاذ بن جبل .</t>
        </is>
      </c>
      <c r="B2807" t="inlineStr">
        <is>
          <t>KFM2020660124253</t>
        </is>
      </c>
      <c r="C2807" t="inlineStr">
        <is>
          <t>الرياض</t>
        </is>
      </c>
      <c r="D2807" t="inlineStr">
        <is>
          <t>كلا الفترتين</t>
        </is>
      </c>
      <c r="E2807" t="n">
        <v>1077</v>
      </c>
      <c r="F2807" t="b">
        <v>0</v>
      </c>
      <c r="G2807">
        <f>HYPERLINK("https://www.google.com/maps/search/?api=1&amp;query=24.77520026,46.82660059", "View Map")</f>
        <v/>
      </c>
    </row>
    <row r="2808">
      <c r="A2808" t="inlineStr">
        <is>
          <t xml:space="preserve">   مسجد الجبرين .</t>
        </is>
      </c>
      <c r="B2808" t="inlineStr">
        <is>
          <t>KFM2020660178132</t>
        </is>
      </c>
      <c r="C2808" t="inlineStr">
        <is>
          <t>الرياض</t>
        </is>
      </c>
      <c r="D2808" t="inlineStr">
        <is>
          <t>كلا الفترتين</t>
        </is>
      </c>
      <c r="E2808" t="n">
        <v>1077</v>
      </c>
      <c r="F2808" t="b">
        <v>0</v>
      </c>
      <c r="G2808">
        <f>HYPERLINK("https://www.google.com/maps/search/?api=1&amp;query=24.82670287,46.74016395", "View Map")</f>
        <v/>
      </c>
    </row>
    <row r="2809">
      <c r="A2809" t="inlineStr">
        <is>
          <t>ﻤﺴﺎﺠﺩ .</t>
        </is>
      </c>
      <c r="B2809" t="inlineStr">
        <is>
          <t>KFM2020660047308</t>
        </is>
      </c>
      <c r="C2809" t="inlineStr">
        <is>
          <t>الدرعية</t>
        </is>
      </c>
      <c r="D2809" t="inlineStr">
        <is>
          <t>كلا الفترتين</t>
        </is>
      </c>
      <c r="E2809" t="n">
        <v>1077</v>
      </c>
      <c r="F2809" t="b">
        <v>1</v>
      </c>
      <c r="G2809">
        <f>HYPERLINK("https://www.google.com/maps/search/?api=1&amp;query=24.7850055,46.56633954", "View Map")</f>
        <v/>
      </c>
    </row>
    <row r="2810">
      <c r="A2810" t="inlineStr">
        <is>
          <t xml:space="preserve">   مسجد صناعيه السلى .</t>
        </is>
      </c>
      <c r="B2810" t="inlineStr">
        <is>
          <t>KFM2120660273735</t>
        </is>
      </c>
      <c r="C2810" t="inlineStr">
        <is>
          <t>الرياض</t>
        </is>
      </c>
      <c r="D2810" t="inlineStr">
        <is>
          <t>كلا الفترتين</t>
        </is>
      </c>
      <c r="E2810" t="n">
        <v>1076</v>
      </c>
      <c r="F2810" t="b">
        <v>0</v>
      </c>
      <c r="G2810">
        <f>HYPERLINK("https://www.google.com/maps/search/?api=1&amp;query=24.71130372,46.85292816", "View Map")</f>
        <v/>
      </c>
    </row>
    <row r="2811">
      <c r="A2811" t="inlineStr">
        <is>
          <t xml:space="preserve">   مسجد  اشبيليا .</t>
        </is>
      </c>
      <c r="B2811" t="inlineStr">
        <is>
          <t>KFM2020660191029</t>
        </is>
      </c>
      <c r="C2811" t="inlineStr">
        <is>
          <t>الرياض</t>
        </is>
      </c>
      <c r="D2811" t="inlineStr">
        <is>
          <t>كلا الفترتين</t>
        </is>
      </c>
      <c r="E2811" t="n">
        <v>1076</v>
      </c>
      <c r="F2811" t="b">
        <v>0</v>
      </c>
      <c r="G2811">
        <f>HYPERLINK("https://www.google.com/maps/search/?api=1&amp;query=24.78755548,46.78681122", "View Map")</f>
        <v/>
      </c>
    </row>
    <row r="2812">
      <c r="A2812" t="inlineStr">
        <is>
          <t xml:space="preserve">   مسجد      عمار      ياسر .</t>
        </is>
      </c>
      <c r="B2812" t="inlineStr">
        <is>
          <t>KFM2020660202984</t>
        </is>
      </c>
      <c r="C2812" t="inlineStr">
        <is>
          <t>الدرعية</t>
        </is>
      </c>
      <c r="D2812" t="inlineStr">
        <is>
          <t>كلا الفترتين</t>
        </is>
      </c>
      <c r="E2812" t="n">
        <v>1075</v>
      </c>
      <c r="F2812" t="b">
        <v>0</v>
      </c>
      <c r="G2812">
        <f>HYPERLINK("https://www.google.com/maps/search/?api=1&amp;query=24.90377968,46.38637225", "View Map")</f>
        <v/>
      </c>
    </row>
    <row r="2813">
      <c r="A2813" t="inlineStr">
        <is>
          <t xml:space="preserve">   مسجد ناصر ابراهيم الجديد .</t>
        </is>
      </c>
      <c r="B2813" t="inlineStr">
        <is>
          <t>KFM2020660209241</t>
        </is>
      </c>
      <c r="C2813" t="inlineStr">
        <is>
          <t>الرياض</t>
        </is>
      </c>
      <c r="D2813" t="inlineStr">
        <is>
          <t>كلا الفترتين</t>
        </is>
      </c>
      <c r="E2813" t="n">
        <v>1075</v>
      </c>
      <c r="F2813" t="b">
        <v>0</v>
      </c>
      <c r="G2813">
        <f>HYPERLINK("https://www.google.com/maps/search/?api=1&amp;query=24.68792032,46.63903792", "View Map")</f>
        <v/>
      </c>
    </row>
    <row r="2814">
      <c r="A2814" t="inlineStr">
        <is>
          <t xml:space="preserve">   مسجدالاحمري ومرافقه بظهرة لبن .</t>
        </is>
      </c>
      <c r="B2814" t="inlineStr">
        <is>
          <t>KFM2120655002732</t>
        </is>
      </c>
      <c r="C2814" t="inlineStr">
        <is>
          <t>الرياض</t>
        </is>
      </c>
      <c r="D2814" t="inlineStr">
        <is>
          <t>كلا الفترتين</t>
        </is>
      </c>
      <c r="E2814" t="n">
        <v>1075</v>
      </c>
      <c r="F2814" t="b">
        <v>1</v>
      </c>
      <c r="G2814">
        <f>HYPERLINK("https://www.google.com/maps/search/?api=1&amp;query=24.65496873,46.57665986", "View Map")</f>
        <v/>
      </c>
    </row>
    <row r="2815">
      <c r="A2815" t="inlineStr">
        <is>
          <t>ﻭﺯﺍﺭﺓﺍﻟﺸﺌﻭﻥ ﺍﻻﺴﻼﻤﻴﺓﻭﺍﻻﻭﻗﺎﻑ .</t>
        </is>
      </c>
      <c r="B2815" t="inlineStr">
        <is>
          <t>KFM2020660196765</t>
        </is>
      </c>
      <c r="C2815" t="inlineStr">
        <is>
          <t>الرياض</t>
        </is>
      </c>
      <c r="D2815" t="inlineStr">
        <is>
          <t>كلا الفترتين</t>
        </is>
      </c>
      <c r="E2815" t="n">
        <v>1073</v>
      </c>
      <c r="F2815" t="b">
        <v>0</v>
      </c>
      <c r="G2815">
        <f>HYPERLINK("https://www.google.com/maps/search/?api=1&amp;query=24.63765118,46.7164898", "View Map")</f>
        <v/>
      </c>
    </row>
    <row r="2816">
      <c r="A2816" t="inlineStr">
        <is>
          <t xml:space="preserve">   مسجد حي القدس .</t>
        </is>
      </c>
      <c r="B2816" t="inlineStr">
        <is>
          <t>KFM2020660056791</t>
        </is>
      </c>
      <c r="C2816" t="inlineStr">
        <is>
          <t>الرياض</t>
        </is>
      </c>
      <c r="D2816" t="inlineStr">
        <is>
          <t>مساءا</t>
        </is>
      </c>
      <c r="E2816" t="n">
        <v>1072</v>
      </c>
      <c r="F2816" t="b">
        <v>0</v>
      </c>
      <c r="G2816">
        <f>HYPERLINK("https://www.google.com/maps/search/?api=1&amp;query=24.7644685,46.76665468", "View Map")</f>
        <v/>
      </c>
    </row>
    <row r="2817">
      <c r="A2817" t="inlineStr">
        <is>
          <t xml:space="preserve">   مسجد / ابراهيم محمد بن سعيدان .</t>
        </is>
      </c>
      <c r="B2817" t="inlineStr">
        <is>
          <t>KFM2020660213506</t>
        </is>
      </c>
      <c r="C2817" t="inlineStr">
        <is>
          <t>الرياض</t>
        </is>
      </c>
      <c r="D2817" t="inlineStr">
        <is>
          <t>كلا الفترتين</t>
        </is>
      </c>
      <c r="E2817" t="n">
        <v>1072</v>
      </c>
      <c r="F2817" t="b">
        <v>0</v>
      </c>
      <c r="G2817">
        <f>HYPERLINK("https://www.google.com/maps/search/?api=1&amp;query=24.76169202,46.65921203", "View Map")</f>
        <v/>
      </c>
    </row>
    <row r="2818">
      <c r="A2818" t="inlineStr">
        <is>
          <t xml:space="preserve">   مسجد حي اليرموك .</t>
        </is>
      </c>
      <c r="B2818" t="inlineStr">
        <is>
          <t>KFM2020660040565</t>
        </is>
      </c>
      <c r="C2818" t="inlineStr">
        <is>
          <t>الرياض</t>
        </is>
      </c>
      <c r="D2818" t="inlineStr">
        <is>
          <t>كلا الفترتين</t>
        </is>
      </c>
      <c r="E2818" t="n">
        <v>1072</v>
      </c>
      <c r="F2818" t="b">
        <v>0</v>
      </c>
      <c r="G2818">
        <f>HYPERLINK("https://www.google.com/maps/search/?api=1&amp;query=24.80921546,46.80558422", "View Map")</f>
        <v/>
      </c>
    </row>
    <row r="2819">
      <c r="A2819" t="inlineStr">
        <is>
          <t xml:space="preserve">   مسجد سعد الحبابي .</t>
        </is>
      </c>
      <c r="B2819" t="inlineStr">
        <is>
          <t>KFM2120660295354</t>
        </is>
      </c>
      <c r="C2819" t="inlineStr">
        <is>
          <t>الرياض</t>
        </is>
      </c>
      <c r="D2819" t="inlineStr">
        <is>
          <t>كلا الفترتين</t>
        </is>
      </c>
      <c r="E2819" t="n">
        <v>1071</v>
      </c>
      <c r="F2819" t="b">
        <v>0</v>
      </c>
      <c r="G2819">
        <f>HYPERLINK("https://www.google.com/maps/search/?api=1&amp;query=24.61205914,46.73509434", "View Map")</f>
        <v/>
      </c>
    </row>
    <row r="2820">
      <c r="A2820" t="inlineStr">
        <is>
          <t xml:space="preserve">   مسجد عمر بن الخطاب .</t>
        </is>
      </c>
      <c r="B2820" t="inlineStr">
        <is>
          <t>KFM2120660242019</t>
        </is>
      </c>
      <c r="C2820" t="inlineStr">
        <is>
          <t>الرياض</t>
        </is>
      </c>
      <c r="D2820" t="inlineStr">
        <is>
          <t>كلا الفترتين</t>
        </is>
      </c>
      <c r="E2820" t="n">
        <v>1070</v>
      </c>
      <c r="F2820" t="b">
        <v>0</v>
      </c>
      <c r="G2820">
        <f>HYPERLINK("https://www.google.com/maps/search/?api=1&amp;query=24.69241886,46.84997592", "View Map")</f>
        <v/>
      </c>
    </row>
    <row r="2821">
      <c r="A2821" t="inlineStr">
        <is>
          <t xml:space="preserve">   مساجد .</t>
        </is>
      </c>
      <c r="B2821" t="inlineStr">
        <is>
          <t>KFM2020660008728</t>
        </is>
      </c>
      <c r="C2821" t="inlineStr">
        <is>
          <t>الرياض</t>
        </is>
      </c>
      <c r="D2821" t="inlineStr">
        <is>
          <t>كلا الفترتين</t>
        </is>
      </c>
      <c r="E2821" t="n">
        <v>1069</v>
      </c>
      <c r="F2821" t="b">
        <v>0</v>
      </c>
      <c r="G2821">
        <f>HYPERLINK("https://www.google.com/maps/search/?api=1&amp;query=24.83337502,46.75770409", "View Map")</f>
        <v/>
      </c>
    </row>
    <row r="2822">
      <c r="A2822" t="inlineStr">
        <is>
          <t xml:space="preserve">   مسجد / الهزاع  بحي النسيم .</t>
        </is>
      </c>
      <c r="B2822" t="inlineStr">
        <is>
          <t>KFM2120660237236</t>
        </is>
      </c>
      <c r="C2822" t="inlineStr">
        <is>
          <t>الرياض</t>
        </is>
      </c>
      <c r="D2822" t="inlineStr">
        <is>
          <t>كلا الفترتين</t>
        </is>
      </c>
      <c r="E2822" t="n">
        <v>1069</v>
      </c>
      <c r="F2822" t="b">
        <v>0</v>
      </c>
      <c r="G2822">
        <f>HYPERLINK("https://www.google.com/maps/search/?api=1&amp;query=24.74200107,46.81140417", "View Map")</f>
        <v/>
      </c>
    </row>
    <row r="2823">
      <c r="A2823" t="inlineStr">
        <is>
          <t>مساجد .</t>
        </is>
      </c>
      <c r="B2823" t="inlineStr">
        <is>
          <t>KFM2020660104915</t>
        </is>
      </c>
      <c r="C2823" t="inlineStr">
        <is>
          <t>الرياض</t>
        </is>
      </c>
      <c r="D2823" t="inlineStr">
        <is>
          <t>كلا الفترتين</t>
        </is>
      </c>
      <c r="E2823" t="n">
        <v>1068</v>
      </c>
      <c r="F2823" t="b">
        <v>0</v>
      </c>
      <c r="G2823">
        <f>HYPERLINK("https://www.google.com/maps/search/?api=1&amp;query=24.87518521,46.62365942", "View Map")</f>
        <v/>
      </c>
    </row>
    <row r="2824">
      <c r="A2824" t="inlineStr">
        <is>
          <t xml:space="preserve">   مسجد/ عبدالعزيز فهد المطيري .</t>
        </is>
      </c>
      <c r="B2824" t="inlineStr">
        <is>
          <t>KFM2120660299134</t>
        </is>
      </c>
      <c r="C2824" t="inlineStr">
        <is>
          <t>الرياض</t>
        </is>
      </c>
      <c r="D2824" t="inlineStr">
        <is>
          <t>كلا الفترتين</t>
        </is>
      </c>
      <c r="E2824" t="n">
        <v>1067</v>
      </c>
      <c r="F2824" t="b">
        <v>0</v>
      </c>
      <c r="G2824">
        <f>HYPERLINK("https://www.google.com/maps/search/?api=1&amp;query=24.60913518,46.73610417", "View Map")</f>
        <v/>
      </c>
    </row>
    <row r="2825">
      <c r="A2825" t="inlineStr">
        <is>
          <t>ﻤﺴﺎﺠﺩ .</t>
        </is>
      </c>
      <c r="B2825" t="inlineStr">
        <is>
          <t>MMF2420701007620</t>
        </is>
      </c>
      <c r="C2825" t="inlineStr">
        <is>
          <t>الرياض</t>
        </is>
      </c>
      <c r="D2825" t="inlineStr">
        <is>
          <t>كلا الفترتين</t>
        </is>
      </c>
      <c r="E2825" t="n">
        <v>1067</v>
      </c>
      <c r="F2825" t="b">
        <v>0</v>
      </c>
      <c r="G2825">
        <f>HYPERLINK("https://www.google.com/maps/search/?api=1&amp;query=24.81624659,46.90232508", "View Map")</f>
        <v/>
      </c>
    </row>
    <row r="2826">
      <c r="A2826" t="inlineStr">
        <is>
          <t xml:space="preserve">   مسجد      حي        النسيم .</t>
        </is>
      </c>
      <c r="B2826" t="inlineStr">
        <is>
          <t>KFM2020660061154</t>
        </is>
      </c>
      <c r="C2826" t="inlineStr">
        <is>
          <t>الرياض</t>
        </is>
      </c>
      <c r="D2826" t="inlineStr">
        <is>
          <t>كلا الفترتين</t>
        </is>
      </c>
      <c r="E2826" t="n">
        <v>1067</v>
      </c>
      <c r="F2826" t="b">
        <v>1</v>
      </c>
      <c r="G2826">
        <f>HYPERLINK("https://www.google.com/maps/search/?api=1&amp;query=24.71532518,46.83074209", "View Map")</f>
        <v/>
      </c>
    </row>
    <row r="2827">
      <c r="A2827" t="inlineStr">
        <is>
          <t xml:space="preserve">   مسجد عبدالرحمن الطبيشي .</t>
        </is>
      </c>
      <c r="B2827" t="inlineStr">
        <is>
          <t>KFM2020660145762</t>
        </is>
      </c>
      <c r="C2827" t="inlineStr">
        <is>
          <t>الرياض</t>
        </is>
      </c>
      <c r="D2827" t="inlineStr">
        <is>
          <t>كلا الفترتين</t>
        </is>
      </c>
      <c r="E2827" t="n">
        <v>1067</v>
      </c>
      <c r="F2827" t="b">
        <v>0</v>
      </c>
      <c r="G2827">
        <f>HYPERLINK("https://www.google.com/maps/search/?api=1&amp;query=24.7315401,46.76436904", "View Map")</f>
        <v/>
      </c>
    </row>
    <row r="2828">
      <c r="A2828" t="inlineStr">
        <is>
          <t>مسجد حى  الشفاء .</t>
        </is>
      </c>
      <c r="B2828" t="inlineStr">
        <is>
          <t>KFM2020660152997</t>
        </is>
      </c>
      <c r="C2828" t="inlineStr">
        <is>
          <t>الرياض</t>
        </is>
      </c>
      <c r="D2828" t="inlineStr">
        <is>
          <t>كلا الفترتين</t>
        </is>
      </c>
      <c r="E2828" t="n">
        <v>1066</v>
      </c>
      <c r="F2828" t="b">
        <v>0</v>
      </c>
      <c r="G2828">
        <f>HYPERLINK("https://www.google.com/maps/search/?api=1&amp;query=24.57300444,46.71496257", "View Map")</f>
        <v/>
      </c>
    </row>
    <row r="2829">
      <c r="A2829" t="inlineStr">
        <is>
          <t xml:space="preserve">   مسجدالنقير .</t>
        </is>
      </c>
      <c r="B2829" t="inlineStr">
        <is>
          <t>KFM2120660242098</t>
        </is>
      </c>
      <c r="C2829" t="inlineStr">
        <is>
          <t>الرياض</t>
        </is>
      </c>
      <c r="D2829" t="inlineStr">
        <is>
          <t>كلا الفترتين</t>
        </is>
      </c>
      <c r="E2829" t="n">
        <v>1066</v>
      </c>
      <c r="F2829" t="b">
        <v>1</v>
      </c>
      <c r="G2829">
        <f>HYPERLINK("https://www.google.com/maps/search/?api=1&amp;query=24.64145838,46.72166231", "View Map")</f>
        <v/>
      </c>
    </row>
    <row r="2830">
      <c r="A2830" t="inlineStr">
        <is>
          <t xml:space="preserve">   مسجد جامع الفداء .</t>
        </is>
      </c>
      <c r="B2830" t="inlineStr">
        <is>
          <t>KFM2020660139295</t>
        </is>
      </c>
      <c r="C2830" t="inlineStr">
        <is>
          <t>الرياض</t>
        </is>
      </c>
      <c r="D2830" t="inlineStr">
        <is>
          <t>مساءا</t>
        </is>
      </c>
      <c r="E2830" t="n">
        <v>1065</v>
      </c>
      <c r="F2830" t="b">
        <v>1</v>
      </c>
      <c r="G2830">
        <f>HYPERLINK("https://www.google.com/maps/search/?api=1&amp;query=24.69657684,46.79283871", "View Map")</f>
        <v/>
      </c>
    </row>
    <row r="2831">
      <c r="A2831" t="inlineStr">
        <is>
          <t xml:space="preserve">   مسجد حذيفه بن اليمان .</t>
        </is>
      </c>
      <c r="B2831" t="inlineStr">
        <is>
          <t>KFM2020660056997</t>
        </is>
      </c>
      <c r="C2831" t="inlineStr">
        <is>
          <t>الرياض</t>
        </is>
      </c>
      <c r="D2831" t="inlineStr">
        <is>
          <t>كلا الفترتين</t>
        </is>
      </c>
      <c r="E2831" t="n">
        <v>1065</v>
      </c>
      <c r="F2831" t="b">
        <v>0</v>
      </c>
      <c r="G2831">
        <f>HYPERLINK("https://www.google.com/maps/search/?api=1&amp;query=24.72427455,46.85147681", "View Map")</f>
        <v/>
      </c>
    </row>
    <row r="2832">
      <c r="A2832" t="inlineStr">
        <is>
          <t xml:space="preserve">   مسجدالرشيد بالمعذر .</t>
        </is>
      </c>
      <c r="B2832" t="inlineStr">
        <is>
          <t>KFM2120660240868</t>
        </is>
      </c>
      <c r="C2832" t="inlineStr">
        <is>
          <t>الرياض</t>
        </is>
      </c>
      <c r="D2832" t="inlineStr">
        <is>
          <t>كلا الفترتين</t>
        </is>
      </c>
      <c r="E2832" t="n">
        <v>1065</v>
      </c>
      <c r="F2832" t="b">
        <v>0</v>
      </c>
      <c r="G2832">
        <f>HYPERLINK("https://www.google.com/maps/search/?api=1&amp;query=24.67236649,46.66822635", "View Map")</f>
        <v/>
      </c>
    </row>
    <row r="2833">
      <c r="A2833" t="inlineStr">
        <is>
          <t xml:space="preserve">   مسجد زيد بن ثابت .</t>
        </is>
      </c>
      <c r="B2833" t="inlineStr">
        <is>
          <t>KFM2020660211462</t>
        </is>
      </c>
      <c r="C2833" t="inlineStr">
        <is>
          <t>الرياض</t>
        </is>
      </c>
      <c r="D2833" t="inlineStr">
        <is>
          <t>كلا الفترتين</t>
        </is>
      </c>
      <c r="E2833" t="n">
        <v>1065</v>
      </c>
      <c r="F2833" t="b">
        <v>1</v>
      </c>
      <c r="G2833">
        <f>HYPERLINK("https://www.google.com/maps/search/?api=1&amp;query=24.78442,46.6849", "View Map")</f>
        <v/>
      </c>
    </row>
    <row r="2834">
      <c r="A2834" t="inlineStr">
        <is>
          <t xml:space="preserve">   مسجد حي النسيم .</t>
        </is>
      </c>
      <c r="B2834" t="inlineStr">
        <is>
          <t>KFM2020660018680</t>
        </is>
      </c>
      <c r="C2834" t="inlineStr">
        <is>
          <t>الرياض</t>
        </is>
      </c>
      <c r="D2834" t="inlineStr">
        <is>
          <t>كلا الفترتين</t>
        </is>
      </c>
      <c r="E2834" t="n">
        <v>1064</v>
      </c>
      <c r="F2834" t="b">
        <v>0</v>
      </c>
      <c r="G2834">
        <f>HYPERLINK("https://www.google.com/maps/search/?api=1&amp;query=24.70908332,46.83667913", "View Map")</f>
        <v/>
      </c>
    </row>
    <row r="2835">
      <c r="A2835" t="inlineStr">
        <is>
          <t xml:space="preserve">   مسجد حي الورود .</t>
        </is>
      </c>
      <c r="B2835" t="inlineStr">
        <is>
          <t>KFM2020660227062</t>
        </is>
      </c>
      <c r="C2835" t="inlineStr">
        <is>
          <t>الرياض</t>
        </is>
      </c>
      <c r="D2835" t="inlineStr">
        <is>
          <t>كلا الفترتين</t>
        </is>
      </c>
      <c r="E2835" t="n">
        <v>1064</v>
      </c>
      <c r="F2835" t="b">
        <v>0</v>
      </c>
      <c r="G2835">
        <f>HYPERLINK("https://www.google.com/maps/search/?api=1&amp;query=24.72721937,46.68287535", "View Map")</f>
        <v/>
      </c>
    </row>
    <row r="2836">
      <c r="A2836" t="inlineStr">
        <is>
          <t xml:space="preserve">   مسجد البلاع .</t>
        </is>
      </c>
      <c r="B2836" t="inlineStr">
        <is>
          <t>KFM2020760060645</t>
        </is>
      </c>
      <c r="C2836" t="inlineStr">
        <is>
          <t>الرياض</t>
        </is>
      </c>
      <c r="D2836" t="inlineStr">
        <is>
          <t>كلا الفترتين</t>
        </is>
      </c>
      <c r="E2836" t="n">
        <v>1064</v>
      </c>
      <c r="F2836" t="b">
        <v>0</v>
      </c>
      <c r="G2836">
        <f>HYPERLINK("https://www.google.com/maps/search/?api=1&amp;query=24.73227004,46.81633594", "View Map")</f>
        <v/>
      </c>
    </row>
    <row r="2837">
      <c r="A2837" t="inlineStr">
        <is>
          <t xml:space="preserve"> مسجد حي بدر أبن تيمية .</t>
        </is>
      </c>
      <c r="B2837" t="inlineStr">
        <is>
          <t>KFM2020660167663</t>
        </is>
      </c>
      <c r="C2837" t="inlineStr">
        <is>
          <t>الرياض</t>
        </is>
      </c>
      <c r="D2837" t="inlineStr">
        <is>
          <t>كلا الفترتين</t>
        </is>
      </c>
      <c r="E2837" t="n">
        <v>1064</v>
      </c>
      <c r="F2837" t="b">
        <v>0</v>
      </c>
      <c r="G2837">
        <f>HYPERLINK("https://www.google.com/maps/search/?api=1&amp;query=24.53897522,46.70465756", "View Map")</f>
        <v/>
      </c>
    </row>
    <row r="2838">
      <c r="A2838" t="inlineStr">
        <is>
          <t>ﻤﺴﺎﺠﺩ .</t>
        </is>
      </c>
      <c r="B2838" t="inlineStr">
        <is>
          <t>KFM2020660004049</t>
        </is>
      </c>
      <c r="C2838" t="inlineStr">
        <is>
          <t>الرياض</t>
        </is>
      </c>
      <c r="D2838" t="inlineStr">
        <is>
          <t>كلا الفترتين</t>
        </is>
      </c>
      <c r="E2838" t="n">
        <v>1063</v>
      </c>
      <c r="F2838" t="b">
        <v>0</v>
      </c>
      <c r="G2838">
        <f>HYPERLINK("https://www.google.com/maps/search/?api=1&amp;query=24.60545481,46.74189987", "View Map")</f>
        <v/>
      </c>
    </row>
    <row r="2839">
      <c r="A2839" t="inlineStr">
        <is>
          <t xml:space="preserve">   وزارة الشئون الاسلامية والاوقاف .</t>
        </is>
      </c>
      <c r="B2839" t="inlineStr">
        <is>
          <t>KFM2020660192581</t>
        </is>
      </c>
      <c r="C2839" t="inlineStr">
        <is>
          <t>الرياض</t>
        </is>
      </c>
      <c r="D2839" t="inlineStr">
        <is>
          <t>مساءا</t>
        </is>
      </c>
      <c r="E2839" t="n">
        <v>1063</v>
      </c>
      <c r="F2839" t="b">
        <v>1</v>
      </c>
      <c r="G2839">
        <f>HYPERLINK("https://www.google.com/maps/search/?api=1&amp;query=24.644476,46.57954125", "View Map")</f>
        <v/>
      </c>
    </row>
    <row r="2840">
      <c r="A2840" t="inlineStr">
        <is>
          <t xml:space="preserve">   جامع التقي .</t>
        </is>
      </c>
      <c r="B2840" t="inlineStr">
        <is>
          <t>KFM2120660236428</t>
        </is>
      </c>
      <c r="C2840" t="inlineStr">
        <is>
          <t>الرياض</t>
        </is>
      </c>
      <c r="D2840" t="inlineStr">
        <is>
          <t>كلا الفترتين</t>
        </is>
      </c>
      <c r="E2840" t="n">
        <v>1062</v>
      </c>
      <c r="F2840" t="b">
        <v>0</v>
      </c>
      <c r="G2840">
        <f>HYPERLINK("https://www.google.com/maps/search/?api=1&amp;query=24.6388695,46.79192884", "View Map")</f>
        <v/>
      </c>
    </row>
    <row r="2841">
      <c r="A2841" t="inlineStr">
        <is>
          <t>مسجدشبرا .</t>
        </is>
      </c>
      <c r="B2841" t="inlineStr">
        <is>
          <t>KFM2020660037778</t>
        </is>
      </c>
      <c r="C2841" t="inlineStr">
        <is>
          <t>الرياض</t>
        </is>
      </c>
      <c r="D2841" t="inlineStr">
        <is>
          <t>كلا الفترتين</t>
        </is>
      </c>
      <c r="E2841" t="n">
        <v>1061</v>
      </c>
      <c r="F2841" t="b">
        <v>1</v>
      </c>
      <c r="G2841">
        <f>HYPERLINK("https://www.google.com/maps/search/?api=1&amp;query=24.58888388,46.68225593", "View Map")</f>
        <v/>
      </c>
    </row>
    <row r="2842">
      <c r="A2842" t="inlineStr">
        <is>
          <t xml:space="preserve">   مسجد عثمان بن عفان .</t>
        </is>
      </c>
      <c r="B2842" t="inlineStr">
        <is>
          <t>KFM2120660256158</t>
        </is>
      </c>
      <c r="C2842" t="inlineStr">
        <is>
          <t>الرياض</t>
        </is>
      </c>
      <c r="D2842" t="inlineStr">
        <is>
          <t>كلا الفترتين</t>
        </is>
      </c>
      <c r="E2842" t="n">
        <v>1061</v>
      </c>
      <c r="F2842" t="b">
        <v>0</v>
      </c>
      <c r="G2842">
        <f>HYPERLINK("https://www.google.com/maps/search/?api=1&amp;query=24.69353957,46.65582085", "View Map")</f>
        <v/>
      </c>
    </row>
    <row r="2843">
      <c r="A2843" t="inlineStr">
        <is>
          <t xml:space="preserve">   مسجد العثيم .</t>
        </is>
      </c>
      <c r="B2843" t="inlineStr">
        <is>
          <t>KFM2020660211065</t>
        </is>
      </c>
      <c r="C2843" t="inlineStr">
        <is>
          <t>الرياض</t>
        </is>
      </c>
      <c r="D2843" t="inlineStr">
        <is>
          <t>كلا الفترتين</t>
        </is>
      </c>
      <c r="E2843" t="n">
        <v>1061</v>
      </c>
      <c r="F2843" t="b">
        <v>0</v>
      </c>
      <c r="G2843">
        <f>HYPERLINK("https://www.google.com/maps/search/?api=1&amp;query=24.66317475,46.74798688", "View Map")</f>
        <v/>
      </c>
    </row>
    <row r="2844">
      <c r="A2844" t="inlineStr">
        <is>
          <t>.    مسجد      الشعيب .</t>
        </is>
      </c>
      <c r="B2844" t="inlineStr">
        <is>
          <t>KFM2020660053867</t>
        </is>
      </c>
      <c r="C2844" t="inlineStr">
        <is>
          <t>الرياض</t>
        </is>
      </c>
      <c r="D2844" t="inlineStr">
        <is>
          <t>كلا الفترتين</t>
        </is>
      </c>
      <c r="E2844" t="n">
        <v>1060</v>
      </c>
      <c r="F2844" t="b">
        <v>0</v>
      </c>
      <c r="G2844">
        <f>HYPERLINK("https://www.google.com/maps/search/?api=1&amp;query=24.58400131,46.57588952", "View Map")</f>
        <v/>
      </c>
    </row>
    <row r="2845">
      <c r="A2845" t="inlineStr">
        <is>
          <t xml:space="preserve">   مسجد اليرموك .</t>
        </is>
      </c>
      <c r="B2845" t="inlineStr">
        <is>
          <t>KFM2020660040821</t>
        </is>
      </c>
      <c r="C2845" t="inlineStr">
        <is>
          <t>الرياض</t>
        </is>
      </c>
      <c r="D2845" t="inlineStr">
        <is>
          <t>صباحا</t>
        </is>
      </c>
      <c r="E2845" t="n">
        <v>1059</v>
      </c>
      <c r="F2845" t="b">
        <v>0</v>
      </c>
      <c r="G2845">
        <f>HYPERLINK("https://www.google.com/maps/search/?api=1&amp;query=24.80523134,46.79547907", "View Map")</f>
        <v/>
      </c>
    </row>
    <row r="2846">
      <c r="A2846" t="inlineStr">
        <is>
          <t>مسجد جعفر الطيار .</t>
        </is>
      </c>
      <c r="B2846" t="inlineStr">
        <is>
          <t>KFM2020660196684</t>
        </is>
      </c>
      <c r="C2846" t="inlineStr">
        <is>
          <t>الرياض</t>
        </is>
      </c>
      <c r="D2846" t="inlineStr">
        <is>
          <t>كلا الفترتين</t>
        </is>
      </c>
      <c r="E2846" t="n">
        <v>1059</v>
      </c>
      <c r="F2846" t="b">
        <v>0</v>
      </c>
      <c r="G2846">
        <f>HYPERLINK("https://www.google.com/maps/search/?api=1&amp;query=24.57693058,46.53822944", "View Map")</f>
        <v/>
      </c>
    </row>
    <row r="2847">
      <c r="A2847" t="inlineStr">
        <is>
          <t xml:space="preserve">   مسجد      عبدالعزيز البكر .</t>
        </is>
      </c>
      <c r="B2847" t="inlineStr">
        <is>
          <t>KFM2020660091255</t>
        </is>
      </c>
      <c r="C2847" t="inlineStr">
        <is>
          <t>الرياض</t>
        </is>
      </c>
      <c r="D2847" t="inlineStr">
        <is>
          <t>كلا الفترتين</t>
        </is>
      </c>
      <c r="E2847" t="n">
        <v>1059</v>
      </c>
      <c r="F2847" t="b">
        <v>0</v>
      </c>
      <c r="G2847">
        <f>HYPERLINK("https://www.google.com/maps/search/?api=1&amp;query=24.71110268,46.60522311", "View Map")</f>
        <v/>
      </c>
    </row>
    <row r="2848">
      <c r="A2848" t="inlineStr">
        <is>
          <t xml:space="preserve">   مسجدمحمد بن واسع .</t>
        </is>
      </c>
      <c r="B2848" t="inlineStr">
        <is>
          <t>KFM2020660042632</t>
        </is>
      </c>
      <c r="C2848" t="inlineStr">
        <is>
          <t>الرياض</t>
        </is>
      </c>
      <c r="D2848" t="inlineStr">
        <is>
          <t>كلا الفترتين</t>
        </is>
      </c>
      <c r="E2848" t="n">
        <v>1058</v>
      </c>
      <c r="F2848" t="b">
        <v>1</v>
      </c>
      <c r="G2848">
        <f>HYPERLINK("https://www.google.com/maps/search/?api=1&amp;query=24.74268216,46.84643578", "View Map")</f>
        <v/>
      </c>
    </row>
    <row r="2849">
      <c r="A2849" t="inlineStr">
        <is>
          <t>ﻤﺴﺎﺠﺩ .</t>
        </is>
      </c>
      <c r="B2849" t="inlineStr">
        <is>
          <t>SMR2220661000784</t>
        </is>
      </c>
      <c r="C2849" t="inlineStr">
        <is>
          <t>الرياض</t>
        </is>
      </c>
      <c r="D2849" t="inlineStr">
        <is>
          <t>كلا الفترتين</t>
        </is>
      </c>
      <c r="E2849" t="n">
        <v>1058</v>
      </c>
      <c r="F2849" t="b">
        <v>1</v>
      </c>
      <c r="G2849">
        <f>HYPERLINK("https://www.google.com/maps/search/?api=1&amp;query=24.92334319,46.82037301", "View Map")</f>
        <v/>
      </c>
    </row>
    <row r="2850">
      <c r="A2850" t="inlineStr">
        <is>
          <t>ﻤﺴﺎﺠﺩ .</t>
        </is>
      </c>
      <c r="B2850" t="inlineStr">
        <is>
          <t>ECC2320831021976</t>
        </is>
      </c>
      <c r="C2850" t="inlineStr">
        <is>
          <t>الرياض</t>
        </is>
      </c>
      <c r="D2850" t="inlineStr">
        <is>
          <t>كلا الفترتين</t>
        </is>
      </c>
      <c r="E2850" t="n">
        <v>1056</v>
      </c>
      <c r="F2850" t="b">
        <v>1</v>
      </c>
      <c r="G2850">
        <f>HYPERLINK("https://www.google.com/maps/search/?api=1&amp;query=24.83240897,46.81835667", "View Map")</f>
        <v/>
      </c>
    </row>
    <row r="2851">
      <c r="A2851" t="inlineStr">
        <is>
          <t xml:space="preserve">   مسجد صالح محمد الزغيبي .</t>
        </is>
      </c>
      <c r="B2851" t="inlineStr">
        <is>
          <t>KFM2020660053435</t>
        </is>
      </c>
      <c r="C2851" t="inlineStr">
        <is>
          <t>الرياض</t>
        </is>
      </c>
      <c r="D2851" t="inlineStr">
        <is>
          <t>كلا الفترتين</t>
        </is>
      </c>
      <c r="E2851" t="n">
        <v>1056</v>
      </c>
      <c r="F2851" t="b">
        <v>0</v>
      </c>
      <c r="G2851">
        <f>HYPERLINK("https://www.google.com/maps/search/?api=1&amp;query=24.78139443,46.75686147", "View Map")</f>
        <v/>
      </c>
    </row>
    <row r="2852">
      <c r="A2852" t="inlineStr">
        <is>
          <t xml:space="preserve">   وزارة الشئون الاسلامية والاوقاف .</t>
        </is>
      </c>
      <c r="B2852" t="inlineStr">
        <is>
          <t>KFM2020660197726</t>
        </is>
      </c>
      <c r="C2852" t="inlineStr">
        <is>
          <t>الرياض</t>
        </is>
      </c>
      <c r="D2852" t="inlineStr">
        <is>
          <t>كلا الفترتين</t>
        </is>
      </c>
      <c r="E2852" t="n">
        <v>1056</v>
      </c>
      <c r="F2852" t="b">
        <v>0</v>
      </c>
      <c r="G2852">
        <f>HYPERLINK("https://www.google.com/maps/search/?api=1&amp;query=24.63869558,46.59641028", "View Map")</f>
        <v/>
      </c>
    </row>
    <row r="2853">
      <c r="A2853" t="inlineStr">
        <is>
          <t xml:space="preserve">   مسجدابوبكرالصديق .</t>
        </is>
      </c>
      <c r="B2853" t="inlineStr">
        <is>
          <t>KFM2020660195061</t>
        </is>
      </c>
      <c r="C2853" t="inlineStr">
        <is>
          <t>الرياض</t>
        </is>
      </c>
      <c r="D2853" t="inlineStr">
        <is>
          <t>كلا الفترتين</t>
        </is>
      </c>
      <c r="E2853" t="n">
        <v>1055</v>
      </c>
      <c r="F2853" t="b">
        <v>0</v>
      </c>
      <c r="G2853">
        <f>HYPERLINK("https://www.google.com/maps/search/?api=1&amp;query=24.80596193,46.88665221", "View Map")</f>
        <v/>
      </c>
    </row>
    <row r="2854">
      <c r="A2854" t="inlineStr">
        <is>
          <t>ﻤﺴﺎﺠﺩ .</t>
        </is>
      </c>
      <c r="B2854" t="inlineStr">
        <is>
          <t>KFM2020660097387</t>
        </is>
      </c>
      <c r="C2854" t="inlineStr">
        <is>
          <t>الرياض</t>
        </is>
      </c>
      <c r="D2854" t="inlineStr">
        <is>
          <t>كلا الفترتين</t>
        </is>
      </c>
      <c r="E2854" t="n">
        <v>1055</v>
      </c>
      <c r="F2854" t="b">
        <v>0</v>
      </c>
      <c r="G2854">
        <f>HYPERLINK("https://www.google.com/maps/search/?api=1&amp;query=24.68471957,46.57645429", "View Map")</f>
        <v/>
      </c>
    </row>
    <row r="2855">
      <c r="A2855" t="inlineStr">
        <is>
          <t>مسجد القضيبي .</t>
        </is>
      </c>
      <c r="B2855" t="inlineStr">
        <is>
          <t>KFM2020660006594</t>
        </is>
      </c>
      <c r="C2855" t="inlineStr">
        <is>
          <t>الرياض</t>
        </is>
      </c>
      <c r="D2855" t="inlineStr">
        <is>
          <t>كلا الفترتين</t>
        </is>
      </c>
      <c r="E2855" t="n">
        <v>1054</v>
      </c>
      <c r="F2855" t="b">
        <v>0</v>
      </c>
      <c r="G2855">
        <f>HYPERLINK("https://www.google.com/maps/search/?api=1&amp;query=24.62268132,46.71668946", "View Map")</f>
        <v/>
      </c>
    </row>
    <row r="2856">
      <c r="A2856" t="inlineStr">
        <is>
          <t xml:space="preserve">   مسجد مازن الراجحي .</t>
        </is>
      </c>
      <c r="B2856" t="inlineStr">
        <is>
          <t>KFM2020660161270</t>
        </is>
      </c>
      <c r="C2856" t="inlineStr">
        <is>
          <t>الرياض</t>
        </is>
      </c>
      <c r="D2856" t="inlineStr">
        <is>
          <t>كلا الفترتين</t>
        </is>
      </c>
      <c r="E2856" t="n">
        <v>1053</v>
      </c>
      <c r="F2856" t="b">
        <v>0</v>
      </c>
      <c r="G2856">
        <f>HYPERLINK("https://www.google.com/maps/search/?api=1&amp;query=24.68162114,46.78213944", "View Map")</f>
        <v/>
      </c>
    </row>
    <row r="2857">
      <c r="A2857" t="inlineStr">
        <is>
          <t xml:space="preserve">   وزارة الشؤون الاسلاميه مسجدالشنيفي .</t>
        </is>
      </c>
      <c r="B2857" t="inlineStr">
        <is>
          <t>KFM2020660100154</t>
        </is>
      </c>
      <c r="C2857" t="inlineStr">
        <is>
          <t>الرياض</t>
        </is>
      </c>
      <c r="D2857" t="inlineStr">
        <is>
          <t>كلا الفترتين</t>
        </is>
      </c>
      <c r="E2857" t="n">
        <v>1053</v>
      </c>
      <c r="F2857" t="b">
        <v>0</v>
      </c>
      <c r="G2857">
        <f>HYPERLINK("https://www.google.com/maps/search/?api=1&amp;query=24.8133681,46.62850706", "View Map")</f>
        <v/>
      </c>
    </row>
    <row r="2858">
      <c r="A2858" t="inlineStr">
        <is>
          <t>مسجد العتيان الشلاوى .</t>
        </is>
      </c>
      <c r="B2858" t="inlineStr">
        <is>
          <t>KFM2020660015396</t>
        </is>
      </c>
      <c r="C2858" t="inlineStr">
        <is>
          <t>الرياض</t>
        </is>
      </c>
      <c r="D2858" t="inlineStr">
        <is>
          <t>كلا الفترتين</t>
        </is>
      </c>
      <c r="E2858" t="n">
        <v>1053</v>
      </c>
      <c r="F2858" t="b">
        <v>0</v>
      </c>
      <c r="G2858">
        <f>HYPERLINK("https://www.google.com/maps/search/?api=1&amp;query=24.61126672,46.71976765", "View Map")</f>
        <v/>
      </c>
    </row>
    <row r="2859">
      <c r="A2859" t="inlineStr">
        <is>
          <t xml:space="preserve">    مسجد حصه البتال .</t>
        </is>
      </c>
      <c r="B2859" t="inlineStr">
        <is>
          <t>KFM2020660195153</t>
        </is>
      </c>
      <c r="C2859" t="inlineStr">
        <is>
          <t>الرياض</t>
        </is>
      </c>
      <c r="D2859" t="inlineStr">
        <is>
          <t>كلا الفترتين</t>
        </is>
      </c>
      <c r="E2859" t="n">
        <v>1053</v>
      </c>
      <c r="F2859" t="b">
        <v>0</v>
      </c>
      <c r="G2859">
        <f>HYPERLINK("https://www.google.com/maps/search/?api=1&amp;query=24.78822247,46.87915918", "View Map")</f>
        <v/>
      </c>
    </row>
    <row r="2860">
      <c r="A2860" t="inlineStr">
        <is>
          <t>مسجد حى  الشفاء .</t>
        </is>
      </c>
      <c r="B2860" t="inlineStr">
        <is>
          <t>KFM2020660115309</t>
        </is>
      </c>
      <c r="C2860" t="inlineStr">
        <is>
          <t>الرياض</t>
        </is>
      </c>
      <c r="D2860" t="inlineStr">
        <is>
          <t>كلا الفترتين</t>
        </is>
      </c>
      <c r="E2860" t="n">
        <v>1052</v>
      </c>
      <c r="F2860" t="b">
        <v>0</v>
      </c>
      <c r="G2860">
        <f>HYPERLINK("https://www.google.com/maps/search/?api=1&amp;query=24.57157111,46.69530164", "View Map")</f>
        <v/>
      </c>
    </row>
    <row r="2861">
      <c r="A2861" t="inlineStr">
        <is>
          <t xml:space="preserve">   مسجد سعود الدوسري 5/3115</t>
        </is>
      </c>
      <c r="B2861" t="inlineStr">
        <is>
          <t>KFM2120660256925</t>
        </is>
      </c>
      <c r="C2861" t="inlineStr">
        <is>
          <t>الرياض</t>
        </is>
      </c>
      <c r="D2861" t="inlineStr">
        <is>
          <t>كلا الفترتين</t>
        </is>
      </c>
      <c r="E2861" t="n">
        <v>1051</v>
      </c>
      <c r="F2861" t="b">
        <v>0</v>
      </c>
      <c r="G2861">
        <f>HYPERLINK("https://www.google.com/maps/search/?api=1&amp;query=24.57812328,46.76772617", "View Map")</f>
        <v/>
      </c>
    </row>
    <row r="2862">
      <c r="A2862" t="inlineStr">
        <is>
          <t>مسجد غذوانه .</t>
        </is>
      </c>
      <c r="B2862" t="inlineStr">
        <is>
          <t>KFM2020660006672</t>
        </is>
      </c>
      <c r="C2862" t="inlineStr">
        <is>
          <t>الرياض</t>
        </is>
      </c>
      <c r="D2862" t="inlineStr">
        <is>
          <t>كلا الفترتين</t>
        </is>
      </c>
      <c r="E2862" t="n">
        <v>1051</v>
      </c>
      <c r="F2862" t="b">
        <v>0</v>
      </c>
      <c r="G2862">
        <f>HYPERLINK("https://www.google.com/maps/search/?api=1&amp;query=24.59582746,46.66760455", "View Map")</f>
        <v/>
      </c>
    </row>
    <row r="2863">
      <c r="A2863" t="inlineStr">
        <is>
          <t>..    مسجدالامام  البخاري .</t>
        </is>
      </c>
      <c r="B2863" t="inlineStr">
        <is>
          <t>KFM2020660013286</t>
        </is>
      </c>
      <c r="C2863" t="inlineStr">
        <is>
          <t>الرياض</t>
        </is>
      </c>
      <c r="D2863" t="inlineStr">
        <is>
          <t>كلا الفترتين</t>
        </is>
      </c>
      <c r="E2863" t="n">
        <v>1049</v>
      </c>
      <c r="F2863" t="b">
        <v>0</v>
      </c>
      <c r="G2863">
        <f>HYPERLINK("https://www.google.com/maps/search/?api=1&amp;query=24.59111685,46.59207666", "View Map")</f>
        <v/>
      </c>
    </row>
    <row r="2864">
      <c r="A2864" t="inlineStr">
        <is>
          <t xml:space="preserve">   وزارة الشئون الاسلامية والاوقاف .</t>
        </is>
      </c>
      <c r="B2864" t="inlineStr">
        <is>
          <t>KFM2020660202934</t>
        </is>
      </c>
      <c r="C2864" t="inlineStr">
        <is>
          <t>الرياض</t>
        </is>
      </c>
      <c r="D2864" t="inlineStr">
        <is>
          <t>كلا الفترتين</t>
        </is>
      </c>
      <c r="E2864" t="n">
        <v>1049</v>
      </c>
      <c r="F2864" t="b">
        <v>0</v>
      </c>
      <c r="G2864">
        <f>HYPERLINK("https://www.google.com/maps/search/?api=1&amp;query=24.61589163,46.51286171", "View Map")</f>
        <v/>
      </c>
    </row>
    <row r="2865">
      <c r="A2865" t="inlineStr">
        <is>
          <t>مسجد /عبدالعزيز بن حلوان .</t>
        </is>
      </c>
      <c r="B2865" t="inlineStr">
        <is>
          <t>KFM2020660202581</t>
        </is>
      </c>
      <c r="C2865" t="inlineStr">
        <is>
          <t>الرياض</t>
        </is>
      </c>
      <c r="D2865" t="inlineStr">
        <is>
          <t>كلا الفترتين</t>
        </is>
      </c>
      <c r="E2865" t="n">
        <v>1049</v>
      </c>
      <c r="F2865" t="b">
        <v>0</v>
      </c>
      <c r="G2865">
        <f>HYPERLINK("https://www.google.com/maps/search/?api=1&amp;query=24.6261,46.6639", "View Map")</f>
        <v/>
      </c>
    </row>
    <row r="2866">
      <c r="A2866" t="inlineStr">
        <is>
          <t>مسجد بحي العريجاء .</t>
        </is>
      </c>
      <c r="B2866" t="inlineStr">
        <is>
          <t>KFM2020660191240</t>
        </is>
      </c>
      <c r="C2866" t="inlineStr">
        <is>
          <t>الرياض</t>
        </is>
      </c>
      <c r="D2866" t="inlineStr">
        <is>
          <t>كلا الفترتين</t>
        </is>
      </c>
      <c r="E2866" t="n">
        <v>1048</v>
      </c>
      <c r="F2866" t="b">
        <v>1</v>
      </c>
      <c r="G2866">
        <f>HYPERLINK("https://www.google.com/maps/search/?api=1&amp;query=24.57971703,46.53004934", "View Map")</f>
        <v/>
      </c>
    </row>
    <row r="2867">
      <c r="A2867" t="inlineStr">
        <is>
          <t>ﻭﺯﺍﺭﺓﺍﻟﺸﺌﻭﻥ ﺍﻻﺴﻼﻤﻴﺓﻭﺍﻻﻭﻗﺎﻑ .</t>
        </is>
      </c>
      <c r="B2867" t="inlineStr">
        <is>
          <t>MMF2420601015930</t>
        </is>
      </c>
      <c r="C2867" t="inlineStr">
        <is>
          <t>الدرعية</t>
        </is>
      </c>
      <c r="D2867" t="inlineStr">
        <is>
          <t>كلا الفترتين</t>
        </is>
      </c>
      <c r="E2867" t="n">
        <v>1048</v>
      </c>
      <c r="F2867" t="b">
        <v>0</v>
      </c>
      <c r="G2867">
        <f>HYPERLINK("https://www.google.com/maps/search/?api=1&amp;query=24.9180013,46.4348035", "View Map")</f>
        <v/>
      </c>
    </row>
    <row r="2868">
      <c r="A2868" t="inlineStr">
        <is>
          <t xml:space="preserve">   مسجد عبدالعزيز الصالح .</t>
        </is>
      </c>
      <c r="B2868" t="inlineStr">
        <is>
          <t>KFM2020660174159</t>
        </is>
      </c>
      <c r="C2868" t="inlineStr">
        <is>
          <t>الرياض</t>
        </is>
      </c>
      <c r="D2868" t="inlineStr">
        <is>
          <t>كلا الفترتين</t>
        </is>
      </c>
      <c r="E2868" t="n">
        <v>1047</v>
      </c>
      <c r="F2868" t="b">
        <v>0</v>
      </c>
      <c r="G2868">
        <f>HYPERLINK("https://www.google.com/maps/search/?api=1&amp;query=24.66062681,46.69517615", "View Map")</f>
        <v/>
      </c>
    </row>
    <row r="2869">
      <c r="A2869" t="inlineStr">
        <is>
          <t>مسجد      زيد       حي الفواز .</t>
        </is>
      </c>
      <c r="B2869" t="inlineStr">
        <is>
          <t>KFM2020660034149</t>
        </is>
      </c>
      <c r="C2869" t="inlineStr">
        <is>
          <t>الرياض</t>
        </is>
      </c>
      <c r="D2869" t="inlineStr">
        <is>
          <t>كلا الفترتين</t>
        </is>
      </c>
      <c r="E2869" t="n">
        <v>1047</v>
      </c>
      <c r="F2869" t="b">
        <v>0</v>
      </c>
      <c r="G2869">
        <f>HYPERLINK("https://www.google.com/maps/search/?api=1&amp;query=24.4983,46.6239", "View Map")</f>
        <v/>
      </c>
    </row>
    <row r="2870">
      <c r="A2870" t="inlineStr">
        <is>
          <t>مساجد .</t>
        </is>
      </c>
      <c r="B2870" t="inlineStr">
        <is>
          <t>KFM2020660197987</t>
        </is>
      </c>
      <c r="C2870" t="inlineStr">
        <is>
          <t>الرياض</t>
        </is>
      </c>
      <c r="D2870" t="inlineStr">
        <is>
          <t>كلا الفترتين</t>
        </is>
      </c>
      <c r="E2870" t="n">
        <v>1047</v>
      </c>
      <c r="F2870" t="b">
        <v>1</v>
      </c>
      <c r="G2870">
        <f>HYPERLINK("https://www.google.com/maps/search/?api=1&amp;query=24.64229549,46.55349158", "View Map")</f>
        <v/>
      </c>
    </row>
    <row r="2871">
      <c r="A2871" t="inlineStr">
        <is>
          <t xml:space="preserve">   مسجد الجنادريه .</t>
        </is>
      </c>
      <c r="B2871" t="inlineStr">
        <is>
          <t>KFM2020660175813</t>
        </is>
      </c>
      <c r="C2871" t="inlineStr">
        <is>
          <t>الرياض</t>
        </is>
      </c>
      <c r="D2871" t="inlineStr">
        <is>
          <t>كلا الفترتين</t>
        </is>
      </c>
      <c r="E2871" t="n">
        <v>1046</v>
      </c>
      <c r="F2871" t="b">
        <v>0</v>
      </c>
      <c r="G2871">
        <f>HYPERLINK("https://www.google.com/maps/search/?api=1&amp;query=24.81079084,46.87439714", "View Map")</f>
        <v/>
      </c>
    </row>
    <row r="2872">
      <c r="A2872" t="inlineStr">
        <is>
          <t>مسجد /    جعفر      الطيار .</t>
        </is>
      </c>
      <c r="B2872" t="inlineStr">
        <is>
          <t>KFM2020660083705</t>
        </is>
      </c>
      <c r="C2872" t="inlineStr">
        <is>
          <t>الرياض</t>
        </is>
      </c>
      <c r="D2872" t="inlineStr">
        <is>
          <t>كلا الفترتين</t>
        </is>
      </c>
      <c r="E2872" t="n">
        <v>1046</v>
      </c>
      <c r="F2872" t="b">
        <v>0</v>
      </c>
      <c r="G2872">
        <f>HYPERLINK("https://www.google.com/maps/search/?api=1&amp;query=24.60240103,46.64519028", "View Map")</f>
        <v/>
      </c>
    </row>
    <row r="2873">
      <c r="A2873" t="inlineStr">
        <is>
          <t xml:space="preserve">   مسجد بن عثيمين .</t>
        </is>
      </c>
      <c r="B2873" t="inlineStr">
        <is>
          <t>KFM2020660174533</t>
        </is>
      </c>
      <c r="C2873" t="inlineStr">
        <is>
          <t>الرياض</t>
        </is>
      </c>
      <c r="D2873" t="inlineStr">
        <is>
          <t>كلا الفترتين</t>
        </is>
      </c>
      <c r="E2873" t="n">
        <v>1045</v>
      </c>
      <c r="F2873" t="b">
        <v>1</v>
      </c>
      <c r="G2873">
        <f>HYPERLINK("https://www.google.com/maps/search/?api=1&amp;query=24.80123547,46.79103692", "View Map")</f>
        <v/>
      </c>
    </row>
    <row r="2874">
      <c r="A2874" t="inlineStr">
        <is>
          <t xml:space="preserve">   مسجد رياض الصالحين .</t>
        </is>
      </c>
      <c r="B2874" t="inlineStr">
        <is>
          <t>KFM2020660191848</t>
        </is>
      </c>
      <c r="C2874" t="inlineStr">
        <is>
          <t>الرياض</t>
        </is>
      </c>
      <c r="D2874" t="inlineStr">
        <is>
          <t>كلا الفترتين</t>
        </is>
      </c>
      <c r="E2874" t="n">
        <v>1045</v>
      </c>
      <c r="F2874" t="b">
        <v>1</v>
      </c>
      <c r="G2874">
        <f>HYPERLINK("https://www.google.com/maps/search/?api=1&amp;query=24.82480423,46.73719783", "View Map")</f>
        <v/>
      </c>
    </row>
    <row r="2875">
      <c r="A2875" t="inlineStr">
        <is>
          <t xml:space="preserve">   مسجد طارق العريفي .</t>
        </is>
      </c>
      <c r="B2875" t="inlineStr">
        <is>
          <t>KFM2020660008715</t>
        </is>
      </c>
      <c r="C2875" t="inlineStr">
        <is>
          <t>الرياض</t>
        </is>
      </c>
      <c r="D2875" t="inlineStr">
        <is>
          <t>كلا الفترتين</t>
        </is>
      </c>
      <c r="E2875" t="n">
        <v>1045</v>
      </c>
      <c r="F2875" t="b">
        <v>0</v>
      </c>
      <c r="G2875">
        <f>HYPERLINK("https://www.google.com/maps/search/?api=1&amp;query=24.81756666,46.75425457", "View Map")</f>
        <v/>
      </c>
    </row>
    <row r="2876">
      <c r="A2876" t="inlineStr">
        <is>
          <t xml:space="preserve">   مسجد الامام الذهبي .</t>
        </is>
      </c>
      <c r="B2876" t="inlineStr">
        <is>
          <t>KFM2120660249326</t>
        </is>
      </c>
      <c r="C2876" t="inlineStr">
        <is>
          <t>الرياض</t>
        </is>
      </c>
      <c r="D2876" t="inlineStr">
        <is>
          <t>كلا الفترتين</t>
        </is>
      </c>
      <c r="E2876" t="n">
        <v>1045</v>
      </c>
      <c r="F2876" t="b">
        <v>1</v>
      </c>
      <c r="G2876">
        <f>HYPERLINK("https://www.google.com/maps/search/?api=1&amp;query=24.66557035,46.79826651", "View Map")</f>
        <v/>
      </c>
    </row>
    <row r="2877">
      <c r="A2877" t="inlineStr">
        <is>
          <t xml:space="preserve">   مسجد وسكن المونسيه .</t>
        </is>
      </c>
      <c r="B2877" t="inlineStr">
        <is>
          <t>MMF2020800188550</t>
        </is>
      </c>
      <c r="C2877" t="inlineStr">
        <is>
          <t>الرياض</t>
        </is>
      </c>
      <c r="D2877" t="inlineStr">
        <is>
          <t>كلا الفترتين</t>
        </is>
      </c>
      <c r="E2877" t="n">
        <v>1044</v>
      </c>
      <c r="F2877" t="b">
        <v>0</v>
      </c>
      <c r="G2877">
        <f>HYPERLINK("https://www.google.com/maps/search/?api=1&amp;query=24.8253364,46.78417961", "View Map")</f>
        <v/>
      </c>
    </row>
    <row r="2878">
      <c r="A2878" t="inlineStr">
        <is>
          <t xml:space="preserve">   مسجد جامع المغرزات .</t>
        </is>
      </c>
      <c r="B2878" t="inlineStr">
        <is>
          <t>KFM2020660188124</t>
        </is>
      </c>
      <c r="C2878" t="inlineStr">
        <is>
          <t>الرياض</t>
        </is>
      </c>
      <c r="D2878" t="inlineStr">
        <is>
          <t>كلا الفترتين</t>
        </is>
      </c>
      <c r="E2878" t="n">
        <v>1044</v>
      </c>
      <c r="F2878" t="b">
        <v>0</v>
      </c>
      <c r="G2878">
        <f>HYPERLINK("https://www.google.com/maps/search/?api=1&amp;query=24.7575076,46.72357512", "View Map")</f>
        <v/>
      </c>
    </row>
    <row r="2879">
      <c r="A2879" t="inlineStr">
        <is>
          <t>مسجد حى  بدر .</t>
        </is>
      </c>
      <c r="B2879" t="inlineStr">
        <is>
          <t>KFM2020660191111</t>
        </is>
      </c>
      <c r="C2879" t="inlineStr">
        <is>
          <t>الرياض</t>
        </is>
      </c>
      <c r="D2879" t="inlineStr">
        <is>
          <t>كلا الفترتين</t>
        </is>
      </c>
      <c r="E2879" t="n">
        <v>1043</v>
      </c>
      <c r="F2879" t="b">
        <v>0</v>
      </c>
      <c r="G2879">
        <f>HYPERLINK("https://www.google.com/maps/search/?api=1&amp;query=24.54020845,46.70759082", "View Map")</f>
        <v/>
      </c>
    </row>
    <row r="2880">
      <c r="A2880" t="inlineStr">
        <is>
          <t>مسجد ظهرة  البديعه .</t>
        </is>
      </c>
      <c r="B2880" t="inlineStr">
        <is>
          <t>KFM2020660054270</t>
        </is>
      </c>
      <c r="C2880" t="inlineStr">
        <is>
          <t>الرياض</t>
        </is>
      </c>
      <c r="D2880" t="inlineStr">
        <is>
          <t>كلا الفترتين</t>
        </is>
      </c>
      <c r="E2880" t="n">
        <v>1043</v>
      </c>
      <c r="F2880" t="b">
        <v>0</v>
      </c>
      <c r="G2880">
        <f>HYPERLINK("https://www.google.com/maps/search/?api=1&amp;query=24.6054738,46.65457095", "View Map")</f>
        <v/>
      </c>
    </row>
    <row r="2881">
      <c r="A2881" t="inlineStr">
        <is>
          <t>مسجد حى  السويدى .</t>
        </is>
      </c>
      <c r="B2881" t="inlineStr">
        <is>
          <t>KFM2020660152897</t>
        </is>
      </c>
      <c r="C2881" t="inlineStr">
        <is>
          <t>الرياض</t>
        </is>
      </c>
      <c r="D2881" t="inlineStr">
        <is>
          <t>كلا الفترتين</t>
        </is>
      </c>
      <c r="E2881" t="n">
        <v>1042</v>
      </c>
      <c r="F2881" t="b">
        <v>0</v>
      </c>
      <c r="G2881">
        <f>HYPERLINK("https://www.google.com/maps/search/?api=1&amp;query=24.575249,46.658781", "View Map")</f>
        <v/>
      </c>
    </row>
    <row r="2882">
      <c r="A2882" t="inlineStr">
        <is>
          <t xml:space="preserve">   مساجد .</t>
        </is>
      </c>
      <c r="B2882" t="inlineStr">
        <is>
          <t>KFM2020660197070</t>
        </is>
      </c>
      <c r="C2882" t="inlineStr">
        <is>
          <t>الرياض</t>
        </is>
      </c>
      <c r="D2882" t="inlineStr">
        <is>
          <t>كلا الفترتين</t>
        </is>
      </c>
      <c r="E2882" t="n">
        <v>1042</v>
      </c>
      <c r="F2882" t="b">
        <v>1</v>
      </c>
      <c r="G2882">
        <f>HYPERLINK("https://www.google.com/maps/search/?api=1&amp;query=24.73413149,46.60833084", "View Map")</f>
        <v/>
      </c>
    </row>
    <row r="2883">
      <c r="A2883" t="inlineStr">
        <is>
          <t xml:space="preserve">   مسجد حي القدس .</t>
        </is>
      </c>
      <c r="B2883" t="inlineStr">
        <is>
          <t>KFM2020660108696</t>
        </is>
      </c>
      <c r="C2883" t="inlineStr">
        <is>
          <t>الرياض</t>
        </is>
      </c>
      <c r="D2883" t="inlineStr">
        <is>
          <t>كلا الفترتين</t>
        </is>
      </c>
      <c r="E2883" t="n">
        <v>1042</v>
      </c>
      <c r="F2883" t="b">
        <v>0</v>
      </c>
      <c r="G2883">
        <f>HYPERLINK("https://www.google.com/maps/search/?api=1&amp;query=24.75799411,46.74248121", "View Map")</f>
        <v/>
      </c>
    </row>
    <row r="2884">
      <c r="A2884" t="inlineStr">
        <is>
          <t>ﻤﺴﺎﺠﺩ .</t>
        </is>
      </c>
      <c r="B2884" t="inlineStr">
        <is>
          <t>SMR2320661035196</t>
        </is>
      </c>
      <c r="C2884" t="inlineStr">
        <is>
          <t>الرياض</t>
        </is>
      </c>
      <c r="D2884" t="inlineStr">
        <is>
          <t>كلا الفترتين</t>
        </is>
      </c>
      <c r="E2884" t="n">
        <v>1042</v>
      </c>
      <c r="F2884" t="b">
        <v>0</v>
      </c>
      <c r="G2884">
        <f>HYPERLINK("https://www.google.com/maps/search/?api=1&amp;query=24.87661559,46.64199031", "View Map")</f>
        <v/>
      </c>
    </row>
    <row r="2885">
      <c r="A2885" t="inlineStr">
        <is>
          <t>مسجد حي الغربي  مسجد الانصار .</t>
        </is>
      </c>
      <c r="B2885" t="inlineStr">
        <is>
          <t>KFM2020660200403</t>
        </is>
      </c>
      <c r="C2885" t="inlineStr">
        <is>
          <t>الرياض</t>
        </is>
      </c>
      <c r="D2885" t="inlineStr">
        <is>
          <t>كلا الفترتين</t>
        </is>
      </c>
      <c r="E2885" t="n">
        <v>1041</v>
      </c>
      <c r="F2885" t="b">
        <v>0</v>
      </c>
      <c r="G2885">
        <f>HYPERLINK("https://www.google.com/maps/search/?api=1&amp;query=24.57173468,46.64844388", "View Map")</f>
        <v/>
      </c>
    </row>
    <row r="2886">
      <c r="A2886" t="inlineStr">
        <is>
          <t xml:space="preserve">   مسجد حى الخليج .</t>
        </is>
      </c>
      <c r="B2886" t="inlineStr">
        <is>
          <t>KFM2020660060505</t>
        </is>
      </c>
      <c r="C2886" t="inlineStr">
        <is>
          <t>الرياض</t>
        </is>
      </c>
      <c r="D2886" t="inlineStr">
        <is>
          <t>كلا الفترتين</t>
        </is>
      </c>
      <c r="E2886" t="n">
        <v>1041</v>
      </c>
      <c r="F2886" t="b">
        <v>0</v>
      </c>
      <c r="G2886">
        <f>HYPERLINK("https://www.google.com/maps/search/?api=1&amp;query=24.7913208,46.81571235", "View Map")</f>
        <v/>
      </c>
    </row>
    <row r="2887">
      <c r="A2887" t="inlineStr">
        <is>
          <t xml:space="preserve">   مسجد حي الدارالبيضاء .</t>
        </is>
      </c>
      <c r="B2887" t="inlineStr">
        <is>
          <t>KFM2020660162949</t>
        </is>
      </c>
      <c r="C2887" t="inlineStr">
        <is>
          <t>الرياض</t>
        </is>
      </c>
      <c r="D2887" t="inlineStr">
        <is>
          <t>كلا الفترتين</t>
        </is>
      </c>
      <c r="E2887" t="n">
        <v>1041</v>
      </c>
      <c r="F2887" t="b">
        <v>0</v>
      </c>
      <c r="G2887">
        <f>HYPERLINK("https://www.google.com/maps/search/?api=1&amp;query=24.56659899,46.78240361", "View Map")</f>
        <v/>
      </c>
    </row>
    <row r="2888">
      <c r="A2888" t="inlineStr">
        <is>
          <t>مسجد الزهراء .</t>
        </is>
      </c>
      <c r="B2888" t="inlineStr">
        <is>
          <t>KFM2020660051408</t>
        </is>
      </c>
      <c r="C2888" t="inlineStr">
        <is>
          <t>الرياض</t>
        </is>
      </c>
      <c r="D2888" t="inlineStr">
        <is>
          <t>كلا الفترتين</t>
        </is>
      </c>
      <c r="E2888" t="n">
        <v>1041</v>
      </c>
      <c r="F2888" t="b">
        <v>0</v>
      </c>
      <c r="G2888">
        <f>HYPERLINK("https://www.google.com/maps/search/?api=1&amp;query=24.55166606,46.66377496", "View Map")</f>
        <v/>
      </c>
    </row>
    <row r="2889">
      <c r="A2889" t="inlineStr">
        <is>
          <t>مسجد      حله        السبعان .</t>
        </is>
      </c>
      <c r="B2889" t="inlineStr">
        <is>
          <t>KFM2020660015394</t>
        </is>
      </c>
      <c r="C2889" t="inlineStr">
        <is>
          <t>الرياض</t>
        </is>
      </c>
      <c r="D2889" t="inlineStr">
        <is>
          <t>كلا الفترتين</t>
        </is>
      </c>
      <c r="E2889" t="n">
        <v>1041</v>
      </c>
      <c r="F2889" t="b">
        <v>0</v>
      </c>
      <c r="G2889">
        <f>HYPERLINK("https://www.google.com/maps/search/?api=1&amp;query=24.6127797,46.71968801", "View Map")</f>
        <v/>
      </c>
    </row>
    <row r="2890">
      <c r="A2890" t="inlineStr">
        <is>
          <t xml:space="preserve">   مسجد غيران العنزي .</t>
        </is>
      </c>
      <c r="B2890" t="inlineStr">
        <is>
          <t>KFM2020660036522</t>
        </is>
      </c>
      <c r="C2890" t="inlineStr">
        <is>
          <t>الرياض</t>
        </is>
      </c>
      <c r="D2890" t="inlineStr">
        <is>
          <t>كلا الفترتين</t>
        </is>
      </c>
      <c r="E2890" t="n">
        <v>1040</v>
      </c>
      <c r="F2890" t="b">
        <v>0</v>
      </c>
      <c r="G2890">
        <f>HYPERLINK("https://www.google.com/maps/search/?api=1&amp;query=24.74263424,46.82524651", "View Map")</f>
        <v/>
      </c>
    </row>
    <row r="2891">
      <c r="A2891" t="inlineStr">
        <is>
          <t>مسجد حي بدر .</t>
        </is>
      </c>
      <c r="B2891" t="inlineStr">
        <is>
          <t>KFM2020660177124</t>
        </is>
      </c>
      <c r="C2891" t="inlineStr">
        <is>
          <t>الرياض</t>
        </is>
      </c>
      <c r="D2891" t="inlineStr">
        <is>
          <t>كلا الفترتين</t>
        </is>
      </c>
      <c r="E2891" t="n">
        <v>1040</v>
      </c>
      <c r="F2891" t="b">
        <v>0</v>
      </c>
      <c r="G2891">
        <f>HYPERLINK("https://www.google.com/maps/search/?api=1&amp;query=24.53458024,46.70329105", "View Map")</f>
        <v/>
      </c>
    </row>
    <row r="2892">
      <c r="A2892" t="inlineStr">
        <is>
          <t>مسجد ال  عبدالله .</t>
        </is>
      </c>
      <c r="B2892" t="inlineStr">
        <is>
          <t>KFM2020660039913</t>
        </is>
      </c>
      <c r="C2892" t="inlineStr">
        <is>
          <t>الرياض</t>
        </is>
      </c>
      <c r="D2892" t="inlineStr">
        <is>
          <t>كلا الفترتين</t>
        </is>
      </c>
      <c r="E2892" t="n">
        <v>1040</v>
      </c>
      <c r="F2892" t="b">
        <v>0</v>
      </c>
      <c r="G2892">
        <f>HYPERLINK("https://www.google.com/maps/search/?api=1&amp;query=24.58303811,46.63715282", "View Map")</f>
        <v/>
      </c>
    </row>
    <row r="2893">
      <c r="A2893" t="inlineStr">
        <is>
          <t>مسجد بلك  4بالدخل  المحدود .</t>
        </is>
      </c>
      <c r="B2893" t="inlineStr">
        <is>
          <t>KFM2020660201708</t>
        </is>
      </c>
      <c r="C2893" t="inlineStr">
        <is>
          <t>الرياض</t>
        </is>
      </c>
      <c r="D2893" t="inlineStr">
        <is>
          <t>كلا الفترتين</t>
        </is>
      </c>
      <c r="E2893" t="n">
        <v>1040</v>
      </c>
      <c r="F2893" t="b">
        <v>1</v>
      </c>
      <c r="G2893">
        <f>HYPERLINK("https://www.google.com/maps/search/?api=1&amp;query=24.58764209,46.54654715", "View Map")</f>
        <v/>
      </c>
    </row>
    <row r="2894">
      <c r="A2894" t="inlineStr">
        <is>
          <t xml:space="preserve">   الشئون الاسلامية - مسجد حمدالعمري .</t>
        </is>
      </c>
      <c r="B2894" t="inlineStr">
        <is>
          <t>KFM2120660299077</t>
        </is>
      </c>
      <c r="C2894" t="inlineStr">
        <is>
          <t>الرياض</t>
        </is>
      </c>
      <c r="D2894" t="inlineStr">
        <is>
          <t>كلا الفترتين</t>
        </is>
      </c>
      <c r="E2894" t="n">
        <v>1039</v>
      </c>
      <c r="F2894" t="b">
        <v>0</v>
      </c>
      <c r="G2894">
        <f>HYPERLINK("https://www.google.com/maps/search/?api=1&amp;query=24.57955107,46.76374026", "View Map")</f>
        <v/>
      </c>
    </row>
    <row r="2895">
      <c r="A2895" t="inlineStr">
        <is>
          <t xml:space="preserve">   مسجد بحي العزيزيه .</t>
        </is>
      </c>
      <c r="B2895" t="inlineStr">
        <is>
          <t>KFM2120660300647</t>
        </is>
      </c>
      <c r="C2895" t="inlineStr">
        <is>
          <t>الرياض</t>
        </is>
      </c>
      <c r="D2895" t="inlineStr">
        <is>
          <t>كلا الفترتين</t>
        </is>
      </c>
      <c r="E2895" t="n">
        <v>1038</v>
      </c>
      <c r="F2895" t="b">
        <v>0</v>
      </c>
      <c r="G2895">
        <f>HYPERLINK("https://www.google.com/maps/search/?api=1&amp;query=24.57908959,46.7799581", "View Map")</f>
        <v/>
      </c>
    </row>
    <row r="2896">
      <c r="A2896" t="inlineStr">
        <is>
          <t xml:space="preserve">   مسجدسعودالدوسري .</t>
        </is>
      </c>
      <c r="B2896" t="inlineStr">
        <is>
          <t>KFM2120660299073</t>
        </is>
      </c>
      <c r="C2896" t="inlineStr">
        <is>
          <t>الرياض</t>
        </is>
      </c>
      <c r="D2896" t="inlineStr">
        <is>
          <t>كلا الفترتين</t>
        </is>
      </c>
      <c r="E2896" t="n">
        <v>1038</v>
      </c>
      <c r="F2896" t="b">
        <v>0</v>
      </c>
      <c r="G2896">
        <f>HYPERLINK("https://www.google.com/maps/search/?api=1&amp;query=24.56507762,46.75921428", "View Map")</f>
        <v/>
      </c>
    </row>
    <row r="2897">
      <c r="A2897" t="inlineStr">
        <is>
          <t xml:space="preserve">   مسجد سعيدبن زيد .</t>
        </is>
      </c>
      <c r="B2897" t="inlineStr">
        <is>
          <t>KFM2020660057045</t>
        </is>
      </c>
      <c r="C2897" t="inlineStr">
        <is>
          <t>الرياض</t>
        </is>
      </c>
      <c r="D2897" t="inlineStr">
        <is>
          <t>كلا الفترتين</t>
        </is>
      </c>
      <c r="E2897" t="n">
        <v>1038</v>
      </c>
      <c r="F2897" t="b">
        <v>1</v>
      </c>
      <c r="G2897">
        <f>HYPERLINK("https://www.google.com/maps/search/?api=1&amp;query=24.71843199,46.85317115", "View Map")</f>
        <v/>
      </c>
    </row>
    <row r="2898">
      <c r="A2898" t="inlineStr">
        <is>
          <t xml:space="preserve">   مسجد الحمادي .</t>
        </is>
      </c>
      <c r="B2898" t="inlineStr">
        <is>
          <t>KFM2120660290498</t>
        </is>
      </c>
      <c r="C2898" t="inlineStr">
        <is>
          <t>الرياض</t>
        </is>
      </c>
      <c r="D2898" t="inlineStr">
        <is>
          <t>كلا الفترتين</t>
        </is>
      </c>
      <c r="E2898" t="n">
        <v>1035</v>
      </c>
      <c r="F2898" t="b">
        <v>0</v>
      </c>
      <c r="G2898">
        <f>HYPERLINK("https://www.google.com/maps/search/?api=1&amp;query=24.6889969,46.81374669", "View Map")</f>
        <v/>
      </c>
    </row>
    <row r="2899">
      <c r="A2899" t="inlineStr">
        <is>
          <t xml:space="preserve">   مسجدسعودمحمدالمقبل .</t>
        </is>
      </c>
      <c r="B2899" t="inlineStr">
        <is>
          <t>KFM2120660274261</t>
        </is>
      </c>
      <c r="C2899" t="inlineStr">
        <is>
          <t>الرياض</t>
        </is>
      </c>
      <c r="D2899" t="inlineStr">
        <is>
          <t>كلا الفترتين</t>
        </is>
      </c>
      <c r="E2899" t="n">
        <v>1034</v>
      </c>
      <c r="F2899" t="b">
        <v>1</v>
      </c>
      <c r="G2899">
        <f>HYPERLINK("https://www.google.com/maps/search/?api=1&amp;query=24.55956174,46.76150347", "View Map")</f>
        <v/>
      </c>
    </row>
    <row r="2900">
      <c r="A2900" t="inlineStr">
        <is>
          <t>مسجدالعريجاء .</t>
        </is>
      </c>
      <c r="B2900" t="inlineStr">
        <is>
          <t>KFM2020660054390</t>
        </is>
      </c>
      <c r="C2900" t="inlineStr">
        <is>
          <t>الرياض</t>
        </is>
      </c>
      <c r="D2900" t="inlineStr">
        <is>
          <t>كلا الفترتين</t>
        </is>
      </c>
      <c r="E2900" t="n">
        <v>1034</v>
      </c>
      <c r="F2900" t="b">
        <v>0</v>
      </c>
      <c r="G2900">
        <f>HYPERLINK("https://www.google.com/maps/search/?api=1&amp;query=24.58734101,46.58076877", "View Map")</f>
        <v/>
      </c>
    </row>
    <row r="2901">
      <c r="A2901" t="inlineStr">
        <is>
          <t xml:space="preserve">   مسجد عبدالله الخضران .</t>
        </is>
      </c>
      <c r="B2901" t="inlineStr">
        <is>
          <t>KFM2020660132571</t>
        </is>
      </c>
      <c r="C2901" t="inlineStr">
        <is>
          <t>الرياض</t>
        </is>
      </c>
      <c r="D2901" t="inlineStr">
        <is>
          <t>كلا الفترتين</t>
        </is>
      </c>
      <c r="E2901" t="n">
        <v>1034</v>
      </c>
      <c r="F2901" t="b">
        <v>0</v>
      </c>
      <c r="G2901">
        <f>HYPERLINK("https://www.google.com/maps/search/?api=1&amp;query=24.72492138,46.82604662", "View Map")</f>
        <v/>
      </c>
    </row>
    <row r="2902">
      <c r="A2902" t="inlineStr">
        <is>
          <t xml:space="preserve">   مسجد الحمودي .</t>
        </is>
      </c>
      <c r="B2902" t="inlineStr">
        <is>
          <t>KFM2020660036501</t>
        </is>
      </c>
      <c r="C2902" t="inlineStr">
        <is>
          <t>الرياض</t>
        </is>
      </c>
      <c r="D2902" t="inlineStr">
        <is>
          <t>كلا الفترتين</t>
        </is>
      </c>
      <c r="E2902" t="n">
        <v>1033</v>
      </c>
      <c r="F2902" t="b">
        <v>1</v>
      </c>
      <c r="G2902">
        <f>HYPERLINK("https://www.google.com/maps/search/?api=1&amp;query=24.74754931,46.82205751", "View Map")</f>
        <v/>
      </c>
    </row>
    <row r="2903">
      <c r="A2903" t="inlineStr">
        <is>
          <t xml:space="preserve">   مسجد حي النسيم .</t>
        </is>
      </c>
      <c r="B2903" t="inlineStr">
        <is>
          <t>KFM2020660145808</t>
        </is>
      </c>
      <c r="C2903" t="inlineStr">
        <is>
          <t>الرياض</t>
        </is>
      </c>
      <c r="D2903" t="inlineStr">
        <is>
          <t>كلا الفترتين</t>
        </is>
      </c>
      <c r="E2903" t="n">
        <v>1032</v>
      </c>
      <c r="F2903" t="b">
        <v>0</v>
      </c>
      <c r="G2903">
        <f>HYPERLINK("https://www.google.com/maps/search/?api=1&amp;query=24.74300702,46.8390575", "View Map")</f>
        <v/>
      </c>
    </row>
    <row r="2904">
      <c r="A2904" t="inlineStr">
        <is>
          <t xml:space="preserve">   مسجدالاميرة مضاوى بنت عبدالعزيز .</t>
        </is>
      </c>
      <c r="B2904" t="inlineStr">
        <is>
          <t>KFM2120660240970</t>
        </is>
      </c>
      <c r="C2904" t="inlineStr">
        <is>
          <t>الرياض</t>
        </is>
      </c>
      <c r="D2904" t="inlineStr">
        <is>
          <t>كلا الفترتين</t>
        </is>
      </c>
      <c r="E2904" t="n">
        <v>1032</v>
      </c>
      <c r="F2904" t="b">
        <v>0</v>
      </c>
      <c r="G2904">
        <f>HYPERLINK("https://www.google.com/maps/search/?api=1&amp;query=24.67883732,46.69634316", "View Map")</f>
        <v/>
      </c>
    </row>
    <row r="2905">
      <c r="A2905" t="inlineStr">
        <is>
          <t>مسجد الاميرة  الجوهرة  بنتعبدالعزيز .</t>
        </is>
      </c>
      <c r="B2905" t="inlineStr">
        <is>
          <t>KFM2020660051626</t>
        </is>
      </c>
      <c r="C2905" t="inlineStr">
        <is>
          <t>الرياض</t>
        </is>
      </c>
      <c r="D2905" t="inlineStr">
        <is>
          <t>كلا الفترتين</t>
        </is>
      </c>
      <c r="E2905" t="n">
        <v>1031</v>
      </c>
      <c r="F2905" t="b">
        <v>0</v>
      </c>
      <c r="G2905">
        <f>HYPERLINK("https://www.google.com/maps/search/?api=1&amp;query=24.64481683,46.6842812", "View Map")</f>
        <v/>
      </c>
    </row>
    <row r="2906">
      <c r="A2906" t="inlineStr">
        <is>
          <t xml:space="preserve">   مسجد حي العزيزية .</t>
        </is>
      </c>
      <c r="B2906" t="inlineStr">
        <is>
          <t>KFM2120660301489</t>
        </is>
      </c>
      <c r="C2906" t="inlineStr">
        <is>
          <t>الرياض</t>
        </is>
      </c>
      <c r="D2906" t="inlineStr">
        <is>
          <t>كلا الفترتين</t>
        </is>
      </c>
      <c r="E2906" t="n">
        <v>1031</v>
      </c>
      <c r="F2906" t="b">
        <v>1</v>
      </c>
      <c r="G2906">
        <f>HYPERLINK("https://www.google.com/maps/search/?api=1&amp;query=24.58107035,46.7845072", "View Map")</f>
        <v/>
      </c>
    </row>
    <row r="2907">
      <c r="A2907" t="inlineStr">
        <is>
          <t>المسجدالموءقت حى  الزهرة .</t>
        </is>
      </c>
      <c r="B2907" t="inlineStr">
        <is>
          <t>KFM2020660044112</t>
        </is>
      </c>
      <c r="C2907" t="inlineStr">
        <is>
          <t>الرياض</t>
        </is>
      </c>
      <c r="D2907" t="inlineStr">
        <is>
          <t>مساءا</t>
        </is>
      </c>
      <c r="E2907" t="n">
        <v>1031</v>
      </c>
      <c r="F2907" t="b">
        <v>1</v>
      </c>
      <c r="G2907">
        <f>HYPERLINK("https://www.google.com/maps/search/?api=1&amp;query=24.65238291,46.5725955", "View Map")</f>
        <v/>
      </c>
    </row>
    <row r="2908">
      <c r="A2908" t="inlineStr">
        <is>
          <t xml:space="preserve">   مسجد حي ظهرة لبن .</t>
        </is>
      </c>
      <c r="B2908" t="inlineStr">
        <is>
          <t>KFM2020660211325</t>
        </is>
      </c>
      <c r="C2908" t="inlineStr">
        <is>
          <t>الرياض</t>
        </is>
      </c>
      <c r="D2908" t="inlineStr">
        <is>
          <t>كلا الفترتين</t>
        </is>
      </c>
      <c r="E2908" t="n">
        <v>1030</v>
      </c>
      <c r="F2908" t="b">
        <v>0</v>
      </c>
      <c r="G2908">
        <f>HYPERLINK("https://www.google.com/maps/search/?api=1&amp;query=24.63418143,46.54054422", "View Map")</f>
        <v/>
      </c>
    </row>
    <row r="2909">
      <c r="A2909" t="inlineStr">
        <is>
          <t>مسجدبن خميس .</t>
        </is>
      </c>
      <c r="B2909" t="inlineStr">
        <is>
          <t>KFM2020660051597</t>
        </is>
      </c>
      <c r="C2909" t="inlineStr">
        <is>
          <t>الرياض</t>
        </is>
      </c>
      <c r="D2909" t="inlineStr">
        <is>
          <t>كلا الفترتين</t>
        </is>
      </c>
      <c r="E2909" t="n">
        <v>1030</v>
      </c>
      <c r="F2909" t="b">
        <v>0</v>
      </c>
      <c r="G2909">
        <f>HYPERLINK("https://www.google.com/maps/search/?api=1&amp;query=24.59052494,46.68066397", "View Map")</f>
        <v/>
      </c>
    </row>
    <row r="2910">
      <c r="A2910" t="inlineStr">
        <is>
          <t>1  مسجد بحي العريجا مخطط 2008بلك .</t>
        </is>
      </c>
      <c r="B2910" t="inlineStr">
        <is>
          <t>KFM2020660164332</t>
        </is>
      </c>
      <c r="C2910" t="inlineStr">
        <is>
          <t>الرياض</t>
        </is>
      </c>
      <c r="D2910" t="inlineStr">
        <is>
          <t>كلا الفترتين</t>
        </is>
      </c>
      <c r="E2910" t="n">
        <v>1030</v>
      </c>
      <c r="F2910" t="b">
        <v>0</v>
      </c>
      <c r="G2910">
        <f>HYPERLINK("https://www.google.com/maps/search/?api=1&amp;query=24.57160733,46.58764948", "View Map")</f>
        <v/>
      </c>
    </row>
    <row r="2911">
      <c r="A2911" t="inlineStr">
        <is>
          <t xml:space="preserve">   مسجد حي غرناطه .</t>
        </is>
      </c>
      <c r="B2911" t="inlineStr">
        <is>
          <t>KFM2020660042453</t>
        </is>
      </c>
      <c r="C2911" t="inlineStr">
        <is>
          <t>الرياض</t>
        </is>
      </c>
      <c r="D2911" t="inlineStr">
        <is>
          <t>كلا الفترتين</t>
        </is>
      </c>
      <c r="E2911" t="n">
        <v>1029</v>
      </c>
      <c r="F2911" t="b">
        <v>0</v>
      </c>
      <c r="G2911">
        <f>HYPERLINK("https://www.google.com/maps/search/?api=1&amp;query=24.79755355,46.74844532", "View Map")</f>
        <v/>
      </c>
    </row>
    <row r="2912">
      <c r="A2912" t="inlineStr">
        <is>
          <t>مسجد حوشى  الكهرباء .</t>
        </is>
      </c>
      <c r="B2912" t="inlineStr">
        <is>
          <t>KFM2120660300187</t>
        </is>
      </c>
      <c r="C2912" t="inlineStr">
        <is>
          <t>الرياض</t>
        </is>
      </c>
      <c r="D2912" t="inlineStr">
        <is>
          <t>كلا الفترتين</t>
        </is>
      </c>
      <c r="E2912" t="n">
        <v>1029</v>
      </c>
      <c r="F2912" t="b">
        <v>0</v>
      </c>
      <c r="G2912">
        <f>HYPERLINK("https://www.google.com/maps/search/?api=1&amp;query=24.6319,46.6933", "View Map")</f>
        <v/>
      </c>
    </row>
    <row r="2913">
      <c r="A2913" t="inlineStr">
        <is>
          <t>مسجد / سعيد قيدول  المالكي .</t>
        </is>
      </c>
      <c r="B2913" t="inlineStr">
        <is>
          <t>KFM2020660198352</t>
        </is>
      </c>
      <c r="C2913" t="inlineStr">
        <is>
          <t>الرياض</t>
        </is>
      </c>
      <c r="D2913" t="inlineStr">
        <is>
          <t>كلا الفترتين</t>
        </is>
      </c>
      <c r="E2913" t="n">
        <v>1029</v>
      </c>
      <c r="F2913" t="b">
        <v>0</v>
      </c>
      <c r="G2913">
        <f>HYPERLINK("https://www.google.com/maps/search/?api=1&amp;query=24.600182,46.57826003", "View Map")</f>
        <v/>
      </c>
    </row>
    <row r="2914">
      <c r="A2914" t="inlineStr">
        <is>
          <t>.  مسجد      بن عثمان .</t>
        </is>
      </c>
      <c r="B2914" t="inlineStr">
        <is>
          <t>KFM2020660170965</t>
        </is>
      </c>
      <c r="C2914" t="inlineStr">
        <is>
          <t>الرياض</t>
        </is>
      </c>
      <c r="D2914" t="inlineStr">
        <is>
          <t>كلا الفترتين</t>
        </is>
      </c>
      <c r="E2914" t="n">
        <v>1028</v>
      </c>
      <c r="F2914" t="b">
        <v>0</v>
      </c>
      <c r="G2914">
        <f>HYPERLINK("https://www.google.com/maps/search/?api=1&amp;query=24.5638059,46.6983198", "View Map")</f>
        <v/>
      </c>
    </row>
    <row r="2915">
      <c r="A2915" t="inlineStr">
        <is>
          <t>مسجد عبدالله سعيد القحطاني .</t>
        </is>
      </c>
      <c r="B2915" t="inlineStr">
        <is>
          <t>KFM2020660162248</t>
        </is>
      </c>
      <c r="C2915" t="inlineStr">
        <is>
          <t>الرياض</t>
        </is>
      </c>
      <c r="D2915" t="inlineStr">
        <is>
          <t>كلا الفترتين</t>
        </is>
      </c>
      <c r="E2915" t="n">
        <v>1028</v>
      </c>
      <c r="F2915" t="b">
        <v>0</v>
      </c>
      <c r="G2915">
        <f>HYPERLINK("https://www.google.com/maps/search/?api=1&amp;query=24.55498659,46.77619899", "View Map")</f>
        <v/>
      </c>
    </row>
    <row r="2916">
      <c r="A2916" t="inlineStr">
        <is>
          <t>مسجد / حي عتيقة .</t>
        </is>
      </c>
      <c r="B2916" t="inlineStr">
        <is>
          <t>KFM2020660202720</t>
        </is>
      </c>
      <c r="C2916" t="inlineStr">
        <is>
          <t>الرياض</t>
        </is>
      </c>
      <c r="D2916" t="inlineStr">
        <is>
          <t>كلا الفترتين</t>
        </is>
      </c>
      <c r="E2916" t="n">
        <v>1028</v>
      </c>
      <c r="F2916" t="b">
        <v>0</v>
      </c>
      <c r="G2916">
        <f>HYPERLINK("https://www.google.com/maps/search/?api=1&amp;query=24.59872643,46.70370813", "View Map")</f>
        <v/>
      </c>
    </row>
    <row r="2917">
      <c r="A2917" t="inlineStr">
        <is>
          <t>ﻤﺴﺎﺠﺩ .</t>
        </is>
      </c>
      <c r="B2917" t="inlineStr">
        <is>
          <t>KFM2120660236183</t>
        </is>
      </c>
      <c r="C2917" t="inlineStr">
        <is>
          <t>الرياض</t>
        </is>
      </c>
      <c r="D2917" t="inlineStr">
        <is>
          <t>كلا الفترتين</t>
        </is>
      </c>
      <c r="E2917" t="n">
        <v>1027</v>
      </c>
      <c r="F2917" t="b">
        <v>0</v>
      </c>
      <c r="G2917">
        <f>HYPERLINK("https://www.google.com/maps/search/?api=1&amp;query=24.69615548,46.64198336", "View Map")</f>
        <v/>
      </c>
    </row>
    <row r="2918">
      <c r="A2918" t="inlineStr">
        <is>
          <t xml:space="preserve">   مسجدأوس  بن أوس  الثقفي .</t>
        </is>
      </c>
      <c r="B2918" t="inlineStr">
        <is>
          <t>KFM2020660162167</t>
        </is>
      </c>
      <c r="C2918" t="inlineStr">
        <is>
          <t>الرياض</t>
        </is>
      </c>
      <c r="D2918" t="inlineStr">
        <is>
          <t>كلا الفترتين</t>
        </is>
      </c>
      <c r="E2918" t="n">
        <v>1026</v>
      </c>
      <c r="F2918" t="b">
        <v>0</v>
      </c>
      <c r="G2918">
        <f>HYPERLINK("https://www.google.com/maps/search/?api=1&amp;query=24.56793027,46.79165612", "View Map")</f>
        <v/>
      </c>
    </row>
    <row r="2919">
      <c r="A2919" t="inlineStr">
        <is>
          <t>مسجدالامير محمدعبدالعزيزال  سعود .</t>
        </is>
      </c>
      <c r="B2919" t="inlineStr">
        <is>
          <t>KFM2020660171597</t>
        </is>
      </c>
      <c r="C2919" t="inlineStr">
        <is>
          <t>الرياض</t>
        </is>
      </c>
      <c r="D2919" t="inlineStr">
        <is>
          <t>كلا الفترتين</t>
        </is>
      </c>
      <c r="E2919" t="n">
        <v>1024</v>
      </c>
      <c r="F2919" t="b">
        <v>0</v>
      </c>
      <c r="G2919">
        <f>HYPERLINK("https://www.google.com/maps/search/?api=1&amp;query=24.60960461,46.67700999", "View Map")</f>
        <v/>
      </c>
    </row>
    <row r="2920">
      <c r="A2920" t="inlineStr">
        <is>
          <t>ﻤﺴﺎﺠﺩ .</t>
        </is>
      </c>
      <c r="B2920" t="inlineStr">
        <is>
          <t>SMR2320661022783</t>
        </is>
      </c>
      <c r="C2920" t="inlineStr">
        <is>
          <t>الرياض</t>
        </is>
      </c>
      <c r="D2920" t="inlineStr">
        <is>
          <t>كلا الفترتين</t>
        </is>
      </c>
      <c r="E2920" t="n">
        <v>1024</v>
      </c>
      <c r="F2920" t="b">
        <v>1</v>
      </c>
      <c r="G2920">
        <f>HYPERLINK("https://www.google.com/maps/search/?api=1&amp;query=24.8711394,46.66222365", "View Map")</f>
        <v/>
      </c>
    </row>
    <row r="2921">
      <c r="A2921" t="inlineStr">
        <is>
          <t xml:space="preserve">   مسجد الاحسان .</t>
        </is>
      </c>
      <c r="B2921" t="inlineStr">
        <is>
          <t>KFM2020660006238</t>
        </is>
      </c>
      <c r="C2921" t="inlineStr">
        <is>
          <t>الرياض</t>
        </is>
      </c>
      <c r="D2921" t="inlineStr">
        <is>
          <t>كلا الفترتين</t>
        </is>
      </c>
      <c r="E2921" t="n">
        <v>1023</v>
      </c>
      <c r="F2921" t="b">
        <v>0</v>
      </c>
      <c r="G2921">
        <f>HYPERLINK("https://www.google.com/maps/search/?api=1&amp;query=24.6895799,46.83862633", "View Map")</f>
        <v/>
      </c>
    </row>
    <row r="2922">
      <c r="A2922" t="inlineStr">
        <is>
          <t xml:space="preserve">   وزارة الشئون الاسلاميه والاوقاف .</t>
        </is>
      </c>
      <c r="B2922" t="inlineStr">
        <is>
          <t>KFM2120660300812</t>
        </is>
      </c>
      <c r="C2922" t="inlineStr">
        <is>
          <t>الرياض</t>
        </is>
      </c>
      <c r="D2922" t="inlineStr">
        <is>
          <t>كلا الفترتين</t>
        </is>
      </c>
      <c r="E2922" t="n">
        <v>1022</v>
      </c>
      <c r="F2922" t="b">
        <v>0</v>
      </c>
      <c r="G2922">
        <f>HYPERLINK("https://www.google.com/maps/search/?api=1&amp;query=24.62927119,46.54479559", "View Map")</f>
        <v/>
      </c>
    </row>
    <row r="2923">
      <c r="A2923" t="inlineStr">
        <is>
          <t xml:space="preserve">   مسجدالاحسان .</t>
        </is>
      </c>
      <c r="B2923" t="inlineStr">
        <is>
          <t>KFM2020660171284</t>
        </is>
      </c>
      <c r="C2923" t="inlineStr">
        <is>
          <t>الرياض</t>
        </is>
      </c>
      <c r="D2923" t="inlineStr">
        <is>
          <t>كلا الفترتين</t>
        </is>
      </c>
      <c r="E2923" t="n">
        <v>1022</v>
      </c>
      <c r="F2923" t="b">
        <v>0</v>
      </c>
      <c r="G2923">
        <f>HYPERLINK("https://www.google.com/maps/search/?api=1&amp;query=24.80401256,46.75477008", "View Map")</f>
        <v/>
      </c>
    </row>
    <row r="2924">
      <c r="A2924" t="inlineStr">
        <is>
          <t>مسجد بحي البديعه .</t>
        </is>
      </c>
      <c r="B2924" t="inlineStr">
        <is>
          <t>KFM2020660051582</t>
        </is>
      </c>
      <c r="C2924" t="inlineStr">
        <is>
          <t>الرياض</t>
        </is>
      </c>
      <c r="D2924" t="inlineStr">
        <is>
          <t>كلا الفترتين</t>
        </is>
      </c>
      <c r="E2924" t="n">
        <v>1021</v>
      </c>
      <c r="F2924" t="b">
        <v>0</v>
      </c>
      <c r="G2924">
        <f>HYPERLINK("https://www.google.com/maps/search/?api=1&amp;query=24.6006,46.6403", "View Map")</f>
        <v/>
      </c>
    </row>
    <row r="2925">
      <c r="A2925" t="inlineStr">
        <is>
          <t>مسجد عبدالعزيز عبدالله  المبدل .</t>
        </is>
      </c>
      <c r="B2925" t="inlineStr">
        <is>
          <t>KFM2020660013279</t>
        </is>
      </c>
      <c r="C2925" t="inlineStr">
        <is>
          <t>الرياض</t>
        </is>
      </c>
      <c r="D2925" t="inlineStr">
        <is>
          <t>كلا الفترتين</t>
        </is>
      </c>
      <c r="E2925" t="n">
        <v>1021</v>
      </c>
      <c r="F2925" t="b">
        <v>1</v>
      </c>
      <c r="G2925">
        <f>HYPERLINK("https://www.google.com/maps/search/?api=1&amp;query=24.61794281,46.69453709", "View Map")</f>
        <v/>
      </c>
    </row>
    <row r="2926">
      <c r="A2926" t="inlineStr">
        <is>
          <t>ﻤﺴﺎﺠﺩ .</t>
        </is>
      </c>
      <c r="B2926" t="inlineStr">
        <is>
          <t>SMR2220621001217</t>
        </is>
      </c>
      <c r="C2926" t="inlineStr">
        <is>
          <t>الرياض</t>
        </is>
      </c>
      <c r="D2926" t="inlineStr">
        <is>
          <t>كلا الفترتين</t>
        </is>
      </c>
      <c r="E2926" t="n">
        <v>1021</v>
      </c>
      <c r="F2926" t="b">
        <v>0</v>
      </c>
      <c r="G2926">
        <f>HYPERLINK("https://www.google.com/maps/search/?api=1&amp;query=24.60827865,46.5058625", "View Map")</f>
        <v/>
      </c>
    </row>
    <row r="2927">
      <c r="A2927" t="inlineStr">
        <is>
          <t xml:space="preserve">   مسجد عمار بن ياسر .</t>
        </is>
      </c>
      <c r="B2927" t="inlineStr">
        <is>
          <t>KFM2020660042586</t>
        </is>
      </c>
      <c r="C2927" t="inlineStr">
        <is>
          <t>الرياض</t>
        </is>
      </c>
      <c r="D2927" t="inlineStr">
        <is>
          <t>كلا الفترتين</t>
        </is>
      </c>
      <c r="E2927" t="n">
        <v>1020</v>
      </c>
      <c r="F2927" t="b">
        <v>0</v>
      </c>
      <c r="G2927">
        <f>HYPERLINK("https://www.google.com/maps/search/?api=1&amp;query=24.75143717,46.83678866", "View Map")</f>
        <v/>
      </c>
    </row>
    <row r="2928">
      <c r="A2928" t="inlineStr">
        <is>
          <t xml:space="preserve">   جامع وسكن مترك عايض الجعيد .</t>
        </is>
      </c>
      <c r="B2928" t="inlineStr">
        <is>
          <t>MMF2020800195206</t>
        </is>
      </c>
      <c r="C2928" t="inlineStr">
        <is>
          <t>الرياض</t>
        </is>
      </c>
      <c r="D2928" t="inlineStr">
        <is>
          <t>كلا الفترتين</t>
        </is>
      </c>
      <c r="E2928" t="n">
        <v>1019</v>
      </c>
      <c r="F2928" t="b">
        <v>0</v>
      </c>
      <c r="G2928">
        <f>HYPERLINK("https://www.google.com/maps/search/?api=1&amp;query=24.76762151,46.73791755", "View Map")</f>
        <v/>
      </c>
    </row>
    <row r="2929">
      <c r="A2929" t="inlineStr">
        <is>
          <t xml:space="preserve">   مسجد عمار بن ياسر .</t>
        </is>
      </c>
      <c r="B2929" t="inlineStr">
        <is>
          <t>KFM2120660249434</t>
        </is>
      </c>
      <c r="C2929" t="inlineStr">
        <is>
          <t>الرياض</t>
        </is>
      </c>
      <c r="D2929" t="inlineStr">
        <is>
          <t>كلا الفترتين</t>
        </is>
      </c>
      <c r="E2929" t="n">
        <v>1019</v>
      </c>
      <c r="F2929" t="b">
        <v>0</v>
      </c>
      <c r="G2929">
        <f>HYPERLINK("https://www.google.com/maps/search/?api=1&amp;query=24.56940534,46.84149876", "View Map")</f>
        <v/>
      </c>
    </row>
    <row r="2930">
      <c r="A2930" t="inlineStr">
        <is>
          <t xml:space="preserve">   مسجدوالد عبدالله عبدالكريم لبصير .</t>
        </is>
      </c>
      <c r="B2930" t="inlineStr">
        <is>
          <t>KFM2120660299138</t>
        </is>
      </c>
      <c r="C2930" t="inlineStr">
        <is>
          <t>الرياض</t>
        </is>
      </c>
      <c r="D2930" t="inlineStr">
        <is>
          <t>كلا الفترتين</t>
        </is>
      </c>
      <c r="E2930" t="n">
        <v>1018</v>
      </c>
      <c r="F2930" t="b">
        <v>0</v>
      </c>
      <c r="G2930">
        <f>HYPERLINK("https://www.google.com/maps/search/?api=1&amp;query=24.60900302,46.74887425", "View Map")</f>
        <v/>
      </c>
    </row>
    <row r="2931">
      <c r="A2931" t="inlineStr">
        <is>
          <t xml:space="preserve">  وزارة الشئون الاسلامية(مسجد المروج) .</t>
        </is>
      </c>
      <c r="B2931" t="inlineStr">
        <is>
          <t>KFM2020660190278</t>
        </is>
      </c>
      <c r="C2931" t="inlineStr">
        <is>
          <t>الرياض</t>
        </is>
      </c>
      <c r="D2931" t="inlineStr">
        <is>
          <t>كلا الفترتين</t>
        </is>
      </c>
      <c r="E2931" t="n">
        <v>1018</v>
      </c>
      <c r="F2931" t="b">
        <v>0</v>
      </c>
      <c r="G2931">
        <f>HYPERLINK("https://www.google.com/maps/search/?api=1&amp;query=24.76451056,46.65835252", "View Map")</f>
        <v/>
      </c>
    </row>
    <row r="2932">
      <c r="A2932" t="inlineStr">
        <is>
          <t>ﻤﺴﺎﺠﺩ .</t>
        </is>
      </c>
      <c r="B2932" t="inlineStr">
        <is>
          <t>AEC2020830307723</t>
        </is>
      </c>
      <c r="C2932" t="inlineStr">
        <is>
          <t>الرياض</t>
        </is>
      </c>
      <c r="D2932" t="inlineStr">
        <is>
          <t>كلا الفترتين</t>
        </is>
      </c>
      <c r="E2932" t="n">
        <v>1018</v>
      </c>
      <c r="F2932" t="b">
        <v>0</v>
      </c>
      <c r="G2932">
        <f>HYPERLINK("https://www.google.com/maps/search/?api=1&amp;query=24.80503579,46.61346738", "View Map")</f>
        <v/>
      </c>
    </row>
    <row r="2933">
      <c r="A2933" t="inlineStr">
        <is>
          <t>مسجد /بحي العريجاء /ج .</t>
        </is>
      </c>
      <c r="B2933" t="inlineStr">
        <is>
          <t>KFM2120660283934</t>
        </is>
      </c>
      <c r="C2933" t="inlineStr">
        <is>
          <t>الرياض</t>
        </is>
      </c>
      <c r="D2933" t="inlineStr">
        <is>
          <t>كلا الفترتين</t>
        </is>
      </c>
      <c r="E2933" t="n">
        <v>1016</v>
      </c>
      <c r="F2933" t="b">
        <v>0</v>
      </c>
      <c r="G2933">
        <f>HYPERLINK("https://www.google.com/maps/search/?api=1&amp;query=24.59622395,46.59430408", "View Map")</f>
        <v/>
      </c>
    </row>
    <row r="2934">
      <c r="A2934" t="inlineStr">
        <is>
          <t>مسجد ال  عبدالله .</t>
        </is>
      </c>
      <c r="B2934" t="inlineStr">
        <is>
          <t>KFM2020660115718</t>
        </is>
      </c>
      <c r="C2934" t="inlineStr">
        <is>
          <t>الرياض</t>
        </is>
      </c>
      <c r="D2934" t="inlineStr">
        <is>
          <t>كلا الفترتين</t>
        </is>
      </c>
      <c r="E2934" t="n">
        <v>1014</v>
      </c>
      <c r="F2934" t="b">
        <v>0</v>
      </c>
      <c r="G2934">
        <f>HYPERLINK("https://www.google.com/maps/search/?api=1&amp;query=24.54571948,46.73362385", "View Map")</f>
        <v/>
      </c>
    </row>
    <row r="2935">
      <c r="A2935" t="inlineStr">
        <is>
          <t xml:space="preserve">   مسجد الرحمة بحي حطين .</t>
        </is>
      </c>
      <c r="B2935" t="inlineStr">
        <is>
          <t>KFM2020660230003</t>
        </is>
      </c>
      <c r="C2935" t="inlineStr">
        <is>
          <t>الرياض</t>
        </is>
      </c>
      <c r="D2935" t="inlineStr">
        <is>
          <t>كلا الفترتين</t>
        </is>
      </c>
      <c r="E2935" t="n">
        <v>1014</v>
      </c>
      <c r="F2935" t="b">
        <v>0</v>
      </c>
      <c r="G2935">
        <f>HYPERLINK("https://www.google.com/maps/search/?api=1&amp;query=24.77399065,46.6159704", "View Map")</f>
        <v/>
      </c>
    </row>
    <row r="2936">
      <c r="A2936" t="inlineStr">
        <is>
          <t>ﻤﺴﺎﺠﺩ .</t>
        </is>
      </c>
      <c r="B2936" t="inlineStr">
        <is>
          <t>KFM2120660240849</t>
        </is>
      </c>
      <c r="C2936" t="inlineStr">
        <is>
          <t>الرياض</t>
        </is>
      </c>
      <c r="D2936" t="inlineStr">
        <is>
          <t>كلا الفترتين</t>
        </is>
      </c>
      <c r="E2936" t="n">
        <v>1013</v>
      </c>
      <c r="F2936" t="b">
        <v>0</v>
      </c>
      <c r="G2936">
        <f>HYPERLINK("https://www.google.com/maps/search/?api=1&amp;query=24.89404675,46.63021478", "View Map")</f>
        <v/>
      </c>
    </row>
    <row r="2937">
      <c r="A2937" t="inlineStr">
        <is>
          <t xml:space="preserve">   مسجد حي النسيم .</t>
        </is>
      </c>
      <c r="B2937" t="inlineStr">
        <is>
          <t>KFM2020660057256</t>
        </is>
      </c>
      <c r="C2937" t="inlineStr">
        <is>
          <t>الرياض</t>
        </is>
      </c>
      <c r="D2937" t="inlineStr">
        <is>
          <t>كلا الفترتين</t>
        </is>
      </c>
      <c r="E2937" t="n">
        <v>1013</v>
      </c>
      <c r="F2937" t="b">
        <v>0</v>
      </c>
      <c r="G2937">
        <f>HYPERLINK("https://www.google.com/maps/search/?api=1&amp;query=24.73878948,46.84631879", "View Map")</f>
        <v/>
      </c>
    </row>
    <row r="2938">
      <c r="A2938" t="inlineStr">
        <is>
          <t>مسجد      عبدالعزيز بن عيد .</t>
        </is>
      </c>
      <c r="B2938" t="inlineStr">
        <is>
          <t>KFM2020660054309</t>
        </is>
      </c>
      <c r="C2938" t="inlineStr">
        <is>
          <t>الرياض</t>
        </is>
      </c>
      <c r="D2938" t="inlineStr">
        <is>
          <t>كلا الفترتين</t>
        </is>
      </c>
      <c r="E2938" t="n">
        <v>1013</v>
      </c>
      <c r="F2938" t="b">
        <v>0</v>
      </c>
      <c r="G2938">
        <f>HYPERLINK("https://www.google.com/maps/search/?api=1&amp;query=24.57774768,46.69440595", "View Map")</f>
        <v/>
      </c>
    </row>
    <row r="2939">
      <c r="A2939" t="inlineStr">
        <is>
          <t xml:space="preserve">   مسجد منور القاسم . .</t>
        </is>
      </c>
      <c r="B2939" t="inlineStr">
        <is>
          <t>KFM2020660037489</t>
        </is>
      </c>
      <c r="C2939" t="inlineStr">
        <is>
          <t>الرياض</t>
        </is>
      </c>
      <c r="D2939" t="inlineStr">
        <is>
          <t>كلا الفترتين</t>
        </is>
      </c>
      <c r="E2939" t="n">
        <v>1012</v>
      </c>
      <c r="F2939" t="b">
        <v>0</v>
      </c>
      <c r="G2939">
        <f>HYPERLINK("https://www.google.com/maps/search/?api=1&amp;query=24.75049468,46.79014355", "View Map")</f>
        <v/>
      </c>
    </row>
    <row r="2940">
      <c r="A2940" t="inlineStr">
        <is>
          <t>ﻤﺴﺎﺠﺩ .</t>
        </is>
      </c>
      <c r="B2940" t="inlineStr">
        <is>
          <t>KFM2020660104181</t>
        </is>
      </c>
      <c r="C2940" t="inlineStr">
        <is>
          <t>الرياض</t>
        </is>
      </c>
      <c r="D2940" t="inlineStr">
        <is>
          <t>كلا الفترتين</t>
        </is>
      </c>
      <c r="E2940" t="n">
        <v>1012</v>
      </c>
      <c r="F2940" t="b">
        <v>0</v>
      </c>
      <c r="G2940">
        <f>HYPERLINK("https://www.google.com/maps/search/?api=1&amp;query=24.83594,46.65362", "View Map")</f>
        <v/>
      </c>
    </row>
    <row r="2941">
      <c r="A2941" t="inlineStr">
        <is>
          <t>مسجدحى  السيارى .</t>
        </is>
      </c>
      <c r="B2941" t="inlineStr">
        <is>
          <t>KFM2020760007173</t>
        </is>
      </c>
      <c r="C2941" t="inlineStr">
        <is>
          <t>الرياض</t>
        </is>
      </c>
      <c r="D2941" t="inlineStr">
        <is>
          <t>كلا الفترتين</t>
        </is>
      </c>
      <c r="E2941" t="n">
        <v>1012</v>
      </c>
      <c r="F2941" t="b">
        <v>0</v>
      </c>
      <c r="G2941">
        <f>HYPERLINK("https://www.google.com/maps/search/?api=1&amp;query=24.56897164,46.69396734", "View Map")</f>
        <v/>
      </c>
    </row>
    <row r="2942">
      <c r="A2942" t="inlineStr">
        <is>
          <t xml:space="preserve">   مسجد الخالديه .</t>
        </is>
      </c>
      <c r="B2942" t="inlineStr">
        <is>
          <t>KFM2020660034607</t>
        </is>
      </c>
      <c r="C2942" t="inlineStr">
        <is>
          <t>الرياض</t>
        </is>
      </c>
      <c r="D2942" t="inlineStr">
        <is>
          <t>كلا الفترتين</t>
        </is>
      </c>
      <c r="E2942" t="n">
        <v>1011</v>
      </c>
      <c r="F2942" t="b">
        <v>1</v>
      </c>
      <c r="G2942">
        <f>HYPERLINK("https://www.google.com/maps/search/?api=1&amp;query=24.62424211,46.75374976", "View Map")</f>
        <v/>
      </c>
    </row>
    <row r="2943">
      <c r="A2943" t="inlineStr">
        <is>
          <t xml:space="preserve">   مسجدام الحمام الشرقيه .</t>
        </is>
      </c>
      <c r="B2943" t="inlineStr">
        <is>
          <t>KFM2020660172091</t>
        </is>
      </c>
      <c r="C2943" t="inlineStr">
        <is>
          <t>الرياض</t>
        </is>
      </c>
      <c r="D2943" t="inlineStr">
        <is>
          <t>كلا الفترتين</t>
        </is>
      </c>
      <c r="E2943" t="n">
        <v>1010</v>
      </c>
      <c r="F2943" t="b">
        <v>0</v>
      </c>
      <c r="G2943">
        <f>HYPERLINK("https://www.google.com/maps/search/?api=1&amp;query=24.69069652,46.65349468", "View Map")</f>
        <v/>
      </c>
    </row>
    <row r="2944">
      <c r="A2944" t="inlineStr">
        <is>
          <t xml:space="preserve">   مسجد قاسم أحمد .</t>
        </is>
      </c>
      <c r="B2944" t="inlineStr">
        <is>
          <t>KFM2020660191787</t>
        </is>
      </c>
      <c r="C2944" t="inlineStr">
        <is>
          <t>الرياض</t>
        </is>
      </c>
      <c r="D2944" t="inlineStr">
        <is>
          <t>كلا الفترتين</t>
        </is>
      </c>
      <c r="E2944" t="n">
        <v>1009</v>
      </c>
      <c r="F2944" t="b">
        <v>1</v>
      </c>
      <c r="G2944">
        <f>HYPERLINK("https://www.google.com/maps/search/?api=1&amp;query=24.70717407,46.83091194", "View Map")</f>
        <v/>
      </c>
    </row>
    <row r="2945">
      <c r="A2945" t="inlineStr">
        <is>
          <t xml:space="preserve">   مسجدجامع الكردى .</t>
        </is>
      </c>
      <c r="B2945" t="inlineStr">
        <is>
          <t>KFM2020660227151</t>
        </is>
      </c>
      <c r="C2945" t="inlineStr">
        <is>
          <t>الرياض</t>
        </is>
      </c>
      <c r="D2945" t="inlineStr">
        <is>
          <t>كلا الفترتين</t>
        </is>
      </c>
      <c r="E2945" t="n">
        <v>1008</v>
      </c>
      <c r="F2945" t="b">
        <v>0</v>
      </c>
      <c r="G2945">
        <f>HYPERLINK("https://www.google.com/maps/search/?api=1&amp;query=24.70203218,46.70816552", "View Map")</f>
        <v/>
      </c>
    </row>
    <row r="2946">
      <c r="A2946" t="inlineStr">
        <is>
          <t xml:space="preserve">   مسجد والدة صالح الحقباني .</t>
        </is>
      </c>
      <c r="B2946" t="inlineStr">
        <is>
          <t>KFM2020660162784</t>
        </is>
      </c>
      <c r="C2946" t="inlineStr">
        <is>
          <t>الرياض</t>
        </is>
      </c>
      <c r="D2946" t="inlineStr">
        <is>
          <t>كلا الفترتين</t>
        </is>
      </c>
      <c r="E2946" t="n">
        <v>1008</v>
      </c>
      <c r="F2946" t="b">
        <v>0</v>
      </c>
      <c r="G2946">
        <f>HYPERLINK("https://www.google.com/maps/search/?api=1&amp;query=24.5781489,46.84223411", "View Map")</f>
        <v/>
      </c>
    </row>
    <row r="2947">
      <c r="A2947" t="inlineStr">
        <is>
          <t xml:space="preserve">   مسجدحي المناخ .</t>
        </is>
      </c>
      <c r="B2947" t="inlineStr">
        <is>
          <t>KFM2120660268709</t>
        </is>
      </c>
      <c r="C2947" t="inlineStr">
        <is>
          <t>الرياض</t>
        </is>
      </c>
      <c r="D2947" t="inlineStr">
        <is>
          <t>كلا الفترتين</t>
        </is>
      </c>
      <c r="E2947" t="n">
        <v>1008</v>
      </c>
      <c r="F2947" t="b">
        <v>0</v>
      </c>
      <c r="G2947">
        <f>HYPERLINK("https://www.google.com/maps/search/?api=1&amp;query=24.59827896,46.80672086", "View Map")</f>
        <v/>
      </c>
    </row>
    <row r="2948">
      <c r="A2948" t="inlineStr">
        <is>
          <t>مسجد الشيخ  عبدالله  بن عقيل .</t>
        </is>
      </c>
      <c r="B2948" t="inlineStr">
        <is>
          <t>KFM2020660038572</t>
        </is>
      </c>
      <c r="C2948" t="inlineStr">
        <is>
          <t>الرياض</t>
        </is>
      </c>
      <c r="D2948" t="inlineStr">
        <is>
          <t>كلا الفترتين</t>
        </is>
      </c>
      <c r="E2948" t="n">
        <v>1006</v>
      </c>
      <c r="F2948" t="b">
        <v>0</v>
      </c>
      <c r="G2948">
        <f>HYPERLINK("https://www.google.com/maps/search/?api=1&amp;query=24.64191241,46.69718301", "View Map")</f>
        <v/>
      </c>
    </row>
    <row r="2949">
      <c r="A2949" t="inlineStr">
        <is>
          <t>مسجدالاميرسعودفهدبن عبدالعزيز .</t>
        </is>
      </c>
      <c r="B2949" t="inlineStr">
        <is>
          <t>KFM2020660202718</t>
        </is>
      </c>
      <c r="C2949" t="inlineStr">
        <is>
          <t>الرياض</t>
        </is>
      </c>
      <c r="D2949" t="inlineStr">
        <is>
          <t>كلا الفترتين</t>
        </is>
      </c>
      <c r="E2949" t="n">
        <v>1006</v>
      </c>
      <c r="F2949" t="b">
        <v>0</v>
      </c>
      <c r="G2949">
        <f>HYPERLINK("https://www.google.com/maps/search/?api=1&amp;query=24.60067308,46.70792031", "View Map")</f>
        <v/>
      </c>
    </row>
    <row r="2950">
      <c r="A2950" t="inlineStr">
        <is>
          <t>مسجدوالدة الامير عبدالعزيز بن محمد .</t>
        </is>
      </c>
      <c r="B2950" t="inlineStr">
        <is>
          <t>KFM2020660054954</t>
        </is>
      </c>
      <c r="C2950" t="inlineStr">
        <is>
          <t>الرياض</t>
        </is>
      </c>
      <c r="D2950" t="inlineStr">
        <is>
          <t>كلا الفترتين</t>
        </is>
      </c>
      <c r="E2950" t="n">
        <v>1004</v>
      </c>
      <c r="F2950" t="b">
        <v>0</v>
      </c>
      <c r="G2950">
        <f>HYPERLINK("https://www.google.com/maps/search/?api=1&amp;query=24.56519907,46.63798567", "View Map")</f>
        <v/>
      </c>
    </row>
    <row r="2951">
      <c r="A2951" t="inlineStr">
        <is>
          <t>ﻤﺴﺎﺠﺩ .</t>
        </is>
      </c>
      <c r="B2951" t="inlineStr">
        <is>
          <t>SMR2220661018938</t>
        </is>
      </c>
      <c r="C2951" t="inlineStr">
        <is>
          <t>الرياض</t>
        </is>
      </c>
      <c r="D2951" t="inlineStr">
        <is>
          <t>كلا الفترتين</t>
        </is>
      </c>
      <c r="E2951" t="n">
        <v>1004</v>
      </c>
      <c r="F2951" t="b">
        <v>0</v>
      </c>
      <c r="G2951">
        <f>HYPERLINK("https://www.google.com/maps/search/?api=1&amp;query=24.92525789,46.82341566", "View Map")</f>
        <v/>
      </c>
    </row>
    <row r="2952">
      <c r="A2952" t="inlineStr">
        <is>
          <t>ﻭﺯﺍﺭﺓﺍﻟﺸﺌﻭﻥ ﺍﻻﺴﻼﻤﻴﺓﻭﺍﻻﻭﻗﺎﻑ .</t>
        </is>
      </c>
      <c r="B2952" t="inlineStr">
        <is>
          <t>KFM2120660303248</t>
        </is>
      </c>
      <c r="C2952" t="inlineStr">
        <is>
          <t>الرياض</t>
        </is>
      </c>
      <c r="D2952" t="inlineStr">
        <is>
          <t>كلا الفترتين</t>
        </is>
      </c>
      <c r="E2952" t="n">
        <v>1003</v>
      </c>
      <c r="F2952" t="b">
        <v>0</v>
      </c>
      <c r="G2952">
        <f>HYPERLINK("https://www.google.com/maps/search/?api=1&amp;query=24.5607347,46.53351707", "View Map")</f>
        <v/>
      </c>
    </row>
    <row r="2953">
      <c r="A2953" t="inlineStr">
        <is>
          <t>المسجد المؤقت  بالداخل  المحدود .</t>
        </is>
      </c>
      <c r="B2953" t="inlineStr">
        <is>
          <t>KFM2020660202681</t>
        </is>
      </c>
      <c r="C2953" t="inlineStr">
        <is>
          <t>الرياض</t>
        </is>
      </c>
      <c r="D2953" t="inlineStr">
        <is>
          <t>كلا الفترتين</t>
        </is>
      </c>
      <c r="E2953" t="n">
        <v>1003</v>
      </c>
      <c r="F2953" t="b">
        <v>0</v>
      </c>
      <c r="G2953">
        <f>HYPERLINK("https://www.google.com/maps/search/?api=1&amp;query=24.61595342,46.63684946", "View Map")</f>
        <v/>
      </c>
    </row>
    <row r="2954">
      <c r="A2954" t="inlineStr">
        <is>
          <t>ﻭﺯﺍﺭﺓﺍﻟﺸﺌﻭﻥ ﺍﻻﺴﻼﻤﻴﺓﻭﺍﻻﻭﻗﺎﻑ .</t>
        </is>
      </c>
      <c r="B2954" t="inlineStr">
        <is>
          <t>SMR2220661000717</t>
        </is>
      </c>
      <c r="C2954" t="inlineStr">
        <is>
          <t>الرياض</t>
        </is>
      </c>
      <c r="D2954" t="inlineStr">
        <is>
          <t>كلا الفترتين</t>
        </is>
      </c>
      <c r="E2954" t="n">
        <v>1003</v>
      </c>
      <c r="F2954" t="b">
        <v>0</v>
      </c>
      <c r="G2954">
        <f>HYPERLINK("https://www.google.com/maps/search/?api=1&amp;query=24.55363955,46.6674507", "View Map")</f>
        <v/>
      </c>
    </row>
    <row r="2955">
      <c r="A2955" t="inlineStr">
        <is>
          <t>ﻭﺯﺍﺭﺓﺍﻟﺸﺌﻭﻥ ﺍﻻﺴﻼﻤﻴﺓﻭﺍﻻﻭﻗﺎﻑ .</t>
        </is>
      </c>
      <c r="B2955" t="inlineStr">
        <is>
          <t>KFM2120660300239</t>
        </is>
      </c>
      <c r="C2955" t="inlineStr">
        <is>
          <t>الرياض</t>
        </is>
      </c>
      <c r="D2955" t="inlineStr">
        <is>
          <t>كلا الفترتين</t>
        </is>
      </c>
      <c r="E2955" t="n">
        <v>1001</v>
      </c>
      <c r="F2955" t="b">
        <v>0</v>
      </c>
      <c r="G2955">
        <f>HYPERLINK("https://www.google.com/maps/search/?api=1&amp;query=24.69662473,46.836358", "View Map")</f>
        <v/>
      </c>
    </row>
    <row r="2956">
      <c r="A2956" t="inlineStr">
        <is>
          <t>مسجد جامع الملك  سعود .</t>
        </is>
      </c>
      <c r="B2956" t="inlineStr">
        <is>
          <t>KFM2020660015288</t>
        </is>
      </c>
      <c r="C2956" t="inlineStr">
        <is>
          <t>الرياض</t>
        </is>
      </c>
      <c r="D2956" t="inlineStr">
        <is>
          <t>كلا الفترتين</t>
        </is>
      </c>
      <c r="E2956" t="n">
        <v>1000</v>
      </c>
      <c r="F2956" t="b">
        <v>0</v>
      </c>
      <c r="G2956">
        <f>HYPERLINK("https://www.google.com/maps/search/?api=1&amp;query=24.5831,46.5647", "View Map")</f>
        <v/>
      </c>
    </row>
    <row r="2957">
      <c r="A2957" t="inlineStr">
        <is>
          <t>ﻤﺴﺎﺠﺩ .</t>
        </is>
      </c>
      <c r="B2957" t="inlineStr">
        <is>
          <t>KFM2020660042454</t>
        </is>
      </c>
      <c r="C2957" t="inlineStr">
        <is>
          <t>الرياض</t>
        </is>
      </c>
      <c r="D2957" t="inlineStr">
        <is>
          <t>كلا الفترتين</t>
        </is>
      </c>
      <c r="E2957" t="n">
        <v>1000</v>
      </c>
      <c r="F2957" t="b">
        <v>0</v>
      </c>
      <c r="G2957">
        <f>HYPERLINK("https://www.google.com/maps/search/?api=1&amp;query=24.80020658,46.75921468", "View Map")</f>
        <v/>
      </c>
    </row>
    <row r="2958">
      <c r="A2958" t="inlineStr">
        <is>
          <t>مسجد      حي     الحزم .</t>
        </is>
      </c>
      <c r="B2958" t="inlineStr">
        <is>
          <t>KFM2020660027271</t>
        </is>
      </c>
      <c r="C2958" t="inlineStr">
        <is>
          <t>الرياض</t>
        </is>
      </c>
      <c r="D2958" t="inlineStr">
        <is>
          <t>كلا الفترتين</t>
        </is>
      </c>
      <c r="E2958" t="n">
        <v>1000</v>
      </c>
      <c r="F2958" t="b">
        <v>0</v>
      </c>
      <c r="G2958">
        <f>HYPERLINK("https://www.google.com/maps/search/?api=1&amp;query=24.53120482,46.64792446", "View Map")</f>
        <v/>
      </c>
    </row>
    <row r="2959">
      <c r="A2959" t="inlineStr">
        <is>
          <t xml:space="preserve">   وزارةالشئون الاسلاميه/مسجد العمرين .</t>
        </is>
      </c>
      <c r="B2959" t="inlineStr">
        <is>
          <t>KFM2120660248254</t>
        </is>
      </c>
      <c r="C2959" t="inlineStr">
        <is>
          <t>الرياض</t>
        </is>
      </c>
      <c r="D2959" t="inlineStr">
        <is>
          <t>كلا الفترتين</t>
        </is>
      </c>
      <c r="E2959" t="n">
        <v>999</v>
      </c>
      <c r="F2959" t="b">
        <v>0</v>
      </c>
      <c r="G2959">
        <f>HYPERLINK("https://www.google.com/maps/search/?api=1&amp;query=24.6802796,46.84682219", "View Map")</f>
        <v/>
      </c>
    </row>
    <row r="2960">
      <c r="A2960" t="inlineStr">
        <is>
          <t>ﻤﺴﺎﺠﺩ .</t>
        </is>
      </c>
      <c r="B2960" t="inlineStr">
        <is>
          <t>KFM2020660190137</t>
        </is>
      </c>
      <c r="C2960" t="inlineStr">
        <is>
          <t>الرياض</t>
        </is>
      </c>
      <c r="D2960" t="inlineStr">
        <is>
          <t>مساءا</t>
        </is>
      </c>
      <c r="E2960" t="n">
        <v>998</v>
      </c>
      <c r="F2960" t="b">
        <v>1</v>
      </c>
      <c r="G2960">
        <f>HYPERLINK("https://www.google.com/maps/search/?api=1&amp;query=24.92937923,46.806863", "View Map")</f>
        <v/>
      </c>
    </row>
    <row r="2961">
      <c r="A2961" t="inlineStr">
        <is>
          <t xml:space="preserve">   مسجدحى الحروب .</t>
        </is>
      </c>
      <c r="B2961" t="inlineStr">
        <is>
          <t>SMR2220661002699</t>
        </is>
      </c>
      <c r="C2961" t="inlineStr">
        <is>
          <t>الرياض</t>
        </is>
      </c>
      <c r="D2961" t="inlineStr">
        <is>
          <t>كلا الفترتين</t>
        </is>
      </c>
      <c r="E2961" t="n">
        <v>998</v>
      </c>
      <c r="F2961" t="b">
        <v>0</v>
      </c>
      <c r="G2961">
        <f>HYPERLINK("https://www.google.com/maps/search/?api=1&amp;query=24.69532778,46.64342193", "View Map")</f>
        <v/>
      </c>
    </row>
    <row r="2962">
      <c r="A2962" t="inlineStr">
        <is>
          <t>ﻤﺴﺎﺠﺩ .</t>
        </is>
      </c>
      <c r="B2962" t="inlineStr">
        <is>
          <t>KFM2020660202879</t>
        </is>
      </c>
      <c r="C2962" t="inlineStr">
        <is>
          <t>الرياض</t>
        </is>
      </c>
      <c r="D2962" t="inlineStr">
        <is>
          <t>كلا الفترتين</t>
        </is>
      </c>
      <c r="E2962" t="n">
        <v>998</v>
      </c>
      <c r="F2962" t="b">
        <v>0</v>
      </c>
      <c r="G2962">
        <f>HYPERLINK("https://www.google.com/maps/search/?api=1&amp;query=24.79006225,46.60469117", "View Map")</f>
        <v/>
      </c>
    </row>
    <row r="2963">
      <c r="A2963" t="inlineStr">
        <is>
          <t>ﻤﺴﺎﺠﺩ .</t>
        </is>
      </c>
      <c r="B2963" t="inlineStr">
        <is>
          <t>KFM2020660187651</t>
        </is>
      </c>
      <c r="C2963" t="inlineStr">
        <is>
          <t>الرياض</t>
        </is>
      </c>
      <c r="D2963" t="inlineStr">
        <is>
          <t>كلا الفترتين</t>
        </is>
      </c>
      <c r="E2963" t="n">
        <v>997</v>
      </c>
      <c r="F2963" t="b">
        <v>1</v>
      </c>
      <c r="G2963">
        <f>HYPERLINK("https://www.google.com/maps/search/?api=1&amp;query=24.82585976,46.57333273", "View Map")</f>
        <v/>
      </c>
    </row>
    <row r="2964">
      <c r="A2964" t="inlineStr">
        <is>
          <t>مسجد      ضاحيه      لبن .</t>
        </is>
      </c>
      <c r="B2964" t="inlineStr">
        <is>
          <t>KFM2020660057785</t>
        </is>
      </c>
      <c r="C2964" t="inlineStr">
        <is>
          <t>الرياض</t>
        </is>
      </c>
      <c r="D2964" t="inlineStr">
        <is>
          <t>مساءا</t>
        </is>
      </c>
      <c r="E2964" t="n">
        <v>997</v>
      </c>
      <c r="F2964" t="b">
        <v>1</v>
      </c>
      <c r="G2964">
        <f>HYPERLINK("https://www.google.com/maps/search/?api=1&amp;query=24.5912307,46.54045824", "View Map")</f>
        <v/>
      </c>
    </row>
    <row r="2965">
      <c r="A2965" t="inlineStr">
        <is>
          <t>ﻤﻜﺘﺏ ﺍﻭﻗﺎﻑ ﺍﻟﻤﺠﻤﻌﻩ (ﺍﻟﻤﺴﺎﺠﺩ) .</t>
        </is>
      </c>
      <c r="B2965" t="inlineStr">
        <is>
          <t>SMR2420868040613</t>
        </is>
      </c>
      <c r="C2965" t="inlineStr">
        <is>
          <t>الرياض</t>
        </is>
      </c>
      <c r="D2965" t="inlineStr">
        <is>
          <t>كلا الفترتين</t>
        </is>
      </c>
      <c r="E2965" t="n">
        <v>997</v>
      </c>
      <c r="F2965" t="b">
        <v>0</v>
      </c>
      <c r="G2965">
        <f>HYPERLINK("https://www.google.com/maps/search/?api=1&amp;query=0.0,0.0", "View Map")</f>
        <v/>
      </c>
    </row>
    <row r="2966">
      <c r="A2966" t="inlineStr">
        <is>
          <t>مسجد /سعد بن ابي وقاص .</t>
        </is>
      </c>
      <c r="B2966" t="inlineStr">
        <is>
          <t>KFM2020660171683</t>
        </is>
      </c>
      <c r="C2966" t="inlineStr">
        <is>
          <t>الرياض</t>
        </is>
      </c>
      <c r="D2966" t="inlineStr">
        <is>
          <t>كلا الفترتين</t>
        </is>
      </c>
      <c r="E2966" t="n">
        <v>997</v>
      </c>
      <c r="F2966" t="b">
        <v>0</v>
      </c>
      <c r="G2966">
        <f>HYPERLINK("https://www.google.com/maps/search/?api=1&amp;query=24.57565732,46.5703181", "View Map")</f>
        <v/>
      </c>
    </row>
    <row r="2967">
      <c r="A2967" t="inlineStr">
        <is>
          <t xml:space="preserve">   مسجد عبدالرحمن بن حمدان .</t>
        </is>
      </c>
      <c r="B2967" t="inlineStr">
        <is>
          <t>KFM2120660257371</t>
        </is>
      </c>
      <c r="C2967" t="inlineStr">
        <is>
          <t>الرياض</t>
        </is>
      </c>
      <c r="D2967" t="inlineStr">
        <is>
          <t>كلا الفترتين</t>
        </is>
      </c>
      <c r="E2967" t="n">
        <v>995</v>
      </c>
      <c r="F2967" t="b">
        <v>0</v>
      </c>
      <c r="G2967">
        <f>HYPERLINK("https://www.google.com/maps/search/?api=1&amp;query=24.68089277,46.68395598", "View Map")</f>
        <v/>
      </c>
    </row>
    <row r="2968">
      <c r="A2968" t="inlineStr">
        <is>
          <t>ﻭﺯﺍﺭﺓﺍﻟﺸﺌﻭﻥ ﺍﻻﺴﻼﻤﻴﺓﻭﺍﻻﻭﻗﺎﻑ .</t>
        </is>
      </c>
      <c r="B2968" t="inlineStr">
        <is>
          <t>KFM2020660115707</t>
        </is>
      </c>
      <c r="C2968" t="inlineStr">
        <is>
          <t>الرياض</t>
        </is>
      </c>
      <c r="D2968" t="inlineStr">
        <is>
          <t>كلا الفترتين</t>
        </is>
      </c>
      <c r="E2968" t="n">
        <v>995</v>
      </c>
      <c r="F2968" t="b">
        <v>0</v>
      </c>
      <c r="G2968">
        <f>HYPERLINK("https://www.google.com/maps/search/?api=1&amp;query=24.52228302,46.66723426", "View Map")</f>
        <v/>
      </c>
    </row>
    <row r="2969">
      <c r="A2969" t="inlineStr">
        <is>
          <t xml:space="preserve">   مسجد / حي الهدى .</t>
        </is>
      </c>
      <c r="B2969" t="inlineStr">
        <is>
          <t>KFM2120660254459</t>
        </is>
      </c>
      <c r="C2969" t="inlineStr">
        <is>
          <t>الرياض</t>
        </is>
      </c>
      <c r="D2969" t="inlineStr">
        <is>
          <t>كلا الفترتين</t>
        </is>
      </c>
      <c r="E2969" t="n">
        <v>993</v>
      </c>
      <c r="F2969" t="b">
        <v>0</v>
      </c>
      <c r="G2969">
        <f>HYPERLINK("https://www.google.com/maps/search/?api=1&amp;query=24.66271757,46.62413625", "View Map")</f>
        <v/>
      </c>
    </row>
    <row r="2970">
      <c r="A2970" t="inlineStr">
        <is>
          <t>مسجد  القبلي .</t>
        </is>
      </c>
      <c r="B2970" t="inlineStr">
        <is>
          <t>SMR2220661018610</t>
        </is>
      </c>
      <c r="C2970" t="inlineStr">
        <is>
          <t>الرياض</t>
        </is>
      </c>
      <c r="D2970" t="inlineStr">
        <is>
          <t>كلا الفترتين</t>
        </is>
      </c>
      <c r="E2970" t="n">
        <v>993</v>
      </c>
      <c r="F2970" t="b">
        <v>0</v>
      </c>
      <c r="G2970">
        <f>HYPERLINK("https://www.google.com/maps/search/?api=1&amp;query=24.5956,46.7258", "View Map")</f>
        <v/>
      </c>
    </row>
    <row r="2971">
      <c r="A2971" t="inlineStr">
        <is>
          <t xml:space="preserve">   مسجد/ حي الريان. .</t>
        </is>
      </c>
      <c r="B2971" t="inlineStr">
        <is>
          <t>KFM2020660175745</t>
        </is>
      </c>
      <c r="C2971" t="inlineStr">
        <is>
          <t>الرياض</t>
        </is>
      </c>
      <c r="D2971" t="inlineStr">
        <is>
          <t>كلا الفترتين</t>
        </is>
      </c>
      <c r="E2971" t="n">
        <v>993</v>
      </c>
      <c r="F2971" t="b">
        <v>0</v>
      </c>
      <c r="G2971">
        <f>HYPERLINK("https://www.google.com/maps/search/?api=1&amp;query=24.70745158,46.77466296", "View Map")</f>
        <v/>
      </c>
    </row>
    <row r="2972">
      <c r="A2972" t="inlineStr">
        <is>
          <t>مسجد ضاحيه  العريجاء .</t>
        </is>
      </c>
      <c r="B2972" t="inlineStr">
        <is>
          <t>KFM2020660015283</t>
        </is>
      </c>
      <c r="C2972" t="inlineStr">
        <is>
          <t>الرياض</t>
        </is>
      </c>
      <c r="D2972" t="inlineStr">
        <is>
          <t>كلا الفترتين</t>
        </is>
      </c>
      <c r="E2972" t="n">
        <v>993</v>
      </c>
      <c r="F2972" t="b">
        <v>0</v>
      </c>
      <c r="G2972">
        <f>HYPERLINK("https://www.google.com/maps/search/?api=1&amp;query=24.58021112,46.5639842", "View Map")</f>
        <v/>
      </c>
    </row>
    <row r="2973">
      <c r="A2973" t="inlineStr">
        <is>
          <t xml:space="preserve">   مسجدوالدةالاميرعبدالعزيز بن تركى .</t>
        </is>
      </c>
      <c r="B2973" t="inlineStr">
        <is>
          <t>KFM2020660193095</t>
        </is>
      </c>
      <c r="C2973" t="inlineStr">
        <is>
          <t>الرياض</t>
        </is>
      </c>
      <c r="D2973" t="inlineStr">
        <is>
          <t>كلا الفترتين</t>
        </is>
      </c>
      <c r="E2973" t="n">
        <v>992</v>
      </c>
      <c r="F2973" t="b">
        <v>0</v>
      </c>
      <c r="G2973">
        <f>HYPERLINK("https://www.google.com/maps/search/?api=1&amp;query=24.77518909,46.62713351", "View Map")</f>
        <v/>
      </c>
    </row>
    <row r="2974">
      <c r="A2974" t="inlineStr">
        <is>
          <t xml:space="preserve">   مسجد حي العزيزية .</t>
        </is>
      </c>
      <c r="B2974" t="inlineStr">
        <is>
          <t>KFM2120660302076</t>
        </is>
      </c>
      <c r="C2974" t="inlineStr">
        <is>
          <t>الرياض</t>
        </is>
      </c>
      <c r="D2974" t="inlineStr">
        <is>
          <t>كلا الفترتين</t>
        </is>
      </c>
      <c r="E2974" t="n">
        <v>990</v>
      </c>
      <c r="F2974" t="b">
        <v>1</v>
      </c>
      <c r="G2974">
        <f>HYPERLINK("https://www.google.com/maps/search/?api=1&amp;query=24.59573145,46.75077188", "View Map")</f>
        <v/>
      </c>
    </row>
    <row r="2975">
      <c r="A2975" t="inlineStr">
        <is>
          <t>ﻤﺴﺎﺠﺩ .</t>
        </is>
      </c>
      <c r="B2975" t="inlineStr">
        <is>
          <t>SMR2320661033715</t>
        </is>
      </c>
      <c r="C2975" t="inlineStr">
        <is>
          <t>الرياض</t>
        </is>
      </c>
      <c r="D2975" t="inlineStr">
        <is>
          <t>كلا الفترتين</t>
        </is>
      </c>
      <c r="E2975" t="n">
        <v>989</v>
      </c>
      <c r="F2975" t="b">
        <v>0</v>
      </c>
      <c r="G2975">
        <f>HYPERLINK("https://www.google.com/maps/search/?api=1&amp;query=24.780909,46.90640957", "View Map")</f>
        <v/>
      </c>
    </row>
    <row r="2976">
      <c r="A2976" t="inlineStr">
        <is>
          <t>ﻤﺴﺎﺠﺩ .</t>
        </is>
      </c>
      <c r="B2976" t="inlineStr">
        <is>
          <t>KFM2120660240913</t>
        </is>
      </c>
      <c r="C2976" t="inlineStr">
        <is>
          <t>الرياض</t>
        </is>
      </c>
      <c r="D2976" t="inlineStr">
        <is>
          <t>كلا الفترتين</t>
        </is>
      </c>
      <c r="E2976" t="n">
        <v>989</v>
      </c>
      <c r="F2976" t="b">
        <v>1</v>
      </c>
      <c r="G2976">
        <f>HYPERLINK("https://www.google.com/maps/search/?api=1&amp;query=24.85540782,46.66992266", "View Map")</f>
        <v/>
      </c>
    </row>
    <row r="2977">
      <c r="A2977" t="inlineStr">
        <is>
          <t xml:space="preserve">   مسجد الجمعية التعاونية .</t>
        </is>
      </c>
      <c r="B2977" t="inlineStr">
        <is>
          <t>KFM2120660247983</t>
        </is>
      </c>
      <c r="C2977" t="inlineStr">
        <is>
          <t>الرياض</t>
        </is>
      </c>
      <c r="D2977" t="inlineStr">
        <is>
          <t>مساءا</t>
        </is>
      </c>
      <c r="E2977" t="n">
        <v>988</v>
      </c>
      <c r="F2977" t="b">
        <v>0</v>
      </c>
      <c r="G2977">
        <f>HYPERLINK("https://www.google.com/maps/search/?api=1&amp;query=24.63925396,46.74277525", "View Map")</f>
        <v/>
      </c>
    </row>
    <row r="2978">
      <c r="A2978" t="inlineStr">
        <is>
          <t>ﻤﺴﺎﺠﺩ .</t>
        </is>
      </c>
      <c r="B2978" t="inlineStr">
        <is>
          <t>KFM2020660127525</t>
        </is>
      </c>
      <c r="C2978" t="inlineStr">
        <is>
          <t>الرياض</t>
        </is>
      </c>
      <c r="D2978" t="inlineStr">
        <is>
          <t>كلا الفترتين</t>
        </is>
      </c>
      <c r="E2978" t="n">
        <v>987</v>
      </c>
      <c r="F2978" t="b">
        <v>0</v>
      </c>
      <c r="G2978">
        <f>HYPERLINK("https://www.google.com/maps/search/?api=1&amp;query=24.82549,46.62724", "View Map")</f>
        <v/>
      </c>
    </row>
    <row r="2979">
      <c r="A2979" t="inlineStr">
        <is>
          <t xml:space="preserve">   مسجد حي الفيصـليه .</t>
        </is>
      </c>
      <c r="B2979" t="inlineStr">
        <is>
          <t>KFM2020760151516</t>
        </is>
      </c>
      <c r="C2979" t="inlineStr">
        <is>
          <t>الدرعية</t>
        </is>
      </c>
      <c r="D2979" t="inlineStr">
        <is>
          <t>مساءا</t>
        </is>
      </c>
      <c r="E2979" t="n">
        <v>987</v>
      </c>
      <c r="F2979" t="b">
        <v>0</v>
      </c>
      <c r="G2979">
        <f>HYPERLINK("https://www.google.com/maps/search/?api=1&amp;query=24.74071721,46.58029102", "View Map")</f>
        <v/>
      </c>
    </row>
    <row r="2980">
      <c r="A2980" t="inlineStr">
        <is>
          <t>ﻤﺴﺎﺠﺩ .</t>
        </is>
      </c>
      <c r="B2980" t="inlineStr">
        <is>
          <t>KFM2020660143089</t>
        </is>
      </c>
      <c r="C2980" t="inlineStr">
        <is>
          <t>الرياض</t>
        </is>
      </c>
      <c r="D2980" t="inlineStr">
        <is>
          <t>كلا الفترتين</t>
        </is>
      </c>
      <c r="E2980" t="n">
        <v>986</v>
      </c>
      <c r="F2980" t="b">
        <v>0</v>
      </c>
      <c r="G2980">
        <f>HYPERLINK("https://www.google.com/maps/search/?api=1&amp;query=24.83784193,46.76692573", "View Map")</f>
        <v/>
      </c>
    </row>
    <row r="2981">
      <c r="A2981" t="inlineStr">
        <is>
          <t xml:space="preserve">   مسجد الخليج .</t>
        </is>
      </c>
      <c r="B2981" t="inlineStr">
        <is>
          <t>KFM2020660190973</t>
        </is>
      </c>
      <c r="C2981" t="inlineStr">
        <is>
          <t>الرياض</t>
        </is>
      </c>
      <c r="D2981" t="inlineStr">
        <is>
          <t>كلا الفترتين</t>
        </is>
      </c>
      <c r="E2981" t="n">
        <v>986</v>
      </c>
      <c r="F2981" t="b">
        <v>1</v>
      </c>
      <c r="G2981">
        <f>HYPERLINK("https://www.google.com/maps/search/?api=1&amp;query=24.772485,46.799542", "View Map")</f>
        <v/>
      </c>
    </row>
    <row r="2982">
      <c r="A2982" t="inlineStr">
        <is>
          <t xml:space="preserve">   مسجد محمد الرشيد .</t>
        </is>
      </c>
      <c r="B2982" t="inlineStr">
        <is>
          <t>MMF2420601020211</t>
        </is>
      </c>
      <c r="C2982" t="inlineStr">
        <is>
          <t>الرياض</t>
        </is>
      </c>
      <c r="D2982" t="inlineStr">
        <is>
          <t>كلا الفترتين</t>
        </is>
      </c>
      <c r="E2982" t="n">
        <v>986</v>
      </c>
      <c r="F2982" t="b">
        <v>0</v>
      </c>
      <c r="G2982">
        <f>HYPERLINK("https://www.google.com/maps/search/?api=1&amp;query=24.72980791,46.76952738", "View Map")</f>
        <v/>
      </c>
    </row>
    <row r="2983">
      <c r="A2983" t="inlineStr">
        <is>
          <t xml:space="preserve">   مسجد الراشد .</t>
        </is>
      </c>
      <c r="B2983" t="inlineStr">
        <is>
          <t>KFM2120660301490</t>
        </is>
      </c>
      <c r="C2983" t="inlineStr">
        <is>
          <t>الرياض</t>
        </is>
      </c>
      <c r="D2983" t="inlineStr">
        <is>
          <t>كلا الفترتين</t>
        </is>
      </c>
      <c r="E2983" t="n">
        <v>986</v>
      </c>
      <c r="F2983" t="b">
        <v>1</v>
      </c>
      <c r="G2983">
        <f>HYPERLINK("https://www.google.com/maps/search/?api=1&amp;query=24.58354982,46.79117141", "View Map")</f>
        <v/>
      </c>
    </row>
    <row r="2984">
      <c r="A2984" t="inlineStr">
        <is>
          <t>مسجد/البديعة ـ المخطط السادس عشر .</t>
        </is>
      </c>
      <c r="B2984" t="inlineStr">
        <is>
          <t>KFM2020660171567</t>
        </is>
      </c>
      <c r="C2984" t="inlineStr">
        <is>
          <t>الرياض</t>
        </is>
      </c>
      <c r="D2984" t="inlineStr">
        <is>
          <t>كلا الفترتين</t>
        </is>
      </c>
      <c r="E2984" t="n">
        <v>986</v>
      </c>
      <c r="F2984" t="b">
        <v>1</v>
      </c>
      <c r="G2984">
        <f>HYPERLINK("https://www.google.com/maps/search/?api=1&amp;query=24.57867615,46.59689655", "View Map")</f>
        <v/>
      </c>
    </row>
    <row r="2985">
      <c r="A2985" t="inlineStr">
        <is>
          <t>ﻭﺯﺍﺭﺓﺍﻟﺸﺌﻭﻥ ﺍﻻﺴﻼﻤﻴﺓﻭﺍﻻﻭﻗﺎﻑ .</t>
        </is>
      </c>
      <c r="B2985" t="inlineStr">
        <is>
          <t>SMR2220661011326</t>
        </is>
      </c>
      <c r="C2985" t="inlineStr">
        <is>
          <t>الرياض</t>
        </is>
      </c>
      <c r="D2985" t="inlineStr">
        <is>
          <t>مساءا</t>
        </is>
      </c>
      <c r="E2985" t="n">
        <v>986</v>
      </c>
      <c r="F2985" t="b">
        <v>1</v>
      </c>
      <c r="G2985">
        <f>HYPERLINK("https://www.google.com/maps/search/?api=1&amp;query=24.51271581,46.62850998", "View Map")</f>
        <v/>
      </c>
    </row>
    <row r="2986">
      <c r="A2986" t="inlineStr">
        <is>
          <t>مسجد      عبالله     بن عمر .</t>
        </is>
      </c>
      <c r="B2986" t="inlineStr">
        <is>
          <t>KFM2020660015367</t>
        </is>
      </c>
      <c r="C2986" t="inlineStr">
        <is>
          <t>الرياض</t>
        </is>
      </c>
      <c r="D2986" t="inlineStr">
        <is>
          <t>كلا الفترتين</t>
        </is>
      </c>
      <c r="E2986" t="n">
        <v>985</v>
      </c>
      <c r="F2986" t="b">
        <v>0</v>
      </c>
      <c r="G2986">
        <f>HYPERLINK("https://www.google.com/maps/search/?api=1&amp;query=24.59448663,46.59176744", "View Map")</f>
        <v/>
      </c>
    </row>
    <row r="2987">
      <c r="A2987" t="inlineStr">
        <is>
          <t>مسجد الشنفرى .</t>
        </is>
      </c>
      <c r="B2987" t="inlineStr">
        <is>
          <t>KFM2020660006598</t>
        </is>
      </c>
      <c r="C2987" t="inlineStr">
        <is>
          <t>الرياض</t>
        </is>
      </c>
      <c r="D2987" t="inlineStr">
        <is>
          <t>كلا الفترتين</t>
        </is>
      </c>
      <c r="E2987" t="n">
        <v>985</v>
      </c>
      <c r="F2987" t="b">
        <v>0</v>
      </c>
      <c r="G2987">
        <f>HYPERLINK("https://www.google.com/maps/search/?api=1&amp;query=24.57079633,46.64131907", "View Map")</f>
        <v/>
      </c>
    </row>
    <row r="2988">
      <c r="A2988" t="inlineStr">
        <is>
          <t xml:space="preserve">   مسجد زيد المليحي .</t>
        </is>
      </c>
      <c r="B2988" t="inlineStr">
        <is>
          <t>KFM2020660056682</t>
        </is>
      </c>
      <c r="C2988" t="inlineStr">
        <is>
          <t>الرياض</t>
        </is>
      </c>
      <c r="D2988" t="inlineStr">
        <is>
          <t>كلا الفترتين</t>
        </is>
      </c>
      <c r="E2988" t="n">
        <v>984</v>
      </c>
      <c r="F2988" t="b">
        <v>0</v>
      </c>
      <c r="G2988">
        <f>HYPERLINK("https://www.google.com/maps/search/?api=1&amp;query=24.72735672,46.84309459", "View Map")</f>
        <v/>
      </c>
    </row>
    <row r="2989">
      <c r="A2989" t="inlineStr">
        <is>
          <t>مسجدالامير عبدالرحمن عبدالله .</t>
        </is>
      </c>
      <c r="B2989" t="inlineStr">
        <is>
          <t>KFM2020660201627</t>
        </is>
      </c>
      <c r="C2989" t="inlineStr">
        <is>
          <t>الرياض</t>
        </is>
      </c>
      <c r="D2989" t="inlineStr">
        <is>
          <t>كلا الفترتين</t>
        </is>
      </c>
      <c r="E2989" t="n">
        <v>983</v>
      </c>
      <c r="F2989" t="b">
        <v>0</v>
      </c>
      <c r="G2989">
        <f>HYPERLINK("https://www.google.com/maps/search/?api=1&amp;query=24.63232005,46.69495721", "View Map")</f>
        <v/>
      </c>
    </row>
    <row r="2990">
      <c r="A2990" t="inlineStr">
        <is>
          <t xml:space="preserve">   مسجد سفيان بن عون .</t>
        </is>
      </c>
      <c r="B2990" t="inlineStr">
        <is>
          <t>KFM2120660305454</t>
        </is>
      </c>
      <c r="C2990" t="inlineStr">
        <is>
          <t>الرياض</t>
        </is>
      </c>
      <c r="D2990" t="inlineStr">
        <is>
          <t>كلا الفترتين</t>
        </is>
      </c>
      <c r="E2990" t="n">
        <v>983</v>
      </c>
      <c r="F2990" t="b">
        <v>1</v>
      </c>
      <c r="G2990">
        <f>HYPERLINK("https://www.google.com/maps/search/?api=1&amp;query=24.58815505,46.78042521", "View Map")</f>
        <v/>
      </c>
    </row>
    <row r="2991">
      <c r="A2991" t="inlineStr">
        <is>
          <t xml:space="preserve">   مسجد خالد بن الوليد .</t>
        </is>
      </c>
      <c r="B2991" t="inlineStr">
        <is>
          <t>KFM2020660193484</t>
        </is>
      </c>
      <c r="C2991" t="inlineStr">
        <is>
          <t>الرياض</t>
        </is>
      </c>
      <c r="D2991" t="inlineStr">
        <is>
          <t>كلا الفترتين</t>
        </is>
      </c>
      <c r="E2991" t="n">
        <v>983</v>
      </c>
      <c r="F2991" t="b">
        <v>1</v>
      </c>
      <c r="G2991">
        <f>HYPERLINK("https://www.google.com/maps/search/?api=1&amp;query=24.69569309,46.86418031", "View Map")</f>
        <v/>
      </c>
    </row>
    <row r="2992">
      <c r="A2992" t="inlineStr">
        <is>
          <t>ﻤﺴﺎﺠﺩ .</t>
        </is>
      </c>
      <c r="B2992" t="inlineStr">
        <is>
          <t>KFM2120660281738</t>
        </is>
      </c>
      <c r="C2992" t="inlineStr">
        <is>
          <t>الرياض</t>
        </is>
      </c>
      <c r="D2992" t="inlineStr">
        <is>
          <t>كلا الفترتين</t>
        </is>
      </c>
      <c r="E2992" t="n">
        <v>982</v>
      </c>
      <c r="F2992" t="b">
        <v>0</v>
      </c>
      <c r="G2992">
        <f>HYPERLINK("https://www.google.com/maps/search/?api=1&amp;query=24.5894657,46.79147885", "View Map")</f>
        <v/>
      </c>
    </row>
    <row r="2993">
      <c r="A2993" t="inlineStr">
        <is>
          <t xml:space="preserve">   مسجد حلة /فهد بن سعود .</t>
        </is>
      </c>
      <c r="B2993" t="inlineStr">
        <is>
          <t>KFM2120660246605</t>
        </is>
      </c>
      <c r="C2993" t="inlineStr">
        <is>
          <t>الرياض</t>
        </is>
      </c>
      <c r="D2993" t="inlineStr">
        <is>
          <t>كلا الفترتين</t>
        </is>
      </c>
      <c r="E2993" t="n">
        <v>982</v>
      </c>
      <c r="F2993" t="b">
        <v>0</v>
      </c>
      <c r="G2993">
        <f>HYPERLINK("https://www.google.com/maps/search/?api=1&amp;query=24.62667488,46.72991488", "View Map")</f>
        <v/>
      </c>
    </row>
    <row r="2994">
      <c r="A2994" t="inlineStr">
        <is>
          <t>ﻤﺴﺎﺠﺩ .</t>
        </is>
      </c>
      <c r="B2994" t="inlineStr">
        <is>
          <t>KFM2120655001473</t>
        </is>
      </c>
      <c r="C2994" t="inlineStr">
        <is>
          <t>الرياض</t>
        </is>
      </c>
      <c r="D2994" t="inlineStr">
        <is>
          <t>كلا الفترتين</t>
        </is>
      </c>
      <c r="E2994" t="n">
        <v>980</v>
      </c>
      <c r="F2994" t="b">
        <v>0</v>
      </c>
      <c r="G2994">
        <f>HYPERLINK("https://www.google.com/maps/search/?api=1&amp;query=24.63545034,46.52911139", "View Map")</f>
        <v/>
      </c>
    </row>
    <row r="2995">
      <c r="A2995" t="inlineStr">
        <is>
          <t>مسجد عمر بن جغيمان .</t>
        </is>
      </c>
      <c r="B2995" t="inlineStr">
        <is>
          <t>KFM2020660056088</t>
        </is>
      </c>
      <c r="C2995" t="inlineStr">
        <is>
          <t>الرياض</t>
        </is>
      </c>
      <c r="D2995" t="inlineStr">
        <is>
          <t>كلا الفترتين</t>
        </is>
      </c>
      <c r="E2995" t="n">
        <v>980</v>
      </c>
      <c r="F2995" t="b">
        <v>0</v>
      </c>
      <c r="G2995">
        <f>HYPERLINK("https://www.google.com/maps/search/?api=1&amp;query=24.58713577,46.63702516", "View Map")</f>
        <v/>
      </c>
    </row>
    <row r="2996">
      <c r="A2996" t="inlineStr">
        <is>
          <t>ﻤﺴﺎﺠﺩ .</t>
        </is>
      </c>
      <c r="B2996" t="inlineStr">
        <is>
          <t>KFM2020660202835</t>
        </is>
      </c>
      <c r="C2996" t="inlineStr">
        <is>
          <t>الرياض</t>
        </is>
      </c>
      <c r="D2996" t="inlineStr">
        <is>
          <t>كلا الفترتين</t>
        </is>
      </c>
      <c r="E2996" t="n">
        <v>978</v>
      </c>
      <c r="F2996" t="b">
        <v>0</v>
      </c>
      <c r="G2996">
        <f>HYPERLINK("https://www.google.com/maps/search/?api=1&amp;query=24.80319,46.59429", "View Map")</f>
        <v/>
      </c>
    </row>
    <row r="2997">
      <c r="A2997" t="inlineStr">
        <is>
          <t xml:space="preserve"> مسجدالاميرة/جهير بنت بندر عبدالرحمن .</t>
        </is>
      </c>
      <c r="B2997" t="inlineStr">
        <is>
          <t>KFM2120660258281</t>
        </is>
      </c>
      <c r="C2997" t="inlineStr">
        <is>
          <t>الرياض</t>
        </is>
      </c>
      <c r="D2997" t="inlineStr">
        <is>
          <t>صباحا</t>
        </is>
      </c>
      <c r="E2997" t="n">
        <v>978</v>
      </c>
      <c r="F2997" t="b">
        <v>0</v>
      </c>
      <c r="G2997">
        <f>HYPERLINK("https://www.google.com/maps/search/?api=1&amp;query=24.73221186,46.71942778", "View Map")</f>
        <v/>
      </c>
    </row>
    <row r="2998">
      <c r="A2998" t="inlineStr">
        <is>
          <t>مسجد ابناء احمد سالم باسودان .</t>
        </is>
      </c>
      <c r="B2998" t="inlineStr">
        <is>
          <t>KFM2120660256974</t>
        </is>
      </c>
      <c r="C2998" t="inlineStr">
        <is>
          <t>الرياض</t>
        </is>
      </c>
      <c r="D2998" t="inlineStr">
        <is>
          <t>كلا الفترتين</t>
        </is>
      </c>
      <c r="E2998" t="n">
        <v>978</v>
      </c>
      <c r="F2998" t="b">
        <v>0</v>
      </c>
      <c r="G2998">
        <f>HYPERLINK("https://www.google.com/maps/search/?api=1&amp;query=24.56253719,46.80417442", "View Map")</f>
        <v/>
      </c>
    </row>
    <row r="2999">
      <c r="A2999" t="inlineStr">
        <is>
          <t xml:space="preserve">   مسجد حسن البصري .</t>
        </is>
      </c>
      <c r="B2999" t="inlineStr">
        <is>
          <t>KFM2020660091682</t>
        </is>
      </c>
      <c r="C2999" t="inlineStr">
        <is>
          <t>الرياض</t>
        </is>
      </c>
      <c r="D2999" t="inlineStr">
        <is>
          <t>كلا الفترتين</t>
        </is>
      </c>
      <c r="E2999" t="n">
        <v>977</v>
      </c>
      <c r="F2999" t="b">
        <v>0</v>
      </c>
      <c r="G2999">
        <f>HYPERLINK("https://www.google.com/maps/search/?api=1&amp;query=24.74428286,46.84156262", "View Map")</f>
        <v/>
      </c>
    </row>
    <row r="3000">
      <c r="A3000" t="inlineStr">
        <is>
          <t xml:space="preserve">   وزارة الشئون الاسلامية والاوقاف .</t>
        </is>
      </c>
      <c r="B3000" t="inlineStr">
        <is>
          <t>KFM2020660211281</t>
        </is>
      </c>
      <c r="C3000" t="inlineStr">
        <is>
          <t>الرياض</t>
        </is>
      </c>
      <c r="D3000" t="inlineStr">
        <is>
          <t>كلا الفترتين</t>
        </is>
      </c>
      <c r="E3000" t="n">
        <v>977</v>
      </c>
      <c r="F3000" t="b">
        <v>0</v>
      </c>
      <c r="G3000">
        <f>HYPERLINK("https://www.google.com/maps/search/?api=1&amp;query=24.62850456,46.53684964", "View Map")</f>
        <v/>
      </c>
    </row>
    <row r="3001">
      <c r="A3001" t="inlineStr">
        <is>
          <t xml:space="preserve">   مسجد الشماسيه/ عبدالله المرزوقي .</t>
        </is>
      </c>
      <c r="B3001" t="inlineStr">
        <is>
          <t>KFM2020660053935</t>
        </is>
      </c>
      <c r="C3001" t="inlineStr">
        <is>
          <t>الرياض</t>
        </is>
      </c>
      <c r="D3001" t="inlineStr">
        <is>
          <t>كلا الفترتين</t>
        </is>
      </c>
      <c r="E3001" t="n">
        <v>977</v>
      </c>
      <c r="F3001" t="b">
        <v>0</v>
      </c>
      <c r="G3001">
        <f>HYPERLINK("https://www.google.com/maps/search/?api=1&amp;query=24.62752315,46.73811851", "View Map")</f>
        <v/>
      </c>
    </row>
    <row r="3002">
      <c r="A3002" t="inlineStr">
        <is>
          <t>مسجدالنمله .</t>
        </is>
      </c>
      <c r="B3002" t="inlineStr">
        <is>
          <t>SMR2420761043627</t>
        </is>
      </c>
      <c r="C3002" t="inlineStr">
        <is>
          <t>الرياض</t>
        </is>
      </c>
      <c r="D3002" t="inlineStr">
        <is>
          <t>صباحا</t>
        </is>
      </c>
      <c r="E3002" t="n">
        <v>977</v>
      </c>
      <c r="F3002" t="b">
        <v>0</v>
      </c>
      <c r="G3002">
        <f>HYPERLINK("https://www.google.com/maps/search/?api=1&amp;query=24.61971784,46.68514775", "View Map")</f>
        <v/>
      </c>
    </row>
    <row r="3003">
      <c r="A3003" t="inlineStr">
        <is>
          <t xml:space="preserve">   مسجد الامير محمد بن عبدالعزيز .</t>
        </is>
      </c>
      <c r="B3003" t="inlineStr">
        <is>
          <t>KFM2020660025595</t>
        </is>
      </c>
      <c r="C3003" t="inlineStr">
        <is>
          <t>الرياض</t>
        </is>
      </c>
      <c r="D3003" t="inlineStr">
        <is>
          <t>كلا الفترتين</t>
        </is>
      </c>
      <c r="E3003" t="n">
        <v>976</v>
      </c>
      <c r="F3003" t="b">
        <v>0</v>
      </c>
      <c r="G3003">
        <f>HYPERLINK("https://www.google.com/maps/search/?api=1&amp;query=24.77459634,46.81577275", "View Map")</f>
        <v/>
      </c>
    </row>
    <row r="3004">
      <c r="A3004" t="inlineStr">
        <is>
          <t xml:space="preserve">   مسجد حي الملك عبدالعزيز .</t>
        </is>
      </c>
      <c r="B3004" t="inlineStr">
        <is>
          <t>KFM2020660209339</t>
        </is>
      </c>
      <c r="C3004" t="inlineStr">
        <is>
          <t>الرياض</t>
        </is>
      </c>
      <c r="D3004" t="inlineStr">
        <is>
          <t>كلا الفترتين</t>
        </is>
      </c>
      <c r="E3004" t="n">
        <v>976</v>
      </c>
      <c r="F3004" t="b">
        <v>0</v>
      </c>
      <c r="G3004">
        <f>HYPERLINK("https://www.google.com/maps/search/?api=1&amp;query=24.69886074,46.73569242", "View Map")</f>
        <v/>
      </c>
    </row>
    <row r="3005">
      <c r="A3005" t="inlineStr">
        <is>
          <t xml:space="preserve">   مسجد الفوزان .</t>
        </is>
      </c>
      <c r="B3005" t="inlineStr">
        <is>
          <t>KFM2020660043633</t>
        </is>
      </c>
      <c r="C3005" t="inlineStr">
        <is>
          <t>الرياض</t>
        </is>
      </c>
      <c r="D3005" t="inlineStr">
        <is>
          <t>كلا الفترتين</t>
        </is>
      </c>
      <c r="E3005" t="n">
        <v>975</v>
      </c>
      <c r="F3005" t="b">
        <v>0</v>
      </c>
      <c r="G3005">
        <f>HYPERLINK("https://www.google.com/maps/search/?api=1&amp;query=24.65881153,46.74571539", "View Map")</f>
        <v/>
      </c>
    </row>
    <row r="3006">
      <c r="A3006" t="inlineStr">
        <is>
          <t xml:space="preserve">   مسجدالعزيزيه عبدالمحسن ال الشيخ .</t>
        </is>
      </c>
      <c r="B3006" t="inlineStr">
        <is>
          <t>KFM2020660162189</t>
        </is>
      </c>
      <c r="C3006" t="inlineStr">
        <is>
          <t>الرياض</t>
        </is>
      </c>
      <c r="D3006" t="inlineStr">
        <is>
          <t>كلا الفترتين</t>
        </is>
      </c>
      <c r="E3006" t="n">
        <v>975</v>
      </c>
      <c r="F3006" t="b">
        <v>0</v>
      </c>
      <c r="G3006">
        <f>HYPERLINK("https://www.google.com/maps/search/?api=1&amp;query=24.57482822,46.7925692", "View Map")</f>
        <v/>
      </c>
    </row>
    <row r="3007">
      <c r="A3007" t="inlineStr">
        <is>
          <t xml:space="preserve">   مسجد أبوهريره .</t>
        </is>
      </c>
      <c r="B3007" t="inlineStr">
        <is>
          <t>KFM2020660190138</t>
        </is>
      </c>
      <c r="C3007" t="inlineStr">
        <is>
          <t>الرياض</t>
        </is>
      </c>
      <c r="D3007" t="inlineStr">
        <is>
          <t>كلا الفترتين</t>
        </is>
      </c>
      <c r="E3007" t="n">
        <v>973</v>
      </c>
      <c r="F3007" t="b">
        <v>0</v>
      </c>
      <c r="G3007">
        <f>HYPERLINK("https://www.google.com/maps/search/?api=1&amp;query=24.74695602,46.83085874", "View Map")</f>
        <v/>
      </c>
    </row>
    <row r="3008">
      <c r="A3008" t="inlineStr">
        <is>
          <t xml:space="preserve">    مسجد حبيب بحي غرناطه .</t>
        </is>
      </c>
      <c r="B3008" t="inlineStr">
        <is>
          <t>KFM2020660170659</t>
        </is>
      </c>
      <c r="C3008" t="inlineStr">
        <is>
          <t>الرياض</t>
        </is>
      </c>
      <c r="D3008" t="inlineStr">
        <is>
          <t>كلا الفترتين</t>
        </is>
      </c>
      <c r="E3008" t="n">
        <v>973</v>
      </c>
      <c r="F3008" t="b">
        <v>0</v>
      </c>
      <c r="G3008">
        <f>HYPERLINK("https://www.google.com/maps/search/?api=1&amp;query=24.79117748,46.73424738", "View Map")</f>
        <v/>
      </c>
    </row>
    <row r="3009">
      <c r="A3009" t="inlineStr">
        <is>
          <t>مسجد حمد  عبدالله    الموسى .</t>
        </is>
      </c>
      <c r="B3009" t="inlineStr">
        <is>
          <t>KFM2020660051677</t>
        </is>
      </c>
      <c r="C3009" t="inlineStr">
        <is>
          <t>الرياض</t>
        </is>
      </c>
      <c r="D3009" t="inlineStr">
        <is>
          <t>كلا الفترتين</t>
        </is>
      </c>
      <c r="E3009" t="n">
        <v>973</v>
      </c>
      <c r="F3009" t="b">
        <v>0</v>
      </c>
      <c r="G3009">
        <f>HYPERLINK("https://www.google.com/maps/search/?api=1&amp;query=24.61869495,46.65447809", "View Map")</f>
        <v/>
      </c>
    </row>
    <row r="3010">
      <c r="A3010" t="inlineStr">
        <is>
          <t xml:space="preserve">   مسجد حي الروضه .</t>
        </is>
      </c>
      <c r="B3010" t="inlineStr">
        <is>
          <t>KFM2020660054504</t>
        </is>
      </c>
      <c r="C3010" t="inlineStr">
        <is>
          <t>الرياض</t>
        </is>
      </c>
      <c r="D3010" t="inlineStr">
        <is>
          <t>كلا الفترتين</t>
        </is>
      </c>
      <c r="E3010" t="n">
        <v>972</v>
      </c>
      <c r="F3010" t="b">
        <v>0</v>
      </c>
      <c r="G3010">
        <f>HYPERLINK("https://www.google.com/maps/search/?api=1&amp;query=24.74503079,46.77066792", "View Map")</f>
        <v/>
      </c>
    </row>
    <row r="3011">
      <c r="A3011" t="inlineStr">
        <is>
          <t>ﻤﺴﺎﺠﺩ .</t>
        </is>
      </c>
      <c r="B3011" t="inlineStr">
        <is>
          <t>KFM2120660255511</t>
        </is>
      </c>
      <c r="C3011" t="inlineStr">
        <is>
          <t>الرياض</t>
        </is>
      </c>
      <c r="D3011" t="inlineStr">
        <is>
          <t>كلا الفترتين</t>
        </is>
      </c>
      <c r="E3011" t="n">
        <v>972</v>
      </c>
      <c r="F3011" t="b">
        <v>0</v>
      </c>
      <c r="G3011">
        <f>HYPERLINK("https://www.google.com/maps/search/?api=1&amp;query=24.64531683,46.66312484", "View Map")</f>
        <v/>
      </c>
    </row>
    <row r="3012">
      <c r="A3012" t="inlineStr">
        <is>
          <t>مسجد بن الهدى .</t>
        </is>
      </c>
      <c r="B3012" t="inlineStr">
        <is>
          <t>KFM2020660203508</t>
        </is>
      </c>
      <c r="C3012" t="inlineStr">
        <is>
          <t>الرياض</t>
        </is>
      </c>
      <c r="D3012" t="inlineStr">
        <is>
          <t>كلا الفترتين</t>
        </is>
      </c>
      <c r="E3012" t="n">
        <v>971</v>
      </c>
      <c r="F3012" t="b">
        <v>0</v>
      </c>
      <c r="G3012">
        <f>HYPERLINK("https://www.google.com/maps/search/?api=1&amp;query=24.59258883,46.53948231", "View Map")</f>
        <v/>
      </c>
    </row>
    <row r="3013">
      <c r="A3013" t="inlineStr">
        <is>
          <t>ﻤﺴﺎﺠﺩ .</t>
        </is>
      </c>
      <c r="B3013" t="inlineStr">
        <is>
          <t>SMR2220661007022</t>
        </is>
      </c>
      <c r="C3013" t="inlineStr">
        <is>
          <t>الرياض</t>
        </is>
      </c>
      <c r="D3013" t="inlineStr">
        <is>
          <t>كلا الفترتين</t>
        </is>
      </c>
      <c r="E3013" t="n">
        <v>971</v>
      </c>
      <c r="F3013" t="b">
        <v>0</v>
      </c>
      <c r="G3013">
        <f>HYPERLINK("https://www.google.com/maps/search/?api=1&amp;query=24.55423742,46.79322969", "View Map")</f>
        <v/>
      </c>
    </row>
    <row r="3014">
      <c r="A3014" t="inlineStr">
        <is>
          <t xml:space="preserve">   مسجد سليمان المشوح .</t>
        </is>
      </c>
      <c r="B3014" t="inlineStr">
        <is>
          <t>KFM2120660295348</t>
        </is>
      </c>
      <c r="C3014" t="inlineStr">
        <is>
          <t>الرياض</t>
        </is>
      </c>
      <c r="D3014" t="inlineStr">
        <is>
          <t>كلا الفترتين</t>
        </is>
      </c>
      <c r="E3014" t="n">
        <v>971</v>
      </c>
      <c r="F3014" t="b">
        <v>0</v>
      </c>
      <c r="G3014">
        <f>HYPERLINK("https://www.google.com/maps/search/?api=1&amp;query=24.60180245,46.75935465", "View Map")</f>
        <v/>
      </c>
    </row>
    <row r="3015">
      <c r="A3015" t="inlineStr">
        <is>
          <t xml:space="preserve">   مسجد      أبي       هريره .</t>
        </is>
      </c>
      <c r="B3015" t="inlineStr">
        <is>
          <t>KFM2020660124987</t>
        </is>
      </c>
      <c r="C3015" t="inlineStr">
        <is>
          <t>الرياض</t>
        </is>
      </c>
      <c r="D3015" t="inlineStr">
        <is>
          <t>كلا الفترتين</t>
        </is>
      </c>
      <c r="E3015" t="n">
        <v>971</v>
      </c>
      <c r="F3015" t="b">
        <v>0</v>
      </c>
      <c r="G3015">
        <f>HYPERLINK("https://www.google.com/maps/search/?api=1&amp;query=24.74331575,46.77019181", "View Map")</f>
        <v/>
      </c>
    </row>
    <row r="3016">
      <c r="A3016" t="inlineStr">
        <is>
          <t xml:space="preserve">   مسجد حي الخليج .</t>
        </is>
      </c>
      <c r="B3016" t="inlineStr">
        <is>
          <t>KFM2020660040804</t>
        </is>
      </c>
      <c r="C3016" t="inlineStr">
        <is>
          <t>الرياض</t>
        </is>
      </c>
      <c r="D3016" t="inlineStr">
        <is>
          <t>كلا الفترتين</t>
        </is>
      </c>
      <c r="E3016" t="n">
        <v>971</v>
      </c>
      <c r="F3016" t="b">
        <v>0</v>
      </c>
      <c r="G3016">
        <f>HYPERLINK("https://www.google.com/maps/search/?api=1&amp;query=24.78303832,46.82619822", "View Map")</f>
        <v/>
      </c>
    </row>
    <row r="3017">
      <c r="A3017" t="inlineStr">
        <is>
          <t>.    مسجد      الخضير .</t>
        </is>
      </c>
      <c r="B3017" t="inlineStr">
        <is>
          <t>KFM2020660115773</t>
        </is>
      </c>
      <c r="C3017" t="inlineStr">
        <is>
          <t>الرياض</t>
        </is>
      </c>
      <c r="D3017" t="inlineStr">
        <is>
          <t>كلا الفترتين</t>
        </is>
      </c>
      <c r="E3017" t="n">
        <v>970</v>
      </c>
      <c r="F3017" t="b">
        <v>0</v>
      </c>
      <c r="G3017">
        <f>HYPERLINK("https://www.google.com/maps/search/?api=1&amp;query=24.5394457,46.73131103", "View Map")</f>
        <v/>
      </c>
    </row>
    <row r="3018">
      <c r="A3018" t="inlineStr">
        <is>
          <t xml:space="preserve">   مسجد حمد عبدالرحمن العبرة .</t>
        </is>
      </c>
      <c r="B3018" t="inlineStr">
        <is>
          <t>KFM2020660035152</t>
        </is>
      </c>
      <c r="C3018" t="inlineStr">
        <is>
          <t>الرياض</t>
        </is>
      </c>
      <c r="D3018" t="inlineStr">
        <is>
          <t>كلا الفترتين</t>
        </is>
      </c>
      <c r="E3018" t="n">
        <v>970</v>
      </c>
      <c r="F3018" t="b">
        <v>1</v>
      </c>
      <c r="G3018">
        <f>HYPERLINK("https://www.google.com/maps/search/?api=1&amp;query=24.7942456,46.89612415", "View Map")</f>
        <v/>
      </c>
    </row>
    <row r="3019">
      <c r="A3019" t="inlineStr">
        <is>
          <t xml:space="preserve">   مسجدالتقوى .</t>
        </is>
      </c>
      <c r="B3019" t="inlineStr">
        <is>
          <t>KFM2120660260370</t>
        </is>
      </c>
      <c r="C3019" t="inlineStr">
        <is>
          <t>الرياض</t>
        </is>
      </c>
      <c r="D3019" t="inlineStr">
        <is>
          <t>كلا الفترتين</t>
        </is>
      </c>
      <c r="E3019" t="n">
        <v>970</v>
      </c>
      <c r="F3019" t="b">
        <v>0</v>
      </c>
      <c r="G3019">
        <f>HYPERLINK("https://www.google.com/maps/search/?api=1&amp;query=24.58374663,46.77050141", "View Map")</f>
        <v/>
      </c>
    </row>
    <row r="3020">
      <c r="A3020" t="inlineStr">
        <is>
          <t xml:space="preserve">   مسجدالشيخ عبدالله ناصرالعمار .</t>
        </is>
      </c>
      <c r="B3020" t="inlineStr">
        <is>
          <t>KFM2020760029128</t>
        </is>
      </c>
      <c r="C3020" t="inlineStr">
        <is>
          <t>الرياض</t>
        </is>
      </c>
      <c r="D3020" t="inlineStr">
        <is>
          <t>كلا الفترتين</t>
        </is>
      </c>
      <c r="E3020" t="n">
        <v>969</v>
      </c>
      <c r="F3020" t="b">
        <v>0</v>
      </c>
      <c r="G3020">
        <f>HYPERLINK("https://www.google.com/maps/search/?api=1&amp;query=24.65770817,46.67264942", "View Map")</f>
        <v/>
      </c>
    </row>
    <row r="3021">
      <c r="A3021" t="inlineStr">
        <is>
          <t xml:space="preserve">   مسجد حي السلام .</t>
        </is>
      </c>
      <c r="B3021" t="inlineStr">
        <is>
          <t>KFM2020660036512</t>
        </is>
      </c>
      <c r="C3021" t="inlineStr">
        <is>
          <t>الرياض</t>
        </is>
      </c>
      <c r="D3021" t="inlineStr">
        <is>
          <t>كلا الفترتين</t>
        </is>
      </c>
      <c r="E3021" t="n">
        <v>969</v>
      </c>
      <c r="F3021" t="b">
        <v>0</v>
      </c>
      <c r="G3021">
        <f>HYPERLINK("https://www.google.com/maps/search/?api=1&amp;query=24.6949262,46.80986961", "View Map")</f>
        <v/>
      </c>
    </row>
    <row r="3022">
      <c r="A3022" t="inlineStr">
        <is>
          <t>ﻤﺴﺎﺠﺩ .</t>
        </is>
      </c>
      <c r="B3022" t="inlineStr">
        <is>
          <t>KFM2020660173945</t>
        </is>
      </c>
      <c r="C3022" t="inlineStr">
        <is>
          <t>الرياض</t>
        </is>
      </c>
      <c r="D3022" t="inlineStr">
        <is>
          <t>كلا الفترتين</t>
        </is>
      </c>
      <c r="E3022" t="n">
        <v>969</v>
      </c>
      <c r="F3022" t="b">
        <v>1</v>
      </c>
      <c r="G3022">
        <f>HYPERLINK("https://www.google.com/maps/search/?api=1&amp;query=24.89074023,46.60977969", "View Map")</f>
        <v/>
      </c>
    </row>
    <row r="3023">
      <c r="A3023" t="inlineStr">
        <is>
          <t xml:space="preserve">   مسجد باحمدان .</t>
        </is>
      </c>
      <c r="B3023" t="inlineStr">
        <is>
          <t>KFM2020660227212</t>
        </is>
      </c>
      <c r="C3023" t="inlineStr">
        <is>
          <t>الرياض</t>
        </is>
      </c>
      <c r="D3023" t="inlineStr">
        <is>
          <t>كلا الفترتين</t>
        </is>
      </c>
      <c r="E3023" t="n">
        <v>969</v>
      </c>
      <c r="F3023" t="b">
        <v>0</v>
      </c>
      <c r="G3023">
        <f>HYPERLINK("https://www.google.com/maps/search/?api=1&amp;query=24.72870018,46.68695963", "View Map")</f>
        <v/>
      </c>
    </row>
    <row r="3024">
      <c r="A3024" t="inlineStr">
        <is>
          <t xml:space="preserve">   مسجد وسكن الا مام والمؤذن .</t>
        </is>
      </c>
      <c r="B3024" t="inlineStr">
        <is>
          <t>KFM2020660192605</t>
        </is>
      </c>
      <c r="C3024" t="inlineStr">
        <is>
          <t>الرياض</t>
        </is>
      </c>
      <c r="D3024" t="inlineStr">
        <is>
          <t>كلا الفترتين</t>
        </is>
      </c>
      <c r="E3024" t="n">
        <v>969</v>
      </c>
      <c r="F3024" t="b">
        <v>0</v>
      </c>
      <c r="G3024">
        <f>HYPERLINK("https://www.google.com/maps/search/?api=1&amp;query=24.63290662,46.60971567", "View Map")</f>
        <v/>
      </c>
    </row>
    <row r="3025">
      <c r="A3025" t="inlineStr">
        <is>
          <t xml:space="preserve">   مسجد حي الملقا .</t>
        </is>
      </c>
      <c r="B3025" t="inlineStr">
        <is>
          <t>KFM2020660104192</t>
        </is>
      </c>
      <c r="C3025" t="inlineStr">
        <is>
          <t>الرياض</t>
        </is>
      </c>
      <c r="D3025" t="inlineStr">
        <is>
          <t>كلا الفترتين</t>
        </is>
      </c>
      <c r="E3025" t="n">
        <v>968</v>
      </c>
      <c r="F3025" t="b">
        <v>0</v>
      </c>
      <c r="G3025">
        <f>HYPERLINK("https://www.google.com/maps/search/?api=1&amp;query=24.7992866,46.62638328", "View Map")</f>
        <v/>
      </c>
    </row>
    <row r="3026">
      <c r="A3026" t="inlineStr">
        <is>
          <t>مسجد الوقيان .</t>
        </is>
      </c>
      <c r="B3026" t="inlineStr">
        <is>
          <t>KFM2020660013886</t>
        </is>
      </c>
      <c r="C3026" t="inlineStr">
        <is>
          <t>الرياض</t>
        </is>
      </c>
      <c r="D3026" t="inlineStr">
        <is>
          <t>كلا الفترتين</t>
        </is>
      </c>
      <c r="E3026" t="n">
        <v>968</v>
      </c>
      <c r="F3026" t="b">
        <v>0</v>
      </c>
      <c r="G3026">
        <f>HYPERLINK("https://www.google.com/maps/search/?api=1&amp;query=24.58059401,46.62829623", "View Map")</f>
        <v/>
      </c>
    </row>
    <row r="3027">
      <c r="A3027" t="inlineStr">
        <is>
          <t>,   مسجد      العبادله .</t>
        </is>
      </c>
      <c r="B3027" t="inlineStr">
        <is>
          <t>KFM2020660198524</t>
        </is>
      </c>
      <c r="C3027" t="inlineStr">
        <is>
          <t>الرياض</t>
        </is>
      </c>
      <c r="D3027" t="inlineStr">
        <is>
          <t>كلا الفترتين</t>
        </is>
      </c>
      <c r="E3027" t="n">
        <v>968</v>
      </c>
      <c r="F3027" t="b">
        <v>0</v>
      </c>
      <c r="G3027">
        <f>HYPERLINK("https://www.google.com/maps/search/?api=1&amp;query=24.54927959,46.66424803", "View Map")</f>
        <v/>
      </c>
    </row>
    <row r="3028">
      <c r="A3028" t="inlineStr">
        <is>
          <t xml:space="preserve">   مسـجـد جامع العباسي .</t>
        </is>
      </c>
      <c r="B3028" t="inlineStr">
        <is>
          <t>KFM2020760204010</t>
        </is>
      </c>
      <c r="C3028" t="inlineStr">
        <is>
          <t>الرياض</t>
        </is>
      </c>
      <c r="D3028" t="inlineStr">
        <is>
          <t>كلا الفترتين</t>
        </is>
      </c>
      <c r="E3028" t="n">
        <v>967</v>
      </c>
      <c r="F3028" t="b">
        <v>0</v>
      </c>
      <c r="G3028">
        <f>HYPERLINK("https://www.google.com/maps/search/?api=1&amp;query=24.65797704,46.73843886", "View Map")</f>
        <v/>
      </c>
    </row>
    <row r="3029">
      <c r="A3029" t="inlineStr">
        <is>
          <t>جامع  حسان بن ثابت .</t>
        </is>
      </c>
      <c r="B3029" t="inlineStr">
        <is>
          <t>KFM2020660053869</t>
        </is>
      </c>
      <c r="C3029" t="inlineStr">
        <is>
          <t>الرياض</t>
        </is>
      </c>
      <c r="D3029" t="inlineStr">
        <is>
          <t>كلا الفترتين</t>
        </is>
      </c>
      <c r="E3029" t="n">
        <v>965</v>
      </c>
      <c r="F3029" t="b">
        <v>0</v>
      </c>
      <c r="G3029">
        <f>HYPERLINK("https://www.google.com/maps/search/?api=1&amp;query=24.58263047,46.57392003", "View Map")</f>
        <v/>
      </c>
    </row>
    <row r="3030">
      <c r="A3030" t="inlineStr">
        <is>
          <t xml:space="preserve">   مساجد .</t>
        </is>
      </c>
      <c r="B3030" t="inlineStr">
        <is>
          <t>KFM2020660012845</t>
        </is>
      </c>
      <c r="C3030" t="inlineStr">
        <is>
          <t>الرياض</t>
        </is>
      </c>
      <c r="D3030" t="inlineStr">
        <is>
          <t>كلا الفترتين</t>
        </is>
      </c>
      <c r="E3030" t="n">
        <v>965</v>
      </c>
      <c r="F3030" t="b">
        <v>0</v>
      </c>
      <c r="G3030">
        <f>HYPERLINK("https://www.google.com/maps/search/?api=1&amp;query=24.76176439,46.60760998", "View Map")</f>
        <v/>
      </c>
    </row>
    <row r="3031">
      <c r="A3031" t="inlineStr">
        <is>
          <t>ﻭﺯﺍﺭﺓﺍﻟﺸﺌﻭﻥ ﺍﻻﺴﻼﻤﻴﺓﻭﺍﻻﻭﻗﺎﻑ .</t>
        </is>
      </c>
      <c r="B3031" t="inlineStr">
        <is>
          <t>SMR2320661033557</t>
        </is>
      </c>
      <c r="C3031" t="inlineStr">
        <is>
          <t>الرياض</t>
        </is>
      </c>
      <c r="D3031" t="inlineStr">
        <is>
          <t>كلا الفترتين</t>
        </is>
      </c>
      <c r="E3031" t="n">
        <v>965</v>
      </c>
      <c r="F3031" t="b">
        <v>1</v>
      </c>
      <c r="G3031">
        <f>HYPERLINK("https://www.google.com/maps/search/?api=1&amp;query=24.57499557,46.57905643", "View Map")</f>
        <v/>
      </c>
    </row>
    <row r="3032">
      <c r="A3032" t="inlineStr">
        <is>
          <t>وزاره      الشئون    مسجد الاحسان .</t>
        </is>
      </c>
      <c r="B3032" t="inlineStr">
        <is>
          <t>KFM2020660018926</t>
        </is>
      </c>
      <c r="C3032" t="inlineStr">
        <is>
          <t>الرياض</t>
        </is>
      </c>
      <c r="D3032" t="inlineStr">
        <is>
          <t>كلا الفترتين</t>
        </is>
      </c>
      <c r="E3032" t="n">
        <v>964</v>
      </c>
      <c r="F3032" t="b">
        <v>0</v>
      </c>
      <c r="G3032">
        <f>HYPERLINK("https://www.google.com/maps/search/?api=1&amp;query=24.57684696,46.66930151", "View Map")</f>
        <v/>
      </c>
    </row>
    <row r="3033">
      <c r="A3033" t="inlineStr">
        <is>
          <t>ﻭﺯﺍﺭﺓﺍﻟﺸﺌﻭﻥ ﺍﻻﺴﻼﻤﻴﺓﻭﺍﻻﻭﻗﺎﻑ .</t>
        </is>
      </c>
      <c r="B3033" t="inlineStr">
        <is>
          <t>SMR2120765017221</t>
        </is>
      </c>
      <c r="C3033" t="inlineStr">
        <is>
          <t>الرياض</t>
        </is>
      </c>
      <c r="D3033" t="inlineStr">
        <is>
          <t>كلا الفترتين</t>
        </is>
      </c>
      <c r="E3033" t="n">
        <v>964</v>
      </c>
      <c r="F3033" t="b">
        <v>0</v>
      </c>
      <c r="G3033">
        <f>HYPERLINK("https://www.google.com/maps/search/?api=1&amp;query=24.55363955,46.6674507", "View Map")</f>
        <v/>
      </c>
    </row>
    <row r="3034">
      <c r="A3034" t="inlineStr">
        <is>
          <t>.  مسجد      العبيدان .</t>
        </is>
      </c>
      <c r="B3034" t="inlineStr">
        <is>
          <t>KFM2020660051479</t>
        </is>
      </c>
      <c r="C3034" t="inlineStr">
        <is>
          <t>الرياض</t>
        </is>
      </c>
      <c r="D3034" t="inlineStr">
        <is>
          <t>كلا الفترتين</t>
        </is>
      </c>
      <c r="E3034" t="n">
        <v>963</v>
      </c>
      <c r="F3034" t="b">
        <v>0</v>
      </c>
      <c r="G3034">
        <f>HYPERLINK("https://www.google.com/maps/search/?api=1&amp;query=24.75242845,46.78925601", "View Map")</f>
        <v/>
      </c>
    </row>
    <row r="3035">
      <c r="A3035" t="inlineStr">
        <is>
          <t xml:space="preserve">   مسجد الامير/سعد بن عبدالعزيز .</t>
        </is>
      </c>
      <c r="B3035" t="inlineStr">
        <is>
          <t>SMR2020850072680</t>
        </is>
      </c>
      <c r="C3035" t="inlineStr">
        <is>
          <t>الرياض</t>
        </is>
      </c>
      <c r="D3035" t="inlineStr">
        <is>
          <t>كلا الفترتين</t>
        </is>
      </c>
      <c r="E3035" t="n">
        <v>963</v>
      </c>
      <c r="F3035" t="b">
        <v>0</v>
      </c>
      <c r="G3035">
        <f>HYPERLINK("https://www.google.com/maps/search/?api=1&amp;query=24.68418379,46.6508941", "View Map")</f>
        <v/>
      </c>
    </row>
    <row r="3036">
      <c r="A3036" t="inlineStr">
        <is>
          <t xml:space="preserve">   مسجدالعساف .</t>
        </is>
      </c>
      <c r="B3036" t="inlineStr">
        <is>
          <t>KFM2020660057294</t>
        </is>
      </c>
      <c r="C3036" t="inlineStr">
        <is>
          <t>الرياض</t>
        </is>
      </c>
      <c r="D3036" t="inlineStr">
        <is>
          <t>كلا الفترتين</t>
        </is>
      </c>
      <c r="E3036" t="n">
        <v>963</v>
      </c>
      <c r="F3036" t="b">
        <v>0</v>
      </c>
      <c r="G3036">
        <f>HYPERLINK("https://www.google.com/maps/search/?api=1&amp;query=24.64308693,46.73303622", "View Map")</f>
        <v/>
      </c>
    </row>
    <row r="3037">
      <c r="A3037" t="inlineStr">
        <is>
          <t xml:space="preserve">   وزارة الشؤون الاسلاميه والاوقاف .</t>
        </is>
      </c>
      <c r="B3037" t="inlineStr">
        <is>
          <t>KFM2120660257729</t>
        </is>
      </c>
      <c r="C3037" t="inlineStr">
        <is>
          <t>الرياض</t>
        </is>
      </c>
      <c r="D3037" t="inlineStr">
        <is>
          <t>كلا الفترتين</t>
        </is>
      </c>
      <c r="E3037" t="n">
        <v>963</v>
      </c>
      <c r="F3037" t="b">
        <v>0</v>
      </c>
      <c r="G3037">
        <f>HYPERLINK("https://www.google.com/maps/search/?api=1&amp;query=24.65159728,46.67097827", "View Map")</f>
        <v/>
      </c>
    </row>
    <row r="3038">
      <c r="A3038" t="inlineStr">
        <is>
          <t>مسجدالسويدي .</t>
        </is>
      </c>
      <c r="B3038" t="inlineStr">
        <is>
          <t>KFM2020660199003</t>
        </is>
      </c>
      <c r="C3038" t="inlineStr">
        <is>
          <t>الرياض</t>
        </is>
      </c>
      <c r="D3038" t="inlineStr">
        <is>
          <t>كلا الفترتين</t>
        </is>
      </c>
      <c r="E3038" t="n">
        <v>963</v>
      </c>
      <c r="F3038" t="b">
        <v>0</v>
      </c>
      <c r="G3038">
        <f>HYPERLINK("https://www.google.com/maps/search/?api=1&amp;query=24.57693748,46.6578586", "View Map")</f>
        <v/>
      </c>
    </row>
    <row r="3039">
      <c r="A3039" t="inlineStr">
        <is>
          <t xml:space="preserve">   مسجد الغريبى .</t>
        </is>
      </c>
      <c r="B3039" t="inlineStr">
        <is>
          <t>KFM2020660034618</t>
        </is>
      </c>
      <c r="C3039" t="inlineStr">
        <is>
          <t>الرياض</t>
        </is>
      </c>
      <c r="D3039" t="inlineStr">
        <is>
          <t>كلا الفترتين</t>
        </is>
      </c>
      <c r="E3039" t="n">
        <v>962</v>
      </c>
      <c r="F3039" t="b">
        <v>0</v>
      </c>
      <c r="G3039">
        <f>HYPERLINK("https://www.google.com/maps/search/?api=1&amp;query=24.61961669,46.73371283", "View Map")</f>
        <v/>
      </c>
    </row>
    <row r="3040">
      <c r="A3040" t="inlineStr">
        <is>
          <t xml:space="preserve">           جامع البصير .</t>
        </is>
      </c>
      <c r="B3040" t="inlineStr">
        <is>
          <t>KFM2020660161239</t>
        </is>
      </c>
      <c r="C3040" t="inlineStr">
        <is>
          <t>الرياض</t>
        </is>
      </c>
      <c r="D3040" t="inlineStr">
        <is>
          <t>كلا الفترتين</t>
        </is>
      </c>
      <c r="E3040" t="n">
        <v>962</v>
      </c>
      <c r="F3040" t="b">
        <v>0</v>
      </c>
      <c r="G3040">
        <f>HYPERLINK("https://www.google.com/maps/search/?api=1&amp;query=24.71148921,46.77371637", "View Map")</f>
        <v/>
      </c>
    </row>
    <row r="3041">
      <c r="A3041" t="inlineStr">
        <is>
          <t>مسجد الدخل  المحدود .</t>
        </is>
      </c>
      <c r="B3041" t="inlineStr">
        <is>
          <t>KFM2020660051583</t>
        </is>
      </c>
      <c r="C3041" t="inlineStr">
        <is>
          <t>الرياض</t>
        </is>
      </c>
      <c r="D3041" t="inlineStr">
        <is>
          <t>كلا الفترتين</t>
        </is>
      </c>
      <c r="E3041" t="n">
        <v>962</v>
      </c>
      <c r="F3041" t="b">
        <v>0</v>
      </c>
      <c r="G3041">
        <f>HYPERLINK("https://www.google.com/maps/search/?api=1&amp;query=24.5931513,46.61558166", "View Map")</f>
        <v/>
      </c>
    </row>
    <row r="3042">
      <c r="A3042" t="inlineStr">
        <is>
          <t>مسجد سمو الامير مقرن .</t>
        </is>
      </c>
      <c r="B3042" t="inlineStr">
        <is>
          <t>KFM2020660189411</t>
        </is>
      </c>
      <c r="C3042" t="inlineStr">
        <is>
          <t>الرياض</t>
        </is>
      </c>
      <c r="D3042" t="inlineStr">
        <is>
          <t>كلا الفترتين</t>
        </is>
      </c>
      <c r="E3042" t="n">
        <v>961</v>
      </c>
      <c r="F3042" t="b">
        <v>0</v>
      </c>
      <c r="G3042">
        <f>HYPERLINK("https://www.google.com/maps/search/?api=1&amp;query=24.62840099,46.69764364", "View Map")</f>
        <v/>
      </c>
    </row>
    <row r="3043">
      <c r="A3043" t="inlineStr">
        <is>
          <t xml:space="preserve">   ادارة الاوقاف والمساجد بالرياض .</t>
        </is>
      </c>
      <c r="B3043" t="inlineStr">
        <is>
          <t>KFM2120660299276</t>
        </is>
      </c>
      <c r="C3043" t="inlineStr">
        <is>
          <t>الرياض</t>
        </is>
      </c>
      <c r="D3043" t="inlineStr">
        <is>
          <t>كلا الفترتين</t>
        </is>
      </c>
      <c r="E3043" t="n">
        <v>961</v>
      </c>
      <c r="F3043" t="b">
        <v>1</v>
      </c>
      <c r="G3043">
        <f>HYPERLINK("https://www.google.com/maps/search/?api=1&amp;query=24.62069505,46.76202884", "View Map")</f>
        <v/>
      </c>
    </row>
    <row r="3044">
      <c r="A3044" t="inlineStr">
        <is>
          <t>ﻤﺴﺎﺠﺩ .</t>
        </is>
      </c>
      <c r="B3044" t="inlineStr">
        <is>
          <t>KFM2120660249219</t>
        </is>
      </c>
      <c r="C3044" t="inlineStr">
        <is>
          <t>الرياض</t>
        </is>
      </c>
      <c r="D3044" t="inlineStr">
        <is>
          <t>كلا الفترتين</t>
        </is>
      </c>
      <c r="E3044" t="n">
        <v>959</v>
      </c>
      <c r="F3044" t="b">
        <v>0</v>
      </c>
      <c r="G3044">
        <f>HYPERLINK("https://www.google.com/maps/search/?api=1&amp;query=24.86718667,46.63469465", "View Map")</f>
        <v/>
      </c>
    </row>
    <row r="3045">
      <c r="A3045" t="inlineStr">
        <is>
          <t xml:space="preserve">   مسجد      ام        الغربيه .</t>
        </is>
      </c>
      <c r="B3045" t="inlineStr">
        <is>
          <t>LYE2020830270129</t>
        </is>
      </c>
      <c r="C3045" t="inlineStr">
        <is>
          <t>الرياض</t>
        </is>
      </c>
      <c r="D3045" t="inlineStr">
        <is>
          <t>كلا الفترتين</t>
        </is>
      </c>
      <c r="E3045" t="n">
        <v>958</v>
      </c>
      <c r="F3045" t="b">
        <v>0</v>
      </c>
      <c r="G3045">
        <f>HYPERLINK("https://www.google.com/maps/search/?api=1&amp;query=24.69872224,46.65581211", "View Map")</f>
        <v/>
      </c>
    </row>
    <row r="3046">
      <c r="A3046" t="inlineStr">
        <is>
          <t>.    مسجد      عمر بن .</t>
        </is>
      </c>
      <c r="B3046" t="inlineStr">
        <is>
          <t>SMR2220661011788</t>
        </is>
      </c>
      <c r="C3046" t="inlineStr">
        <is>
          <t>الرياض</t>
        </is>
      </c>
      <c r="D3046" t="inlineStr">
        <is>
          <t>كلا الفترتين</t>
        </is>
      </c>
      <c r="E3046" t="n">
        <v>958</v>
      </c>
      <c r="F3046" t="b">
        <v>0</v>
      </c>
      <c r="G3046">
        <f>HYPERLINK("https://www.google.com/maps/search/?api=1&amp;query=24.55361765,46.71728693", "View Map")</f>
        <v/>
      </c>
    </row>
    <row r="3047">
      <c r="A3047" t="inlineStr">
        <is>
          <t>ﻤﺴﺎﺠﺩ .</t>
        </is>
      </c>
      <c r="B3047" t="inlineStr">
        <is>
          <t>KFM2120660285120</t>
        </is>
      </c>
      <c r="C3047" t="inlineStr">
        <is>
          <t>الرياض</t>
        </is>
      </c>
      <c r="D3047" t="inlineStr">
        <is>
          <t>كلا الفترتين</t>
        </is>
      </c>
      <c r="E3047" t="n">
        <v>957</v>
      </c>
      <c r="F3047" t="b">
        <v>0</v>
      </c>
      <c r="G3047">
        <f>HYPERLINK("https://www.google.com/maps/search/?api=1&amp;query=24.74941284,46.75568755", "View Map")</f>
        <v/>
      </c>
    </row>
    <row r="3048">
      <c r="A3048" t="inlineStr">
        <is>
          <t>ﻭﺯﺍﺭﺓﺍﻟﺸﺌﻭﻥ ﺍﻻﺴﻼﻤﻴﺓﻭﺍﻻﻭﻗﺎﻑ .</t>
        </is>
      </c>
      <c r="B3048" t="inlineStr">
        <is>
          <t>SMR2320661034050</t>
        </is>
      </c>
      <c r="C3048" t="inlineStr">
        <is>
          <t>الرياض</t>
        </is>
      </c>
      <c r="D3048" t="inlineStr">
        <is>
          <t>كلا الفترتين</t>
        </is>
      </c>
      <c r="E3048" t="n">
        <v>956</v>
      </c>
      <c r="F3048" t="b">
        <v>0</v>
      </c>
      <c r="G3048">
        <f>HYPERLINK("https://www.google.com/maps/search/?api=1&amp;query=24.57003182,46.55154105", "View Map")</f>
        <v/>
      </c>
    </row>
    <row r="3049">
      <c r="A3049" t="inlineStr">
        <is>
          <t xml:space="preserve">   مسجد حي الدار البيضاء .</t>
        </is>
      </c>
      <c r="B3049" t="inlineStr">
        <is>
          <t>KFM2020660162722</t>
        </is>
      </c>
      <c r="C3049" t="inlineStr">
        <is>
          <t>الرياض</t>
        </is>
      </c>
      <c r="D3049" t="inlineStr">
        <is>
          <t>كلا الفترتين</t>
        </is>
      </c>
      <c r="E3049" t="n">
        <v>956</v>
      </c>
      <c r="F3049" t="b">
        <v>0</v>
      </c>
      <c r="G3049">
        <f>HYPERLINK("https://www.google.com/maps/search/?api=1&amp;query=24.56270043,46.78574292", "View Map")</f>
        <v/>
      </c>
    </row>
    <row r="3050">
      <c r="A3050" t="inlineStr">
        <is>
          <t xml:space="preserve">   مسجد/ عمر بن الخطاب .</t>
        </is>
      </c>
      <c r="B3050" t="inlineStr">
        <is>
          <t>KFM2020660057043</t>
        </is>
      </c>
      <c r="C3050" t="inlineStr">
        <is>
          <t>الرياض</t>
        </is>
      </c>
      <c r="D3050" t="inlineStr">
        <is>
          <t>مساءا</t>
        </is>
      </c>
      <c r="E3050" t="n">
        <v>955</v>
      </c>
      <c r="F3050" t="b">
        <v>0</v>
      </c>
      <c r="G3050">
        <f>HYPERLINK("https://www.google.com/maps/search/?api=1&amp;query=24.74424173,46.83460896", "View Map")</f>
        <v/>
      </c>
    </row>
    <row r="3051">
      <c r="A3051" t="inlineStr">
        <is>
          <t>مسجد بنات عبدالله العقيلي .</t>
        </is>
      </c>
      <c r="B3051" t="inlineStr">
        <is>
          <t>KFM2120660281775</t>
        </is>
      </c>
      <c r="C3051" t="inlineStr">
        <is>
          <t>الرياض</t>
        </is>
      </c>
      <c r="D3051" t="inlineStr">
        <is>
          <t>كلا الفترتين</t>
        </is>
      </c>
      <c r="E3051" t="n">
        <v>954</v>
      </c>
      <c r="F3051" t="b">
        <v>0</v>
      </c>
      <c r="G3051">
        <f>HYPERLINK("https://www.google.com/maps/search/?api=1&amp;query=24.4126395,46.84482336", "View Map")</f>
        <v/>
      </c>
    </row>
    <row r="3052">
      <c r="A3052" t="inlineStr">
        <is>
          <t xml:space="preserve">   مسجد الفاروق .</t>
        </is>
      </c>
      <c r="B3052" t="inlineStr">
        <is>
          <t>KFM2020660190981</t>
        </is>
      </c>
      <c r="C3052" t="inlineStr">
        <is>
          <t>الرياض</t>
        </is>
      </c>
      <c r="D3052" t="inlineStr">
        <is>
          <t>كلا الفترتين</t>
        </is>
      </c>
      <c r="E3052" t="n">
        <v>954</v>
      </c>
      <c r="F3052" t="b">
        <v>0</v>
      </c>
      <c r="G3052">
        <f>HYPERLINK("https://www.google.com/maps/search/?api=1&amp;query=24.7685038,46.77489772", "View Map")</f>
        <v/>
      </c>
    </row>
    <row r="3053">
      <c r="A3053" t="inlineStr">
        <is>
          <t xml:space="preserve">   مسجد حسن الحارثى .</t>
        </is>
      </c>
      <c r="B3053" t="inlineStr">
        <is>
          <t>KFM2020660160830</t>
        </is>
      </c>
      <c r="C3053" t="inlineStr">
        <is>
          <t>الرياض</t>
        </is>
      </c>
      <c r="D3053" t="inlineStr">
        <is>
          <t>كلا الفترتين</t>
        </is>
      </c>
      <c r="E3053" t="n">
        <v>954</v>
      </c>
      <c r="F3053" t="b">
        <v>0</v>
      </c>
      <c r="G3053">
        <f>HYPERLINK("https://www.google.com/maps/search/?api=1&amp;query=24.72205847,46.69013546", "View Map")</f>
        <v/>
      </c>
    </row>
    <row r="3054">
      <c r="A3054" t="inlineStr">
        <is>
          <t xml:space="preserve">   مسجد  ناصر العريفي .</t>
        </is>
      </c>
      <c r="B3054" t="inlineStr">
        <is>
          <t>KFM2020660008750</t>
        </is>
      </c>
      <c r="C3054" t="inlineStr">
        <is>
          <t>الرياض</t>
        </is>
      </c>
      <c r="D3054" t="inlineStr">
        <is>
          <t>صباحا</t>
        </is>
      </c>
      <c r="E3054" t="n">
        <v>954</v>
      </c>
      <c r="F3054" t="b">
        <v>0</v>
      </c>
      <c r="G3054">
        <f>HYPERLINK("https://www.google.com/maps/search/?api=1&amp;query=24.83062743,46.74152634", "View Map")</f>
        <v/>
      </c>
    </row>
    <row r="3055">
      <c r="A3055" t="inlineStr">
        <is>
          <t>مسجدسلطانه .</t>
        </is>
      </c>
      <c r="B3055" t="inlineStr">
        <is>
          <t>KFM2020660171643</t>
        </is>
      </c>
      <c r="C3055" t="inlineStr">
        <is>
          <t>الرياض</t>
        </is>
      </c>
      <c r="D3055" t="inlineStr">
        <is>
          <t>كلا الفترتين</t>
        </is>
      </c>
      <c r="E3055" t="n">
        <v>951</v>
      </c>
      <c r="F3055" t="b">
        <v>0</v>
      </c>
      <c r="G3055">
        <f>HYPERLINK("https://www.google.com/maps/search/?api=1&amp;query=24.59798563,46.68248764", "View Map")</f>
        <v/>
      </c>
    </row>
    <row r="3056">
      <c r="A3056" t="inlineStr">
        <is>
          <t xml:space="preserve">   مسجدجامع العنقرى .</t>
        </is>
      </c>
      <c r="B3056" t="inlineStr">
        <is>
          <t>KFM2020660174110</t>
        </is>
      </c>
      <c r="C3056" t="inlineStr">
        <is>
          <t>الرياض</t>
        </is>
      </c>
      <c r="D3056" t="inlineStr">
        <is>
          <t>كلا الفترتين</t>
        </is>
      </c>
      <c r="E3056" t="n">
        <v>951</v>
      </c>
      <c r="F3056" t="b">
        <v>0</v>
      </c>
      <c r="G3056">
        <f>HYPERLINK("https://www.google.com/maps/search/?api=1&amp;query=24.74386157,46.69515679", "View Map")</f>
        <v/>
      </c>
    </row>
    <row r="3057">
      <c r="A3057" t="inlineStr">
        <is>
          <t>مسجد السليم .</t>
        </is>
      </c>
      <c r="B3057" t="inlineStr">
        <is>
          <t>KFM2020660023015</t>
        </is>
      </c>
      <c r="C3057" t="inlineStr">
        <is>
          <t>الرياض</t>
        </is>
      </c>
      <c r="D3057" t="inlineStr">
        <is>
          <t>كلا الفترتين</t>
        </is>
      </c>
      <c r="E3057" t="n">
        <v>950</v>
      </c>
      <c r="F3057" t="b">
        <v>0</v>
      </c>
      <c r="G3057">
        <f>HYPERLINK("https://www.google.com/maps/search/?api=1&amp;query=24.56615774,46.69931426", "View Map")</f>
        <v/>
      </c>
    </row>
    <row r="3058">
      <c r="A3058" t="inlineStr">
        <is>
          <t xml:space="preserve">   مسجد الامير/ سلطان بالنظيم .</t>
        </is>
      </c>
      <c r="B3058" t="inlineStr">
        <is>
          <t>KFM2020660174855</t>
        </is>
      </c>
      <c r="C3058" t="inlineStr">
        <is>
          <t>الرياض</t>
        </is>
      </c>
      <c r="D3058" t="inlineStr">
        <is>
          <t>كلا الفترتين</t>
        </is>
      </c>
      <c r="E3058" t="n">
        <v>950</v>
      </c>
      <c r="F3058" t="b">
        <v>0</v>
      </c>
      <c r="G3058">
        <f>HYPERLINK("https://www.google.com/maps/search/?api=1&amp;query=24.79892065,46.89519252", "View Map")</f>
        <v/>
      </c>
    </row>
    <row r="3059">
      <c r="A3059" t="inlineStr">
        <is>
          <t xml:space="preserve">   مسجد جنوب الصالحيه .</t>
        </is>
      </c>
      <c r="B3059" t="inlineStr">
        <is>
          <t>KFM2120660287227</t>
        </is>
      </c>
      <c r="C3059" t="inlineStr">
        <is>
          <t>الرياض</t>
        </is>
      </c>
      <c r="D3059" t="inlineStr">
        <is>
          <t>كلا الفترتين</t>
        </is>
      </c>
      <c r="E3059" t="n">
        <v>950</v>
      </c>
      <c r="F3059" t="b">
        <v>0</v>
      </c>
      <c r="G3059">
        <f>HYPERLINK("https://www.google.com/maps/search/?api=1&amp;query=24.6321674,46.73309895", "View Map")</f>
        <v/>
      </c>
    </row>
    <row r="3060">
      <c r="A3060" t="inlineStr">
        <is>
          <t xml:space="preserve">   مسجد حي الملك فهد .</t>
        </is>
      </c>
      <c r="B3060" t="inlineStr">
        <is>
          <t>KFM2020660227182</t>
        </is>
      </c>
      <c r="C3060" t="inlineStr">
        <is>
          <t>الرياض</t>
        </is>
      </c>
      <c r="D3060" t="inlineStr">
        <is>
          <t>صباحا</t>
        </is>
      </c>
      <c r="E3060" t="n">
        <v>949</v>
      </c>
      <c r="F3060" t="b">
        <v>0</v>
      </c>
      <c r="G3060">
        <f>HYPERLINK("https://www.google.com/maps/search/?api=1&amp;query=24.7449828,46.66923227", "View Map")</f>
        <v/>
      </c>
    </row>
    <row r="3061">
      <c r="A3061" t="inlineStr">
        <is>
          <t xml:space="preserve">   مسجد ناصر الراجحى .</t>
        </is>
      </c>
      <c r="B3061" t="inlineStr">
        <is>
          <t>KFM2020660131997</t>
        </is>
      </c>
      <c r="C3061" t="inlineStr">
        <is>
          <t>الرياض</t>
        </is>
      </c>
      <c r="D3061" t="inlineStr">
        <is>
          <t>كلا الفترتين</t>
        </is>
      </c>
      <c r="E3061" t="n">
        <v>949</v>
      </c>
      <c r="F3061" t="b">
        <v>0</v>
      </c>
      <c r="G3061">
        <f>HYPERLINK("https://www.google.com/maps/search/?api=1&amp;query=24.84298486,46.80342975", "View Map")</f>
        <v/>
      </c>
    </row>
    <row r="3062">
      <c r="A3062" t="inlineStr">
        <is>
          <t xml:space="preserve">   مسجد حي النظيم .</t>
        </is>
      </c>
      <c r="B3062" t="inlineStr">
        <is>
          <t>KFM2020660060130</t>
        </is>
      </c>
      <c r="C3062" t="inlineStr">
        <is>
          <t>الرياض</t>
        </is>
      </c>
      <c r="D3062" t="inlineStr">
        <is>
          <t>كلا الفترتين</t>
        </is>
      </c>
      <c r="E3062" t="n">
        <v>948</v>
      </c>
      <c r="F3062" t="b">
        <v>0</v>
      </c>
      <c r="G3062">
        <f>HYPERLINK("https://www.google.com/maps/search/?api=1&amp;query=24.80974365,46.88475393", "View Map")</f>
        <v/>
      </c>
    </row>
    <row r="3063">
      <c r="A3063" t="inlineStr">
        <is>
          <t>ﻭﺯﺍﺭﺓﺍﻟﺸﺌﻭﻥ ﺍﻻﺴﻼﻤﻴﺓﻭﺍﻻﻭﻗﺎﻑ .</t>
        </is>
      </c>
      <c r="B3063" t="inlineStr">
        <is>
          <t>KFM2020660038582</t>
        </is>
      </c>
      <c r="C3063" t="inlineStr">
        <is>
          <t>الرياض</t>
        </is>
      </c>
      <c r="D3063" t="inlineStr">
        <is>
          <t>كلا الفترتين</t>
        </is>
      </c>
      <c r="E3063" t="n">
        <v>948</v>
      </c>
      <c r="F3063" t="b">
        <v>0</v>
      </c>
      <c r="G3063">
        <f>HYPERLINK("https://www.google.com/maps/search/?api=1&amp;query=24.55294949,46.60694872", "View Map")</f>
        <v/>
      </c>
    </row>
    <row r="3064">
      <c r="A3064" t="inlineStr">
        <is>
          <t>مسجد المخطط السابع .</t>
        </is>
      </c>
      <c r="B3064" t="inlineStr">
        <is>
          <t>KFM2020660042347</t>
        </is>
      </c>
      <c r="C3064" t="inlineStr">
        <is>
          <t>الرياض</t>
        </is>
      </c>
      <c r="D3064" t="inlineStr">
        <is>
          <t>كلا الفترتين</t>
        </is>
      </c>
      <c r="E3064" t="n">
        <v>948</v>
      </c>
      <c r="F3064" t="b">
        <v>0</v>
      </c>
      <c r="G3064">
        <f>HYPERLINK("https://www.google.com/maps/search/?api=1&amp;query=24.5936651,46.62377144", "View Map")</f>
        <v/>
      </c>
    </row>
    <row r="3065">
      <c r="A3065" t="inlineStr">
        <is>
          <t>ﻤﺴﺎﺠﺩ .</t>
        </is>
      </c>
      <c r="B3065" t="inlineStr">
        <is>
          <t>SMR2220661007889</t>
        </is>
      </c>
      <c r="C3065" t="inlineStr">
        <is>
          <t>الرياض</t>
        </is>
      </c>
      <c r="D3065" t="inlineStr">
        <is>
          <t>كلا الفترتين</t>
        </is>
      </c>
      <c r="E3065" t="n">
        <v>947</v>
      </c>
      <c r="F3065" t="b">
        <v>1</v>
      </c>
      <c r="G3065">
        <f>HYPERLINK("https://www.google.com/maps/search/?api=1&amp;query=24.7919,46.6094", "View Map")</f>
        <v/>
      </c>
    </row>
    <row r="3066">
      <c r="A3066" t="inlineStr">
        <is>
          <t>المسجد الموقت بالسويدى .</t>
        </is>
      </c>
      <c r="B3066" t="inlineStr">
        <is>
          <t>KFM2020660051638</t>
        </is>
      </c>
      <c r="C3066" t="inlineStr">
        <is>
          <t>الرياض</t>
        </is>
      </c>
      <c r="D3066" t="inlineStr">
        <is>
          <t>كلا الفترتين</t>
        </is>
      </c>
      <c r="E3066" t="n">
        <v>947</v>
      </c>
      <c r="F3066" t="b">
        <v>0</v>
      </c>
      <c r="G3066">
        <f>HYPERLINK("https://www.google.com/maps/search/?api=1&amp;query=24.57624023,46.64218931", "View Map")</f>
        <v/>
      </c>
    </row>
    <row r="3067">
      <c r="A3067" t="inlineStr">
        <is>
          <t xml:space="preserve">   وزارة الشئؤن الاسلاميه مسجد الدار .</t>
        </is>
      </c>
      <c r="B3067" t="inlineStr">
        <is>
          <t>KFM2020660162304</t>
        </is>
      </c>
      <c r="C3067" t="inlineStr">
        <is>
          <t>الرياض</t>
        </is>
      </c>
      <c r="D3067" t="inlineStr">
        <is>
          <t>مساءا</t>
        </is>
      </c>
      <c r="E3067" t="n">
        <v>946</v>
      </c>
      <c r="F3067" t="b">
        <v>1</v>
      </c>
      <c r="G3067">
        <f>HYPERLINK("https://www.google.com/maps/search/?api=1&amp;query=24.56685625,46.77121183", "View Map")</f>
        <v/>
      </c>
    </row>
    <row r="3068">
      <c r="A3068" t="inlineStr">
        <is>
          <t xml:space="preserve">   مسجد حي المرسلات/صالح الراجحي .</t>
        </is>
      </c>
      <c r="B3068" t="inlineStr">
        <is>
          <t>KFM2020660201971</t>
        </is>
      </c>
      <c r="C3068" t="inlineStr">
        <is>
          <t>الرياض</t>
        </is>
      </c>
      <c r="D3068" t="inlineStr">
        <is>
          <t>كلا الفترتين</t>
        </is>
      </c>
      <c r="E3068" t="n">
        <v>946</v>
      </c>
      <c r="F3068" t="b">
        <v>1</v>
      </c>
      <c r="G3068">
        <f>HYPERLINK("https://www.google.com/maps/search/?api=1&amp;query=24.74523668,46.69850195", "View Map")</f>
        <v/>
      </c>
    </row>
    <row r="3069">
      <c r="A3069" t="inlineStr">
        <is>
          <t xml:space="preserve">   مسجد الحافظ .</t>
        </is>
      </c>
      <c r="B3069" t="inlineStr">
        <is>
          <t>KFM2020660212283</t>
        </is>
      </c>
      <c r="C3069" t="inlineStr">
        <is>
          <t>الرياض</t>
        </is>
      </c>
      <c r="D3069" t="inlineStr">
        <is>
          <t>كلا الفترتين</t>
        </is>
      </c>
      <c r="E3069" t="n">
        <v>946</v>
      </c>
      <c r="F3069" t="b">
        <v>0</v>
      </c>
      <c r="G3069">
        <f>HYPERLINK("https://www.google.com/maps/search/?api=1&amp;query=24.70140874,46.84621653", "View Map")</f>
        <v/>
      </c>
    </row>
    <row r="3070">
      <c r="A3070" t="inlineStr">
        <is>
          <t xml:space="preserve">   مسجد الراجحى .</t>
        </is>
      </c>
      <c r="B3070" t="inlineStr">
        <is>
          <t>KFM2120660300105</t>
        </is>
      </c>
      <c r="C3070" t="inlineStr">
        <is>
          <t>الرياض</t>
        </is>
      </c>
      <c r="D3070" t="inlineStr">
        <is>
          <t>كلا الفترتين</t>
        </is>
      </c>
      <c r="E3070" t="n">
        <v>945</v>
      </c>
      <c r="F3070" t="b">
        <v>0</v>
      </c>
      <c r="G3070">
        <f>HYPERLINK("https://www.google.com/maps/search/?api=1&amp;query=24.61300889,46.72979078", "View Map")</f>
        <v/>
      </c>
    </row>
    <row r="3071">
      <c r="A3071" t="inlineStr">
        <is>
          <t xml:space="preserve">   مسجد      الموسي    الشؤن الاسلا م .</t>
        </is>
      </c>
      <c r="B3071" t="inlineStr">
        <is>
          <t>KFM2020660099577</t>
        </is>
      </c>
      <c r="C3071" t="inlineStr">
        <is>
          <t>الرياض</t>
        </is>
      </c>
      <c r="D3071" t="inlineStr">
        <is>
          <t>كلا الفترتين</t>
        </is>
      </c>
      <c r="E3071" t="n">
        <v>945</v>
      </c>
      <c r="F3071" t="b">
        <v>0</v>
      </c>
      <c r="G3071">
        <f>HYPERLINK("https://www.google.com/maps/search/?api=1&amp;query=24.68597658,46.69043332", "View Map")</f>
        <v/>
      </c>
    </row>
    <row r="3072">
      <c r="A3072" t="inlineStr">
        <is>
          <t xml:space="preserve">   مسـجد رضوى الشمالي .</t>
        </is>
      </c>
      <c r="B3072" t="inlineStr">
        <is>
          <t>KFM2020660006164</t>
        </is>
      </c>
      <c r="C3072" t="inlineStr">
        <is>
          <t>الرياض</t>
        </is>
      </c>
      <c r="D3072" t="inlineStr">
        <is>
          <t>كلا الفترتين</t>
        </is>
      </c>
      <c r="E3072" t="n">
        <v>945</v>
      </c>
      <c r="F3072" t="b">
        <v>0</v>
      </c>
      <c r="G3072">
        <f>HYPERLINK("https://www.google.com/maps/search/?api=1&amp;query=24.73570389,46.6666034", "View Map")</f>
        <v/>
      </c>
    </row>
    <row r="3073">
      <c r="A3073" t="inlineStr">
        <is>
          <t>مسجد الدغيلبى .</t>
        </is>
      </c>
      <c r="B3073" t="inlineStr">
        <is>
          <t>KFM2020660039149</t>
        </is>
      </c>
      <c r="C3073" t="inlineStr">
        <is>
          <t>الرياض</t>
        </is>
      </c>
      <c r="D3073" t="inlineStr">
        <is>
          <t>كلا الفترتين</t>
        </is>
      </c>
      <c r="E3073" t="n">
        <v>944</v>
      </c>
      <c r="F3073" t="b">
        <v>0</v>
      </c>
      <c r="G3073">
        <f>HYPERLINK("https://www.google.com/maps/search/?api=1&amp;query=24.58425887,46.6022708", "View Map")</f>
        <v/>
      </c>
    </row>
    <row r="3074">
      <c r="A3074" t="inlineStr">
        <is>
          <t>ﻤﺴﺎﺠﺩ .</t>
        </is>
      </c>
      <c r="B3074" t="inlineStr">
        <is>
          <t>KFM2020660156156</t>
        </is>
      </c>
      <c r="C3074" t="inlineStr">
        <is>
          <t>الرياض</t>
        </is>
      </c>
      <c r="D3074" t="inlineStr">
        <is>
          <t>كلا الفترتين</t>
        </is>
      </c>
      <c r="E3074" t="n">
        <v>944</v>
      </c>
      <c r="F3074" t="b">
        <v>1</v>
      </c>
      <c r="G3074">
        <f>HYPERLINK("https://www.google.com/maps/search/?api=1&amp;query=24.67102,46.713", "View Map")</f>
        <v/>
      </c>
    </row>
    <row r="3075">
      <c r="A3075" t="inlineStr">
        <is>
          <t xml:space="preserve">   مدرسه تحفيظ القران الكريم 0التاب .</t>
        </is>
      </c>
      <c r="B3075" t="inlineStr">
        <is>
          <t>MMF2020800275858</t>
        </is>
      </c>
      <c r="C3075" t="inlineStr">
        <is>
          <t>الرياض</t>
        </is>
      </c>
      <c r="D3075" t="inlineStr">
        <is>
          <t>كلا الفترتين</t>
        </is>
      </c>
      <c r="E3075" t="n">
        <v>943</v>
      </c>
      <c r="F3075" t="b">
        <v>0</v>
      </c>
      <c r="G3075">
        <f>HYPERLINK("https://www.google.com/maps/search/?api=1&amp;query=24.67643014,46.80624134", "View Map")</f>
        <v/>
      </c>
    </row>
    <row r="3076">
      <c r="A3076" t="inlineStr">
        <is>
          <t>ﻤﺴﺎﺠﺩ .</t>
        </is>
      </c>
      <c r="B3076" t="inlineStr">
        <is>
          <t>MMF2420601020048</t>
        </is>
      </c>
      <c r="C3076" t="inlineStr">
        <is>
          <t>الرياض</t>
        </is>
      </c>
      <c r="D3076" t="inlineStr">
        <is>
          <t>كلا الفترتين</t>
        </is>
      </c>
      <c r="E3076" t="n">
        <v>943</v>
      </c>
      <c r="F3076" t="b">
        <v>0</v>
      </c>
      <c r="G3076">
        <f>HYPERLINK("https://www.google.com/maps/search/?api=1&amp;query=24.8496421,46.8398153", "View Map")</f>
        <v/>
      </c>
    </row>
    <row r="3077">
      <c r="A3077" t="inlineStr">
        <is>
          <t xml:space="preserve">   مسجدالاميرعبدالرحمن بن عبدالله .</t>
        </is>
      </c>
      <c r="B3077" t="inlineStr">
        <is>
          <t>KFM2020660232932</t>
        </is>
      </c>
      <c r="C3077" t="inlineStr">
        <is>
          <t>الرياض</t>
        </is>
      </c>
      <c r="D3077" t="inlineStr">
        <is>
          <t>كلا الفترتين</t>
        </is>
      </c>
      <c r="E3077" t="n">
        <v>942</v>
      </c>
      <c r="F3077" t="b">
        <v>1</v>
      </c>
      <c r="G3077">
        <f>HYPERLINK("https://www.google.com/maps/search/?api=1&amp;query=24.77396,46.67822", "View Map")</f>
        <v/>
      </c>
    </row>
    <row r="3078">
      <c r="A3078" t="inlineStr">
        <is>
          <t>ﻭﺯﺍﺭﺓﺍﻟﺸﺌﻭﻥ ﺍﻻﺴﻼﻤﻴﺓﻭﺍﻻﻭﻗﺎﻑ .</t>
        </is>
      </c>
      <c r="B3078" t="inlineStr">
        <is>
          <t>KFM2020660099022</t>
        </is>
      </c>
      <c r="C3078" t="inlineStr">
        <is>
          <t>الرياض</t>
        </is>
      </c>
      <c r="D3078" t="inlineStr">
        <is>
          <t>كلا الفترتين</t>
        </is>
      </c>
      <c r="E3078" t="n">
        <v>940</v>
      </c>
      <c r="F3078" t="b">
        <v>0</v>
      </c>
      <c r="G3078">
        <f>HYPERLINK("https://www.google.com/maps/search/?api=1&amp;query=24.51113535,46.68455253", "View Map")</f>
        <v/>
      </c>
    </row>
    <row r="3079">
      <c r="A3079" t="inlineStr">
        <is>
          <t xml:space="preserve">   وزارة الشؤون الأسلا مية والأوقاف .</t>
        </is>
      </c>
      <c r="B3079" t="inlineStr">
        <is>
          <t>KFM2020660208097</t>
        </is>
      </c>
      <c r="C3079" t="inlineStr">
        <is>
          <t>الدرعية</t>
        </is>
      </c>
      <c r="D3079" t="inlineStr">
        <is>
          <t>كلا الفترتين</t>
        </is>
      </c>
      <c r="E3079" t="n">
        <v>939</v>
      </c>
      <c r="F3079" t="b">
        <v>0</v>
      </c>
      <c r="G3079">
        <f>HYPERLINK("https://www.google.com/maps/search/?api=1&amp;query=24.73528109,46.51283494", "View Map")</f>
        <v/>
      </c>
    </row>
    <row r="3080">
      <c r="A3080" t="inlineStr">
        <is>
          <t xml:space="preserve">   مسجد العزيزية .</t>
        </is>
      </c>
      <c r="B3080" t="inlineStr">
        <is>
          <t>KFM2120660299543</t>
        </is>
      </c>
      <c r="C3080" t="inlineStr">
        <is>
          <t>الرياض</t>
        </is>
      </c>
      <c r="D3080" t="inlineStr">
        <is>
          <t>كلا الفترتين</t>
        </is>
      </c>
      <c r="E3080" t="n">
        <v>939</v>
      </c>
      <c r="F3080" t="b">
        <v>0</v>
      </c>
      <c r="G3080">
        <f>HYPERLINK("https://www.google.com/maps/search/?api=1&amp;query=24.58009907,46.79938808", "View Map")</f>
        <v/>
      </c>
    </row>
    <row r="3081">
      <c r="A3081" t="inlineStr">
        <is>
          <t>مسجد السويدي .</t>
        </is>
      </c>
      <c r="B3081" t="inlineStr">
        <is>
          <t>KFM2020660025822</t>
        </is>
      </c>
      <c r="C3081" t="inlineStr">
        <is>
          <t>الرياض</t>
        </is>
      </c>
      <c r="D3081" t="inlineStr">
        <is>
          <t>كلا الفترتين</t>
        </is>
      </c>
      <c r="E3081" t="n">
        <v>939</v>
      </c>
      <c r="F3081" t="b">
        <v>0</v>
      </c>
      <c r="G3081">
        <f>HYPERLINK("https://www.google.com/maps/search/?api=1&amp;query=24.5733,46.6656", "View Map")</f>
        <v/>
      </c>
    </row>
    <row r="3082">
      <c r="A3082" t="inlineStr">
        <is>
          <t xml:space="preserve">   مسجد النرجس .</t>
        </is>
      </c>
      <c r="B3082" t="inlineStr">
        <is>
          <t>KFM2120660257402</t>
        </is>
      </c>
      <c r="C3082" t="inlineStr">
        <is>
          <t>الرياض</t>
        </is>
      </c>
      <c r="D3082" t="inlineStr">
        <is>
          <t>كلا الفترتين</t>
        </is>
      </c>
      <c r="E3082" t="n">
        <v>938</v>
      </c>
      <c r="F3082" t="b">
        <v>0</v>
      </c>
      <c r="G3082">
        <f>HYPERLINK("https://www.google.com/maps/search/?api=1&amp;query=24.83245289,46.66595161", "View Map")</f>
        <v/>
      </c>
    </row>
    <row r="3083">
      <c r="A3083" t="inlineStr">
        <is>
          <t>المسجدالموقتبالدخل  المحدود .</t>
        </is>
      </c>
      <c r="B3083" t="inlineStr">
        <is>
          <t>KFM2020660043967</t>
        </is>
      </c>
      <c r="C3083" t="inlineStr">
        <is>
          <t>الرياض</t>
        </is>
      </c>
      <c r="D3083" t="inlineStr">
        <is>
          <t>كلا الفترتين</t>
        </is>
      </c>
      <c r="E3083" t="n">
        <v>938</v>
      </c>
      <c r="F3083" t="b">
        <v>0</v>
      </c>
      <c r="G3083">
        <f>HYPERLINK("https://www.google.com/maps/search/?api=1&amp;query=24.58553483,46.5749258", "View Map")</f>
        <v/>
      </c>
    </row>
    <row r="3084">
      <c r="A3084" t="inlineStr">
        <is>
          <t>مسجدانس بن مالك .</t>
        </is>
      </c>
      <c r="B3084" t="inlineStr">
        <is>
          <t>KFM2020660057914</t>
        </is>
      </c>
      <c r="C3084" t="inlineStr">
        <is>
          <t>الرياض</t>
        </is>
      </c>
      <c r="D3084" t="inlineStr">
        <is>
          <t>كلا الفترتين</t>
        </is>
      </c>
      <c r="E3084" t="n">
        <v>936</v>
      </c>
      <c r="F3084" t="b">
        <v>0</v>
      </c>
      <c r="G3084">
        <f>HYPERLINK("https://www.google.com/maps/search/?api=1&amp;query=24.61239995,46.63845061", "View Map")</f>
        <v/>
      </c>
    </row>
    <row r="3085">
      <c r="A3085" t="inlineStr">
        <is>
          <t>ﻤﺴﺎﺠﺩ .</t>
        </is>
      </c>
      <c r="B3085" t="inlineStr">
        <is>
          <t>KFM2020660061068</t>
        </is>
      </c>
      <c r="C3085" t="inlineStr">
        <is>
          <t>الرياض</t>
        </is>
      </c>
      <c r="D3085" t="inlineStr">
        <is>
          <t>كلا الفترتين</t>
        </is>
      </c>
      <c r="E3085" t="n">
        <v>936</v>
      </c>
      <c r="F3085" t="b">
        <v>0</v>
      </c>
      <c r="G3085">
        <f>HYPERLINK("https://www.google.com/maps/search/?api=1&amp;query=24.86586241,46.66731139", "View Map")</f>
        <v/>
      </c>
    </row>
    <row r="3086">
      <c r="A3086" t="inlineStr">
        <is>
          <t xml:space="preserve">   مسجد/سليمان بن على ال الشيخ .</t>
        </is>
      </c>
      <c r="B3086" t="inlineStr">
        <is>
          <t>KFM2020660224419</t>
        </is>
      </c>
      <c r="C3086" t="inlineStr">
        <is>
          <t>الرياض</t>
        </is>
      </c>
      <c r="D3086" t="inlineStr">
        <is>
          <t>كلا الفترتين</t>
        </is>
      </c>
      <c r="E3086" t="n">
        <v>936</v>
      </c>
      <c r="F3086" t="b">
        <v>0</v>
      </c>
      <c r="G3086">
        <f>HYPERLINK("https://www.google.com/maps/search/?api=1&amp;query=24.7216869,46.67750572", "View Map")</f>
        <v/>
      </c>
    </row>
    <row r="3087">
      <c r="A3087" t="inlineStr">
        <is>
          <t xml:space="preserve">   مسجد الوالدين .</t>
        </is>
      </c>
      <c r="B3087" t="inlineStr">
        <is>
          <t>KFM2020660162728</t>
        </is>
      </c>
      <c r="C3087" t="inlineStr">
        <is>
          <t>الرياض</t>
        </is>
      </c>
      <c r="D3087" t="inlineStr">
        <is>
          <t>كلا الفترتين</t>
        </is>
      </c>
      <c r="E3087" t="n">
        <v>935</v>
      </c>
      <c r="F3087" t="b">
        <v>0</v>
      </c>
      <c r="G3087">
        <f>HYPERLINK("https://www.google.com/maps/search/?api=1&amp;query=24.56871453,46.77826887", "View Map")</f>
        <v/>
      </c>
    </row>
    <row r="3088">
      <c r="A3088" t="inlineStr">
        <is>
          <t xml:space="preserve">   مسجد حي الورود .</t>
        </is>
      </c>
      <c r="B3088" t="inlineStr">
        <is>
          <t>KFM2020660206470</t>
        </is>
      </c>
      <c r="C3088" t="inlineStr">
        <is>
          <t>الرياض</t>
        </is>
      </c>
      <c r="D3088" t="inlineStr">
        <is>
          <t>صباحا</t>
        </is>
      </c>
      <c r="E3088" t="n">
        <v>935</v>
      </c>
      <c r="F3088" t="b">
        <v>0</v>
      </c>
      <c r="G3088">
        <f>HYPERLINK("https://www.google.com/maps/search/?api=1&amp;query=24.72287947,46.68626833", "View Map")</f>
        <v/>
      </c>
    </row>
    <row r="3089">
      <c r="A3089" t="inlineStr">
        <is>
          <t>ﻤﺴﺎﺠﺩ .</t>
        </is>
      </c>
      <c r="B3089" t="inlineStr">
        <is>
          <t>KFM2020760210053</t>
        </is>
      </c>
      <c r="C3089" t="inlineStr">
        <is>
          <t>الدرعية</t>
        </is>
      </c>
      <c r="D3089" t="inlineStr">
        <is>
          <t>صباحا</t>
        </is>
      </c>
      <c r="E3089" t="n">
        <v>934</v>
      </c>
      <c r="F3089" t="b">
        <v>0</v>
      </c>
      <c r="G3089">
        <f>HYPERLINK("https://www.google.com/maps/search/?api=1&amp;query=24.90337,46.43857", "View Map")</f>
        <v/>
      </c>
    </row>
    <row r="3090">
      <c r="A3090" t="inlineStr">
        <is>
          <t>ﻤﺴﺎﺠﺩ .</t>
        </is>
      </c>
      <c r="B3090" t="inlineStr">
        <is>
          <t>KFM2020660174150</t>
        </is>
      </c>
      <c r="C3090" t="inlineStr">
        <is>
          <t>الرياض</t>
        </is>
      </c>
      <c r="D3090" t="inlineStr">
        <is>
          <t>صباحا</t>
        </is>
      </c>
      <c r="E3090" t="n">
        <v>933</v>
      </c>
      <c r="F3090" t="b">
        <v>1</v>
      </c>
      <c r="G3090">
        <f>HYPERLINK("https://www.google.com/maps/search/?api=1&amp;query=24.622656,46.52221324", "View Map")</f>
        <v/>
      </c>
    </row>
    <row r="3091">
      <c r="A3091" t="inlineStr">
        <is>
          <t xml:space="preserve">   مسجد بحي النظيم .</t>
        </is>
      </c>
      <c r="B3091" t="inlineStr">
        <is>
          <t>KFM2020660174074</t>
        </is>
      </c>
      <c r="C3091" t="inlineStr">
        <is>
          <t>الرياض</t>
        </is>
      </c>
      <c r="D3091" t="inlineStr">
        <is>
          <t>كلا الفترتين</t>
        </is>
      </c>
      <c r="E3091" t="n">
        <v>932</v>
      </c>
      <c r="F3091" t="b">
        <v>0</v>
      </c>
      <c r="G3091">
        <f>HYPERLINK("https://www.google.com/maps/search/?api=1&amp;query=24.81159299,46.88636853", "View Map")</f>
        <v/>
      </c>
    </row>
    <row r="3092">
      <c r="A3092" t="inlineStr">
        <is>
          <t>مسجد / حي الديراب .</t>
        </is>
      </c>
      <c r="B3092" t="inlineStr">
        <is>
          <t>KFM2020660191331</t>
        </is>
      </c>
      <c r="C3092" t="inlineStr">
        <is>
          <t>الرياض</t>
        </is>
      </c>
      <c r="D3092" t="inlineStr">
        <is>
          <t>كلا الفترتين</t>
        </is>
      </c>
      <c r="E3092" t="n">
        <v>931</v>
      </c>
      <c r="F3092" t="b">
        <v>0</v>
      </c>
      <c r="G3092">
        <f>HYPERLINK("https://www.google.com/maps/search/?api=1&amp;query=24.48668451,46.61682834", "View Map")</f>
        <v/>
      </c>
    </row>
    <row r="3093">
      <c r="A3093" t="inlineStr">
        <is>
          <t>مسجدزيدالمخيلب  الشئون الاسلامية .</t>
        </is>
      </c>
      <c r="B3093" t="inlineStr">
        <is>
          <t>KFM2020660167666</t>
        </is>
      </c>
      <c r="C3093" t="inlineStr">
        <is>
          <t>الرياض</t>
        </is>
      </c>
      <c r="D3093" t="inlineStr">
        <is>
          <t>كلا الفترتين</t>
        </is>
      </c>
      <c r="E3093" t="n">
        <v>931</v>
      </c>
      <c r="F3093" t="b">
        <v>0</v>
      </c>
      <c r="G3093">
        <f>HYPERLINK("https://www.google.com/maps/search/?api=1&amp;query=24.53028886,46.68527284", "View Map")</f>
        <v/>
      </c>
    </row>
    <row r="3094">
      <c r="A3094" t="inlineStr">
        <is>
          <t xml:space="preserve">   مسجد                السليس .</t>
        </is>
      </c>
      <c r="B3094" t="inlineStr">
        <is>
          <t>KFM2020660057250</t>
        </is>
      </c>
      <c r="C3094" t="inlineStr">
        <is>
          <t>الرياض</t>
        </is>
      </c>
      <c r="D3094" t="inlineStr">
        <is>
          <t>كلا الفترتين</t>
        </is>
      </c>
      <c r="E3094" t="n">
        <v>930</v>
      </c>
      <c r="F3094" t="b">
        <v>0</v>
      </c>
      <c r="G3094">
        <f>HYPERLINK("https://www.google.com/maps/search/?api=1&amp;query=24.7959913,46.79859628", "View Map")</f>
        <v/>
      </c>
    </row>
    <row r="3095">
      <c r="A3095" t="inlineStr">
        <is>
          <t xml:space="preserve">   مسجد حي الروضه .</t>
        </is>
      </c>
      <c r="B3095" t="inlineStr">
        <is>
          <t>KFM2020660056762</t>
        </is>
      </c>
      <c r="C3095" t="inlineStr">
        <is>
          <t>الرياض</t>
        </is>
      </c>
      <c r="D3095" t="inlineStr">
        <is>
          <t>كلا الفترتين</t>
        </is>
      </c>
      <c r="E3095" t="n">
        <v>930</v>
      </c>
      <c r="F3095" t="b">
        <v>0</v>
      </c>
      <c r="G3095">
        <f>HYPERLINK("https://www.google.com/maps/search/?api=1&amp;query=24.72844283,46.76238456", "View Map")</f>
        <v/>
      </c>
    </row>
    <row r="3096">
      <c r="A3096" t="inlineStr">
        <is>
          <t>وزارة الشئون الاسلامية مسجد الاخلاص .</t>
        </is>
      </c>
      <c r="B3096" t="inlineStr">
        <is>
          <t>KFM2020660023757</t>
        </is>
      </c>
      <c r="C3096" t="inlineStr">
        <is>
          <t>الرياض</t>
        </is>
      </c>
      <c r="D3096" t="inlineStr">
        <is>
          <t>كلا الفترتين</t>
        </is>
      </c>
      <c r="E3096" t="n">
        <v>930</v>
      </c>
      <c r="F3096" t="b">
        <v>0</v>
      </c>
      <c r="G3096">
        <f>HYPERLINK("https://www.google.com/maps/search/?api=1&amp;query=24.56452182,46.54374322", "View Map")</f>
        <v/>
      </c>
    </row>
    <row r="3097">
      <c r="A3097" t="inlineStr">
        <is>
          <t xml:space="preserve">   مسجد مخطط 3065  مؤسسةنجمة المدان .</t>
        </is>
      </c>
      <c r="B3097" t="inlineStr">
        <is>
          <t>KFM2120660282058</t>
        </is>
      </c>
      <c r="C3097" t="inlineStr">
        <is>
          <t>الرياض</t>
        </is>
      </c>
      <c r="D3097" t="inlineStr">
        <is>
          <t>كلا الفترتين</t>
        </is>
      </c>
      <c r="E3097" t="n">
        <v>929</v>
      </c>
      <c r="F3097" t="b">
        <v>0</v>
      </c>
      <c r="G3097">
        <f>HYPERLINK("https://www.google.com/maps/search/?api=1&amp;query=24.60860153,46.83062752", "View Map")</f>
        <v/>
      </c>
    </row>
    <row r="3098">
      <c r="A3098" t="inlineStr">
        <is>
          <t>مسجد الشيخ  محمد بن عبدالوهاب .</t>
        </is>
      </c>
      <c r="B3098" t="inlineStr">
        <is>
          <t>KFM2020660053864</t>
        </is>
      </c>
      <c r="C3098" t="inlineStr">
        <is>
          <t>الرياض</t>
        </is>
      </c>
      <c r="D3098" t="inlineStr">
        <is>
          <t>كلا الفترتين</t>
        </is>
      </c>
      <c r="E3098" t="n">
        <v>929</v>
      </c>
      <c r="F3098" t="b">
        <v>0</v>
      </c>
      <c r="G3098">
        <f>HYPERLINK("https://www.google.com/maps/search/?api=1&amp;query=24.59258883,46.53948231", "View Map")</f>
        <v/>
      </c>
    </row>
    <row r="3099">
      <c r="A3099" t="inlineStr">
        <is>
          <t>مسجد السويدى  الغربى .</t>
        </is>
      </c>
      <c r="B3099" t="inlineStr">
        <is>
          <t>SMR2220661011116</t>
        </is>
      </c>
      <c r="C3099" t="inlineStr">
        <is>
          <t>الرياض</t>
        </is>
      </c>
      <c r="D3099" t="inlineStr">
        <is>
          <t>كلا الفترتين</t>
        </is>
      </c>
      <c r="E3099" t="n">
        <v>929</v>
      </c>
      <c r="F3099" t="b">
        <v>0</v>
      </c>
      <c r="G3099">
        <f>HYPERLINK("https://www.google.com/maps/search/?api=1&amp;query=24.58050568,46.65246495", "View Map")</f>
        <v/>
      </c>
    </row>
    <row r="3100">
      <c r="A3100" t="inlineStr">
        <is>
          <t>ﻤﺴﺎﺠﺩ .</t>
        </is>
      </c>
      <c r="B3100" t="inlineStr">
        <is>
          <t>KFM2020660174815</t>
        </is>
      </c>
      <c r="C3100" t="inlineStr">
        <is>
          <t>الرياض</t>
        </is>
      </c>
      <c r="D3100" t="inlineStr">
        <is>
          <t>صباحا</t>
        </is>
      </c>
      <c r="E3100" t="n">
        <v>929</v>
      </c>
      <c r="F3100" t="b">
        <v>0</v>
      </c>
      <c r="G3100">
        <f>HYPERLINK("https://www.google.com/maps/search/?api=1&amp;query=24.80933665,46.81700497", "View Map")</f>
        <v/>
      </c>
    </row>
    <row r="3101">
      <c r="A3101" t="inlineStr">
        <is>
          <t>مسجد ظهرة  البديعه .</t>
        </is>
      </c>
      <c r="B3101" t="inlineStr">
        <is>
          <t>KFM2020660038793</t>
        </is>
      </c>
      <c r="C3101" t="inlineStr">
        <is>
          <t>الرياض</t>
        </is>
      </c>
      <c r="D3101" t="inlineStr">
        <is>
          <t>كلا الفترتين</t>
        </is>
      </c>
      <c r="E3101" t="n">
        <v>929</v>
      </c>
      <c r="F3101" t="b">
        <v>0</v>
      </c>
      <c r="G3101">
        <f>HYPERLINK("https://www.google.com/maps/search/?api=1&amp;query=24.58041392,46.60736271", "View Map")</f>
        <v/>
      </c>
    </row>
    <row r="3102">
      <c r="A3102" t="inlineStr">
        <is>
          <t>ﻤﺴﺎﺠﺩ .</t>
        </is>
      </c>
      <c r="B3102" t="inlineStr">
        <is>
          <t>KFM2020660132830</t>
        </is>
      </c>
      <c r="C3102" t="inlineStr">
        <is>
          <t>الرياض</t>
        </is>
      </c>
      <c r="D3102" t="inlineStr">
        <is>
          <t>كلا الفترتين</t>
        </is>
      </c>
      <c r="E3102" t="n">
        <v>928</v>
      </c>
      <c r="F3102" t="b">
        <v>0</v>
      </c>
      <c r="G3102">
        <f>HYPERLINK("https://www.google.com/maps/search/?api=1&amp;query=24.83368578,46.78245431", "View Map")</f>
        <v/>
      </c>
    </row>
    <row r="3103">
      <c r="A3103" t="inlineStr">
        <is>
          <t xml:space="preserve">   مسجد الروضه بحي العليا .</t>
        </is>
      </c>
      <c r="B3103" t="inlineStr">
        <is>
          <t>KFM2020660051155</t>
        </is>
      </c>
      <c r="C3103" t="inlineStr">
        <is>
          <t>الرياض</t>
        </is>
      </c>
      <c r="D3103" t="inlineStr">
        <is>
          <t>كلا الفترتين</t>
        </is>
      </c>
      <c r="E3103" t="n">
        <v>927</v>
      </c>
      <c r="F3103" t="b">
        <v>1</v>
      </c>
      <c r="G3103">
        <f>HYPERLINK("https://www.google.com/maps/search/?api=1&amp;query=24.69087579,46.6892298", "View Map")</f>
        <v/>
      </c>
    </row>
    <row r="3104">
      <c r="A3104" t="inlineStr">
        <is>
          <t xml:space="preserve">   وزارة الشئون الاسلاميةمسجدسمحه .</t>
        </is>
      </c>
      <c r="B3104" t="inlineStr">
        <is>
          <t>KFM2020660196602</t>
        </is>
      </c>
      <c r="C3104" t="inlineStr">
        <is>
          <t>الدرعية</t>
        </is>
      </c>
      <c r="D3104" t="inlineStr">
        <is>
          <t>مساءا</t>
        </is>
      </c>
      <c r="E3104" t="n">
        <v>927</v>
      </c>
      <c r="F3104" t="b">
        <v>1</v>
      </c>
      <c r="G3104">
        <f>HYPERLINK("https://www.google.com/maps/search/?api=1&amp;query=24.74346695,46.58836502", "View Map")</f>
        <v/>
      </c>
    </row>
    <row r="3105">
      <c r="A3105" t="inlineStr">
        <is>
          <t xml:space="preserve">   مسجد التقوى .</t>
        </is>
      </c>
      <c r="B3105" t="inlineStr">
        <is>
          <t>KFM2020660196961</t>
        </is>
      </c>
      <c r="C3105" t="inlineStr">
        <is>
          <t>الرياض</t>
        </is>
      </c>
      <c r="D3105" t="inlineStr">
        <is>
          <t>كلا الفترتين</t>
        </is>
      </c>
      <c r="E3105" t="n">
        <v>926</v>
      </c>
      <c r="F3105" t="b">
        <v>0</v>
      </c>
      <c r="G3105">
        <f>HYPERLINK("https://www.google.com/maps/search/?api=1&amp;query=24.55603292,46.769141", "View Map")</f>
        <v/>
      </c>
    </row>
    <row r="3106">
      <c r="A3106" t="inlineStr">
        <is>
          <t>ﻭﺯﺍﺭﺓﺍﻟﺸﺌﻭﻥ ﺍﻻﺴﻼﻤﻴﺓﻭﺍﻻﻭﻗﺎﻑ .</t>
        </is>
      </c>
      <c r="B3106" t="inlineStr">
        <is>
          <t>KFM2020660098956</t>
        </is>
      </c>
      <c r="C3106" t="inlineStr">
        <is>
          <t>الرياض</t>
        </is>
      </c>
      <c r="D3106" t="inlineStr">
        <is>
          <t>كلا الفترتين</t>
        </is>
      </c>
      <c r="E3106" t="n">
        <v>926</v>
      </c>
      <c r="F3106" t="b">
        <v>0</v>
      </c>
      <c r="G3106">
        <f>HYPERLINK("https://www.google.com/maps/search/?api=1&amp;query=24.55157367,46.55716947", "View Map")</f>
        <v/>
      </c>
    </row>
    <row r="3107">
      <c r="A3107" t="inlineStr">
        <is>
          <t xml:space="preserve">   مسجد عبدالله المحيسن .</t>
        </is>
      </c>
      <c r="B3107" t="inlineStr">
        <is>
          <t>KFM2020660061535</t>
        </is>
      </c>
      <c r="C3107" t="inlineStr">
        <is>
          <t>الرياض</t>
        </is>
      </c>
      <c r="D3107" t="inlineStr">
        <is>
          <t>مساءا</t>
        </is>
      </c>
      <c r="E3107" t="n">
        <v>925</v>
      </c>
      <c r="F3107" t="b">
        <v>0</v>
      </c>
      <c r="G3107">
        <f>HYPERLINK("https://www.google.com/maps/search/?api=1&amp;query=24.77993641,46.74201362", "View Map")</f>
        <v/>
      </c>
    </row>
    <row r="3108">
      <c r="A3108" t="inlineStr">
        <is>
          <t>مسجد حارة  عبدالله  ال  سعود .</t>
        </is>
      </c>
      <c r="B3108" t="inlineStr">
        <is>
          <t>KFM2020660203689</t>
        </is>
      </c>
      <c r="C3108" t="inlineStr">
        <is>
          <t>الرياض</t>
        </is>
      </c>
      <c r="D3108" t="inlineStr">
        <is>
          <t>كلا الفترتين</t>
        </is>
      </c>
      <c r="E3108" t="n">
        <v>925</v>
      </c>
      <c r="F3108" t="b">
        <v>0</v>
      </c>
      <c r="G3108">
        <f>HYPERLINK("https://www.google.com/maps/search/?api=1&amp;query=24.59998717,46.72112617", "View Map")</f>
        <v/>
      </c>
    </row>
    <row r="3109">
      <c r="A3109" t="inlineStr">
        <is>
          <t xml:space="preserve">   مسجد/ عبدالله حمد العواد .</t>
        </is>
      </c>
      <c r="B3109" t="inlineStr">
        <is>
          <t>KFM2020660191317</t>
        </is>
      </c>
      <c r="C3109" t="inlineStr">
        <is>
          <t>الدرعية</t>
        </is>
      </c>
      <c r="D3109" t="inlineStr">
        <is>
          <t>كلا الفترتين</t>
        </is>
      </c>
      <c r="E3109" t="n">
        <v>925</v>
      </c>
      <c r="F3109" t="b">
        <v>0</v>
      </c>
      <c r="G3109">
        <f>HYPERLINK("https://www.google.com/maps/search/?api=1&amp;query=24.75406637,46.56460863", "View Map")</f>
        <v/>
      </c>
    </row>
    <row r="3110">
      <c r="A3110" t="inlineStr">
        <is>
          <t>.   مسجد      الخريجي .</t>
        </is>
      </c>
      <c r="B3110" t="inlineStr">
        <is>
          <t>KFM2020660204004</t>
        </is>
      </c>
      <c r="C3110" t="inlineStr">
        <is>
          <t>الرياض</t>
        </is>
      </c>
      <c r="D3110" t="inlineStr">
        <is>
          <t>كلا الفترتين</t>
        </is>
      </c>
      <c r="E3110" t="n">
        <v>923</v>
      </c>
      <c r="F3110" t="b">
        <v>0</v>
      </c>
      <c r="G3110">
        <f>HYPERLINK("https://www.google.com/maps/search/?api=1&amp;query=24.59339545,46.71400375", "View Map")</f>
        <v/>
      </c>
    </row>
    <row r="3111">
      <c r="A3111" t="inlineStr">
        <is>
          <t>ﻤﺴﺎﺠﺩ .</t>
        </is>
      </c>
      <c r="B3111" t="inlineStr">
        <is>
          <t>KFM2020660190915</t>
        </is>
      </c>
      <c r="C3111" t="inlineStr">
        <is>
          <t>الرياض</t>
        </is>
      </c>
      <c r="D3111" t="inlineStr">
        <is>
          <t>كلا الفترتين</t>
        </is>
      </c>
      <c r="E3111" t="n">
        <v>922</v>
      </c>
      <c r="F3111" t="b">
        <v>0</v>
      </c>
      <c r="G3111">
        <f>HYPERLINK("https://www.google.com/maps/search/?api=1&amp;query=24.73750858,46.85446625", "View Map")</f>
        <v/>
      </c>
    </row>
    <row r="3112">
      <c r="A3112" t="inlineStr">
        <is>
          <t>المسجد الموقت بالدخل  المحدود .</t>
        </is>
      </c>
      <c r="B3112" t="inlineStr">
        <is>
          <t>KFM2020660177028</t>
        </is>
      </c>
      <c r="C3112" t="inlineStr">
        <is>
          <t>الرياض</t>
        </is>
      </c>
      <c r="D3112" t="inlineStr">
        <is>
          <t>كلا الفترتين</t>
        </is>
      </c>
      <c r="E3112" t="n">
        <v>922</v>
      </c>
      <c r="F3112" t="b">
        <v>0</v>
      </c>
      <c r="G3112">
        <f>HYPERLINK("https://www.google.com/maps/search/?api=1&amp;query=24.6143053,46.60627226", "View Map")</f>
        <v/>
      </c>
    </row>
    <row r="3113">
      <c r="A3113" t="inlineStr">
        <is>
          <t>مسجد حى  الشفاء .</t>
        </is>
      </c>
      <c r="B3113" t="inlineStr">
        <is>
          <t>KFM2020660168401</t>
        </is>
      </c>
      <c r="C3113" t="inlineStr">
        <is>
          <t>الرياض</t>
        </is>
      </c>
      <c r="D3113" t="inlineStr">
        <is>
          <t>كلا الفترتين</t>
        </is>
      </c>
      <c r="E3113" t="n">
        <v>922</v>
      </c>
      <c r="F3113" t="b">
        <v>0</v>
      </c>
      <c r="G3113">
        <f>HYPERLINK("https://www.google.com/maps/search/?api=1&amp;query=24.56718292,46.69915196", "View Map")</f>
        <v/>
      </c>
    </row>
    <row r="3114">
      <c r="A3114" t="inlineStr">
        <is>
          <t>.   مسجد      البواردي .</t>
        </is>
      </c>
      <c r="B3114" t="inlineStr">
        <is>
          <t>KFM2020660051491</t>
        </is>
      </c>
      <c r="C3114" t="inlineStr">
        <is>
          <t>الرياض</t>
        </is>
      </c>
      <c r="D3114" t="inlineStr">
        <is>
          <t>كلا الفترتين</t>
        </is>
      </c>
      <c r="E3114" t="n">
        <v>920</v>
      </c>
      <c r="F3114" t="b">
        <v>0</v>
      </c>
      <c r="G3114">
        <f>HYPERLINK("https://www.google.com/maps/search/?api=1&amp;query=24.54732983,46.69480888", "View Map")</f>
        <v/>
      </c>
    </row>
    <row r="3115">
      <c r="A3115" t="inlineStr">
        <is>
          <t>ﻭﺯﺍﺭﺓﺍﻟﺸﺌﻭﻥ ﺍﻻﺴﻼﻤﻴﺓﻭﺍﻻﻭﻗﺎﻑ .</t>
        </is>
      </c>
      <c r="B3115" t="inlineStr">
        <is>
          <t>KFM2020660037834</t>
        </is>
      </c>
      <c r="C3115" t="inlineStr">
        <is>
          <t>الرياض</t>
        </is>
      </c>
      <c r="D3115" t="inlineStr">
        <is>
          <t>كلا الفترتين</t>
        </is>
      </c>
      <c r="E3115" t="n">
        <v>920</v>
      </c>
      <c r="F3115" t="b">
        <v>0</v>
      </c>
      <c r="G3115">
        <f>HYPERLINK("https://www.google.com/maps/search/?api=1&amp;query=24.594678,46.68476127", "View Map")</f>
        <v/>
      </c>
    </row>
    <row r="3116">
      <c r="A3116" t="inlineStr">
        <is>
          <t>.  مسجد      ابو هريرة .</t>
        </is>
      </c>
      <c r="B3116" t="inlineStr">
        <is>
          <t>KFM2020660049572</t>
        </is>
      </c>
      <c r="C3116" t="inlineStr">
        <is>
          <t>الرياض</t>
        </is>
      </c>
      <c r="D3116" t="inlineStr">
        <is>
          <t>كلا الفترتين</t>
        </is>
      </c>
      <c r="E3116" t="n">
        <v>919</v>
      </c>
      <c r="F3116" t="b">
        <v>0</v>
      </c>
      <c r="G3116">
        <f>HYPERLINK("https://www.google.com/maps/search/?api=1&amp;query=24.58726632,46.5549912", "View Map")</f>
        <v/>
      </c>
    </row>
    <row r="3117">
      <c r="A3117" t="inlineStr">
        <is>
          <t>ﻤﺴﺎﺠﺩ .</t>
        </is>
      </c>
      <c r="B3117" t="inlineStr">
        <is>
          <t>KFM2020660104280</t>
        </is>
      </c>
      <c r="C3117" t="inlineStr">
        <is>
          <t>الرياض</t>
        </is>
      </c>
      <c r="D3117" t="inlineStr">
        <is>
          <t>كلا الفترتين</t>
        </is>
      </c>
      <c r="E3117" t="n">
        <v>918</v>
      </c>
      <c r="F3117" t="b">
        <v>0</v>
      </c>
      <c r="G3117">
        <f>HYPERLINK("https://www.google.com/maps/search/?api=1&amp;query=24.81787382,46.65766194", "View Map")</f>
        <v/>
      </c>
    </row>
    <row r="3118">
      <c r="A3118" t="inlineStr">
        <is>
          <t xml:space="preserve">   مسجدحي السعاده .</t>
        </is>
      </c>
      <c r="B3118" t="inlineStr">
        <is>
          <t>KFM2020660031545</t>
        </is>
      </c>
      <c r="C3118" t="inlineStr">
        <is>
          <t>الرياض</t>
        </is>
      </c>
      <c r="D3118" t="inlineStr">
        <is>
          <t>كلا الفترتين</t>
        </is>
      </c>
      <c r="E3118" t="n">
        <v>917</v>
      </c>
      <c r="F3118" t="b">
        <v>0</v>
      </c>
      <c r="G3118">
        <f>HYPERLINK("https://www.google.com/maps/search/?api=1&amp;query=24.69724133,46.85432507", "View Map")</f>
        <v/>
      </c>
    </row>
    <row r="3119">
      <c r="A3119" t="inlineStr">
        <is>
          <t xml:space="preserve">   مسجد الخالدية .</t>
        </is>
      </c>
      <c r="B3119" t="inlineStr">
        <is>
          <t>KFM2120660236482</t>
        </is>
      </c>
      <c r="C3119" t="inlineStr">
        <is>
          <t>الرياض</t>
        </is>
      </c>
      <c r="D3119" t="inlineStr">
        <is>
          <t>مساءا</t>
        </is>
      </c>
      <c r="E3119" t="n">
        <v>917</v>
      </c>
      <c r="F3119" t="b">
        <v>0</v>
      </c>
      <c r="G3119">
        <f>HYPERLINK("https://www.google.com/maps/search/?api=1&amp;query=24.62817747,46.7545185", "View Map")</f>
        <v/>
      </c>
    </row>
    <row r="3120">
      <c r="A3120" t="inlineStr">
        <is>
          <t>ﻤﺴﺎﺠﺩ .</t>
        </is>
      </c>
      <c r="B3120" t="inlineStr">
        <is>
          <t>SMR2220661001757</t>
        </is>
      </c>
      <c r="C3120" t="inlineStr">
        <is>
          <t>الرياض</t>
        </is>
      </c>
      <c r="D3120" t="inlineStr">
        <is>
          <t>كلا الفترتين</t>
        </is>
      </c>
      <c r="E3120" t="n">
        <v>917</v>
      </c>
      <c r="F3120" t="b">
        <v>0</v>
      </c>
      <c r="G3120">
        <f>HYPERLINK("https://www.google.com/maps/search/?api=1&amp;query=24.77329,46.64554", "View Map")</f>
        <v/>
      </c>
    </row>
    <row r="3121">
      <c r="A3121" t="inlineStr">
        <is>
          <t xml:space="preserve">   مساجد .</t>
        </is>
      </c>
      <c r="B3121" t="inlineStr">
        <is>
          <t>KFM2020660211312</t>
        </is>
      </c>
      <c r="C3121" t="inlineStr">
        <is>
          <t>الرياض</t>
        </is>
      </c>
      <c r="D3121" t="inlineStr">
        <is>
          <t>كلا الفترتين</t>
        </is>
      </c>
      <c r="E3121" t="n">
        <v>915</v>
      </c>
      <c r="F3121" t="b">
        <v>0</v>
      </c>
      <c r="G3121">
        <f>HYPERLINK("https://www.google.com/maps/search/?api=1&amp;query=24.64349622,46.56087487", "View Map")</f>
        <v/>
      </c>
    </row>
    <row r="3122">
      <c r="A3122" t="inlineStr">
        <is>
          <t>ﻤﺴﺎﺠﺩ .</t>
        </is>
      </c>
      <c r="B3122" t="inlineStr">
        <is>
          <t>KFM2020660047568</t>
        </is>
      </c>
      <c r="C3122" t="inlineStr">
        <is>
          <t>الرياض</t>
        </is>
      </c>
      <c r="D3122" t="inlineStr">
        <is>
          <t>مساءا</t>
        </is>
      </c>
      <c r="E3122" t="n">
        <v>914</v>
      </c>
      <c r="F3122" t="b">
        <v>1</v>
      </c>
      <c r="G3122">
        <f>HYPERLINK("https://www.google.com/maps/search/?api=1&amp;query=24.69704578,46.6245803", "View Map")</f>
        <v/>
      </c>
    </row>
    <row r="3123">
      <c r="A3123" t="inlineStr">
        <is>
          <t>مسجد حي  المروة .</t>
        </is>
      </c>
      <c r="B3123" t="inlineStr">
        <is>
          <t>KFM2020660175007</t>
        </is>
      </c>
      <c r="C3123" t="inlineStr">
        <is>
          <t>الرياض</t>
        </is>
      </c>
      <c r="D3123" t="inlineStr">
        <is>
          <t>كلا الفترتين</t>
        </is>
      </c>
      <c r="E3123" t="n">
        <v>914</v>
      </c>
      <c r="F3123" t="b">
        <v>0</v>
      </c>
      <c r="G3123">
        <f>HYPERLINK("https://www.google.com/maps/search/?api=1&amp;query=24.53110089,46.66362815", "View Map")</f>
        <v/>
      </c>
    </row>
    <row r="3124">
      <c r="A3124" t="inlineStr">
        <is>
          <t>ﻭﺯﺍﺭﺓﺍﻟﺸﺌﻭﻥ ﺍﻻﺴﻼﻤﻴﺓﻭﺍﻻﻭﻗﺎﻑ .</t>
        </is>
      </c>
      <c r="B3124" t="inlineStr">
        <is>
          <t>ECC2020810876623</t>
        </is>
      </c>
      <c r="C3124" t="inlineStr">
        <is>
          <t>الرياض</t>
        </is>
      </c>
      <c r="D3124" t="inlineStr">
        <is>
          <t>كلا الفترتين</t>
        </is>
      </c>
      <c r="E3124" t="n">
        <v>913</v>
      </c>
      <c r="F3124" t="b">
        <v>0</v>
      </c>
      <c r="G3124">
        <f>HYPERLINK("https://www.google.com/maps/search/?api=1&amp;query=24.52664682,46.65884731", "View Map")</f>
        <v/>
      </c>
    </row>
    <row r="3125">
      <c r="A3125" t="inlineStr">
        <is>
          <t xml:space="preserve">   مسجد      منيرة     العريفي .</t>
        </is>
      </c>
      <c r="B3125" t="inlineStr">
        <is>
          <t>KFM2120660280174</t>
        </is>
      </c>
      <c r="C3125" t="inlineStr">
        <is>
          <t>الرياض</t>
        </is>
      </c>
      <c r="D3125" t="inlineStr">
        <is>
          <t>كلا الفترتين</t>
        </is>
      </c>
      <c r="E3125" t="n">
        <v>913</v>
      </c>
      <c r="F3125" t="b">
        <v>0</v>
      </c>
      <c r="G3125">
        <f>HYPERLINK("https://www.google.com/maps/search/?api=1&amp;query=24.78694088,46.8137289", "View Map")</f>
        <v/>
      </c>
    </row>
    <row r="3126">
      <c r="A3126" t="inlineStr">
        <is>
          <t xml:space="preserve">   مسجد الشرفيه الغربي .</t>
        </is>
      </c>
      <c r="B3126" t="inlineStr">
        <is>
          <t>KFM2020660174068</t>
        </is>
      </c>
      <c r="C3126" t="inlineStr">
        <is>
          <t>الرياض</t>
        </is>
      </c>
      <c r="D3126" t="inlineStr">
        <is>
          <t>كلا الفترتين</t>
        </is>
      </c>
      <c r="E3126" t="n">
        <v>911</v>
      </c>
      <c r="F3126" t="b">
        <v>0</v>
      </c>
      <c r="G3126">
        <f>HYPERLINK("https://www.google.com/maps/search/?api=1&amp;query=24.6577291,46.66700156", "View Map")</f>
        <v/>
      </c>
    </row>
    <row r="3127">
      <c r="A3127" t="inlineStr">
        <is>
          <t>مسجد حي الفواز الغربي .</t>
        </is>
      </c>
      <c r="B3127" t="inlineStr">
        <is>
          <t>KFM2020660039167</t>
        </is>
      </c>
      <c r="C3127" t="inlineStr">
        <is>
          <t>الرياض</t>
        </is>
      </c>
      <c r="D3127" t="inlineStr">
        <is>
          <t>كلا الفترتين</t>
        </is>
      </c>
      <c r="E3127" t="n">
        <v>910</v>
      </c>
      <c r="F3127" t="b">
        <v>0</v>
      </c>
      <c r="G3127">
        <f>HYPERLINK("https://www.google.com/maps/search/?api=1&amp;query=24.49893441,46.62787922", "View Map")</f>
        <v/>
      </c>
    </row>
    <row r="3128">
      <c r="A3128" t="inlineStr">
        <is>
          <t>مسجد بحي بدر .</t>
        </is>
      </c>
      <c r="B3128" t="inlineStr">
        <is>
          <t>KFM2020660200463</t>
        </is>
      </c>
      <c r="C3128" t="inlineStr">
        <is>
          <t>الرياض</t>
        </is>
      </c>
      <c r="D3128" t="inlineStr">
        <is>
          <t>كلا الفترتين</t>
        </is>
      </c>
      <c r="E3128" t="n">
        <v>909</v>
      </c>
      <c r="F3128" t="b">
        <v>0</v>
      </c>
      <c r="G3128">
        <f>HYPERLINK("https://www.google.com/maps/search/?api=1&amp;query=24.54121612,46.70633346", "View Map")</f>
        <v/>
      </c>
    </row>
    <row r="3129">
      <c r="A3129" t="inlineStr">
        <is>
          <t>ﻤﺴﺎﺠﺩ .</t>
        </is>
      </c>
      <c r="B3129" t="inlineStr">
        <is>
          <t>SMR2220661018307</t>
        </is>
      </c>
      <c r="C3129" t="inlineStr">
        <is>
          <t>الرياض</t>
        </is>
      </c>
      <c r="D3129" t="inlineStr">
        <is>
          <t>كلا الفترتين</t>
        </is>
      </c>
      <c r="E3129" t="n">
        <v>909</v>
      </c>
      <c r="F3129" t="b">
        <v>0</v>
      </c>
      <c r="G3129">
        <f>HYPERLINK("https://www.google.com/maps/search/?api=1&amp;query=24.67050962,46.57164983", "View Map")</f>
        <v/>
      </c>
    </row>
    <row r="3130">
      <c r="A3130" t="inlineStr">
        <is>
          <t xml:space="preserve">   مسجد حى اشبيلية .</t>
        </is>
      </c>
      <c r="B3130" t="inlineStr">
        <is>
          <t>KFM2020660020418</t>
        </is>
      </c>
      <c r="C3130" t="inlineStr">
        <is>
          <t>الرياض</t>
        </is>
      </c>
      <c r="D3130" t="inlineStr">
        <is>
          <t>كلا الفترتين</t>
        </is>
      </c>
      <c r="E3130" t="n">
        <v>909</v>
      </c>
      <c r="F3130" t="b">
        <v>0</v>
      </c>
      <c r="G3130">
        <f>HYPERLINK("https://www.google.com/maps/search/?api=1&amp;query=24.78796894,46.79437624", "View Map")</f>
        <v/>
      </c>
    </row>
    <row r="3131">
      <c r="A3131" t="inlineStr">
        <is>
          <t xml:space="preserve">   مسجد علي فهد الهزاع . .</t>
        </is>
      </c>
      <c r="B3131" t="inlineStr">
        <is>
          <t>KFM2020660036395</t>
        </is>
      </c>
      <c r="C3131" t="inlineStr">
        <is>
          <t>الرياض</t>
        </is>
      </c>
      <c r="D3131" t="inlineStr">
        <is>
          <t>كلا الفترتين</t>
        </is>
      </c>
      <c r="E3131" t="n">
        <v>909</v>
      </c>
      <c r="F3131" t="b">
        <v>0</v>
      </c>
      <c r="G3131">
        <f>HYPERLINK("https://www.google.com/maps/search/?api=1&amp;query=24.73820711,46.8144656", "View Map")</f>
        <v/>
      </c>
    </row>
    <row r="3132">
      <c r="A3132" t="inlineStr">
        <is>
          <t>.     مسجد      الربيق .</t>
        </is>
      </c>
      <c r="B3132" t="inlineStr">
        <is>
          <t>KFM2020660051640</t>
        </is>
      </c>
      <c r="C3132" t="inlineStr">
        <is>
          <t>الرياض</t>
        </is>
      </c>
      <c r="D3132" t="inlineStr">
        <is>
          <t>كلا الفترتين</t>
        </is>
      </c>
      <c r="E3132" t="n">
        <v>909</v>
      </c>
      <c r="F3132" t="b">
        <v>0</v>
      </c>
      <c r="G3132">
        <f>HYPERLINK("https://www.google.com/maps/search/?api=1&amp;query=24.57364803,46.64415569", "View Map")</f>
        <v/>
      </c>
    </row>
    <row r="3133">
      <c r="A3133" t="inlineStr">
        <is>
          <t xml:space="preserve">   مسجد عمر بن الخطاب رضي الله عنه .</t>
        </is>
      </c>
      <c r="B3133" t="inlineStr">
        <is>
          <t>KFM2020660162305</t>
        </is>
      </c>
      <c r="C3133" t="inlineStr">
        <is>
          <t>الرياض</t>
        </is>
      </c>
      <c r="D3133" t="inlineStr">
        <is>
          <t>كلا الفترتين</t>
        </is>
      </c>
      <c r="E3133" t="n">
        <v>909</v>
      </c>
      <c r="F3133" t="b">
        <v>0</v>
      </c>
      <c r="G3133">
        <f>HYPERLINK("https://www.google.com/maps/search/?api=1&amp;query=24.56312587,46.77045025", "View Map")</f>
        <v/>
      </c>
    </row>
    <row r="3134">
      <c r="A3134" t="inlineStr">
        <is>
          <t>مسجد   الزامل .</t>
        </is>
      </c>
      <c r="B3134" t="inlineStr">
        <is>
          <t>KFM2020660014167</t>
        </is>
      </c>
      <c r="C3134" t="inlineStr">
        <is>
          <t>الرياض</t>
        </is>
      </c>
      <c r="D3134" t="inlineStr">
        <is>
          <t>كلا الفترتين</t>
        </is>
      </c>
      <c r="E3134" t="n">
        <v>908</v>
      </c>
      <c r="F3134" t="b">
        <v>0</v>
      </c>
      <c r="G3134">
        <f>HYPERLINK("https://www.google.com/maps/search/?api=1&amp;query=24.57383894,46.6336162", "View Map")</f>
        <v/>
      </c>
    </row>
    <row r="3135">
      <c r="A3135" t="inlineStr">
        <is>
          <t xml:space="preserve">   مسجد القرينى الجامع .</t>
        </is>
      </c>
      <c r="B3135" t="inlineStr">
        <is>
          <t>KFM2120660304605</t>
        </is>
      </c>
      <c r="C3135" t="inlineStr">
        <is>
          <t>الرياض</t>
        </is>
      </c>
      <c r="D3135" t="inlineStr">
        <is>
          <t>كلا الفترتين</t>
        </is>
      </c>
      <c r="E3135" t="n">
        <v>907</v>
      </c>
      <c r="F3135" t="b">
        <v>0</v>
      </c>
      <c r="G3135">
        <f>HYPERLINK("https://www.google.com/maps/search/?api=1&amp;query=24.5877806,46.77013176", "View Map")</f>
        <v/>
      </c>
    </row>
    <row r="3136">
      <c r="A3136" t="inlineStr">
        <is>
          <t xml:space="preserve">   مسجد/ العبدالواحد .</t>
        </is>
      </c>
      <c r="B3136" t="inlineStr">
        <is>
          <t>LYE2020810397952</t>
        </is>
      </c>
      <c r="C3136" t="inlineStr">
        <is>
          <t>الدرعية</t>
        </is>
      </c>
      <c r="D3136" t="inlineStr">
        <is>
          <t>كلا الفترتين</t>
        </is>
      </c>
      <c r="E3136" t="n">
        <v>907</v>
      </c>
      <c r="F3136" t="b">
        <v>0</v>
      </c>
      <c r="G3136">
        <f>HYPERLINK("https://www.google.com/maps/search/?api=1&amp;query=24.8987084,46.36596146", "View Map")</f>
        <v/>
      </c>
    </row>
    <row r="3137">
      <c r="A3137" t="inlineStr">
        <is>
          <t xml:space="preserve">   مسجد      النور     / .</t>
        </is>
      </c>
      <c r="B3137" t="inlineStr">
        <is>
          <t>KFM2020660054774</t>
        </is>
      </c>
      <c r="C3137" t="inlineStr">
        <is>
          <t>الرياض</t>
        </is>
      </c>
      <c r="D3137" t="inlineStr">
        <is>
          <t>كلا الفترتين</t>
        </is>
      </c>
      <c r="E3137" t="n">
        <v>906</v>
      </c>
      <c r="F3137" t="b">
        <v>0</v>
      </c>
      <c r="G3137">
        <f>HYPERLINK("https://www.google.com/maps/search/?api=1&amp;query=24.73189448,46.83890803", "View Map")</f>
        <v/>
      </c>
    </row>
    <row r="3138">
      <c r="A3138" t="inlineStr">
        <is>
          <t>مسجد   /   علي بن ابي طالب .</t>
        </is>
      </c>
      <c r="B3138" t="inlineStr">
        <is>
          <t>KFM2020660045098</t>
        </is>
      </c>
      <c r="C3138" t="inlineStr">
        <is>
          <t>الرياض</t>
        </is>
      </c>
      <c r="D3138" t="inlineStr">
        <is>
          <t>كلا الفترتين</t>
        </is>
      </c>
      <c r="E3138" t="n">
        <v>905</v>
      </c>
      <c r="F3138" t="b">
        <v>0</v>
      </c>
      <c r="G3138">
        <f>HYPERLINK("https://www.google.com/maps/search/?api=1&amp;query=24.61047923,46.63983702", "View Map")</f>
        <v/>
      </c>
    </row>
    <row r="3139">
      <c r="A3139" t="inlineStr">
        <is>
          <t>مسجد الجميح .</t>
        </is>
      </c>
      <c r="B3139" t="inlineStr">
        <is>
          <t>KFM2020660056086</t>
        </is>
      </c>
      <c r="C3139" t="inlineStr">
        <is>
          <t>الرياض</t>
        </is>
      </c>
      <c r="D3139" t="inlineStr">
        <is>
          <t>كلا الفترتين</t>
        </is>
      </c>
      <c r="E3139" t="n">
        <v>904</v>
      </c>
      <c r="F3139" t="b">
        <v>0</v>
      </c>
      <c r="G3139">
        <f>HYPERLINK("https://www.google.com/maps/search/?api=1&amp;query=24.58987102,46.63173362", "View Map")</f>
        <v/>
      </c>
    </row>
    <row r="3140">
      <c r="A3140" t="inlineStr">
        <is>
          <t>مسجد سعيد ابن المسيب .</t>
        </is>
      </c>
      <c r="B3140" t="inlineStr">
        <is>
          <t>KFM2020660200447</t>
        </is>
      </c>
      <c r="C3140" t="inlineStr">
        <is>
          <t>الرياض</t>
        </is>
      </c>
      <c r="D3140" t="inlineStr">
        <is>
          <t>كلا الفترتين</t>
        </is>
      </c>
      <c r="E3140" t="n">
        <v>904</v>
      </c>
      <c r="F3140" t="b">
        <v>0</v>
      </c>
      <c r="G3140">
        <f>HYPERLINK("https://www.google.com/maps/search/?api=1&amp;query=24.59383383,46.60623607", "View Map")</f>
        <v/>
      </c>
    </row>
    <row r="3141">
      <c r="A3141" t="inlineStr">
        <is>
          <t>مسجدصالح  عبدالعزيزصفيان .</t>
        </is>
      </c>
      <c r="B3141" t="inlineStr">
        <is>
          <t>KFM2020660087453</t>
        </is>
      </c>
      <c r="C3141" t="inlineStr">
        <is>
          <t>الرياض</t>
        </is>
      </c>
      <c r="D3141" t="inlineStr">
        <is>
          <t>كلا الفترتين</t>
        </is>
      </c>
      <c r="E3141" t="n">
        <v>904</v>
      </c>
      <c r="F3141" t="b">
        <v>0</v>
      </c>
      <c r="G3141">
        <f>HYPERLINK("https://www.google.com/maps/search/?api=1&amp;query=24.55726415,46.70992968", "View Map")</f>
        <v/>
      </c>
    </row>
    <row r="3142">
      <c r="A3142" t="inlineStr">
        <is>
          <t xml:space="preserve">   مسجد الحمراء .</t>
        </is>
      </c>
      <c r="B3142" t="inlineStr">
        <is>
          <t>KFM2020660058549</t>
        </is>
      </c>
      <c r="C3142" t="inlineStr">
        <is>
          <t>الرياض</t>
        </is>
      </c>
      <c r="D3142" t="inlineStr">
        <is>
          <t>كلا الفترتين</t>
        </is>
      </c>
      <c r="E3142" t="n">
        <v>904</v>
      </c>
      <c r="F3142" t="b">
        <v>1</v>
      </c>
      <c r="G3142">
        <f>HYPERLINK("https://www.google.com/maps/search/?api=1&amp;query=24.77318492,46.74155101", "View Map")</f>
        <v/>
      </c>
    </row>
    <row r="3143">
      <c r="A3143" t="inlineStr">
        <is>
          <t>مسجدالقحاطين .</t>
        </is>
      </c>
      <c r="B3143" t="inlineStr">
        <is>
          <t>KFM2020660044154</t>
        </is>
      </c>
      <c r="C3143" t="inlineStr">
        <is>
          <t>الرياض</t>
        </is>
      </c>
      <c r="D3143" t="inlineStr">
        <is>
          <t>كلا الفترتين</t>
        </is>
      </c>
      <c r="E3143" t="n">
        <v>904</v>
      </c>
      <c r="F3143" t="b">
        <v>0</v>
      </c>
      <c r="G3143">
        <f>HYPERLINK("https://www.google.com/maps/search/?api=1&amp;query=24.6058,46.725", "View Map")</f>
        <v/>
      </c>
    </row>
    <row r="3144">
      <c r="A3144" t="inlineStr">
        <is>
          <t>مسجد  السلامة .</t>
        </is>
      </c>
      <c r="B3144" t="inlineStr">
        <is>
          <t>KFM2020660045029</t>
        </is>
      </c>
      <c r="C3144" t="inlineStr">
        <is>
          <t>الرياض</t>
        </is>
      </c>
      <c r="D3144" t="inlineStr">
        <is>
          <t>كلا الفترتين</t>
        </is>
      </c>
      <c r="E3144" t="n">
        <v>904</v>
      </c>
      <c r="F3144" t="b">
        <v>0</v>
      </c>
      <c r="G3144">
        <f>HYPERLINK("https://www.google.com/maps/search/?api=1&amp;query=24.60639773,46.71178913", "View Map")</f>
        <v/>
      </c>
    </row>
    <row r="3145">
      <c r="A3145" t="inlineStr">
        <is>
          <t>ﻤﺴﺎﺠﺩ .</t>
        </is>
      </c>
      <c r="B3145" t="inlineStr">
        <is>
          <t>KFM2020660187626</t>
        </is>
      </c>
      <c r="C3145" t="inlineStr">
        <is>
          <t>الرياض</t>
        </is>
      </c>
      <c r="D3145" t="inlineStr">
        <is>
          <t>صباحا</t>
        </is>
      </c>
      <c r="E3145" t="n">
        <v>903</v>
      </c>
      <c r="F3145" t="b">
        <v>0</v>
      </c>
      <c r="G3145">
        <f>HYPERLINK("https://www.google.com/maps/search/?api=1&amp;query=24.82786985,46.60405037", "View Map")</f>
        <v/>
      </c>
    </row>
    <row r="3146">
      <c r="A3146" t="inlineStr">
        <is>
          <t xml:space="preserve">   مسجد وزارة الشئون الاسلاميه والاوقا .</t>
        </is>
      </c>
      <c r="B3146" t="inlineStr">
        <is>
          <t>KFM2120660268906</t>
        </is>
      </c>
      <c r="C3146" t="inlineStr">
        <is>
          <t>الرياض</t>
        </is>
      </c>
      <c r="D3146" t="inlineStr">
        <is>
          <t>كلا الفترتين</t>
        </is>
      </c>
      <c r="E3146" t="n">
        <v>903</v>
      </c>
      <c r="F3146" t="b">
        <v>0</v>
      </c>
      <c r="G3146">
        <f>HYPERLINK("https://www.google.com/maps/search/?api=1&amp;query=24.61648111,46.74269671", "View Map")</f>
        <v/>
      </c>
    </row>
    <row r="3147">
      <c r="A3147" t="inlineStr">
        <is>
          <t xml:space="preserve">   مسجدخالد بن الوليد .</t>
        </is>
      </c>
      <c r="B3147" t="inlineStr">
        <is>
          <t>KFM2120660268773</t>
        </is>
      </c>
      <c r="C3147" t="inlineStr">
        <is>
          <t>الرياض</t>
        </is>
      </c>
      <c r="D3147" t="inlineStr">
        <is>
          <t>كلا الفترتين</t>
        </is>
      </c>
      <c r="E3147" t="n">
        <v>903</v>
      </c>
      <c r="F3147" t="b">
        <v>0</v>
      </c>
      <c r="G3147">
        <f>HYPERLINK("https://www.google.com/maps/search/?api=1&amp;query=24.57619682,46.77591652", "View Map")</f>
        <v/>
      </c>
    </row>
    <row r="3148">
      <c r="A3148" t="inlineStr">
        <is>
          <t>ﻤﺴﺎﺠﺩ .</t>
        </is>
      </c>
      <c r="B3148" t="inlineStr">
        <is>
          <t>KFM2020660012906</t>
        </is>
      </c>
      <c r="C3148" t="inlineStr">
        <is>
          <t>الرياض</t>
        </is>
      </c>
      <c r="D3148" t="inlineStr">
        <is>
          <t>كلا الفترتين</t>
        </is>
      </c>
      <c r="E3148" t="n">
        <v>902</v>
      </c>
      <c r="F3148" t="b">
        <v>0</v>
      </c>
      <c r="G3148">
        <f>HYPERLINK("https://www.google.com/maps/search/?api=1&amp;query=24.79981726,46.60322472", "View Map")</f>
        <v/>
      </c>
    </row>
    <row r="3149">
      <c r="A3149" t="inlineStr">
        <is>
          <t>ﻤﺴﺎﺠﺩ .</t>
        </is>
      </c>
      <c r="B3149" t="inlineStr">
        <is>
          <t>KFM2020660187587</t>
        </is>
      </c>
      <c r="C3149" t="inlineStr">
        <is>
          <t>الرياض</t>
        </is>
      </c>
      <c r="D3149" t="inlineStr">
        <is>
          <t>كلا الفترتين</t>
        </is>
      </c>
      <c r="E3149" t="n">
        <v>901</v>
      </c>
      <c r="F3149" t="b">
        <v>0</v>
      </c>
      <c r="G3149">
        <f>HYPERLINK("https://www.google.com/maps/search/?api=1&amp;query=24.78856035,46.59695867", "View Map")</f>
        <v/>
      </c>
    </row>
    <row r="3150">
      <c r="A3150" t="inlineStr">
        <is>
          <t xml:space="preserve">   مسجد حمزه بن عبدالمطلب .</t>
        </is>
      </c>
      <c r="B3150" t="inlineStr">
        <is>
          <t>KFM2020660099584</t>
        </is>
      </c>
      <c r="C3150" t="inlineStr">
        <is>
          <t>الرياض</t>
        </is>
      </c>
      <c r="D3150" t="inlineStr">
        <is>
          <t>كلا الفترتين</t>
        </is>
      </c>
      <c r="E3150" t="n">
        <v>901</v>
      </c>
      <c r="F3150" t="b">
        <v>0</v>
      </c>
      <c r="G3150">
        <f>HYPERLINK("https://www.google.com/maps/search/?api=1&amp;query=24.67224447,46.58588125", "View Map")</f>
        <v/>
      </c>
    </row>
    <row r="3151">
      <c r="A3151" t="inlineStr">
        <is>
          <t>ﻤﺴﺎﺠﺩ .</t>
        </is>
      </c>
      <c r="B3151" t="inlineStr">
        <is>
          <t>SMR2220621000994</t>
        </is>
      </c>
      <c r="C3151" t="inlineStr">
        <is>
          <t>الرياض</t>
        </is>
      </c>
      <c r="D3151" t="inlineStr">
        <is>
          <t>كلا الفترتين</t>
        </is>
      </c>
      <c r="E3151" t="n">
        <v>901</v>
      </c>
      <c r="F3151" t="b">
        <v>0</v>
      </c>
      <c r="G3151">
        <f>HYPERLINK("https://www.google.com/maps/search/?api=1&amp;query=24.92525789,46.82341566", "View Map")</f>
        <v/>
      </c>
    </row>
    <row r="3152">
      <c r="A3152" t="inlineStr">
        <is>
          <t xml:space="preserve">   مسجد الرشودي .</t>
        </is>
      </c>
      <c r="B3152" t="inlineStr">
        <is>
          <t>KFM2020660188905</t>
        </is>
      </c>
      <c r="C3152" t="inlineStr">
        <is>
          <t>الرياض</t>
        </is>
      </c>
      <c r="D3152" t="inlineStr">
        <is>
          <t>كلا الفترتين</t>
        </is>
      </c>
      <c r="E3152" t="n">
        <v>898</v>
      </c>
      <c r="F3152" t="b">
        <v>0</v>
      </c>
      <c r="G3152">
        <f>HYPERLINK("https://www.google.com/maps/search/?api=1&amp;query=24.65852504,46.71152194", "View Map")</f>
        <v/>
      </c>
    </row>
    <row r="3153">
      <c r="A3153" t="inlineStr">
        <is>
          <t xml:space="preserve">   مسجد شمال المربع .</t>
        </is>
      </c>
      <c r="B3153" t="inlineStr">
        <is>
          <t>KFM2020660188753</t>
        </is>
      </c>
      <c r="C3153" t="inlineStr">
        <is>
          <t>الرياض</t>
        </is>
      </c>
      <c r="D3153" t="inlineStr">
        <is>
          <t>كلا الفترتين</t>
        </is>
      </c>
      <c r="E3153" t="n">
        <v>897</v>
      </c>
      <c r="F3153" t="b">
        <v>0</v>
      </c>
      <c r="G3153">
        <f>HYPERLINK("https://www.google.com/maps/search/?api=1&amp;query=24.65561352,46.70763406", "View Map")</f>
        <v/>
      </c>
    </row>
    <row r="3154">
      <c r="A3154" t="inlineStr">
        <is>
          <t xml:space="preserve">   مسجد حي الملك فيصل .</t>
        </is>
      </c>
      <c r="B3154" t="inlineStr">
        <is>
          <t>KFM2020660012542</t>
        </is>
      </c>
      <c r="C3154" t="inlineStr">
        <is>
          <t>الرياض</t>
        </is>
      </c>
      <c r="D3154" t="inlineStr">
        <is>
          <t>كلا الفترتين</t>
        </is>
      </c>
      <c r="E3154" t="n">
        <v>897</v>
      </c>
      <c r="F3154" t="b">
        <v>0</v>
      </c>
      <c r="G3154">
        <f>HYPERLINK("https://www.google.com/maps/search/?api=1&amp;query=24.76179263,46.76630122", "View Map")</f>
        <v/>
      </c>
    </row>
    <row r="3155">
      <c r="A3155" t="inlineStr">
        <is>
          <t>مسجد /التويم .</t>
        </is>
      </c>
      <c r="B3155" t="inlineStr">
        <is>
          <t>KFM2020660087374</t>
        </is>
      </c>
      <c r="C3155" t="inlineStr">
        <is>
          <t>الرياض</t>
        </is>
      </c>
      <c r="D3155" t="inlineStr">
        <is>
          <t>كلا الفترتين</t>
        </is>
      </c>
      <c r="E3155" t="n">
        <v>897</v>
      </c>
      <c r="F3155" t="b">
        <v>0</v>
      </c>
      <c r="G3155">
        <f>HYPERLINK("https://www.google.com/maps/search/?api=1&amp;query=24.55243836,46.69424138", "View Map")</f>
        <v/>
      </c>
    </row>
    <row r="3156">
      <c r="A3156" t="inlineStr">
        <is>
          <t xml:space="preserve">   مسجد غرب وزارة الدفاع .</t>
        </is>
      </c>
      <c r="B3156" t="inlineStr">
        <is>
          <t>KFM2020660156129</t>
        </is>
      </c>
      <c r="C3156" t="inlineStr">
        <is>
          <t>الرياض</t>
        </is>
      </c>
      <c r="D3156" t="inlineStr">
        <is>
          <t>كلا الفترتين</t>
        </is>
      </c>
      <c r="E3156" t="n">
        <v>897</v>
      </c>
      <c r="F3156" t="b">
        <v>0</v>
      </c>
      <c r="G3156">
        <f>HYPERLINK("https://www.google.com/maps/search/?api=1&amp;query=24.66994806,46.70904892", "View Map")</f>
        <v/>
      </c>
    </row>
    <row r="3157">
      <c r="A3157" t="inlineStr">
        <is>
          <t>مساجد .</t>
        </is>
      </c>
      <c r="B3157" t="inlineStr">
        <is>
          <t>KFM2120660262530</t>
        </is>
      </c>
      <c r="C3157" t="inlineStr">
        <is>
          <t>الرياض</t>
        </is>
      </c>
      <c r="D3157" t="inlineStr">
        <is>
          <t>كلا الفترتين</t>
        </is>
      </c>
      <c r="E3157" t="n">
        <v>896</v>
      </c>
      <c r="F3157" t="b">
        <v>0</v>
      </c>
      <c r="G3157">
        <f>HYPERLINK("https://www.google.com/maps/search/?api=1&amp;query=24.60773,46.49008", "View Map")</f>
        <v/>
      </c>
    </row>
    <row r="3158">
      <c r="A3158" t="inlineStr">
        <is>
          <t>مسجد الراجحى .</t>
        </is>
      </c>
      <c r="B3158" t="inlineStr">
        <is>
          <t>KFM2020760066496</t>
        </is>
      </c>
      <c r="C3158" t="inlineStr">
        <is>
          <t>الرياض</t>
        </is>
      </c>
      <c r="D3158" t="inlineStr">
        <is>
          <t>كلا الفترتين</t>
        </is>
      </c>
      <c r="E3158" t="n">
        <v>895</v>
      </c>
      <c r="F3158" t="b">
        <v>0</v>
      </c>
      <c r="G3158">
        <f>HYPERLINK("https://www.google.com/maps/search/?api=1&amp;query=24.5444917,46.69517782", "View Map")</f>
        <v/>
      </c>
    </row>
    <row r="3159">
      <c r="A3159" t="inlineStr">
        <is>
          <t>مسجد /    عبدالله    الحقبانى .</t>
        </is>
      </c>
      <c r="B3159" t="inlineStr">
        <is>
          <t>KFM2020660189382</t>
        </is>
      </c>
      <c r="C3159" t="inlineStr">
        <is>
          <t>الرياض</t>
        </is>
      </c>
      <c r="D3159" t="inlineStr">
        <is>
          <t>كلا الفترتين</t>
        </is>
      </c>
      <c r="E3159" t="n">
        <v>895</v>
      </c>
      <c r="F3159" t="b">
        <v>0</v>
      </c>
      <c r="G3159">
        <f>HYPERLINK("https://www.google.com/maps/search/?api=1&amp;query=24.56176108,46.71209041", "View Map")</f>
        <v/>
      </c>
    </row>
    <row r="3160">
      <c r="A3160" t="inlineStr">
        <is>
          <t xml:space="preserve">   مسجد علي بن ابي طالب .</t>
        </is>
      </c>
      <c r="B3160" t="inlineStr">
        <is>
          <t>KFM2020660191303</t>
        </is>
      </c>
      <c r="C3160" t="inlineStr">
        <is>
          <t>الدرعية</t>
        </is>
      </c>
      <c r="D3160" t="inlineStr">
        <is>
          <t>كلا الفترتين</t>
        </is>
      </c>
      <c r="E3160" t="n">
        <v>894</v>
      </c>
      <c r="F3160" t="b">
        <v>0</v>
      </c>
      <c r="G3160">
        <f>HYPERLINK("https://www.google.com/maps/search/?api=1&amp;query=24.75584955,46.54914048", "View Map")</f>
        <v/>
      </c>
    </row>
    <row r="3161">
      <c r="A3161" t="inlineStr">
        <is>
          <t xml:space="preserve">   مسجد ابي حنيفه  النعمان .</t>
        </is>
      </c>
      <c r="B3161" t="inlineStr">
        <is>
          <t>KFM2020660162197</t>
        </is>
      </c>
      <c r="C3161" t="inlineStr">
        <is>
          <t>الرياض</t>
        </is>
      </c>
      <c r="D3161" t="inlineStr">
        <is>
          <t>كلا الفترتين</t>
        </is>
      </c>
      <c r="E3161" t="n">
        <v>891</v>
      </c>
      <c r="F3161" t="b">
        <v>0</v>
      </c>
      <c r="G3161">
        <f>HYPERLINK("https://www.google.com/maps/search/?api=1&amp;query=24.58442523,46.77708401", "View Map")</f>
        <v/>
      </c>
    </row>
    <row r="3162">
      <c r="A3162" t="inlineStr">
        <is>
          <t xml:space="preserve">   مسجد       باحمدان  1 .</t>
        </is>
      </c>
      <c r="B3162" t="inlineStr">
        <is>
          <t>KFM2020660227220</t>
        </is>
      </c>
      <c r="C3162" t="inlineStr">
        <is>
          <t>الرياض</t>
        </is>
      </c>
      <c r="D3162" t="inlineStr">
        <is>
          <t>صباحا</t>
        </is>
      </c>
      <c r="E3162" t="n">
        <v>891</v>
      </c>
      <c r="F3162" t="b">
        <v>0</v>
      </c>
      <c r="G3162">
        <f>HYPERLINK("https://www.google.com/maps/search/?api=1&amp;query=24.72869569,46.68696178", "View Map")</f>
        <v/>
      </c>
    </row>
    <row r="3163">
      <c r="A3163" t="inlineStr">
        <is>
          <t>مسجد التعاون .</t>
        </is>
      </c>
      <c r="B3163" t="inlineStr">
        <is>
          <t>KFM2020660173478</t>
        </is>
      </c>
      <c r="C3163" t="inlineStr">
        <is>
          <t>الرياض</t>
        </is>
      </c>
      <c r="D3163" t="inlineStr">
        <is>
          <t>مساءا</t>
        </is>
      </c>
      <c r="E3163" t="n">
        <v>891</v>
      </c>
      <c r="F3163" t="b">
        <v>0</v>
      </c>
      <c r="G3163">
        <f>HYPERLINK("https://www.google.com/maps/search/?api=1&amp;query=24.57657698,46.55136564", "View Map")</f>
        <v/>
      </c>
    </row>
    <row r="3164">
      <c r="A3164" t="inlineStr">
        <is>
          <t>ﻭﺯﺍﺭﺓﺍﻟﺸﺌﻭﻥ ﺍﻻﺴﻼﻤﻴﺓﻭﺍﻻﻭﻗﺎﻑ .</t>
        </is>
      </c>
      <c r="B3164" t="inlineStr">
        <is>
          <t>KFM2020660198304</t>
        </is>
      </c>
      <c r="C3164" t="inlineStr">
        <is>
          <t>الرياض</t>
        </is>
      </c>
      <c r="D3164" t="inlineStr">
        <is>
          <t>كلا الفترتين</t>
        </is>
      </c>
      <c r="E3164" t="n">
        <v>890</v>
      </c>
      <c r="F3164" t="b">
        <v>1</v>
      </c>
      <c r="G3164">
        <f>HYPERLINK("https://www.google.com/maps/search/?api=1&amp;query=24.6159935,46.71311427", "View Map")</f>
        <v/>
      </c>
    </row>
    <row r="3165">
      <c r="A3165" t="inlineStr">
        <is>
          <t>ﻭﺯﺍﺭﺓﺍﻟﺸﺌﻭﻥ ﺍﻻﺴﻼﻤﻴﺓﻭﺍﻻﻭﻗﺎﻑ .</t>
        </is>
      </c>
      <c r="B3165" t="inlineStr">
        <is>
          <t>KFM2020660043947</t>
        </is>
      </c>
      <c r="C3165" t="inlineStr">
        <is>
          <t>الرياض</t>
        </is>
      </c>
      <c r="D3165" t="inlineStr">
        <is>
          <t>مساءا</t>
        </is>
      </c>
      <c r="E3165" t="n">
        <v>889</v>
      </c>
      <c r="F3165" t="b">
        <v>0</v>
      </c>
      <c r="G3165">
        <f>HYPERLINK("https://www.google.com/maps/search/?api=1&amp;query=24.55938506,46.59043477", "View Map")</f>
        <v/>
      </c>
    </row>
    <row r="3166">
      <c r="A3166" t="inlineStr">
        <is>
          <t>جامع الا مير محمد بن عبدالعزيز .</t>
        </is>
      </c>
      <c r="B3166" t="inlineStr">
        <is>
          <t>KFM2020660212032</t>
        </is>
      </c>
      <c r="C3166" t="inlineStr">
        <is>
          <t>الرياض</t>
        </is>
      </c>
      <c r="D3166" t="inlineStr">
        <is>
          <t>كلا الفترتين</t>
        </is>
      </c>
      <c r="E3166" t="n">
        <v>889</v>
      </c>
      <c r="F3166" t="b">
        <v>0</v>
      </c>
      <c r="G3166">
        <f>HYPERLINK("https://www.google.com/maps/search/?api=1&amp;query=24.6929258,46.66634433", "View Map")</f>
        <v/>
      </c>
    </row>
    <row r="3167">
      <c r="A3167" t="inlineStr">
        <is>
          <t>مسجدالشيخ  محمدابراهيم  ال  الشيخ .</t>
        </is>
      </c>
      <c r="B3167" t="inlineStr">
        <is>
          <t>KFM2020760011945</t>
        </is>
      </c>
      <c r="C3167" t="inlineStr">
        <is>
          <t>الرياض</t>
        </is>
      </c>
      <c r="D3167" t="inlineStr">
        <is>
          <t>مساءا</t>
        </is>
      </c>
      <c r="E3167" t="n">
        <v>889</v>
      </c>
      <c r="F3167" t="b">
        <v>0</v>
      </c>
      <c r="G3167">
        <f>HYPERLINK("https://www.google.com/maps/search/?api=1&amp;query=24.62671957,46.67846818", "View Map")</f>
        <v/>
      </c>
    </row>
    <row r="3168">
      <c r="A3168" t="inlineStr">
        <is>
          <t xml:space="preserve">   مسجد العقيلي .</t>
        </is>
      </c>
      <c r="B3168" t="inlineStr">
        <is>
          <t>KFM2020660108700</t>
        </is>
      </c>
      <c r="C3168" t="inlineStr">
        <is>
          <t>الرياض</t>
        </is>
      </c>
      <c r="D3168" t="inlineStr">
        <is>
          <t>كلا الفترتين</t>
        </is>
      </c>
      <c r="E3168" t="n">
        <v>888</v>
      </c>
      <c r="F3168" t="b">
        <v>0</v>
      </c>
      <c r="G3168">
        <f>HYPERLINK("https://www.google.com/maps/search/?api=1&amp;query=24.7525709,46.74424847", "View Map")</f>
        <v/>
      </c>
    </row>
    <row r="3169">
      <c r="A3169" t="inlineStr">
        <is>
          <t xml:space="preserve">   مسجد عمر بن الخطاب .</t>
        </is>
      </c>
      <c r="B3169" t="inlineStr">
        <is>
          <t>KFM2120660270347</t>
        </is>
      </c>
      <c r="C3169" t="inlineStr">
        <is>
          <t>الرياض</t>
        </is>
      </c>
      <c r="D3169" t="inlineStr">
        <is>
          <t>كلا الفترتين</t>
        </is>
      </c>
      <c r="E3169" t="n">
        <v>888</v>
      </c>
      <c r="F3169" t="b">
        <v>0</v>
      </c>
      <c r="G3169">
        <f>HYPERLINK("https://www.google.com/maps/search/?api=1&amp;query=24.4040146,46.84352866", "View Map")</f>
        <v/>
      </c>
    </row>
    <row r="3170">
      <c r="A3170" t="inlineStr">
        <is>
          <t>مسجد  حي الشفا .</t>
        </is>
      </c>
      <c r="B3170" t="inlineStr">
        <is>
          <t>KFM2020660098758</t>
        </is>
      </c>
      <c r="C3170" t="inlineStr">
        <is>
          <t>الرياض</t>
        </is>
      </c>
      <c r="D3170" t="inlineStr">
        <is>
          <t>كلا الفترتين</t>
        </is>
      </c>
      <c r="E3170" t="n">
        <v>886</v>
      </c>
      <c r="F3170" t="b">
        <v>0</v>
      </c>
      <c r="G3170">
        <f>HYPERLINK("https://www.google.com/maps/search/?api=1&amp;query=24.72831953,46.76328176", "View Map")</f>
        <v/>
      </c>
    </row>
    <row r="3171">
      <c r="A3171" t="inlineStr">
        <is>
          <t>ﻤﺴﺎﺠﺩ .</t>
        </is>
      </c>
      <c r="B3171" t="inlineStr">
        <is>
          <t>MMF2420601026025</t>
        </is>
      </c>
      <c r="C3171" t="inlineStr">
        <is>
          <t>الرياض</t>
        </is>
      </c>
      <c r="D3171" t="inlineStr">
        <is>
          <t>مساءا</t>
        </is>
      </c>
      <c r="E3171" t="n">
        <v>884</v>
      </c>
      <c r="F3171" t="b">
        <v>1</v>
      </c>
      <c r="G3171">
        <f>HYPERLINK("https://www.google.com/maps/search/?api=1&amp;query=0.0,0.0", "View Map")</f>
        <v/>
      </c>
    </row>
    <row r="3172">
      <c r="A3172" t="inlineStr">
        <is>
          <t xml:space="preserve">   مسجد حامد فهد الحربي .</t>
        </is>
      </c>
      <c r="B3172" t="inlineStr">
        <is>
          <t>KFM2020660190952</t>
        </is>
      </c>
      <c r="C3172" t="inlineStr">
        <is>
          <t>الرياض</t>
        </is>
      </c>
      <c r="D3172" t="inlineStr">
        <is>
          <t>كلا الفترتين</t>
        </is>
      </c>
      <c r="E3172" t="n">
        <v>882</v>
      </c>
      <c r="F3172" t="b">
        <v>0</v>
      </c>
      <c r="G3172">
        <f>HYPERLINK("https://www.google.com/maps/search/?api=1&amp;query=24.80240908,46.86235804", "View Map")</f>
        <v/>
      </c>
    </row>
    <row r="3173">
      <c r="A3173" t="inlineStr">
        <is>
          <t xml:space="preserve">   مسجد مزنة سليم العتيبي .</t>
        </is>
      </c>
      <c r="B3173" t="inlineStr">
        <is>
          <t>KFM2020660057599</t>
        </is>
      </c>
      <c r="C3173" t="inlineStr">
        <is>
          <t>الرياض</t>
        </is>
      </c>
      <c r="D3173" t="inlineStr">
        <is>
          <t>كلا الفترتين</t>
        </is>
      </c>
      <c r="E3173" t="n">
        <v>881</v>
      </c>
      <c r="F3173" t="b">
        <v>0</v>
      </c>
      <c r="G3173">
        <f>HYPERLINK("https://www.google.com/maps/search/?api=1&amp;query=24.81082131,46.75341627", "View Map")</f>
        <v/>
      </c>
    </row>
    <row r="3174">
      <c r="A3174" t="inlineStr">
        <is>
          <t>ﻭﺯﺍﺭﺓﺍﻟﺸﺌﻭﻥ ﺍﻻﺴﻼﻤﻴﺓﻭﺍﻻﻭﻗﺎﻑ .</t>
        </is>
      </c>
      <c r="B3174" t="inlineStr">
        <is>
          <t>SMR2220661007005</t>
        </is>
      </c>
      <c r="C3174" t="inlineStr">
        <is>
          <t>الرياض</t>
        </is>
      </c>
      <c r="D3174" t="inlineStr">
        <is>
          <t>مساءا</t>
        </is>
      </c>
      <c r="E3174" t="n">
        <v>881</v>
      </c>
      <c r="F3174" t="b">
        <v>1</v>
      </c>
      <c r="G3174">
        <f>HYPERLINK("https://www.google.com/maps/search/?api=1&amp;query=24.5733,46.6092", "View Map")</f>
        <v/>
      </c>
    </row>
    <row r="3175">
      <c r="A3175" t="inlineStr">
        <is>
          <t xml:space="preserve">   مسجد صالح ال الشيخ .</t>
        </is>
      </c>
      <c r="B3175" t="inlineStr">
        <is>
          <t>KFM2020660027387</t>
        </is>
      </c>
      <c r="C3175" t="inlineStr">
        <is>
          <t>الرياض</t>
        </is>
      </c>
      <c r="D3175" t="inlineStr">
        <is>
          <t>صباحا</t>
        </is>
      </c>
      <c r="E3175" t="n">
        <v>879</v>
      </c>
      <c r="F3175" t="b">
        <v>0</v>
      </c>
      <c r="G3175">
        <f>HYPERLINK("https://www.google.com/maps/search/?api=1&amp;query=24.75581776,46.61076902", "View Map")</f>
        <v/>
      </c>
    </row>
    <row r="3176">
      <c r="A3176" t="inlineStr">
        <is>
          <t xml:space="preserve">   مسجد عثمان بن عفان .</t>
        </is>
      </c>
      <c r="B3176" t="inlineStr">
        <is>
          <t>KFM2020660145803</t>
        </is>
      </c>
      <c r="C3176" t="inlineStr">
        <is>
          <t>الرياض</t>
        </is>
      </c>
      <c r="D3176" t="inlineStr">
        <is>
          <t>كلا الفترتين</t>
        </is>
      </c>
      <c r="E3176" t="n">
        <v>879</v>
      </c>
      <c r="F3176" t="b">
        <v>0</v>
      </c>
      <c r="G3176">
        <f>HYPERLINK("https://www.google.com/maps/search/?api=1&amp;query=24.77823981,46.8270548", "View Map")</f>
        <v/>
      </c>
    </row>
    <row r="3177">
      <c r="A3177" t="inlineStr">
        <is>
          <t>مسجد العوميريه  بالشميسى .</t>
        </is>
      </c>
      <c r="B3177" t="inlineStr">
        <is>
          <t>KFM2020660174986</t>
        </is>
      </c>
      <c r="C3177" t="inlineStr">
        <is>
          <t>الرياض</t>
        </is>
      </c>
      <c r="D3177" t="inlineStr">
        <is>
          <t>كلا الفترتين</t>
        </is>
      </c>
      <c r="E3177" t="n">
        <v>879</v>
      </c>
      <c r="F3177" t="b">
        <v>0</v>
      </c>
      <c r="G3177">
        <f>HYPERLINK("https://www.google.com/maps/search/?api=1&amp;query=24.62721383,46.70147249", "View Map")</f>
        <v/>
      </c>
    </row>
    <row r="3178">
      <c r="A3178" t="inlineStr">
        <is>
          <t xml:space="preserve">   مسجد الشيخ ابراهيم زيد المزيد .</t>
        </is>
      </c>
      <c r="B3178" t="inlineStr">
        <is>
          <t>KFM2020660211474</t>
        </is>
      </c>
      <c r="C3178" t="inlineStr">
        <is>
          <t>الرياض</t>
        </is>
      </c>
      <c r="D3178" t="inlineStr">
        <is>
          <t>مساءا</t>
        </is>
      </c>
      <c r="E3178" t="n">
        <v>879</v>
      </c>
      <c r="F3178" t="b">
        <v>0</v>
      </c>
      <c r="G3178">
        <f>HYPERLINK("https://www.google.com/maps/search/?api=1&amp;query=24.80576924,46.65580062", "View Map")</f>
        <v/>
      </c>
    </row>
    <row r="3179">
      <c r="A3179" t="inlineStr">
        <is>
          <t xml:space="preserve">   مسجد      عبدالعزيز التركي .</t>
        </is>
      </c>
      <c r="B3179" t="inlineStr">
        <is>
          <t>KFM2120660262576</t>
        </is>
      </c>
      <c r="C3179" t="inlineStr">
        <is>
          <t>الرياض</t>
        </is>
      </c>
      <c r="D3179" t="inlineStr">
        <is>
          <t>كلا الفترتين</t>
        </is>
      </c>
      <c r="E3179" t="n">
        <v>877</v>
      </c>
      <c r="F3179" t="b">
        <v>0</v>
      </c>
      <c r="G3179">
        <f>HYPERLINK("https://www.google.com/maps/search/?api=1&amp;query=24.67184734,46.66423716", "View Map")</f>
        <v/>
      </c>
    </row>
    <row r="3180">
      <c r="A3180" t="inlineStr">
        <is>
          <t xml:space="preserve">   مسجد عبدالله بن مسعود .</t>
        </is>
      </c>
      <c r="B3180" t="inlineStr">
        <is>
          <t>KFM2020660163036</t>
        </is>
      </c>
      <c r="C3180" t="inlineStr">
        <is>
          <t>الرياض</t>
        </is>
      </c>
      <c r="D3180" t="inlineStr">
        <is>
          <t>كلا الفترتين</t>
        </is>
      </c>
      <c r="E3180" t="n">
        <v>875</v>
      </c>
      <c r="F3180" t="b">
        <v>0</v>
      </c>
      <c r="G3180">
        <f>HYPERLINK("https://www.google.com/maps/search/?api=1&amp;query=24.71499473,46.67692544", "View Map")</f>
        <v/>
      </c>
    </row>
    <row r="3181">
      <c r="A3181" t="inlineStr">
        <is>
          <t>ﻭﺯﺍﺭﺓﺍﻟﺸﺌﻭﻥ ﺍﻻﺴﻼﻤﻴﺓﻭﺍﻻﻭﻗﺎﻑ .</t>
        </is>
      </c>
      <c r="B3181" t="inlineStr">
        <is>
          <t>KFM2020660203557</t>
        </is>
      </c>
      <c r="C3181" t="inlineStr">
        <is>
          <t>الرياض</t>
        </is>
      </c>
      <c r="D3181" t="inlineStr">
        <is>
          <t>كلا الفترتين</t>
        </is>
      </c>
      <c r="E3181" t="n">
        <v>874</v>
      </c>
      <c r="F3181" t="b">
        <v>0</v>
      </c>
      <c r="G3181">
        <f>HYPERLINK("https://www.google.com/maps/search/?api=1&amp;query=24.56023287,46.74744312", "View Map")</f>
        <v/>
      </c>
    </row>
    <row r="3182">
      <c r="A3182" t="inlineStr">
        <is>
          <t xml:space="preserve">         مسجد الأ مام الشافعي .</t>
        </is>
      </c>
      <c r="B3182" t="inlineStr">
        <is>
          <t>KFM2020660060141</t>
        </is>
      </c>
      <c r="C3182" t="inlineStr">
        <is>
          <t>الرياض</t>
        </is>
      </c>
      <c r="D3182" t="inlineStr">
        <is>
          <t>كلا الفترتين</t>
        </is>
      </c>
      <c r="E3182" t="n">
        <v>871</v>
      </c>
      <c r="F3182" t="b">
        <v>0</v>
      </c>
      <c r="G3182">
        <f>HYPERLINK("https://www.google.com/maps/search/?api=1&amp;query=24.81164114,46.89045291", "View Map")</f>
        <v/>
      </c>
    </row>
    <row r="3183">
      <c r="A3183" t="inlineStr">
        <is>
          <t xml:space="preserve">   مسجد صفين .</t>
        </is>
      </c>
      <c r="B3183" t="inlineStr">
        <is>
          <t>KFM2020660135771</t>
        </is>
      </c>
      <c r="C3183" t="inlineStr">
        <is>
          <t>الرياض</t>
        </is>
      </c>
      <c r="D3183" t="inlineStr">
        <is>
          <t>كلا الفترتين</t>
        </is>
      </c>
      <c r="E3183" t="n">
        <v>871</v>
      </c>
      <c r="F3183" t="b">
        <v>0</v>
      </c>
      <c r="G3183">
        <f>HYPERLINK("https://www.google.com/maps/search/?api=1&amp;query=24.69058651,46.79779367", "View Map")</f>
        <v/>
      </c>
    </row>
    <row r="3184">
      <c r="A3184" t="inlineStr">
        <is>
          <t xml:space="preserve">   مسجد صالح الراجحي .</t>
        </is>
      </c>
      <c r="B3184" t="inlineStr">
        <is>
          <t>SMR2220661010708</t>
        </is>
      </c>
      <c r="C3184" t="inlineStr">
        <is>
          <t>الرياض</t>
        </is>
      </c>
      <c r="D3184" t="inlineStr">
        <is>
          <t>صباحا</t>
        </is>
      </c>
      <c r="E3184" t="n">
        <v>870</v>
      </c>
      <c r="F3184" t="b">
        <v>0</v>
      </c>
      <c r="G3184">
        <f>HYPERLINK("https://www.google.com/maps/search/?api=1&amp;query=24.72781865,46.85025775", "View Map")</f>
        <v/>
      </c>
    </row>
    <row r="3185">
      <c r="A3185" t="inlineStr">
        <is>
          <t xml:space="preserve">   جامع وبيتالاماموالمؤذن/الأميرةنورة .</t>
        </is>
      </c>
      <c r="B3185" t="inlineStr">
        <is>
          <t>KFM2120660240831</t>
        </is>
      </c>
      <c r="C3185" t="inlineStr">
        <is>
          <t>الرياض</t>
        </is>
      </c>
      <c r="D3185" t="inlineStr">
        <is>
          <t>مساءا</t>
        </is>
      </c>
      <c r="E3185" t="n">
        <v>870</v>
      </c>
      <c r="F3185" t="b">
        <v>1</v>
      </c>
      <c r="G3185">
        <f>HYPERLINK("https://www.google.com/maps/search/?api=1&amp;query=24.63137862,46.57013132", "View Map")</f>
        <v/>
      </c>
    </row>
    <row r="3186">
      <c r="A3186" t="inlineStr">
        <is>
          <t>مسجد الشيخ  محمد بن عثيمين رحمة الله .</t>
        </is>
      </c>
      <c r="B3186" t="inlineStr">
        <is>
          <t>KFM2020660060648</t>
        </is>
      </c>
      <c r="C3186" t="inlineStr">
        <is>
          <t>الرياض</t>
        </is>
      </c>
      <c r="D3186" t="inlineStr">
        <is>
          <t>كلا الفترتين</t>
        </is>
      </c>
      <c r="E3186" t="n">
        <v>869</v>
      </c>
      <c r="F3186" t="b">
        <v>0</v>
      </c>
      <c r="G3186">
        <f>HYPERLINK("https://www.google.com/maps/search/?api=1&amp;query=24.54360843,46.68696656", "View Map")</f>
        <v/>
      </c>
    </row>
    <row r="3187">
      <c r="A3187" t="inlineStr">
        <is>
          <t>.  مسجد      الثليماء .</t>
        </is>
      </c>
      <c r="B3187" t="inlineStr">
        <is>
          <t>KFM2020660042380</t>
        </is>
      </c>
      <c r="C3187" t="inlineStr">
        <is>
          <t>الرياض</t>
        </is>
      </c>
      <c r="D3187" t="inlineStr">
        <is>
          <t>كلا الفترتين</t>
        </is>
      </c>
      <c r="E3187" t="n">
        <v>866</v>
      </c>
      <c r="F3187" t="b">
        <v>1</v>
      </c>
      <c r="G3187">
        <f>HYPERLINK("https://www.google.com/maps/search/?api=1&amp;query=24.59168432,46.71777495", "View Map")</f>
        <v/>
      </c>
    </row>
    <row r="3188">
      <c r="A3188" t="inlineStr">
        <is>
          <t xml:space="preserve">   مسجد ابن ماجه .</t>
        </is>
      </c>
      <c r="B3188" t="inlineStr">
        <is>
          <t>KFM2120660268857</t>
        </is>
      </c>
      <c r="C3188" t="inlineStr">
        <is>
          <t>الرياض</t>
        </is>
      </c>
      <c r="D3188" t="inlineStr">
        <is>
          <t>كلا الفترتين</t>
        </is>
      </c>
      <c r="E3188" t="n">
        <v>866</v>
      </c>
      <c r="F3188" t="b">
        <v>0</v>
      </c>
      <c r="G3188">
        <f>HYPERLINK("https://www.google.com/maps/search/?api=1&amp;query=24.69733538,46.82269093", "View Map")</f>
        <v/>
      </c>
    </row>
    <row r="3189">
      <c r="A3189" t="inlineStr">
        <is>
          <t>ﻤﺴﺎﺠﺩ .</t>
        </is>
      </c>
      <c r="B3189" t="inlineStr">
        <is>
          <t>KFM2120660302385</t>
        </is>
      </c>
      <c r="C3189" t="inlineStr">
        <is>
          <t>الرياض</t>
        </is>
      </c>
      <c r="D3189" t="inlineStr">
        <is>
          <t>كلا الفترتين</t>
        </is>
      </c>
      <c r="E3189" t="n">
        <v>865</v>
      </c>
      <c r="F3189" t="b">
        <v>1</v>
      </c>
      <c r="G3189">
        <f>HYPERLINK("https://www.google.com/maps/search/?api=1&amp;query=24.9089,46.6089", "View Map")</f>
        <v/>
      </c>
    </row>
    <row r="3190">
      <c r="A3190" t="inlineStr">
        <is>
          <t>مسجد صياح .</t>
        </is>
      </c>
      <c r="B3190" t="inlineStr">
        <is>
          <t>KFM2020660051413</t>
        </is>
      </c>
      <c r="C3190" t="inlineStr">
        <is>
          <t>الرياض</t>
        </is>
      </c>
      <c r="D3190" t="inlineStr">
        <is>
          <t>كلا الفترتين</t>
        </is>
      </c>
      <c r="E3190" t="n">
        <v>865</v>
      </c>
      <c r="F3190" t="b">
        <v>0</v>
      </c>
      <c r="G3190">
        <f>HYPERLINK("https://www.google.com/maps/search/?api=1&amp;query=24.60990773,46.70333873", "View Map")</f>
        <v/>
      </c>
    </row>
    <row r="3191">
      <c r="A3191" t="inlineStr">
        <is>
          <t>ﻤﺴﺎﺠﺩ .</t>
        </is>
      </c>
      <c r="B3191" t="inlineStr">
        <is>
          <t>KFM2120660304059</t>
        </is>
      </c>
      <c r="C3191" t="inlineStr">
        <is>
          <t>الرياض</t>
        </is>
      </c>
      <c r="D3191" t="inlineStr">
        <is>
          <t>كلا الفترتين</t>
        </is>
      </c>
      <c r="E3191" t="n">
        <v>864</v>
      </c>
      <c r="F3191" t="b">
        <v>0</v>
      </c>
      <c r="G3191">
        <f>HYPERLINK("https://www.google.com/maps/search/?api=1&amp;query=24.50799546,46.90469539", "View Map")</f>
        <v/>
      </c>
    </row>
    <row r="3192">
      <c r="A3192" t="inlineStr">
        <is>
          <t xml:space="preserve">   وزارة الشئون الاسلامية والاوقاف .</t>
        </is>
      </c>
      <c r="B3192" t="inlineStr">
        <is>
          <t>KFM2020660145560</t>
        </is>
      </c>
      <c r="C3192" t="inlineStr">
        <is>
          <t>الرياض</t>
        </is>
      </c>
      <c r="D3192" t="inlineStr">
        <is>
          <t>مساءا</t>
        </is>
      </c>
      <c r="E3192" t="n">
        <v>863</v>
      </c>
      <c r="F3192" t="b">
        <v>0</v>
      </c>
      <c r="G3192">
        <f>HYPERLINK("https://www.google.com/maps/search/?api=1&amp;query=24.82690155,46.64332979", "View Map")</f>
        <v/>
      </c>
    </row>
    <row r="3193">
      <c r="A3193" t="inlineStr">
        <is>
          <t xml:space="preserve">   مسجد حى الناصريه الجنوبى .</t>
        </is>
      </c>
      <c r="B3193" t="inlineStr">
        <is>
          <t>KFM2120660249151</t>
        </is>
      </c>
      <c r="C3193" t="inlineStr">
        <is>
          <t>الرياض</t>
        </is>
      </c>
      <c r="D3193" t="inlineStr">
        <is>
          <t>كلا الفترتين</t>
        </is>
      </c>
      <c r="E3193" t="n">
        <v>862</v>
      </c>
      <c r="F3193" t="b">
        <v>0</v>
      </c>
      <c r="G3193">
        <f>HYPERLINK("https://www.google.com/maps/search/?api=1&amp;query=24.6513775,46.673205", "View Map")</f>
        <v/>
      </c>
    </row>
    <row r="3194">
      <c r="A3194" t="inlineStr">
        <is>
          <t>ﻤﺴﺎﺠﺩ .</t>
        </is>
      </c>
      <c r="B3194" t="inlineStr">
        <is>
          <t>KFM2020660187570</t>
        </is>
      </c>
      <c r="C3194" t="inlineStr">
        <is>
          <t>الرياض</t>
        </is>
      </c>
      <c r="D3194" t="inlineStr">
        <is>
          <t>مساءا</t>
        </is>
      </c>
      <c r="E3194" t="n">
        <v>860</v>
      </c>
      <c r="F3194" t="b">
        <v>1</v>
      </c>
      <c r="G3194">
        <f>HYPERLINK("https://www.google.com/maps/search/?api=1&amp;query=24.63385237,46.5697945", "View Map")</f>
        <v/>
      </c>
    </row>
    <row r="3195">
      <c r="A3195" t="inlineStr">
        <is>
          <t xml:space="preserve">     مسجدحي الوادي .</t>
        </is>
      </c>
      <c r="B3195" t="inlineStr">
        <is>
          <t>KFM2020660213593</t>
        </is>
      </c>
      <c r="C3195" t="inlineStr">
        <is>
          <t>الرياض</t>
        </is>
      </c>
      <c r="D3195" t="inlineStr">
        <is>
          <t>مساءا</t>
        </is>
      </c>
      <c r="E3195" t="n">
        <v>859</v>
      </c>
      <c r="F3195" t="b">
        <v>1</v>
      </c>
      <c r="G3195">
        <f>HYPERLINK("https://www.google.com/maps/search/?api=1&amp;query=24.79191384,46.69051219", "View Map")</f>
        <v/>
      </c>
    </row>
    <row r="3196">
      <c r="A3196" t="inlineStr">
        <is>
          <t>مسجد      ال  الشيخ   بالشفاء .</t>
        </is>
      </c>
      <c r="B3196" t="inlineStr">
        <is>
          <t>KFM2020660054329</t>
        </is>
      </c>
      <c r="C3196" t="inlineStr">
        <is>
          <t>الرياض</t>
        </is>
      </c>
      <c r="D3196" t="inlineStr">
        <is>
          <t>كلا الفترتين</t>
        </is>
      </c>
      <c r="E3196" t="n">
        <v>858</v>
      </c>
      <c r="F3196" t="b">
        <v>0</v>
      </c>
      <c r="G3196">
        <f>HYPERLINK("https://www.google.com/maps/search/?api=1&amp;query=24.57256528,46.68615296", "View Map")</f>
        <v/>
      </c>
    </row>
    <row r="3197">
      <c r="A3197" t="inlineStr">
        <is>
          <t>ﻭﺯﺍﺭﺓﺍﻟﺸﺌﻭﻥ ﺍﻻﺴﻼﻤﻴﺓﻭﺍﻻﻭﻗﺎﻑ .</t>
        </is>
      </c>
      <c r="B3197" t="inlineStr">
        <is>
          <t>KFM2120660281605</t>
        </is>
      </c>
      <c r="C3197" t="inlineStr">
        <is>
          <t>الرياض</t>
        </is>
      </c>
      <c r="D3197" t="inlineStr">
        <is>
          <t>مساءا</t>
        </is>
      </c>
      <c r="E3197" t="n">
        <v>857</v>
      </c>
      <c r="F3197" t="b">
        <v>0</v>
      </c>
      <c r="G3197">
        <f>HYPERLINK("https://www.google.com/maps/search/?api=1&amp;query=24.55237201,46.49586316", "View Map")</f>
        <v/>
      </c>
    </row>
    <row r="3198">
      <c r="A3198" t="inlineStr">
        <is>
          <t>ﻭﺯﺍﺭﺓﺍﻟﺸﺌﻭﻥ ﺍﻻﺴﻼﻤﻴﺓﻭﺍﻻﻭﻗﺎﻑ .</t>
        </is>
      </c>
      <c r="B3198" t="inlineStr">
        <is>
          <t>SMR2020765004020</t>
        </is>
      </c>
      <c r="C3198" t="inlineStr">
        <is>
          <t>الرياض</t>
        </is>
      </c>
      <c r="D3198" t="inlineStr">
        <is>
          <t>كلا الفترتين</t>
        </is>
      </c>
      <c r="E3198" t="n">
        <v>857</v>
      </c>
      <c r="F3198" t="b">
        <v>0</v>
      </c>
      <c r="G3198">
        <f>HYPERLINK("https://www.google.com/maps/search/?api=1&amp;query=24.54059323,46.6510544", "View Map")</f>
        <v/>
      </c>
    </row>
    <row r="3199">
      <c r="A3199" t="inlineStr">
        <is>
          <t>مسجد العياف .</t>
        </is>
      </c>
      <c r="B3199" t="inlineStr">
        <is>
          <t>KFM2020660051524</t>
        </is>
      </c>
      <c r="C3199" t="inlineStr">
        <is>
          <t>الرياض</t>
        </is>
      </c>
      <c r="D3199" t="inlineStr">
        <is>
          <t>كلا الفترتين</t>
        </is>
      </c>
      <c r="E3199" t="n">
        <v>857</v>
      </c>
      <c r="F3199" t="b">
        <v>1</v>
      </c>
      <c r="G3199">
        <f>HYPERLINK("https://www.google.com/maps/search/?api=1&amp;query=24.60752239,46.63843409", "View Map")</f>
        <v/>
      </c>
    </row>
    <row r="3200">
      <c r="A3200" t="inlineStr">
        <is>
          <t xml:space="preserve">   مسجد محمد العريفي .</t>
        </is>
      </c>
      <c r="B3200" t="inlineStr">
        <is>
          <t>KFM2020660174980</t>
        </is>
      </c>
      <c r="C3200" t="inlineStr">
        <is>
          <t>الرياض</t>
        </is>
      </c>
      <c r="D3200" t="inlineStr">
        <is>
          <t>مساءا</t>
        </is>
      </c>
      <c r="E3200" t="n">
        <v>856</v>
      </c>
      <c r="F3200" t="b">
        <v>1</v>
      </c>
      <c r="G3200">
        <f>HYPERLINK("https://www.google.com/maps/search/?api=1&amp;query=24.63110158,46.56686122", "View Map")</f>
        <v/>
      </c>
    </row>
    <row r="3201">
      <c r="A3201" t="inlineStr">
        <is>
          <t xml:space="preserve">   مسحد      الاميره    السديريه .</t>
        </is>
      </c>
      <c r="B3201" t="inlineStr">
        <is>
          <t>KFM2020660203625</t>
        </is>
      </c>
      <c r="C3201" t="inlineStr">
        <is>
          <t>الرياض</t>
        </is>
      </c>
      <c r="D3201" t="inlineStr">
        <is>
          <t>كلا الفترتين</t>
        </is>
      </c>
      <c r="E3201" t="n">
        <v>856</v>
      </c>
      <c r="F3201" t="b">
        <v>0</v>
      </c>
      <c r="G3201">
        <f>HYPERLINK("https://www.google.com/maps/search/?api=1&amp;query=24.65932438,46.67192101", "View Map")</f>
        <v/>
      </c>
    </row>
    <row r="3202">
      <c r="A3202" t="inlineStr">
        <is>
          <t>مسجد      حى         الجامعين .</t>
        </is>
      </c>
      <c r="B3202" t="inlineStr">
        <is>
          <t>KFM2020660098877</t>
        </is>
      </c>
      <c r="C3202" t="inlineStr">
        <is>
          <t>الرياض</t>
        </is>
      </c>
      <c r="D3202" t="inlineStr">
        <is>
          <t>صباحا</t>
        </is>
      </c>
      <c r="E3202" t="n">
        <v>855</v>
      </c>
      <c r="F3202" t="b">
        <v>0</v>
      </c>
      <c r="G3202">
        <f>HYPERLINK("https://www.google.com/maps/search/?api=1&amp;query=24.53960025,46.66354464", "View Map")</f>
        <v/>
      </c>
    </row>
    <row r="3203">
      <c r="A3203" t="inlineStr">
        <is>
          <t>وزارة الشئون الاسلامية  مسجدحى  بدر .</t>
        </is>
      </c>
      <c r="B3203" t="inlineStr">
        <is>
          <t>KFM2020660203934</t>
        </is>
      </c>
      <c r="C3203" t="inlineStr">
        <is>
          <t>الرياض</t>
        </is>
      </c>
      <c r="D3203" t="inlineStr">
        <is>
          <t>كلا الفترتين</t>
        </is>
      </c>
      <c r="E3203" t="n">
        <v>855</v>
      </c>
      <c r="F3203" t="b">
        <v>0</v>
      </c>
      <c r="G3203">
        <f>HYPERLINK("https://www.google.com/maps/search/?api=1&amp;query=24.52500596,46.71514887", "View Map")</f>
        <v/>
      </c>
    </row>
    <row r="3204">
      <c r="A3204" t="inlineStr">
        <is>
          <t xml:space="preserve">   مسجد الرميح .</t>
        </is>
      </c>
      <c r="B3204" t="inlineStr">
        <is>
          <t>KFM2120660289405</t>
        </is>
      </c>
      <c r="C3204" t="inlineStr">
        <is>
          <t>الرياض</t>
        </is>
      </c>
      <c r="D3204" t="inlineStr">
        <is>
          <t>كلا الفترتين</t>
        </is>
      </c>
      <c r="E3204" t="n">
        <v>854</v>
      </c>
      <c r="F3204" t="b">
        <v>0</v>
      </c>
      <c r="G3204">
        <f>HYPERLINK("https://www.google.com/maps/search/?api=1&amp;query=24.67583465,46.82624978", "View Map")</f>
        <v/>
      </c>
    </row>
    <row r="3205">
      <c r="A3205" t="inlineStr">
        <is>
          <t xml:space="preserve">   مسجد جامع بن نوفل .</t>
        </is>
      </c>
      <c r="B3205" t="inlineStr">
        <is>
          <t>KFM2120660302065</t>
        </is>
      </c>
      <c r="C3205" t="inlineStr">
        <is>
          <t>الرياض</t>
        </is>
      </c>
      <c r="D3205" t="inlineStr">
        <is>
          <t>كلا الفترتين</t>
        </is>
      </c>
      <c r="E3205" t="n">
        <v>854</v>
      </c>
      <c r="F3205" t="b">
        <v>0</v>
      </c>
      <c r="G3205">
        <f>HYPERLINK("https://www.google.com/maps/search/?api=1&amp;query=24.63877396,46.73021688", "View Map")</f>
        <v/>
      </c>
    </row>
    <row r="3206">
      <c r="A3206" t="inlineStr">
        <is>
          <t xml:space="preserve">   مسجد فالح السبيعي .</t>
        </is>
      </c>
      <c r="B3206" t="inlineStr">
        <is>
          <t>KFM2020660041251</t>
        </is>
      </c>
      <c r="C3206" t="inlineStr">
        <is>
          <t>الرياض</t>
        </is>
      </c>
      <c r="D3206" t="inlineStr">
        <is>
          <t>كلا الفترتين</t>
        </is>
      </c>
      <c r="E3206" t="n">
        <v>851</v>
      </c>
      <c r="F3206" t="b">
        <v>0</v>
      </c>
      <c r="G3206">
        <f>HYPERLINK("https://www.google.com/maps/search/?api=1&amp;query=24.78412911,46.79558792", "View Map")</f>
        <v/>
      </c>
    </row>
    <row r="3207">
      <c r="A3207" t="inlineStr">
        <is>
          <t xml:space="preserve">   مسجد طيبه .</t>
        </is>
      </c>
      <c r="B3207" t="inlineStr">
        <is>
          <t>KFM2020660030505</t>
        </is>
      </c>
      <c r="C3207" t="inlineStr">
        <is>
          <t>الرياض</t>
        </is>
      </c>
      <c r="D3207" t="inlineStr">
        <is>
          <t>صباحا</t>
        </is>
      </c>
      <c r="E3207" t="n">
        <v>850</v>
      </c>
      <c r="F3207" t="b">
        <v>0</v>
      </c>
      <c r="G3207">
        <f>HYPERLINK("https://www.google.com/maps/search/?api=1&amp;query=24.69604829,46.76894689", "View Map")</f>
        <v/>
      </c>
    </row>
    <row r="3208">
      <c r="A3208" t="inlineStr">
        <is>
          <t>ﻤﺴﺎﺠﺩ .</t>
        </is>
      </c>
      <c r="B3208" t="inlineStr">
        <is>
          <t>SMR2220661005712</t>
        </is>
      </c>
      <c r="C3208" t="inlineStr">
        <is>
          <t>الرياض</t>
        </is>
      </c>
      <c r="D3208" t="inlineStr">
        <is>
          <t>مساءا</t>
        </is>
      </c>
      <c r="E3208" t="n">
        <v>850</v>
      </c>
      <c r="F3208" t="b">
        <v>1</v>
      </c>
      <c r="G3208">
        <f>HYPERLINK("https://www.google.com/maps/search/?api=1&amp;query=24.74720507,46.62626778", "View Map")</f>
        <v/>
      </c>
    </row>
    <row r="3209">
      <c r="A3209" t="inlineStr">
        <is>
          <t>ﻤﺴﺎﺠﺩ .</t>
        </is>
      </c>
      <c r="B3209" t="inlineStr">
        <is>
          <t>KFM2020660008732</t>
        </is>
      </c>
      <c r="C3209" t="inlineStr">
        <is>
          <t>الرياض</t>
        </is>
      </c>
      <c r="D3209" t="inlineStr">
        <is>
          <t>صباحا</t>
        </is>
      </c>
      <c r="E3209" t="n">
        <v>850</v>
      </c>
      <c r="F3209" t="b">
        <v>0</v>
      </c>
      <c r="G3209">
        <f>HYPERLINK("https://www.google.com/maps/search/?api=1&amp;query=24.86036649,46.83487716", "View Map")</f>
        <v/>
      </c>
    </row>
    <row r="3210">
      <c r="A3210" t="inlineStr">
        <is>
          <t xml:space="preserve">   مسجدحارة اهل الزلفى .</t>
        </is>
      </c>
      <c r="B3210" t="inlineStr">
        <is>
          <t>KFM2120660251604</t>
        </is>
      </c>
      <c r="C3210" t="inlineStr">
        <is>
          <t>الرياض</t>
        </is>
      </c>
      <c r="D3210" t="inlineStr">
        <is>
          <t>كلا الفترتين</t>
        </is>
      </c>
      <c r="E3210" t="n">
        <v>849</v>
      </c>
      <c r="F3210" t="b">
        <v>0</v>
      </c>
      <c r="G3210">
        <f>HYPERLINK("https://www.google.com/maps/search/?api=1&amp;query=24.66859689,46.74926245", "View Map")</f>
        <v/>
      </c>
    </row>
    <row r="3211">
      <c r="A3211" t="inlineStr">
        <is>
          <t>مسجدالنور الكائن بحي بدرالشفاء .</t>
        </is>
      </c>
      <c r="B3211" t="inlineStr">
        <is>
          <t>KFM2020660177014</t>
        </is>
      </c>
      <c r="C3211" t="inlineStr">
        <is>
          <t>الرياض</t>
        </is>
      </c>
      <c r="D3211" t="inlineStr">
        <is>
          <t>كلا الفترتين</t>
        </is>
      </c>
      <c r="E3211" t="n">
        <v>848</v>
      </c>
      <c r="F3211" t="b">
        <v>0</v>
      </c>
      <c r="G3211">
        <f>HYPERLINK("https://www.google.com/maps/search/?api=1&amp;query=24.57384886,46.71337917", "View Map")</f>
        <v/>
      </c>
    </row>
    <row r="3212">
      <c r="A3212" t="inlineStr">
        <is>
          <t xml:space="preserve">   مسجدالمغرزات .</t>
        </is>
      </c>
      <c r="B3212" t="inlineStr">
        <is>
          <t>KFM2020660174255</t>
        </is>
      </c>
      <c r="C3212" t="inlineStr">
        <is>
          <t>الرياض</t>
        </is>
      </c>
      <c r="D3212" t="inlineStr">
        <is>
          <t>كلا الفترتين</t>
        </is>
      </c>
      <c r="E3212" t="n">
        <v>848</v>
      </c>
      <c r="F3212" t="b">
        <v>0</v>
      </c>
      <c r="G3212">
        <f>HYPERLINK("https://www.google.com/maps/search/?api=1&amp;query=24.75822186,46.72899636", "View Map")</f>
        <v/>
      </c>
    </row>
    <row r="3213">
      <c r="A3213" t="inlineStr">
        <is>
          <t>ﻤﺴﺎﺠﺩ .</t>
        </is>
      </c>
      <c r="B3213" t="inlineStr">
        <is>
          <t>KFM2120660276279</t>
        </is>
      </c>
      <c r="C3213" t="inlineStr">
        <is>
          <t>الرياض</t>
        </is>
      </c>
      <c r="D3213" t="inlineStr">
        <is>
          <t>كلا الفترتين</t>
        </is>
      </c>
      <c r="E3213" t="n">
        <v>847</v>
      </c>
      <c r="F3213" t="b">
        <v>0</v>
      </c>
      <c r="G3213">
        <f>HYPERLINK("https://www.google.com/maps/search/?api=1&amp;query=24.55498659,46.77619899", "View Map")</f>
        <v/>
      </c>
    </row>
    <row r="3214">
      <c r="A3214" t="inlineStr">
        <is>
          <t xml:space="preserve">   مسجد فرج  الله      المطيري .</t>
        </is>
      </c>
      <c r="B3214" t="inlineStr">
        <is>
          <t>KFM2020660040570</t>
        </is>
      </c>
      <c r="C3214" t="inlineStr">
        <is>
          <t>الرياض</t>
        </is>
      </c>
      <c r="D3214" t="inlineStr">
        <is>
          <t>كلا الفترتين</t>
        </is>
      </c>
      <c r="E3214" t="n">
        <v>847</v>
      </c>
      <c r="F3214" t="b">
        <v>0</v>
      </c>
      <c r="G3214">
        <f>HYPERLINK("https://www.google.com/maps/search/?api=1&amp;query=24.81021052,46.80387324", "View Map")</f>
        <v/>
      </c>
    </row>
    <row r="3215">
      <c r="A3215" t="inlineStr">
        <is>
          <t>المسجد    الموقت     المحدود .</t>
        </is>
      </c>
      <c r="B3215" t="inlineStr">
        <is>
          <t>KFM2020660057917</t>
        </is>
      </c>
      <c r="C3215" t="inlineStr">
        <is>
          <t>الرياض</t>
        </is>
      </c>
      <c r="D3215" t="inlineStr">
        <is>
          <t>كلا الفترتين</t>
        </is>
      </c>
      <c r="E3215" t="n">
        <v>844</v>
      </c>
      <c r="F3215" t="b">
        <v>0</v>
      </c>
      <c r="G3215">
        <f>HYPERLINK("https://www.google.com/maps/search/?api=1&amp;query=24.61291787,46.64048646", "View Map")</f>
        <v/>
      </c>
    </row>
    <row r="3216">
      <c r="A3216" t="inlineStr">
        <is>
          <t xml:space="preserve">   مسجد عائشة بنت أبي بكر .</t>
        </is>
      </c>
      <c r="B3216" t="inlineStr">
        <is>
          <t>KFM2120660257847</t>
        </is>
      </c>
      <c r="C3216" t="inlineStr">
        <is>
          <t>الرياض</t>
        </is>
      </c>
      <c r="D3216" t="inlineStr">
        <is>
          <t>صباحا</t>
        </is>
      </c>
      <c r="E3216" t="n">
        <v>843</v>
      </c>
      <c r="F3216" t="b">
        <v>0</v>
      </c>
      <c r="G3216">
        <f>HYPERLINK("https://www.google.com/maps/search/?api=1&amp;query=24.81092047,46.66143227", "View Map")</f>
        <v/>
      </c>
    </row>
    <row r="3217">
      <c r="A3217" t="inlineStr">
        <is>
          <t xml:space="preserve">   مساجد .</t>
        </is>
      </c>
      <c r="B3217" t="inlineStr">
        <is>
          <t>KFM2020660145177</t>
        </is>
      </c>
      <c r="C3217" t="inlineStr">
        <is>
          <t>الرياض</t>
        </is>
      </c>
      <c r="D3217" t="inlineStr">
        <is>
          <t>مساءا</t>
        </is>
      </c>
      <c r="E3217" t="n">
        <v>842</v>
      </c>
      <c r="F3217" t="b">
        <v>0</v>
      </c>
      <c r="G3217">
        <f>HYPERLINK("https://www.google.com/maps/search/?api=1&amp;query=24.84352026,46.76454994", "View Map")</f>
        <v/>
      </c>
    </row>
    <row r="3218">
      <c r="A3218" t="inlineStr">
        <is>
          <t xml:space="preserve">   مسجد بن لادن 5/3191</t>
        </is>
      </c>
      <c r="B3218" t="inlineStr">
        <is>
          <t>KFM2020660054062</t>
        </is>
      </c>
      <c r="C3218" t="inlineStr">
        <is>
          <t>الرياض</t>
        </is>
      </c>
      <c r="D3218" t="inlineStr">
        <is>
          <t>كلا الفترتين</t>
        </is>
      </c>
      <c r="E3218" t="n">
        <v>841</v>
      </c>
      <c r="F3218" t="b">
        <v>0</v>
      </c>
      <c r="G3218">
        <f>HYPERLINK("https://www.google.com/maps/search/?api=1&amp;query=24.57351962,46.76343489", "View Map")</f>
        <v/>
      </c>
    </row>
    <row r="3219">
      <c r="A3219" t="inlineStr">
        <is>
          <t xml:space="preserve">   مسجد معاذ بن جبل .</t>
        </is>
      </c>
      <c r="B3219" t="inlineStr">
        <is>
          <t>KFM2020660130965</t>
        </is>
      </c>
      <c r="C3219" t="inlineStr">
        <is>
          <t>الرياض</t>
        </is>
      </c>
      <c r="D3219" t="inlineStr">
        <is>
          <t>كلا الفترتين</t>
        </is>
      </c>
      <c r="E3219" t="n">
        <v>841</v>
      </c>
      <c r="F3219" t="b">
        <v>0</v>
      </c>
      <c r="G3219">
        <f>HYPERLINK("https://www.google.com/maps/search/?api=1&amp;query=24.73576444,46.83910056", "View Map")</f>
        <v/>
      </c>
    </row>
    <row r="3220">
      <c r="A3220" t="inlineStr">
        <is>
          <t>ﻤﺴﺎﺠﺩ .</t>
        </is>
      </c>
      <c r="B3220" t="inlineStr">
        <is>
          <t>KFM2120660256840</t>
        </is>
      </c>
      <c r="C3220" t="inlineStr">
        <is>
          <t>الرياض</t>
        </is>
      </c>
      <c r="D3220" t="inlineStr">
        <is>
          <t>كلا الفترتين</t>
        </is>
      </c>
      <c r="E3220" t="n">
        <v>840</v>
      </c>
      <c r="F3220" t="b">
        <v>0</v>
      </c>
      <c r="G3220">
        <f>HYPERLINK("https://www.google.com/maps/search/?api=1&amp;query=24.55351955,46.78062111", "View Map")</f>
        <v/>
      </c>
    </row>
    <row r="3221">
      <c r="A3221" t="inlineStr">
        <is>
          <t>مسجد      الغملاس    بحي بدر .</t>
        </is>
      </c>
      <c r="B3221" t="inlineStr">
        <is>
          <t>KFM2020660202486</t>
        </is>
      </c>
      <c r="C3221" t="inlineStr">
        <is>
          <t>الرياض</t>
        </is>
      </c>
      <c r="D3221" t="inlineStr">
        <is>
          <t>مساءا</t>
        </is>
      </c>
      <c r="E3221" t="n">
        <v>839</v>
      </c>
      <c r="F3221" t="b">
        <v>0</v>
      </c>
      <c r="G3221">
        <f>HYPERLINK("https://www.google.com/maps/search/?api=1&amp;query=24.52766984,46.71359801", "View Map")</f>
        <v/>
      </c>
    </row>
    <row r="3222">
      <c r="A3222" t="inlineStr">
        <is>
          <t xml:space="preserve">   مسجد حي المنصوره .</t>
        </is>
      </c>
      <c r="B3222" t="inlineStr">
        <is>
          <t>KFM2120660299137</t>
        </is>
      </c>
      <c r="C3222" t="inlineStr">
        <is>
          <t>الرياض</t>
        </is>
      </c>
      <c r="D3222" t="inlineStr">
        <is>
          <t>صباحا</t>
        </is>
      </c>
      <c r="E3222" t="n">
        <v>839</v>
      </c>
      <c r="F3222" t="b">
        <v>0</v>
      </c>
      <c r="G3222">
        <f>HYPERLINK("https://www.google.com/maps/search/?api=1&amp;query=24.60272153,46.73288271", "View Map")</f>
        <v/>
      </c>
    </row>
    <row r="3223">
      <c r="A3223" t="inlineStr">
        <is>
          <t>مسجد سعد بن معاذ .</t>
        </is>
      </c>
      <c r="B3223" t="inlineStr">
        <is>
          <t>KFM2020660049576</t>
        </is>
      </c>
      <c r="C3223" t="inlineStr">
        <is>
          <t>الرياض</t>
        </is>
      </c>
      <c r="D3223" t="inlineStr">
        <is>
          <t>صباحا</t>
        </is>
      </c>
      <c r="E3223" t="n">
        <v>837</v>
      </c>
      <c r="F3223" t="b">
        <v>0</v>
      </c>
      <c r="G3223">
        <f>HYPERLINK("https://www.google.com/maps/search/?api=1&amp;query=24.57108441,46.53949635", "View Map")</f>
        <v/>
      </c>
    </row>
    <row r="3224">
      <c r="A3224" t="inlineStr">
        <is>
          <t>مسجد العريجاء .</t>
        </is>
      </c>
      <c r="B3224" t="inlineStr">
        <is>
          <t>KFM2020660177039</t>
        </is>
      </c>
      <c r="C3224" t="inlineStr">
        <is>
          <t>الرياض</t>
        </is>
      </c>
      <c r="D3224" t="inlineStr">
        <is>
          <t>كلا الفترتين</t>
        </is>
      </c>
      <c r="E3224" t="n">
        <v>837</v>
      </c>
      <c r="F3224" t="b">
        <v>0</v>
      </c>
      <c r="G3224">
        <f>HYPERLINK("https://www.google.com/maps/search/?api=1&amp;query=24.58335725,46.53631517", "View Map")</f>
        <v/>
      </c>
    </row>
    <row r="3225">
      <c r="A3225" t="inlineStr">
        <is>
          <t>مسجد البرا بن مالك .</t>
        </is>
      </c>
      <c r="B3225" t="inlineStr">
        <is>
          <t>KFM2020660054321</t>
        </is>
      </c>
      <c r="C3225" t="inlineStr">
        <is>
          <t>الرياض</t>
        </is>
      </c>
      <c r="D3225" t="inlineStr">
        <is>
          <t>كلا الفترتين</t>
        </is>
      </c>
      <c r="E3225" t="n">
        <v>836</v>
      </c>
      <c r="F3225" t="b">
        <v>0</v>
      </c>
      <c r="G3225">
        <f>HYPERLINK("https://www.google.com/maps/search/?api=1&amp;query=24.56899602,46.68132863", "View Map")</f>
        <v/>
      </c>
    </row>
    <row r="3226">
      <c r="A3226" t="inlineStr">
        <is>
          <t>ﻭﺯﺍﺭﺓﺍﻟﺸﺌﻭﻥ ﺍﻻﺴﻼﻤﻴﺓﻭﺍﻻﻭﻗﺎﻑ .</t>
        </is>
      </c>
      <c r="B3226" t="inlineStr">
        <is>
          <t>KFM2120655002481</t>
        </is>
      </c>
      <c r="C3226" t="inlineStr">
        <is>
          <t>الدرعية</t>
        </is>
      </c>
      <c r="D3226" t="inlineStr">
        <is>
          <t>مساءا</t>
        </is>
      </c>
      <c r="E3226" t="n">
        <v>836</v>
      </c>
      <c r="F3226" t="b">
        <v>1</v>
      </c>
      <c r="G3226">
        <f>HYPERLINK("https://www.google.com/maps/search/?api=1&amp;query=24.907252,46.429526", "View Map")</f>
        <v/>
      </c>
    </row>
    <row r="3227">
      <c r="A3227" t="inlineStr">
        <is>
          <t>مسجد عمربن الخطاب .</t>
        </is>
      </c>
      <c r="B3227" t="inlineStr">
        <is>
          <t>KFM2020660022961</t>
        </is>
      </c>
      <c r="C3227" t="inlineStr">
        <is>
          <t>الرياض</t>
        </is>
      </c>
      <c r="D3227" t="inlineStr">
        <is>
          <t>كلا الفترتين</t>
        </is>
      </c>
      <c r="E3227" t="n">
        <v>836</v>
      </c>
      <c r="F3227" t="b">
        <v>0</v>
      </c>
      <c r="G3227">
        <f>HYPERLINK("https://www.google.com/maps/search/?api=1&amp;query=24.57292257,46.70908803", "View Map")</f>
        <v/>
      </c>
    </row>
    <row r="3228">
      <c r="A3228" t="inlineStr">
        <is>
          <t>ﻤﺴﺎﺠﺩ .</t>
        </is>
      </c>
      <c r="B3228" t="inlineStr">
        <is>
          <t>KFM2020660008773</t>
        </is>
      </c>
      <c r="C3228" t="inlineStr">
        <is>
          <t>الرياض</t>
        </is>
      </c>
      <c r="D3228" t="inlineStr">
        <is>
          <t>مساءا</t>
        </is>
      </c>
      <c r="E3228" t="n">
        <v>834</v>
      </c>
      <c r="F3228" t="b">
        <v>1</v>
      </c>
      <c r="G3228">
        <f>HYPERLINK("https://www.google.com/maps/search/?api=1&amp;query=24.59666058,46.62223485", "View Map")</f>
        <v/>
      </c>
    </row>
    <row r="3229">
      <c r="A3229" t="inlineStr">
        <is>
          <t xml:space="preserve">   مسجد حارة العنوز .</t>
        </is>
      </c>
      <c r="B3229" t="inlineStr">
        <is>
          <t>KFM2120660267544</t>
        </is>
      </c>
      <c r="C3229" t="inlineStr">
        <is>
          <t>الرياض</t>
        </is>
      </c>
      <c r="D3229" t="inlineStr">
        <is>
          <t>كلا الفترتين</t>
        </is>
      </c>
      <c r="E3229" t="n">
        <v>832</v>
      </c>
      <c r="F3229" t="b">
        <v>0</v>
      </c>
      <c r="G3229">
        <f>HYPERLINK("https://www.google.com/maps/search/?api=1&amp;query=24.62662333,46.7469217", "View Map")</f>
        <v/>
      </c>
    </row>
    <row r="3230">
      <c r="A3230" t="inlineStr">
        <is>
          <t xml:space="preserve">   مسجد وسكن امام ومؤذن .</t>
        </is>
      </c>
      <c r="B3230" t="inlineStr">
        <is>
          <t>KFM2020660131981</t>
        </is>
      </c>
      <c r="C3230" t="inlineStr">
        <is>
          <t>الرياض</t>
        </is>
      </c>
      <c r="D3230" t="inlineStr">
        <is>
          <t>صباحا</t>
        </is>
      </c>
      <c r="E3230" t="n">
        <v>831</v>
      </c>
      <c r="F3230" t="b">
        <v>0</v>
      </c>
      <c r="G3230">
        <f>HYPERLINK("https://www.google.com/maps/search/?api=1&amp;query=24.79178461,46.82688877", "View Map")</f>
        <v/>
      </c>
    </row>
    <row r="3231">
      <c r="A3231" t="inlineStr">
        <is>
          <t>مسجد خليل  السبعان .</t>
        </is>
      </c>
      <c r="B3231" t="inlineStr">
        <is>
          <t>KFM2020660057863</t>
        </is>
      </c>
      <c r="C3231" t="inlineStr">
        <is>
          <t>الرياض</t>
        </is>
      </c>
      <c r="D3231" t="inlineStr">
        <is>
          <t>كلا الفترتين</t>
        </is>
      </c>
      <c r="E3231" t="n">
        <v>830</v>
      </c>
      <c r="F3231" t="b">
        <v>0</v>
      </c>
      <c r="G3231">
        <f>HYPERLINK("https://www.google.com/maps/search/?api=1&amp;query=24.5890359,46.5356876", "View Map")</f>
        <v/>
      </c>
    </row>
    <row r="3232">
      <c r="A3232" t="inlineStr">
        <is>
          <t>ﻤﺴﺎﺠﺩ .</t>
        </is>
      </c>
      <c r="B3232" t="inlineStr">
        <is>
          <t>KFM2020660211290</t>
        </is>
      </c>
      <c r="C3232" t="inlineStr">
        <is>
          <t>الرياض</t>
        </is>
      </c>
      <c r="D3232" t="inlineStr">
        <is>
          <t>مساءا</t>
        </is>
      </c>
      <c r="E3232" t="n">
        <v>829</v>
      </c>
      <c r="F3232" t="b">
        <v>1</v>
      </c>
      <c r="G3232">
        <f>HYPERLINK("https://www.google.com/maps/search/?api=1&amp;query=24.62517551,46.53833924", "View Map")</f>
        <v/>
      </c>
    </row>
    <row r="3233">
      <c r="A3233" t="inlineStr">
        <is>
          <t>ﻤﺴﺎﺠﺩ .</t>
        </is>
      </c>
      <c r="B3233" t="inlineStr">
        <is>
          <t>SMR2320661023006</t>
        </is>
      </c>
      <c r="C3233" t="inlineStr">
        <is>
          <t>الرياض</t>
        </is>
      </c>
      <c r="D3233" t="inlineStr">
        <is>
          <t>مساءا</t>
        </is>
      </c>
      <c r="E3233" t="n">
        <v>826</v>
      </c>
      <c r="F3233" t="b">
        <v>1</v>
      </c>
      <c r="G3233">
        <f>HYPERLINK("https://www.google.com/maps/search/?api=1&amp;query=24.83805597,46.73961521", "View Map")</f>
        <v/>
      </c>
    </row>
    <row r="3234">
      <c r="A3234" t="inlineStr">
        <is>
          <t xml:space="preserve">   مساجد .</t>
        </is>
      </c>
      <c r="B3234" t="inlineStr">
        <is>
          <t>KFM2120660251616</t>
        </is>
      </c>
      <c r="C3234" t="inlineStr">
        <is>
          <t>الرياض</t>
        </is>
      </c>
      <c r="D3234" t="inlineStr">
        <is>
          <t>صباحا</t>
        </is>
      </c>
      <c r="E3234" t="n">
        <v>824</v>
      </c>
      <c r="F3234" t="b">
        <v>0</v>
      </c>
      <c r="G3234">
        <f>HYPERLINK("https://www.google.com/maps/search/?api=1&amp;query=24.77338683,46.84195032", "View Map")</f>
        <v/>
      </c>
    </row>
    <row r="3235">
      <c r="A3235" t="inlineStr">
        <is>
          <t>.   مسجد      ابي  ذر .</t>
        </is>
      </c>
      <c r="B3235" t="inlineStr">
        <is>
          <t>KFM2020660175056</t>
        </is>
      </c>
      <c r="C3235" t="inlineStr">
        <is>
          <t>الرياض</t>
        </is>
      </c>
      <c r="D3235" t="inlineStr">
        <is>
          <t>مساءا</t>
        </is>
      </c>
      <c r="E3235" t="n">
        <v>823</v>
      </c>
      <c r="F3235" t="b">
        <v>0</v>
      </c>
      <c r="G3235">
        <f>HYPERLINK("https://www.google.com/maps/search/?api=1&amp;query=24.53356794,46.72070715", "View Map")</f>
        <v/>
      </c>
    </row>
    <row r="3236">
      <c r="A3236" t="inlineStr">
        <is>
          <t>مسجد      البداح     الشى ئون الاسلا .</t>
        </is>
      </c>
      <c r="B3236" t="inlineStr">
        <is>
          <t>KFM2020660025753</t>
        </is>
      </c>
      <c r="C3236" t="inlineStr">
        <is>
          <t>الرياض</t>
        </is>
      </c>
      <c r="D3236" t="inlineStr">
        <is>
          <t>صباحا</t>
        </is>
      </c>
      <c r="E3236" t="n">
        <v>821</v>
      </c>
      <c r="F3236" t="b">
        <v>0</v>
      </c>
      <c r="G3236">
        <f>HYPERLINK("https://www.google.com/maps/search/?api=1&amp;query=24.58181362,46.60334269", "View Map")</f>
        <v/>
      </c>
    </row>
    <row r="3237">
      <c r="A3237" t="inlineStr">
        <is>
          <t>مسجد بحي الشفا .</t>
        </is>
      </c>
      <c r="B3237" t="inlineStr">
        <is>
          <t>KFM2020660196719</t>
        </is>
      </c>
      <c r="C3237" t="inlineStr">
        <is>
          <t>الرياض</t>
        </is>
      </c>
      <c r="D3237" t="inlineStr">
        <is>
          <t>صباحا</t>
        </is>
      </c>
      <c r="E3237" t="n">
        <v>819</v>
      </c>
      <c r="F3237" t="b">
        <v>0</v>
      </c>
      <c r="G3237">
        <f>HYPERLINK("https://www.google.com/maps/search/?api=1&amp;query=24.55040043,46.69219289", "View Map")</f>
        <v/>
      </c>
    </row>
    <row r="3238">
      <c r="A3238" t="inlineStr">
        <is>
          <t>ﻤﺴﺎﺠﺩ .</t>
        </is>
      </c>
      <c r="B3238" t="inlineStr">
        <is>
          <t>SMR2420661036124</t>
        </is>
      </c>
      <c r="C3238" t="inlineStr">
        <is>
          <t>الرياض</t>
        </is>
      </c>
      <c r="D3238" t="inlineStr">
        <is>
          <t>مساءا</t>
        </is>
      </c>
      <c r="E3238" t="n">
        <v>815</v>
      </c>
      <c r="F3238" t="b">
        <v>1</v>
      </c>
      <c r="G3238">
        <f>HYPERLINK("https://www.google.com/maps/search/?api=1&amp;query=0.0,0.0", "View Map")</f>
        <v/>
      </c>
    </row>
    <row r="3239">
      <c r="A3239" t="inlineStr">
        <is>
          <t>ﻤﺴﺎﺠﺩ .</t>
        </is>
      </c>
      <c r="B3239" t="inlineStr">
        <is>
          <t>KFM2020660006740</t>
        </is>
      </c>
      <c r="C3239" t="inlineStr">
        <is>
          <t>الرياض</t>
        </is>
      </c>
      <c r="D3239" t="inlineStr">
        <is>
          <t>مساءا</t>
        </is>
      </c>
      <c r="E3239" t="n">
        <v>815</v>
      </c>
      <c r="F3239" t="b">
        <v>0</v>
      </c>
      <c r="G3239">
        <f>HYPERLINK("https://www.google.com/maps/search/?api=1&amp;query=24.82386127,46.73049295", "View Map")</f>
        <v/>
      </c>
    </row>
    <row r="3240">
      <c r="A3240" t="inlineStr">
        <is>
          <t>مسجد زهرة  البديعة  /حي البديعة .</t>
        </is>
      </c>
      <c r="B3240" t="inlineStr">
        <is>
          <t>KFM2020660023710</t>
        </is>
      </c>
      <c r="C3240" t="inlineStr">
        <is>
          <t>الرياض</t>
        </is>
      </c>
      <c r="D3240" t="inlineStr">
        <is>
          <t>مساءا</t>
        </is>
      </c>
      <c r="E3240" t="n">
        <v>811</v>
      </c>
      <c r="F3240" t="b">
        <v>0</v>
      </c>
      <c r="G3240">
        <f>HYPERLINK("https://www.google.com/maps/search/?api=1&amp;query=24.61280683,46.66140039", "View Map")</f>
        <v/>
      </c>
    </row>
    <row r="3241">
      <c r="A3241" t="inlineStr">
        <is>
          <t>ﻤﺴﺎﺠﺩ .</t>
        </is>
      </c>
      <c r="B3241" t="inlineStr">
        <is>
          <t>KFM2020660031801</t>
        </is>
      </c>
      <c r="C3241" t="inlineStr">
        <is>
          <t>الدرعية</t>
        </is>
      </c>
      <c r="D3241" t="inlineStr">
        <is>
          <t>مساءا</t>
        </is>
      </c>
      <c r="E3241" t="n">
        <v>809</v>
      </c>
      <c r="F3241" t="b">
        <v>1</v>
      </c>
      <c r="G3241">
        <f>HYPERLINK("https://www.google.com/maps/search/?api=1&amp;query=24.78145877,46.57774639", "View Map")</f>
        <v/>
      </c>
    </row>
    <row r="3242">
      <c r="A3242" t="inlineStr">
        <is>
          <t xml:space="preserve">   مسجد عبدالله الراجحي .</t>
        </is>
      </c>
      <c r="B3242" t="inlineStr">
        <is>
          <t>KFM2120660299588</t>
        </is>
      </c>
      <c r="C3242" t="inlineStr">
        <is>
          <t>الرياض</t>
        </is>
      </c>
      <c r="D3242" t="inlineStr">
        <is>
          <t>مساءا</t>
        </is>
      </c>
      <c r="E3242" t="n">
        <v>807</v>
      </c>
      <c r="F3242" t="b">
        <v>1</v>
      </c>
      <c r="G3242">
        <f>HYPERLINK("https://www.google.com/maps/search/?api=1&amp;query=24.41027743,46.84188136", "View Map")</f>
        <v/>
      </c>
    </row>
    <row r="3243">
      <c r="A3243" t="inlineStr">
        <is>
          <t xml:space="preserve">   مسجد النويصر .</t>
        </is>
      </c>
      <c r="B3243" t="inlineStr">
        <is>
          <t>KFM2020660057330</t>
        </is>
      </c>
      <c r="C3243" t="inlineStr">
        <is>
          <t>الرياض</t>
        </is>
      </c>
      <c r="D3243" t="inlineStr">
        <is>
          <t>صباحا</t>
        </is>
      </c>
      <c r="E3243" t="n">
        <v>806</v>
      </c>
      <c r="F3243" t="b">
        <v>1</v>
      </c>
      <c r="G3243">
        <f>HYPERLINK("https://www.google.com/maps/search/?api=1&amp;query=24.64033223,46.74318718", "View Map")</f>
        <v/>
      </c>
    </row>
    <row r="3244">
      <c r="A3244" t="inlineStr">
        <is>
          <t>مسجد حي عكاظ .</t>
        </is>
      </c>
      <c r="B3244" t="inlineStr">
        <is>
          <t>KFM2020660171004</t>
        </is>
      </c>
      <c r="C3244" t="inlineStr">
        <is>
          <t>الرياض</t>
        </is>
      </c>
      <c r="D3244" t="inlineStr">
        <is>
          <t>صباحا</t>
        </is>
      </c>
      <c r="E3244" t="n">
        <v>805</v>
      </c>
      <c r="F3244" t="b">
        <v>0</v>
      </c>
      <c r="G3244">
        <f>HYPERLINK("https://www.google.com/maps/search/?api=1&amp;query=24.53675286,46.65911455", "View Map")</f>
        <v/>
      </c>
    </row>
    <row r="3245">
      <c r="A3245" t="inlineStr">
        <is>
          <t xml:space="preserve">   مسجد      الفيصليه  . .</t>
        </is>
      </c>
      <c r="B3245" t="inlineStr">
        <is>
          <t>KFM2120660251259</t>
        </is>
      </c>
      <c r="C3245" t="inlineStr">
        <is>
          <t>الدرعية</t>
        </is>
      </c>
      <c r="D3245" t="inlineStr">
        <is>
          <t>مساءا</t>
        </is>
      </c>
      <c r="E3245" t="n">
        <v>804</v>
      </c>
      <c r="F3245" t="b">
        <v>0</v>
      </c>
      <c r="G3245">
        <f>HYPERLINK("https://www.google.com/maps/search/?api=1&amp;query=24.74333766,46.57769758", "View Map")</f>
        <v/>
      </c>
    </row>
    <row r="3246">
      <c r="A3246" t="inlineStr">
        <is>
          <t xml:space="preserve">   مسجد / حى المرسلات .</t>
        </is>
      </c>
      <c r="B3246" t="inlineStr">
        <is>
          <t>KFM2020660187610</t>
        </is>
      </c>
      <c r="C3246" t="inlineStr">
        <is>
          <t>الرياض</t>
        </is>
      </c>
      <c r="D3246" t="inlineStr">
        <is>
          <t>مساءا</t>
        </is>
      </c>
      <c r="E3246" t="n">
        <v>800</v>
      </c>
      <c r="F3246" t="b">
        <v>1</v>
      </c>
      <c r="G3246">
        <f>HYPERLINK("https://www.google.com/maps/search/?api=1&amp;query=24.74049902,46.68972122", "View Map")</f>
        <v/>
      </c>
    </row>
    <row r="3247">
      <c r="A3247" t="inlineStr">
        <is>
          <t xml:space="preserve">   مسجدام عبدالله الصانع .</t>
        </is>
      </c>
      <c r="B3247" t="inlineStr">
        <is>
          <t>KFM2020660202358</t>
        </is>
      </c>
      <c r="C3247" t="inlineStr">
        <is>
          <t>الرياض</t>
        </is>
      </c>
      <c r="D3247" t="inlineStr">
        <is>
          <t>مساءا</t>
        </is>
      </c>
      <c r="E3247" t="n">
        <v>798</v>
      </c>
      <c r="F3247" t="b">
        <v>1</v>
      </c>
      <c r="G3247">
        <f>HYPERLINK("https://www.google.com/maps/search/?api=1&amp;query=24.63186336,46.56191313", "View Map")</f>
        <v/>
      </c>
    </row>
    <row r="3248">
      <c r="A3248" t="inlineStr">
        <is>
          <t>7  المسجد رقم .</t>
        </is>
      </c>
      <c r="B3248" t="inlineStr">
        <is>
          <t>KFM2020660011900</t>
        </is>
      </c>
      <c r="C3248" t="inlineStr">
        <is>
          <t>الرياض</t>
        </is>
      </c>
      <c r="D3248" t="inlineStr">
        <is>
          <t>مساءا</t>
        </is>
      </c>
      <c r="E3248" t="n">
        <v>798</v>
      </c>
      <c r="F3248" t="b">
        <v>1</v>
      </c>
      <c r="G3248">
        <f>HYPERLINK("https://www.google.com/maps/search/?api=1&amp;query=24.57996283,46.61966684", "View Map")</f>
        <v/>
      </c>
    </row>
    <row r="3249">
      <c r="A3249" t="inlineStr">
        <is>
          <t>مسجد  /مصعب  بن عمير .</t>
        </is>
      </c>
      <c r="B3249" t="inlineStr">
        <is>
          <t>KFM2020660039170</t>
        </is>
      </c>
      <c r="C3249" t="inlineStr">
        <is>
          <t>الرياض</t>
        </is>
      </c>
      <c r="D3249" t="inlineStr">
        <is>
          <t>كلا الفترتين</t>
        </is>
      </c>
      <c r="E3249" t="n">
        <v>796</v>
      </c>
      <c r="F3249" t="b">
        <v>0</v>
      </c>
      <c r="G3249">
        <f>HYPERLINK("https://www.google.com/maps/search/?api=1&amp;query=24.5010915,46.62421355", "View Map")</f>
        <v/>
      </c>
    </row>
    <row r="3250">
      <c r="A3250" t="inlineStr">
        <is>
          <t xml:space="preserve">   مسجد      حي        الجوهره .</t>
        </is>
      </c>
      <c r="B3250" t="inlineStr">
        <is>
          <t>KFM2020660054519</t>
        </is>
      </c>
      <c r="C3250" t="inlineStr">
        <is>
          <t>الرياض</t>
        </is>
      </c>
      <c r="D3250" t="inlineStr">
        <is>
          <t>صباحا</t>
        </is>
      </c>
      <c r="E3250" t="n">
        <v>792</v>
      </c>
      <c r="F3250" t="b">
        <v>0</v>
      </c>
      <c r="G3250">
        <f>HYPERLINK("https://www.google.com/maps/search/?api=1&amp;query=24.75111255,46.7636978", "View Map")</f>
        <v/>
      </c>
    </row>
    <row r="3251">
      <c r="A3251" t="inlineStr">
        <is>
          <t>ﻤﺴﺎﺠﺩ .</t>
        </is>
      </c>
      <c r="B3251" t="inlineStr">
        <is>
          <t>SMR2320661029541</t>
        </is>
      </c>
      <c r="C3251" t="inlineStr">
        <is>
          <t>الرياض</t>
        </is>
      </c>
      <c r="D3251" t="inlineStr">
        <is>
          <t>مساءا</t>
        </is>
      </c>
      <c r="E3251" t="n">
        <v>791</v>
      </c>
      <c r="F3251" t="b">
        <v>1</v>
      </c>
      <c r="G3251">
        <f>HYPERLINK("https://www.google.com/maps/search/?api=1&amp;query=24.66901416,46.54254677", "View Map")</f>
        <v/>
      </c>
    </row>
    <row r="3252">
      <c r="A3252" t="inlineStr">
        <is>
          <t>مسجد جامع سلطانة  الجنوبي .</t>
        </is>
      </c>
      <c r="B3252" t="inlineStr">
        <is>
          <t>KFM2020660056140</t>
        </is>
      </c>
      <c r="C3252" t="inlineStr">
        <is>
          <t>الرياض</t>
        </is>
      </c>
      <c r="D3252" t="inlineStr">
        <is>
          <t>كلا الفترتين</t>
        </is>
      </c>
      <c r="E3252" t="n">
        <v>789</v>
      </c>
      <c r="F3252" t="b">
        <v>0</v>
      </c>
      <c r="G3252">
        <f>HYPERLINK("https://www.google.com/maps/search/?api=1&amp;query=24.60699233,46.68713834", "View Map")</f>
        <v/>
      </c>
    </row>
    <row r="3253">
      <c r="A3253" t="inlineStr">
        <is>
          <t xml:space="preserve">   مسجد(12) محمد ابراهيم العياف .</t>
        </is>
      </c>
      <c r="B3253" t="inlineStr">
        <is>
          <t>KFM2120660271618</t>
        </is>
      </c>
      <c r="C3253" t="inlineStr">
        <is>
          <t>الرياض</t>
        </is>
      </c>
      <c r="D3253" t="inlineStr">
        <is>
          <t>مساءا</t>
        </is>
      </c>
      <c r="E3253" t="n">
        <v>789</v>
      </c>
      <c r="F3253" t="b">
        <v>1</v>
      </c>
      <c r="G3253">
        <f>HYPERLINK("https://www.google.com/maps/search/?api=1&amp;query=24.67272393,46.79185437", "View Map")</f>
        <v/>
      </c>
    </row>
    <row r="3254">
      <c r="A3254" t="inlineStr">
        <is>
          <t xml:space="preserve">   مسجد حي الياسمين .</t>
        </is>
      </c>
      <c r="B3254" t="inlineStr">
        <is>
          <t>KFM2020660145556</t>
        </is>
      </c>
      <c r="C3254" t="inlineStr">
        <is>
          <t>الرياض</t>
        </is>
      </c>
      <c r="D3254" t="inlineStr">
        <is>
          <t>مساءا</t>
        </is>
      </c>
      <c r="E3254" t="n">
        <v>788</v>
      </c>
      <c r="F3254" t="b">
        <v>1</v>
      </c>
      <c r="G3254">
        <f>HYPERLINK("https://www.google.com/maps/search/?api=1&amp;query=24.82319623,46.65050616", "View Map")</f>
        <v/>
      </c>
    </row>
    <row r="3255">
      <c r="A3255" t="inlineStr">
        <is>
          <t>مسجد عمربن عبدالعزيز .</t>
        </is>
      </c>
      <c r="B3255" t="inlineStr">
        <is>
          <t>KFM2020660203490</t>
        </is>
      </c>
      <c r="C3255" t="inlineStr">
        <is>
          <t>الرياض</t>
        </is>
      </c>
      <c r="D3255" t="inlineStr">
        <is>
          <t>مساءا</t>
        </is>
      </c>
      <c r="E3255" t="n">
        <v>787</v>
      </c>
      <c r="F3255" t="b">
        <v>1</v>
      </c>
      <c r="G3255">
        <f>HYPERLINK("https://www.google.com/maps/search/?api=1&amp;query=24.57606782,46.64729956", "View Map")</f>
        <v/>
      </c>
    </row>
    <row r="3256">
      <c r="A3256" t="inlineStr">
        <is>
          <t>ﻭﺯﺍﺭﺓﺍﻟﺸﺌﻭﻥ ﺍﻻﺴﻼﻤﻴﺓﻭﺍﻻﻭﻗﺎﻑ .</t>
        </is>
      </c>
      <c r="B3256" t="inlineStr">
        <is>
          <t>KFM2120660300538</t>
        </is>
      </c>
      <c r="C3256" t="inlineStr">
        <is>
          <t>الرياض</t>
        </is>
      </c>
      <c r="D3256" t="inlineStr">
        <is>
          <t>مساءا</t>
        </is>
      </c>
      <c r="E3256" t="n">
        <v>785</v>
      </c>
      <c r="F3256" t="b">
        <v>0</v>
      </c>
      <c r="G3256">
        <f>HYPERLINK("https://www.google.com/maps/search/?api=1&amp;query=24.71878225,46.7552068", "View Map")</f>
        <v/>
      </c>
    </row>
    <row r="3257">
      <c r="A3257" t="inlineStr">
        <is>
          <t>مسجد الشيخ  محمد بن عبدالوهاب .</t>
        </is>
      </c>
      <c r="B3257" t="inlineStr">
        <is>
          <t>KFM2020660039917</t>
        </is>
      </c>
      <c r="C3257" t="inlineStr">
        <is>
          <t>الرياض</t>
        </is>
      </c>
      <c r="D3257" t="inlineStr">
        <is>
          <t>مساءا</t>
        </is>
      </c>
      <c r="E3257" t="n">
        <v>784</v>
      </c>
      <c r="F3257" t="b">
        <v>0</v>
      </c>
      <c r="G3257">
        <f>HYPERLINK("https://www.google.com/maps/search/?api=1&amp;query=24.58380007,46.6673584", "View Map")</f>
        <v/>
      </c>
    </row>
    <row r="3258">
      <c r="A3258" t="inlineStr">
        <is>
          <t>مسجد النور .</t>
        </is>
      </c>
      <c r="B3258" t="inlineStr">
        <is>
          <t>KFM2020660099033</t>
        </is>
      </c>
      <c r="C3258" t="inlineStr">
        <is>
          <t>الرياض</t>
        </is>
      </c>
      <c r="D3258" t="inlineStr">
        <is>
          <t>كلا الفترتين</t>
        </is>
      </c>
      <c r="E3258" t="n">
        <v>782</v>
      </c>
      <c r="F3258" t="b">
        <v>0</v>
      </c>
      <c r="G3258">
        <f>HYPERLINK("https://www.google.com/maps/search/?api=1&amp;query=24.57890297,46.65670012", "View Map")</f>
        <v/>
      </c>
    </row>
    <row r="3259">
      <c r="A3259" t="inlineStr">
        <is>
          <t xml:space="preserve">   مسجد الرفيعه الشماليه .</t>
        </is>
      </c>
      <c r="B3259" t="inlineStr">
        <is>
          <t>KFM2020760131071</t>
        </is>
      </c>
      <c r="C3259" t="inlineStr">
        <is>
          <t>الرياض</t>
        </is>
      </c>
      <c r="D3259" t="inlineStr">
        <is>
          <t>مساءا</t>
        </is>
      </c>
      <c r="E3259" t="n">
        <v>778</v>
      </c>
      <c r="F3259" t="b">
        <v>1</v>
      </c>
      <c r="G3259">
        <f>HYPERLINK("https://www.google.com/maps/search/?api=1&amp;query=24.651714,46.66845802", "View Map")</f>
        <v/>
      </c>
    </row>
    <row r="3260">
      <c r="A3260" t="inlineStr">
        <is>
          <t>2  مسجد الدخل  المحدود فئه  ج بلك .</t>
        </is>
      </c>
      <c r="B3260" t="inlineStr">
        <is>
          <t>KFM2020660053774</t>
        </is>
      </c>
      <c r="C3260" t="inlineStr">
        <is>
          <t>الرياض</t>
        </is>
      </c>
      <c r="D3260" t="inlineStr">
        <is>
          <t>مساءا</t>
        </is>
      </c>
      <c r="E3260" t="n">
        <v>778</v>
      </c>
      <c r="F3260" t="b">
        <v>0</v>
      </c>
      <c r="G3260">
        <f>HYPERLINK("https://www.google.com/maps/search/?api=1&amp;query=24.60379489,46.59818476", "View Map")</f>
        <v/>
      </c>
    </row>
    <row r="3261">
      <c r="A3261" t="inlineStr">
        <is>
          <t xml:space="preserve">   مسجدالشيخ محمد ناصرالدين الالباني .</t>
        </is>
      </c>
      <c r="B3261" t="inlineStr">
        <is>
          <t>KFM2020660162713</t>
        </is>
      </c>
      <c r="C3261" t="inlineStr">
        <is>
          <t>الرياض</t>
        </is>
      </c>
      <c r="D3261" t="inlineStr">
        <is>
          <t>كلا الفترتين</t>
        </is>
      </c>
      <c r="E3261" t="n">
        <v>777</v>
      </c>
      <c r="F3261" t="b">
        <v>0</v>
      </c>
      <c r="G3261">
        <f>HYPERLINK("https://www.google.com/maps/search/?api=1&amp;query=24.56788039,46.84738621", "View Map")</f>
        <v/>
      </c>
    </row>
    <row r="3262">
      <c r="A3262" t="inlineStr">
        <is>
          <t xml:space="preserve">   مسجد اليرموك .</t>
        </is>
      </c>
      <c r="B3262" t="inlineStr">
        <is>
          <t>KFM2020660190950</t>
        </is>
      </c>
      <c r="C3262" t="inlineStr">
        <is>
          <t>الرياض</t>
        </is>
      </c>
      <c r="D3262" t="inlineStr">
        <is>
          <t>صباحا</t>
        </is>
      </c>
      <c r="E3262" t="n">
        <v>777</v>
      </c>
      <c r="F3262" t="b">
        <v>1</v>
      </c>
      <c r="G3262">
        <f>HYPERLINK("https://www.google.com/maps/search/?api=1&amp;query=24.80367566,46.7790874", "View Map")</f>
        <v/>
      </c>
    </row>
    <row r="3263">
      <c r="A3263" t="inlineStr">
        <is>
          <t xml:space="preserve">   مسجد الدرعيه .</t>
        </is>
      </c>
      <c r="B3263" t="inlineStr">
        <is>
          <t>KFM2020660027811</t>
        </is>
      </c>
      <c r="C3263" t="inlineStr">
        <is>
          <t>الدرعية</t>
        </is>
      </c>
      <c r="D3263" t="inlineStr">
        <is>
          <t>مساءا</t>
        </is>
      </c>
      <c r="E3263" t="n">
        <v>777</v>
      </c>
      <c r="F3263" t="b">
        <v>1</v>
      </c>
      <c r="G3263">
        <f>HYPERLINK("https://www.google.com/maps/search/?api=1&amp;query=24.74395846,46.58412672", "View Map")</f>
        <v/>
      </c>
    </row>
    <row r="3264">
      <c r="A3264" t="inlineStr">
        <is>
          <t>مسجد حي بدر .</t>
        </is>
      </c>
      <c r="B3264" t="inlineStr">
        <is>
          <t>KFM2020660200465</t>
        </is>
      </c>
      <c r="C3264" t="inlineStr">
        <is>
          <t>الرياض</t>
        </is>
      </c>
      <c r="D3264" t="inlineStr">
        <is>
          <t>مساءا</t>
        </is>
      </c>
      <c r="E3264" t="n">
        <v>776</v>
      </c>
      <c r="F3264" t="b">
        <v>1</v>
      </c>
      <c r="G3264">
        <f>HYPERLINK("https://www.google.com/maps/search/?api=1&amp;query=24.52801392,46.69378168", "View Map")</f>
        <v/>
      </c>
    </row>
    <row r="3265">
      <c r="A3265" t="inlineStr">
        <is>
          <t>ﻭﺯﺍﺭﺓﺍﻟﺸﺌﻭﻥ ﺍﻻﺴﻼﻤﻴﺓﻭﺍﻻﻭﻗﺎﻑ .</t>
        </is>
      </c>
      <c r="B3265" t="inlineStr">
        <is>
          <t>KFM2020660233152</t>
        </is>
      </c>
      <c r="C3265" t="inlineStr">
        <is>
          <t>الرياض</t>
        </is>
      </c>
      <c r="D3265" t="inlineStr">
        <is>
          <t>مساءا</t>
        </is>
      </c>
      <c r="E3265" t="n">
        <v>775</v>
      </c>
      <c r="F3265" t="b">
        <v>1</v>
      </c>
      <c r="G3265">
        <f>HYPERLINK("https://www.google.com/maps/search/?api=1&amp;query=24.5603,46.5975", "View Map")</f>
        <v/>
      </c>
    </row>
    <row r="3266">
      <c r="A3266" t="inlineStr">
        <is>
          <t>سكن امام ومؤذن مسجد السعادة .</t>
        </is>
      </c>
      <c r="B3266" t="inlineStr">
        <is>
          <t>KFM2020660234149</t>
        </is>
      </c>
      <c r="C3266" t="inlineStr">
        <is>
          <t>الرياض</t>
        </is>
      </c>
      <c r="D3266" t="inlineStr">
        <is>
          <t>كلا الفترتين</t>
        </is>
      </c>
      <c r="E3266" t="n">
        <v>773</v>
      </c>
      <c r="F3266" t="b">
        <v>0</v>
      </c>
      <c r="G3266">
        <f>HYPERLINK("https://www.google.com/maps/search/?api=1&amp;query=24.69785448,46.83342102", "View Map")</f>
        <v/>
      </c>
    </row>
    <row r="3267">
      <c r="A3267" t="inlineStr">
        <is>
          <t>مسجد / جامع حارة  بن غنام .</t>
        </is>
      </c>
      <c r="B3267" t="inlineStr">
        <is>
          <t>KFM2020660051480</t>
        </is>
      </c>
      <c r="C3267" t="inlineStr">
        <is>
          <t>الرياض</t>
        </is>
      </c>
      <c r="D3267" t="inlineStr">
        <is>
          <t>كلا الفترتين</t>
        </is>
      </c>
      <c r="E3267" t="n">
        <v>772</v>
      </c>
      <c r="F3267" t="b">
        <v>0</v>
      </c>
      <c r="G3267">
        <f>HYPERLINK("https://www.google.com/maps/search/?api=1&amp;query=24.61602998,46.70073002", "View Map")</f>
        <v/>
      </c>
    </row>
    <row r="3268">
      <c r="A3268" t="inlineStr">
        <is>
          <t xml:space="preserve">   مسجد الزبيربن العوام .</t>
        </is>
      </c>
      <c r="B3268" t="inlineStr">
        <is>
          <t>KFM2020660162181</t>
        </is>
      </c>
      <c r="C3268" t="inlineStr">
        <is>
          <t>الرياض</t>
        </is>
      </c>
      <c r="D3268" t="inlineStr">
        <is>
          <t>صباحا</t>
        </is>
      </c>
      <c r="E3268" t="n">
        <v>772</v>
      </c>
      <c r="F3268" t="b">
        <v>0</v>
      </c>
      <c r="G3268">
        <f>HYPERLINK("https://www.google.com/maps/search/?api=1&amp;query=24.5738435,46.78920839", "View Map")</f>
        <v/>
      </c>
    </row>
    <row r="3269">
      <c r="A3269" t="inlineStr">
        <is>
          <t xml:space="preserve">   مسجد بن جبرين  حي الجنادريه .</t>
        </is>
      </c>
      <c r="B3269" t="inlineStr">
        <is>
          <t>KFM2020660133887</t>
        </is>
      </c>
      <c r="C3269" t="inlineStr">
        <is>
          <t>الرياض</t>
        </is>
      </c>
      <c r="D3269" t="inlineStr">
        <is>
          <t>مساءا</t>
        </is>
      </c>
      <c r="E3269" t="n">
        <v>770</v>
      </c>
      <c r="F3269" t="b">
        <v>0</v>
      </c>
      <c r="G3269">
        <f>HYPERLINK("https://www.google.com/maps/search/?api=1&amp;query=24.79737994,46.85992269", "View Map")</f>
        <v/>
      </c>
    </row>
    <row r="3270">
      <c r="A3270" t="inlineStr">
        <is>
          <t xml:space="preserve">   مسجد حي النظيم .</t>
        </is>
      </c>
      <c r="B3270" t="inlineStr">
        <is>
          <t>KFM2020660174851</t>
        </is>
      </c>
      <c r="C3270" t="inlineStr">
        <is>
          <t>الرياض</t>
        </is>
      </c>
      <c r="D3270" t="inlineStr">
        <is>
          <t>صباحا</t>
        </is>
      </c>
      <c r="E3270" t="n">
        <v>770</v>
      </c>
      <c r="F3270" t="b">
        <v>0</v>
      </c>
      <c r="G3270">
        <f>HYPERLINK("https://www.google.com/maps/search/?api=1&amp;query=24.8036957,46.90211765", "View Map")</f>
        <v/>
      </c>
    </row>
    <row r="3271">
      <c r="A3271" t="inlineStr">
        <is>
          <t xml:space="preserve">   مسجد الأندلس .</t>
        </is>
      </c>
      <c r="B3271" t="inlineStr">
        <is>
          <t>KFM2020660040606</t>
        </is>
      </c>
      <c r="C3271" t="inlineStr">
        <is>
          <t>الرياض</t>
        </is>
      </c>
      <c r="D3271" t="inlineStr">
        <is>
          <t>مساءا</t>
        </is>
      </c>
      <c r="E3271" t="n">
        <v>769</v>
      </c>
      <c r="F3271" t="b">
        <v>0</v>
      </c>
      <c r="G3271">
        <f>HYPERLINK("https://www.google.com/maps/search/?api=1&amp;query=24.75061858,46.78284778", "View Map")</f>
        <v/>
      </c>
    </row>
    <row r="3272">
      <c r="A3272" t="inlineStr">
        <is>
          <t>ﻭﺯﺍﺭﺓﺍﻟﺸﺌﻭﻥ ﺍﻻﺴﻼﻤﻴﺓﻭﺍﻻﻭﻗﺎﻑ .</t>
        </is>
      </c>
      <c r="B3272" t="inlineStr">
        <is>
          <t>KFM2020660202676</t>
        </is>
      </c>
      <c r="C3272" t="inlineStr">
        <is>
          <t>الرياض</t>
        </is>
      </c>
      <c r="D3272" t="inlineStr">
        <is>
          <t>مساءا</t>
        </is>
      </c>
      <c r="E3272" t="n">
        <v>768</v>
      </c>
      <c r="F3272" t="b">
        <v>0</v>
      </c>
      <c r="G3272">
        <f>HYPERLINK("https://www.google.com/maps/search/?api=1&amp;query=24.54339607,46.51293146", "View Map")</f>
        <v/>
      </c>
    </row>
    <row r="3273">
      <c r="A3273" t="inlineStr">
        <is>
          <t>ﻭﺯﺍﺭﺓﺍﻟﺸﺌﻭﻥ ﺍﻻﺴﻼﻤﻴﺓﻭﺍﻻﻭﻗﺎﻑ .</t>
        </is>
      </c>
      <c r="B3273" t="inlineStr">
        <is>
          <t>SMR2220621001928</t>
        </is>
      </c>
      <c r="C3273" t="inlineStr">
        <is>
          <t>الرياض</t>
        </is>
      </c>
      <c r="D3273" t="inlineStr">
        <is>
          <t>مساءا</t>
        </is>
      </c>
      <c r="E3273" t="n">
        <v>764</v>
      </c>
      <c r="F3273" t="b">
        <v>0</v>
      </c>
      <c r="G3273">
        <f>HYPERLINK("https://www.google.com/maps/search/?api=1&amp;query=24.55363955,46.6674507", "View Map")</f>
        <v/>
      </c>
    </row>
    <row r="3274">
      <c r="A3274" t="inlineStr">
        <is>
          <t>مسجد عمر بن الخطاب .</t>
        </is>
      </c>
      <c r="B3274" t="inlineStr">
        <is>
          <t>KFM2020660039916</t>
        </is>
      </c>
      <c r="C3274" t="inlineStr">
        <is>
          <t>الرياض</t>
        </is>
      </c>
      <c r="D3274" t="inlineStr">
        <is>
          <t>صباحا</t>
        </is>
      </c>
      <c r="E3274" t="n">
        <v>761</v>
      </c>
      <c r="F3274" t="b">
        <v>0</v>
      </c>
      <c r="G3274">
        <f>HYPERLINK("https://www.google.com/maps/search/?api=1&amp;query=24.57694573,46.66337742", "View Map")</f>
        <v/>
      </c>
    </row>
    <row r="3275">
      <c r="A3275" t="inlineStr">
        <is>
          <t>ﻭﺯﺍﺭﺓﺍﻟﺸﺌﻭﻥ ﺍﻻﺴﻼﻤﻴﺓﻭﺍﻻﻭﻗﺎﻑ .</t>
        </is>
      </c>
      <c r="B3275" t="inlineStr">
        <is>
          <t>KFM2020660200467</t>
        </is>
      </c>
      <c r="C3275" t="inlineStr">
        <is>
          <t>الرياض</t>
        </is>
      </c>
      <c r="D3275" t="inlineStr">
        <is>
          <t>مساءا</t>
        </is>
      </c>
      <c r="E3275" t="n">
        <v>761</v>
      </c>
      <c r="F3275" t="b">
        <v>0</v>
      </c>
      <c r="G3275">
        <f>HYPERLINK("https://www.google.com/maps/search/?api=1&amp;query=24.5594,46.5906", "View Map")</f>
        <v/>
      </c>
    </row>
    <row r="3276">
      <c r="A3276" t="inlineStr">
        <is>
          <t>ﻭﺯﺍﺭﺓﺍﻟﺸﺌﻭﻥ ﺍﻻﺴﻼﻤﻴﺓﻭﺍﻻﻭﻗﺎﻑ .</t>
        </is>
      </c>
      <c r="B3276" t="inlineStr">
        <is>
          <t>KFM2020660098952</t>
        </is>
      </c>
      <c r="C3276" t="inlineStr">
        <is>
          <t>الرياض</t>
        </is>
      </c>
      <c r="D3276" t="inlineStr">
        <is>
          <t>مساءا</t>
        </is>
      </c>
      <c r="E3276" t="n">
        <v>761</v>
      </c>
      <c r="F3276" t="b">
        <v>1</v>
      </c>
      <c r="G3276">
        <f>HYPERLINK("https://www.google.com/maps/search/?api=1&amp;query=24.55918816,46.53067916", "View Map")</f>
        <v/>
      </c>
    </row>
    <row r="3277">
      <c r="A3277" t="inlineStr">
        <is>
          <t xml:space="preserve">   مسجدامين العبدالعزيز .</t>
        </is>
      </c>
      <c r="B3277" t="inlineStr">
        <is>
          <t>KFM2020660234120</t>
        </is>
      </c>
      <c r="C3277" t="inlineStr">
        <is>
          <t>الرياض</t>
        </is>
      </c>
      <c r="D3277" t="inlineStr">
        <is>
          <t>مساءا</t>
        </is>
      </c>
      <c r="E3277" t="n">
        <v>760</v>
      </c>
      <c r="F3277" t="b">
        <v>1</v>
      </c>
      <c r="G3277">
        <f>HYPERLINK("https://www.google.com/maps/search/?api=1&amp;query=24.64131627,46.72210545", "View Map")</f>
        <v/>
      </c>
    </row>
    <row r="3278">
      <c r="A3278" t="inlineStr">
        <is>
          <t>ﻤﺴﺎﺠﺩ .</t>
        </is>
      </c>
      <c r="B3278" t="inlineStr">
        <is>
          <t>SMR2220661006157</t>
        </is>
      </c>
      <c r="C3278" t="inlineStr">
        <is>
          <t>الرياض</t>
        </is>
      </c>
      <c r="D3278" t="inlineStr">
        <is>
          <t>كلا الفترتين</t>
        </is>
      </c>
      <c r="E3278" t="n">
        <v>757</v>
      </c>
      <c r="F3278" t="b">
        <v>0</v>
      </c>
      <c r="G3278">
        <f>HYPERLINK("https://www.google.com/maps/search/?api=1&amp;query=24.62169553,46.74022461", "View Map")</f>
        <v/>
      </c>
    </row>
    <row r="3279">
      <c r="A3279" t="inlineStr">
        <is>
          <t>ﻤﺴﺎﺠﺩ .</t>
        </is>
      </c>
      <c r="B3279" t="inlineStr">
        <is>
          <t>KFM2120660254626</t>
        </is>
      </c>
      <c r="C3279" t="inlineStr">
        <is>
          <t>الرياض</t>
        </is>
      </c>
      <c r="D3279" t="inlineStr">
        <is>
          <t>مساءا</t>
        </is>
      </c>
      <c r="E3279" t="n">
        <v>754</v>
      </c>
      <c r="F3279" t="b">
        <v>1</v>
      </c>
      <c r="G3279">
        <f>HYPERLINK("https://www.google.com/maps/search/?api=1&amp;query=24.57526456,46.75556312", "View Map")</f>
        <v/>
      </c>
    </row>
    <row r="3280">
      <c r="A3280" t="inlineStr">
        <is>
          <t>جامع ابوبكرالصديق .</t>
        </is>
      </c>
      <c r="B3280" t="inlineStr">
        <is>
          <t>KFM2020660053775</t>
        </is>
      </c>
      <c r="C3280" t="inlineStr">
        <is>
          <t>الرياض</t>
        </is>
      </c>
      <c r="D3280" t="inlineStr">
        <is>
          <t>مساءا</t>
        </is>
      </c>
      <c r="E3280" t="n">
        <v>754</v>
      </c>
      <c r="F3280" t="b">
        <v>0</v>
      </c>
      <c r="G3280">
        <f>HYPERLINK("https://www.google.com/maps/search/?api=1&amp;query=24.60219016,46.6008155", "View Map")</f>
        <v/>
      </c>
    </row>
    <row r="3281">
      <c r="A3281" t="inlineStr">
        <is>
          <t>مسجد انس  بن مالك .</t>
        </is>
      </c>
      <c r="B3281" t="inlineStr">
        <is>
          <t>KFM2020660013877</t>
        </is>
      </c>
      <c r="C3281" t="inlineStr">
        <is>
          <t>الرياض</t>
        </is>
      </c>
      <c r="D3281" t="inlineStr">
        <is>
          <t>صباحا</t>
        </is>
      </c>
      <c r="E3281" t="n">
        <v>754</v>
      </c>
      <c r="F3281" t="b">
        <v>0</v>
      </c>
      <c r="G3281">
        <f>HYPERLINK("https://www.google.com/maps/search/?api=1&amp;query=24.58377764,46.61782926", "View Map")</f>
        <v/>
      </c>
    </row>
    <row r="3282">
      <c r="A3282" t="inlineStr">
        <is>
          <t xml:space="preserve">   وزارة الشئون الاسلامية والاوقاف .</t>
        </is>
      </c>
      <c r="B3282" t="inlineStr">
        <is>
          <t>KFM2020660192251</t>
        </is>
      </c>
      <c r="C3282" t="inlineStr">
        <is>
          <t>الرياض</t>
        </is>
      </c>
      <c r="D3282" t="inlineStr">
        <is>
          <t>صباحا</t>
        </is>
      </c>
      <c r="E3282" t="n">
        <v>752</v>
      </c>
      <c r="F3282" t="b">
        <v>0</v>
      </c>
      <c r="G3282">
        <f>HYPERLINK("https://www.google.com/maps/search/?api=1&amp;query=24.80904123,46.61491159", "View Map")</f>
        <v/>
      </c>
    </row>
    <row r="3283">
      <c r="A3283" t="inlineStr">
        <is>
          <t>مسجد التيسير .</t>
        </is>
      </c>
      <c r="B3283" t="inlineStr">
        <is>
          <t>KFM2020660053114</t>
        </is>
      </c>
      <c r="C3283" t="inlineStr">
        <is>
          <t>الرياض</t>
        </is>
      </c>
      <c r="D3283" t="inlineStr">
        <is>
          <t>كلا الفترتين</t>
        </is>
      </c>
      <c r="E3283" t="n">
        <v>752</v>
      </c>
      <c r="F3283" t="b">
        <v>0</v>
      </c>
      <c r="G3283">
        <f>HYPERLINK("https://www.google.com/maps/search/?api=1&amp;query=24.61005496,46.72750178", "View Map")</f>
        <v/>
      </c>
    </row>
    <row r="3284">
      <c r="A3284" t="inlineStr">
        <is>
          <t>مسجد  /بن دايل .</t>
        </is>
      </c>
      <c r="B3284" t="inlineStr">
        <is>
          <t>KFM2020660011928</t>
        </is>
      </c>
      <c r="C3284" t="inlineStr">
        <is>
          <t>الرياض</t>
        </is>
      </c>
      <c r="D3284" t="inlineStr">
        <is>
          <t>كلا الفترتين</t>
        </is>
      </c>
      <c r="E3284" t="n">
        <v>747</v>
      </c>
      <c r="F3284" t="b">
        <v>0</v>
      </c>
      <c r="G3284">
        <f>HYPERLINK("https://www.google.com/maps/search/?api=1&amp;query=24.59348503,46.71886475", "View Map")</f>
        <v/>
      </c>
    </row>
    <row r="3285">
      <c r="A3285" t="inlineStr">
        <is>
          <t xml:space="preserve">   مسجد حي النور .</t>
        </is>
      </c>
      <c r="B3285" t="inlineStr">
        <is>
          <t>KFM2120660242219</t>
        </is>
      </c>
      <c r="C3285" t="inlineStr">
        <is>
          <t>الرياض</t>
        </is>
      </c>
      <c r="D3285" t="inlineStr">
        <is>
          <t>صباحا</t>
        </is>
      </c>
      <c r="E3285" t="n">
        <v>746</v>
      </c>
      <c r="F3285" t="b">
        <v>0</v>
      </c>
      <c r="G3285">
        <f>HYPERLINK("https://www.google.com/maps/search/?api=1&amp;query=24.64886805,46.80071501", "View Map")</f>
        <v/>
      </c>
    </row>
    <row r="3286">
      <c r="A3286" t="inlineStr">
        <is>
          <t xml:space="preserve">   مسجد عبدالمجيد ال الشيخ .</t>
        </is>
      </c>
      <c r="B3286" t="inlineStr">
        <is>
          <t>KFM2020660187920</t>
        </is>
      </c>
      <c r="C3286" t="inlineStr">
        <is>
          <t>الرياض</t>
        </is>
      </c>
      <c r="D3286" t="inlineStr">
        <is>
          <t>صباحا</t>
        </is>
      </c>
      <c r="E3286" t="n">
        <v>746</v>
      </c>
      <c r="F3286" t="b">
        <v>0</v>
      </c>
      <c r="G3286">
        <f>HYPERLINK("https://www.google.com/maps/search/?api=1&amp;query=24.76276,46.61216", "View Map")</f>
        <v/>
      </c>
    </row>
    <row r="3287">
      <c r="A3287" t="inlineStr">
        <is>
          <t>مسجد      عبدالرحمن المزيعل .</t>
        </is>
      </c>
      <c r="B3287" t="inlineStr">
        <is>
          <t>KFM2020660087457</t>
        </is>
      </c>
      <c r="C3287" t="inlineStr">
        <is>
          <t>الرياض</t>
        </is>
      </c>
      <c r="D3287" t="inlineStr">
        <is>
          <t>مساءا</t>
        </is>
      </c>
      <c r="E3287" t="n">
        <v>743</v>
      </c>
      <c r="F3287" t="b">
        <v>0</v>
      </c>
      <c r="G3287">
        <f>HYPERLINK("https://www.google.com/maps/search/?api=1&amp;query=24.52819929,46.68851228", "View Map")</f>
        <v/>
      </c>
    </row>
    <row r="3288">
      <c r="A3288" t="inlineStr">
        <is>
          <t xml:space="preserve">   مسجد/ الشعيفي   بالعيينه .</t>
        </is>
      </c>
      <c r="B3288" t="inlineStr">
        <is>
          <t>LYE2020810456118</t>
        </is>
      </c>
      <c r="C3288" t="inlineStr">
        <is>
          <t>الدرعية</t>
        </is>
      </c>
      <c r="D3288" t="inlineStr">
        <is>
          <t>مساءا</t>
        </is>
      </c>
      <c r="E3288" t="n">
        <v>741</v>
      </c>
      <c r="F3288" t="b">
        <v>0</v>
      </c>
      <c r="G3288">
        <f>HYPERLINK("https://www.google.com/maps/search/?api=1&amp;query=24.90976853,46.38775768", "View Map")</f>
        <v/>
      </c>
    </row>
    <row r="3289">
      <c r="A3289" t="inlineStr">
        <is>
          <t xml:space="preserve">   مسجد ناصر المنيع .</t>
        </is>
      </c>
      <c r="B3289" t="inlineStr">
        <is>
          <t>KFM2020660208145</t>
        </is>
      </c>
      <c r="C3289" t="inlineStr">
        <is>
          <t>الدرعية</t>
        </is>
      </c>
      <c r="D3289" t="inlineStr">
        <is>
          <t>صباحا</t>
        </is>
      </c>
      <c r="E3289" t="n">
        <v>741</v>
      </c>
      <c r="F3289" t="b">
        <v>0</v>
      </c>
      <c r="G3289">
        <f>HYPERLINK("https://www.google.com/maps/search/?api=1&amp;query=24.74697581,46.5715762", "View Map")</f>
        <v/>
      </c>
    </row>
    <row r="3290">
      <c r="A3290" t="inlineStr">
        <is>
          <t>مسجد      محمد      ابوشنق .</t>
        </is>
      </c>
      <c r="B3290" t="inlineStr">
        <is>
          <t>KFM2020660013549</t>
        </is>
      </c>
      <c r="C3290" t="inlineStr">
        <is>
          <t>الرياض</t>
        </is>
      </c>
      <c r="D3290" t="inlineStr">
        <is>
          <t>مساءا</t>
        </is>
      </c>
      <c r="E3290" t="n">
        <v>740</v>
      </c>
      <c r="F3290" t="b">
        <v>0</v>
      </c>
      <c r="G3290">
        <f>HYPERLINK("https://www.google.com/maps/search/?api=1&amp;query=24.60327368,46.62571168", "View Map")</f>
        <v/>
      </c>
    </row>
    <row r="3291">
      <c r="A3291" t="inlineStr">
        <is>
          <t>مسجد الشويعر .</t>
        </is>
      </c>
      <c r="B3291" t="inlineStr">
        <is>
          <t>KFM2020660015370</t>
        </is>
      </c>
      <c r="C3291" t="inlineStr">
        <is>
          <t>الرياض</t>
        </is>
      </c>
      <c r="D3291" t="inlineStr">
        <is>
          <t>مساءا</t>
        </is>
      </c>
      <c r="E3291" t="n">
        <v>737</v>
      </c>
      <c r="F3291" t="b">
        <v>1</v>
      </c>
      <c r="G3291">
        <f>HYPERLINK("https://www.google.com/maps/search/?api=1&amp;query=24.59388837,46.59087851", "View Map")</f>
        <v/>
      </c>
    </row>
    <row r="3292">
      <c r="A3292" t="inlineStr">
        <is>
          <t>مسجد بحي بدر (عبدالمجيدال  الشيخ .</t>
        </is>
      </c>
      <c r="B3292" t="inlineStr">
        <is>
          <t>KFM2020660171571</t>
        </is>
      </c>
      <c r="C3292" t="inlineStr">
        <is>
          <t>الرياض</t>
        </is>
      </c>
      <c r="D3292" t="inlineStr">
        <is>
          <t>مساءا</t>
        </is>
      </c>
      <c r="E3292" t="n">
        <v>737</v>
      </c>
      <c r="F3292" t="b">
        <v>1</v>
      </c>
      <c r="G3292">
        <f>HYPERLINK("https://www.google.com/maps/search/?api=1&amp;query=24.54654235,46.70081307", "View Map")</f>
        <v/>
      </c>
    </row>
    <row r="3293">
      <c r="A3293" t="inlineStr">
        <is>
          <t>مسجد      ..        عتيقه .</t>
        </is>
      </c>
      <c r="B3293" t="inlineStr">
        <is>
          <t>KFM2020660168515</t>
        </is>
      </c>
      <c r="C3293" t="inlineStr">
        <is>
          <t>الرياض</t>
        </is>
      </c>
      <c r="D3293" t="inlineStr">
        <is>
          <t>مساءا</t>
        </is>
      </c>
      <c r="E3293" t="n">
        <v>734</v>
      </c>
      <c r="F3293" t="b">
        <v>0</v>
      </c>
      <c r="G3293">
        <f>HYPERLINK("https://www.google.com/maps/search/?api=1&amp;query=24.59932821,46.71034877", "View Map")</f>
        <v/>
      </c>
    </row>
    <row r="3294">
      <c r="A3294" t="inlineStr">
        <is>
          <t>.     المسجد    الموقت .</t>
        </is>
      </c>
      <c r="B3294" t="inlineStr">
        <is>
          <t>KFM2020660199024</t>
        </is>
      </c>
      <c r="C3294" t="inlineStr">
        <is>
          <t>الرياض</t>
        </is>
      </c>
      <c r="D3294" t="inlineStr">
        <is>
          <t>صباحا</t>
        </is>
      </c>
      <c r="E3294" t="n">
        <v>733</v>
      </c>
      <c r="F3294" t="b">
        <v>0</v>
      </c>
      <c r="G3294">
        <f>HYPERLINK("https://www.google.com/maps/search/?api=1&amp;query=24.58768276,46.60791824", "View Map")</f>
        <v/>
      </c>
    </row>
    <row r="3295">
      <c r="A3295" t="inlineStr">
        <is>
          <t>. مسجد      خي السويدي .</t>
        </is>
      </c>
      <c r="B3295" t="inlineStr">
        <is>
          <t>KFM2020660051652</t>
        </is>
      </c>
      <c r="C3295" t="inlineStr">
        <is>
          <t>الرياض</t>
        </is>
      </c>
      <c r="D3295" t="inlineStr">
        <is>
          <t>صباحا</t>
        </is>
      </c>
      <c r="E3295" t="n">
        <v>733</v>
      </c>
      <c r="F3295" t="b">
        <v>0</v>
      </c>
      <c r="G3295">
        <f>HYPERLINK("https://www.google.com/maps/search/?api=1&amp;query=24.58262578,46.6446629", "View Map")</f>
        <v/>
      </c>
    </row>
    <row r="3296">
      <c r="A3296" t="inlineStr">
        <is>
          <t>مسجد البراءبن مالك .</t>
        </is>
      </c>
      <c r="B3296" t="inlineStr">
        <is>
          <t>KFM2020660115823</t>
        </is>
      </c>
      <c r="C3296" t="inlineStr">
        <is>
          <t>الرياض</t>
        </is>
      </c>
      <c r="D3296" t="inlineStr">
        <is>
          <t>مساءا</t>
        </is>
      </c>
      <c r="E3296" t="n">
        <v>733</v>
      </c>
      <c r="F3296" t="b">
        <v>0</v>
      </c>
      <c r="G3296">
        <f>HYPERLINK("https://www.google.com/maps/search/?api=1&amp;query=24.54293969,46.72050705", "View Map")</f>
        <v/>
      </c>
    </row>
    <row r="3297">
      <c r="A3297" t="inlineStr">
        <is>
          <t xml:space="preserve">   مسجد حي الفيحاء .</t>
        </is>
      </c>
      <c r="B3297" t="inlineStr">
        <is>
          <t>KFM2120660271672</t>
        </is>
      </c>
      <c r="C3297" t="inlineStr">
        <is>
          <t>الرياض</t>
        </is>
      </c>
      <c r="D3297" t="inlineStr">
        <is>
          <t>مساءا</t>
        </is>
      </c>
      <c r="E3297" t="n">
        <v>732</v>
      </c>
      <c r="F3297" t="b">
        <v>1</v>
      </c>
      <c r="G3297">
        <f>HYPERLINK("https://www.google.com/maps/search/?api=1&amp;query=24.68233004,46.8225652", "View Map")</f>
        <v/>
      </c>
    </row>
    <row r="3298">
      <c r="A3298" t="inlineStr">
        <is>
          <t xml:space="preserve"> مسجد صالح النملة/مدرسة تحفيظ القران .</t>
        </is>
      </c>
      <c r="B3298" t="inlineStr">
        <is>
          <t>SMR2220661018886</t>
        </is>
      </c>
      <c r="C3298" t="inlineStr">
        <is>
          <t>الرياض</t>
        </is>
      </c>
      <c r="D3298" t="inlineStr">
        <is>
          <t>مساءا</t>
        </is>
      </c>
      <c r="E3298" t="n">
        <v>732</v>
      </c>
      <c r="F3298" t="b">
        <v>0</v>
      </c>
      <c r="G3298">
        <f>HYPERLINK("https://www.google.com/maps/search/?api=1&amp;query=24.70453736,46.74207678", "View Map")</f>
        <v/>
      </c>
    </row>
    <row r="3299">
      <c r="A3299" t="inlineStr">
        <is>
          <t xml:space="preserve">   مسجد/راشداحمدالثنيان .</t>
        </is>
      </c>
      <c r="B3299" t="inlineStr">
        <is>
          <t>KFM2120660304592</t>
        </is>
      </c>
      <c r="C3299" t="inlineStr">
        <is>
          <t>الرياض</t>
        </is>
      </c>
      <c r="D3299" t="inlineStr">
        <is>
          <t>مساءا</t>
        </is>
      </c>
      <c r="E3299" t="n">
        <v>730</v>
      </c>
      <c r="F3299" t="b">
        <v>0</v>
      </c>
      <c r="G3299">
        <f>HYPERLINK("https://www.google.com/maps/search/?api=1&amp;query=24.63024458,46.84919024", "View Map")</f>
        <v/>
      </c>
    </row>
    <row r="3300">
      <c r="A3300" t="inlineStr">
        <is>
          <t xml:space="preserve">   مسجدحى المعذر .</t>
        </is>
      </c>
      <c r="B3300" t="inlineStr">
        <is>
          <t>KFM2020760131612</t>
        </is>
      </c>
      <c r="C3300" t="inlineStr">
        <is>
          <t>الرياض</t>
        </is>
      </c>
      <c r="D3300" t="inlineStr">
        <is>
          <t>مساءا</t>
        </is>
      </c>
      <c r="E3300" t="n">
        <v>730</v>
      </c>
      <c r="F3300" t="b">
        <v>0</v>
      </c>
      <c r="G3300">
        <f>HYPERLINK("https://www.google.com/maps/search/?api=1&amp;query=24.64807603,46.55830112", "View Map")</f>
        <v/>
      </c>
    </row>
    <row r="3301">
      <c r="A3301" t="inlineStr">
        <is>
          <t xml:space="preserve">   مسجد النور .</t>
        </is>
      </c>
      <c r="B3301" t="inlineStr">
        <is>
          <t>KFM2120660235659</t>
        </is>
      </c>
      <c r="C3301" t="inlineStr">
        <is>
          <t>الرياض</t>
        </is>
      </c>
      <c r="D3301" t="inlineStr">
        <is>
          <t>مساءا</t>
        </is>
      </c>
      <c r="E3301" t="n">
        <v>729</v>
      </c>
      <c r="F3301" t="b">
        <v>0</v>
      </c>
      <c r="G3301">
        <f>HYPERLINK("https://www.google.com/maps/search/?api=1&amp;query=24.634413,46.80356943", "View Map")</f>
        <v/>
      </c>
    </row>
    <row r="3302">
      <c r="A3302" t="inlineStr">
        <is>
          <t>ﻭﺯﺍﺭﺓﺍﻟﺸﺌﻭﻥ ﺍﻻﺴﻼﻤﻴﺓﻭﺍﻻﻭﻗﺎﻑ .</t>
        </is>
      </c>
      <c r="B3302" t="inlineStr">
        <is>
          <t>SMR2320661022736</t>
        </is>
      </c>
      <c r="C3302" t="inlineStr">
        <is>
          <t>الرياض</t>
        </is>
      </c>
      <c r="D3302" t="inlineStr">
        <is>
          <t>مساءا</t>
        </is>
      </c>
      <c r="E3302" t="n">
        <v>727</v>
      </c>
      <c r="F3302" t="b">
        <v>1</v>
      </c>
      <c r="G3302">
        <f>HYPERLINK("https://www.google.com/maps/search/?api=1&amp;query=24.5016583,46.66427185", "View Map")</f>
        <v/>
      </c>
    </row>
    <row r="3303">
      <c r="A3303" t="inlineStr">
        <is>
          <t>مسجد محمد السلمان اليحى .</t>
        </is>
      </c>
      <c r="B3303" t="inlineStr">
        <is>
          <t>KFM2020660198312</t>
        </is>
      </c>
      <c r="C3303" t="inlineStr">
        <is>
          <t>الرياض</t>
        </is>
      </c>
      <c r="D3303" t="inlineStr">
        <is>
          <t>مساءا</t>
        </is>
      </c>
      <c r="E3303" t="n">
        <v>726</v>
      </c>
      <c r="F3303" t="b">
        <v>0</v>
      </c>
      <c r="G3303">
        <f>HYPERLINK("https://www.google.com/maps/search/?api=1&amp;query=24.62184641,46.67882586", "View Map")</f>
        <v/>
      </c>
    </row>
    <row r="3304">
      <c r="A3304" t="inlineStr">
        <is>
          <t>ﻤﺴﺎﺠﺩ .</t>
        </is>
      </c>
      <c r="B3304" t="inlineStr">
        <is>
          <t>KFM2020660176739</t>
        </is>
      </c>
      <c r="C3304" t="inlineStr">
        <is>
          <t>الرياض</t>
        </is>
      </c>
      <c r="D3304" t="inlineStr">
        <is>
          <t>مساءا</t>
        </is>
      </c>
      <c r="E3304" t="n">
        <v>725</v>
      </c>
      <c r="F3304" t="b">
        <v>1</v>
      </c>
      <c r="G3304">
        <f>HYPERLINK("https://www.google.com/maps/search/?api=1&amp;query=24.80907716,46.60710124", "View Map")</f>
        <v/>
      </c>
    </row>
    <row r="3305">
      <c r="A3305" t="inlineStr">
        <is>
          <t>ﻤﺴﺎﺠﺩ .</t>
        </is>
      </c>
      <c r="B3305" t="inlineStr">
        <is>
          <t>KFM2020660174816</t>
        </is>
      </c>
      <c r="C3305" t="inlineStr">
        <is>
          <t>الرياض</t>
        </is>
      </c>
      <c r="D3305" t="inlineStr">
        <is>
          <t>مساءا</t>
        </is>
      </c>
      <c r="E3305" t="n">
        <v>724</v>
      </c>
      <c r="F3305" t="b">
        <v>1</v>
      </c>
      <c r="G3305">
        <f>HYPERLINK("https://www.google.com/maps/search/?api=1&amp;query=24.806819,46.82055937", "View Map")</f>
        <v/>
      </c>
    </row>
    <row r="3306">
      <c r="A3306" t="inlineStr">
        <is>
          <t xml:space="preserve">   مسجد ضاحية القدس .</t>
        </is>
      </c>
      <c r="B3306" t="inlineStr">
        <is>
          <t>KFM2020660056887</t>
        </is>
      </c>
      <c r="C3306" t="inlineStr">
        <is>
          <t>الرياض</t>
        </is>
      </c>
      <c r="D3306" t="inlineStr">
        <is>
          <t>مساءا</t>
        </is>
      </c>
      <c r="E3306" t="n">
        <v>723</v>
      </c>
      <c r="F3306" t="b">
        <v>1</v>
      </c>
      <c r="G3306">
        <f>HYPERLINK("https://www.google.com/maps/search/?api=1&amp;query=24.74515969,46.75285959", "View Map")</f>
        <v/>
      </c>
    </row>
    <row r="3307">
      <c r="A3307" t="inlineStr">
        <is>
          <t>مسجد      والدة الاميرسلمان بن محم .</t>
        </is>
      </c>
      <c r="B3307" t="inlineStr">
        <is>
          <t>KFM2020660171802</t>
        </is>
      </c>
      <c r="C3307" t="inlineStr">
        <is>
          <t>الرياض</t>
        </is>
      </c>
      <c r="D3307" t="inlineStr">
        <is>
          <t>مساءا</t>
        </is>
      </c>
      <c r="E3307" t="n">
        <v>722</v>
      </c>
      <c r="F3307" t="b">
        <v>1</v>
      </c>
      <c r="G3307">
        <f>HYPERLINK("https://www.google.com/maps/search/?api=1&amp;query=24.4880591,46.625285", "View Map")</f>
        <v/>
      </c>
    </row>
    <row r="3308">
      <c r="A3308" t="inlineStr">
        <is>
          <t>وزارة الشئون الا سلا مية والااوقاف .</t>
        </is>
      </c>
      <c r="B3308" t="inlineStr">
        <is>
          <t>KFM2020660192535</t>
        </is>
      </c>
      <c r="C3308" t="inlineStr">
        <is>
          <t>الرياض</t>
        </is>
      </c>
      <c r="D3308" t="inlineStr">
        <is>
          <t>مساءا</t>
        </is>
      </c>
      <c r="E3308" t="n">
        <v>721</v>
      </c>
      <c r="F3308" t="b">
        <v>1</v>
      </c>
      <c r="G3308">
        <f>HYPERLINK("https://www.google.com/maps/search/?api=1&amp;query=24.55604611,46.69934432", "View Map")</f>
        <v/>
      </c>
    </row>
    <row r="3309">
      <c r="A3309" t="inlineStr">
        <is>
          <t>ﻭﺯﺍﺭﺓﺍﻟﺸﺌﻭﻥ ﺍﻻﺴﻼﻤﻴﺓﻭﺍﻻﻭﻗﺎﻑ .</t>
        </is>
      </c>
      <c r="B3309" t="inlineStr">
        <is>
          <t>KFM2120660302091</t>
        </is>
      </c>
      <c r="C3309" t="inlineStr">
        <is>
          <t>الرياض</t>
        </is>
      </c>
      <c r="D3309" t="inlineStr">
        <is>
          <t>مساءا</t>
        </is>
      </c>
      <c r="E3309" t="n">
        <v>717</v>
      </c>
      <c r="F3309" t="b">
        <v>1</v>
      </c>
      <c r="G3309">
        <f>HYPERLINK("https://www.google.com/maps/search/?api=1&amp;query=24.6239875,46.8026029", "View Map")</f>
        <v/>
      </c>
    </row>
    <row r="3310">
      <c r="A3310" t="inlineStr">
        <is>
          <t>مسجد السدحان .</t>
        </is>
      </c>
      <c r="B3310" t="inlineStr">
        <is>
          <t>KFM2020660054977</t>
        </is>
      </c>
      <c r="C3310" t="inlineStr">
        <is>
          <t>الرياض</t>
        </is>
      </c>
      <c r="D3310" t="inlineStr">
        <is>
          <t>كلا الفترتين</t>
        </is>
      </c>
      <c r="E3310" t="n">
        <v>717</v>
      </c>
      <c r="F3310" t="b">
        <v>0</v>
      </c>
      <c r="G3310">
        <f>HYPERLINK("https://www.google.com/maps/search/?api=1&amp;query=24.59376315,46.63743831", "View Map")</f>
        <v/>
      </c>
    </row>
    <row r="3311">
      <c r="A3311" t="inlineStr">
        <is>
          <t>ﻤﺴﺎﺠﺩ .</t>
        </is>
      </c>
      <c r="B3311" t="inlineStr">
        <is>
          <t>SMR2220661000139</t>
        </is>
      </c>
      <c r="C3311" t="inlineStr">
        <is>
          <t>الرياض</t>
        </is>
      </c>
      <c r="D3311" t="inlineStr">
        <is>
          <t>مساءا</t>
        </is>
      </c>
      <c r="E3311" t="n">
        <v>715</v>
      </c>
      <c r="F3311" t="b">
        <v>1</v>
      </c>
      <c r="G3311">
        <f>HYPERLINK("https://www.google.com/maps/search/?api=1&amp;query=24.93037602,46.79306524", "View Map")</f>
        <v/>
      </c>
    </row>
    <row r="3312">
      <c r="A3312" t="inlineStr">
        <is>
          <t>مسجد زين العابدين .</t>
        </is>
      </c>
      <c r="B3312" t="inlineStr">
        <is>
          <t>KFM2020660015222</t>
        </is>
      </c>
      <c r="C3312" t="inlineStr">
        <is>
          <t>الرياض</t>
        </is>
      </c>
      <c r="D3312" t="inlineStr">
        <is>
          <t>صباحا</t>
        </is>
      </c>
      <c r="E3312" t="n">
        <v>713</v>
      </c>
      <c r="F3312" t="b">
        <v>0</v>
      </c>
      <c r="G3312">
        <f>HYPERLINK("https://www.google.com/maps/search/?api=1&amp;query=24.58574158,46.5890097", "View Map")</f>
        <v/>
      </c>
    </row>
    <row r="3313">
      <c r="A3313" t="inlineStr">
        <is>
          <t>ﻤﺴﺎﺠﺩ .</t>
        </is>
      </c>
      <c r="B3313" t="inlineStr">
        <is>
          <t>KFM2020660104275</t>
        </is>
      </c>
      <c r="C3313" t="inlineStr">
        <is>
          <t>الرياض</t>
        </is>
      </c>
      <c r="D3313" t="inlineStr">
        <is>
          <t>مساءا</t>
        </is>
      </c>
      <c r="E3313" t="n">
        <v>713</v>
      </c>
      <c r="F3313" t="b">
        <v>0</v>
      </c>
      <c r="G3313">
        <f>HYPERLINK("https://www.google.com/maps/search/?api=1&amp;query=24.63591152,46.60749751", "View Map")</f>
        <v/>
      </c>
    </row>
    <row r="3314">
      <c r="A3314" t="inlineStr">
        <is>
          <t>ﻤﺴﺎﺠﺩ .</t>
        </is>
      </c>
      <c r="B3314" t="inlineStr">
        <is>
          <t>SMR2220661007834</t>
        </is>
      </c>
      <c r="C3314" t="inlineStr">
        <is>
          <t>الدرعية</t>
        </is>
      </c>
      <c r="D3314" t="inlineStr">
        <is>
          <t>مساءا</t>
        </is>
      </c>
      <c r="E3314" t="n">
        <v>712</v>
      </c>
      <c r="F3314" t="b">
        <v>1</v>
      </c>
      <c r="G3314">
        <f>HYPERLINK("https://www.google.com/maps/search/?api=1&amp;query=24.8227849,46.56191974", "View Map")</f>
        <v/>
      </c>
    </row>
    <row r="3315">
      <c r="A3315" t="inlineStr">
        <is>
          <t>مسجد نوره  المنديل .</t>
        </is>
      </c>
      <c r="B3315" t="inlineStr">
        <is>
          <t>KFM2020660044492</t>
        </is>
      </c>
      <c r="C3315" t="inlineStr">
        <is>
          <t>الرياض</t>
        </is>
      </c>
      <c r="D3315" t="inlineStr">
        <is>
          <t>كلا الفترتين</t>
        </is>
      </c>
      <c r="E3315" t="n">
        <v>711</v>
      </c>
      <c r="F3315" t="b">
        <v>0</v>
      </c>
      <c r="G3315">
        <f>HYPERLINK("https://www.google.com/maps/search/?api=1&amp;query=24.61795401,46.6575625", "View Map")</f>
        <v/>
      </c>
    </row>
    <row r="3316">
      <c r="A3316" t="inlineStr">
        <is>
          <t>مسجد      جامع      التقوى .</t>
        </is>
      </c>
      <c r="B3316" t="inlineStr">
        <is>
          <t>KFM2020660060707</t>
        </is>
      </c>
      <c r="C3316" t="inlineStr">
        <is>
          <t>الرياض</t>
        </is>
      </c>
      <c r="D3316" t="inlineStr">
        <is>
          <t>صباحا</t>
        </is>
      </c>
      <c r="E3316" t="n">
        <v>710</v>
      </c>
      <c r="F3316" t="b">
        <v>1</v>
      </c>
      <c r="G3316">
        <f>HYPERLINK("https://www.google.com/maps/search/?api=1&amp;query=24.5448554,46.66719189", "View Map")</f>
        <v/>
      </c>
    </row>
    <row r="3317">
      <c r="A3317" t="inlineStr">
        <is>
          <t>مسجد حى  ال  فريان .</t>
        </is>
      </c>
      <c r="B3317" t="inlineStr">
        <is>
          <t>KFM2020660006593</t>
        </is>
      </c>
      <c r="C3317" t="inlineStr">
        <is>
          <t>الرياض</t>
        </is>
      </c>
      <c r="D3317" t="inlineStr">
        <is>
          <t>مساءا</t>
        </is>
      </c>
      <c r="E3317" t="n">
        <v>709</v>
      </c>
      <c r="F3317" t="b">
        <v>0</v>
      </c>
      <c r="G3317">
        <f>HYPERLINK("https://www.google.com/maps/search/?api=1&amp;query=24.57131171,46.63469077", "View Map")</f>
        <v/>
      </c>
    </row>
    <row r="3318">
      <c r="A3318" t="inlineStr">
        <is>
          <t xml:space="preserve">   مسجد/ثنيان فهد الثنيان .</t>
        </is>
      </c>
      <c r="B3318" t="inlineStr">
        <is>
          <t>KFM2020660173414</t>
        </is>
      </c>
      <c r="C3318" t="inlineStr">
        <is>
          <t>الرياض</t>
        </is>
      </c>
      <c r="D3318" t="inlineStr">
        <is>
          <t>مساءا</t>
        </is>
      </c>
      <c r="E3318" t="n">
        <v>708</v>
      </c>
      <c r="F3318" t="b">
        <v>0</v>
      </c>
      <c r="G3318">
        <f>HYPERLINK("https://www.google.com/maps/search/?api=1&amp;query=24.68707294,46.66600359", "View Map")</f>
        <v/>
      </c>
    </row>
    <row r="3319">
      <c r="A3319" t="inlineStr">
        <is>
          <t xml:space="preserve">   مسجد العزيزية .</t>
        </is>
      </c>
      <c r="B3319" t="inlineStr">
        <is>
          <t>KFM2120660247506</t>
        </is>
      </c>
      <c r="C3319" t="inlineStr">
        <is>
          <t>الرياض</t>
        </is>
      </c>
      <c r="D3319" t="inlineStr">
        <is>
          <t>صباحا</t>
        </is>
      </c>
      <c r="E3319" t="n">
        <v>707</v>
      </c>
      <c r="F3319" t="b">
        <v>0</v>
      </c>
      <c r="G3319">
        <f>HYPERLINK("https://www.google.com/maps/search/?api=1&amp;query=24.58620477,46.77999275", "View Map")</f>
        <v/>
      </c>
    </row>
    <row r="3320">
      <c r="A3320" t="inlineStr">
        <is>
          <t xml:space="preserve">   مسجدصالح الصانع .</t>
        </is>
      </c>
      <c r="B3320" t="inlineStr">
        <is>
          <t>KFM2020660058047</t>
        </is>
      </c>
      <c r="C3320" t="inlineStr">
        <is>
          <t>الرياض</t>
        </is>
      </c>
      <c r="D3320" t="inlineStr">
        <is>
          <t>مساءا</t>
        </is>
      </c>
      <c r="E3320" t="n">
        <v>706</v>
      </c>
      <c r="F3320" t="b">
        <v>0</v>
      </c>
      <c r="G3320">
        <f>HYPERLINK("https://www.google.com/maps/search/?api=1&amp;query=24.78235971,46.75069655", "View Map")</f>
        <v/>
      </c>
    </row>
    <row r="3321">
      <c r="A3321" t="inlineStr">
        <is>
          <t xml:space="preserve">   مسجد الشلفان .</t>
        </is>
      </c>
      <c r="B3321" t="inlineStr">
        <is>
          <t>KFM2020660173972</t>
        </is>
      </c>
      <c r="C3321" t="inlineStr">
        <is>
          <t>الرياض</t>
        </is>
      </c>
      <c r="D3321" t="inlineStr">
        <is>
          <t>مساءا</t>
        </is>
      </c>
      <c r="E3321" t="n">
        <v>705</v>
      </c>
      <c r="F3321" t="b">
        <v>0</v>
      </c>
      <c r="G3321">
        <f>HYPERLINK("https://www.google.com/maps/search/?api=1&amp;query=24.83713771,46.76798431", "View Map")</f>
        <v/>
      </c>
    </row>
    <row r="3322">
      <c r="A3322" t="inlineStr">
        <is>
          <t>مسجد حي بدر .</t>
        </is>
      </c>
      <c r="B3322" t="inlineStr">
        <is>
          <t>KFM2020660039361</t>
        </is>
      </c>
      <c r="C3322" t="inlineStr">
        <is>
          <t>الرياض</t>
        </is>
      </c>
      <c r="D3322" t="inlineStr">
        <is>
          <t>مساءا</t>
        </is>
      </c>
      <c r="E3322" t="n">
        <v>705</v>
      </c>
      <c r="F3322" t="b">
        <v>0</v>
      </c>
      <c r="G3322">
        <f>HYPERLINK("https://www.google.com/maps/search/?api=1&amp;query=24.54196952,46.72732505", "View Map")</f>
        <v/>
      </c>
    </row>
    <row r="3323">
      <c r="A3323" t="inlineStr">
        <is>
          <t>ﻭﺯﺍﺭﺓﺍﻟﺸﺌﻭﻥ ﺍﻻﺴﻼﻤﻴﺓﻭﺍﻻﻭﻗﺎﻑ .</t>
        </is>
      </c>
      <c r="B3323" t="inlineStr">
        <is>
          <t>KFM2020660098958</t>
        </is>
      </c>
      <c r="C3323" t="inlineStr">
        <is>
          <t>الرياض</t>
        </is>
      </c>
      <c r="D3323" t="inlineStr">
        <is>
          <t>مساءا</t>
        </is>
      </c>
      <c r="E3323" t="n">
        <v>704</v>
      </c>
      <c r="F3323" t="b">
        <v>1</v>
      </c>
      <c r="G3323">
        <f>HYPERLINK("https://www.google.com/maps/search/?api=1&amp;query=24.56347807,46.5287017", "View Map")</f>
        <v/>
      </c>
    </row>
    <row r="3324">
      <c r="A3324" t="inlineStr">
        <is>
          <t>مساجد .</t>
        </is>
      </c>
      <c r="B3324" t="inlineStr">
        <is>
          <t>KFM2020660127540</t>
        </is>
      </c>
      <c r="C3324" t="inlineStr">
        <is>
          <t>الرياض</t>
        </is>
      </c>
      <c r="D3324" t="inlineStr">
        <is>
          <t>صباحا</t>
        </is>
      </c>
      <c r="E3324" t="n">
        <v>702</v>
      </c>
      <c r="F3324" t="b">
        <v>0</v>
      </c>
      <c r="G3324">
        <f>HYPERLINK("https://www.google.com/maps/search/?api=1&amp;query=24.83265931,46.63791807", "View Map")</f>
        <v/>
      </c>
    </row>
    <row r="3325">
      <c r="A3325" t="inlineStr">
        <is>
          <t>مسجد هزاع  ابورميل .</t>
        </is>
      </c>
      <c r="B3325" t="inlineStr">
        <is>
          <t>KFM2020660015379</t>
        </is>
      </c>
      <c r="C3325" t="inlineStr">
        <is>
          <t>الرياض</t>
        </is>
      </c>
      <c r="D3325" t="inlineStr">
        <is>
          <t>مساءا</t>
        </is>
      </c>
      <c r="E3325" t="n">
        <v>702</v>
      </c>
      <c r="F3325" t="b">
        <v>1</v>
      </c>
      <c r="G3325">
        <f>HYPERLINK("https://www.google.com/maps/search/?api=1&amp;query=24.575798,46.59163608", "View Map")</f>
        <v/>
      </c>
    </row>
    <row r="3326">
      <c r="A3326" t="inlineStr">
        <is>
          <t xml:space="preserve">   مسجد صالح النملة .</t>
        </is>
      </c>
      <c r="B3326" t="inlineStr">
        <is>
          <t>KFM2020660209427</t>
        </is>
      </c>
      <c r="C3326" t="inlineStr">
        <is>
          <t>الرياض</t>
        </is>
      </c>
      <c r="D3326" t="inlineStr">
        <is>
          <t>صباحا</t>
        </is>
      </c>
      <c r="E3326" t="n">
        <v>701</v>
      </c>
      <c r="F3326" t="b">
        <v>0</v>
      </c>
      <c r="G3326">
        <f>HYPERLINK("https://www.google.com/maps/search/?api=1&amp;query=24.70454472,46.74208885", "View Map")</f>
        <v/>
      </c>
    </row>
    <row r="3327">
      <c r="A3327" t="inlineStr">
        <is>
          <t xml:space="preserve">   مسجد      أبوعبيده  الجراح .</t>
        </is>
      </c>
      <c r="B3327" t="inlineStr">
        <is>
          <t>KFM2020660193617</t>
        </is>
      </c>
      <c r="C3327" t="inlineStr">
        <is>
          <t>الرياض</t>
        </is>
      </c>
      <c r="D3327" t="inlineStr">
        <is>
          <t>مساءا</t>
        </is>
      </c>
      <c r="E3327" t="n">
        <v>700</v>
      </c>
      <c r="F3327" t="b">
        <v>1</v>
      </c>
      <c r="G3327">
        <f>HYPERLINK("https://www.google.com/maps/search/?api=1&amp;query=24.70187815,46.85983424", "View Map")</f>
        <v/>
      </c>
    </row>
    <row r="3328">
      <c r="A3328" t="inlineStr">
        <is>
          <t>وزارة الشؤون الاسلامية والاوقاف-مسجد .</t>
        </is>
      </c>
      <c r="B3328" t="inlineStr">
        <is>
          <t>KFM2020660006229</t>
        </is>
      </c>
      <c r="C3328" t="inlineStr">
        <is>
          <t>الرياض</t>
        </is>
      </c>
      <c r="D3328" t="inlineStr">
        <is>
          <t>مساءا</t>
        </is>
      </c>
      <c r="E3328" t="n">
        <v>699</v>
      </c>
      <c r="F3328" t="b">
        <v>1</v>
      </c>
      <c r="G3328">
        <f>HYPERLINK("https://www.google.com/maps/search/?api=1&amp;query=24.61390532,46.86947896", "View Map")</f>
        <v/>
      </c>
    </row>
    <row r="3329">
      <c r="A3329" t="inlineStr">
        <is>
          <t>مسجد حي الدخل  المحدود .</t>
        </is>
      </c>
      <c r="B3329" t="inlineStr">
        <is>
          <t>KFM2020660083703</t>
        </is>
      </c>
      <c r="C3329" t="inlineStr">
        <is>
          <t>الرياض</t>
        </is>
      </c>
      <c r="D3329" t="inlineStr">
        <is>
          <t>مساءا</t>
        </is>
      </c>
      <c r="E3329" t="n">
        <v>699</v>
      </c>
      <c r="F3329" t="b">
        <v>0</v>
      </c>
      <c r="G3329">
        <f>HYPERLINK("https://www.google.com/maps/search/?api=1&amp;query=24.60321578,46.64297181", "View Map")</f>
        <v/>
      </c>
    </row>
    <row r="3330">
      <c r="A3330" t="inlineStr">
        <is>
          <t>ﻭﺯﺍﺭﺓﺍﻟﺸﺌﻭﻥ ﺍﻻﺴﻼﻤﻴﺓﻭﺍﻻﻭﻗﺎﻑ .</t>
        </is>
      </c>
      <c r="B3330" t="inlineStr">
        <is>
          <t>KFM2020660052750</t>
        </is>
      </c>
      <c r="C3330" t="inlineStr">
        <is>
          <t>الرياض</t>
        </is>
      </c>
      <c r="D3330" t="inlineStr">
        <is>
          <t>صباحا</t>
        </is>
      </c>
      <c r="E3330" t="n">
        <v>697</v>
      </c>
      <c r="F3330" t="b">
        <v>0</v>
      </c>
      <c r="G3330">
        <f>HYPERLINK("https://www.google.com/maps/search/?api=1&amp;query=24.52843882,46.63358135", "View Map")</f>
        <v/>
      </c>
    </row>
    <row r="3331">
      <c r="A3331" t="inlineStr">
        <is>
          <t>ﻭﺯﺍﺭﺓﺍﻟﺸﺌﻭﻥ ﺍﻻﺴﻼﻤﻴﺓﻭﺍﻻﻭﻗﺎﻑ .</t>
        </is>
      </c>
      <c r="B3331" t="inlineStr">
        <is>
          <t>SMR2420661037939</t>
        </is>
      </c>
      <c r="C3331" t="inlineStr">
        <is>
          <t>الرياض</t>
        </is>
      </c>
      <c r="D3331" t="inlineStr">
        <is>
          <t>صباحا</t>
        </is>
      </c>
      <c r="E3331" t="n">
        <v>697</v>
      </c>
      <c r="F3331" t="b">
        <v>0</v>
      </c>
      <c r="G3331">
        <f>HYPERLINK("https://www.google.com/maps/search/?api=1&amp;query=0.0,0.0", "View Map")</f>
        <v/>
      </c>
    </row>
    <row r="3332">
      <c r="A3332" t="inlineStr">
        <is>
          <t xml:space="preserve">   مسجد حي الفيحاء .</t>
        </is>
      </c>
      <c r="B3332" t="inlineStr">
        <is>
          <t>KFM2120660254668</t>
        </is>
      </c>
      <c r="C3332" t="inlineStr">
        <is>
          <t>الرياض</t>
        </is>
      </c>
      <c r="D3332" t="inlineStr">
        <is>
          <t>صباحا</t>
        </is>
      </c>
      <c r="E3332" t="n">
        <v>694</v>
      </c>
      <c r="F3332" t="b">
        <v>0</v>
      </c>
      <c r="G3332">
        <f>HYPERLINK("https://www.google.com/maps/search/?api=1&amp;query=24.67876933,46.80289551", "View Map")</f>
        <v/>
      </c>
    </row>
    <row r="3333">
      <c r="A3333" t="inlineStr">
        <is>
          <t>مسجد      عبداللطيف  حي البديعه .</t>
        </is>
      </c>
      <c r="B3333" t="inlineStr">
        <is>
          <t>KFM2020660053870</t>
        </is>
      </c>
      <c r="C3333" t="inlineStr">
        <is>
          <t>الرياض</t>
        </is>
      </c>
      <c r="D3333" t="inlineStr">
        <is>
          <t>مساءا</t>
        </is>
      </c>
      <c r="E3333" t="n">
        <v>694</v>
      </c>
      <c r="F3333" t="b">
        <v>1</v>
      </c>
      <c r="G3333">
        <f>HYPERLINK("https://www.google.com/maps/search/?api=1&amp;query=24.58322854,46.62525201", "View Map")</f>
        <v/>
      </c>
    </row>
    <row r="3334">
      <c r="A3334" t="inlineStr">
        <is>
          <t xml:space="preserve">   مسجد المصيف .</t>
        </is>
      </c>
      <c r="B3334" t="inlineStr">
        <is>
          <t>KFM2020660170865</t>
        </is>
      </c>
      <c r="C3334" t="inlineStr">
        <is>
          <t>الرياض</t>
        </is>
      </c>
      <c r="D3334" t="inlineStr">
        <is>
          <t>مساءا</t>
        </is>
      </c>
      <c r="E3334" t="n">
        <v>692</v>
      </c>
      <c r="F3334" t="b">
        <v>0</v>
      </c>
      <c r="G3334">
        <f>HYPERLINK("https://www.google.com/maps/search/?api=1&amp;query=24.76559333,46.68465678", "View Map")</f>
        <v/>
      </c>
    </row>
    <row r="3335">
      <c r="A3335" t="inlineStr">
        <is>
          <t xml:space="preserve">   مسجد النور  بحي لبن .</t>
        </is>
      </c>
      <c r="B3335" t="inlineStr">
        <is>
          <t>KFM2020660211322</t>
        </is>
      </c>
      <c r="C3335" t="inlineStr">
        <is>
          <t>الرياض</t>
        </is>
      </c>
      <c r="D3335" t="inlineStr">
        <is>
          <t>مساءا</t>
        </is>
      </c>
      <c r="E3335" t="n">
        <v>691</v>
      </c>
      <c r="F3335" t="b">
        <v>1</v>
      </c>
      <c r="G3335">
        <f>HYPERLINK("https://www.google.com/maps/search/?api=1&amp;query=24.6318401,46.54951442", "View Map")</f>
        <v/>
      </c>
    </row>
    <row r="3336">
      <c r="A3336" t="inlineStr">
        <is>
          <t>المسجد الموقت بالدخل  المحدود .</t>
        </is>
      </c>
      <c r="B3336" t="inlineStr">
        <is>
          <t>SMR2220661018949</t>
        </is>
      </c>
      <c r="C3336" t="inlineStr">
        <is>
          <t>الرياض</t>
        </is>
      </c>
      <c r="D3336" t="inlineStr">
        <is>
          <t>مساءا</t>
        </is>
      </c>
      <c r="E3336" t="n">
        <v>690</v>
      </c>
      <c r="F3336" t="b">
        <v>1</v>
      </c>
      <c r="G3336">
        <f>HYPERLINK("https://www.google.com/maps/search/?api=1&amp;query=24.57459988,46.58496426", "View Map")</f>
        <v/>
      </c>
    </row>
    <row r="3337">
      <c r="A3337" t="inlineStr">
        <is>
          <t xml:space="preserve">   مسجد اليسرى .</t>
        </is>
      </c>
      <c r="B3337" t="inlineStr">
        <is>
          <t>KFM2020660192577</t>
        </is>
      </c>
      <c r="C3337" t="inlineStr">
        <is>
          <t>الرياض</t>
        </is>
      </c>
      <c r="D3337" t="inlineStr">
        <is>
          <t>مساءا</t>
        </is>
      </c>
      <c r="E3337" t="n">
        <v>689</v>
      </c>
      <c r="F3337" t="b">
        <v>1</v>
      </c>
      <c r="G3337">
        <f>HYPERLINK("https://www.google.com/maps/search/?api=1&amp;query=24.65144175,46.57815229", "View Map")</f>
        <v/>
      </c>
    </row>
    <row r="3338">
      <c r="A3338" t="inlineStr">
        <is>
          <t>00  مسجد حي   العريجاء .</t>
        </is>
      </c>
      <c r="B3338" t="inlineStr">
        <is>
          <t>KFM2020660043952</t>
        </is>
      </c>
      <c r="C3338" t="inlineStr">
        <is>
          <t>الرياض</t>
        </is>
      </c>
      <c r="D3338" t="inlineStr">
        <is>
          <t>مساءا</t>
        </is>
      </c>
      <c r="E3338" t="n">
        <v>688</v>
      </c>
      <c r="F3338" t="b">
        <v>0</v>
      </c>
      <c r="G3338">
        <f>HYPERLINK("https://www.google.com/maps/search/?api=1&amp;query=24.58172479,46.57986006", "View Map")</f>
        <v/>
      </c>
    </row>
    <row r="3339">
      <c r="A3339" t="inlineStr">
        <is>
          <t xml:space="preserve">   مسجد بحي النظيم .</t>
        </is>
      </c>
      <c r="B3339" t="inlineStr">
        <is>
          <t>KFM2020660145767</t>
        </is>
      </c>
      <c r="C3339" t="inlineStr">
        <is>
          <t>الرياض</t>
        </is>
      </c>
      <c r="D3339" t="inlineStr">
        <is>
          <t>مساءا</t>
        </is>
      </c>
      <c r="E3339" t="n">
        <v>687</v>
      </c>
      <c r="F3339" t="b">
        <v>1</v>
      </c>
      <c r="G3339">
        <f>HYPERLINK("https://www.google.com/maps/search/?api=1&amp;query=24.80001592,46.87372492", "View Map")</f>
        <v/>
      </c>
    </row>
    <row r="3340">
      <c r="A3340" t="inlineStr">
        <is>
          <t>ﻭﺯﺍﺭﺓﺍﻟﺸﺌﻭﻥ ﺍﻻﺴﻼﻤﻴﺓﻭﺍﻻﻭﻗﺎﻑ .</t>
        </is>
      </c>
      <c r="B3340" t="inlineStr">
        <is>
          <t>SMR2120765014545</t>
        </is>
      </c>
      <c r="C3340" t="inlineStr">
        <is>
          <t>الرياض</t>
        </is>
      </c>
      <c r="D3340" t="inlineStr">
        <is>
          <t>صباحا</t>
        </is>
      </c>
      <c r="E3340" t="n">
        <v>687</v>
      </c>
      <c r="F3340" t="b">
        <v>0</v>
      </c>
      <c r="G3340">
        <f>HYPERLINK("https://www.google.com/maps/search/?api=1&amp;query=24.56556101,46.52619138", "View Map")</f>
        <v/>
      </c>
    </row>
    <row r="3341">
      <c r="A3341" t="inlineStr">
        <is>
          <t xml:space="preserve">   مسجدحى الجامعه .</t>
        </is>
      </c>
      <c r="B3341" t="inlineStr">
        <is>
          <t>KFM2020660057401</t>
        </is>
      </c>
      <c r="C3341" t="inlineStr">
        <is>
          <t>الرياض</t>
        </is>
      </c>
      <c r="D3341" t="inlineStr">
        <is>
          <t>صباحا</t>
        </is>
      </c>
      <c r="E3341" t="n">
        <v>686</v>
      </c>
      <c r="F3341" t="b">
        <v>0</v>
      </c>
      <c r="G3341">
        <f>HYPERLINK("https://www.google.com/maps/search/?api=1&amp;query=24.66032098,46.73144275", "View Map")</f>
        <v/>
      </c>
    </row>
    <row r="3342">
      <c r="A3342" t="inlineStr">
        <is>
          <t>ﻤﺴﺎﺠﺩ .</t>
        </is>
      </c>
      <c r="B3342" t="inlineStr">
        <is>
          <t>KFM2120660303423</t>
        </is>
      </c>
      <c r="C3342" t="inlineStr">
        <is>
          <t>الرياض</t>
        </is>
      </c>
      <c r="D3342" t="inlineStr">
        <is>
          <t>مساءا</t>
        </is>
      </c>
      <c r="E3342" t="n">
        <v>686</v>
      </c>
      <c r="F3342" t="b">
        <v>0</v>
      </c>
      <c r="G3342">
        <f>HYPERLINK("https://www.google.com/maps/search/?api=1&amp;query=24.63791045,46.53468673", "View Map")</f>
        <v/>
      </c>
    </row>
    <row r="3343">
      <c r="A3343" t="inlineStr">
        <is>
          <t>---مسجد المصانع .</t>
        </is>
      </c>
      <c r="B3343" t="inlineStr">
        <is>
          <t>KFM2020760008522</t>
        </is>
      </c>
      <c r="C3343" t="inlineStr">
        <is>
          <t>الرياض</t>
        </is>
      </c>
      <c r="D3343" t="inlineStr">
        <is>
          <t>مساءا</t>
        </is>
      </c>
      <c r="E3343" t="n">
        <v>682</v>
      </c>
      <c r="F3343" t="b">
        <v>0</v>
      </c>
      <c r="G3343">
        <f>HYPERLINK("https://www.google.com/maps/search/?api=1&amp;query=24.57156322,46.72718948", "View Map")</f>
        <v/>
      </c>
    </row>
    <row r="3344">
      <c r="A3344" t="inlineStr">
        <is>
          <t xml:space="preserve">   مسجدشمال المربع .</t>
        </is>
      </c>
      <c r="B3344" t="inlineStr">
        <is>
          <t>KFM2020660156121</t>
        </is>
      </c>
      <c r="C3344" t="inlineStr">
        <is>
          <t>الرياض</t>
        </is>
      </c>
      <c r="D3344" t="inlineStr">
        <is>
          <t>مساءا</t>
        </is>
      </c>
      <c r="E3344" t="n">
        <v>682</v>
      </c>
      <c r="F3344" t="b">
        <v>0</v>
      </c>
      <c r="G3344">
        <f>HYPERLINK("https://www.google.com/maps/search/?api=1&amp;query=24.67260933,46.70782774", "View Map")</f>
        <v/>
      </c>
    </row>
    <row r="3345">
      <c r="A3345" t="inlineStr">
        <is>
          <t>مساجد .</t>
        </is>
      </c>
      <c r="B3345" t="inlineStr">
        <is>
          <t>KFM2120660262564</t>
        </is>
      </c>
      <c r="C3345" t="inlineStr">
        <is>
          <t>الرياض</t>
        </is>
      </c>
      <c r="D3345" t="inlineStr">
        <is>
          <t>مساءا</t>
        </is>
      </c>
      <c r="E3345" t="n">
        <v>681</v>
      </c>
      <c r="F3345" t="b">
        <v>0</v>
      </c>
      <c r="G3345">
        <f>HYPERLINK("https://www.google.com/maps/search/?api=1&amp;query=24.69038778,46.83608904", "View Map")</f>
        <v/>
      </c>
    </row>
    <row r="3346">
      <c r="A3346" t="inlineStr">
        <is>
          <t>ﻤﺴﺎﺠﺩ .</t>
        </is>
      </c>
      <c r="B3346" t="inlineStr">
        <is>
          <t>KFM2120660239276</t>
        </is>
      </c>
      <c r="C3346" t="inlineStr">
        <is>
          <t>الرياض</t>
        </is>
      </c>
      <c r="D3346" t="inlineStr">
        <is>
          <t>مساءا</t>
        </is>
      </c>
      <c r="E3346" t="n">
        <v>681</v>
      </c>
      <c r="F3346" t="b">
        <v>1</v>
      </c>
      <c r="G3346">
        <f>HYPERLINK("https://www.google.com/maps/search/?api=1&amp;query=24.84429942,46.82623565", "View Map")</f>
        <v/>
      </c>
    </row>
    <row r="3347">
      <c r="A3347" t="inlineStr">
        <is>
          <t xml:space="preserve">   مسجد بلا ل بن رباح .</t>
        </is>
      </c>
      <c r="B3347" t="inlineStr">
        <is>
          <t>KFM2020660169439</t>
        </is>
      </c>
      <c r="C3347" t="inlineStr">
        <is>
          <t>الرياض</t>
        </is>
      </c>
      <c r="D3347" t="inlineStr">
        <is>
          <t>صباحا</t>
        </is>
      </c>
      <c r="E3347" t="n">
        <v>680</v>
      </c>
      <c r="F3347" t="b">
        <v>0</v>
      </c>
      <c r="G3347">
        <f>HYPERLINK("https://www.google.com/maps/search/?api=1&amp;query=24.68567,46.71372", "View Map")</f>
        <v/>
      </c>
    </row>
    <row r="3348">
      <c r="A3348" t="inlineStr">
        <is>
          <t xml:space="preserve">   مسجد وسكن منيره الوابل .</t>
        </is>
      </c>
      <c r="B3348" t="inlineStr">
        <is>
          <t>KFM2020660056861</t>
        </is>
      </c>
      <c r="C3348" t="inlineStr">
        <is>
          <t>الرياض</t>
        </is>
      </c>
      <c r="D3348" t="inlineStr">
        <is>
          <t>صباحا</t>
        </is>
      </c>
      <c r="E3348" t="n">
        <v>680</v>
      </c>
      <c r="F3348" t="b">
        <v>0</v>
      </c>
      <c r="G3348">
        <f>HYPERLINK("https://www.google.com/maps/search/?api=1&amp;query=24.79024101,46.76159696", "View Map")</f>
        <v/>
      </c>
    </row>
    <row r="3349">
      <c r="A3349" t="inlineStr">
        <is>
          <t>مسجد العريجاء .</t>
        </is>
      </c>
      <c r="B3349" t="inlineStr">
        <is>
          <t>KFM2020660198405</t>
        </is>
      </c>
      <c r="C3349" t="inlineStr">
        <is>
          <t>الرياض</t>
        </is>
      </c>
      <c r="D3349" t="inlineStr">
        <is>
          <t>مساءا</t>
        </is>
      </c>
      <c r="E3349" t="n">
        <v>679</v>
      </c>
      <c r="F3349" t="b">
        <v>0</v>
      </c>
      <c r="G3349">
        <f>HYPERLINK("https://www.google.com/maps/search/?api=1&amp;query=24.60037473,46.57583863", "View Map")</f>
        <v/>
      </c>
    </row>
    <row r="3350">
      <c r="A3350" t="inlineStr">
        <is>
          <t>0مسجد      حي العريجا .</t>
        </is>
      </c>
      <c r="B3350" t="inlineStr">
        <is>
          <t>KFM2020760203651</t>
        </is>
      </c>
      <c r="C3350" t="inlineStr">
        <is>
          <t>الرياض</t>
        </is>
      </c>
      <c r="D3350" t="inlineStr">
        <is>
          <t>كلا الفترتين</t>
        </is>
      </c>
      <c r="E3350" t="n">
        <v>679</v>
      </c>
      <c r="F3350" t="b">
        <v>0</v>
      </c>
      <c r="G3350">
        <f>HYPERLINK("https://www.google.com/maps/search/?api=1&amp;query=24.57606074,46.55586837", "View Map")</f>
        <v/>
      </c>
    </row>
    <row r="3351">
      <c r="A3351" t="inlineStr">
        <is>
          <t>ﻤﺴﺎﺠﺩ .</t>
        </is>
      </c>
      <c r="B3351" t="inlineStr">
        <is>
          <t>SMR2220621000877</t>
        </is>
      </c>
      <c r="C3351" t="inlineStr">
        <is>
          <t>الرياض</t>
        </is>
      </c>
      <c r="D3351" t="inlineStr">
        <is>
          <t>مساءا</t>
        </is>
      </c>
      <c r="E3351" t="n">
        <v>678</v>
      </c>
      <c r="F3351" t="b">
        <v>1</v>
      </c>
      <c r="G3351">
        <f>HYPERLINK("https://www.google.com/maps/search/?api=1&amp;query=24.64358021,46.49496995", "View Map")</f>
        <v/>
      </c>
    </row>
    <row r="3352">
      <c r="A3352" t="inlineStr">
        <is>
          <t>00مسجد      حي العريحا .</t>
        </is>
      </c>
      <c r="B3352" t="inlineStr">
        <is>
          <t>KFM2020660018980</t>
        </is>
      </c>
      <c r="C3352" t="inlineStr">
        <is>
          <t>الرياض</t>
        </is>
      </c>
      <c r="D3352" t="inlineStr">
        <is>
          <t>مساءا</t>
        </is>
      </c>
      <c r="E3352" t="n">
        <v>678</v>
      </c>
      <c r="F3352" t="b">
        <v>0</v>
      </c>
      <c r="G3352">
        <f>HYPERLINK("https://www.google.com/maps/search/?api=1&amp;query=24.57711662,46.5853868", "View Map")</f>
        <v/>
      </c>
    </row>
    <row r="3353">
      <c r="A3353" t="inlineStr">
        <is>
          <t>مسجد الشفا .</t>
        </is>
      </c>
      <c r="B3353" t="inlineStr">
        <is>
          <t>KFM2020660168408</t>
        </is>
      </c>
      <c r="C3353" t="inlineStr">
        <is>
          <t>الرياض</t>
        </is>
      </c>
      <c r="D3353" t="inlineStr">
        <is>
          <t>مساءا</t>
        </is>
      </c>
      <c r="E3353" t="n">
        <v>677</v>
      </c>
      <c r="F3353" t="b">
        <v>0</v>
      </c>
      <c r="G3353">
        <f>HYPERLINK("https://www.google.com/maps/search/?api=1&amp;query=24.56736661,46.70338406", "View Map")</f>
        <v/>
      </c>
    </row>
    <row r="3354">
      <c r="A3354" t="inlineStr">
        <is>
          <t>مسجد بن عياف .</t>
        </is>
      </c>
      <c r="B3354" t="inlineStr">
        <is>
          <t>KFM2020660054968</t>
        </is>
      </c>
      <c r="C3354" t="inlineStr">
        <is>
          <t>الرياض</t>
        </is>
      </c>
      <c r="D3354" t="inlineStr">
        <is>
          <t>كلا الفترتين</t>
        </is>
      </c>
      <c r="E3354" t="n">
        <v>677</v>
      </c>
      <c r="F3354" t="b">
        <v>0</v>
      </c>
      <c r="G3354">
        <f>HYPERLINK("https://www.google.com/maps/search/?api=1&amp;query=24.59483491,46.64885068", "View Map")</f>
        <v/>
      </c>
    </row>
    <row r="3355">
      <c r="A3355" t="inlineStr">
        <is>
          <t xml:space="preserve">   وزارة الشئون الا سلا مية والا وقاف .</t>
        </is>
      </c>
      <c r="B3355" t="inlineStr">
        <is>
          <t>KFM2020660198056</t>
        </is>
      </c>
      <c r="C3355" t="inlineStr">
        <is>
          <t>الرياض</t>
        </is>
      </c>
      <c r="D3355" t="inlineStr">
        <is>
          <t>مساءا</t>
        </is>
      </c>
      <c r="E3355" t="n">
        <v>675</v>
      </c>
      <c r="F3355" t="b">
        <v>0</v>
      </c>
      <c r="G3355">
        <f>HYPERLINK("https://www.google.com/maps/search/?api=1&amp;query=24.61836314,46.54493916", "View Map")</f>
        <v/>
      </c>
    </row>
    <row r="3356">
      <c r="A3356" t="inlineStr">
        <is>
          <t>مسجد / محمد المنصور .</t>
        </is>
      </c>
      <c r="B3356" t="inlineStr">
        <is>
          <t>KFM2020660014108</t>
        </is>
      </c>
      <c r="C3356" t="inlineStr">
        <is>
          <t>الرياض</t>
        </is>
      </c>
      <c r="D3356" t="inlineStr">
        <is>
          <t>مساءا</t>
        </is>
      </c>
      <c r="E3356" t="n">
        <v>673</v>
      </c>
      <c r="F3356" t="b">
        <v>0</v>
      </c>
      <c r="G3356">
        <f>HYPERLINK("https://www.google.com/maps/search/?api=1&amp;query=24.60751093,46.63630878", "View Map")</f>
        <v/>
      </c>
    </row>
    <row r="3357">
      <c r="A3357" t="inlineStr">
        <is>
          <t xml:space="preserve">   مسجد      ا         النموذجيه .</t>
        </is>
      </c>
      <c r="B3357" t="inlineStr">
        <is>
          <t>KFM2020660174179</t>
        </is>
      </c>
      <c r="C3357" t="inlineStr">
        <is>
          <t>الرياض</t>
        </is>
      </c>
      <c r="D3357" t="inlineStr">
        <is>
          <t>مساءا</t>
        </is>
      </c>
      <c r="E3357" t="n">
        <v>671</v>
      </c>
      <c r="F3357" t="b">
        <v>0</v>
      </c>
      <c r="G3357">
        <f>HYPERLINK("https://www.google.com/maps/search/?api=1&amp;query=24.65774061,46.6966045", "View Map")</f>
        <v/>
      </c>
    </row>
    <row r="3358">
      <c r="A3358" t="inlineStr">
        <is>
          <t xml:space="preserve">    وزارة الشئون الاسلامية والاوقاف .</t>
        </is>
      </c>
      <c r="B3358" t="inlineStr">
        <is>
          <t>KFM2020660169560</t>
        </is>
      </c>
      <c r="C3358" t="inlineStr">
        <is>
          <t>الرياض</t>
        </is>
      </c>
      <c r="D3358" t="inlineStr">
        <is>
          <t>صباحا</t>
        </is>
      </c>
      <c r="E3358" t="n">
        <v>671</v>
      </c>
      <c r="F3358" t="b">
        <v>0</v>
      </c>
      <c r="G3358">
        <f>HYPERLINK("https://www.google.com/maps/search/?api=1&amp;query=24.78076385,46.72651387", "View Map")</f>
        <v/>
      </c>
    </row>
    <row r="3359">
      <c r="A3359" t="inlineStr">
        <is>
          <t>ﻭﺯﺍﺭﺓﺍﻟﺸﺌﻭﻥ ﺍﻻﺴﻼﻤﻴﺓﻭﺍﻻﻭﻗﺎﻑ .</t>
        </is>
      </c>
      <c r="B3359" t="inlineStr">
        <is>
          <t>SMR2220661006996</t>
        </is>
      </c>
      <c r="C3359" t="inlineStr">
        <is>
          <t>الرياض</t>
        </is>
      </c>
      <c r="D3359" t="inlineStr">
        <is>
          <t>مساءا</t>
        </is>
      </c>
      <c r="E3359" t="n">
        <v>669</v>
      </c>
      <c r="F3359" t="b">
        <v>1</v>
      </c>
      <c r="G3359">
        <f>HYPERLINK("https://www.google.com/maps/search/?api=1&amp;query=24.5697,46.5264", "View Map")</f>
        <v/>
      </c>
    </row>
    <row r="3360">
      <c r="A3360" t="inlineStr">
        <is>
          <t xml:space="preserve">   مسجد الشعبه بشارع الامير عبدالله .</t>
        </is>
      </c>
      <c r="B3360" t="inlineStr">
        <is>
          <t>KFM2020660210800</t>
        </is>
      </c>
      <c r="C3360" t="inlineStr">
        <is>
          <t>الرياض</t>
        </is>
      </c>
      <c r="D3360" t="inlineStr">
        <is>
          <t>مساءا</t>
        </is>
      </c>
      <c r="E3360" t="n">
        <v>667</v>
      </c>
      <c r="F3360" t="b">
        <v>0</v>
      </c>
      <c r="G3360">
        <f>HYPERLINK("https://www.google.com/maps/search/?api=1&amp;query=24.65797652,46.73842717", "View Map")</f>
        <v/>
      </c>
    </row>
    <row r="3361">
      <c r="A3361" t="inlineStr">
        <is>
          <t xml:space="preserve">   مسجد      هجرة       العماجيه .</t>
        </is>
      </c>
      <c r="B3361" t="inlineStr">
        <is>
          <t>KFM2120660285353</t>
        </is>
      </c>
      <c r="C3361" t="inlineStr">
        <is>
          <t>الرياض</t>
        </is>
      </c>
      <c r="D3361" t="inlineStr">
        <is>
          <t>كلا الفترتين</t>
        </is>
      </c>
      <c r="E3361" t="n">
        <v>666</v>
      </c>
      <c r="F3361" t="b">
        <v>0</v>
      </c>
      <c r="G3361">
        <f>HYPERLINK("https://www.google.com/maps/search/?api=1&amp;query=24.43904749,46.97940649", "View Map")</f>
        <v/>
      </c>
    </row>
    <row r="3362">
      <c r="A3362" t="inlineStr">
        <is>
          <t>ﻤﺴﺎﺠﺩ .</t>
        </is>
      </c>
      <c r="B3362" t="inlineStr">
        <is>
          <t>KFM2020660054243</t>
        </is>
      </c>
      <c r="C3362" t="inlineStr">
        <is>
          <t>الرياض</t>
        </is>
      </c>
      <c r="D3362" t="inlineStr">
        <is>
          <t>مساءا</t>
        </is>
      </c>
      <c r="E3362" t="n">
        <v>666</v>
      </c>
      <c r="F3362" t="b">
        <v>1</v>
      </c>
      <c r="G3362">
        <f>HYPERLINK("https://www.google.com/maps/search/?api=1&amp;query=24.83766159,46.80180738", "View Map")</f>
        <v/>
      </c>
    </row>
    <row r="3363">
      <c r="A3363" t="inlineStr">
        <is>
          <t xml:space="preserve">   مسجد عبدالرحمن بن صالح البراهيم .</t>
        </is>
      </c>
      <c r="B3363" t="inlineStr">
        <is>
          <t>KFM2020660211329</t>
        </is>
      </c>
      <c r="C3363" t="inlineStr">
        <is>
          <t>الرياض</t>
        </is>
      </c>
      <c r="D3363" t="inlineStr">
        <is>
          <t>مساءا</t>
        </is>
      </c>
      <c r="E3363" t="n">
        <v>663</v>
      </c>
      <c r="F3363" t="b">
        <v>1</v>
      </c>
      <c r="G3363">
        <f>HYPERLINK("https://www.google.com/maps/search/?api=1&amp;query=24.63690242,46.5449221", "View Map")</f>
        <v/>
      </c>
    </row>
    <row r="3364">
      <c r="A3364" t="inlineStr">
        <is>
          <t>ﻭﺯﺍﺭﺓﺍﻟﺸﺌﻭﻥ ﺍﻻﺴﻼﻤﻴﺓﻭﺍﻻﻭﻗﺎﻑ .</t>
        </is>
      </c>
      <c r="B3364" t="inlineStr">
        <is>
          <t>KFM2120660283904</t>
        </is>
      </c>
      <c r="C3364" t="inlineStr">
        <is>
          <t>الرياض</t>
        </is>
      </c>
      <c r="D3364" t="inlineStr">
        <is>
          <t>مساءا</t>
        </is>
      </c>
      <c r="E3364" t="n">
        <v>661</v>
      </c>
      <c r="F3364" t="b">
        <v>0</v>
      </c>
      <c r="G3364">
        <f>HYPERLINK("https://www.google.com/maps/search/?api=1&amp;query=24.58690787,46.66430678", "View Map")</f>
        <v/>
      </c>
    </row>
    <row r="3365">
      <c r="A3365" t="inlineStr">
        <is>
          <t>ﻤﺴﺎﺠﺩ .</t>
        </is>
      </c>
      <c r="B3365" t="inlineStr">
        <is>
          <t>KFM2020760147744</t>
        </is>
      </c>
      <c r="C3365" t="inlineStr">
        <is>
          <t>الدرعية</t>
        </is>
      </c>
      <c r="D3365" t="inlineStr">
        <is>
          <t>صباحا</t>
        </is>
      </c>
      <c r="E3365" t="n">
        <v>660</v>
      </c>
      <c r="F3365" t="b">
        <v>0</v>
      </c>
      <c r="G3365">
        <f>HYPERLINK("https://www.google.com/maps/search/?api=1&amp;query=24.73790449,46.51362086", "View Map")</f>
        <v/>
      </c>
    </row>
    <row r="3366">
      <c r="A3366" t="inlineStr">
        <is>
          <t>ﻤﺴﺎﺠﺩ .</t>
        </is>
      </c>
      <c r="B3366" t="inlineStr">
        <is>
          <t>KFM2120660239282</t>
        </is>
      </c>
      <c r="C3366" t="inlineStr">
        <is>
          <t>الرياض</t>
        </is>
      </c>
      <c r="D3366" t="inlineStr">
        <is>
          <t>صباحا</t>
        </is>
      </c>
      <c r="E3366" t="n">
        <v>659</v>
      </c>
      <c r="F3366" t="b">
        <v>0</v>
      </c>
      <c r="G3366">
        <f>HYPERLINK("https://www.google.com/maps/search/?api=1&amp;query=24.85203405,46.82693237", "View Map")</f>
        <v/>
      </c>
    </row>
    <row r="3367">
      <c r="A3367" t="inlineStr">
        <is>
          <t>ﻤﺴﺎﺠﺩ .</t>
        </is>
      </c>
      <c r="B3367" t="inlineStr">
        <is>
          <t>KFM2120660303516</t>
        </is>
      </c>
      <c r="C3367" t="inlineStr">
        <is>
          <t>الرياض</t>
        </is>
      </c>
      <c r="D3367" t="inlineStr">
        <is>
          <t>مساءا</t>
        </is>
      </c>
      <c r="E3367" t="n">
        <v>659</v>
      </c>
      <c r="F3367" t="b">
        <v>0</v>
      </c>
      <c r="G3367">
        <f>HYPERLINK("https://www.google.com/maps/search/?api=1&amp;query=24.82721426,46.77267211", "View Map")</f>
        <v/>
      </c>
    </row>
    <row r="3368">
      <c r="A3368" t="inlineStr">
        <is>
          <t xml:space="preserve">   مسجد      نوره      . .</t>
        </is>
      </c>
      <c r="B3368" t="inlineStr">
        <is>
          <t>KFM2020660197729</t>
        </is>
      </c>
      <c r="C3368" t="inlineStr">
        <is>
          <t>الرياض</t>
        </is>
      </c>
      <c r="D3368" t="inlineStr">
        <is>
          <t>صباحا</t>
        </is>
      </c>
      <c r="E3368" t="n">
        <v>659</v>
      </c>
      <c r="F3368" t="b">
        <v>0</v>
      </c>
      <c r="G3368">
        <f>HYPERLINK("https://www.google.com/maps/search/?api=1&amp;query=24.6347,46.5964", "View Map")</f>
        <v/>
      </c>
    </row>
    <row r="3369">
      <c r="A3369" t="inlineStr">
        <is>
          <t>مسجد حى  الشفاء الجديد .</t>
        </is>
      </c>
      <c r="B3369" t="inlineStr">
        <is>
          <t>KFM2020660096069</t>
        </is>
      </c>
      <c r="C3369" t="inlineStr">
        <is>
          <t>الرياض</t>
        </is>
      </c>
      <c r="D3369" t="inlineStr">
        <is>
          <t>مساءا</t>
        </is>
      </c>
      <c r="E3369" t="n">
        <v>659</v>
      </c>
      <c r="F3369" t="b">
        <v>0</v>
      </c>
      <c r="G3369">
        <f>HYPERLINK("https://www.google.com/maps/search/?api=1&amp;query=24.5706,46.6983", "View Map")</f>
        <v/>
      </c>
    </row>
    <row r="3370">
      <c r="A3370" t="inlineStr">
        <is>
          <t xml:space="preserve">   مسجد الاخلاص  حي العقيق .</t>
        </is>
      </c>
      <c r="B3370" t="inlineStr">
        <is>
          <t>KFM2120660253002</t>
        </is>
      </c>
      <c r="C3370" t="inlineStr">
        <is>
          <t>الرياض</t>
        </is>
      </c>
      <c r="D3370" t="inlineStr">
        <is>
          <t>صباحا</t>
        </is>
      </c>
      <c r="E3370" t="n">
        <v>658</v>
      </c>
      <c r="F3370" t="b">
        <v>0</v>
      </c>
      <c r="G3370">
        <f>HYPERLINK("https://www.google.com/maps/search/?api=1&amp;query=24.7795176,46.6364944", "View Map")</f>
        <v/>
      </c>
    </row>
    <row r="3371">
      <c r="A3371" t="inlineStr">
        <is>
          <t>مسجد مخطط الاميرعبدالرحمن بن عبدالله .</t>
        </is>
      </c>
      <c r="B3371" t="inlineStr">
        <is>
          <t>KFM2020660025748</t>
        </is>
      </c>
      <c r="C3371" t="inlineStr">
        <is>
          <t>الرياض</t>
        </is>
      </c>
      <c r="D3371" t="inlineStr">
        <is>
          <t>مساءا</t>
        </is>
      </c>
      <c r="E3371" t="n">
        <v>658</v>
      </c>
      <c r="F3371" t="b">
        <v>1</v>
      </c>
      <c r="G3371">
        <f>HYPERLINK("https://www.google.com/maps/search/?api=1&amp;query=24.58634703,46.67322838", "View Map")</f>
        <v/>
      </c>
    </row>
    <row r="3372">
      <c r="A3372" t="inlineStr">
        <is>
          <t>مسجد      محمد      العقيلي .</t>
        </is>
      </c>
      <c r="B3372" t="inlineStr">
        <is>
          <t>KFM2020660175008</t>
        </is>
      </c>
      <c r="C3372" t="inlineStr">
        <is>
          <t>الرياض</t>
        </is>
      </c>
      <c r="D3372" t="inlineStr">
        <is>
          <t>مساءا</t>
        </is>
      </c>
      <c r="E3372" t="n">
        <v>658</v>
      </c>
      <c r="F3372" t="b">
        <v>0</v>
      </c>
      <c r="G3372">
        <f>HYPERLINK("https://www.google.com/maps/search/?api=1&amp;query=24.52476539,46.70703789", "View Map")</f>
        <v/>
      </c>
    </row>
    <row r="3373">
      <c r="A3373" t="inlineStr">
        <is>
          <t>ﻤﺴﺎﺠﺩ .</t>
        </is>
      </c>
      <c r="B3373" t="inlineStr">
        <is>
          <t>MMF2420601015697</t>
        </is>
      </c>
      <c r="C3373" t="inlineStr">
        <is>
          <t>الرياض</t>
        </is>
      </c>
      <c r="D3373" t="inlineStr">
        <is>
          <t>صباحا</t>
        </is>
      </c>
      <c r="E3373" t="n">
        <v>656</v>
      </c>
      <c r="F3373" t="b">
        <v>0</v>
      </c>
      <c r="G3373">
        <f>HYPERLINK("https://www.google.com/maps/search/?api=1&amp;query=24.84803121,46.88933281", "View Map")</f>
        <v/>
      </c>
    </row>
    <row r="3374">
      <c r="A3374" t="inlineStr">
        <is>
          <t xml:space="preserve">   وزارة الشئون الاسلامية والاوقاف .</t>
        </is>
      </c>
      <c r="B3374" t="inlineStr">
        <is>
          <t>KFM2020660206924</t>
        </is>
      </c>
      <c r="C3374" t="inlineStr">
        <is>
          <t>الرياض</t>
        </is>
      </c>
      <c r="D3374" t="inlineStr">
        <is>
          <t>مساءا</t>
        </is>
      </c>
      <c r="E3374" t="n">
        <v>655</v>
      </c>
      <c r="F3374" t="b">
        <v>1</v>
      </c>
      <c r="G3374">
        <f>HYPERLINK("https://www.google.com/maps/search/?api=1&amp;query=24.81156308,46.65588961", "View Map")</f>
        <v/>
      </c>
    </row>
    <row r="3375">
      <c r="A3375" t="inlineStr">
        <is>
          <t xml:space="preserve">   وزارةالشؤن الاسلاميه/مسجد البريدي .</t>
        </is>
      </c>
      <c r="B3375" t="inlineStr">
        <is>
          <t>KFM2120660281754</t>
        </is>
      </c>
      <c r="C3375" t="inlineStr">
        <is>
          <t>الرياض</t>
        </is>
      </c>
      <c r="D3375" t="inlineStr">
        <is>
          <t>كلا الفترتين</t>
        </is>
      </c>
      <c r="E3375" t="n">
        <v>653</v>
      </c>
      <c r="F3375" t="b">
        <v>0</v>
      </c>
      <c r="G3375">
        <f>HYPERLINK("https://www.google.com/maps/search/?api=1&amp;query=24.56874929,46.77004487", "View Map")</f>
        <v/>
      </c>
    </row>
    <row r="3376">
      <c r="A3376" t="inlineStr">
        <is>
          <t xml:space="preserve">   مسجد خنشليله بالمنصورة .</t>
        </is>
      </c>
      <c r="B3376" t="inlineStr">
        <is>
          <t>KFM2120660282927</t>
        </is>
      </c>
      <c r="C3376" t="inlineStr">
        <is>
          <t>الرياض</t>
        </is>
      </c>
      <c r="D3376" t="inlineStr">
        <is>
          <t>صباحا</t>
        </is>
      </c>
      <c r="E3376" t="n">
        <v>653</v>
      </c>
      <c r="F3376" t="b">
        <v>0</v>
      </c>
      <c r="G3376">
        <f>HYPERLINK("https://www.google.com/maps/search/?api=1&amp;query=24.61785948,46.75006105", "View Map")</f>
        <v/>
      </c>
    </row>
    <row r="3377">
      <c r="A3377" t="inlineStr">
        <is>
          <t xml:space="preserve">   مسجد الحميد .</t>
        </is>
      </c>
      <c r="B3377" t="inlineStr">
        <is>
          <t>KFM2120660275747</t>
        </is>
      </c>
      <c r="C3377" t="inlineStr">
        <is>
          <t>الرياض</t>
        </is>
      </c>
      <c r="D3377" t="inlineStr">
        <is>
          <t>مساءا</t>
        </is>
      </c>
      <c r="E3377" t="n">
        <v>652</v>
      </c>
      <c r="F3377" t="b">
        <v>1</v>
      </c>
      <c r="G3377">
        <f>HYPERLINK("https://www.google.com/maps/search/?api=1&amp;query=24.65333946,46.8200158", "View Map")</f>
        <v/>
      </c>
    </row>
    <row r="3378">
      <c r="A3378" t="inlineStr">
        <is>
          <t>المسجد الموقت بحى  الاميرمشعل .</t>
        </is>
      </c>
      <c r="B3378" t="inlineStr">
        <is>
          <t>KFM2020660175011</t>
        </is>
      </c>
      <c r="C3378" t="inlineStr">
        <is>
          <t>الرياض</t>
        </is>
      </c>
      <c r="D3378" t="inlineStr">
        <is>
          <t>مساءا</t>
        </is>
      </c>
      <c r="E3378" t="n">
        <v>652</v>
      </c>
      <c r="F3378" t="b">
        <v>1</v>
      </c>
      <c r="G3378">
        <f>HYPERLINK("https://www.google.com/maps/search/?api=1&amp;query=24.48644743,46.61966642", "View Map")</f>
        <v/>
      </c>
    </row>
    <row r="3379">
      <c r="A3379" t="inlineStr">
        <is>
          <t>مساجد .</t>
        </is>
      </c>
      <c r="B3379" t="inlineStr">
        <is>
          <t>KFM2020660209473</t>
        </is>
      </c>
      <c r="C3379" t="inlineStr">
        <is>
          <t>الرياض</t>
        </is>
      </c>
      <c r="D3379" t="inlineStr">
        <is>
          <t>مساءا</t>
        </is>
      </c>
      <c r="E3379" t="n">
        <v>652</v>
      </c>
      <c r="F3379" t="b">
        <v>0</v>
      </c>
      <c r="G3379">
        <f>HYPERLINK("https://www.google.com/maps/search/?api=1&amp;query=24.91138535,46.62032743", "View Map")</f>
        <v/>
      </c>
    </row>
    <row r="3380">
      <c r="A3380" t="inlineStr">
        <is>
          <t xml:space="preserve">   مسجد حي النسيم .</t>
        </is>
      </c>
      <c r="B3380" t="inlineStr">
        <is>
          <t>KFM2020660191739</t>
        </is>
      </c>
      <c r="C3380" t="inlineStr">
        <is>
          <t>الرياض</t>
        </is>
      </c>
      <c r="D3380" t="inlineStr">
        <is>
          <t>مساءا</t>
        </is>
      </c>
      <c r="E3380" t="n">
        <v>651</v>
      </c>
      <c r="F3380" t="b">
        <v>0</v>
      </c>
      <c r="G3380">
        <f>HYPERLINK("https://www.google.com/maps/search/?api=1&amp;query=24.75299174,46.83199376", "View Map")</f>
        <v/>
      </c>
    </row>
    <row r="3381">
      <c r="A3381" t="inlineStr">
        <is>
          <t>مسجد بحي المروه .</t>
        </is>
      </c>
      <c r="B3381" t="inlineStr">
        <is>
          <t>KFM2020660098754</t>
        </is>
      </c>
      <c r="C3381" t="inlineStr">
        <is>
          <t>الرياض</t>
        </is>
      </c>
      <c r="D3381" t="inlineStr">
        <is>
          <t>صباحا</t>
        </is>
      </c>
      <c r="E3381" t="n">
        <v>651</v>
      </c>
      <c r="F3381" t="b">
        <v>0</v>
      </c>
      <c r="G3381">
        <f>HYPERLINK("https://www.google.com/maps/search/?api=1&amp;query=24.54760624,46.67194083", "View Map")</f>
        <v/>
      </c>
    </row>
    <row r="3382">
      <c r="A3382" t="inlineStr">
        <is>
          <t>ﻤﺴﺎﺠﺩ .</t>
        </is>
      </c>
      <c r="B3382" t="inlineStr">
        <is>
          <t>KFM2020660192887</t>
        </is>
      </c>
      <c r="C3382" t="inlineStr">
        <is>
          <t>الرياض</t>
        </is>
      </c>
      <c r="D3382" t="inlineStr">
        <is>
          <t>مساءا</t>
        </is>
      </c>
      <c r="E3382" t="n">
        <v>651</v>
      </c>
      <c r="F3382" t="b">
        <v>0</v>
      </c>
      <c r="G3382">
        <f>HYPERLINK("https://www.google.com/maps/search/?api=1&amp;query=24.83021863,46.80539429", "View Map")</f>
        <v/>
      </c>
    </row>
    <row r="3383">
      <c r="A3383" t="inlineStr">
        <is>
          <t xml:space="preserve">   مدرسة تحفيظ القران بمسجد التوحيد .</t>
        </is>
      </c>
      <c r="B3383" t="inlineStr">
        <is>
          <t>KFM2020760103035</t>
        </is>
      </c>
      <c r="C3383" t="inlineStr">
        <is>
          <t>الرياض</t>
        </is>
      </c>
      <c r="D3383" t="inlineStr">
        <is>
          <t>صباحا</t>
        </is>
      </c>
      <c r="E3383" t="n">
        <v>651</v>
      </c>
      <c r="F3383" t="b">
        <v>0</v>
      </c>
      <c r="G3383">
        <f>HYPERLINK("https://www.google.com/maps/search/?api=1&amp;query=24.67011137,46.79344317", "View Map")</f>
        <v/>
      </c>
    </row>
    <row r="3384">
      <c r="A3384" t="inlineStr">
        <is>
          <t xml:space="preserve">   مسجد حي الندى .</t>
        </is>
      </c>
      <c r="B3384" t="inlineStr">
        <is>
          <t>KFM2020660213043</t>
        </is>
      </c>
      <c r="C3384" t="inlineStr">
        <is>
          <t>الرياض</t>
        </is>
      </c>
      <c r="D3384" t="inlineStr">
        <is>
          <t>مساءا</t>
        </is>
      </c>
      <c r="E3384" t="n">
        <v>650</v>
      </c>
      <c r="F3384" t="b">
        <v>0</v>
      </c>
      <c r="G3384">
        <f>HYPERLINK("https://www.google.com/maps/search/?api=1&amp;query=24.8117612,46.68612283", "View Map")</f>
        <v/>
      </c>
    </row>
    <row r="3385">
      <c r="A3385" t="inlineStr">
        <is>
          <t xml:space="preserve">   مسجد حي العقيق .</t>
        </is>
      </c>
      <c r="B3385" t="inlineStr">
        <is>
          <t>KFM2020660193062</t>
        </is>
      </c>
      <c r="C3385" t="inlineStr">
        <is>
          <t>الرياض</t>
        </is>
      </c>
      <c r="D3385" t="inlineStr">
        <is>
          <t>مساءا</t>
        </is>
      </c>
      <c r="E3385" t="n">
        <v>650</v>
      </c>
      <c r="F3385" t="b">
        <v>1</v>
      </c>
      <c r="G3385">
        <f>HYPERLINK("https://www.google.com/maps/search/?api=1&amp;query=24.77325432,46.63898777", "View Map")</f>
        <v/>
      </c>
    </row>
    <row r="3386">
      <c r="A3386" t="inlineStr">
        <is>
          <t xml:space="preserve">   مسجدابن رجب الحنبلي .</t>
        </is>
      </c>
      <c r="B3386" t="inlineStr">
        <is>
          <t>KFM2120660271667</t>
        </is>
      </c>
      <c r="C3386" t="inlineStr">
        <is>
          <t>الرياض</t>
        </is>
      </c>
      <c r="D3386" t="inlineStr">
        <is>
          <t>مساءا</t>
        </is>
      </c>
      <c r="E3386" t="n">
        <v>649</v>
      </c>
      <c r="F3386" t="b">
        <v>1</v>
      </c>
      <c r="G3386">
        <f>HYPERLINK("https://www.google.com/maps/search/?api=1&amp;query=24.68121201,46.8168279", "View Map")</f>
        <v/>
      </c>
    </row>
    <row r="3387">
      <c r="A3387" t="inlineStr">
        <is>
          <t>مسجد وضحى  السهلي .</t>
        </is>
      </c>
      <c r="B3387" t="inlineStr">
        <is>
          <t>KFM2020660098910</t>
        </is>
      </c>
      <c r="C3387" t="inlineStr">
        <is>
          <t>الرياض</t>
        </is>
      </c>
      <c r="D3387" t="inlineStr">
        <is>
          <t>مساءا</t>
        </is>
      </c>
      <c r="E3387" t="n">
        <v>649</v>
      </c>
      <c r="F3387" t="b">
        <v>1</v>
      </c>
      <c r="G3387">
        <f>HYPERLINK("https://www.google.com/maps/search/?api=1&amp;query=24.60648419,46.65019651", "View Map")</f>
        <v/>
      </c>
    </row>
    <row r="3388">
      <c r="A3388" t="inlineStr">
        <is>
          <t xml:space="preserve">   مسجد خالد بن الوليد بحي الحمراء .</t>
        </is>
      </c>
      <c r="B3388" t="inlineStr">
        <is>
          <t>KFM2020660045542</t>
        </is>
      </c>
      <c r="C3388" t="inlineStr">
        <is>
          <t>الرياض</t>
        </is>
      </c>
      <c r="D3388" t="inlineStr">
        <is>
          <t>مساءا</t>
        </is>
      </c>
      <c r="E3388" t="n">
        <v>648</v>
      </c>
      <c r="F3388" t="b">
        <v>0</v>
      </c>
      <c r="G3388">
        <f>HYPERLINK("https://www.google.com/maps/search/?api=1&amp;query=24.78014028,46.75304513", "View Map")</f>
        <v/>
      </c>
    </row>
    <row r="3389">
      <c r="A3389" t="inlineStr">
        <is>
          <t xml:space="preserve">   مسجد معاويه بن ابي سفيان .</t>
        </is>
      </c>
      <c r="B3389" t="inlineStr">
        <is>
          <t>KFM2020766160192</t>
        </is>
      </c>
      <c r="C3389" t="inlineStr">
        <is>
          <t>الرياض</t>
        </is>
      </c>
      <c r="D3389" t="inlineStr">
        <is>
          <t>صباحا</t>
        </is>
      </c>
      <c r="E3389" t="n">
        <v>648</v>
      </c>
      <c r="F3389" t="b">
        <v>0</v>
      </c>
      <c r="G3389">
        <f>HYPERLINK("https://www.google.com/maps/search/?api=1&amp;query=24.73463213,46.77801222", "View Map")</f>
        <v/>
      </c>
    </row>
    <row r="3390">
      <c r="A3390" t="inlineStr">
        <is>
          <t>ﻤﺴﺎﺠﺩ .</t>
        </is>
      </c>
      <c r="B3390" t="inlineStr">
        <is>
          <t>KFM2020660202987</t>
        </is>
      </c>
      <c r="C3390" t="inlineStr">
        <is>
          <t>الرياض</t>
        </is>
      </c>
      <c r="D3390" t="inlineStr">
        <is>
          <t>مساءا</t>
        </is>
      </c>
      <c r="E3390" t="n">
        <v>648</v>
      </c>
      <c r="F3390" t="b">
        <v>1</v>
      </c>
      <c r="G3390">
        <f>HYPERLINK("https://www.google.com/maps/search/?api=1&amp;query=24.81262518,46.59295891", "View Map")</f>
        <v/>
      </c>
    </row>
    <row r="3391">
      <c r="A3391" t="inlineStr">
        <is>
          <t xml:space="preserve">   مسجد شمال غرب العاب الحكير .</t>
        </is>
      </c>
      <c r="B3391" t="inlineStr">
        <is>
          <t>KFM2120660299219</t>
        </is>
      </c>
      <c r="C3391" t="inlineStr">
        <is>
          <t>الرياض</t>
        </is>
      </c>
      <c r="D3391" t="inlineStr">
        <is>
          <t>مساءا</t>
        </is>
      </c>
      <c r="E3391" t="n">
        <v>648</v>
      </c>
      <c r="F3391" t="b">
        <v>1</v>
      </c>
      <c r="G3391">
        <f>HYPERLINK("https://www.google.com/maps/search/?api=1&amp;query=24.69286185,46.76104565", "View Map")</f>
        <v/>
      </c>
    </row>
    <row r="3392">
      <c r="A3392" t="inlineStr">
        <is>
          <t>ﻤﺴﺎﺠﺩ .</t>
        </is>
      </c>
      <c r="B3392" t="inlineStr">
        <is>
          <t>KFM2020660187560</t>
        </is>
      </c>
      <c r="C3392" t="inlineStr">
        <is>
          <t>الرياض</t>
        </is>
      </c>
      <c r="D3392" t="inlineStr">
        <is>
          <t>مساءا</t>
        </is>
      </c>
      <c r="E3392" t="n">
        <v>647</v>
      </c>
      <c r="F3392" t="b">
        <v>0</v>
      </c>
      <c r="G3392">
        <f>HYPERLINK("https://www.google.com/maps/search/?api=1&amp;query=24.62806686,46.54779038", "View Map")</f>
        <v/>
      </c>
    </row>
    <row r="3393">
      <c r="A3393" t="inlineStr">
        <is>
          <t>مسجد الدريهميه .</t>
        </is>
      </c>
      <c r="B3393" t="inlineStr">
        <is>
          <t>KFM2020660051453</t>
        </is>
      </c>
      <c r="C3393" t="inlineStr">
        <is>
          <t>الرياض</t>
        </is>
      </c>
      <c r="D3393" t="inlineStr">
        <is>
          <t>صباحا</t>
        </is>
      </c>
      <c r="E3393" t="n">
        <v>644</v>
      </c>
      <c r="F3393" t="b">
        <v>0</v>
      </c>
      <c r="G3393">
        <f>HYPERLINK("https://www.google.com/maps/search/?api=1&amp;query=24.58654999,46.68974177", "View Map")</f>
        <v/>
      </c>
    </row>
    <row r="3394">
      <c r="A3394" t="inlineStr">
        <is>
          <t>ﻤﺴﺎﺠﺩ .</t>
        </is>
      </c>
      <c r="B3394" t="inlineStr">
        <is>
          <t>KFM2020660039711</t>
        </is>
      </c>
      <c r="C3394" t="inlineStr">
        <is>
          <t>الرياض</t>
        </is>
      </c>
      <c r="D3394" t="inlineStr">
        <is>
          <t>مساءا</t>
        </is>
      </c>
      <c r="E3394" t="n">
        <v>642</v>
      </c>
      <c r="F3394" t="b">
        <v>1</v>
      </c>
      <c r="G3394">
        <f>HYPERLINK("https://www.google.com/maps/search/?api=1&amp;query=24.7822,46.5958", "View Map")</f>
        <v/>
      </c>
    </row>
    <row r="3395">
      <c r="A3395" t="inlineStr">
        <is>
          <t>مسجد الحكير بالعريجاء .</t>
        </is>
      </c>
      <c r="B3395" t="inlineStr">
        <is>
          <t>KFM2020660171731</t>
        </is>
      </c>
      <c r="C3395" t="inlineStr">
        <is>
          <t>الرياض</t>
        </is>
      </c>
      <c r="D3395" t="inlineStr">
        <is>
          <t>مساءا</t>
        </is>
      </c>
      <c r="E3395" t="n">
        <v>642</v>
      </c>
      <c r="F3395" t="b">
        <v>0</v>
      </c>
      <c r="G3395">
        <f>HYPERLINK("https://www.google.com/maps/search/?api=1&amp;query=24.57863745,46.54393858", "View Map")</f>
        <v/>
      </c>
    </row>
    <row r="3396">
      <c r="A3396" t="inlineStr">
        <is>
          <t xml:space="preserve">   مسجد      الرويضان .</t>
        </is>
      </c>
      <c r="B3396" t="inlineStr">
        <is>
          <t>KFM2020660054514</t>
        </is>
      </c>
      <c r="C3396" t="inlineStr">
        <is>
          <t>الرياض</t>
        </is>
      </c>
      <c r="D3396" t="inlineStr">
        <is>
          <t>مساءا</t>
        </is>
      </c>
      <c r="E3396" t="n">
        <v>641</v>
      </c>
      <c r="F3396" t="b">
        <v>0</v>
      </c>
      <c r="G3396">
        <f>HYPERLINK("https://www.google.com/maps/search/?api=1&amp;query=24.80724593,46.74521721", "View Map")</f>
        <v/>
      </c>
    </row>
    <row r="3397">
      <c r="A3397" t="inlineStr">
        <is>
          <t>مسجد عبدالعزيزوالشيخ  سعودالعيسى .</t>
        </is>
      </c>
      <c r="B3397" t="inlineStr">
        <is>
          <t>KFM2020660175054</t>
        </is>
      </c>
      <c r="C3397" t="inlineStr">
        <is>
          <t>الرياض</t>
        </is>
      </c>
      <c r="D3397" t="inlineStr">
        <is>
          <t>مساءا</t>
        </is>
      </c>
      <c r="E3397" t="n">
        <v>641</v>
      </c>
      <c r="F3397" t="b">
        <v>0</v>
      </c>
      <c r="G3397">
        <f>HYPERLINK("https://www.google.com/maps/search/?api=1&amp;query=24.53164516,46.70992695", "View Map")</f>
        <v/>
      </c>
    </row>
    <row r="3398">
      <c r="A3398" t="inlineStr">
        <is>
          <t xml:space="preserve">   مسجد الدار البيضاء .</t>
        </is>
      </c>
      <c r="B3398" t="inlineStr">
        <is>
          <t>KFM2020660162788</t>
        </is>
      </c>
      <c r="C3398" t="inlineStr">
        <is>
          <t>الرياض</t>
        </is>
      </c>
      <c r="D3398" t="inlineStr">
        <is>
          <t>مساءا</t>
        </is>
      </c>
      <c r="E3398" t="n">
        <v>640</v>
      </c>
      <c r="F3398" t="b">
        <v>0</v>
      </c>
      <c r="G3398">
        <f>HYPERLINK("https://www.google.com/maps/search/?api=1&amp;query=24.56804658,46.80371402", "View Map")</f>
        <v/>
      </c>
    </row>
    <row r="3399">
      <c r="A3399" t="inlineStr">
        <is>
          <t>ﻤﺴﺎﺠﺩ .</t>
        </is>
      </c>
      <c r="B3399" t="inlineStr">
        <is>
          <t>KFM2120660246999</t>
        </is>
      </c>
      <c r="C3399" t="inlineStr">
        <is>
          <t>الرياض</t>
        </is>
      </c>
      <c r="D3399" t="inlineStr">
        <is>
          <t>مساءا</t>
        </is>
      </c>
      <c r="E3399" t="n">
        <v>640</v>
      </c>
      <c r="F3399" t="b">
        <v>1</v>
      </c>
      <c r="G3399">
        <f>HYPERLINK("https://www.google.com/maps/search/?api=1&amp;query=24.82820974,46.58653605", "View Map")</f>
        <v/>
      </c>
    </row>
    <row r="3400">
      <c r="A3400" t="inlineStr">
        <is>
          <t>ادارة اوقاف  صالح  عبدالعزيزالراجحى .</t>
        </is>
      </c>
      <c r="B3400" t="inlineStr">
        <is>
          <t>KFM2020660038858</t>
        </is>
      </c>
      <c r="C3400" t="inlineStr">
        <is>
          <t>الرياض</t>
        </is>
      </c>
      <c r="D3400" t="inlineStr">
        <is>
          <t>صباحا</t>
        </is>
      </c>
      <c r="E3400" t="n">
        <v>640</v>
      </c>
      <c r="F3400" t="b">
        <v>0</v>
      </c>
      <c r="G3400">
        <f>HYPERLINK("https://www.google.com/maps/search/?api=1&amp;query=24.59771279,46.7341277", "View Map")</f>
        <v/>
      </c>
    </row>
    <row r="3401">
      <c r="A3401" t="inlineStr">
        <is>
          <t>مسجدحى  السويدى  الشرقى .</t>
        </is>
      </c>
      <c r="B3401" t="inlineStr">
        <is>
          <t>KFM2020660056100</t>
        </is>
      </c>
      <c r="C3401" t="inlineStr">
        <is>
          <t>الرياض</t>
        </is>
      </c>
      <c r="D3401" t="inlineStr">
        <is>
          <t>مساءا</t>
        </is>
      </c>
      <c r="E3401" t="n">
        <v>640</v>
      </c>
      <c r="F3401" t="b">
        <v>0</v>
      </c>
      <c r="G3401">
        <f>HYPERLINK("https://www.google.com/maps/search/?api=1&amp;query=24.58124222,46.66664176", "View Map")</f>
        <v/>
      </c>
    </row>
    <row r="3402">
      <c r="A3402" t="inlineStr">
        <is>
          <t xml:space="preserve">   جامع وسكن الشيخ عبدالله ال كليب .</t>
        </is>
      </c>
      <c r="B3402" t="inlineStr">
        <is>
          <t>KFM2020660144710</t>
        </is>
      </c>
      <c r="C3402" t="inlineStr">
        <is>
          <t>الرياض</t>
        </is>
      </c>
      <c r="D3402" t="inlineStr">
        <is>
          <t>مساءا</t>
        </is>
      </c>
      <c r="E3402" t="n">
        <v>639</v>
      </c>
      <c r="F3402" t="b">
        <v>1</v>
      </c>
      <c r="G3402">
        <f>HYPERLINK("https://www.google.com/maps/search/?api=1&amp;query=24.80514492,46.77496815", "View Map")</f>
        <v/>
      </c>
    </row>
    <row r="3403">
      <c r="A3403" t="inlineStr">
        <is>
          <t>ﻤﺴﺎﺠﺩ .</t>
        </is>
      </c>
      <c r="B3403" t="inlineStr">
        <is>
          <t>KFM2020660174817</t>
        </is>
      </c>
      <c r="C3403" t="inlineStr">
        <is>
          <t>الرياض</t>
        </is>
      </c>
      <c r="D3403" t="inlineStr">
        <is>
          <t>مساءا</t>
        </is>
      </c>
      <c r="E3403" t="n">
        <v>638</v>
      </c>
      <c r="F3403" t="b">
        <v>0</v>
      </c>
      <c r="G3403">
        <f>HYPERLINK("https://www.google.com/maps/search/?api=1&amp;query=24.806819,46.82055937", "View Map")</f>
        <v/>
      </c>
    </row>
    <row r="3404">
      <c r="A3404" t="inlineStr">
        <is>
          <t xml:space="preserve">   مسجد النقوي .</t>
        </is>
      </c>
      <c r="B3404" t="inlineStr">
        <is>
          <t>KFM2020660045850</t>
        </is>
      </c>
      <c r="C3404" t="inlineStr">
        <is>
          <t>الرياض</t>
        </is>
      </c>
      <c r="D3404" t="inlineStr">
        <is>
          <t>مساءا</t>
        </is>
      </c>
      <c r="E3404" t="n">
        <v>637</v>
      </c>
      <c r="F3404" t="b">
        <v>0</v>
      </c>
      <c r="G3404">
        <f>HYPERLINK("https://www.google.com/maps/search/?api=1&amp;query=24.68867538,46.74935793", "View Map")</f>
        <v/>
      </c>
    </row>
    <row r="3405">
      <c r="A3405" t="inlineStr">
        <is>
          <t xml:space="preserve">   مسجدالفواز .</t>
        </is>
      </c>
      <c r="B3405" t="inlineStr">
        <is>
          <t>KFM2120660253400</t>
        </is>
      </c>
      <c r="C3405" t="inlineStr">
        <is>
          <t>الرياض</t>
        </is>
      </c>
      <c r="D3405" t="inlineStr">
        <is>
          <t>مساءا</t>
        </is>
      </c>
      <c r="E3405" t="n">
        <v>636</v>
      </c>
      <c r="F3405" t="b">
        <v>1</v>
      </c>
      <c r="G3405">
        <f>HYPERLINK("https://www.google.com/maps/search/?api=1&amp;query=24.59000063,46.76508727", "View Map")</f>
        <v/>
      </c>
    </row>
    <row r="3406">
      <c r="A3406" t="inlineStr">
        <is>
          <t xml:space="preserve">   مسجد بلال .</t>
        </is>
      </c>
      <c r="B3406" t="inlineStr">
        <is>
          <t>KFM2020660201188</t>
        </is>
      </c>
      <c r="C3406" t="inlineStr">
        <is>
          <t>الرياض</t>
        </is>
      </c>
      <c r="D3406" t="inlineStr">
        <is>
          <t>مساءا</t>
        </is>
      </c>
      <c r="E3406" t="n">
        <v>636</v>
      </c>
      <c r="F3406" t="b">
        <v>0</v>
      </c>
      <c r="G3406">
        <f>HYPERLINK("https://www.google.com/maps/search/?api=1&amp;query=24.75950667,46.70961891", "View Map")</f>
        <v/>
      </c>
    </row>
    <row r="3407">
      <c r="A3407" t="inlineStr">
        <is>
          <t xml:space="preserve">   مسجد محمد عادي الشيباني .</t>
        </is>
      </c>
      <c r="B3407" t="inlineStr">
        <is>
          <t>KFM2020660056870</t>
        </is>
      </c>
      <c r="C3407" t="inlineStr">
        <is>
          <t>الرياض</t>
        </is>
      </c>
      <c r="D3407" t="inlineStr">
        <is>
          <t>صباحا</t>
        </is>
      </c>
      <c r="E3407" t="n">
        <v>635</v>
      </c>
      <c r="F3407" t="b">
        <v>0</v>
      </c>
      <c r="G3407">
        <f>HYPERLINK("https://www.google.com/maps/search/?api=1&amp;query=24.79415308,46.74981119", "View Map")</f>
        <v/>
      </c>
    </row>
    <row r="3408">
      <c r="A3408" t="inlineStr">
        <is>
          <t>ﻤﺴﺎﺠﺩ .</t>
        </is>
      </c>
      <c r="B3408" t="inlineStr">
        <is>
          <t>KFM2020660190846</t>
        </is>
      </c>
      <c r="C3408" t="inlineStr">
        <is>
          <t>الرياض</t>
        </is>
      </c>
      <c r="D3408" t="inlineStr">
        <is>
          <t>مساءا</t>
        </is>
      </c>
      <c r="E3408" t="n">
        <v>635</v>
      </c>
      <c r="F3408" t="b">
        <v>1</v>
      </c>
      <c r="G3408">
        <f>HYPERLINK("https://www.google.com/maps/search/?api=1&amp;query=24.66899204,46.71227694", "View Map")</f>
        <v/>
      </c>
    </row>
    <row r="3409">
      <c r="A3409" t="inlineStr">
        <is>
          <t xml:space="preserve">   مسجد/عبدالله بن سعود .</t>
        </is>
      </c>
      <c r="B3409" t="inlineStr">
        <is>
          <t>KFM2120660247962</t>
        </is>
      </c>
      <c r="C3409" t="inlineStr">
        <is>
          <t>الرياض</t>
        </is>
      </c>
      <c r="D3409" t="inlineStr">
        <is>
          <t>صباحا</t>
        </is>
      </c>
      <c r="E3409" t="n">
        <v>634</v>
      </c>
      <c r="F3409" t="b">
        <v>1</v>
      </c>
      <c r="G3409">
        <f>HYPERLINK("https://www.google.com/maps/search/?api=1&amp;query=24.60861776,46.75208462", "View Map")</f>
        <v/>
      </c>
    </row>
    <row r="3410">
      <c r="A3410" t="inlineStr">
        <is>
          <t xml:space="preserve">   مسجد حى النسيم .</t>
        </is>
      </c>
      <c r="B3410" t="inlineStr">
        <is>
          <t>KFM2020660057090</t>
        </is>
      </c>
      <c r="C3410" t="inlineStr">
        <is>
          <t>الرياض</t>
        </is>
      </c>
      <c r="D3410" t="inlineStr">
        <is>
          <t>مساءا</t>
        </is>
      </c>
      <c r="E3410" t="n">
        <v>634</v>
      </c>
      <c r="F3410" t="b">
        <v>0</v>
      </c>
      <c r="G3410">
        <f>HYPERLINK("https://www.google.com/maps/search/?api=1&amp;query=24.7221885,46.82983881", "View Map")</f>
        <v/>
      </c>
    </row>
    <row r="3411">
      <c r="A3411" t="inlineStr">
        <is>
          <t>المسجد الموقت بالعريجا .</t>
        </is>
      </c>
      <c r="B3411" t="inlineStr">
        <is>
          <t>KFM2020660203505</t>
        </is>
      </c>
      <c r="C3411" t="inlineStr">
        <is>
          <t>الرياض</t>
        </is>
      </c>
      <c r="D3411" t="inlineStr">
        <is>
          <t>مساءا</t>
        </is>
      </c>
      <c r="E3411" t="n">
        <v>632</v>
      </c>
      <c r="F3411" t="b">
        <v>1</v>
      </c>
      <c r="G3411">
        <f>HYPERLINK("https://www.google.com/maps/search/?api=1&amp;query=24.58809406,46.55910426", "View Map")</f>
        <v/>
      </c>
    </row>
    <row r="3412">
      <c r="A3412" t="inlineStr">
        <is>
          <t>مسجد بحى  بدر .</t>
        </is>
      </c>
      <c r="B3412" t="inlineStr">
        <is>
          <t>KFM2020660115821</t>
        </is>
      </c>
      <c r="C3412" t="inlineStr">
        <is>
          <t>الرياض</t>
        </is>
      </c>
      <c r="D3412" t="inlineStr">
        <is>
          <t>مساءا</t>
        </is>
      </c>
      <c r="E3412" t="n">
        <v>631</v>
      </c>
      <c r="F3412" t="b">
        <v>1</v>
      </c>
      <c r="G3412">
        <f>HYPERLINK("https://www.google.com/maps/search/?api=1&amp;query=24.54613916,46.72204318", "View Map")</f>
        <v/>
      </c>
    </row>
    <row r="3413">
      <c r="A3413" t="inlineStr">
        <is>
          <t>مسجد الشيخ  /عبدالله  الغملاس .</t>
        </is>
      </c>
      <c r="B3413" t="inlineStr">
        <is>
          <t>KFM2120766173915</t>
        </is>
      </c>
      <c r="C3413" t="inlineStr">
        <is>
          <t>الرياض</t>
        </is>
      </c>
      <c r="D3413" t="inlineStr">
        <is>
          <t>مساءا</t>
        </is>
      </c>
      <c r="E3413" t="n">
        <v>631</v>
      </c>
      <c r="F3413" t="b">
        <v>1</v>
      </c>
      <c r="G3413">
        <f>HYPERLINK("https://www.google.com/maps/search/?api=1&amp;query=24.55796898,46.72210527", "View Map")</f>
        <v/>
      </c>
    </row>
    <row r="3414">
      <c r="A3414" t="inlineStr">
        <is>
          <t xml:space="preserve">   مسجد      عبدتاعزيز الموسى .</t>
        </is>
      </c>
      <c r="B3414" t="inlineStr">
        <is>
          <t>KFM2020660188505</t>
        </is>
      </c>
      <c r="C3414" t="inlineStr">
        <is>
          <t>الرياض</t>
        </is>
      </c>
      <c r="D3414" t="inlineStr">
        <is>
          <t>مساءا</t>
        </is>
      </c>
      <c r="E3414" t="n">
        <v>631</v>
      </c>
      <c r="F3414" t="b">
        <v>0</v>
      </c>
      <c r="G3414">
        <f>HYPERLINK("https://www.google.com/maps/search/?api=1&amp;query=24.70018325,46.64911574", "View Map")</f>
        <v/>
      </c>
    </row>
    <row r="3415">
      <c r="A3415" t="inlineStr">
        <is>
          <t>.       مسجدالامام  مسلم .</t>
        </is>
      </c>
      <c r="B3415" t="inlineStr">
        <is>
          <t>KFM2020660202633</t>
        </is>
      </c>
      <c r="C3415" t="inlineStr">
        <is>
          <t>الرياض</t>
        </is>
      </c>
      <c r="D3415" t="inlineStr">
        <is>
          <t>مساءا</t>
        </is>
      </c>
      <c r="E3415" t="n">
        <v>630</v>
      </c>
      <c r="F3415" t="b">
        <v>0</v>
      </c>
      <c r="G3415">
        <f>HYPERLINK("https://www.google.com/maps/search/?api=1&amp;query=24.5632643,46.72132231", "View Map")</f>
        <v/>
      </c>
    </row>
    <row r="3416">
      <c r="A3416" t="inlineStr">
        <is>
          <t xml:space="preserve">   وزارة الشؤون الا سلا مية و الا وقاف .</t>
        </is>
      </c>
      <c r="B3416" t="inlineStr">
        <is>
          <t>KFM2020660196503</t>
        </is>
      </c>
      <c r="C3416" t="inlineStr">
        <is>
          <t>الرياض</t>
        </is>
      </c>
      <c r="D3416" t="inlineStr">
        <is>
          <t>مساءا</t>
        </is>
      </c>
      <c r="E3416" t="n">
        <v>630</v>
      </c>
      <c r="F3416" t="b">
        <v>1</v>
      </c>
      <c r="G3416">
        <f>HYPERLINK("https://www.google.com/maps/search/?api=1&amp;query=24.73977422,46.68617058", "View Map")</f>
        <v/>
      </c>
    </row>
    <row r="3417">
      <c r="A3417" t="inlineStr">
        <is>
          <t>مسجد حى  بدر .</t>
        </is>
      </c>
      <c r="B3417" t="inlineStr">
        <is>
          <t>KFM2020660167664</t>
        </is>
      </c>
      <c r="C3417" t="inlineStr">
        <is>
          <t>الرياض</t>
        </is>
      </c>
      <c r="D3417" t="inlineStr">
        <is>
          <t>مساءا</t>
        </is>
      </c>
      <c r="E3417" t="n">
        <v>629</v>
      </c>
      <c r="F3417" t="b">
        <v>0</v>
      </c>
      <c r="G3417">
        <f>HYPERLINK("https://www.google.com/maps/search/?api=1&amp;query=24.54147704,46.71398818", "View Map")</f>
        <v/>
      </c>
    </row>
    <row r="3418">
      <c r="A3418" t="inlineStr">
        <is>
          <t xml:space="preserve">   مسجد      عبدالعزيز التركي .</t>
        </is>
      </c>
      <c r="B3418" t="inlineStr">
        <is>
          <t>KFM2020660036539</t>
        </is>
      </c>
      <c r="C3418" t="inlineStr">
        <is>
          <t>الرياض</t>
        </is>
      </c>
      <c r="D3418" t="inlineStr">
        <is>
          <t>مساءا</t>
        </is>
      </c>
      <c r="E3418" t="n">
        <v>629</v>
      </c>
      <c r="F3418" t="b">
        <v>0</v>
      </c>
      <c r="G3418">
        <f>HYPERLINK("https://www.google.com/maps/search/?api=1&amp;query=24.70330615,46.80677754", "View Map")</f>
        <v/>
      </c>
    </row>
    <row r="3419">
      <c r="A3419" t="inlineStr">
        <is>
          <t xml:space="preserve">   مسجد محمد العصيمي .</t>
        </is>
      </c>
      <c r="B3419" t="inlineStr">
        <is>
          <t>KFM2020660046025</t>
        </is>
      </c>
      <c r="C3419" t="inlineStr">
        <is>
          <t>الرياض</t>
        </is>
      </c>
      <c r="D3419" t="inlineStr">
        <is>
          <t>مساءا</t>
        </is>
      </c>
      <c r="E3419" t="n">
        <v>628</v>
      </c>
      <c r="F3419" t="b">
        <v>0</v>
      </c>
      <c r="G3419">
        <f>HYPERLINK("https://www.google.com/maps/search/?api=1&amp;query=24.70693913,46.81537689", "View Map")</f>
        <v/>
      </c>
    </row>
    <row r="3420">
      <c r="A3420" t="inlineStr">
        <is>
          <t xml:space="preserve">   مسجد حمزه بن عبدالمطلب .</t>
        </is>
      </c>
      <c r="B3420" t="inlineStr">
        <is>
          <t>KFM2020660193620</t>
        </is>
      </c>
      <c r="C3420" t="inlineStr">
        <is>
          <t>الرياض</t>
        </is>
      </c>
      <c r="D3420" t="inlineStr">
        <is>
          <t>مساءا</t>
        </is>
      </c>
      <c r="E3420" t="n">
        <v>627</v>
      </c>
      <c r="F3420" t="b">
        <v>1</v>
      </c>
      <c r="G3420">
        <f>HYPERLINK("https://www.google.com/maps/search/?api=1&amp;query=24.69643018,46.86031652", "View Map")</f>
        <v/>
      </c>
    </row>
    <row r="3421">
      <c r="A3421" t="inlineStr">
        <is>
          <t xml:space="preserve">   مسجد /3087ش سليمان و عبدالله .</t>
        </is>
      </c>
      <c r="B3421" t="inlineStr">
        <is>
          <t>KFM2020660057414</t>
        </is>
      </c>
      <c r="C3421" t="inlineStr">
        <is>
          <t>الرياض</t>
        </is>
      </c>
      <c r="D3421" t="inlineStr">
        <is>
          <t>مساءا</t>
        </is>
      </c>
      <c r="E3421" t="n">
        <v>625</v>
      </c>
      <c r="F3421" t="b">
        <v>0</v>
      </c>
      <c r="G3421">
        <f>HYPERLINK("https://www.google.com/maps/search/?api=1&amp;query=24.62885643,46.7951782", "View Map")</f>
        <v/>
      </c>
    </row>
    <row r="3422">
      <c r="A3422" t="inlineStr">
        <is>
          <t>مسجد      فيصل       اثنين .</t>
        </is>
      </c>
      <c r="B3422" t="inlineStr">
        <is>
          <t>KFM2020660015207</t>
        </is>
      </c>
      <c r="C3422" t="inlineStr">
        <is>
          <t>الرياض</t>
        </is>
      </c>
      <c r="D3422" t="inlineStr">
        <is>
          <t>مساءا</t>
        </is>
      </c>
      <c r="E3422" t="n">
        <v>625</v>
      </c>
      <c r="F3422" t="b">
        <v>0</v>
      </c>
      <c r="G3422">
        <f>HYPERLINK("https://www.google.com/maps/search/?api=1&amp;query=24.6092,46.7261", "View Map")</f>
        <v/>
      </c>
    </row>
    <row r="3423">
      <c r="A3423" t="inlineStr">
        <is>
          <t xml:space="preserve">   مسجد علي القحطاني .</t>
        </is>
      </c>
      <c r="B3423" t="inlineStr">
        <is>
          <t>KFM2120660256836</t>
        </is>
      </c>
      <c r="C3423" t="inlineStr">
        <is>
          <t>الرياض</t>
        </is>
      </c>
      <c r="D3423" t="inlineStr">
        <is>
          <t>مساءا</t>
        </is>
      </c>
      <c r="E3423" t="n">
        <v>625</v>
      </c>
      <c r="F3423" t="b">
        <v>1</v>
      </c>
      <c r="G3423">
        <f>HYPERLINK("https://www.google.com/maps/search/?api=1&amp;query=24.59538606,46.76029581", "View Map")</f>
        <v/>
      </c>
    </row>
    <row r="3424">
      <c r="A3424" t="inlineStr">
        <is>
          <t>ﻭﺯﺍﺭﺓﺍﻟﺸﺌﻭﻥ ﺍﻻﺴﻼﻤﻴﺓﻭﺍﻻﻭﻗﺎﻑ .</t>
        </is>
      </c>
      <c r="B3424" t="inlineStr">
        <is>
          <t>KFM2020660049519</t>
        </is>
      </c>
      <c r="C3424" t="inlineStr">
        <is>
          <t>الرياض</t>
        </is>
      </c>
      <c r="D3424" t="inlineStr">
        <is>
          <t>مساءا</t>
        </is>
      </c>
      <c r="E3424" t="n">
        <v>624</v>
      </c>
      <c r="F3424" t="b">
        <v>0</v>
      </c>
      <c r="G3424">
        <f>HYPERLINK("https://www.google.com/maps/search/?api=1&amp;query=24.5584096,46.56725514", "View Map")</f>
        <v/>
      </c>
    </row>
    <row r="3425">
      <c r="A3425" t="inlineStr">
        <is>
          <t>مسجد حي الشفا .</t>
        </is>
      </c>
      <c r="B3425" t="inlineStr">
        <is>
          <t>KFM2020660177104</t>
        </is>
      </c>
      <c r="C3425" t="inlineStr">
        <is>
          <t>الرياض</t>
        </is>
      </c>
      <c r="D3425" t="inlineStr">
        <is>
          <t>مساءا</t>
        </is>
      </c>
      <c r="E3425" t="n">
        <v>624</v>
      </c>
      <c r="F3425" t="b">
        <v>0</v>
      </c>
      <c r="G3425">
        <f>HYPERLINK("https://www.google.com/maps/search/?api=1&amp;query=24.55422808,46.69945164", "View Map")</f>
        <v/>
      </c>
    </row>
    <row r="3426">
      <c r="A3426" t="inlineStr">
        <is>
          <t>مسجد العودة  بالعريجا .</t>
        </is>
      </c>
      <c r="B3426" t="inlineStr">
        <is>
          <t>KFM2020760072373</t>
        </is>
      </c>
      <c r="C3426" t="inlineStr">
        <is>
          <t>الرياض</t>
        </is>
      </c>
      <c r="D3426" t="inlineStr">
        <is>
          <t>مساءا</t>
        </is>
      </c>
      <c r="E3426" t="n">
        <v>624</v>
      </c>
      <c r="F3426" t="b">
        <v>1</v>
      </c>
      <c r="G3426">
        <f>HYPERLINK("https://www.google.com/maps/search/?api=1&amp;query=24.605067,46.594343", "View Map")</f>
        <v/>
      </c>
    </row>
    <row r="3427">
      <c r="A3427" t="inlineStr">
        <is>
          <t>وزاره      الشئون    جامع الحزم .</t>
        </is>
      </c>
      <c r="B3427" t="inlineStr">
        <is>
          <t>KFM2020660034101</t>
        </is>
      </c>
      <c r="C3427" t="inlineStr">
        <is>
          <t>الرياض</t>
        </is>
      </c>
      <c r="D3427" t="inlineStr">
        <is>
          <t>كلا الفترتين</t>
        </is>
      </c>
      <c r="E3427" t="n">
        <v>623</v>
      </c>
      <c r="F3427" t="b">
        <v>1</v>
      </c>
      <c r="G3427">
        <f>HYPERLINK("https://www.google.com/maps/search/?api=1&amp;query=24.53823545,46.63657867", "View Map")</f>
        <v/>
      </c>
    </row>
    <row r="3428">
      <c r="A3428" t="inlineStr">
        <is>
          <t xml:space="preserve">   مسجد حي أشبليا .</t>
        </is>
      </c>
      <c r="B3428" t="inlineStr">
        <is>
          <t>KFM2020660129872</t>
        </is>
      </c>
      <c r="C3428" t="inlineStr">
        <is>
          <t>الرياض</t>
        </is>
      </c>
      <c r="D3428" t="inlineStr">
        <is>
          <t>مساءا</t>
        </is>
      </c>
      <c r="E3428" t="n">
        <v>622</v>
      </c>
      <c r="F3428" t="b">
        <v>0</v>
      </c>
      <c r="G3428">
        <f>HYPERLINK("https://www.google.com/maps/search/?api=1&amp;query=24.78816865,46.77240768", "View Map")</f>
        <v/>
      </c>
    </row>
    <row r="3429">
      <c r="A3429" t="inlineStr">
        <is>
          <t xml:space="preserve">   مسجد عبدالعزيز بن باز .</t>
        </is>
      </c>
      <c r="B3429" t="inlineStr">
        <is>
          <t>KFM2020660191855</t>
        </is>
      </c>
      <c r="C3429" t="inlineStr">
        <is>
          <t>الرياض</t>
        </is>
      </c>
      <c r="D3429" t="inlineStr">
        <is>
          <t>صباحا</t>
        </is>
      </c>
      <c r="E3429" t="n">
        <v>621</v>
      </c>
      <c r="F3429" t="b">
        <v>0</v>
      </c>
      <c r="G3429">
        <f>HYPERLINK("https://www.google.com/maps/search/?api=1&amp;query=24.79939391,46.78149385", "View Map")</f>
        <v/>
      </c>
    </row>
    <row r="3430">
      <c r="A3430" t="inlineStr">
        <is>
          <t xml:space="preserve">   مسجد جامع السلي .</t>
        </is>
      </c>
      <c r="B3430" t="inlineStr">
        <is>
          <t>KFM2120660236571</t>
        </is>
      </c>
      <c r="C3430" t="inlineStr">
        <is>
          <t>الرياض</t>
        </is>
      </c>
      <c r="D3430" t="inlineStr">
        <is>
          <t>صباحا</t>
        </is>
      </c>
      <c r="E3430" t="n">
        <v>620</v>
      </c>
      <c r="F3430" t="b">
        <v>0</v>
      </c>
      <c r="G3430">
        <f>HYPERLINK("https://www.google.com/maps/search/?api=1&amp;query=24.70275707,46.8393196", "View Map")</f>
        <v/>
      </c>
    </row>
    <row r="3431">
      <c r="A3431" t="inlineStr">
        <is>
          <t>ﻭﺯﺍﺭﺓﺍﻟﺸﺌﻭﻥ ﺍﻻﺴﻼﻤﻴﺓﻭﺍﻻﻭﻗﺎﻑ .</t>
        </is>
      </c>
      <c r="B3431" t="inlineStr">
        <is>
          <t>SMR2320661030401</t>
        </is>
      </c>
      <c r="C3431" t="inlineStr">
        <is>
          <t>الرياض</t>
        </is>
      </c>
      <c r="D3431" t="inlineStr">
        <is>
          <t>مساءا</t>
        </is>
      </c>
      <c r="E3431" t="n">
        <v>620</v>
      </c>
      <c r="F3431" t="b">
        <v>1</v>
      </c>
      <c r="G3431">
        <f>HYPERLINK("https://www.google.com/maps/search/?api=1&amp;query=24.55363955,46.6674507", "View Map")</f>
        <v/>
      </c>
    </row>
    <row r="3432">
      <c r="A3432" t="inlineStr">
        <is>
          <t>مسجد/سموالاميرمحمدبن سعودالكبير .</t>
        </is>
      </c>
      <c r="B3432" t="inlineStr">
        <is>
          <t>SMR2220661017929</t>
        </is>
      </c>
      <c r="C3432" t="inlineStr">
        <is>
          <t>الرياض</t>
        </is>
      </c>
      <c r="D3432" t="inlineStr">
        <is>
          <t>مساءا</t>
        </is>
      </c>
      <c r="E3432" t="n">
        <v>620</v>
      </c>
      <c r="F3432" t="b">
        <v>0</v>
      </c>
      <c r="G3432">
        <f>HYPERLINK("https://www.google.com/maps/search/?api=1&amp;query=24.6456,46.7156", "View Map")</f>
        <v/>
      </c>
    </row>
    <row r="3433">
      <c r="A3433" t="inlineStr">
        <is>
          <t xml:space="preserve">   مسجدالا ميرة/جهير بنت بندر .</t>
        </is>
      </c>
      <c r="B3433" t="inlineStr">
        <is>
          <t>KFM2020660197652</t>
        </is>
      </c>
      <c r="C3433" t="inlineStr">
        <is>
          <t>الرياض</t>
        </is>
      </c>
      <c r="D3433" t="inlineStr">
        <is>
          <t>مساءا</t>
        </is>
      </c>
      <c r="E3433" t="n">
        <v>619</v>
      </c>
      <c r="F3433" t="b">
        <v>1</v>
      </c>
      <c r="G3433">
        <f>HYPERLINK("https://www.google.com/maps/search/?api=1&amp;query=24.7322082,46.71941962", "View Map")</f>
        <v/>
      </c>
    </row>
    <row r="3434">
      <c r="A3434" t="inlineStr">
        <is>
          <t>مسجد      الزعاقي   بحي بدر .</t>
        </is>
      </c>
      <c r="B3434" t="inlineStr">
        <is>
          <t>KFM2020660175055</t>
        </is>
      </c>
      <c r="C3434" t="inlineStr">
        <is>
          <t>الرياض</t>
        </is>
      </c>
      <c r="D3434" t="inlineStr">
        <is>
          <t>مساءا</t>
        </is>
      </c>
      <c r="E3434" t="n">
        <v>619</v>
      </c>
      <c r="F3434" t="b">
        <v>0</v>
      </c>
      <c r="G3434">
        <f>HYPERLINK("https://www.google.com/maps/search/?api=1&amp;query=24.53776775,46.71987256", "View Map")</f>
        <v/>
      </c>
    </row>
    <row r="3435">
      <c r="A3435" t="inlineStr">
        <is>
          <t xml:space="preserve">   مسجد ابن شايع .</t>
        </is>
      </c>
      <c r="B3435" t="inlineStr">
        <is>
          <t>KFM2020660020413</t>
        </is>
      </c>
      <c r="C3435" t="inlineStr">
        <is>
          <t>الرياض</t>
        </is>
      </c>
      <c r="D3435" t="inlineStr">
        <is>
          <t>مساءا</t>
        </is>
      </c>
      <c r="E3435" t="n">
        <v>619</v>
      </c>
      <c r="F3435" t="b">
        <v>0</v>
      </c>
      <c r="G3435">
        <f>HYPERLINK("https://www.google.com/maps/search/?api=1&amp;query=24.789043,46.79221283", "View Map")</f>
        <v/>
      </c>
    </row>
    <row r="3436">
      <c r="A3436" t="inlineStr">
        <is>
          <t xml:space="preserve">   مسجد لولوه الوهيب .</t>
        </is>
      </c>
      <c r="B3436" t="inlineStr">
        <is>
          <t>KFM2020660054521</t>
        </is>
      </c>
      <c r="C3436" t="inlineStr">
        <is>
          <t>الرياض</t>
        </is>
      </c>
      <c r="D3436" t="inlineStr">
        <is>
          <t>مساءا</t>
        </is>
      </c>
      <c r="E3436" t="n">
        <v>618</v>
      </c>
      <c r="F3436" t="b">
        <v>0</v>
      </c>
      <c r="G3436">
        <f>HYPERLINK("https://www.google.com/maps/search/?api=1&amp;query=24.80882499,46.77159669", "View Map")</f>
        <v/>
      </c>
    </row>
    <row r="3437">
      <c r="A3437" t="inlineStr">
        <is>
          <t>ﻭﺯﺍﺭﺓﺍﻟﺸﺌﻭﻥ ﺍﻻﺴﻼﻤﻴﺓﻭﺍﻻﻭﻗﺎﻑ .</t>
        </is>
      </c>
      <c r="B3437" t="inlineStr">
        <is>
          <t>SMR2220661006894</t>
        </is>
      </c>
      <c r="C3437" t="inlineStr">
        <is>
          <t>الرياض</t>
        </is>
      </c>
      <c r="D3437" t="inlineStr">
        <is>
          <t>مساءا</t>
        </is>
      </c>
      <c r="E3437" t="n">
        <v>617</v>
      </c>
      <c r="F3437" t="b">
        <v>1</v>
      </c>
      <c r="G3437">
        <f>HYPERLINK("https://www.google.com/maps/search/?api=1&amp;query=24.55826716,46.56189007", "View Map")</f>
        <v/>
      </c>
    </row>
    <row r="3438">
      <c r="A3438" t="inlineStr">
        <is>
          <t xml:space="preserve">   مسجدالغفيص .</t>
        </is>
      </c>
      <c r="B3438" t="inlineStr">
        <is>
          <t>KFM2120660241500</t>
        </is>
      </c>
      <c r="C3438" t="inlineStr">
        <is>
          <t>الرياض</t>
        </is>
      </c>
      <c r="D3438" t="inlineStr">
        <is>
          <t>مساءا</t>
        </is>
      </c>
      <c r="E3438" t="n">
        <v>617</v>
      </c>
      <c r="F3438" t="b">
        <v>1</v>
      </c>
      <c r="G3438">
        <f>HYPERLINK("https://www.google.com/maps/search/?api=1&amp;query=24.63845505,46.71939834", "View Map")</f>
        <v/>
      </c>
    </row>
    <row r="3439">
      <c r="A3439" t="inlineStr">
        <is>
          <t>ﻤﺴﺎﺠﺩ .</t>
        </is>
      </c>
      <c r="B3439" t="inlineStr">
        <is>
          <t>SMR2320661028936</t>
        </is>
      </c>
      <c r="C3439" t="inlineStr">
        <is>
          <t>الرياض</t>
        </is>
      </c>
      <c r="D3439" t="inlineStr">
        <is>
          <t>مساءا</t>
        </is>
      </c>
      <c r="E3439" t="n">
        <v>617</v>
      </c>
      <c r="F3439" t="b">
        <v>0</v>
      </c>
      <c r="G3439">
        <f>HYPERLINK("https://www.google.com/maps/search/?api=1&amp;query=24.7251261,46.75134483", "View Map")</f>
        <v/>
      </c>
    </row>
    <row r="3440">
      <c r="A3440" t="inlineStr">
        <is>
          <t xml:space="preserve">   مسجد / البر و الاحسان .</t>
        </is>
      </c>
      <c r="B3440" t="inlineStr">
        <is>
          <t>KFM2020660209138</t>
        </is>
      </c>
      <c r="C3440" t="inlineStr">
        <is>
          <t>الرياض</t>
        </is>
      </c>
      <c r="D3440" t="inlineStr">
        <is>
          <t>صباحا</t>
        </is>
      </c>
      <c r="E3440" t="n">
        <v>617</v>
      </c>
      <c r="F3440" t="b">
        <v>0</v>
      </c>
      <c r="G3440">
        <f>HYPERLINK("https://www.google.com/maps/search/?api=1&amp;query=24.73366415,46.69160974", "View Map")</f>
        <v/>
      </c>
    </row>
    <row r="3441">
      <c r="A3441" t="inlineStr">
        <is>
          <t xml:space="preserve">   مسجد سليمان الحلافى .</t>
        </is>
      </c>
      <c r="B3441" t="inlineStr">
        <is>
          <t>KFM2020760111877</t>
        </is>
      </c>
      <c r="C3441" t="inlineStr">
        <is>
          <t>الرياض</t>
        </is>
      </c>
      <c r="D3441" t="inlineStr">
        <is>
          <t>صباحا</t>
        </is>
      </c>
      <c r="E3441" t="n">
        <v>617</v>
      </c>
      <c r="F3441" t="b">
        <v>0</v>
      </c>
      <c r="G3441">
        <f>HYPERLINK("https://www.google.com/maps/search/?api=1&amp;query=24.75781768,46.68775372", "View Map")</f>
        <v/>
      </c>
    </row>
    <row r="3442">
      <c r="A3442" t="inlineStr">
        <is>
          <t xml:space="preserve">   مسجد وليد السبيعي .</t>
        </is>
      </c>
      <c r="B3442" t="inlineStr">
        <is>
          <t>KFM2020766153179</t>
        </is>
      </c>
      <c r="C3442" t="inlineStr">
        <is>
          <t>الرياض</t>
        </is>
      </c>
      <c r="D3442" t="inlineStr">
        <is>
          <t>مساءا</t>
        </is>
      </c>
      <c r="E3442" t="n">
        <v>616</v>
      </c>
      <c r="F3442" t="b">
        <v>0</v>
      </c>
      <c r="G3442">
        <f>HYPERLINK("https://www.google.com/maps/search/?api=1&amp;query=24.73956493,46.80968574", "View Map")</f>
        <v/>
      </c>
    </row>
    <row r="3443">
      <c r="A3443" t="inlineStr">
        <is>
          <t>مسجد النور .</t>
        </is>
      </c>
      <c r="B3443" t="inlineStr">
        <is>
          <t>KFM2020660043918</t>
        </is>
      </c>
      <c r="C3443" t="inlineStr">
        <is>
          <t>الرياض</t>
        </is>
      </c>
      <c r="D3443" t="inlineStr">
        <is>
          <t>مساءا</t>
        </is>
      </c>
      <c r="E3443" t="n">
        <v>616</v>
      </c>
      <c r="F3443" t="b">
        <v>0</v>
      </c>
      <c r="G3443">
        <f>HYPERLINK("https://www.google.com/maps/search/?api=1&amp;query=24.58951031,46.56543391", "View Map")</f>
        <v/>
      </c>
    </row>
    <row r="3444">
      <c r="A3444" t="inlineStr">
        <is>
          <t xml:space="preserve">   جامع السالميه-وزاره الشؤن .</t>
        </is>
      </c>
      <c r="B3444" t="inlineStr">
        <is>
          <t>KFM2120660299436</t>
        </is>
      </c>
      <c r="C3444" t="inlineStr">
        <is>
          <t>الرياض</t>
        </is>
      </c>
      <c r="D3444" t="inlineStr">
        <is>
          <t>مساءا</t>
        </is>
      </c>
      <c r="E3444" t="n">
        <v>614</v>
      </c>
      <c r="F3444" t="b">
        <v>0</v>
      </c>
      <c r="G3444">
        <f>HYPERLINK("https://www.google.com/maps/search/?api=1&amp;query=24.6416418,46.73128458", "View Map")</f>
        <v/>
      </c>
    </row>
    <row r="3445">
      <c r="A3445" t="inlineStr">
        <is>
          <t xml:space="preserve">   مسجدورثه عبدالله الفوزان .</t>
        </is>
      </c>
      <c r="B3445" t="inlineStr">
        <is>
          <t>KFM2020660188169</t>
        </is>
      </c>
      <c r="C3445" t="inlineStr">
        <is>
          <t>الرياض</t>
        </is>
      </c>
      <c r="D3445" t="inlineStr">
        <is>
          <t>مساءا</t>
        </is>
      </c>
      <c r="E3445" t="n">
        <v>614</v>
      </c>
      <c r="F3445" t="b">
        <v>1</v>
      </c>
      <c r="G3445">
        <f>HYPERLINK("https://www.google.com/maps/search/?api=1&amp;query=24.76011026,46.73411931", "View Map")</f>
        <v/>
      </c>
    </row>
    <row r="3446">
      <c r="A3446" t="inlineStr">
        <is>
          <t xml:space="preserve">   المسجد    الجامع    بسدوس .</t>
        </is>
      </c>
      <c r="B3446" t="inlineStr">
        <is>
          <t>KFM2120660244074</t>
        </is>
      </c>
      <c r="C3446" t="inlineStr">
        <is>
          <t>الدرعية</t>
        </is>
      </c>
      <c r="D3446" t="inlineStr">
        <is>
          <t>صباحا</t>
        </is>
      </c>
      <c r="E3446" t="n">
        <v>614</v>
      </c>
      <c r="F3446" t="b">
        <v>1</v>
      </c>
      <c r="G3446">
        <f>HYPERLINK("https://www.google.com/maps/search/?api=1&amp;query=24.99390048,46.20736634", "View Map")</f>
        <v/>
      </c>
    </row>
    <row r="3447">
      <c r="A3447" t="inlineStr">
        <is>
          <t xml:space="preserve">   مسجد أهالي الكيلو الخامس .</t>
        </is>
      </c>
      <c r="B3447" t="inlineStr">
        <is>
          <t>KFM2020660057088</t>
        </is>
      </c>
      <c r="C3447" t="inlineStr">
        <is>
          <t>الرياض</t>
        </is>
      </c>
      <c r="D3447" t="inlineStr">
        <is>
          <t>مساءا</t>
        </is>
      </c>
      <c r="E3447" t="n">
        <v>613</v>
      </c>
      <c r="F3447" t="b">
        <v>0</v>
      </c>
      <c r="G3447">
        <f>HYPERLINK("https://www.google.com/maps/search/?api=1&amp;query=24.7168028,46.84278801", "View Map")</f>
        <v/>
      </c>
    </row>
    <row r="3448">
      <c r="A3448" t="inlineStr">
        <is>
          <t xml:space="preserve">           جامع البصير .</t>
        </is>
      </c>
      <c r="B3448" t="inlineStr">
        <is>
          <t>KFM2020660161238</t>
        </is>
      </c>
      <c r="C3448" t="inlineStr">
        <is>
          <t>الرياض</t>
        </is>
      </c>
      <c r="D3448" t="inlineStr">
        <is>
          <t>صباحا</t>
        </is>
      </c>
      <c r="E3448" t="n">
        <v>613</v>
      </c>
      <c r="F3448" t="b">
        <v>0</v>
      </c>
      <c r="G3448">
        <f>HYPERLINK("https://www.google.com/maps/search/?api=1&amp;query=24.71149664,46.77371062", "View Map")</f>
        <v/>
      </c>
    </row>
    <row r="3449">
      <c r="A3449" t="inlineStr">
        <is>
          <t xml:space="preserve">   مسجد حي القادسيه .</t>
        </is>
      </c>
      <c r="B3449" t="inlineStr">
        <is>
          <t>KFM2020660060546</t>
        </is>
      </c>
      <c r="C3449" t="inlineStr">
        <is>
          <t>الرياض</t>
        </is>
      </c>
      <c r="D3449" t="inlineStr">
        <is>
          <t>مساءا</t>
        </is>
      </c>
      <c r="E3449" t="n">
        <v>612</v>
      </c>
      <c r="F3449" t="b">
        <v>0</v>
      </c>
      <c r="G3449">
        <f>HYPERLINK("https://www.google.com/maps/search/?api=1&amp;query=24.81116091,46.81263578", "View Map")</f>
        <v/>
      </c>
    </row>
    <row r="3450">
      <c r="A3450" t="inlineStr">
        <is>
          <t xml:space="preserve">   مسجد الأميره نوره بنت تركي .</t>
        </is>
      </c>
      <c r="B3450" t="inlineStr">
        <is>
          <t>KFM2020660167820</t>
        </is>
      </c>
      <c r="C3450" t="inlineStr">
        <is>
          <t>الرياض</t>
        </is>
      </c>
      <c r="D3450" t="inlineStr">
        <is>
          <t>مساءا</t>
        </is>
      </c>
      <c r="E3450" t="n">
        <v>612</v>
      </c>
      <c r="F3450" t="b">
        <v>0</v>
      </c>
      <c r="G3450">
        <f>HYPERLINK("https://www.google.com/maps/search/?api=1&amp;query=24.7369576,46.81905957", "View Map")</f>
        <v/>
      </c>
    </row>
    <row r="3451">
      <c r="A3451" t="inlineStr">
        <is>
          <t xml:space="preserve">   مسجد بحي النظيم .</t>
        </is>
      </c>
      <c r="B3451" t="inlineStr">
        <is>
          <t>KFM2020660053418</t>
        </is>
      </c>
      <c r="C3451" t="inlineStr">
        <is>
          <t>الرياض</t>
        </is>
      </c>
      <c r="D3451" t="inlineStr">
        <is>
          <t>مساءا</t>
        </is>
      </c>
      <c r="E3451" t="n">
        <v>609</v>
      </c>
      <c r="F3451" t="b">
        <v>0</v>
      </c>
      <c r="G3451">
        <f>HYPERLINK("https://www.google.com/maps/search/?api=1&amp;query=24.80533717,46.88850322", "View Map")</f>
        <v/>
      </c>
    </row>
    <row r="3452">
      <c r="A3452" t="inlineStr">
        <is>
          <t xml:space="preserve">   مسجد حي الحائر .</t>
        </is>
      </c>
      <c r="B3452" t="inlineStr">
        <is>
          <t>KFM2020766171737</t>
        </is>
      </c>
      <c r="C3452" t="inlineStr">
        <is>
          <t>الرياض</t>
        </is>
      </c>
      <c r="D3452" t="inlineStr">
        <is>
          <t>مساءا</t>
        </is>
      </c>
      <c r="E3452" t="n">
        <v>604</v>
      </c>
      <c r="F3452" t="b">
        <v>0</v>
      </c>
      <c r="G3452">
        <f>HYPERLINK("https://www.google.com/maps/search/?api=1&amp;query=24.41224594,46.83913201", "View Map")</f>
        <v/>
      </c>
    </row>
    <row r="3453">
      <c r="A3453" t="inlineStr">
        <is>
          <t>مسجد حي السويدي .</t>
        </is>
      </c>
      <c r="B3453" t="inlineStr">
        <is>
          <t>KFM2020660019076</t>
        </is>
      </c>
      <c r="C3453" t="inlineStr">
        <is>
          <t>الرياض</t>
        </is>
      </c>
      <c r="D3453" t="inlineStr">
        <is>
          <t>صباحا</t>
        </is>
      </c>
      <c r="E3453" t="n">
        <v>604</v>
      </c>
      <c r="F3453" t="b">
        <v>0</v>
      </c>
      <c r="G3453">
        <f>HYPERLINK("https://www.google.com/maps/search/?api=1&amp;query=24.5766322,46.64459561", "View Map")</f>
        <v/>
      </c>
    </row>
    <row r="3454">
      <c r="A3454" t="inlineStr">
        <is>
          <t>ﻤﺴﺎﺠﺩ .</t>
        </is>
      </c>
      <c r="B3454" t="inlineStr">
        <is>
          <t>KFM2020660192252</t>
        </is>
      </c>
      <c r="C3454" t="inlineStr">
        <is>
          <t>الدرعية</t>
        </is>
      </c>
      <c r="D3454" t="inlineStr">
        <is>
          <t>مساءا</t>
        </is>
      </c>
      <c r="E3454" t="n">
        <v>603</v>
      </c>
      <c r="F3454" t="b">
        <v>0</v>
      </c>
      <c r="G3454">
        <f>HYPERLINK("https://www.google.com/maps/search/?api=1&amp;query=24.78433,46.57876", "View Map")</f>
        <v/>
      </c>
    </row>
    <row r="3455">
      <c r="A3455" t="inlineStr">
        <is>
          <t>مسجد فهد الع .</t>
        </is>
      </c>
      <c r="B3455" t="inlineStr">
        <is>
          <t>KFM2020660200450</t>
        </is>
      </c>
      <c r="C3455" t="inlineStr">
        <is>
          <t>الرياض</t>
        </is>
      </c>
      <c r="D3455" t="inlineStr">
        <is>
          <t>مساءا</t>
        </is>
      </c>
      <c r="E3455" t="n">
        <v>602</v>
      </c>
      <c r="F3455" t="b">
        <v>0</v>
      </c>
      <c r="G3455">
        <f>HYPERLINK("https://www.google.com/maps/search/?api=1&amp;query=24.52555067,46.68268864", "View Map")</f>
        <v/>
      </c>
    </row>
    <row r="3456">
      <c r="A3456" t="inlineStr">
        <is>
          <t xml:space="preserve">   مسجدعثمان بن عفان   حي النسيم .</t>
        </is>
      </c>
      <c r="B3456" t="inlineStr">
        <is>
          <t>KFM2020660057056</t>
        </is>
      </c>
      <c r="C3456" t="inlineStr">
        <is>
          <t>الرياض</t>
        </is>
      </c>
      <c r="D3456" t="inlineStr">
        <is>
          <t>مساءا</t>
        </is>
      </c>
      <c r="E3456" t="n">
        <v>602</v>
      </c>
      <c r="F3456" t="b">
        <v>1</v>
      </c>
      <c r="G3456">
        <f>HYPERLINK("https://www.google.com/maps/search/?api=1&amp;query=24.72720724,46.8391305", "View Map")</f>
        <v/>
      </c>
    </row>
    <row r="3457">
      <c r="A3457" t="inlineStr">
        <is>
          <t>ﻤﺴﺎﺠﺩ .</t>
        </is>
      </c>
      <c r="B3457" t="inlineStr">
        <is>
          <t>SMR2320661028741</t>
        </is>
      </c>
      <c r="C3457" t="inlineStr">
        <is>
          <t>الرياض</t>
        </is>
      </c>
      <c r="D3457" t="inlineStr">
        <is>
          <t>مساءا</t>
        </is>
      </c>
      <c r="E3457" t="n">
        <v>602</v>
      </c>
      <c r="F3457" t="b">
        <v>1</v>
      </c>
      <c r="G3457">
        <f>HYPERLINK("https://www.google.com/maps/search/?api=1&amp;query=24.83275164,46.74648465", "View Map")</f>
        <v/>
      </c>
    </row>
    <row r="3458">
      <c r="A3458" t="inlineStr">
        <is>
          <t xml:space="preserve">   مسجدالشيخ عبدالعزيز محمد الصرامي .</t>
        </is>
      </c>
      <c r="B3458" t="inlineStr">
        <is>
          <t>KFM2120660235676</t>
        </is>
      </c>
      <c r="C3458" t="inlineStr">
        <is>
          <t>الرياض</t>
        </is>
      </c>
      <c r="D3458" t="inlineStr">
        <is>
          <t>صباحا</t>
        </is>
      </c>
      <c r="E3458" t="n">
        <v>601</v>
      </c>
      <c r="F3458" t="b">
        <v>0</v>
      </c>
      <c r="G3458">
        <f>HYPERLINK("https://www.google.com/maps/search/?api=1&amp;query=24.60315557,46.76012041", "View Map")</f>
        <v/>
      </c>
    </row>
    <row r="3459">
      <c r="A3459" t="inlineStr">
        <is>
          <t>مسجد في حي الحزم .</t>
        </is>
      </c>
      <c r="B3459" t="inlineStr">
        <is>
          <t>KFM2020660027278</t>
        </is>
      </c>
      <c r="C3459" t="inlineStr">
        <is>
          <t>الرياض</t>
        </is>
      </c>
      <c r="D3459" t="inlineStr">
        <is>
          <t>مساءا</t>
        </is>
      </c>
      <c r="E3459" t="n">
        <v>601</v>
      </c>
      <c r="F3459" t="b">
        <v>0</v>
      </c>
      <c r="G3459">
        <f>HYPERLINK("https://www.google.com/maps/search/?api=1&amp;query=24.54561656,46.65427932", "View Map")</f>
        <v/>
      </c>
    </row>
    <row r="3460">
      <c r="A3460" t="inlineStr">
        <is>
          <t xml:space="preserve">   مسجد الخير مع سكن الامام و المؤذن .</t>
        </is>
      </c>
      <c r="B3460" t="inlineStr">
        <is>
          <t>KFM2020660061241</t>
        </is>
      </c>
      <c r="C3460" t="inlineStr">
        <is>
          <t>الرياض</t>
        </is>
      </c>
      <c r="D3460" t="inlineStr">
        <is>
          <t>مساءا</t>
        </is>
      </c>
      <c r="E3460" t="n">
        <v>601</v>
      </c>
      <c r="F3460" t="b">
        <v>0</v>
      </c>
      <c r="G3460">
        <f>HYPERLINK("https://www.google.com/maps/search/?api=1&amp;query=24.77913844,46.74614845", "View Map")</f>
        <v/>
      </c>
    </row>
    <row r="3461">
      <c r="A3461" t="inlineStr">
        <is>
          <t xml:space="preserve">   مساجد .</t>
        </is>
      </c>
      <c r="B3461" t="inlineStr">
        <is>
          <t>KFM2120660303442</t>
        </is>
      </c>
      <c r="C3461" t="inlineStr">
        <is>
          <t>الرياض</t>
        </is>
      </c>
      <c r="D3461" t="inlineStr">
        <is>
          <t>مساءا</t>
        </is>
      </c>
      <c r="E3461" t="n">
        <v>601</v>
      </c>
      <c r="F3461" t="b">
        <v>1</v>
      </c>
      <c r="G3461">
        <f>HYPERLINK("https://www.google.com/maps/search/?api=1&amp;query=24.78380468,46.78335339", "View Map")</f>
        <v/>
      </c>
    </row>
    <row r="3462">
      <c r="A3462" t="inlineStr">
        <is>
          <t>مسجد بن دليميه .</t>
        </is>
      </c>
      <c r="B3462" t="inlineStr">
        <is>
          <t>KFM2020760037556</t>
        </is>
      </c>
      <c r="C3462" t="inlineStr">
        <is>
          <t>الرياض</t>
        </is>
      </c>
      <c r="D3462" t="inlineStr">
        <is>
          <t>مساءا</t>
        </is>
      </c>
      <c r="E3462" t="n">
        <v>601</v>
      </c>
      <c r="F3462" t="b">
        <v>0</v>
      </c>
      <c r="G3462">
        <f>HYPERLINK("https://www.google.com/maps/search/?api=1&amp;query=24.62016415,46.69966025", "View Map")</f>
        <v/>
      </c>
    </row>
    <row r="3463">
      <c r="A3463" t="inlineStr">
        <is>
          <t>ﻭﺯﺍﺭﺓﺍﻟﺸﺌﻭﻥ ﺍﻻﺴﻼﻤﻴﺓﻭﺍﻻﻭﻗﺎﻑ .</t>
        </is>
      </c>
      <c r="B3463" t="inlineStr">
        <is>
          <t>KFM2020660202460</t>
        </is>
      </c>
      <c r="C3463" t="inlineStr">
        <is>
          <t>الرياض</t>
        </is>
      </c>
      <c r="D3463" t="inlineStr">
        <is>
          <t>مساءا</t>
        </is>
      </c>
      <c r="E3463" t="n">
        <v>601</v>
      </c>
      <c r="F3463" t="b">
        <v>0</v>
      </c>
      <c r="G3463">
        <f>HYPERLINK("https://www.google.com/maps/search/?api=1&amp;query=24.56959007,46.53116667", "View Map")</f>
        <v/>
      </c>
    </row>
    <row r="3464">
      <c r="A3464" t="inlineStr">
        <is>
          <t xml:space="preserve">   مسجدالامير/سعدبن فهدمحمدعبدالعزيز .</t>
        </is>
      </c>
      <c r="B3464" t="inlineStr">
        <is>
          <t>KFM2020660036782</t>
        </is>
      </c>
      <c r="C3464" t="inlineStr">
        <is>
          <t>الرياض</t>
        </is>
      </c>
      <c r="D3464" t="inlineStr">
        <is>
          <t>صباحا</t>
        </is>
      </c>
      <c r="E3464" t="n">
        <v>600</v>
      </c>
      <c r="F3464" t="b">
        <v>0</v>
      </c>
      <c r="G3464">
        <f>HYPERLINK("https://www.google.com/maps/search/?api=1&amp;query=24.70350896,46.67361466", "View Map")</f>
        <v/>
      </c>
    </row>
    <row r="3465">
      <c r="A3465" t="inlineStr">
        <is>
          <t xml:space="preserve">   مسجد      الخضيري   . .</t>
        </is>
      </c>
      <c r="B3465" t="inlineStr">
        <is>
          <t>KFM2020660006211</t>
        </is>
      </c>
      <c r="C3465" t="inlineStr">
        <is>
          <t>الرياض</t>
        </is>
      </c>
      <c r="D3465" t="inlineStr">
        <is>
          <t>صباحا</t>
        </is>
      </c>
      <c r="E3465" t="n">
        <v>600</v>
      </c>
      <c r="F3465" t="b">
        <v>1</v>
      </c>
      <c r="G3465">
        <f>HYPERLINK("https://www.google.com/maps/search/?api=1&amp;query=24.73792654,46.67138761", "View Map")</f>
        <v/>
      </c>
    </row>
    <row r="3466">
      <c r="A3466" t="inlineStr">
        <is>
          <t>ﻤﺴﺎﺠﺩ .</t>
        </is>
      </c>
      <c r="B3466" t="inlineStr">
        <is>
          <t>KFM2020660027623</t>
        </is>
      </c>
      <c r="C3466" t="inlineStr">
        <is>
          <t>الرياض</t>
        </is>
      </c>
      <c r="D3466" t="inlineStr">
        <is>
          <t>مساءا</t>
        </is>
      </c>
      <c r="E3466" t="n">
        <v>599</v>
      </c>
      <c r="F3466" t="b">
        <v>0</v>
      </c>
      <c r="G3466">
        <f>HYPERLINK("https://www.google.com/maps/search/?api=1&amp;query=24.70610104,46.82965481", "View Map")</f>
        <v/>
      </c>
    </row>
    <row r="3467">
      <c r="A3467" t="inlineStr">
        <is>
          <t xml:space="preserve">   مسجد ابوبكر الصديق .</t>
        </is>
      </c>
      <c r="B3467" t="inlineStr">
        <is>
          <t>KFM2120660304068</t>
        </is>
      </c>
      <c r="C3467" t="inlineStr">
        <is>
          <t>الرياض</t>
        </is>
      </c>
      <c r="D3467" t="inlineStr">
        <is>
          <t>مساءا</t>
        </is>
      </c>
      <c r="E3467" t="n">
        <v>599</v>
      </c>
      <c r="F3467" t="b">
        <v>0</v>
      </c>
      <c r="G3467">
        <f>HYPERLINK("https://www.google.com/maps/search/?api=1&amp;query=24.66322901,46.79913247", "View Map")</f>
        <v/>
      </c>
    </row>
    <row r="3468">
      <c r="A3468" t="inlineStr">
        <is>
          <t xml:space="preserve">   مسجد الشيخ عبدالله عبدالرحمن راج .</t>
        </is>
      </c>
      <c r="B3468" t="inlineStr">
        <is>
          <t>MMF2420601020626</t>
        </is>
      </c>
      <c r="C3468" t="inlineStr">
        <is>
          <t>الرياض</t>
        </is>
      </c>
      <c r="D3468" t="inlineStr">
        <is>
          <t>مساءا</t>
        </is>
      </c>
      <c r="E3468" t="n">
        <v>599</v>
      </c>
      <c r="F3468" t="b">
        <v>0</v>
      </c>
      <c r="G3468">
        <f>HYPERLINK("https://www.google.com/maps/search/?api=1&amp;query=24.69019795,46.7209971", "View Map")</f>
        <v/>
      </c>
    </row>
    <row r="3469">
      <c r="A3469" t="inlineStr">
        <is>
          <t>ﻤﺴﺎﺠﺩ .</t>
        </is>
      </c>
      <c r="B3469" t="inlineStr">
        <is>
          <t>SMR2320661031242</t>
        </is>
      </c>
      <c r="C3469" t="inlineStr">
        <is>
          <t>الدرعية</t>
        </is>
      </c>
      <c r="D3469" t="inlineStr">
        <is>
          <t>مساءا</t>
        </is>
      </c>
      <c r="E3469" t="n">
        <v>598</v>
      </c>
      <c r="F3469" t="b">
        <v>1</v>
      </c>
      <c r="G3469">
        <f>HYPERLINK("https://www.google.com/maps/search/?api=1&amp;query=24.90794455,46.43028429", "View Map")</f>
        <v/>
      </c>
    </row>
    <row r="3470">
      <c r="A3470" t="inlineStr">
        <is>
          <t xml:space="preserve">   مسجد حي لفيحاء .</t>
        </is>
      </c>
      <c r="B3470" t="inlineStr">
        <is>
          <t>KFM2120660290495</t>
        </is>
      </c>
      <c r="C3470" t="inlineStr">
        <is>
          <t>الرياض</t>
        </is>
      </c>
      <c r="D3470" t="inlineStr">
        <is>
          <t>مساءا</t>
        </is>
      </c>
      <c r="E3470" t="n">
        <v>596</v>
      </c>
      <c r="F3470" t="b">
        <v>1</v>
      </c>
      <c r="G3470">
        <f>HYPERLINK("https://www.google.com/maps/search/?api=1&amp;query=24.68988938,46.8142836", "View Map")</f>
        <v/>
      </c>
    </row>
    <row r="3471">
      <c r="A3471" t="inlineStr">
        <is>
          <t xml:space="preserve">   مسجد علي بن فهد الهزاع .</t>
        </is>
      </c>
      <c r="B3471" t="inlineStr">
        <is>
          <t>KFM2020660057273</t>
        </is>
      </c>
      <c r="C3471" t="inlineStr">
        <is>
          <t>الرياض</t>
        </is>
      </c>
      <c r="D3471" t="inlineStr">
        <is>
          <t>مساءا</t>
        </is>
      </c>
      <c r="E3471" t="n">
        <v>595</v>
      </c>
      <c r="F3471" t="b">
        <v>0</v>
      </c>
      <c r="G3471">
        <f>HYPERLINK("https://www.google.com/maps/search/?api=1&amp;query=24.72358235,46.85947517", "View Map")</f>
        <v/>
      </c>
    </row>
    <row r="3472">
      <c r="A3472" t="inlineStr">
        <is>
          <t xml:space="preserve">   مسجدالحبيشي .</t>
        </is>
      </c>
      <c r="B3472" t="inlineStr">
        <is>
          <t>KFM2020660138307</t>
        </is>
      </c>
      <c r="C3472" t="inlineStr">
        <is>
          <t>الرياض</t>
        </is>
      </c>
      <c r="D3472" t="inlineStr">
        <is>
          <t>مساءا</t>
        </is>
      </c>
      <c r="E3472" t="n">
        <v>595</v>
      </c>
      <c r="F3472" t="b">
        <v>1</v>
      </c>
      <c r="G3472">
        <f>HYPERLINK("https://www.google.com/maps/search/?api=1&amp;query=24.69318501,46.79096506", "View Map")</f>
        <v/>
      </c>
    </row>
    <row r="3473">
      <c r="A3473" t="inlineStr">
        <is>
          <t xml:space="preserve">   مسجد سليمان المقيرن .</t>
        </is>
      </c>
      <c r="B3473" t="inlineStr">
        <is>
          <t>KFM2020660018777</t>
        </is>
      </c>
      <c r="C3473" t="inlineStr">
        <is>
          <t>الرياض</t>
        </is>
      </c>
      <c r="D3473" t="inlineStr">
        <is>
          <t>صباحا</t>
        </is>
      </c>
      <c r="E3473" t="n">
        <v>593</v>
      </c>
      <c r="F3473" t="b">
        <v>0</v>
      </c>
      <c r="G3473">
        <f>HYPERLINK("https://www.google.com/maps/search/?api=1&amp;query=24.77149952,46.62970709", "View Map")</f>
        <v/>
      </c>
    </row>
    <row r="3474">
      <c r="A3474" t="inlineStr">
        <is>
          <t>ﻤﺴﺎﺠﺩ .</t>
        </is>
      </c>
      <c r="B3474" t="inlineStr">
        <is>
          <t>SMR2320661028183</t>
        </is>
      </c>
      <c r="C3474" t="inlineStr">
        <is>
          <t>الرياض</t>
        </is>
      </c>
      <c r="D3474" t="inlineStr">
        <is>
          <t>مساءا</t>
        </is>
      </c>
      <c r="E3474" t="n">
        <v>593</v>
      </c>
      <c r="F3474" t="b">
        <v>0</v>
      </c>
      <c r="G3474">
        <f>HYPERLINK("https://www.google.com/maps/search/?api=1&amp;query=24.8867728,46.8375913", "View Map")</f>
        <v/>
      </c>
    </row>
    <row r="3475">
      <c r="A3475" t="inlineStr">
        <is>
          <t>مسجد طرفة مشاري  المعمر .</t>
        </is>
      </c>
      <c r="B3475" t="inlineStr">
        <is>
          <t>KFM2020660124739</t>
        </is>
      </c>
      <c r="C3475" t="inlineStr">
        <is>
          <t>الرياض</t>
        </is>
      </c>
      <c r="D3475" t="inlineStr">
        <is>
          <t>صباحا</t>
        </is>
      </c>
      <c r="E3475" t="n">
        <v>592</v>
      </c>
      <c r="F3475" t="b">
        <v>0</v>
      </c>
      <c r="G3475">
        <f>HYPERLINK("https://www.google.com/maps/search/?api=1&amp;query=24.49685005,46.62403187", "View Map")</f>
        <v/>
      </c>
    </row>
    <row r="3476">
      <c r="A3476" t="inlineStr">
        <is>
          <t xml:space="preserve">   وزارة الشئون الاسلامية والاوقاف .</t>
        </is>
      </c>
      <c r="B3476" t="inlineStr">
        <is>
          <t>KFM2020660190536</t>
        </is>
      </c>
      <c r="C3476" t="inlineStr">
        <is>
          <t>الرياض</t>
        </is>
      </c>
      <c r="D3476" t="inlineStr">
        <is>
          <t>مساءا</t>
        </is>
      </c>
      <c r="E3476" t="n">
        <v>592</v>
      </c>
      <c r="F3476" t="b">
        <v>0</v>
      </c>
      <c r="G3476">
        <f>HYPERLINK("https://www.google.com/maps/search/?api=1&amp;query=24.8291428,46.63729708", "View Map")</f>
        <v/>
      </c>
    </row>
    <row r="3477">
      <c r="A3477" t="inlineStr">
        <is>
          <t>ﻭﺯﺍﺭﺓﺍﻟﺸﺌﻭﻥ ﺍﻻﺴﻼﻤﻴﺓﻭﺍﻻﻭﻗﺎﻑ .</t>
        </is>
      </c>
      <c r="B3477" t="inlineStr">
        <is>
          <t>KFM2020660049549</t>
        </is>
      </c>
      <c r="C3477" t="inlineStr">
        <is>
          <t>الرياض</t>
        </is>
      </c>
      <c r="D3477" t="inlineStr">
        <is>
          <t>صباحا</t>
        </is>
      </c>
      <c r="E3477" t="n">
        <v>591</v>
      </c>
      <c r="F3477" t="b">
        <v>0</v>
      </c>
      <c r="G3477">
        <f>HYPERLINK("https://www.google.com/maps/search/?api=1&amp;query=24.56537457,46.55861561", "View Map")</f>
        <v/>
      </c>
    </row>
    <row r="3478">
      <c r="A3478" t="inlineStr">
        <is>
          <t>ﺃﻭﻗﺎﻑ ﻭﻤﺴﺎﺠﺩ ﺭﻤﺎﺡ .</t>
        </is>
      </c>
      <c r="B3478" t="inlineStr">
        <is>
          <t>GTR2320890757078</t>
        </is>
      </c>
      <c r="C3478" t="inlineStr">
        <is>
          <t>الرياض</t>
        </is>
      </c>
      <c r="D3478" t="inlineStr">
        <is>
          <t>مساءا</t>
        </is>
      </c>
      <c r="E3478" t="n">
        <v>590</v>
      </c>
      <c r="F3478" t="b">
        <v>0</v>
      </c>
      <c r="G3478">
        <f>HYPERLINK("https://www.google.com/maps/search/?api=1&amp;query=0.0,0.0", "View Map")</f>
        <v/>
      </c>
    </row>
    <row r="3479">
      <c r="A3479" t="inlineStr">
        <is>
          <t>جامع غرب  السويدي .</t>
        </is>
      </c>
      <c r="B3479" t="inlineStr">
        <is>
          <t>KFM2020660203482</t>
        </is>
      </c>
      <c r="C3479" t="inlineStr">
        <is>
          <t>الرياض</t>
        </is>
      </c>
      <c r="D3479" t="inlineStr">
        <is>
          <t>صباحا</t>
        </is>
      </c>
      <c r="E3479" t="n">
        <v>590</v>
      </c>
      <c r="F3479" t="b">
        <v>0</v>
      </c>
      <c r="G3479">
        <f>HYPERLINK("https://www.google.com/maps/search/?api=1&amp;query=24.57013074,46.64543154", "View Map")</f>
        <v/>
      </c>
    </row>
    <row r="3480">
      <c r="A3480" t="inlineStr">
        <is>
          <t xml:space="preserve">   مسجد الليث بن سعد رضي الله عنه .</t>
        </is>
      </c>
      <c r="B3480" t="inlineStr">
        <is>
          <t>KFM2020660187943</t>
        </is>
      </c>
      <c r="C3480" t="inlineStr">
        <is>
          <t>الرياض</t>
        </is>
      </c>
      <c r="D3480" t="inlineStr">
        <is>
          <t>مساءا</t>
        </is>
      </c>
      <c r="E3480" t="n">
        <v>590</v>
      </c>
      <c r="F3480" t="b">
        <v>1</v>
      </c>
      <c r="G3480">
        <f>HYPERLINK("https://www.google.com/maps/search/?api=1&amp;query=24.82615339,46.60718877", "View Map")</f>
        <v/>
      </c>
    </row>
    <row r="3481">
      <c r="A3481" t="inlineStr">
        <is>
          <t xml:space="preserve">   مسجدالسدحان .</t>
        </is>
      </c>
      <c r="B3481" t="inlineStr">
        <is>
          <t>KFM2020660192646</t>
        </is>
      </c>
      <c r="C3481" t="inlineStr">
        <is>
          <t>الرياض</t>
        </is>
      </c>
      <c r="D3481" t="inlineStr">
        <is>
          <t>مساءا</t>
        </is>
      </c>
      <c r="E3481" t="n">
        <v>589</v>
      </c>
      <c r="F3481" t="b">
        <v>1</v>
      </c>
      <c r="G3481">
        <f>HYPERLINK("https://www.google.com/maps/search/?api=1&amp;query=24.63527663,46.61824809", "View Map")</f>
        <v/>
      </c>
    </row>
    <row r="3482">
      <c r="A3482" t="inlineStr">
        <is>
          <t xml:space="preserve">   مسجد صنيدح العتيبي .</t>
        </is>
      </c>
      <c r="B3482" t="inlineStr">
        <is>
          <t>KFM2020660050044</t>
        </is>
      </c>
      <c r="C3482" t="inlineStr">
        <is>
          <t>الرياض</t>
        </is>
      </c>
      <c r="D3482" t="inlineStr">
        <is>
          <t>مساءا</t>
        </is>
      </c>
      <c r="E3482" t="n">
        <v>589</v>
      </c>
      <c r="F3482" t="b">
        <v>0</v>
      </c>
      <c r="G3482">
        <f>HYPERLINK("https://www.google.com/maps/search/?api=1&amp;query=24.78297198,46.78210785", "View Map")</f>
        <v/>
      </c>
    </row>
    <row r="3483">
      <c r="A3483" t="inlineStr">
        <is>
          <t>مسجد الطويلعه .</t>
        </is>
      </c>
      <c r="B3483" t="inlineStr">
        <is>
          <t>KFM2020660054929</t>
        </is>
      </c>
      <c r="C3483" t="inlineStr">
        <is>
          <t>الرياض</t>
        </is>
      </c>
      <c r="D3483" t="inlineStr">
        <is>
          <t>صباحا</t>
        </is>
      </c>
      <c r="E3483" t="n">
        <v>588</v>
      </c>
      <c r="F3483" t="b">
        <v>0</v>
      </c>
      <c r="G3483">
        <f>HYPERLINK("https://www.google.com/maps/search/?api=1&amp;query=24.8840013,46.64287334", "View Map")</f>
        <v/>
      </c>
    </row>
    <row r="3484">
      <c r="A3484" t="inlineStr">
        <is>
          <t xml:space="preserve">   مسجد حي المغرزات .</t>
        </is>
      </c>
      <c r="B3484" t="inlineStr">
        <is>
          <t>KFM2020660170822</t>
        </is>
      </c>
      <c r="C3484" t="inlineStr">
        <is>
          <t>الرياض</t>
        </is>
      </c>
      <c r="D3484" t="inlineStr">
        <is>
          <t>مساءا</t>
        </is>
      </c>
      <c r="E3484" t="n">
        <v>588</v>
      </c>
      <c r="F3484" t="b">
        <v>0</v>
      </c>
      <c r="G3484">
        <f>HYPERLINK("https://www.google.com/maps/search/?api=1&amp;query=24.76200531,46.73597415", "View Map")</f>
        <v/>
      </c>
    </row>
    <row r="3485">
      <c r="A3485" t="inlineStr">
        <is>
          <t xml:space="preserve">   مسجد الفراج .</t>
        </is>
      </c>
      <c r="B3485" t="inlineStr">
        <is>
          <t>KFM2120660240828</t>
        </is>
      </c>
      <c r="C3485" t="inlineStr">
        <is>
          <t>الرياض</t>
        </is>
      </c>
      <c r="D3485" t="inlineStr">
        <is>
          <t>مساءا</t>
        </is>
      </c>
      <c r="E3485" t="n">
        <v>587</v>
      </c>
      <c r="F3485" t="b">
        <v>0</v>
      </c>
      <c r="G3485">
        <f>HYPERLINK("https://www.google.com/maps/search/?api=1&amp;query=24.64078276,46.56321264", "View Map")</f>
        <v/>
      </c>
    </row>
    <row r="3486">
      <c r="A3486" t="inlineStr">
        <is>
          <t>ﻭﺯﺍﺭﺓﺍﻟﺸﺌﻭﻥ ﺍﻻﺴﻼﻤﻴﺓﻭﺍﻻﻭﻗﺎﻑ .</t>
        </is>
      </c>
      <c r="B3486" t="inlineStr">
        <is>
          <t>MMF2420601025272</t>
        </is>
      </c>
      <c r="C3486" t="inlineStr">
        <is>
          <t>الرياض</t>
        </is>
      </c>
      <c r="D3486" t="inlineStr">
        <is>
          <t>مساءا</t>
        </is>
      </c>
      <c r="E3486" t="n">
        <v>587</v>
      </c>
      <c r="F3486" t="b">
        <v>0</v>
      </c>
      <c r="G3486">
        <f>HYPERLINK("https://www.google.com/maps/search/?api=1&amp;query=0.0,0.0", "View Map")</f>
        <v/>
      </c>
    </row>
    <row r="3487">
      <c r="A3487" t="inlineStr">
        <is>
          <t>مسجد حى  الشفاء .</t>
        </is>
      </c>
      <c r="B3487" t="inlineStr">
        <is>
          <t>SMR2420868011887</t>
        </is>
      </c>
      <c r="C3487" t="inlineStr">
        <is>
          <t>الرياض</t>
        </is>
      </c>
      <c r="D3487" t="inlineStr">
        <is>
          <t>مساءا</t>
        </is>
      </c>
      <c r="E3487" t="n">
        <v>587</v>
      </c>
      <c r="F3487" t="b">
        <v>0</v>
      </c>
      <c r="G3487">
        <f>HYPERLINK("https://www.google.com/maps/search/?api=1&amp;query=24.56333971,46.68570701", "View Map")</f>
        <v/>
      </c>
    </row>
    <row r="3488">
      <c r="A3488" t="inlineStr">
        <is>
          <t>مسجد الفوطه .</t>
        </is>
      </c>
      <c r="B3488" t="inlineStr">
        <is>
          <t>KFM2020660171714</t>
        </is>
      </c>
      <c r="C3488" t="inlineStr">
        <is>
          <t>الرياض</t>
        </is>
      </c>
      <c r="D3488" t="inlineStr">
        <is>
          <t>مساءا</t>
        </is>
      </c>
      <c r="E3488" t="n">
        <v>586</v>
      </c>
      <c r="F3488" t="b">
        <v>0</v>
      </c>
      <c r="G3488">
        <f>HYPERLINK("https://www.google.com/maps/search/?api=1&amp;query=24.6360861,46.70918957", "View Map")</f>
        <v/>
      </c>
    </row>
    <row r="3489">
      <c r="A3489" t="inlineStr">
        <is>
          <t>ﻤﺴﺎﺠﺩ .</t>
        </is>
      </c>
      <c r="B3489" t="inlineStr">
        <is>
          <t>KFM2020660208095</t>
        </is>
      </c>
      <c r="C3489" t="inlineStr">
        <is>
          <t>الدرعية</t>
        </is>
      </c>
      <c r="D3489" t="inlineStr">
        <is>
          <t>مساءا</t>
        </is>
      </c>
      <c r="E3489" t="n">
        <v>585</v>
      </c>
      <c r="F3489" t="b">
        <v>1</v>
      </c>
      <c r="G3489">
        <f>HYPERLINK("https://www.google.com/maps/search/?api=1&amp;query=24.74007,46.51733", "View Map")</f>
        <v/>
      </c>
    </row>
    <row r="3490">
      <c r="A3490" t="inlineStr">
        <is>
          <t>مسجد / حى  الشفاء .</t>
        </is>
      </c>
      <c r="B3490" t="inlineStr">
        <is>
          <t>KFM2020660087373</t>
        </is>
      </c>
      <c r="C3490" t="inlineStr">
        <is>
          <t>الرياض</t>
        </is>
      </c>
      <c r="D3490" t="inlineStr">
        <is>
          <t>مساءا</t>
        </is>
      </c>
      <c r="E3490" t="n">
        <v>585</v>
      </c>
      <c r="F3490" t="b">
        <v>0</v>
      </c>
      <c r="G3490">
        <f>HYPERLINK("https://www.google.com/maps/search/?api=1&amp;query=24.55524932,46.69621075", "View Map")</f>
        <v/>
      </c>
    </row>
    <row r="3491">
      <c r="A3491" t="inlineStr">
        <is>
          <t xml:space="preserve">   مسجد عبدالعزيز الحقيل .</t>
        </is>
      </c>
      <c r="B3491" t="inlineStr">
        <is>
          <t>KFM2020660041491</t>
        </is>
      </c>
      <c r="C3491" t="inlineStr">
        <is>
          <t>الرياض</t>
        </is>
      </c>
      <c r="D3491" t="inlineStr">
        <is>
          <t>مساءا</t>
        </is>
      </c>
      <c r="E3491" t="n">
        <v>584</v>
      </c>
      <c r="F3491" t="b">
        <v>0</v>
      </c>
      <c r="G3491">
        <f>HYPERLINK("https://www.google.com/maps/search/?api=1&amp;query=24.8342,46.6328", "View Map")</f>
        <v/>
      </c>
    </row>
    <row r="3492">
      <c r="A3492" t="inlineStr">
        <is>
          <t>ﻤﺴﺎﺠﺩ .</t>
        </is>
      </c>
      <c r="B3492" t="inlineStr">
        <is>
          <t>KFM2020660202086</t>
        </is>
      </c>
      <c r="C3492" t="inlineStr">
        <is>
          <t>الرياض</t>
        </is>
      </c>
      <c r="D3492" t="inlineStr">
        <is>
          <t>مساءا</t>
        </is>
      </c>
      <c r="E3492" t="n">
        <v>583</v>
      </c>
      <c r="F3492" t="b">
        <v>0</v>
      </c>
      <c r="G3492">
        <f>HYPERLINK("https://www.google.com/maps/search/?api=1&amp;query=24.90433372,46.63109805", "View Map")</f>
        <v/>
      </c>
    </row>
    <row r="3493">
      <c r="A3493" t="inlineStr">
        <is>
          <t>ﻤﺴﺎﺠﺩ .</t>
        </is>
      </c>
      <c r="B3493" t="inlineStr">
        <is>
          <t>KFM2020660170640</t>
        </is>
      </c>
      <c r="C3493" t="inlineStr">
        <is>
          <t>الرياض</t>
        </is>
      </c>
      <c r="D3493" t="inlineStr">
        <is>
          <t>مساءا</t>
        </is>
      </c>
      <c r="E3493" t="n">
        <v>583</v>
      </c>
      <c r="F3493" t="b">
        <v>1</v>
      </c>
      <c r="G3493">
        <f>HYPERLINK("https://www.google.com/maps/search/?api=1&amp;query=24.83991516,46.76439191", "View Map")</f>
        <v/>
      </c>
    </row>
    <row r="3494">
      <c r="A3494" t="inlineStr">
        <is>
          <t>ﻤﺴﺎﺠﺩ .</t>
        </is>
      </c>
      <c r="B3494" t="inlineStr">
        <is>
          <t>SMR2420661038644</t>
        </is>
      </c>
      <c r="C3494" t="inlineStr">
        <is>
          <t>الرياض</t>
        </is>
      </c>
      <c r="D3494" t="inlineStr">
        <is>
          <t>مساءا</t>
        </is>
      </c>
      <c r="E3494" t="n">
        <v>579</v>
      </c>
      <c r="F3494" t="b">
        <v>0</v>
      </c>
      <c r="G3494">
        <f>HYPERLINK("https://www.google.com/maps/search/?api=1&amp;query=24.86361684,46.66602534", "View Map")</f>
        <v/>
      </c>
    </row>
    <row r="3495">
      <c r="A3495" t="inlineStr">
        <is>
          <t>مسجد الاميرة  منيرة  بنت  عبدالرحمن .</t>
        </is>
      </c>
      <c r="B3495" t="inlineStr">
        <is>
          <t>KFM2020660173174</t>
        </is>
      </c>
      <c r="C3495" t="inlineStr">
        <is>
          <t>الرياض</t>
        </is>
      </c>
      <c r="D3495" t="inlineStr">
        <is>
          <t>مساءا</t>
        </is>
      </c>
      <c r="E3495" t="n">
        <v>578</v>
      </c>
      <c r="F3495" t="b">
        <v>0</v>
      </c>
      <c r="G3495">
        <f>HYPERLINK("https://www.google.com/maps/search/?api=1&amp;query=24.63260131,46.70355403", "View Map")</f>
        <v/>
      </c>
    </row>
    <row r="3496">
      <c r="A3496" t="inlineStr">
        <is>
          <t xml:space="preserve">   وزارةالشئونالاسلاميةمسجدابوبكر .</t>
        </is>
      </c>
      <c r="B3496" t="inlineStr">
        <is>
          <t>KFM2020660197199</t>
        </is>
      </c>
      <c r="C3496" t="inlineStr">
        <is>
          <t>الرياض</t>
        </is>
      </c>
      <c r="D3496" t="inlineStr">
        <is>
          <t>مساءا</t>
        </is>
      </c>
      <c r="E3496" t="n">
        <v>578</v>
      </c>
      <c r="F3496" t="b">
        <v>1</v>
      </c>
      <c r="G3496">
        <f>HYPERLINK("https://www.google.com/maps/search/?api=1&amp;query=24.64554442,46.56415336", "View Map")</f>
        <v/>
      </c>
    </row>
    <row r="3497">
      <c r="A3497" t="inlineStr">
        <is>
          <t xml:space="preserve">   مسجد انس  بن مالك .</t>
        </is>
      </c>
      <c r="B3497" t="inlineStr">
        <is>
          <t>KFM2120660282524</t>
        </is>
      </c>
      <c r="C3497" t="inlineStr">
        <is>
          <t>الرياض</t>
        </is>
      </c>
      <c r="D3497" t="inlineStr">
        <is>
          <t>مساءا</t>
        </is>
      </c>
      <c r="E3497" t="n">
        <v>578</v>
      </c>
      <c r="F3497" t="b">
        <v>0</v>
      </c>
      <c r="G3497">
        <f>HYPERLINK("https://www.google.com/maps/search/?api=1&amp;query=24.68803298,46.75817434", "View Map")</f>
        <v/>
      </c>
    </row>
    <row r="3498">
      <c r="A3498" t="inlineStr">
        <is>
          <t>.    مسجد      بن عيسى .</t>
        </is>
      </c>
      <c r="B3498" t="inlineStr">
        <is>
          <t>KFM2020660038799</t>
        </is>
      </c>
      <c r="C3498" t="inlineStr">
        <is>
          <t>الرياض</t>
        </is>
      </c>
      <c r="D3498" t="inlineStr">
        <is>
          <t>مساءا</t>
        </is>
      </c>
      <c r="E3498" t="n">
        <v>577</v>
      </c>
      <c r="F3498" t="b">
        <v>0</v>
      </c>
      <c r="G3498">
        <f>HYPERLINK("https://www.google.com/maps/search/?api=1&amp;query=24.61120454,46.67877469", "View Map")</f>
        <v/>
      </c>
    </row>
    <row r="3499">
      <c r="A3499" t="inlineStr">
        <is>
          <t xml:space="preserve">   مسجد التركى .</t>
        </is>
      </c>
      <c r="B3499" t="inlineStr">
        <is>
          <t>KFM2020660047755</t>
        </is>
      </c>
      <c r="C3499" t="inlineStr">
        <is>
          <t>الرياض</t>
        </is>
      </c>
      <c r="D3499" t="inlineStr">
        <is>
          <t>مساءا</t>
        </is>
      </c>
      <c r="E3499" t="n">
        <v>577</v>
      </c>
      <c r="F3499" t="b">
        <v>0</v>
      </c>
      <c r="G3499">
        <f>HYPERLINK("https://www.google.com/maps/search/?api=1&amp;query=24.64412074,46.72204792", "View Map")</f>
        <v/>
      </c>
    </row>
    <row r="3500">
      <c r="A3500" t="inlineStr">
        <is>
          <t xml:space="preserve">   مسجد وسكن عبدالله المقحم .</t>
        </is>
      </c>
      <c r="B3500" t="inlineStr">
        <is>
          <t>KFM2020660060122</t>
        </is>
      </c>
      <c r="C3500" t="inlineStr">
        <is>
          <t>الرياض</t>
        </is>
      </c>
      <c r="D3500" t="inlineStr">
        <is>
          <t>صباحا</t>
        </is>
      </c>
      <c r="E3500" t="n">
        <v>576</v>
      </c>
      <c r="F3500" t="b">
        <v>0</v>
      </c>
      <c r="G3500">
        <f>HYPERLINK("https://www.google.com/maps/search/?api=1&amp;query=24.7928126,46.89781046", "View Map")</f>
        <v/>
      </c>
    </row>
    <row r="3501">
      <c r="A3501" t="inlineStr">
        <is>
          <t xml:space="preserve">   مسجد حي ظهرة لبن .</t>
        </is>
      </c>
      <c r="B3501" t="inlineStr">
        <is>
          <t>KFM2020660197969</t>
        </is>
      </c>
      <c r="C3501" t="inlineStr">
        <is>
          <t>الرياض</t>
        </is>
      </c>
      <c r="D3501" t="inlineStr">
        <is>
          <t>مساءا</t>
        </is>
      </c>
      <c r="E3501" t="n">
        <v>576</v>
      </c>
      <c r="F3501" t="b">
        <v>1</v>
      </c>
      <c r="G3501">
        <f>HYPERLINK("https://www.google.com/maps/search/?api=1&amp;query=24.63436151,46.56636586", "View Map")</f>
        <v/>
      </c>
    </row>
    <row r="3502">
      <c r="A3502" t="inlineStr">
        <is>
          <t>مسجد  ذي  البجادين .</t>
        </is>
      </c>
      <c r="B3502" t="inlineStr">
        <is>
          <t>KFM2020660019022</t>
        </is>
      </c>
      <c r="C3502" t="inlineStr">
        <is>
          <t>الرياض</t>
        </is>
      </c>
      <c r="D3502" t="inlineStr">
        <is>
          <t>صباحا</t>
        </is>
      </c>
      <c r="E3502" t="n">
        <v>574</v>
      </c>
      <c r="F3502" t="b">
        <v>0</v>
      </c>
      <c r="G3502">
        <f>HYPERLINK("https://www.google.com/maps/search/?api=1&amp;query=24.57613716,46.63641918", "View Map")</f>
        <v/>
      </c>
    </row>
    <row r="3503">
      <c r="A3503" t="inlineStr">
        <is>
          <t xml:space="preserve">   مسجد الفاروق .</t>
        </is>
      </c>
      <c r="B3503" t="inlineStr">
        <is>
          <t>KFM2020660167763</t>
        </is>
      </c>
      <c r="C3503" t="inlineStr">
        <is>
          <t>الرياض</t>
        </is>
      </c>
      <c r="D3503" t="inlineStr">
        <is>
          <t>مساءا</t>
        </is>
      </c>
      <c r="E3503" t="n">
        <v>574</v>
      </c>
      <c r="F3503" t="b">
        <v>0</v>
      </c>
      <c r="G3503">
        <f>HYPERLINK("https://www.google.com/maps/search/?api=1&amp;query=24.71204791,46.7646552", "View Map")</f>
        <v/>
      </c>
    </row>
    <row r="3504">
      <c r="A3504" t="inlineStr">
        <is>
          <t xml:space="preserve">   مسجد والدةالاميرمحمدبن نواف .</t>
        </is>
      </c>
      <c r="B3504" t="inlineStr">
        <is>
          <t>KFM2020660201410</t>
        </is>
      </c>
      <c r="C3504" t="inlineStr">
        <is>
          <t>الرياض</t>
        </is>
      </c>
      <c r="D3504" t="inlineStr">
        <is>
          <t>مساءا</t>
        </is>
      </c>
      <c r="E3504" t="n">
        <v>573</v>
      </c>
      <c r="F3504" t="b">
        <v>1</v>
      </c>
      <c r="G3504">
        <f>HYPERLINK("https://www.google.com/maps/search/?api=1&amp;query=24.80503329,46.71316172", "View Map")</f>
        <v/>
      </c>
    </row>
    <row r="3505">
      <c r="A3505" t="inlineStr">
        <is>
          <t xml:space="preserve">   مساجد .</t>
        </is>
      </c>
      <c r="B3505" t="inlineStr">
        <is>
          <t>KFM2120660270048</t>
        </is>
      </c>
      <c r="C3505" t="inlineStr">
        <is>
          <t>الرياض</t>
        </is>
      </c>
      <c r="D3505" t="inlineStr">
        <is>
          <t>مساءا</t>
        </is>
      </c>
      <c r="E3505" t="n">
        <v>573</v>
      </c>
      <c r="F3505" t="b">
        <v>0</v>
      </c>
      <c r="G3505">
        <f>HYPERLINK("https://www.google.com/maps/search/?api=1&amp;query=24.8447,46.7892", "View Map")</f>
        <v/>
      </c>
    </row>
    <row r="3506">
      <c r="A3506" t="inlineStr">
        <is>
          <t>مسجد / ابو عبيده  ابن الجراح .</t>
        </is>
      </c>
      <c r="B3506" t="inlineStr">
        <is>
          <t>KFM2020660057861</t>
        </is>
      </c>
      <c r="C3506" t="inlineStr">
        <is>
          <t>الرياض</t>
        </is>
      </c>
      <c r="D3506" t="inlineStr">
        <is>
          <t>مساءا</t>
        </is>
      </c>
      <c r="E3506" t="n">
        <v>573</v>
      </c>
      <c r="F3506" t="b">
        <v>0</v>
      </c>
      <c r="G3506">
        <f>HYPERLINK("https://www.google.com/maps/search/?api=1&amp;query=24.58916402,46.5319198", "View Map")</f>
        <v/>
      </c>
    </row>
    <row r="3507">
      <c r="A3507" t="inlineStr">
        <is>
          <t xml:space="preserve">   مسجد      صالح      العبدلى .</t>
        </is>
      </c>
      <c r="B3507" t="inlineStr">
        <is>
          <t>KFM2020660054247</t>
        </is>
      </c>
      <c r="C3507" t="inlineStr">
        <is>
          <t>الرياض</t>
        </is>
      </c>
      <c r="D3507" t="inlineStr">
        <is>
          <t>صباحا</t>
        </is>
      </c>
      <c r="E3507" t="n">
        <v>572</v>
      </c>
      <c r="F3507" t="b">
        <v>0</v>
      </c>
      <c r="G3507">
        <f>HYPERLINK("https://www.google.com/maps/search/?api=1&amp;query=24.81488526,46.76960226", "View Map")</f>
        <v/>
      </c>
    </row>
    <row r="3508">
      <c r="A3508" t="inlineStr">
        <is>
          <t>ﻭﺯﺍﺭﺓﺍﻟﺸﺌﻭﻥ ﺍﻻﺴﻼﻤﻴﺓﻭﺍﻻﻭﻗﺎﻑ .</t>
        </is>
      </c>
      <c r="B3508" t="inlineStr">
        <is>
          <t>KFM2120660283967</t>
        </is>
      </c>
      <c r="C3508" t="inlineStr">
        <is>
          <t>الرياض</t>
        </is>
      </c>
      <c r="D3508" t="inlineStr">
        <is>
          <t>مساءا</t>
        </is>
      </c>
      <c r="E3508" t="n">
        <v>572</v>
      </c>
      <c r="F3508" t="b">
        <v>0</v>
      </c>
      <c r="G3508">
        <f>HYPERLINK("https://www.google.com/maps/search/?api=1&amp;query=24.5056,46.7317", "View Map")</f>
        <v/>
      </c>
    </row>
    <row r="3509">
      <c r="A3509" t="inlineStr">
        <is>
          <t xml:space="preserve">   مسجد عبدالله الهاجرى .</t>
        </is>
      </c>
      <c r="B3509" t="inlineStr">
        <is>
          <t>KFM2020660135667</t>
        </is>
      </c>
      <c r="C3509" t="inlineStr">
        <is>
          <t>الرياض</t>
        </is>
      </c>
      <c r="D3509" t="inlineStr">
        <is>
          <t>صباحا</t>
        </is>
      </c>
      <c r="E3509" t="n">
        <v>572</v>
      </c>
      <c r="F3509" t="b">
        <v>0</v>
      </c>
      <c r="G3509">
        <f>HYPERLINK("https://www.google.com/maps/search/?api=1&amp;query=24.76200218,46.68089273", "View Map")</f>
        <v/>
      </c>
    </row>
    <row r="3510">
      <c r="A3510" t="inlineStr">
        <is>
          <t xml:space="preserve">   مسجدناصرعبدالله الدوسري .</t>
        </is>
      </c>
      <c r="B3510" t="inlineStr">
        <is>
          <t>KFM2120660303345</t>
        </is>
      </c>
      <c r="C3510" t="inlineStr">
        <is>
          <t>الرياض</t>
        </is>
      </c>
      <c r="D3510" t="inlineStr">
        <is>
          <t>مساءا</t>
        </is>
      </c>
      <c r="E3510" t="n">
        <v>571</v>
      </c>
      <c r="F3510" t="b">
        <v>0</v>
      </c>
      <c r="G3510">
        <f>HYPERLINK("https://www.google.com/maps/search/?api=1&amp;query=24.6189616,46.75325021", "View Map")</f>
        <v/>
      </c>
    </row>
    <row r="3511">
      <c r="A3511" t="inlineStr">
        <is>
          <t>مسجد عمار بن ياســــر .</t>
        </is>
      </c>
      <c r="B3511" t="inlineStr">
        <is>
          <t>KFM2020660203544</t>
        </is>
      </c>
      <c r="C3511" t="inlineStr">
        <is>
          <t>الرياض</t>
        </is>
      </c>
      <c r="D3511" t="inlineStr">
        <is>
          <t>مساءا</t>
        </is>
      </c>
      <c r="E3511" t="n">
        <v>570</v>
      </c>
      <c r="F3511" t="b">
        <v>0</v>
      </c>
      <c r="G3511">
        <f>HYPERLINK("https://www.google.com/maps/search/?api=1&amp;query=24.61469433,46.63366182", "View Map")</f>
        <v/>
      </c>
    </row>
    <row r="3512">
      <c r="A3512" t="inlineStr">
        <is>
          <t>مسجد حي الحزم  وسكن الامام  والمؤذن .</t>
        </is>
      </c>
      <c r="B3512" t="inlineStr">
        <is>
          <t>KFM2020660175033</t>
        </is>
      </c>
      <c r="C3512" t="inlineStr">
        <is>
          <t>الرياض</t>
        </is>
      </c>
      <c r="D3512" t="inlineStr">
        <is>
          <t>مساءا</t>
        </is>
      </c>
      <c r="E3512" t="n">
        <v>570</v>
      </c>
      <c r="F3512" t="b">
        <v>0</v>
      </c>
      <c r="G3512">
        <f>HYPERLINK("https://www.google.com/maps/search/?api=1&amp;query=24.5416181,46.64459252", "View Map")</f>
        <v/>
      </c>
    </row>
    <row r="3513">
      <c r="A3513" t="inlineStr">
        <is>
          <t>مسجد / بن صبحية .</t>
        </is>
      </c>
      <c r="B3513" t="inlineStr">
        <is>
          <t>KFM2020660015356</t>
        </is>
      </c>
      <c r="C3513" t="inlineStr">
        <is>
          <t>الرياض</t>
        </is>
      </c>
      <c r="D3513" t="inlineStr">
        <is>
          <t>صباحا</t>
        </is>
      </c>
      <c r="E3513" t="n">
        <v>570</v>
      </c>
      <c r="F3513" t="b">
        <v>0</v>
      </c>
      <c r="G3513">
        <f>HYPERLINK("https://www.google.com/maps/search/?api=1&amp;query=24.6054429,46.68789631", "View Map")</f>
        <v/>
      </c>
    </row>
    <row r="3514">
      <c r="A3514" t="inlineStr">
        <is>
          <t>ﻤﺴﺎﺠﺩ .</t>
        </is>
      </c>
      <c r="B3514" t="inlineStr">
        <is>
          <t>SMR2220661010919</t>
        </is>
      </c>
      <c r="C3514" t="inlineStr">
        <is>
          <t>الرياض</t>
        </is>
      </c>
      <c r="D3514" t="inlineStr">
        <is>
          <t>مساءا</t>
        </is>
      </c>
      <c r="E3514" t="n">
        <v>570</v>
      </c>
      <c r="F3514" t="b">
        <v>0</v>
      </c>
      <c r="G3514">
        <f>HYPERLINK("https://www.google.com/maps/search/?api=1&amp;query=24.6228,46.5183", "View Map")</f>
        <v/>
      </c>
    </row>
    <row r="3515">
      <c r="A3515" t="inlineStr">
        <is>
          <t xml:space="preserve">   مسجد الشيخ بن سليمان محمد اليوسف .</t>
        </is>
      </c>
      <c r="B3515" t="inlineStr">
        <is>
          <t>KFM2020660040828</t>
        </is>
      </c>
      <c r="C3515" t="inlineStr">
        <is>
          <t>الرياض</t>
        </is>
      </c>
      <c r="D3515" t="inlineStr">
        <is>
          <t>مساءا</t>
        </is>
      </c>
      <c r="E3515" t="n">
        <v>569</v>
      </c>
      <c r="F3515" t="b">
        <v>0</v>
      </c>
      <c r="G3515">
        <f>HYPERLINK("https://www.google.com/maps/search/?api=1&amp;query=24.81972307,46.79670673", "View Map")</f>
        <v/>
      </c>
    </row>
    <row r="3516">
      <c r="A3516" t="inlineStr">
        <is>
          <t xml:space="preserve">   مسجد عبدالرحمن السنيدي .</t>
        </is>
      </c>
      <c r="B3516" t="inlineStr">
        <is>
          <t>KFM2020660042009</t>
        </is>
      </c>
      <c r="C3516" t="inlineStr">
        <is>
          <t>الرياض</t>
        </is>
      </c>
      <c r="D3516" t="inlineStr">
        <is>
          <t>صباحا</t>
        </is>
      </c>
      <c r="E3516" t="n">
        <v>568</v>
      </c>
      <c r="F3516" t="b">
        <v>0</v>
      </c>
      <c r="G3516">
        <f>HYPERLINK("https://www.google.com/maps/search/?api=1&amp;query=24.713083,46.670166", "View Map")</f>
        <v/>
      </c>
    </row>
    <row r="3517">
      <c r="A3517" t="inlineStr">
        <is>
          <t>مسجد حي بدر .</t>
        </is>
      </c>
      <c r="B3517" t="inlineStr">
        <is>
          <t>KFM2020660203446</t>
        </is>
      </c>
      <c r="C3517" t="inlineStr">
        <is>
          <t>الرياض</t>
        </is>
      </c>
      <c r="D3517" t="inlineStr">
        <is>
          <t>مساءا</t>
        </is>
      </c>
      <c r="E3517" t="n">
        <v>568</v>
      </c>
      <c r="F3517" t="b">
        <v>0</v>
      </c>
      <c r="G3517">
        <f>HYPERLINK("https://www.google.com/maps/search/?api=1&amp;query=24.57384886,46.71337917", "View Map")</f>
        <v/>
      </c>
    </row>
    <row r="3518">
      <c r="A3518" t="inlineStr">
        <is>
          <t>ﻤﺴﺎﺠﺩ .</t>
        </is>
      </c>
      <c r="B3518" t="inlineStr">
        <is>
          <t>KFM2020660201681</t>
        </is>
      </c>
      <c r="C3518" t="inlineStr">
        <is>
          <t>الرياض</t>
        </is>
      </c>
      <c r="D3518" t="inlineStr">
        <is>
          <t>مساءا</t>
        </is>
      </c>
      <c r="E3518" t="n">
        <v>568</v>
      </c>
      <c r="F3518" t="b">
        <v>0</v>
      </c>
      <c r="G3518">
        <f>HYPERLINK("https://www.google.com/maps/search/?api=1&amp;query=24.84567701,46.83004067", "View Map")</f>
        <v/>
      </c>
    </row>
    <row r="3519">
      <c r="A3519" t="inlineStr">
        <is>
          <t xml:space="preserve">   مسجد حي   الياسمين .</t>
        </is>
      </c>
      <c r="B3519" t="inlineStr">
        <is>
          <t>KFM2020660104816</t>
        </is>
      </c>
      <c r="C3519" t="inlineStr">
        <is>
          <t>الرياض</t>
        </is>
      </c>
      <c r="D3519" t="inlineStr">
        <is>
          <t>مساءا</t>
        </is>
      </c>
      <c r="E3519" t="n">
        <v>568</v>
      </c>
      <c r="F3519" t="b">
        <v>1</v>
      </c>
      <c r="G3519">
        <f>HYPERLINK("https://www.google.com/maps/search/?api=1&amp;query=24.81721596,46.6321024", "View Map")</f>
        <v/>
      </c>
    </row>
    <row r="3520">
      <c r="A3520" t="inlineStr">
        <is>
          <t>مسجد/عبدالرحمن الفارس .</t>
        </is>
      </c>
      <c r="B3520" t="inlineStr">
        <is>
          <t>KFM2020760022530</t>
        </is>
      </c>
      <c r="C3520" t="inlineStr">
        <is>
          <t>الرياض</t>
        </is>
      </c>
      <c r="D3520" t="inlineStr">
        <is>
          <t>مساءا</t>
        </is>
      </c>
      <c r="E3520" t="n">
        <v>568</v>
      </c>
      <c r="F3520" t="b">
        <v>0</v>
      </c>
      <c r="G3520">
        <f>HYPERLINK("https://www.google.com/maps/search/?api=1&amp;query=24.6235659,46.68718996", "View Map")</f>
        <v/>
      </c>
    </row>
    <row r="3521">
      <c r="A3521" t="inlineStr">
        <is>
          <t xml:space="preserve">   الشئون لاسلاميه/ مسجد ضواي العتيبي .</t>
        </is>
      </c>
      <c r="B3521" t="inlineStr">
        <is>
          <t>KFM2120660268777</t>
        </is>
      </c>
      <c r="C3521" t="inlineStr">
        <is>
          <t>الرياض</t>
        </is>
      </c>
      <c r="D3521" t="inlineStr">
        <is>
          <t>صباحا</t>
        </is>
      </c>
      <c r="E3521" t="n">
        <v>567</v>
      </c>
      <c r="F3521" t="b">
        <v>0</v>
      </c>
      <c r="G3521">
        <f>HYPERLINK("https://www.google.com/maps/search/?api=1&amp;query=24.56710009,46.76306593", "View Map")</f>
        <v/>
      </c>
    </row>
    <row r="3522">
      <c r="A3522" t="inlineStr">
        <is>
          <t>3) مسجد    /مشروع  الامير سلمان .</t>
        </is>
      </c>
      <c r="B3522" t="inlineStr">
        <is>
          <t>KFM2020660166799</t>
        </is>
      </c>
      <c r="C3522" t="inlineStr">
        <is>
          <t>الرياض</t>
        </is>
      </c>
      <c r="D3522" t="inlineStr">
        <is>
          <t>مساءا</t>
        </is>
      </c>
      <c r="E3522" t="n">
        <v>567</v>
      </c>
      <c r="F3522" t="b">
        <v>0</v>
      </c>
      <c r="G3522">
        <f>HYPERLINK("https://www.google.com/maps/search/?api=1&amp;query=24.61743165,46.70012993", "View Map")</f>
        <v/>
      </c>
    </row>
    <row r="3523">
      <c r="A3523" t="inlineStr">
        <is>
          <t>ﻤﺴﺎﺠﺩ .</t>
        </is>
      </c>
      <c r="B3523" t="inlineStr">
        <is>
          <t>SMR2220621001964</t>
        </is>
      </c>
      <c r="C3523" t="inlineStr">
        <is>
          <t>الرياض</t>
        </is>
      </c>
      <c r="D3523" t="inlineStr">
        <is>
          <t>مساءا</t>
        </is>
      </c>
      <c r="E3523" t="n">
        <v>566</v>
      </c>
      <c r="F3523" t="b">
        <v>0</v>
      </c>
      <c r="G3523">
        <f>HYPERLINK("https://www.google.com/maps/search/?api=1&amp;query=24.81894733,46.84077115", "View Map")</f>
        <v/>
      </c>
    </row>
    <row r="3524">
      <c r="A3524" t="inlineStr">
        <is>
          <t xml:space="preserve">   مسجد عبدالله بن عمر .</t>
        </is>
      </c>
      <c r="B3524" t="inlineStr">
        <is>
          <t>KFM2020660175730</t>
        </is>
      </c>
      <c r="C3524" t="inlineStr">
        <is>
          <t>الرياض</t>
        </is>
      </c>
      <c r="D3524" t="inlineStr">
        <is>
          <t>مساءا</t>
        </is>
      </c>
      <c r="E3524" t="n">
        <v>566</v>
      </c>
      <c r="F3524" t="b">
        <v>1</v>
      </c>
      <c r="G3524">
        <f>HYPERLINK("https://www.google.com/maps/search/?api=1&amp;query=24.74495296,46.82032325", "View Map")</f>
        <v/>
      </c>
    </row>
    <row r="3525">
      <c r="A3525" t="inlineStr">
        <is>
          <t xml:space="preserve">   مسجد حي الملقا .</t>
        </is>
      </c>
      <c r="B3525" t="inlineStr">
        <is>
          <t>KFM2020660104169</t>
        </is>
      </c>
      <c r="C3525" t="inlineStr">
        <is>
          <t>الرياض</t>
        </is>
      </c>
      <c r="D3525" t="inlineStr">
        <is>
          <t>مساءا</t>
        </is>
      </c>
      <c r="E3525" t="n">
        <v>565</v>
      </c>
      <c r="F3525" t="b">
        <v>0</v>
      </c>
      <c r="G3525">
        <f>HYPERLINK("https://www.google.com/maps/search/?api=1&amp;query=24.7928,46.6164", "View Map")</f>
        <v/>
      </c>
    </row>
    <row r="3526">
      <c r="A3526" t="inlineStr">
        <is>
          <t xml:space="preserve">   مسجد مصعب بن عمير .</t>
        </is>
      </c>
      <c r="B3526" t="inlineStr">
        <is>
          <t>KFM2020660036618</t>
        </is>
      </c>
      <c r="C3526" t="inlineStr">
        <is>
          <t>الرياض</t>
        </is>
      </c>
      <c r="D3526" t="inlineStr">
        <is>
          <t>مساءا</t>
        </is>
      </c>
      <c r="E3526" t="n">
        <v>565</v>
      </c>
      <c r="F3526" t="b">
        <v>0</v>
      </c>
      <c r="G3526">
        <f>HYPERLINK("https://www.google.com/maps/search/?api=1&amp;query=24.72586502,46.81782594", "View Map")</f>
        <v/>
      </c>
    </row>
    <row r="3527">
      <c r="A3527" t="inlineStr">
        <is>
          <t xml:space="preserve">   مسجدحمزه بن عبدالمطلب .</t>
        </is>
      </c>
      <c r="B3527" t="inlineStr">
        <is>
          <t>KFM2020660034616</t>
        </is>
      </c>
      <c r="C3527" t="inlineStr">
        <is>
          <t>الرياض</t>
        </is>
      </c>
      <c r="D3527" t="inlineStr">
        <is>
          <t>مساءا</t>
        </is>
      </c>
      <c r="E3527" t="n">
        <v>565</v>
      </c>
      <c r="F3527" t="b">
        <v>0</v>
      </c>
      <c r="G3527">
        <f>HYPERLINK("https://www.google.com/maps/search/?api=1&amp;query=24.61125372,46.75108203", "View Map")</f>
        <v/>
      </c>
    </row>
    <row r="3528">
      <c r="A3528" t="inlineStr">
        <is>
          <t>ﻤﺴﺎﺠﺩ .</t>
        </is>
      </c>
      <c r="B3528" t="inlineStr">
        <is>
          <t>KFM2020660211245</t>
        </is>
      </c>
      <c r="C3528" t="inlineStr">
        <is>
          <t>الرياض</t>
        </is>
      </c>
      <c r="D3528" t="inlineStr">
        <is>
          <t>مساءا</t>
        </is>
      </c>
      <c r="E3528" t="n">
        <v>565</v>
      </c>
      <c r="F3528" t="b">
        <v>1</v>
      </c>
      <c r="G3528">
        <f>HYPERLINK("https://www.google.com/maps/search/?api=1&amp;query=24.60646472,46.50887128", "View Map")</f>
        <v/>
      </c>
    </row>
    <row r="3529">
      <c r="A3529" t="inlineStr">
        <is>
          <t>مسجد      الدوبيه .</t>
        </is>
      </c>
      <c r="B3529" t="inlineStr">
        <is>
          <t>KFM2020660175899</t>
        </is>
      </c>
      <c r="C3529" t="inlineStr">
        <is>
          <t>الرياض</t>
        </is>
      </c>
      <c r="D3529" t="inlineStr">
        <is>
          <t>صباحا</t>
        </is>
      </c>
      <c r="E3529" t="n">
        <v>565</v>
      </c>
      <c r="F3529" t="b">
        <v>0</v>
      </c>
      <c r="G3529">
        <f>HYPERLINK("https://www.google.com/maps/search/?api=1&amp;query=24.62275533,46.71238558", "View Map")</f>
        <v/>
      </c>
    </row>
    <row r="3530">
      <c r="A3530" t="inlineStr">
        <is>
          <t>ﻤﺴﺎﺠﺩ .</t>
        </is>
      </c>
      <c r="B3530" t="inlineStr">
        <is>
          <t>SMR2220661005709</t>
        </is>
      </c>
      <c r="C3530" t="inlineStr">
        <is>
          <t>الرياض</t>
        </is>
      </c>
      <c r="D3530" t="inlineStr">
        <is>
          <t>صباحا</t>
        </is>
      </c>
      <c r="E3530" t="n">
        <v>564</v>
      </c>
      <c r="F3530" t="b">
        <v>0</v>
      </c>
      <c r="G3530">
        <f>HYPERLINK("https://www.google.com/maps/search/?api=1&amp;query=24.87046489,46.64310785", "View Map")</f>
        <v/>
      </c>
    </row>
    <row r="3531">
      <c r="A3531" t="inlineStr">
        <is>
          <t xml:space="preserve">   مسجد موسى بن نصير ( حي بغلف ) .</t>
        </is>
      </c>
      <c r="B3531" t="inlineStr">
        <is>
          <t>KFM2020660047149</t>
        </is>
      </c>
      <c r="C3531" t="inlineStr">
        <is>
          <t>الرياض</t>
        </is>
      </c>
      <c r="D3531" t="inlineStr">
        <is>
          <t>مساءا</t>
        </is>
      </c>
      <c r="E3531" t="n">
        <v>564</v>
      </c>
      <c r="F3531" t="b">
        <v>0</v>
      </c>
      <c r="G3531">
        <f>HYPERLINK("https://www.google.com/maps/search/?api=1&amp;query=24.77119305,46.79640625", "View Map")</f>
        <v/>
      </c>
    </row>
    <row r="3532">
      <c r="A3532" t="inlineStr">
        <is>
          <t>مسجدفهدبن محمدالسلمان .</t>
        </is>
      </c>
      <c r="B3532" t="inlineStr">
        <is>
          <t>KFM2020660203844</t>
        </is>
      </c>
      <c r="C3532" t="inlineStr">
        <is>
          <t>الرياض</t>
        </is>
      </c>
      <c r="D3532" t="inlineStr">
        <is>
          <t>مساءا</t>
        </is>
      </c>
      <c r="E3532" t="n">
        <v>564</v>
      </c>
      <c r="F3532" t="b">
        <v>0</v>
      </c>
      <c r="G3532">
        <f>HYPERLINK("https://www.google.com/maps/search/?api=1&amp;query=24.53706524,46.70849342", "View Map")</f>
        <v/>
      </c>
    </row>
    <row r="3533">
      <c r="A3533" t="inlineStr">
        <is>
          <t xml:space="preserve">   مسجد الشيخ عبدالله بن جبرين .</t>
        </is>
      </c>
      <c r="B3533" t="inlineStr">
        <is>
          <t>KFM2020660162245</t>
        </is>
      </c>
      <c r="C3533" t="inlineStr">
        <is>
          <t>الرياض</t>
        </is>
      </c>
      <c r="D3533" t="inlineStr">
        <is>
          <t>مساءا</t>
        </is>
      </c>
      <c r="E3533" t="n">
        <v>564</v>
      </c>
      <c r="F3533" t="b">
        <v>0</v>
      </c>
      <c r="G3533">
        <f>HYPERLINK("https://www.google.com/maps/search/?api=1&amp;query=24.55712394,46.77317016", "View Map")</f>
        <v/>
      </c>
    </row>
    <row r="3534">
      <c r="A3534" t="inlineStr">
        <is>
          <t xml:space="preserve">   مسجد الهدلق .</t>
        </is>
      </c>
      <c r="B3534" t="inlineStr">
        <is>
          <t>KFM2020660027682</t>
        </is>
      </c>
      <c r="C3534" t="inlineStr">
        <is>
          <t>الدرعية</t>
        </is>
      </c>
      <c r="D3534" t="inlineStr">
        <is>
          <t>مساءا</t>
        </is>
      </c>
      <c r="E3534" t="n">
        <v>564</v>
      </c>
      <c r="F3534" t="b">
        <v>0</v>
      </c>
      <c r="G3534">
        <f>HYPERLINK("https://www.google.com/maps/search/?api=1&amp;query=24.76274997,46.57498541", "View Map")</f>
        <v/>
      </c>
    </row>
    <row r="3535">
      <c r="A3535" t="inlineStr">
        <is>
          <t xml:space="preserve">   مسجد الملز .</t>
        </is>
      </c>
      <c r="B3535" t="inlineStr">
        <is>
          <t>KFM2020766153933</t>
        </is>
      </c>
      <c r="C3535" t="inlineStr">
        <is>
          <t>الرياض</t>
        </is>
      </c>
      <c r="D3535" t="inlineStr">
        <is>
          <t>مساءا</t>
        </is>
      </c>
      <c r="E3535" t="n">
        <v>563</v>
      </c>
      <c r="F3535" t="b">
        <v>0</v>
      </c>
      <c r="G3535">
        <f>HYPERLINK("https://www.google.com/maps/search/?api=1&amp;query=24.66897998,46.7397091", "View Map")</f>
        <v/>
      </c>
    </row>
    <row r="3536">
      <c r="A3536" t="inlineStr">
        <is>
          <t>مسجدالاميربندرمحمدبن عبدالرحمن .</t>
        </is>
      </c>
      <c r="B3536" t="inlineStr">
        <is>
          <t>KFM2120660272761</t>
        </is>
      </c>
      <c r="C3536" t="inlineStr">
        <is>
          <t>الرياض</t>
        </is>
      </c>
      <c r="D3536" t="inlineStr">
        <is>
          <t>صباحا</t>
        </is>
      </c>
      <c r="E3536" t="n">
        <v>563</v>
      </c>
      <c r="F3536" t="b">
        <v>0</v>
      </c>
      <c r="G3536">
        <f>HYPERLINK("https://www.google.com/maps/search/?api=1&amp;query=24.61357578,46.71669727", "View Map")</f>
        <v/>
      </c>
    </row>
    <row r="3537">
      <c r="A3537" t="inlineStr">
        <is>
          <t>مسجد   عبدالكريم     الخراشي .</t>
        </is>
      </c>
      <c r="B3537" t="inlineStr">
        <is>
          <t>KFM2020660153002</t>
        </is>
      </c>
      <c r="C3537" t="inlineStr">
        <is>
          <t>الرياض</t>
        </is>
      </c>
      <c r="D3537" t="inlineStr">
        <is>
          <t>صباحا</t>
        </is>
      </c>
      <c r="E3537" t="n">
        <v>563</v>
      </c>
      <c r="F3537" t="b">
        <v>0</v>
      </c>
      <c r="G3537">
        <f>HYPERLINK("https://www.google.com/maps/search/?api=1&amp;query=24.58386773,46.52970913", "View Map")</f>
        <v/>
      </c>
    </row>
    <row r="3538">
      <c r="A3538" t="inlineStr">
        <is>
          <t>ﻭﺯﺍﺭﺓﺍﻟﺸﺌﻭﻥ ﺍﻻﺴﻼﻤﻴﺓﻭﺍﻻﻭﻗﺎﻑ .</t>
        </is>
      </c>
      <c r="B3538" t="inlineStr">
        <is>
          <t>KFM2020660083821</t>
        </is>
      </c>
      <c r="C3538" t="inlineStr">
        <is>
          <t>الرياض</t>
        </is>
      </c>
      <c r="D3538" t="inlineStr">
        <is>
          <t>مساءا</t>
        </is>
      </c>
      <c r="E3538" t="n">
        <v>563</v>
      </c>
      <c r="F3538" t="b">
        <v>0</v>
      </c>
      <c r="G3538">
        <f>HYPERLINK("https://www.google.com/maps/search/?api=1&amp;query=24.54548054,46.51972044", "View Map")</f>
        <v/>
      </c>
    </row>
    <row r="3539">
      <c r="A3539" t="inlineStr">
        <is>
          <t xml:space="preserve">    مسجد الشهداء .</t>
        </is>
      </c>
      <c r="B3539" t="inlineStr">
        <is>
          <t>KFM2020660134060</t>
        </is>
      </c>
      <c r="C3539" t="inlineStr">
        <is>
          <t>الرياض</t>
        </is>
      </c>
      <c r="D3539" t="inlineStr">
        <is>
          <t>مساءا</t>
        </is>
      </c>
      <c r="E3539" t="n">
        <v>563</v>
      </c>
      <c r="F3539" t="b">
        <v>0</v>
      </c>
      <c r="G3539">
        <f>HYPERLINK("https://www.google.com/maps/search/?api=1&amp;query=24.78508555,46.7574838", "View Map")</f>
        <v/>
      </c>
    </row>
    <row r="3540">
      <c r="A3540" t="inlineStr">
        <is>
          <t xml:space="preserve">   مسجد      سليمان    العيسى .</t>
        </is>
      </c>
      <c r="B3540" t="inlineStr">
        <is>
          <t>KFM2020660057593</t>
        </is>
      </c>
      <c r="C3540" t="inlineStr">
        <is>
          <t>الرياض</t>
        </is>
      </c>
      <c r="D3540" t="inlineStr">
        <is>
          <t>مساءا</t>
        </is>
      </c>
      <c r="E3540" t="n">
        <v>563</v>
      </c>
      <c r="F3540" t="b">
        <v>0</v>
      </c>
      <c r="G3540">
        <f>HYPERLINK("https://www.google.com/maps/search/?api=1&amp;query=24.80757243,46.75304778", "View Map")</f>
        <v/>
      </c>
    </row>
    <row r="3541">
      <c r="A3541" t="inlineStr">
        <is>
          <t xml:space="preserve"> مسجدالعوده المطلق .</t>
        </is>
      </c>
      <c r="B3541" t="inlineStr">
        <is>
          <t>KFM2020660164397</t>
        </is>
      </c>
      <c r="C3541" t="inlineStr">
        <is>
          <t>الرياض</t>
        </is>
      </c>
      <c r="D3541" t="inlineStr">
        <is>
          <t>مساءا</t>
        </is>
      </c>
      <c r="E3541" t="n">
        <v>563</v>
      </c>
      <c r="F3541" t="b">
        <v>1</v>
      </c>
      <c r="G3541">
        <f>HYPERLINK("https://www.google.com/maps/search/?api=1&amp;query=24.59706643,46.71622342", "View Map")</f>
        <v/>
      </c>
    </row>
    <row r="3542">
      <c r="A3542" t="inlineStr">
        <is>
          <t xml:space="preserve">   مسجد      الشيخ     بن باز .</t>
        </is>
      </c>
      <c r="B3542" t="inlineStr">
        <is>
          <t>KFM2020660171230</t>
        </is>
      </c>
      <c r="C3542" t="inlineStr">
        <is>
          <t>الرياض</t>
        </is>
      </c>
      <c r="D3542" t="inlineStr">
        <is>
          <t>مساءا</t>
        </is>
      </c>
      <c r="E3542" t="n">
        <v>562</v>
      </c>
      <c r="F3542" t="b">
        <v>0</v>
      </c>
      <c r="G3542">
        <f>HYPERLINK("https://www.google.com/maps/search/?api=1&amp;query=24.74042733,46.84839348", "View Map")</f>
        <v/>
      </c>
    </row>
    <row r="3543">
      <c r="A3543" t="inlineStr">
        <is>
          <t>مسجد النمر .</t>
        </is>
      </c>
      <c r="B3543" t="inlineStr">
        <is>
          <t>KFM2020660034129</t>
        </is>
      </c>
      <c r="C3543" t="inlineStr">
        <is>
          <t>الرياض</t>
        </is>
      </c>
      <c r="D3543" t="inlineStr">
        <is>
          <t>مساءا</t>
        </is>
      </c>
      <c r="E3543" t="n">
        <v>562</v>
      </c>
      <c r="F3543" t="b">
        <v>0</v>
      </c>
      <c r="G3543">
        <f>HYPERLINK("https://www.google.com/maps/search/?api=1&amp;query=24.58706693,46.62038853", "View Map")</f>
        <v/>
      </c>
    </row>
    <row r="3544">
      <c r="A3544" t="inlineStr">
        <is>
          <t>مسجد الغنامية .</t>
        </is>
      </c>
      <c r="B3544" t="inlineStr">
        <is>
          <t>KFM2120660281660</t>
        </is>
      </c>
      <c r="C3544" t="inlineStr">
        <is>
          <t>الرياض</t>
        </is>
      </c>
      <c r="D3544" t="inlineStr">
        <is>
          <t>مساءا</t>
        </is>
      </c>
      <c r="E3544" t="n">
        <v>562</v>
      </c>
      <c r="F3544" t="b">
        <v>1</v>
      </c>
      <c r="G3544">
        <f>HYPERLINK("https://www.google.com/maps/search/?api=1&amp;query=24.47583251,46.80562268", "View Map")</f>
        <v/>
      </c>
    </row>
    <row r="3545">
      <c r="A3545" t="inlineStr">
        <is>
          <t xml:space="preserve">   مساجد .</t>
        </is>
      </c>
      <c r="B3545" t="inlineStr">
        <is>
          <t>KFM2020660174385</t>
        </is>
      </c>
      <c r="C3545" t="inlineStr">
        <is>
          <t>الرياض</t>
        </is>
      </c>
      <c r="D3545" t="inlineStr">
        <is>
          <t>مساءا</t>
        </is>
      </c>
      <c r="E3545" t="n">
        <v>561</v>
      </c>
      <c r="F3545" t="b">
        <v>0</v>
      </c>
      <c r="G3545">
        <f>HYPERLINK("https://www.google.com/maps/search/?api=1&amp;query=24.84913459,46.78743306", "View Map")</f>
        <v/>
      </c>
    </row>
    <row r="3546">
      <c r="A3546" t="inlineStr">
        <is>
          <t xml:space="preserve">   مسجد غرناطه .</t>
        </is>
      </c>
      <c r="B3546" t="inlineStr">
        <is>
          <t>KFM2020660191579</t>
        </is>
      </c>
      <c r="C3546" t="inlineStr">
        <is>
          <t>الرياض</t>
        </is>
      </c>
      <c r="D3546" t="inlineStr">
        <is>
          <t>مساءا</t>
        </is>
      </c>
      <c r="E3546" t="n">
        <v>561</v>
      </c>
      <c r="F3546" t="b">
        <v>0</v>
      </c>
      <c r="G3546">
        <f>HYPERLINK("https://www.google.com/maps/search/?api=1&amp;query=24.78557984,46.74086889", "View Map")</f>
        <v/>
      </c>
    </row>
    <row r="3547">
      <c r="A3547" t="inlineStr">
        <is>
          <t xml:space="preserve">   مسجد      العمرين   . .</t>
        </is>
      </c>
      <c r="B3547" t="inlineStr">
        <is>
          <t>KFM2020660132818</t>
        </is>
      </c>
      <c r="C3547" t="inlineStr">
        <is>
          <t>الرياض</t>
        </is>
      </c>
      <c r="D3547" t="inlineStr">
        <is>
          <t>صباحا</t>
        </is>
      </c>
      <c r="E3547" t="n">
        <v>561</v>
      </c>
      <c r="F3547" t="b">
        <v>0</v>
      </c>
      <c r="G3547">
        <f>HYPERLINK("https://www.google.com/maps/search/?api=1&amp;query=24.68870058,46.78801037", "View Map")</f>
        <v/>
      </c>
    </row>
    <row r="3548">
      <c r="A3548" t="inlineStr">
        <is>
          <t>مسجد الا حسان .</t>
        </is>
      </c>
      <c r="B3548" t="inlineStr">
        <is>
          <t>KFM2120660300483</t>
        </is>
      </c>
      <c r="C3548" t="inlineStr">
        <is>
          <t>الرياض</t>
        </is>
      </c>
      <c r="D3548" t="inlineStr">
        <is>
          <t>مساءا</t>
        </is>
      </c>
      <c r="E3548" t="n">
        <v>561</v>
      </c>
      <c r="F3548" t="b">
        <v>0</v>
      </c>
      <c r="G3548">
        <f>HYPERLINK("https://www.google.com/maps/search/?api=1&amp;query=24.68278566,46.81484869", "View Map")</f>
        <v/>
      </c>
    </row>
    <row r="3549">
      <c r="A3549" t="inlineStr">
        <is>
          <t>المسجد الموقت فى  عليا ال  الشيج .</t>
        </is>
      </c>
      <c r="B3549" t="inlineStr">
        <is>
          <t>KFM2020660023205</t>
        </is>
      </c>
      <c r="C3549" t="inlineStr">
        <is>
          <t>الرياض</t>
        </is>
      </c>
      <c r="D3549" t="inlineStr">
        <is>
          <t>مساءا</t>
        </is>
      </c>
      <c r="E3549" t="n">
        <v>558</v>
      </c>
      <c r="F3549" t="b">
        <v>0</v>
      </c>
      <c r="G3549">
        <f>HYPERLINK("https://www.google.com/maps/search/?api=1&amp;query=24.59834724,46.67287388", "View Map")</f>
        <v/>
      </c>
    </row>
    <row r="3550">
      <c r="A3550" t="inlineStr">
        <is>
          <t>0 مسجد      بالعريجاء .</t>
        </is>
      </c>
      <c r="B3550" t="inlineStr">
        <is>
          <t>KFM2020760030481</t>
        </is>
      </c>
      <c r="C3550" t="inlineStr">
        <is>
          <t>الرياض</t>
        </is>
      </c>
      <c r="D3550" t="inlineStr">
        <is>
          <t>مساءا</t>
        </is>
      </c>
      <c r="E3550" t="n">
        <v>558</v>
      </c>
      <c r="F3550" t="b">
        <v>0</v>
      </c>
      <c r="G3550">
        <f>HYPERLINK("https://www.google.com/maps/search/?api=1&amp;query=24.58198291,46.59144438", "View Map")</f>
        <v/>
      </c>
    </row>
    <row r="3551">
      <c r="A3551" t="inlineStr">
        <is>
          <t>ﻤﺴﺎﺠﺩ .</t>
        </is>
      </c>
      <c r="B3551" t="inlineStr">
        <is>
          <t>SMR2320661020649</t>
        </is>
      </c>
      <c r="C3551" t="inlineStr">
        <is>
          <t>الرياض</t>
        </is>
      </c>
      <c r="D3551" t="inlineStr">
        <is>
          <t>مساءا</t>
        </is>
      </c>
      <c r="E3551" t="n">
        <v>558</v>
      </c>
      <c r="F3551" t="b">
        <v>0</v>
      </c>
      <c r="G3551">
        <f>HYPERLINK("https://www.google.com/maps/search/?api=1&amp;query=24.6424344,46.8387211", "View Map")</f>
        <v/>
      </c>
    </row>
    <row r="3552">
      <c r="A3552" t="inlineStr">
        <is>
          <t>مسجد      الذهبي    بحى  طويق .</t>
        </is>
      </c>
      <c r="B3552" t="inlineStr">
        <is>
          <t>KFM2020660171620</t>
        </is>
      </c>
      <c r="C3552" t="inlineStr">
        <is>
          <t>الرياض</t>
        </is>
      </c>
      <c r="D3552" t="inlineStr">
        <is>
          <t>مساءا</t>
        </is>
      </c>
      <c r="E3552" t="n">
        <v>557</v>
      </c>
      <c r="F3552" t="b">
        <v>0</v>
      </c>
      <c r="G3552">
        <f>HYPERLINK("https://www.google.com/maps/search/?api=1&amp;query=24.58208803,46.5462638", "View Map")</f>
        <v/>
      </c>
    </row>
    <row r="3553">
      <c r="A3553" t="inlineStr">
        <is>
          <t xml:space="preserve">   مسجدالا    حسان مع   والمؤذن .</t>
        </is>
      </c>
      <c r="B3553" t="inlineStr">
        <is>
          <t>KFM2020660057018</t>
        </is>
      </c>
      <c r="C3553" t="inlineStr">
        <is>
          <t>الرياض</t>
        </is>
      </c>
      <c r="D3553" t="inlineStr">
        <is>
          <t>مساءا</t>
        </is>
      </c>
      <c r="E3553" t="n">
        <v>557</v>
      </c>
      <c r="F3553" t="b">
        <v>0</v>
      </c>
      <c r="G3553">
        <f>HYPERLINK("https://www.google.com/maps/search/?api=1&amp;query=24.77765317,46.74949017", "View Map")</f>
        <v/>
      </c>
    </row>
    <row r="3554">
      <c r="A3554" t="inlineStr">
        <is>
          <t>مسجد      حمد       الصعيب .</t>
        </is>
      </c>
      <c r="B3554" t="inlineStr">
        <is>
          <t>KFM2020660208116</t>
        </is>
      </c>
      <c r="C3554" t="inlineStr">
        <is>
          <t>الرياض</t>
        </is>
      </c>
      <c r="D3554" t="inlineStr">
        <is>
          <t>مساءا</t>
        </is>
      </c>
      <c r="E3554" t="n">
        <v>557</v>
      </c>
      <c r="F3554" t="b">
        <v>0</v>
      </c>
      <c r="G3554">
        <f>HYPERLINK("https://www.google.com/maps/search/?api=1&amp;query=24.58381633,46.52631987", "View Map")</f>
        <v/>
      </c>
    </row>
    <row r="3555">
      <c r="A3555" t="inlineStr">
        <is>
          <t xml:space="preserve">   مسجد الشيخ عبدالعزيز بن باز .</t>
        </is>
      </c>
      <c r="B3555" t="inlineStr">
        <is>
          <t>KFM2120660271622</t>
        </is>
      </c>
      <c r="C3555" t="inlineStr">
        <is>
          <t>الرياض</t>
        </is>
      </c>
      <c r="D3555" t="inlineStr">
        <is>
          <t>مساءا</t>
        </is>
      </c>
      <c r="E3555" t="n">
        <v>557</v>
      </c>
      <c r="F3555" t="b">
        <v>1</v>
      </c>
      <c r="G3555">
        <f>HYPERLINK("https://www.google.com/maps/search/?api=1&amp;query=24.67237059,46.79599262", "View Map")</f>
        <v/>
      </c>
    </row>
    <row r="3556">
      <c r="A3556" t="inlineStr">
        <is>
          <t>ﻤﺴﺎﺠﺩ .</t>
        </is>
      </c>
      <c r="B3556" t="inlineStr">
        <is>
          <t>KFM2120660299738</t>
        </is>
      </c>
      <c r="C3556" t="inlineStr">
        <is>
          <t>الرياض</t>
        </is>
      </c>
      <c r="D3556" t="inlineStr">
        <is>
          <t>صباحا</t>
        </is>
      </c>
      <c r="E3556" t="n">
        <v>557</v>
      </c>
      <c r="F3556" t="b">
        <v>0</v>
      </c>
      <c r="G3556">
        <f>HYPERLINK("https://www.google.com/maps/search/?api=1&amp;query=24.73259865,46.74387485", "View Map")</f>
        <v/>
      </c>
    </row>
    <row r="3557">
      <c r="A3557" t="inlineStr">
        <is>
          <t>.     مسجد      فيحان .</t>
        </is>
      </c>
      <c r="B3557" t="inlineStr">
        <is>
          <t>KFM2020660174953</t>
        </is>
      </c>
      <c r="C3557" t="inlineStr">
        <is>
          <t>الرياض</t>
        </is>
      </c>
      <c r="D3557" t="inlineStr">
        <is>
          <t>مساءا</t>
        </is>
      </c>
      <c r="E3557" t="n">
        <v>556</v>
      </c>
      <c r="F3557" t="b">
        <v>0</v>
      </c>
      <c r="G3557">
        <f>HYPERLINK("https://www.google.com/maps/search/?api=1&amp;query=24.56704571,46.73423413", "View Map")</f>
        <v/>
      </c>
    </row>
    <row r="3558">
      <c r="A3558" t="inlineStr">
        <is>
          <t>وزارة الشىون الاسلامية والاوقاف .</t>
        </is>
      </c>
      <c r="B3558" t="inlineStr">
        <is>
          <t>KFM2020660049564</t>
        </is>
      </c>
      <c r="C3558" t="inlineStr">
        <is>
          <t>الرياض</t>
        </is>
      </c>
      <c r="D3558" t="inlineStr">
        <is>
          <t>مساءا</t>
        </is>
      </c>
      <c r="E3558" t="n">
        <v>556</v>
      </c>
      <c r="F3558" t="b">
        <v>0</v>
      </c>
      <c r="G3558">
        <f>HYPERLINK("https://www.google.com/maps/search/?api=1&amp;query=24.56677977,46.54157373", "View Map")</f>
        <v/>
      </c>
    </row>
    <row r="3559">
      <c r="A3559" t="inlineStr">
        <is>
          <t>مسجدالخراشي .</t>
        </is>
      </c>
      <c r="B3559" t="inlineStr">
        <is>
          <t>KFM2020660177037</t>
        </is>
      </c>
      <c r="C3559" t="inlineStr">
        <is>
          <t>الرياض</t>
        </is>
      </c>
      <c r="D3559" t="inlineStr">
        <is>
          <t>مساءا</t>
        </is>
      </c>
      <c r="E3559" t="n">
        <v>556</v>
      </c>
      <c r="F3559" t="b">
        <v>1</v>
      </c>
      <c r="G3559">
        <f>HYPERLINK("https://www.google.com/maps/search/?api=1&amp;query=24.58369751,46.53002834", "View Map")</f>
        <v/>
      </c>
    </row>
    <row r="3560">
      <c r="A3560" t="inlineStr">
        <is>
          <t xml:space="preserve">   مسجد غرناطة .</t>
        </is>
      </c>
      <c r="B3560" t="inlineStr">
        <is>
          <t>KFM2020660175280</t>
        </is>
      </c>
      <c r="C3560" t="inlineStr">
        <is>
          <t>الرياض</t>
        </is>
      </c>
      <c r="D3560" t="inlineStr">
        <is>
          <t>مساءا</t>
        </is>
      </c>
      <c r="E3560" t="n">
        <v>556</v>
      </c>
      <c r="F3560" t="b">
        <v>0</v>
      </c>
      <c r="G3560">
        <f>HYPERLINK("https://www.google.com/maps/search/?api=1&amp;query=24.78133486,46.73659842", "View Map")</f>
        <v/>
      </c>
    </row>
    <row r="3561">
      <c r="A3561" t="inlineStr">
        <is>
          <t>مسجد      .         الرشودي .</t>
        </is>
      </c>
      <c r="B3561" t="inlineStr">
        <is>
          <t>KFM2020660015210</t>
        </is>
      </c>
      <c r="C3561" t="inlineStr">
        <is>
          <t>الرياض</t>
        </is>
      </c>
      <c r="D3561" t="inlineStr">
        <is>
          <t>صباحا</t>
        </is>
      </c>
      <c r="E3561" t="n">
        <v>555</v>
      </c>
      <c r="F3561" t="b">
        <v>0</v>
      </c>
      <c r="G3561">
        <f>HYPERLINK("https://www.google.com/maps/search/?api=1&amp;query=24.60355679,46.72644019", "View Map")</f>
        <v/>
      </c>
    </row>
    <row r="3562">
      <c r="A3562" t="inlineStr">
        <is>
          <t xml:space="preserve">   مسجد/ ناصر محمد بن سعيدان .</t>
        </is>
      </c>
      <c r="B3562" t="inlineStr">
        <is>
          <t>KFM2020660099815</t>
        </is>
      </c>
      <c r="C3562" t="inlineStr">
        <is>
          <t>الرياض</t>
        </is>
      </c>
      <c r="D3562" t="inlineStr">
        <is>
          <t>مساءا</t>
        </is>
      </c>
      <c r="E3562" t="n">
        <v>555</v>
      </c>
      <c r="F3562" t="b">
        <v>0</v>
      </c>
      <c r="G3562">
        <f>HYPERLINK("https://www.google.com/maps/search/?api=1&amp;query=24.69490864,46.68243508", "View Map")</f>
        <v/>
      </c>
    </row>
    <row r="3563">
      <c r="A3563" t="inlineStr">
        <is>
          <t xml:space="preserve">   مسجد سلمان نمشان .</t>
        </is>
      </c>
      <c r="B3563" t="inlineStr">
        <is>
          <t>KFM2020660174565</t>
        </is>
      </c>
      <c r="C3563" t="inlineStr">
        <is>
          <t>الرياض</t>
        </is>
      </c>
      <c r="D3563" t="inlineStr">
        <is>
          <t>مساءا</t>
        </is>
      </c>
      <c r="E3563" t="n">
        <v>555</v>
      </c>
      <c r="F3563" t="b">
        <v>0</v>
      </c>
      <c r="G3563">
        <f>HYPERLINK("https://www.google.com/maps/search/?api=1&amp;query=24.761386,46.8013258", "View Map")</f>
        <v/>
      </c>
    </row>
    <row r="3564">
      <c r="A3564" t="inlineStr">
        <is>
          <t>ﻭﺯﺍﺭﺓﺍﻟﺸﺌﻭﻥ ﺍﻻﺴﻼﻤﻴﺓﻭﺍﻻﻭﻗﺎﻑ .</t>
        </is>
      </c>
      <c r="B3564" t="inlineStr">
        <is>
          <t>KFM2020660007977</t>
        </is>
      </c>
      <c r="C3564" t="inlineStr">
        <is>
          <t>الرياض</t>
        </is>
      </c>
      <c r="D3564" t="inlineStr">
        <is>
          <t>مساءا</t>
        </is>
      </c>
      <c r="E3564" t="n">
        <v>555</v>
      </c>
      <c r="F3564" t="b">
        <v>0</v>
      </c>
      <c r="G3564">
        <f>HYPERLINK("https://www.google.com/maps/search/?api=1&amp;query=24.55103678,46.61466801", "View Map")</f>
        <v/>
      </c>
    </row>
    <row r="3565">
      <c r="A3565" t="inlineStr">
        <is>
          <t>ﻤﺴﺎﺠﺩ .</t>
        </is>
      </c>
      <c r="B3565" t="inlineStr">
        <is>
          <t>SMR2320661034671</t>
        </is>
      </c>
      <c r="C3565" t="inlineStr">
        <is>
          <t>الرياض</t>
        </is>
      </c>
      <c r="D3565" t="inlineStr">
        <is>
          <t>مساءا</t>
        </is>
      </c>
      <c r="E3565" t="n">
        <v>555</v>
      </c>
      <c r="F3565" t="b">
        <v>0</v>
      </c>
      <c r="G3565">
        <f>HYPERLINK("https://www.google.com/maps/search/?api=1&amp;query=24.83945816,46.76052188", "View Map")</f>
        <v/>
      </c>
    </row>
    <row r="3566">
      <c r="A3566" t="inlineStr">
        <is>
          <t xml:space="preserve">   مسجد/علوشى السبيعى .</t>
        </is>
      </c>
      <c r="B3566" t="inlineStr">
        <is>
          <t>KFM2120660300346</t>
        </is>
      </c>
      <c r="C3566" t="inlineStr">
        <is>
          <t>الرياض</t>
        </is>
      </c>
      <c r="D3566" t="inlineStr">
        <is>
          <t>مساءا</t>
        </is>
      </c>
      <c r="E3566" t="n">
        <v>555</v>
      </c>
      <c r="F3566" t="b">
        <v>0</v>
      </c>
      <c r="G3566">
        <f>HYPERLINK("https://www.google.com/maps/search/?api=1&amp;query=24.40276508,46.84022507", "View Map")</f>
        <v/>
      </c>
    </row>
    <row r="3567">
      <c r="A3567" t="inlineStr">
        <is>
          <t xml:space="preserve">   مسجدوبيتي الاماموالمؤذن0بالمغرزات .</t>
        </is>
      </c>
      <c r="B3567" t="inlineStr">
        <is>
          <t>KFM2020660189171</t>
        </is>
      </c>
      <c r="C3567" t="inlineStr">
        <is>
          <t>الرياض</t>
        </is>
      </c>
      <c r="D3567" t="inlineStr">
        <is>
          <t>مساءا</t>
        </is>
      </c>
      <c r="E3567" t="n">
        <v>554</v>
      </c>
      <c r="F3567" t="b">
        <v>0</v>
      </c>
      <c r="G3567">
        <f>HYPERLINK("https://www.google.com/maps/search/?api=1&amp;query=24.76089488,46.72766525", "View Map")</f>
        <v/>
      </c>
    </row>
    <row r="3568">
      <c r="A3568" t="inlineStr">
        <is>
          <t>وزارة الشئون مسجد عيدالشيبانى .</t>
        </is>
      </c>
      <c r="B3568" t="inlineStr">
        <is>
          <t>KFM2020660049573</t>
        </is>
      </c>
      <c r="C3568" t="inlineStr">
        <is>
          <t>الرياض</t>
        </is>
      </c>
      <c r="D3568" t="inlineStr">
        <is>
          <t>مساءا</t>
        </is>
      </c>
      <c r="E3568" t="n">
        <v>554</v>
      </c>
      <c r="F3568" t="b">
        <v>0</v>
      </c>
      <c r="G3568">
        <f>HYPERLINK("https://www.google.com/maps/search/?api=1&amp;query=24.56690937,46.54187861", "View Map")</f>
        <v/>
      </c>
    </row>
    <row r="3569">
      <c r="A3569" t="inlineStr">
        <is>
          <t xml:space="preserve">   مسجد سلطان العبدالرزاق .</t>
        </is>
      </c>
      <c r="B3569" t="inlineStr">
        <is>
          <t>SMR2320661021216</t>
        </is>
      </c>
      <c r="C3569" t="inlineStr">
        <is>
          <t>الرياض</t>
        </is>
      </c>
      <c r="D3569" t="inlineStr">
        <is>
          <t>مساءا</t>
        </is>
      </c>
      <c r="E3569" t="n">
        <v>554</v>
      </c>
      <c r="F3569" t="b">
        <v>1</v>
      </c>
      <c r="G3569">
        <f>HYPERLINK("https://www.google.com/maps/search/?api=1&amp;query=24.62014752,46.53059992", "View Map")</f>
        <v/>
      </c>
    </row>
    <row r="3570">
      <c r="A3570" t="inlineStr">
        <is>
          <t>المسجد الموقت بالدخل  المحدود .</t>
        </is>
      </c>
      <c r="B3570" t="inlineStr">
        <is>
          <t>KFM2020766158648</t>
        </is>
      </c>
      <c r="C3570" t="inlineStr">
        <is>
          <t>الرياض</t>
        </is>
      </c>
      <c r="D3570" t="inlineStr">
        <is>
          <t>مساءا</t>
        </is>
      </c>
      <c r="E3570" t="n">
        <v>553</v>
      </c>
      <c r="F3570" t="b">
        <v>0</v>
      </c>
      <c r="G3570">
        <f>HYPERLINK("https://www.google.com/maps/search/?api=1&amp;query=24.58461882,46.57937659", "View Map")</f>
        <v/>
      </c>
    </row>
    <row r="3571">
      <c r="A3571" t="inlineStr">
        <is>
          <t>ﻤﺴﺎﺠﺩ .</t>
        </is>
      </c>
      <c r="B3571" t="inlineStr">
        <is>
          <t>MMF2420601019966</t>
        </is>
      </c>
      <c r="C3571" t="inlineStr">
        <is>
          <t>الرياض</t>
        </is>
      </c>
      <c r="D3571" t="inlineStr">
        <is>
          <t>مساءا</t>
        </is>
      </c>
      <c r="E3571" t="n">
        <v>552</v>
      </c>
      <c r="F3571" t="b">
        <v>0</v>
      </c>
      <c r="G3571">
        <f>HYPERLINK("https://www.google.com/maps/search/?api=1&amp;query=24.8404422,46.8758918", "View Map")</f>
        <v/>
      </c>
    </row>
    <row r="3572">
      <c r="A3572" t="inlineStr">
        <is>
          <t>مسجد الحقباني .</t>
        </is>
      </c>
      <c r="B3572" t="inlineStr">
        <is>
          <t>KFM2020660042249</t>
        </is>
      </c>
      <c r="C3572" t="inlineStr">
        <is>
          <t>الرياض</t>
        </is>
      </c>
      <c r="D3572" t="inlineStr">
        <is>
          <t>مساءا</t>
        </is>
      </c>
      <c r="E3572" t="n">
        <v>552</v>
      </c>
      <c r="F3572" t="b">
        <v>0</v>
      </c>
      <c r="G3572">
        <f>HYPERLINK("https://www.google.com/maps/search/?api=1&amp;query=24.52896974,46.64510287", "View Map")</f>
        <v/>
      </c>
    </row>
    <row r="3573">
      <c r="A3573" t="inlineStr">
        <is>
          <t xml:space="preserve">   مسجد الاحسان .</t>
        </is>
      </c>
      <c r="B3573" t="inlineStr">
        <is>
          <t>KFM2020660007249</t>
        </is>
      </c>
      <c r="C3573" t="inlineStr">
        <is>
          <t>الرياض</t>
        </is>
      </c>
      <c r="D3573" t="inlineStr">
        <is>
          <t>مساءا</t>
        </is>
      </c>
      <c r="E3573" t="n">
        <v>552</v>
      </c>
      <c r="F3573" t="b">
        <v>0</v>
      </c>
      <c r="G3573">
        <f>HYPERLINK("https://www.google.com/maps/search/?api=1&amp;query=24.69312117,46.70222154", "View Map")</f>
        <v/>
      </c>
    </row>
    <row r="3574">
      <c r="A3574" t="inlineStr">
        <is>
          <t>وزاره      الشوون    مسجد اليمامه .</t>
        </is>
      </c>
      <c r="B3574" t="inlineStr">
        <is>
          <t>KFM2020660039878</t>
        </is>
      </c>
      <c r="C3574" t="inlineStr">
        <is>
          <t>الرياض</t>
        </is>
      </c>
      <c r="D3574" t="inlineStr">
        <is>
          <t>صباحا</t>
        </is>
      </c>
      <c r="E3574" t="n">
        <v>552</v>
      </c>
      <c r="F3574" t="b">
        <v>0</v>
      </c>
      <c r="G3574">
        <f>HYPERLINK("https://www.google.com/maps/search/?api=1&amp;query=24.60542385,46.71308178", "View Map")</f>
        <v/>
      </c>
    </row>
    <row r="3575">
      <c r="A3575" t="inlineStr">
        <is>
          <t>ﻤﺴﺎﺠﺩ .</t>
        </is>
      </c>
      <c r="B3575" t="inlineStr">
        <is>
          <t>KFM2020660165854</t>
        </is>
      </c>
      <c r="C3575" t="inlineStr">
        <is>
          <t>الرياض</t>
        </is>
      </c>
      <c r="D3575" t="inlineStr">
        <is>
          <t>مساءا</t>
        </is>
      </c>
      <c r="E3575" t="n">
        <v>551</v>
      </c>
      <c r="F3575" t="b">
        <v>0</v>
      </c>
      <c r="G3575">
        <f>HYPERLINK("https://www.google.com/maps/search/?api=1&amp;query=24.71648238,46.68938234", "View Map")</f>
        <v/>
      </c>
    </row>
    <row r="3576">
      <c r="A3576" t="inlineStr">
        <is>
          <t>ﻤﺴﺎﺠﺩ .</t>
        </is>
      </c>
      <c r="B3576" t="inlineStr">
        <is>
          <t>KFM2120660299343</t>
        </is>
      </c>
      <c r="C3576" t="inlineStr">
        <is>
          <t>الرياض</t>
        </is>
      </c>
      <c r="D3576" t="inlineStr">
        <is>
          <t>مساءا</t>
        </is>
      </c>
      <c r="E3576" t="n">
        <v>551</v>
      </c>
      <c r="F3576" t="b">
        <v>0</v>
      </c>
      <c r="G3576">
        <f>HYPERLINK("https://www.google.com/maps/search/?api=1&amp;query=24.57565674,46.75136896", "View Map")</f>
        <v/>
      </c>
    </row>
    <row r="3577">
      <c r="A3577" t="inlineStr">
        <is>
          <t>ﻤﺴﺎﺠﺩ .</t>
        </is>
      </c>
      <c r="B3577" t="inlineStr">
        <is>
          <t>KFM2020660008776</t>
        </is>
      </c>
      <c r="C3577" t="inlineStr">
        <is>
          <t>الرياض</t>
        </is>
      </c>
      <c r="D3577" t="inlineStr">
        <is>
          <t>مساءا</t>
        </is>
      </c>
      <c r="E3577" t="n">
        <v>551</v>
      </c>
      <c r="F3577" t="b">
        <v>0</v>
      </c>
      <c r="G3577">
        <f>HYPERLINK("https://www.google.com/maps/search/?api=1&amp;query=24.83273954,46.74006309", "View Map")</f>
        <v/>
      </c>
    </row>
    <row r="3578">
      <c r="A3578" t="inlineStr">
        <is>
          <t>ﻤﺴﺎﺠﺩ .</t>
        </is>
      </c>
      <c r="B3578" t="inlineStr">
        <is>
          <t>KFM2020660174839</t>
        </is>
      </c>
      <c r="C3578" t="inlineStr">
        <is>
          <t>الرياض</t>
        </is>
      </c>
      <c r="D3578" t="inlineStr">
        <is>
          <t>مساءا</t>
        </is>
      </c>
      <c r="E3578" t="n">
        <v>551</v>
      </c>
      <c r="F3578" t="b">
        <v>1</v>
      </c>
      <c r="G3578">
        <f>HYPERLINK("https://www.google.com/maps/search/?api=1&amp;query=24.7851743,46.90611436", "View Map")</f>
        <v/>
      </c>
    </row>
    <row r="3579">
      <c r="A3579" t="inlineStr">
        <is>
          <t>مسجد الشيخ  فهد بن مقبل .</t>
        </is>
      </c>
      <c r="B3579" t="inlineStr">
        <is>
          <t>KFM2020660052967</t>
        </is>
      </c>
      <c r="C3579" t="inlineStr">
        <is>
          <t>الرياض</t>
        </is>
      </c>
      <c r="D3579" t="inlineStr">
        <is>
          <t>مساءا</t>
        </is>
      </c>
      <c r="E3579" t="n">
        <v>551</v>
      </c>
      <c r="F3579" t="b">
        <v>0</v>
      </c>
      <c r="G3579">
        <f>HYPERLINK("https://www.google.com/maps/search/?api=1&amp;query=24.60200188,46.71517847", "View Map")</f>
        <v/>
      </c>
    </row>
    <row r="3580">
      <c r="A3580" t="inlineStr">
        <is>
          <t xml:space="preserve">   مسجدالاميرهطرفه بنت  بن عبدالرحمن .</t>
        </is>
      </c>
      <c r="B3580" t="inlineStr">
        <is>
          <t>KFM2020660091243</t>
        </is>
      </c>
      <c r="C3580" t="inlineStr">
        <is>
          <t>الرياض</t>
        </is>
      </c>
      <c r="D3580" t="inlineStr">
        <is>
          <t>مساءا</t>
        </is>
      </c>
      <c r="E3580" t="n">
        <v>551</v>
      </c>
      <c r="F3580" t="b">
        <v>1</v>
      </c>
      <c r="G3580">
        <f>HYPERLINK("https://www.google.com/maps/search/?api=1&amp;query=24.71129111,46.60995882", "View Map")</f>
        <v/>
      </c>
    </row>
    <row r="3581">
      <c r="A3581" t="inlineStr">
        <is>
          <t xml:space="preserve">   وزارة الشئون الاسلامية والأوقاف .</t>
        </is>
      </c>
      <c r="B3581" t="inlineStr">
        <is>
          <t>KFM2120660276326</t>
        </is>
      </c>
      <c r="C3581" t="inlineStr">
        <is>
          <t>الرياض</t>
        </is>
      </c>
      <c r="D3581" t="inlineStr">
        <is>
          <t>مساءا</t>
        </is>
      </c>
      <c r="E3581" t="n">
        <v>550</v>
      </c>
      <c r="F3581" t="b">
        <v>0</v>
      </c>
      <c r="G3581">
        <f>HYPERLINK("https://www.google.com/maps/search/?api=1&amp;query=24.62984596,46.81270418", "View Map")</f>
        <v/>
      </c>
    </row>
    <row r="3582">
      <c r="A3582" t="inlineStr">
        <is>
          <t>مسجد      ال  شيخ     بحي نمار .</t>
        </is>
      </c>
      <c r="B3582" t="inlineStr">
        <is>
          <t>KFM2020660087424</t>
        </is>
      </c>
      <c r="C3582" t="inlineStr">
        <is>
          <t>الرياض</t>
        </is>
      </c>
      <c r="D3582" t="inlineStr">
        <is>
          <t>مساءا</t>
        </is>
      </c>
      <c r="E3582" t="n">
        <v>550</v>
      </c>
      <c r="F3582" t="b">
        <v>0</v>
      </c>
      <c r="G3582">
        <f>HYPERLINK("https://www.google.com/maps/search/?api=1&amp;query=24.57337,46.690026", "View Map")</f>
        <v/>
      </c>
    </row>
    <row r="3583">
      <c r="A3583" t="inlineStr">
        <is>
          <t>ﻤﺴﺎﺠﺩ .</t>
        </is>
      </c>
      <c r="B3583" t="inlineStr">
        <is>
          <t>SMR2020850035192</t>
        </is>
      </c>
      <c r="C3583" t="inlineStr">
        <is>
          <t>الرياض</t>
        </is>
      </c>
      <c r="D3583" t="inlineStr">
        <is>
          <t>مساءا</t>
        </is>
      </c>
      <c r="E3583" t="n">
        <v>550</v>
      </c>
      <c r="F3583" t="b">
        <v>0</v>
      </c>
      <c r="G3583">
        <f>HYPERLINK("https://www.google.com/maps/search/?api=1&amp;query=24.67546,46.56398", "View Map")</f>
        <v/>
      </c>
    </row>
    <row r="3584">
      <c r="A3584" t="inlineStr">
        <is>
          <t>ﻭﺯﺍﺭﺓﺍﻟﺸﺌﻭﻥ ﺍﻻﺴﻼﻤﻴﺓﻭﺍﻻﻭﻗﺎﻑ .</t>
        </is>
      </c>
      <c r="B3584" t="inlineStr">
        <is>
          <t>KFM2020660171746</t>
        </is>
      </c>
      <c r="C3584" t="inlineStr">
        <is>
          <t>الرياض</t>
        </is>
      </c>
      <c r="D3584" t="inlineStr">
        <is>
          <t>مساءا</t>
        </is>
      </c>
      <c r="E3584" t="n">
        <v>550</v>
      </c>
      <c r="F3584" t="b">
        <v>1</v>
      </c>
      <c r="G3584">
        <f>HYPERLINK("https://www.google.com/maps/search/?api=1&amp;query=24.6219,46.6989", "View Map")</f>
        <v/>
      </c>
    </row>
    <row r="3585">
      <c r="A3585" t="inlineStr">
        <is>
          <t xml:space="preserve">   مسجد جامع الجبيله .</t>
        </is>
      </c>
      <c r="B3585" t="inlineStr">
        <is>
          <t>KFM2020660201391</t>
        </is>
      </c>
      <c r="C3585" t="inlineStr">
        <is>
          <t>الدرعية</t>
        </is>
      </c>
      <c r="D3585" t="inlineStr">
        <is>
          <t>مساءا</t>
        </is>
      </c>
      <c r="E3585" t="n">
        <v>550</v>
      </c>
      <c r="F3585" t="b">
        <v>1</v>
      </c>
      <c r="G3585">
        <f>HYPERLINK("https://www.google.com/maps/search/?api=1&amp;query=24.89538591,46.4466874", "View Map")</f>
        <v/>
      </c>
    </row>
    <row r="3586">
      <c r="A3586" t="inlineStr">
        <is>
          <t>ﻤﺴﺎﺠﺩ .</t>
        </is>
      </c>
      <c r="B3586" t="inlineStr">
        <is>
          <t>KFM2120660300349</t>
        </is>
      </c>
      <c r="C3586" t="inlineStr">
        <is>
          <t>الرياض</t>
        </is>
      </c>
      <c r="D3586" t="inlineStr">
        <is>
          <t>مساءا</t>
        </is>
      </c>
      <c r="E3586" t="n">
        <v>549</v>
      </c>
      <c r="F3586" t="b">
        <v>0</v>
      </c>
      <c r="G3586">
        <f>HYPERLINK("https://www.google.com/maps/search/?api=1&amp;query=24.55408653,46.78413843", "View Map")</f>
        <v/>
      </c>
    </row>
    <row r="3587">
      <c r="A3587" t="inlineStr">
        <is>
          <t xml:space="preserve">   مسجدعبدالله المقرن  مام .</t>
        </is>
      </c>
      <c r="B3587" t="inlineStr">
        <is>
          <t>KFM2020660047097</t>
        </is>
      </c>
      <c r="C3587" t="inlineStr">
        <is>
          <t>الرياض</t>
        </is>
      </c>
      <c r="D3587" t="inlineStr">
        <is>
          <t>مساءا</t>
        </is>
      </c>
      <c r="E3587" t="n">
        <v>549</v>
      </c>
      <c r="F3587" t="b">
        <v>0</v>
      </c>
      <c r="G3587">
        <f>HYPERLINK("https://www.google.com/maps/search/?api=1&amp;query=24.77863824,46.83269149", "View Map")</f>
        <v/>
      </c>
    </row>
    <row r="3588">
      <c r="A3588" t="inlineStr">
        <is>
          <t>مسجد ضاحية  العريجاء .</t>
        </is>
      </c>
      <c r="B3588" t="inlineStr">
        <is>
          <t>KFM2020660018979</t>
        </is>
      </c>
      <c r="C3588" t="inlineStr">
        <is>
          <t>الرياض</t>
        </is>
      </c>
      <c r="D3588" t="inlineStr">
        <is>
          <t>مساءا</t>
        </is>
      </c>
      <c r="E3588" t="n">
        <v>548</v>
      </c>
      <c r="F3588" t="b">
        <v>0</v>
      </c>
      <c r="G3588">
        <f>HYPERLINK("https://www.google.com/maps/search/?api=1&amp;query=24.57680279,46.57816567", "View Map")</f>
        <v/>
      </c>
    </row>
    <row r="3589">
      <c r="A3589" t="inlineStr">
        <is>
          <t xml:space="preserve">   مسجد ملا بش سويد العنزي .</t>
        </is>
      </c>
      <c r="B3589" t="inlineStr">
        <is>
          <t>KFM2020660050781</t>
        </is>
      </c>
      <c r="C3589" t="inlineStr">
        <is>
          <t>الرياض</t>
        </is>
      </c>
      <c r="D3589" t="inlineStr">
        <is>
          <t>مساءا</t>
        </is>
      </c>
      <c r="E3589" t="n">
        <v>548</v>
      </c>
      <c r="F3589" t="b">
        <v>0</v>
      </c>
      <c r="G3589">
        <f>HYPERLINK("https://www.google.com/maps/search/?api=1&amp;query=24.79144062,46.90331246", "View Map")</f>
        <v/>
      </c>
    </row>
    <row r="3590">
      <c r="A3590" t="inlineStr">
        <is>
          <t xml:space="preserve">   مسـجـد احمد بن عبدالله الطبري .</t>
        </is>
      </c>
      <c r="B3590" t="inlineStr">
        <is>
          <t>KFM2120660299135</t>
        </is>
      </c>
      <c r="C3590" t="inlineStr">
        <is>
          <t>الرياض</t>
        </is>
      </c>
      <c r="D3590" t="inlineStr">
        <is>
          <t>صباحا</t>
        </is>
      </c>
      <c r="E3590" t="n">
        <v>548</v>
      </c>
      <c r="F3590" t="b">
        <v>0</v>
      </c>
      <c r="G3590">
        <f>HYPERLINK("https://www.google.com/maps/search/?api=1&amp;query=24.61066501,46.73360823", "View Map")</f>
        <v/>
      </c>
    </row>
    <row r="3591">
      <c r="A3591" t="inlineStr">
        <is>
          <t xml:space="preserve">   مسجدسعد المعمر .</t>
        </is>
      </c>
      <c r="B3591" t="inlineStr">
        <is>
          <t>KFM2020660201978</t>
        </is>
      </c>
      <c r="C3591" t="inlineStr">
        <is>
          <t>الرياض</t>
        </is>
      </c>
      <c r="D3591" t="inlineStr">
        <is>
          <t>مساءا</t>
        </is>
      </c>
      <c r="E3591" t="n">
        <v>547</v>
      </c>
      <c r="F3591" t="b">
        <v>0</v>
      </c>
      <c r="G3591">
        <f>HYPERLINK("https://www.google.com/maps/search/?api=1&amp;query=24.74138377,46.72232477", "View Map")</f>
        <v/>
      </c>
    </row>
    <row r="3592">
      <c r="A3592" t="inlineStr">
        <is>
          <t>ﻤﺴﺎﺠﺩ .</t>
        </is>
      </c>
      <c r="B3592" t="inlineStr">
        <is>
          <t>KFM2020660104895</t>
        </is>
      </c>
      <c r="C3592" t="inlineStr">
        <is>
          <t>الرياض</t>
        </is>
      </c>
      <c r="D3592" t="inlineStr">
        <is>
          <t>صباحا</t>
        </is>
      </c>
      <c r="E3592" t="n">
        <v>547</v>
      </c>
      <c r="F3592" t="b">
        <v>0</v>
      </c>
      <c r="G3592">
        <f>HYPERLINK("https://www.google.com/maps/search/?api=1&amp;query=24.88061854,46.60326453", "View Map")</f>
        <v/>
      </c>
    </row>
    <row r="3593">
      <c r="A3593" t="inlineStr">
        <is>
          <t xml:space="preserve">   مساجد .</t>
        </is>
      </c>
      <c r="B3593" t="inlineStr">
        <is>
          <t>KFM2020660211249</t>
        </is>
      </c>
      <c r="C3593" t="inlineStr">
        <is>
          <t>الرياض</t>
        </is>
      </c>
      <c r="D3593" t="inlineStr">
        <is>
          <t>مساءا</t>
        </is>
      </c>
      <c r="E3593" t="n">
        <v>547</v>
      </c>
      <c r="F3593" t="b">
        <v>0</v>
      </c>
      <c r="G3593">
        <f>HYPERLINK("https://www.google.com/maps/search/?api=1&amp;query=24.61045493,46.50419768", "View Map")</f>
        <v/>
      </c>
    </row>
    <row r="3594">
      <c r="A3594" t="inlineStr">
        <is>
          <t xml:space="preserve">   مسجد على القحطانى .</t>
        </is>
      </c>
      <c r="B3594" t="inlineStr">
        <is>
          <t>KFM2120660304897</t>
        </is>
      </c>
      <c r="C3594" t="inlineStr">
        <is>
          <t>الرياض</t>
        </is>
      </c>
      <c r="D3594" t="inlineStr">
        <is>
          <t>مساءا</t>
        </is>
      </c>
      <c r="E3594" t="n">
        <v>546</v>
      </c>
      <c r="F3594" t="b">
        <v>1</v>
      </c>
      <c r="G3594">
        <f>HYPERLINK("https://www.google.com/maps/search/?api=1&amp;query=24.59155695,46.77504391", "View Map")</f>
        <v/>
      </c>
    </row>
    <row r="3595">
      <c r="A3595" t="inlineStr">
        <is>
          <t xml:space="preserve">   مسجد عبدالمحسن سعد سعيد .</t>
        </is>
      </c>
      <c r="B3595" t="inlineStr">
        <is>
          <t>KFM2020660188987</t>
        </is>
      </c>
      <c r="C3595" t="inlineStr">
        <is>
          <t>الرياض</t>
        </is>
      </c>
      <c r="D3595" t="inlineStr">
        <is>
          <t>مساءا</t>
        </is>
      </c>
      <c r="E3595" t="n">
        <v>546</v>
      </c>
      <c r="F3595" t="b">
        <v>0</v>
      </c>
      <c r="G3595">
        <f>HYPERLINK("https://www.google.com/maps/search/?api=1&amp;query=24.6890308,46.64993002", "View Map")</f>
        <v/>
      </c>
    </row>
    <row r="3596">
      <c r="A3596" t="inlineStr">
        <is>
          <t xml:space="preserve">   مسجدالهجره .</t>
        </is>
      </c>
      <c r="B3596" t="inlineStr">
        <is>
          <t>KFM2120660242018</t>
        </is>
      </c>
      <c r="C3596" t="inlineStr">
        <is>
          <t>الرياض</t>
        </is>
      </c>
      <c r="D3596" t="inlineStr">
        <is>
          <t>مساءا</t>
        </is>
      </c>
      <c r="E3596" t="n">
        <v>546</v>
      </c>
      <c r="F3596" t="b">
        <v>0</v>
      </c>
      <c r="G3596">
        <f>HYPERLINK("https://www.google.com/maps/search/?api=1&amp;query=24.69231568,46.84669711", "View Map")</f>
        <v/>
      </c>
    </row>
    <row r="3597">
      <c r="A3597" t="inlineStr">
        <is>
          <t>مسجد الموس  الموقت .</t>
        </is>
      </c>
      <c r="B3597" t="inlineStr">
        <is>
          <t>KFM2020660019021</t>
        </is>
      </c>
      <c r="C3597" t="inlineStr">
        <is>
          <t>الرياض</t>
        </is>
      </c>
      <c r="D3597" t="inlineStr">
        <is>
          <t>مساءا</t>
        </is>
      </c>
      <c r="E3597" t="n">
        <v>545</v>
      </c>
      <c r="F3597" t="b">
        <v>0</v>
      </c>
      <c r="G3597">
        <f>HYPERLINK("https://www.google.com/maps/search/?api=1&amp;query=24.57439362,46.65482247", "View Map")</f>
        <v/>
      </c>
    </row>
    <row r="3598">
      <c r="A3598" t="inlineStr">
        <is>
          <t>مسجد  النفعة  /منفوحة .</t>
        </is>
      </c>
      <c r="B3598" t="inlineStr">
        <is>
          <t>KFM2020660166300</t>
        </is>
      </c>
      <c r="C3598" t="inlineStr">
        <is>
          <t>الرياض</t>
        </is>
      </c>
      <c r="D3598" t="inlineStr">
        <is>
          <t>صباحا</t>
        </is>
      </c>
      <c r="E3598" t="n">
        <v>545</v>
      </c>
      <c r="F3598" t="b">
        <v>0</v>
      </c>
      <c r="G3598">
        <f>HYPERLINK("https://www.google.com/maps/search/?api=1&amp;query=24.6172,46.7206", "View Map")</f>
        <v/>
      </c>
    </row>
    <row r="3599">
      <c r="A3599" t="inlineStr">
        <is>
          <t xml:space="preserve">   مسجد / معاذ بن جبل .</t>
        </is>
      </c>
      <c r="B3599" t="inlineStr">
        <is>
          <t>KFM2020660047054</t>
        </is>
      </c>
      <c r="C3599" t="inlineStr">
        <is>
          <t>الدرعية</t>
        </is>
      </c>
      <c r="D3599" t="inlineStr">
        <is>
          <t>مساءا</t>
        </is>
      </c>
      <c r="E3599" t="n">
        <v>545</v>
      </c>
      <c r="F3599" t="b">
        <v>1</v>
      </c>
      <c r="G3599">
        <f>HYPERLINK("https://www.google.com/maps/search/?api=1&amp;query=24.74458989,46.58083903", "View Map")</f>
        <v/>
      </c>
    </row>
    <row r="3600">
      <c r="A3600" t="inlineStr">
        <is>
          <t>مسجدالسالم .</t>
        </is>
      </c>
      <c r="B3600" t="inlineStr">
        <is>
          <t>KFM2020660054358</t>
        </is>
      </c>
      <c r="C3600" t="inlineStr">
        <is>
          <t>الرياض</t>
        </is>
      </c>
      <c r="D3600" t="inlineStr">
        <is>
          <t>مساءا</t>
        </is>
      </c>
      <c r="E3600" t="n">
        <v>545</v>
      </c>
      <c r="F3600" t="b">
        <v>0</v>
      </c>
      <c r="G3600">
        <f>HYPERLINK("https://www.google.com/maps/search/?api=1&amp;query=24.56892754,46.66653031", "View Map")</f>
        <v/>
      </c>
    </row>
    <row r="3601">
      <c r="A3601" t="inlineStr">
        <is>
          <t>ﻤﺴﺎﺠﺩ .</t>
        </is>
      </c>
      <c r="B3601" t="inlineStr">
        <is>
          <t>KFM2020660104899</t>
        </is>
      </c>
      <c r="C3601" t="inlineStr">
        <is>
          <t>الرياض</t>
        </is>
      </c>
      <c r="D3601" t="inlineStr">
        <is>
          <t>مساءا</t>
        </is>
      </c>
      <c r="E3601" t="n">
        <v>545</v>
      </c>
      <c r="F3601" t="b">
        <v>0</v>
      </c>
      <c r="G3601">
        <f>HYPERLINK("https://www.google.com/maps/search/?api=1&amp;query=24.88107218,46.61798141", "View Map")</f>
        <v/>
      </c>
    </row>
    <row r="3602">
      <c r="A3602" t="inlineStr">
        <is>
          <t xml:space="preserve">   مسجد جامع المناجر .</t>
        </is>
      </c>
      <c r="B3602" t="inlineStr">
        <is>
          <t>KFM2020660060421</t>
        </is>
      </c>
      <c r="C3602" t="inlineStr">
        <is>
          <t>الرياض</t>
        </is>
      </c>
      <c r="D3602" t="inlineStr">
        <is>
          <t>مساءا</t>
        </is>
      </c>
      <c r="E3602" t="n">
        <v>544</v>
      </c>
      <c r="F3602" t="b">
        <v>0</v>
      </c>
      <c r="G3602">
        <f>HYPERLINK("https://www.google.com/maps/search/?api=1&amp;query=24.64122941,46.74697919", "View Map")</f>
        <v/>
      </c>
    </row>
    <row r="3603">
      <c r="A3603" t="inlineStr">
        <is>
          <t xml:space="preserve">   مسجدالدارالبيضاء/عبداللة النصـار .</t>
        </is>
      </c>
      <c r="B3603" t="inlineStr">
        <is>
          <t>KFM2020660162220</t>
        </is>
      </c>
      <c r="C3603" t="inlineStr">
        <is>
          <t>الرياض</t>
        </is>
      </c>
      <c r="D3603" t="inlineStr">
        <is>
          <t>مساءا</t>
        </is>
      </c>
      <c r="E3603" t="n">
        <v>544</v>
      </c>
      <c r="F3603" t="b">
        <v>0</v>
      </c>
      <c r="G3603">
        <f>HYPERLINK("https://www.google.com/maps/search/?api=1&amp;query=24.56979084,46.78934587", "View Map")</f>
        <v/>
      </c>
    </row>
    <row r="3604">
      <c r="A3604" t="inlineStr">
        <is>
          <t xml:space="preserve">   مسجد عبدالله العريني .</t>
        </is>
      </c>
      <c r="B3604" t="inlineStr">
        <is>
          <t>KFM2020660025580</t>
        </is>
      </c>
      <c r="C3604" t="inlineStr">
        <is>
          <t>الرياض</t>
        </is>
      </c>
      <c r="D3604" t="inlineStr">
        <is>
          <t>مساءا</t>
        </is>
      </c>
      <c r="E3604" t="n">
        <v>543</v>
      </c>
      <c r="F3604" t="b">
        <v>0</v>
      </c>
      <c r="G3604">
        <f>HYPERLINK("https://www.google.com/maps/search/?api=1&amp;query=24.75760229,46.77967643", "View Map")</f>
        <v/>
      </c>
    </row>
    <row r="3605">
      <c r="A3605" t="inlineStr">
        <is>
          <t xml:space="preserve">   مسجد فهد العساف .</t>
        </is>
      </c>
      <c r="B3605" t="inlineStr">
        <is>
          <t>KFM2120660264051</t>
        </is>
      </c>
      <c r="C3605" t="inlineStr">
        <is>
          <t>الرياض</t>
        </is>
      </c>
      <c r="D3605" t="inlineStr">
        <is>
          <t>مساءا</t>
        </is>
      </c>
      <c r="E3605" t="n">
        <v>543</v>
      </c>
      <c r="F3605" t="b">
        <v>0</v>
      </c>
      <c r="G3605">
        <f>HYPERLINK("https://www.google.com/maps/search/?api=1&amp;query=24.58138724,46.75595096", "View Map")</f>
        <v/>
      </c>
    </row>
    <row r="3606">
      <c r="A3606" t="inlineStr">
        <is>
          <t>مسجد السرحان .</t>
        </is>
      </c>
      <c r="B3606" t="inlineStr">
        <is>
          <t>KFM2020660096658</t>
        </is>
      </c>
      <c r="C3606" t="inlineStr">
        <is>
          <t>الرياض</t>
        </is>
      </c>
      <c r="D3606" t="inlineStr">
        <is>
          <t>مساءا</t>
        </is>
      </c>
      <c r="E3606" t="n">
        <v>543</v>
      </c>
      <c r="F3606" t="b">
        <v>1</v>
      </c>
      <c r="G3606">
        <f>HYPERLINK("https://www.google.com/maps/search/?api=1&amp;query=24.59360186,46.66058462", "View Map")</f>
        <v/>
      </c>
    </row>
    <row r="3607">
      <c r="A3607" t="inlineStr">
        <is>
          <t xml:space="preserve">   مسجد      حسن       العجمي .</t>
        </is>
      </c>
      <c r="B3607" t="inlineStr">
        <is>
          <t>KFM2020660201323</t>
        </is>
      </c>
      <c r="C3607" t="inlineStr">
        <is>
          <t>الدرعية</t>
        </is>
      </c>
      <c r="D3607" t="inlineStr">
        <is>
          <t>مساءا</t>
        </is>
      </c>
      <c r="E3607" t="n">
        <v>543</v>
      </c>
      <c r="F3607" t="b">
        <v>0</v>
      </c>
      <c r="G3607">
        <f>HYPERLINK("https://www.google.com/maps/search/?api=1&amp;query=24.90907686,46.44611664", "View Map")</f>
        <v/>
      </c>
    </row>
    <row r="3608">
      <c r="A3608" t="inlineStr">
        <is>
          <t>مسجد شبراء والسويدى .</t>
        </is>
      </c>
      <c r="B3608" t="inlineStr">
        <is>
          <t>KFM2020660099035</t>
        </is>
      </c>
      <c r="C3608" t="inlineStr">
        <is>
          <t>الرياض</t>
        </is>
      </c>
      <c r="D3608" t="inlineStr">
        <is>
          <t>مساءا</t>
        </is>
      </c>
      <c r="E3608" t="n">
        <v>543</v>
      </c>
      <c r="F3608" t="b">
        <v>0</v>
      </c>
      <c r="G3608">
        <f>HYPERLINK("https://www.google.com/maps/search/?api=1&amp;query=24.58632538,46.67823063", "View Map")</f>
        <v/>
      </c>
    </row>
    <row r="3609">
      <c r="A3609" t="inlineStr">
        <is>
          <t xml:space="preserve">   مسجد عبدالعزيز العتيق .</t>
        </is>
      </c>
      <c r="B3609" t="inlineStr">
        <is>
          <t>KFM2020660036447</t>
        </is>
      </c>
      <c r="C3609" t="inlineStr">
        <is>
          <t>الرياض</t>
        </is>
      </c>
      <c r="D3609" t="inlineStr">
        <is>
          <t>مساءا</t>
        </is>
      </c>
      <c r="E3609" t="n">
        <v>542</v>
      </c>
      <c r="F3609" t="b">
        <v>0</v>
      </c>
      <c r="G3609">
        <f>HYPERLINK("https://www.google.com/maps/search/?api=1&amp;query=24.73699554,46.81157946", "View Map")</f>
        <v/>
      </c>
    </row>
    <row r="3610">
      <c r="A3610" t="inlineStr">
        <is>
          <t>مسجد ناصر الخريجي .</t>
        </is>
      </c>
      <c r="B3610" t="inlineStr">
        <is>
          <t>KFM2020660171611</t>
        </is>
      </c>
      <c r="C3610" t="inlineStr">
        <is>
          <t>الرياض</t>
        </is>
      </c>
      <c r="D3610" t="inlineStr">
        <is>
          <t>مساءا</t>
        </is>
      </c>
      <c r="E3610" t="n">
        <v>542</v>
      </c>
      <c r="F3610" t="b">
        <v>0</v>
      </c>
      <c r="G3610">
        <f>HYPERLINK("https://www.google.com/maps/search/?api=1&amp;query=24.55252839,46.70541489", "View Map")</f>
        <v/>
      </c>
    </row>
    <row r="3611">
      <c r="A3611" t="inlineStr">
        <is>
          <t xml:space="preserve">   مسجد هياء السلطان .</t>
        </is>
      </c>
      <c r="B3611" t="inlineStr">
        <is>
          <t>KFM2120660247491</t>
        </is>
      </c>
      <c r="C3611" t="inlineStr">
        <is>
          <t>الرياض</t>
        </is>
      </c>
      <c r="D3611" t="inlineStr">
        <is>
          <t>صباحا</t>
        </is>
      </c>
      <c r="E3611" t="n">
        <v>541</v>
      </c>
      <c r="F3611" t="b">
        <v>0</v>
      </c>
      <c r="G3611">
        <f>HYPERLINK("https://www.google.com/maps/search/?api=1&amp;query=24.64047627,46.80225862", "View Map")</f>
        <v/>
      </c>
    </row>
    <row r="3612">
      <c r="A3612" t="inlineStr">
        <is>
          <t xml:space="preserve">   مساجد .</t>
        </is>
      </c>
      <c r="B3612" t="inlineStr">
        <is>
          <t>KFM2020660046426</t>
        </is>
      </c>
      <c r="C3612" t="inlineStr">
        <is>
          <t>الرياض</t>
        </is>
      </c>
      <c r="D3612" t="inlineStr">
        <is>
          <t>مساءا</t>
        </is>
      </c>
      <c r="E3612" t="n">
        <v>540</v>
      </c>
      <c r="F3612" t="b">
        <v>0</v>
      </c>
      <c r="G3612">
        <f>HYPERLINK("https://www.google.com/maps/search/?api=1&amp;query=24.81483793,46.73893518", "View Map")</f>
        <v/>
      </c>
    </row>
    <row r="3613">
      <c r="A3613" t="inlineStr">
        <is>
          <t>مسجد حي العريجاء .</t>
        </is>
      </c>
      <c r="B3613" t="inlineStr">
        <is>
          <t>KFM2020660023701</t>
        </is>
      </c>
      <c r="C3613" t="inlineStr">
        <is>
          <t>الرياض</t>
        </is>
      </c>
      <c r="D3613" t="inlineStr">
        <is>
          <t>صباحا</t>
        </is>
      </c>
      <c r="E3613" t="n">
        <v>540</v>
      </c>
      <c r="F3613" t="b">
        <v>0</v>
      </c>
      <c r="G3613">
        <f>HYPERLINK("https://www.google.com/maps/search/?api=1&amp;query=24.58846695,46.56164869", "View Map")</f>
        <v/>
      </c>
    </row>
    <row r="3614">
      <c r="A3614" t="inlineStr">
        <is>
          <t>مساجد .</t>
        </is>
      </c>
      <c r="B3614" t="inlineStr">
        <is>
          <t>KFM2020660197522</t>
        </is>
      </c>
      <c r="C3614" t="inlineStr">
        <is>
          <t>الرياض</t>
        </is>
      </c>
      <c r="D3614" t="inlineStr">
        <is>
          <t>صباحا</t>
        </is>
      </c>
      <c r="E3614" t="n">
        <v>540</v>
      </c>
      <c r="F3614" t="b">
        <v>0</v>
      </c>
      <c r="G3614">
        <f>HYPERLINK("https://www.google.com/maps/search/?api=1&amp;query=24.74258135,46.60515112", "View Map")</f>
        <v/>
      </c>
    </row>
    <row r="3615">
      <c r="A3615" t="inlineStr">
        <is>
          <t xml:space="preserve">   مسجدمعاويه بن أبي سفيان .</t>
        </is>
      </c>
      <c r="B3615" t="inlineStr">
        <is>
          <t>KFM2020766160198</t>
        </is>
      </c>
      <c r="C3615" t="inlineStr">
        <is>
          <t>الرياض</t>
        </is>
      </c>
      <c r="D3615" t="inlineStr">
        <is>
          <t>صباحا</t>
        </is>
      </c>
      <c r="E3615" t="n">
        <v>539</v>
      </c>
      <c r="F3615" t="b">
        <v>0</v>
      </c>
      <c r="G3615">
        <f>HYPERLINK("https://www.google.com/maps/search/?api=1&amp;query=24.73463634,46.77801906", "View Map")</f>
        <v/>
      </c>
    </row>
    <row r="3616">
      <c r="A3616" t="inlineStr">
        <is>
          <t>ﻭﺯﺍﺭﺓﺍﻟﺸﺌﻭﻥ ﺍﻻﺴﻼﻤﻴﺓﻭﺍﻻﻭﻗﺎﻑ .</t>
        </is>
      </c>
      <c r="B3616" t="inlineStr">
        <is>
          <t>KFM2020660052742</t>
        </is>
      </c>
      <c r="C3616" t="inlineStr">
        <is>
          <t>الرياض</t>
        </is>
      </c>
      <c r="D3616" t="inlineStr">
        <is>
          <t>مساءا</t>
        </is>
      </c>
      <c r="E3616" t="n">
        <v>539</v>
      </c>
      <c r="F3616" t="b">
        <v>0</v>
      </c>
      <c r="G3616">
        <f>HYPERLINK("https://www.google.com/maps/search/?api=1&amp;query=24.52843485,46.63357943", "View Map")</f>
        <v/>
      </c>
    </row>
    <row r="3617">
      <c r="A3617" t="inlineStr">
        <is>
          <t xml:space="preserve">   مسجدالازدهار .</t>
        </is>
      </c>
      <c r="B3617" t="inlineStr">
        <is>
          <t>KFM2020660173039</t>
        </is>
      </c>
      <c r="C3617" t="inlineStr">
        <is>
          <t>الرياض</t>
        </is>
      </c>
      <c r="D3617" t="inlineStr">
        <is>
          <t>مساءا</t>
        </is>
      </c>
      <c r="E3617" t="n">
        <v>538</v>
      </c>
      <c r="F3617" t="b">
        <v>0</v>
      </c>
      <c r="G3617">
        <f>HYPERLINK("https://www.google.com/maps/search/?api=1&amp;query=24.78273093,46.70705995", "View Map")</f>
        <v/>
      </c>
    </row>
    <row r="3618">
      <c r="A3618" t="inlineStr">
        <is>
          <t>مسجد الشفاء .</t>
        </is>
      </c>
      <c r="B3618" t="inlineStr">
        <is>
          <t>KFM2020660153740</t>
        </is>
      </c>
      <c r="C3618" t="inlineStr">
        <is>
          <t>الرياض</t>
        </is>
      </c>
      <c r="D3618" t="inlineStr">
        <is>
          <t>مساءا</t>
        </is>
      </c>
      <c r="E3618" t="n">
        <v>538</v>
      </c>
      <c r="F3618" t="b">
        <v>0</v>
      </c>
      <c r="G3618">
        <f>HYPERLINK("https://www.google.com/maps/search/?api=1&amp;query=24.54831987,46.71781307", "View Map")</f>
        <v/>
      </c>
    </row>
    <row r="3619">
      <c r="A3619" t="inlineStr">
        <is>
          <t>مسجدالحمادى .</t>
        </is>
      </c>
      <c r="B3619" t="inlineStr">
        <is>
          <t>KFM2020660201737</t>
        </is>
      </c>
      <c r="C3619" t="inlineStr">
        <is>
          <t>الرياض</t>
        </is>
      </c>
      <c r="D3619" t="inlineStr">
        <is>
          <t>مساءا</t>
        </is>
      </c>
      <c r="E3619" t="n">
        <v>537</v>
      </c>
      <c r="F3619" t="b">
        <v>0</v>
      </c>
      <c r="G3619">
        <f>HYPERLINK("https://www.google.com/maps/search/?api=1&amp;query=24.62574102,46.70422888", "View Map")</f>
        <v/>
      </c>
    </row>
    <row r="3620">
      <c r="A3620" t="inlineStr">
        <is>
          <t xml:space="preserve">    مسجد     العقيق    والمؤذن .</t>
        </is>
      </c>
      <c r="B3620" t="inlineStr">
        <is>
          <t>KFM2020660131342</t>
        </is>
      </c>
      <c r="C3620" t="inlineStr">
        <is>
          <t>الرياض</t>
        </is>
      </c>
      <c r="D3620" t="inlineStr">
        <is>
          <t>مساءا</t>
        </is>
      </c>
      <c r="E3620" t="n">
        <v>537</v>
      </c>
      <c r="F3620" t="b">
        <v>0</v>
      </c>
      <c r="G3620">
        <f>HYPERLINK("https://www.google.com/maps/search/?api=1&amp;query=24.77462656,46.62402705", "View Map")</f>
        <v/>
      </c>
    </row>
    <row r="3621">
      <c r="A3621" t="inlineStr">
        <is>
          <t>2008 مسجدالفرحان بلك  10 مخطط .</t>
        </is>
      </c>
      <c r="B3621" t="inlineStr">
        <is>
          <t>KFM2020660203694</t>
        </is>
      </c>
      <c r="C3621" t="inlineStr">
        <is>
          <t>الرياض</t>
        </is>
      </c>
      <c r="D3621" t="inlineStr">
        <is>
          <t>مساءا</t>
        </is>
      </c>
      <c r="E3621" t="n">
        <v>537</v>
      </c>
      <c r="F3621" t="b">
        <v>0</v>
      </c>
      <c r="G3621">
        <f>HYPERLINK("https://www.google.com/maps/search/?api=1&amp;query=24.5788622,46.5376003", "View Map")</f>
        <v/>
      </c>
    </row>
    <row r="3622">
      <c r="A3622" t="inlineStr">
        <is>
          <t>مسجد عتيقه .</t>
        </is>
      </c>
      <c r="B3622" t="inlineStr">
        <is>
          <t>KFM2020660202631</t>
        </is>
      </c>
      <c r="C3622" t="inlineStr">
        <is>
          <t>الرياض</t>
        </is>
      </c>
      <c r="D3622" t="inlineStr">
        <is>
          <t>صباحا</t>
        </is>
      </c>
      <c r="E3622" t="n">
        <v>537</v>
      </c>
      <c r="F3622" t="b">
        <v>0</v>
      </c>
      <c r="G3622">
        <f>HYPERLINK("https://www.google.com/maps/search/?api=1&amp;query=24.59919575,46.70633397", "View Map")</f>
        <v/>
      </c>
    </row>
    <row r="3623">
      <c r="A3623" t="inlineStr">
        <is>
          <t xml:space="preserve">   مسجد الدخيل بالعزيزيه .</t>
        </is>
      </c>
      <c r="B3623" t="inlineStr">
        <is>
          <t>SMR2220661006876</t>
        </is>
      </c>
      <c r="C3623" t="inlineStr">
        <is>
          <t>الرياض</t>
        </is>
      </c>
      <c r="D3623" t="inlineStr">
        <is>
          <t>مساءا</t>
        </is>
      </c>
      <c r="E3623" t="n">
        <v>536</v>
      </c>
      <c r="F3623" t="b">
        <v>0</v>
      </c>
      <c r="G3623">
        <f>HYPERLINK("https://www.google.com/maps/search/?api=1&amp;query=24.59324726,46.78274989", "View Map")</f>
        <v/>
      </c>
    </row>
    <row r="3624">
      <c r="A3624" t="inlineStr">
        <is>
          <t>مسجد      ابو       دجانه .</t>
        </is>
      </c>
      <c r="B3624" t="inlineStr">
        <is>
          <t>KFM2020660200653</t>
        </is>
      </c>
      <c r="C3624" t="inlineStr">
        <is>
          <t>الرياض</t>
        </is>
      </c>
      <c r="D3624" t="inlineStr">
        <is>
          <t>مساءا</t>
        </is>
      </c>
      <c r="E3624" t="n">
        <v>536</v>
      </c>
      <c r="F3624" t="b">
        <v>1</v>
      </c>
      <c r="G3624">
        <f>HYPERLINK("https://www.google.com/maps/search/?api=1&amp;query=24.55905408,46.72092626", "View Map")</f>
        <v/>
      </c>
    </row>
    <row r="3625">
      <c r="A3625" t="inlineStr">
        <is>
          <t xml:space="preserve">   مسجد معاويه بن أبي سفيان .</t>
        </is>
      </c>
      <c r="B3625" t="inlineStr">
        <is>
          <t>KFM2020766160199</t>
        </is>
      </c>
      <c r="C3625" t="inlineStr">
        <is>
          <t>الرياض</t>
        </is>
      </c>
      <c r="D3625" t="inlineStr">
        <is>
          <t>صباحا</t>
        </is>
      </c>
      <c r="E3625" t="n">
        <v>536</v>
      </c>
      <c r="F3625" t="b">
        <v>0</v>
      </c>
      <c r="G3625">
        <f>HYPERLINK("https://www.google.com/maps/search/?api=1&amp;query=24.73463213,46.77801222", "View Map")</f>
        <v/>
      </c>
    </row>
    <row r="3626">
      <c r="A3626" t="inlineStr">
        <is>
          <t>ﻤﺴﺎﺠﺩ .</t>
        </is>
      </c>
      <c r="B3626" t="inlineStr">
        <is>
          <t>KFM2020660019961</t>
        </is>
      </c>
      <c r="C3626" t="inlineStr">
        <is>
          <t>الرياض</t>
        </is>
      </c>
      <c r="D3626" t="inlineStr">
        <is>
          <t>مساءا</t>
        </is>
      </c>
      <c r="E3626" t="n">
        <v>535</v>
      </c>
      <c r="F3626" t="b">
        <v>0</v>
      </c>
      <c r="G3626">
        <f>HYPERLINK("https://www.google.com/maps/search/?api=1&amp;query=24.69427489,46.58748475", "View Map")</f>
        <v/>
      </c>
    </row>
    <row r="3627">
      <c r="A3627" t="inlineStr">
        <is>
          <t>.   مسجد      معاذ بن .</t>
        </is>
      </c>
      <c r="B3627" t="inlineStr">
        <is>
          <t>KFM2020660042258</t>
        </is>
      </c>
      <c r="C3627" t="inlineStr">
        <is>
          <t>الرياض</t>
        </is>
      </c>
      <c r="D3627" t="inlineStr">
        <is>
          <t>مساءا</t>
        </is>
      </c>
      <c r="E3627" t="n">
        <v>535</v>
      </c>
      <c r="F3627" t="b">
        <v>0</v>
      </c>
      <c r="G3627">
        <f>HYPERLINK("https://www.google.com/maps/search/?api=1&amp;query=24.61237936,46.70818732", "View Map")</f>
        <v/>
      </c>
    </row>
    <row r="3628">
      <c r="A3628" t="inlineStr">
        <is>
          <t xml:space="preserve">   مسجد الشهداء / فاعل خير .</t>
        </is>
      </c>
      <c r="B3628" t="inlineStr">
        <is>
          <t>KFM2120660268860</t>
        </is>
      </c>
      <c r="C3628" t="inlineStr">
        <is>
          <t>الرياض</t>
        </is>
      </c>
      <c r="D3628" t="inlineStr">
        <is>
          <t>مساءا</t>
        </is>
      </c>
      <c r="E3628" t="n">
        <v>534</v>
      </c>
      <c r="F3628" t="b">
        <v>0</v>
      </c>
      <c r="G3628">
        <f>HYPERLINK("https://www.google.com/maps/search/?api=1&amp;query=24.68299597,46.81687795", "View Map")</f>
        <v/>
      </c>
    </row>
    <row r="3629">
      <c r="A3629" t="inlineStr">
        <is>
          <t xml:space="preserve">   مسجد الجابريه بام الحمام .</t>
        </is>
      </c>
      <c r="B3629" t="inlineStr">
        <is>
          <t>KFM2020660188562</t>
        </is>
      </c>
      <c r="C3629" t="inlineStr">
        <is>
          <t>الرياض</t>
        </is>
      </c>
      <c r="D3629" t="inlineStr">
        <is>
          <t>صباحا</t>
        </is>
      </c>
      <c r="E3629" t="n">
        <v>534</v>
      </c>
      <c r="F3629" t="b">
        <v>0</v>
      </c>
      <c r="G3629">
        <f>HYPERLINK("https://www.google.com/maps/search/?api=1&amp;query=24.69520859,46.64810343", "View Map")</f>
        <v/>
      </c>
    </row>
    <row r="3630">
      <c r="A3630" t="inlineStr">
        <is>
          <t>مسجد /عايشه  ام  المومنين .</t>
        </is>
      </c>
      <c r="B3630" t="inlineStr">
        <is>
          <t>KFM2020660201626</t>
        </is>
      </c>
      <c r="C3630" t="inlineStr">
        <is>
          <t>الرياض</t>
        </is>
      </c>
      <c r="D3630" t="inlineStr">
        <is>
          <t>مساءا</t>
        </is>
      </c>
      <c r="E3630" t="n">
        <v>534</v>
      </c>
      <c r="F3630" t="b">
        <v>0</v>
      </c>
      <c r="G3630">
        <f>HYPERLINK("https://www.google.com/maps/search/?api=1&amp;query=24.60107853,46.62434525", "View Map")</f>
        <v/>
      </c>
    </row>
    <row r="3631">
      <c r="A3631" t="inlineStr">
        <is>
          <t xml:space="preserve">   مساجد .</t>
        </is>
      </c>
      <c r="B3631" t="inlineStr">
        <is>
          <t>KFM2020660175257</t>
        </is>
      </c>
      <c r="C3631" t="inlineStr">
        <is>
          <t>الرياض</t>
        </is>
      </c>
      <c r="D3631" t="inlineStr">
        <is>
          <t>مساءا</t>
        </is>
      </c>
      <c r="E3631" t="n">
        <v>534</v>
      </c>
      <c r="F3631" t="b">
        <v>0</v>
      </c>
      <c r="G3631">
        <f>HYPERLINK("https://www.google.com/maps/search/?api=1&amp;query=24.81633837,46.80256587", "View Map")</f>
        <v/>
      </c>
    </row>
    <row r="3632">
      <c r="A3632" t="inlineStr">
        <is>
          <t>مسجد      محمد      خميس .</t>
        </is>
      </c>
      <c r="B3632" t="inlineStr">
        <is>
          <t>KFM2020660198391</t>
        </is>
      </c>
      <c r="C3632" t="inlineStr">
        <is>
          <t>الرياض</t>
        </is>
      </c>
      <c r="D3632" t="inlineStr">
        <is>
          <t>صباحا</t>
        </is>
      </c>
      <c r="E3632" t="n">
        <v>533</v>
      </c>
      <c r="F3632" t="b">
        <v>0</v>
      </c>
      <c r="G3632">
        <f>HYPERLINK("https://www.google.com/maps/search/?api=1&amp;query=24.61673212,46.68930545", "View Map")</f>
        <v/>
      </c>
    </row>
    <row r="3633">
      <c r="A3633" t="inlineStr">
        <is>
          <t>ﻭﺯﺍﺭﺓﺍﻟﺸﺌﻭﻥ ﺍﻻﺴﻼﻤﻴﺓﻭﺍﻻﻭﻗﺎﻑ .</t>
        </is>
      </c>
      <c r="B3633" t="inlineStr">
        <is>
          <t>KFM2020660013282</t>
        </is>
      </c>
      <c r="C3633" t="inlineStr">
        <is>
          <t>الرياض</t>
        </is>
      </c>
      <c r="D3633" t="inlineStr">
        <is>
          <t>مساءا</t>
        </is>
      </c>
      <c r="E3633" t="n">
        <v>533</v>
      </c>
      <c r="F3633" t="b">
        <v>0</v>
      </c>
      <c r="G3633">
        <f>HYPERLINK("https://www.google.com/maps/search/?api=1&amp;query=24.5681751,46.62883906", "View Map")</f>
        <v/>
      </c>
    </row>
    <row r="3634">
      <c r="A3634" t="inlineStr">
        <is>
          <t>وزارة الشئون الا سلا مية والااوقاف .</t>
        </is>
      </c>
      <c r="B3634" t="inlineStr">
        <is>
          <t>KFM2020660043925</t>
        </is>
      </c>
      <c r="C3634" t="inlineStr">
        <is>
          <t>الرياض</t>
        </is>
      </c>
      <c r="D3634" t="inlineStr">
        <is>
          <t>مساءا</t>
        </is>
      </c>
      <c r="E3634" t="n">
        <v>532</v>
      </c>
      <c r="F3634" t="b">
        <v>0</v>
      </c>
      <c r="G3634">
        <f>HYPERLINK("https://www.google.com/maps/search/?api=1&amp;query=24.5622063,46.54122953", "View Map")</f>
        <v/>
      </c>
    </row>
    <row r="3635">
      <c r="A3635" t="inlineStr">
        <is>
          <t xml:space="preserve">   مسجدشارع جرير .</t>
        </is>
      </c>
      <c r="B3635" t="inlineStr">
        <is>
          <t>KFM2020660047711</t>
        </is>
      </c>
      <c r="C3635" t="inlineStr">
        <is>
          <t>الرياض</t>
        </is>
      </c>
      <c r="D3635" t="inlineStr">
        <is>
          <t>مساءا</t>
        </is>
      </c>
      <c r="E3635" t="n">
        <v>532</v>
      </c>
      <c r="F3635" t="b">
        <v>1</v>
      </c>
      <c r="G3635">
        <f>HYPERLINK("https://www.google.com/maps/search/?api=1&amp;query=24.67227442,46.7402632", "View Map")</f>
        <v/>
      </c>
    </row>
    <row r="3636">
      <c r="A3636" t="inlineStr">
        <is>
          <t>مسجد السويدى .</t>
        </is>
      </c>
      <c r="B3636" t="inlineStr">
        <is>
          <t>KFM2020660053111</t>
        </is>
      </c>
      <c r="C3636" t="inlineStr">
        <is>
          <t>الرياض</t>
        </is>
      </c>
      <c r="D3636" t="inlineStr">
        <is>
          <t>مساءا</t>
        </is>
      </c>
      <c r="E3636" t="n">
        <v>531</v>
      </c>
      <c r="F3636" t="b">
        <v>0</v>
      </c>
      <c r="G3636">
        <f>HYPERLINK("https://www.google.com/maps/search/?api=1&amp;query=24.59712241,46.68548373", "View Map")</f>
        <v/>
      </c>
    </row>
    <row r="3637">
      <c r="A3637" t="inlineStr">
        <is>
          <t xml:space="preserve">   مسجد  ناصر العريفي .</t>
        </is>
      </c>
      <c r="B3637" t="inlineStr">
        <is>
          <t>KFM2020660046574</t>
        </is>
      </c>
      <c r="C3637" t="inlineStr">
        <is>
          <t>الرياض</t>
        </is>
      </c>
      <c r="D3637" t="inlineStr">
        <is>
          <t>صباحا</t>
        </is>
      </c>
      <c r="E3637" t="n">
        <v>531</v>
      </c>
      <c r="F3637" t="b">
        <v>0</v>
      </c>
      <c r="G3637">
        <f>HYPERLINK("https://www.google.com/maps/search/?api=1&amp;query=24.83062609,46.7415232", "View Map")</f>
        <v/>
      </c>
    </row>
    <row r="3638">
      <c r="A3638" t="inlineStr">
        <is>
          <t xml:space="preserve">   مسجد خبيب بن عدي/سكن امام و مؤذن .</t>
        </is>
      </c>
      <c r="B3638" t="inlineStr">
        <is>
          <t>KFM2020660061268</t>
        </is>
      </c>
      <c r="C3638" t="inlineStr">
        <is>
          <t>الرياض</t>
        </is>
      </c>
      <c r="D3638" t="inlineStr">
        <is>
          <t>مساءا</t>
        </is>
      </c>
      <c r="E3638" t="n">
        <v>530</v>
      </c>
      <c r="F3638" t="b">
        <v>0</v>
      </c>
      <c r="G3638">
        <f>HYPERLINK("https://www.google.com/maps/search/?api=1&amp;query=24.77838404,46.73919987", "View Map")</f>
        <v/>
      </c>
    </row>
    <row r="3639">
      <c r="A3639" t="inlineStr">
        <is>
          <t xml:space="preserve">   مسجد      هياء      الحميدان .</t>
        </is>
      </c>
      <c r="B3639" t="inlineStr">
        <is>
          <t>KFM2020660195205</t>
        </is>
      </c>
      <c r="C3639" t="inlineStr">
        <is>
          <t>الرياض</t>
        </is>
      </c>
      <c r="D3639" t="inlineStr">
        <is>
          <t>مساءا</t>
        </is>
      </c>
      <c r="E3639" t="n">
        <v>530</v>
      </c>
      <c r="F3639" t="b">
        <v>0</v>
      </c>
      <c r="G3639">
        <f>HYPERLINK("https://www.google.com/maps/search/?api=1&amp;query=24.78931086,46.86826942", "View Map")</f>
        <v/>
      </c>
    </row>
    <row r="3640">
      <c r="A3640" t="inlineStr">
        <is>
          <t xml:space="preserve">   مسجد الاحمد بالعزيزيه .</t>
        </is>
      </c>
      <c r="B3640" t="inlineStr">
        <is>
          <t>KFM2120660264098</t>
        </is>
      </c>
      <c r="C3640" t="inlineStr">
        <is>
          <t>الرياض</t>
        </is>
      </c>
      <c r="D3640" t="inlineStr">
        <is>
          <t>مساءا</t>
        </is>
      </c>
      <c r="E3640" t="n">
        <v>529</v>
      </c>
      <c r="F3640" t="b">
        <v>0</v>
      </c>
      <c r="G3640">
        <f>HYPERLINK("https://www.google.com/maps/search/?api=1&amp;query=24.60027854,46.7803692", "View Map")</f>
        <v/>
      </c>
    </row>
    <row r="3641">
      <c r="A3641" t="inlineStr">
        <is>
          <t xml:space="preserve">   وزارة الشئون الاسلامية والاوقاف .</t>
        </is>
      </c>
      <c r="B3641" t="inlineStr">
        <is>
          <t>KFM2020660197489</t>
        </is>
      </c>
      <c r="C3641" t="inlineStr">
        <is>
          <t>الدرعية</t>
        </is>
      </c>
      <c r="D3641" t="inlineStr">
        <is>
          <t>مساءا</t>
        </is>
      </c>
      <c r="E3641" t="n">
        <v>529</v>
      </c>
      <c r="F3641" t="b">
        <v>0</v>
      </c>
      <c r="G3641">
        <f>HYPERLINK("https://www.google.com/maps/search/?api=1&amp;query=24.74006311,46.60411801", "View Map")</f>
        <v/>
      </c>
    </row>
    <row r="3642">
      <c r="A3642" t="inlineStr">
        <is>
          <t xml:space="preserve">    مسجد  غلاب العتيبي .</t>
        </is>
      </c>
      <c r="B3642" t="inlineStr">
        <is>
          <t>KFM2020660195082</t>
        </is>
      </c>
      <c r="C3642" t="inlineStr">
        <is>
          <t>الرياض</t>
        </is>
      </c>
      <c r="D3642" t="inlineStr">
        <is>
          <t>مساءا</t>
        </is>
      </c>
      <c r="E3642" t="n">
        <v>529</v>
      </c>
      <c r="F3642" t="b">
        <v>1</v>
      </c>
      <c r="G3642">
        <f>HYPERLINK("https://www.google.com/maps/search/?api=1&amp;query=24.73936673,46.77634728", "View Map")</f>
        <v/>
      </c>
    </row>
    <row r="3643">
      <c r="A3643" t="inlineStr">
        <is>
          <t>ﻭﺯﺍﺭﺓﺍﻟﺸﺌﻭﻥ ﺍﻻﺴﻼﻤﻴﺓﻭﺍﻻﻭﻗﺎﻑ .</t>
        </is>
      </c>
      <c r="B3643" t="inlineStr">
        <is>
          <t>KFM2020660043882</t>
        </is>
      </c>
      <c r="C3643" t="inlineStr">
        <is>
          <t>الرياض</t>
        </is>
      </c>
      <c r="D3643" t="inlineStr">
        <is>
          <t>مساءا</t>
        </is>
      </c>
      <c r="E3643" t="n">
        <v>529</v>
      </c>
      <c r="F3643" t="b">
        <v>1</v>
      </c>
      <c r="G3643">
        <f>HYPERLINK("https://www.google.com/maps/search/?api=1&amp;query=24.5667,46.5528", "View Map")</f>
        <v/>
      </c>
    </row>
    <row r="3644">
      <c r="A3644" t="inlineStr">
        <is>
          <t>مسجد /في حي بدر .</t>
        </is>
      </c>
      <c r="B3644" t="inlineStr">
        <is>
          <t>KFM2020660177022</t>
        </is>
      </c>
      <c r="C3644" t="inlineStr">
        <is>
          <t>الرياض</t>
        </is>
      </c>
      <c r="D3644" t="inlineStr">
        <is>
          <t>مساءا</t>
        </is>
      </c>
      <c r="E3644" t="n">
        <v>528</v>
      </c>
      <c r="F3644" t="b">
        <v>0</v>
      </c>
      <c r="G3644">
        <f>HYPERLINK("https://www.google.com/maps/search/?api=1&amp;query=24.55156087,46.71997612", "View Map")</f>
        <v/>
      </c>
    </row>
    <row r="3645">
      <c r="A3645" t="inlineStr">
        <is>
          <t>مسجد سليمان العودة .</t>
        </is>
      </c>
      <c r="B3645" t="inlineStr">
        <is>
          <t>KFM2020760091883</t>
        </is>
      </c>
      <c r="C3645" t="inlineStr">
        <is>
          <t>الرياض</t>
        </is>
      </c>
      <c r="D3645" t="inlineStr">
        <is>
          <t>مساءا</t>
        </is>
      </c>
      <c r="E3645" t="n">
        <v>528</v>
      </c>
      <c r="F3645" t="b">
        <v>0</v>
      </c>
      <c r="G3645">
        <f>HYPERLINK("https://www.google.com/maps/search/?api=1&amp;query=24.56510419,46.70562768", "View Map")</f>
        <v/>
      </c>
    </row>
    <row r="3646">
      <c r="A3646" t="inlineStr">
        <is>
          <t xml:space="preserve">   مسجد الباحوث .</t>
        </is>
      </c>
      <c r="B3646" t="inlineStr">
        <is>
          <t>KFM2120660282466</t>
        </is>
      </c>
      <c r="C3646" t="inlineStr">
        <is>
          <t>الرياض</t>
        </is>
      </c>
      <c r="D3646" t="inlineStr">
        <is>
          <t>مساءا</t>
        </is>
      </c>
      <c r="E3646" t="n">
        <v>528</v>
      </c>
      <c r="F3646" t="b">
        <v>0</v>
      </c>
      <c r="G3646">
        <f>HYPERLINK("https://www.google.com/maps/search/?api=1&amp;query=24.63798426,46.72439465", "View Map")</f>
        <v/>
      </c>
    </row>
    <row r="3647">
      <c r="A3647" t="inlineStr">
        <is>
          <t>ﻤﺴﺎﺠﺩ .</t>
        </is>
      </c>
      <c r="B3647" t="inlineStr">
        <is>
          <t>KFM2120660270005</t>
        </is>
      </c>
      <c r="C3647" t="inlineStr">
        <is>
          <t>الرياض</t>
        </is>
      </c>
      <c r="D3647" t="inlineStr">
        <is>
          <t>مساءا</t>
        </is>
      </c>
      <c r="E3647" t="n">
        <v>527</v>
      </c>
      <c r="F3647" t="b">
        <v>0</v>
      </c>
      <c r="G3647">
        <f>HYPERLINK("https://www.google.com/maps/search/?api=1&amp;query=24.81317307,46.80804608", "View Map")</f>
        <v/>
      </c>
    </row>
    <row r="3648">
      <c r="A3648" t="inlineStr">
        <is>
          <t xml:space="preserve">   وزارة الشئون الاسلامية والاوقاف .</t>
        </is>
      </c>
      <c r="B3648" t="inlineStr">
        <is>
          <t>KFM2020660100267</t>
        </is>
      </c>
      <c r="C3648" t="inlineStr">
        <is>
          <t>الرياض</t>
        </is>
      </c>
      <c r="D3648" t="inlineStr">
        <is>
          <t>مساءا</t>
        </is>
      </c>
      <c r="E3648" t="n">
        <v>527</v>
      </c>
      <c r="F3648" t="b">
        <v>1</v>
      </c>
      <c r="G3648">
        <f>HYPERLINK("https://www.google.com/maps/search/?api=1&amp;query=24.80660484,46.6263806", "View Map")</f>
        <v/>
      </c>
    </row>
    <row r="3649">
      <c r="A3649" t="inlineStr">
        <is>
          <t>ﻭﺯﺍﺭﺓﺍﻟﺸﺌﻭﻥ ﺍﻻﺴﻼﻤﻴﺓﻭﺍﻻﻭﻗﺎﻑ .</t>
        </is>
      </c>
      <c r="B3649" t="inlineStr">
        <is>
          <t>SMR2320761028596</t>
        </is>
      </c>
      <c r="C3649" t="inlineStr">
        <is>
          <t>الرياض</t>
        </is>
      </c>
      <c r="D3649" t="inlineStr">
        <is>
          <t>مساءا</t>
        </is>
      </c>
      <c r="E3649" t="n">
        <v>527</v>
      </c>
      <c r="F3649" t="b">
        <v>1</v>
      </c>
      <c r="G3649">
        <f>HYPERLINK("https://www.google.com/maps/search/?api=1&amp;query=24.55363955,46.6674507", "View Map")</f>
        <v/>
      </c>
    </row>
    <row r="3650">
      <c r="A3650" t="inlineStr">
        <is>
          <t xml:space="preserve">   مسجد منيرة ال الشيخ .</t>
        </is>
      </c>
      <c r="B3650" t="inlineStr">
        <is>
          <t>KFM2020660044754</t>
        </is>
      </c>
      <c r="C3650" t="inlineStr">
        <is>
          <t>الرياض</t>
        </is>
      </c>
      <c r="D3650" t="inlineStr">
        <is>
          <t>مساءا</t>
        </is>
      </c>
      <c r="E3650" t="n">
        <v>527</v>
      </c>
      <c r="F3650" t="b">
        <v>0</v>
      </c>
      <c r="G3650">
        <f>HYPERLINK("https://www.google.com/maps/search/?api=1&amp;query=24.64776816,46.78095185", "View Map")</f>
        <v/>
      </c>
    </row>
    <row r="3651">
      <c r="A3651" t="inlineStr">
        <is>
          <t>مسجد محمد التويجرى .</t>
        </is>
      </c>
      <c r="B3651" t="inlineStr">
        <is>
          <t>KFM2020660054922</t>
        </is>
      </c>
      <c r="C3651" t="inlineStr">
        <is>
          <t>الرياض</t>
        </is>
      </c>
      <c r="D3651" t="inlineStr">
        <is>
          <t>مساءا</t>
        </is>
      </c>
      <c r="E3651" t="n">
        <v>527</v>
      </c>
      <c r="F3651" t="b">
        <v>0</v>
      </c>
      <c r="G3651">
        <f>HYPERLINK("https://www.google.com/maps/search/?api=1&amp;query=24.60701574,46.71741673", "View Map")</f>
        <v/>
      </c>
    </row>
    <row r="3652">
      <c r="A3652" t="inlineStr">
        <is>
          <t xml:space="preserve">   مسجد سليمان علي الحمزه .</t>
        </is>
      </c>
      <c r="B3652" t="inlineStr">
        <is>
          <t>KFM2020660042024</t>
        </is>
      </c>
      <c r="C3652" t="inlineStr">
        <is>
          <t>الرياض</t>
        </is>
      </c>
      <c r="D3652" t="inlineStr">
        <is>
          <t>مساءا</t>
        </is>
      </c>
      <c r="E3652" t="n">
        <v>527</v>
      </c>
      <c r="F3652" t="b">
        <v>0</v>
      </c>
      <c r="G3652">
        <f>HYPERLINK("https://www.google.com/maps/search/?api=1&amp;query=24.71467372,46.80607246", "View Map")</f>
        <v/>
      </c>
    </row>
    <row r="3653">
      <c r="A3653" t="inlineStr">
        <is>
          <t xml:space="preserve">   مسجد/السفيرصالح الغفيلي وبيتي .</t>
        </is>
      </c>
      <c r="B3653" t="inlineStr">
        <is>
          <t>KFM2020660191940</t>
        </is>
      </c>
      <c r="C3653" t="inlineStr">
        <is>
          <t>الرياض</t>
        </is>
      </c>
      <c r="D3653" t="inlineStr">
        <is>
          <t>مساءا</t>
        </is>
      </c>
      <c r="E3653" t="n">
        <v>527</v>
      </c>
      <c r="F3653" t="b">
        <v>1</v>
      </c>
      <c r="G3653">
        <f>HYPERLINK("https://www.google.com/maps/search/?api=1&amp;query=24.7866427,46.70177871", "View Map")</f>
        <v/>
      </c>
    </row>
    <row r="3654">
      <c r="A3654" t="inlineStr">
        <is>
          <t xml:space="preserve">   مسجد حي غرناطة .</t>
        </is>
      </c>
      <c r="B3654" t="inlineStr">
        <is>
          <t>KFM2020660061557</t>
        </is>
      </c>
      <c r="C3654" t="inlineStr">
        <is>
          <t>الرياض</t>
        </is>
      </c>
      <c r="D3654" t="inlineStr">
        <is>
          <t>مساءا</t>
        </is>
      </c>
      <c r="E3654" t="n">
        <v>526</v>
      </c>
      <c r="F3654" t="b">
        <v>1</v>
      </c>
      <c r="G3654">
        <f>HYPERLINK("https://www.google.com/maps/search/?api=1&amp;query=24.78535614,46.75093366", "View Map")</f>
        <v/>
      </c>
    </row>
    <row r="3655">
      <c r="A3655" t="inlineStr">
        <is>
          <t xml:space="preserve">   مسجد/ سارة صالح العماري .</t>
        </is>
      </c>
      <c r="B3655" t="inlineStr">
        <is>
          <t>KFM2020660097480</t>
        </is>
      </c>
      <c r="C3655" t="inlineStr">
        <is>
          <t>الرياض</t>
        </is>
      </c>
      <c r="D3655" t="inlineStr">
        <is>
          <t>مساءا</t>
        </is>
      </c>
      <c r="E3655" t="n">
        <v>525</v>
      </c>
      <c r="F3655" t="b">
        <v>0</v>
      </c>
      <c r="G3655">
        <f>HYPERLINK("https://www.google.com/maps/search/?api=1&amp;query=24.67635145,46.57864108", "View Map")</f>
        <v/>
      </c>
    </row>
    <row r="3656">
      <c r="A3656" t="inlineStr">
        <is>
          <t>مسجد/ الرفاع  حى  المروة .</t>
        </is>
      </c>
      <c r="B3656" t="inlineStr">
        <is>
          <t>KFM2020660056203</t>
        </is>
      </c>
      <c r="C3656" t="inlineStr">
        <is>
          <t>الرياض</t>
        </is>
      </c>
      <c r="D3656" t="inlineStr">
        <is>
          <t>مساءا</t>
        </is>
      </c>
      <c r="E3656" t="n">
        <v>525</v>
      </c>
      <c r="F3656" t="b">
        <v>0</v>
      </c>
      <c r="G3656">
        <f>HYPERLINK("https://www.google.com/maps/search/?api=1&amp;query=24.5378,46.6692", "View Map")</f>
        <v/>
      </c>
    </row>
    <row r="3657">
      <c r="A3657" t="inlineStr">
        <is>
          <t>مسجدمحمد بن عبدالله  الشعلان .</t>
        </is>
      </c>
      <c r="B3657" t="inlineStr">
        <is>
          <t>KFM2020766086359</t>
        </is>
      </c>
      <c r="C3657" t="inlineStr">
        <is>
          <t>الرياض</t>
        </is>
      </c>
      <c r="D3657" t="inlineStr">
        <is>
          <t>مساءا</t>
        </is>
      </c>
      <c r="E3657" t="n">
        <v>525</v>
      </c>
      <c r="F3657" t="b">
        <v>0</v>
      </c>
      <c r="G3657">
        <f>HYPERLINK("https://www.google.com/maps/search/?api=1&amp;query=24.55188877,46.68998891", "View Map")</f>
        <v/>
      </c>
    </row>
    <row r="3658">
      <c r="A3658" t="inlineStr">
        <is>
          <t xml:space="preserve">   مسجد الزبير بن العوام .</t>
        </is>
      </c>
      <c r="B3658" t="inlineStr">
        <is>
          <t>KFM2020660036435</t>
        </is>
      </c>
      <c r="C3658" t="inlineStr">
        <is>
          <t>الرياض</t>
        </is>
      </c>
      <c r="D3658" t="inlineStr">
        <is>
          <t>مساءا</t>
        </is>
      </c>
      <c r="E3658" t="n">
        <v>525</v>
      </c>
      <c r="F3658" t="b">
        <v>0</v>
      </c>
      <c r="G3658">
        <f>HYPERLINK("https://www.google.com/maps/search/?api=1&amp;query=24.71321018,46.81738632", "View Map")</f>
        <v/>
      </c>
    </row>
    <row r="3659">
      <c r="A3659" t="inlineStr">
        <is>
          <t xml:space="preserve">   مسجدغرب وزارة الدفاع .</t>
        </is>
      </c>
      <c r="B3659" t="inlineStr">
        <is>
          <t>KFM2020660189289</t>
        </is>
      </c>
      <c r="C3659" t="inlineStr">
        <is>
          <t>الرياض</t>
        </is>
      </c>
      <c r="D3659" t="inlineStr">
        <is>
          <t>مساءا</t>
        </is>
      </c>
      <c r="E3659" t="n">
        <v>525</v>
      </c>
      <c r="F3659" t="b">
        <v>0</v>
      </c>
      <c r="G3659">
        <f>HYPERLINK("https://www.google.com/maps/search/?api=1&amp;query=24.67183976,46.7109325", "View Map")</f>
        <v/>
      </c>
    </row>
    <row r="3660">
      <c r="A3660" t="inlineStr">
        <is>
          <t>ﻤﺴﺎﺠﺩ .</t>
        </is>
      </c>
      <c r="B3660" t="inlineStr">
        <is>
          <t>KFM2020660209276</t>
        </is>
      </c>
      <c r="C3660" t="inlineStr">
        <is>
          <t>الرياض</t>
        </is>
      </c>
      <c r="D3660" t="inlineStr">
        <is>
          <t>مساءا</t>
        </is>
      </c>
      <c r="E3660" t="n">
        <v>525</v>
      </c>
      <c r="F3660" t="b">
        <v>0</v>
      </c>
      <c r="G3660">
        <f>HYPERLINK("https://www.google.com/maps/search/?api=1&amp;query=24.60823321,46.47230012", "View Map")</f>
        <v/>
      </c>
    </row>
    <row r="3661">
      <c r="A3661" t="inlineStr">
        <is>
          <t xml:space="preserve">   وزارة الشئون الاسلامية والأ وقاف .</t>
        </is>
      </c>
      <c r="B3661" t="inlineStr">
        <is>
          <t>KFM2020660127832</t>
        </is>
      </c>
      <c r="C3661" t="inlineStr">
        <is>
          <t>الرياض</t>
        </is>
      </c>
      <c r="D3661" t="inlineStr">
        <is>
          <t>صباحا</t>
        </is>
      </c>
      <c r="E3661" t="n">
        <v>524</v>
      </c>
      <c r="F3661" t="b">
        <v>0</v>
      </c>
      <c r="G3661">
        <f>HYPERLINK("https://www.google.com/maps/search/?api=1&amp;query=24.81607109,46.6096124", "View Map")</f>
        <v/>
      </c>
    </row>
    <row r="3662">
      <c r="A3662" t="inlineStr">
        <is>
          <t>مسجد  عمر بن    عبد العزيز .</t>
        </is>
      </c>
      <c r="B3662" t="inlineStr">
        <is>
          <t>KFM2020660167695</t>
        </is>
      </c>
      <c r="C3662" t="inlineStr">
        <is>
          <t>الرياض</t>
        </is>
      </c>
      <c r="D3662" t="inlineStr">
        <is>
          <t>مساءا</t>
        </is>
      </c>
      <c r="E3662" t="n">
        <v>524</v>
      </c>
      <c r="F3662" t="b">
        <v>0</v>
      </c>
      <c r="G3662">
        <f>HYPERLINK("https://www.google.com/maps/search/?api=1&amp;query=24.55158167,46.71452856", "View Map")</f>
        <v/>
      </c>
    </row>
    <row r="3663">
      <c r="A3663" t="inlineStr">
        <is>
          <t>مسجد ذو النورين .</t>
        </is>
      </c>
      <c r="B3663" t="inlineStr">
        <is>
          <t>KFM2020660163525</t>
        </is>
      </c>
      <c r="C3663" t="inlineStr">
        <is>
          <t>الرياض</t>
        </is>
      </c>
      <c r="D3663" t="inlineStr">
        <is>
          <t>صباحا</t>
        </is>
      </c>
      <c r="E3663" t="n">
        <v>524</v>
      </c>
      <c r="F3663" t="b">
        <v>0</v>
      </c>
      <c r="G3663">
        <f>HYPERLINK("https://www.google.com/maps/search/?api=1&amp;query=24.55940824,46.79504868", "View Map")</f>
        <v/>
      </c>
    </row>
    <row r="3664">
      <c r="A3664" t="inlineStr">
        <is>
          <t xml:space="preserve">   مسجد حي النهضه .</t>
        </is>
      </c>
      <c r="B3664" t="inlineStr">
        <is>
          <t>KFM2020660025546</t>
        </is>
      </c>
      <c r="C3664" t="inlineStr">
        <is>
          <t>الرياض</t>
        </is>
      </c>
      <c r="D3664" t="inlineStr">
        <is>
          <t>مساءا</t>
        </is>
      </c>
      <c r="E3664" t="n">
        <v>523</v>
      </c>
      <c r="F3664" t="b">
        <v>0</v>
      </c>
      <c r="G3664">
        <f>HYPERLINK("https://www.google.com/maps/search/?api=1&amp;query=24.75813459,46.79719179", "View Map")</f>
        <v/>
      </c>
    </row>
    <row r="3665">
      <c r="A3665" t="inlineStr">
        <is>
          <t xml:space="preserve">   مسجد مشروع الشركه العقاريه .</t>
        </is>
      </c>
      <c r="B3665" t="inlineStr">
        <is>
          <t>KFM2020660165977</t>
        </is>
      </c>
      <c r="C3665" t="inlineStr">
        <is>
          <t>الرياض</t>
        </is>
      </c>
      <c r="D3665" t="inlineStr">
        <is>
          <t>مساءا</t>
        </is>
      </c>
      <c r="E3665" t="n">
        <v>523</v>
      </c>
      <c r="F3665" t="b">
        <v>0</v>
      </c>
      <c r="G3665">
        <f>HYPERLINK("https://www.google.com/maps/search/?api=1&amp;query=24.70765096,46.68043617", "View Map")</f>
        <v/>
      </c>
    </row>
    <row r="3666">
      <c r="A3666" t="inlineStr">
        <is>
          <t xml:space="preserve">   مسجد نورة الموسى .</t>
        </is>
      </c>
      <c r="B3666" t="inlineStr">
        <is>
          <t>KFM2020660190834</t>
        </is>
      </c>
      <c r="C3666" t="inlineStr">
        <is>
          <t>الرياض</t>
        </is>
      </c>
      <c r="D3666" t="inlineStr">
        <is>
          <t>مساءا</t>
        </is>
      </c>
      <c r="E3666" t="n">
        <v>523</v>
      </c>
      <c r="F3666" t="b">
        <v>1</v>
      </c>
      <c r="G3666">
        <f>HYPERLINK("https://www.google.com/maps/search/?api=1&amp;query=24.81959664,46.64769764", "View Map")</f>
        <v/>
      </c>
    </row>
    <row r="3667">
      <c r="A3667" t="inlineStr">
        <is>
          <t xml:space="preserve">   مسجد مسفر ال فايع ووالديه .</t>
        </is>
      </c>
      <c r="B3667" t="inlineStr">
        <is>
          <t>KFM2020660061020</t>
        </is>
      </c>
      <c r="C3667" t="inlineStr">
        <is>
          <t>الدرعية</t>
        </is>
      </c>
      <c r="D3667" t="inlineStr">
        <is>
          <t>صباحا</t>
        </is>
      </c>
      <c r="E3667" t="n">
        <v>522</v>
      </c>
      <c r="F3667" t="b">
        <v>0</v>
      </c>
      <c r="G3667">
        <f>HYPERLINK("https://www.google.com/maps/search/?api=1&amp;query=24.75239549,46.5322028", "View Map")</f>
        <v/>
      </c>
    </row>
    <row r="3668">
      <c r="A3668" t="inlineStr">
        <is>
          <t>ﻤﺴﺎﺠﺩ .</t>
        </is>
      </c>
      <c r="B3668" t="inlineStr">
        <is>
          <t>MMF2420601020619</t>
        </is>
      </c>
      <c r="C3668" t="inlineStr">
        <is>
          <t>الرياض</t>
        </is>
      </c>
      <c r="D3668" t="inlineStr">
        <is>
          <t>مساءا</t>
        </is>
      </c>
      <c r="E3668" t="n">
        <v>522</v>
      </c>
      <c r="F3668" t="b">
        <v>0</v>
      </c>
      <c r="G3668">
        <f>HYPERLINK("https://www.google.com/maps/search/?api=1&amp;query=24.93732387,46.78949624", "View Map")</f>
        <v/>
      </c>
    </row>
    <row r="3669">
      <c r="A3669" t="inlineStr">
        <is>
          <t xml:space="preserve">   مسجد المفيريج .</t>
        </is>
      </c>
      <c r="B3669" t="inlineStr">
        <is>
          <t>KFM2020660087754</t>
        </is>
      </c>
      <c r="C3669" t="inlineStr">
        <is>
          <t>الرياض</t>
        </is>
      </c>
      <c r="D3669" t="inlineStr">
        <is>
          <t>مساءا</t>
        </is>
      </c>
      <c r="E3669" t="n">
        <v>521</v>
      </c>
      <c r="F3669" t="b">
        <v>1</v>
      </c>
      <c r="G3669">
        <f>HYPERLINK("https://www.google.com/maps/search/?api=1&amp;query=24.70471191,46.63058775", "View Map")</f>
        <v/>
      </c>
    </row>
    <row r="3670">
      <c r="A3670" t="inlineStr">
        <is>
          <t xml:space="preserve">   مسجد      المخطط    سدوس .</t>
        </is>
      </c>
      <c r="B3670" t="inlineStr">
        <is>
          <t>KFM2020660208830</t>
        </is>
      </c>
      <c r="C3670" t="inlineStr">
        <is>
          <t>الدرعية</t>
        </is>
      </c>
      <c r="D3670" t="inlineStr">
        <is>
          <t>مساءا</t>
        </is>
      </c>
      <c r="E3670" t="n">
        <v>521</v>
      </c>
      <c r="F3670" t="b">
        <v>0</v>
      </c>
      <c r="G3670">
        <f>HYPERLINK("https://www.google.com/maps/search/?api=1&amp;query=24.98876757,46.20899451", "View Map")</f>
        <v/>
      </c>
    </row>
    <row r="3671">
      <c r="A3671" t="inlineStr">
        <is>
          <t>ﻭﺯﺍﺭﺓﺍﻟﺸﺌﻭﻥ ﺍﻻﺴﻼﻤﻴﺓﻭﺍﻻﻭﻗﺎﻑ .</t>
        </is>
      </c>
      <c r="B3671" t="inlineStr">
        <is>
          <t>KFM2020660056258</t>
        </is>
      </c>
      <c r="C3671" t="inlineStr">
        <is>
          <t>الرياض</t>
        </is>
      </c>
      <c r="D3671" t="inlineStr">
        <is>
          <t>مساءا</t>
        </is>
      </c>
      <c r="E3671" t="n">
        <v>520</v>
      </c>
      <c r="F3671" t="b">
        <v>0</v>
      </c>
      <c r="G3671">
        <f>HYPERLINK("https://www.google.com/maps/search/?api=1&amp;query=24.56690937,46.54187861", "View Map")</f>
        <v/>
      </c>
    </row>
    <row r="3672">
      <c r="A3672" t="inlineStr">
        <is>
          <t>ﻤﺴﺎﺠﺩ .</t>
        </is>
      </c>
      <c r="B3672" t="inlineStr">
        <is>
          <t>KFM2020660047806</t>
        </is>
      </c>
      <c r="C3672" t="inlineStr">
        <is>
          <t>الرياض</t>
        </is>
      </c>
      <c r="D3672" t="inlineStr">
        <is>
          <t>مساءا</t>
        </is>
      </c>
      <c r="E3672" t="n">
        <v>520</v>
      </c>
      <c r="F3672" t="b">
        <v>0</v>
      </c>
      <c r="G3672">
        <f>HYPERLINK("https://www.google.com/maps/search/?api=1&amp;query=24.62270205,46.84898727", "View Map")</f>
        <v/>
      </c>
    </row>
    <row r="3673">
      <c r="A3673" t="inlineStr">
        <is>
          <t>مسجدالشفاء الشمالى .</t>
        </is>
      </c>
      <c r="B3673" t="inlineStr">
        <is>
          <t>KFM2020660057786</t>
        </is>
      </c>
      <c r="C3673" t="inlineStr">
        <is>
          <t>الرياض</t>
        </is>
      </c>
      <c r="D3673" t="inlineStr">
        <is>
          <t>مساءا</t>
        </is>
      </c>
      <c r="E3673" t="n">
        <v>520</v>
      </c>
      <c r="F3673" t="b">
        <v>0</v>
      </c>
      <c r="G3673">
        <f>HYPERLINK("https://www.google.com/maps/search/?api=1&amp;query=24.57021467,46.68724768", "View Map")</f>
        <v/>
      </c>
    </row>
    <row r="3674">
      <c r="A3674" t="inlineStr">
        <is>
          <t>مسجد مؤقت  بالشفاء .</t>
        </is>
      </c>
      <c r="B3674" t="inlineStr">
        <is>
          <t>KFM2020660198442</t>
        </is>
      </c>
      <c r="C3674" t="inlineStr">
        <is>
          <t>الرياض</t>
        </is>
      </c>
      <c r="D3674" t="inlineStr">
        <is>
          <t>مساءا</t>
        </is>
      </c>
      <c r="E3674" t="n">
        <v>519</v>
      </c>
      <c r="F3674" t="b">
        <v>0</v>
      </c>
      <c r="G3674">
        <f>HYPERLINK("https://www.google.com/maps/search/?api=1&amp;query=24.5489,46.705", "View Map")</f>
        <v/>
      </c>
    </row>
    <row r="3675">
      <c r="A3675" t="inlineStr">
        <is>
          <t xml:space="preserve">   مسجدالخضيري .</t>
        </is>
      </c>
      <c r="B3675" t="inlineStr">
        <is>
          <t>KFM2020660018675</t>
        </is>
      </c>
      <c r="C3675" t="inlineStr">
        <is>
          <t>الرياض</t>
        </is>
      </c>
      <c r="D3675" t="inlineStr">
        <is>
          <t>صباحا</t>
        </is>
      </c>
      <c r="E3675" t="n">
        <v>519</v>
      </c>
      <c r="F3675" t="b">
        <v>0</v>
      </c>
      <c r="G3675">
        <f>HYPERLINK("https://www.google.com/maps/search/?api=1&amp;query=24.74531529,46.82844759", "View Map")</f>
        <v/>
      </c>
    </row>
    <row r="3676">
      <c r="A3676" t="inlineStr">
        <is>
          <t>ﻤﺴﺎﺠﺩ .</t>
        </is>
      </c>
      <c r="B3676" t="inlineStr">
        <is>
          <t>KFM2120660249296</t>
        </is>
      </c>
      <c r="C3676" t="inlineStr">
        <is>
          <t>الرياض</t>
        </is>
      </c>
      <c r="D3676" t="inlineStr">
        <is>
          <t>مساءا</t>
        </is>
      </c>
      <c r="E3676" t="n">
        <v>518</v>
      </c>
      <c r="F3676" t="b">
        <v>0</v>
      </c>
      <c r="G3676">
        <f>HYPERLINK("https://www.google.com/maps/search/?api=1&amp;query=24.67616537,46.6844032", "View Map")</f>
        <v/>
      </c>
    </row>
    <row r="3677">
      <c r="A3677" t="inlineStr">
        <is>
          <t xml:space="preserve">   مساجد .</t>
        </is>
      </c>
      <c r="B3677" t="inlineStr">
        <is>
          <t>KFM2020660190207</t>
        </is>
      </c>
      <c r="C3677" t="inlineStr">
        <is>
          <t>الرياض</t>
        </is>
      </c>
      <c r="D3677" t="inlineStr">
        <is>
          <t>مساءا</t>
        </is>
      </c>
      <c r="E3677" t="n">
        <v>518</v>
      </c>
      <c r="F3677" t="b">
        <v>0</v>
      </c>
      <c r="G3677">
        <f>HYPERLINK("https://www.google.com/maps/search/?api=1&amp;query=24.83327988,46.80321163", "View Map")</f>
        <v/>
      </c>
    </row>
    <row r="3678">
      <c r="A3678" t="inlineStr">
        <is>
          <t xml:space="preserve">   وزارة الشئون الاسلامية والاوقاف .</t>
        </is>
      </c>
      <c r="B3678" t="inlineStr">
        <is>
          <t>KFM2020660213570</t>
        </is>
      </c>
      <c r="C3678" t="inlineStr">
        <is>
          <t>الرياض</t>
        </is>
      </c>
      <c r="D3678" t="inlineStr">
        <is>
          <t>مساءا</t>
        </is>
      </c>
      <c r="E3678" t="n">
        <v>518</v>
      </c>
      <c r="F3678" t="b">
        <v>0</v>
      </c>
      <c r="G3678">
        <f>HYPERLINK("https://www.google.com/maps/search/?api=1&amp;query=24.81642339,46.66552619", "View Map")</f>
        <v/>
      </c>
    </row>
    <row r="3679">
      <c r="A3679" t="inlineStr">
        <is>
          <t>المسجد الموقت بالدخل  المحدود .</t>
        </is>
      </c>
      <c r="B3679" t="inlineStr">
        <is>
          <t>KFM2020660013288</t>
        </is>
      </c>
      <c r="C3679" t="inlineStr">
        <is>
          <t>الرياض</t>
        </is>
      </c>
      <c r="D3679" t="inlineStr">
        <is>
          <t>صباحا</t>
        </is>
      </c>
      <c r="E3679" t="n">
        <v>518</v>
      </c>
      <c r="F3679" t="b">
        <v>0</v>
      </c>
      <c r="G3679">
        <f>HYPERLINK("https://www.google.com/maps/search/?api=1&amp;query=24.58763653,46.58601355", "View Map")</f>
        <v/>
      </c>
    </row>
    <row r="3680">
      <c r="A3680" t="inlineStr">
        <is>
          <t>مسجد      عبدالمحسن بن سعيد .</t>
        </is>
      </c>
      <c r="B3680" t="inlineStr">
        <is>
          <t>KFM2020660171850</t>
        </is>
      </c>
      <c r="C3680" t="inlineStr">
        <is>
          <t>الرياض</t>
        </is>
      </c>
      <c r="D3680" t="inlineStr">
        <is>
          <t>صباحا</t>
        </is>
      </c>
      <c r="E3680" t="n">
        <v>518</v>
      </c>
      <c r="F3680" t="b">
        <v>0</v>
      </c>
      <c r="G3680">
        <f>HYPERLINK("https://www.google.com/maps/search/?api=1&amp;query=24.62964987,46.68722107", "View Map")</f>
        <v/>
      </c>
    </row>
    <row r="3681">
      <c r="A3681" t="inlineStr">
        <is>
          <t xml:space="preserve">   مسجد عمر الدوسرى .</t>
        </is>
      </c>
      <c r="B3681" t="inlineStr">
        <is>
          <t>KFM2120660251348</t>
        </is>
      </c>
      <c r="C3681" t="inlineStr">
        <is>
          <t>الرياض</t>
        </is>
      </c>
      <c r="D3681" t="inlineStr">
        <is>
          <t>مساءا</t>
        </is>
      </c>
      <c r="E3681" t="n">
        <v>517</v>
      </c>
      <c r="F3681" t="b">
        <v>0</v>
      </c>
      <c r="G3681">
        <f>HYPERLINK("https://www.google.com/maps/search/?api=1&amp;query=24.65212133,46.75308734", "View Map")</f>
        <v/>
      </c>
    </row>
    <row r="3682">
      <c r="A3682" t="inlineStr">
        <is>
          <t xml:space="preserve">   مسجدبلال بن رباح .</t>
        </is>
      </c>
      <c r="B3682" t="inlineStr">
        <is>
          <t>KFM2020660012593</t>
        </is>
      </c>
      <c r="C3682" t="inlineStr">
        <is>
          <t>الرياض</t>
        </is>
      </c>
      <c r="D3682" t="inlineStr">
        <is>
          <t>مساءا</t>
        </is>
      </c>
      <c r="E3682" t="n">
        <v>517</v>
      </c>
      <c r="F3682" t="b">
        <v>0</v>
      </c>
      <c r="G3682">
        <f>HYPERLINK("https://www.google.com/maps/search/?api=1&amp;query=24.80553914,46.77298316", "View Map")</f>
        <v/>
      </c>
    </row>
    <row r="3683">
      <c r="A3683" t="inlineStr">
        <is>
          <t>.      مسجد      جامع .</t>
        </is>
      </c>
      <c r="B3683" t="inlineStr">
        <is>
          <t>KFM2020660011933</t>
        </is>
      </c>
      <c r="C3683" t="inlineStr">
        <is>
          <t>الرياض</t>
        </is>
      </c>
      <c r="D3683" t="inlineStr">
        <is>
          <t>مساءا</t>
        </is>
      </c>
      <c r="E3683" t="n">
        <v>517</v>
      </c>
      <c r="F3683" t="b">
        <v>0</v>
      </c>
      <c r="G3683">
        <f>HYPERLINK("https://www.google.com/maps/search/?api=1&amp;query=24.6209448,46.70433278", "View Map")</f>
        <v/>
      </c>
    </row>
    <row r="3684">
      <c r="A3684" t="inlineStr">
        <is>
          <t>ﻤﺴﺎﺠﺩ .</t>
        </is>
      </c>
      <c r="B3684" t="inlineStr">
        <is>
          <t>KFM2020660054525</t>
        </is>
      </c>
      <c r="C3684" t="inlineStr">
        <is>
          <t>الرياض</t>
        </is>
      </c>
      <c r="D3684" t="inlineStr">
        <is>
          <t>صباحا</t>
        </is>
      </c>
      <c r="E3684" t="n">
        <v>516</v>
      </c>
      <c r="F3684" t="b">
        <v>0</v>
      </c>
      <c r="G3684">
        <f>HYPERLINK("https://www.google.com/maps/search/?api=1&amp;query=24.81150486,46.78545134", "View Map")</f>
        <v/>
      </c>
    </row>
    <row r="3685">
      <c r="A3685" t="inlineStr">
        <is>
          <t xml:space="preserve">   مسجد الشيخ صالح البليهي 5/3318</t>
        </is>
      </c>
      <c r="B3685" t="inlineStr">
        <is>
          <t>KFM2020660034634</t>
        </is>
      </c>
      <c r="C3685" t="inlineStr">
        <is>
          <t>الرياض</t>
        </is>
      </c>
      <c r="D3685" t="inlineStr">
        <is>
          <t>مساءا</t>
        </is>
      </c>
      <c r="E3685" t="n">
        <v>516</v>
      </c>
      <c r="F3685" t="b">
        <v>0</v>
      </c>
      <c r="G3685">
        <f>HYPERLINK("https://www.google.com/maps/search/?api=1&amp;query=24.68107705,46.78706511", "View Map")</f>
        <v/>
      </c>
    </row>
    <row r="3686">
      <c r="A3686" t="inlineStr">
        <is>
          <t xml:space="preserve">   مسجد فتح باالفيصليه .</t>
        </is>
      </c>
      <c r="B3686" t="inlineStr">
        <is>
          <t>KFM2020766168693</t>
        </is>
      </c>
      <c r="C3686" t="inlineStr">
        <is>
          <t>الرياض</t>
        </is>
      </c>
      <c r="D3686" t="inlineStr">
        <is>
          <t>مساءا</t>
        </is>
      </c>
      <c r="E3686" t="n">
        <v>516</v>
      </c>
      <c r="F3686" t="b">
        <v>0</v>
      </c>
      <c r="G3686">
        <f>HYPERLINK("https://www.google.com/maps/search/?api=1&amp;query=24.64448808,46.78393456", "View Map")</f>
        <v/>
      </c>
    </row>
    <row r="3687">
      <c r="A3687" t="inlineStr">
        <is>
          <t xml:space="preserve">   مسجدالمقداد بن الاسود .</t>
        </is>
      </c>
      <c r="B3687" t="inlineStr">
        <is>
          <t>KFM2020660167815</t>
        </is>
      </c>
      <c r="C3687" t="inlineStr">
        <is>
          <t>الرياض</t>
        </is>
      </c>
      <c r="D3687" t="inlineStr">
        <is>
          <t>مساءا</t>
        </is>
      </c>
      <c r="E3687" t="n">
        <v>516</v>
      </c>
      <c r="F3687" t="b">
        <v>0</v>
      </c>
      <c r="G3687">
        <f>HYPERLINK("https://www.google.com/maps/search/?api=1&amp;query=24.7157437,46.83920233", "View Map")</f>
        <v/>
      </c>
    </row>
    <row r="3688">
      <c r="A3688" t="inlineStr">
        <is>
          <t xml:space="preserve">   مسجد حي النزهه .</t>
        </is>
      </c>
      <c r="B3688" t="inlineStr">
        <is>
          <t>SMR2220661002784</t>
        </is>
      </c>
      <c r="C3688" t="inlineStr">
        <is>
          <t>الرياض</t>
        </is>
      </c>
      <c r="D3688" t="inlineStr">
        <is>
          <t>مساءا</t>
        </is>
      </c>
      <c r="E3688" t="n">
        <v>516</v>
      </c>
      <c r="F3688" t="b">
        <v>0</v>
      </c>
      <c r="G3688">
        <f>HYPERLINK("https://www.google.com/maps/search/?api=1&amp;query=24.76480265,46.70993838", "View Map")</f>
        <v/>
      </c>
    </row>
    <row r="3689">
      <c r="A3689" t="inlineStr">
        <is>
          <t xml:space="preserve">   مسجدالميدان بالـدرعـيـه .</t>
        </is>
      </c>
      <c r="B3689" t="inlineStr">
        <is>
          <t>KFM2020660191329</t>
        </is>
      </c>
      <c r="C3689" t="inlineStr">
        <is>
          <t>الدرعية</t>
        </is>
      </c>
      <c r="D3689" t="inlineStr">
        <is>
          <t>مساءا</t>
        </is>
      </c>
      <c r="E3689" t="n">
        <v>515</v>
      </c>
      <c r="F3689" t="b">
        <v>1</v>
      </c>
      <c r="G3689">
        <f>HYPERLINK("https://www.google.com/maps/search/?api=1&amp;query=24.75448262,46.56772563", "View Map")</f>
        <v/>
      </c>
    </row>
    <row r="3690">
      <c r="A3690" t="inlineStr">
        <is>
          <t xml:space="preserve">   مسجد عمر بن الخطاب .</t>
        </is>
      </c>
      <c r="B3690" t="inlineStr">
        <is>
          <t>KFM2020660057096</t>
        </is>
      </c>
      <c r="C3690" t="inlineStr">
        <is>
          <t>الرياض</t>
        </is>
      </c>
      <c r="D3690" t="inlineStr">
        <is>
          <t>مساءا</t>
        </is>
      </c>
      <c r="E3690" t="n">
        <v>515</v>
      </c>
      <c r="F3690" t="b">
        <v>1</v>
      </c>
      <c r="G3690">
        <f>HYPERLINK("https://www.google.com/maps/search/?api=1&amp;query=24.74829944,46.82654535", "View Map")</f>
        <v/>
      </c>
    </row>
    <row r="3691">
      <c r="A3691" t="inlineStr">
        <is>
          <t xml:space="preserve">   مسـجد الحـبيشي .</t>
        </is>
      </c>
      <c r="B3691" t="inlineStr">
        <is>
          <t>KFM2020660054184</t>
        </is>
      </c>
      <c r="C3691" t="inlineStr">
        <is>
          <t>الرياض</t>
        </is>
      </c>
      <c r="D3691" t="inlineStr">
        <is>
          <t>مساءا</t>
        </is>
      </c>
      <c r="E3691" t="n">
        <v>515</v>
      </c>
      <c r="F3691" t="b">
        <v>0</v>
      </c>
      <c r="G3691">
        <f>HYPERLINK("https://www.google.com/maps/search/?api=1&amp;query=24.67424765,46.75288545", "View Map")</f>
        <v/>
      </c>
    </row>
    <row r="3692">
      <c r="A3692" t="inlineStr">
        <is>
          <t>ﻤﺴﺎﺠﺩ .</t>
        </is>
      </c>
      <c r="B3692" t="inlineStr">
        <is>
          <t>MMF2420601015530</t>
        </is>
      </c>
      <c r="C3692" t="inlineStr">
        <is>
          <t>الرياض</t>
        </is>
      </c>
      <c r="D3692" t="inlineStr">
        <is>
          <t>مساءا</t>
        </is>
      </c>
      <c r="E3692" t="n">
        <v>514</v>
      </c>
      <c r="F3692" t="b">
        <v>0</v>
      </c>
      <c r="G3692">
        <f>HYPERLINK("https://www.google.com/maps/search/?api=1&amp;query=24.86278597,46.80990426", "View Map")</f>
        <v/>
      </c>
    </row>
    <row r="3693">
      <c r="A3693" t="inlineStr">
        <is>
          <t>ﻤﺴﺎﺠﺩ .</t>
        </is>
      </c>
      <c r="B3693" t="inlineStr">
        <is>
          <t>SMR2420661036204</t>
        </is>
      </c>
      <c r="C3693" t="inlineStr">
        <is>
          <t>الرياض</t>
        </is>
      </c>
      <c r="D3693" t="inlineStr">
        <is>
          <t>مساءا</t>
        </is>
      </c>
      <c r="E3693" t="n">
        <v>514</v>
      </c>
      <c r="F3693" t="b">
        <v>1</v>
      </c>
      <c r="G3693">
        <f>HYPERLINK("https://www.google.com/maps/search/?api=1&amp;query=24.84676895,46.87743294", "View Map")</f>
        <v/>
      </c>
    </row>
    <row r="3694">
      <c r="A3694" t="inlineStr">
        <is>
          <t>ﻭﺯﺍﺭﺓﺍﻟﺸﺌﻭﻥ ﺍﻻﺴﻼﻤﻴﺓﻭﺍﻻﻭﻗﺎﻑ .</t>
        </is>
      </c>
      <c r="B3694" t="inlineStr">
        <is>
          <t>KFM2020660054357</t>
        </is>
      </c>
      <c r="C3694" t="inlineStr">
        <is>
          <t>الرياض</t>
        </is>
      </c>
      <c r="D3694" t="inlineStr">
        <is>
          <t>مساءا</t>
        </is>
      </c>
      <c r="E3694" t="n">
        <v>514</v>
      </c>
      <c r="F3694" t="b">
        <v>0</v>
      </c>
      <c r="G3694">
        <f>HYPERLINK("https://www.google.com/maps/search/?api=1&amp;query=24.5231,46.6394", "View Map")</f>
        <v/>
      </c>
    </row>
    <row r="3695">
      <c r="A3695" t="inlineStr">
        <is>
          <t xml:space="preserve">   مسـجد الشـيخ محمـد بن عبدالوهاب .</t>
        </is>
      </c>
      <c r="B3695" t="inlineStr">
        <is>
          <t>KFM2120660251354</t>
        </is>
      </c>
      <c r="C3695" t="inlineStr">
        <is>
          <t>الرياض</t>
        </is>
      </c>
      <c r="D3695" t="inlineStr">
        <is>
          <t>مساءا</t>
        </is>
      </c>
      <c r="E3695" t="n">
        <v>514</v>
      </c>
      <c r="F3695" t="b">
        <v>0</v>
      </c>
      <c r="G3695">
        <f>HYPERLINK("https://www.google.com/maps/search/?api=1&amp;query=24.69632084,46.85240821", "View Map")</f>
        <v/>
      </c>
    </row>
    <row r="3696">
      <c r="A3696" t="inlineStr">
        <is>
          <t xml:space="preserve">   مسجد الامير مشعل بن عبدالعزيز .</t>
        </is>
      </c>
      <c r="B3696" t="inlineStr">
        <is>
          <t>KFM2120660257425</t>
        </is>
      </c>
      <c r="C3696" t="inlineStr">
        <is>
          <t>الرياض</t>
        </is>
      </c>
      <c r="D3696" t="inlineStr">
        <is>
          <t>مساءا</t>
        </is>
      </c>
      <c r="E3696" t="n">
        <v>514</v>
      </c>
      <c r="F3696" t="b">
        <v>0</v>
      </c>
      <c r="G3696">
        <f>HYPERLINK("https://www.google.com/maps/search/?api=1&amp;query=24.69424791,46.59730099", "View Map")</f>
        <v/>
      </c>
    </row>
    <row r="3697">
      <c r="A3697" t="inlineStr">
        <is>
          <t>مسجد حي ديراب .</t>
        </is>
      </c>
      <c r="B3697" t="inlineStr">
        <is>
          <t>KFM2020660203895</t>
        </is>
      </c>
      <c r="C3697" t="inlineStr">
        <is>
          <t>الرياض</t>
        </is>
      </c>
      <c r="D3697" t="inlineStr">
        <is>
          <t>مساءا</t>
        </is>
      </c>
      <c r="E3697" t="n">
        <v>514</v>
      </c>
      <c r="F3697" t="b">
        <v>0</v>
      </c>
      <c r="G3697">
        <f>HYPERLINK("https://www.google.com/maps/search/?api=1&amp;query=24.4988262,46.61948169", "View Map")</f>
        <v/>
      </c>
    </row>
    <row r="3698">
      <c r="A3698" t="inlineStr">
        <is>
          <t xml:space="preserve">   مسجد / حي الشعبه .</t>
        </is>
      </c>
      <c r="B3698" t="inlineStr">
        <is>
          <t>KFM2020660047689</t>
        </is>
      </c>
      <c r="C3698" t="inlineStr">
        <is>
          <t>الرياض</t>
        </is>
      </c>
      <c r="D3698" t="inlineStr">
        <is>
          <t>مساءا</t>
        </is>
      </c>
      <c r="E3698" t="n">
        <v>514</v>
      </c>
      <c r="F3698" t="b">
        <v>0</v>
      </c>
      <c r="G3698">
        <f>HYPERLINK("https://www.google.com/maps/search/?api=1&amp;query=24.63621472,46.72208789", "View Map")</f>
        <v/>
      </c>
    </row>
    <row r="3699">
      <c r="A3699" t="inlineStr">
        <is>
          <t>مسجدحي الفواز .</t>
        </is>
      </c>
      <c r="B3699" t="inlineStr">
        <is>
          <t>KFM2020660202695</t>
        </is>
      </c>
      <c r="C3699" t="inlineStr">
        <is>
          <t>الرياض</t>
        </is>
      </c>
      <c r="D3699" t="inlineStr">
        <is>
          <t>مساءا</t>
        </is>
      </c>
      <c r="E3699" t="n">
        <v>513</v>
      </c>
      <c r="F3699" t="b">
        <v>1</v>
      </c>
      <c r="G3699">
        <f>HYPERLINK("https://www.google.com/maps/search/?api=1&amp;query=24.50275292,46.62342366", "View Map")</f>
        <v/>
      </c>
    </row>
    <row r="3700">
      <c r="A3700" t="inlineStr">
        <is>
          <t>ﻤﺴﺎﺠﺩ .</t>
        </is>
      </c>
      <c r="B3700" t="inlineStr">
        <is>
          <t>KFM2020660201340</t>
        </is>
      </c>
      <c r="C3700" t="inlineStr">
        <is>
          <t>الرياض</t>
        </is>
      </c>
      <c r="D3700" t="inlineStr">
        <is>
          <t>مساءا</t>
        </is>
      </c>
      <c r="E3700" t="n">
        <v>513</v>
      </c>
      <c r="F3700" t="b">
        <v>0</v>
      </c>
      <c r="G3700">
        <f>HYPERLINK("https://www.google.com/maps/search/?api=1&amp;query=24.61041436,46.51618071", "View Map")</f>
        <v/>
      </c>
    </row>
    <row r="3701">
      <c r="A3701" t="inlineStr">
        <is>
          <t>مسجد غرب  شبرا .</t>
        </is>
      </c>
      <c r="B3701" t="inlineStr">
        <is>
          <t>KFM2020660083781</t>
        </is>
      </c>
      <c r="C3701" t="inlineStr">
        <is>
          <t>الرياض</t>
        </is>
      </c>
      <c r="D3701" t="inlineStr">
        <is>
          <t>صباحا</t>
        </is>
      </c>
      <c r="E3701" t="n">
        <v>513</v>
      </c>
      <c r="F3701" t="b">
        <v>0</v>
      </c>
      <c r="G3701">
        <f>HYPERLINK("https://www.google.com/maps/search/?api=1&amp;query=24.57708721,46.6730704", "View Map")</f>
        <v/>
      </c>
    </row>
    <row r="3702">
      <c r="A3702" t="inlineStr">
        <is>
          <t>مسجد موسى  بن نصير .</t>
        </is>
      </c>
      <c r="B3702" t="inlineStr">
        <is>
          <t>KFM2020660191088</t>
        </is>
      </c>
      <c r="C3702" t="inlineStr">
        <is>
          <t>الرياض</t>
        </is>
      </c>
      <c r="D3702" t="inlineStr">
        <is>
          <t>مساءا</t>
        </is>
      </c>
      <c r="E3702" t="n">
        <v>513</v>
      </c>
      <c r="F3702" t="b">
        <v>0</v>
      </c>
      <c r="G3702">
        <f>HYPERLINK("https://www.google.com/maps/search/?api=1&amp;query=24.60117139,46.59770174", "View Map")</f>
        <v/>
      </c>
    </row>
    <row r="3703">
      <c r="A3703" t="inlineStr">
        <is>
          <t>وزارة      الشئون    مسجد .</t>
        </is>
      </c>
      <c r="B3703" t="inlineStr">
        <is>
          <t>KFM2020660043881</t>
        </is>
      </c>
      <c r="C3703" t="inlineStr">
        <is>
          <t>الرياض</t>
        </is>
      </c>
      <c r="D3703" t="inlineStr">
        <is>
          <t>مساءا</t>
        </is>
      </c>
      <c r="E3703" t="n">
        <v>513</v>
      </c>
      <c r="F3703" t="b">
        <v>0</v>
      </c>
      <c r="G3703">
        <f>HYPERLINK("https://www.google.com/maps/search/?api=1&amp;query=24.5556,46.5514", "View Map")</f>
        <v/>
      </c>
    </row>
    <row r="3704">
      <c r="A3704" t="inlineStr">
        <is>
          <t>مسجدالشيخ  محمد بن عبد الوهاب .</t>
        </is>
      </c>
      <c r="B3704" t="inlineStr">
        <is>
          <t>KFM2020660038791</t>
        </is>
      </c>
      <c r="C3704" t="inlineStr">
        <is>
          <t>الرياض</t>
        </is>
      </c>
      <c r="D3704" t="inlineStr">
        <is>
          <t>مساءا</t>
        </is>
      </c>
      <c r="E3704" t="n">
        <v>513</v>
      </c>
      <c r="F3704" t="b">
        <v>1</v>
      </c>
      <c r="G3704">
        <f>HYPERLINK("https://www.google.com/maps/search/?api=1&amp;query=24.60165855,46.61706019", "View Map")</f>
        <v/>
      </c>
    </row>
    <row r="3705">
      <c r="A3705" t="inlineStr">
        <is>
          <t>مسجد عبدالله  سعود الدوسرى .</t>
        </is>
      </c>
      <c r="B3705" t="inlineStr">
        <is>
          <t>KFM2020660200391</t>
        </is>
      </c>
      <c r="C3705" t="inlineStr">
        <is>
          <t>الرياض</t>
        </is>
      </c>
      <c r="D3705" t="inlineStr">
        <is>
          <t>صباحا</t>
        </is>
      </c>
      <c r="E3705" t="n">
        <v>512</v>
      </c>
      <c r="F3705" t="b">
        <v>0</v>
      </c>
      <c r="G3705">
        <f>HYPERLINK("https://www.google.com/maps/search/?api=1&amp;query=24.59881213,46.61439579", "View Map")</f>
        <v/>
      </c>
    </row>
    <row r="3706">
      <c r="A3706" t="inlineStr">
        <is>
          <t xml:space="preserve">   مسجدشيخ الا سلا م ابن تيمية .</t>
        </is>
      </c>
      <c r="B3706" t="inlineStr">
        <is>
          <t>KFM2020660012600</t>
        </is>
      </c>
      <c r="C3706" t="inlineStr">
        <is>
          <t>الرياض</t>
        </is>
      </c>
      <c r="D3706" t="inlineStr">
        <is>
          <t>صباحا</t>
        </is>
      </c>
      <c r="E3706" t="n">
        <v>512</v>
      </c>
      <c r="F3706" t="b">
        <v>0</v>
      </c>
      <c r="G3706">
        <f>HYPERLINK("https://www.google.com/maps/search/?api=1&amp;query=24.81352048,46.85889217", "View Map")</f>
        <v/>
      </c>
    </row>
    <row r="3707">
      <c r="A3707" t="inlineStr">
        <is>
          <t xml:space="preserve">   مسجد المعذر بام الحمام .</t>
        </is>
      </c>
      <c r="B3707" t="inlineStr">
        <is>
          <t>KFM2020660173009</t>
        </is>
      </c>
      <c r="C3707" t="inlineStr">
        <is>
          <t>الرياض</t>
        </is>
      </c>
      <c r="D3707" t="inlineStr">
        <is>
          <t>مساءا</t>
        </is>
      </c>
      <c r="E3707" t="n">
        <v>512</v>
      </c>
      <c r="F3707" t="b">
        <v>0</v>
      </c>
      <c r="G3707">
        <f>HYPERLINK("https://www.google.com/maps/search/?api=1&amp;query=24.68129921,46.67408988", "View Map")</f>
        <v/>
      </c>
    </row>
    <row r="3708">
      <c r="A3708" t="inlineStr">
        <is>
          <t>ﻭﺯﺍﺭﺓﺍﻟﺸﺌﻭﻥ ﺍﻻﺴﻼﻤﻴﺓﻭﺍﻻﻭﻗﺎﻑ .</t>
        </is>
      </c>
      <c r="B3708" t="inlineStr">
        <is>
          <t>KFM2020660204018</t>
        </is>
      </c>
      <c r="C3708" t="inlineStr">
        <is>
          <t>الرياض</t>
        </is>
      </c>
      <c r="D3708" t="inlineStr">
        <is>
          <t>مساءا</t>
        </is>
      </c>
      <c r="E3708" t="n">
        <v>512</v>
      </c>
      <c r="F3708" t="b">
        <v>0</v>
      </c>
      <c r="G3708">
        <f>HYPERLINK("https://www.google.com/maps/search/?api=1&amp;query=24.48516576,46.629062", "View Map")</f>
        <v/>
      </c>
    </row>
    <row r="3709">
      <c r="A3709" t="inlineStr">
        <is>
          <t xml:space="preserve">   مسجد  تركي العصيمي التميمي .</t>
        </is>
      </c>
      <c r="B3709" t="inlineStr">
        <is>
          <t>KFM2020660195149</t>
        </is>
      </c>
      <c r="C3709" t="inlineStr">
        <is>
          <t>الرياض</t>
        </is>
      </c>
      <c r="D3709" t="inlineStr">
        <is>
          <t>مساءا</t>
        </is>
      </c>
      <c r="E3709" t="n">
        <v>512</v>
      </c>
      <c r="F3709" t="b">
        <v>0</v>
      </c>
      <c r="G3709">
        <f>HYPERLINK("https://www.google.com/maps/search/?api=1&amp;query=24.79713085,46.87634948", "View Map")</f>
        <v/>
      </c>
    </row>
    <row r="3710">
      <c r="A3710" t="inlineStr">
        <is>
          <t xml:space="preserve">   مسجد جنوب السليمانيه .</t>
        </is>
      </c>
      <c r="B3710" t="inlineStr">
        <is>
          <t>KFM2020660051095</t>
        </is>
      </c>
      <c r="C3710" t="inlineStr">
        <is>
          <t>الرياض</t>
        </is>
      </c>
      <c r="D3710" t="inlineStr">
        <is>
          <t>صباحا</t>
        </is>
      </c>
      <c r="E3710" t="n">
        <v>511</v>
      </c>
      <c r="F3710" t="b">
        <v>0</v>
      </c>
      <c r="G3710">
        <f>HYPERLINK("https://www.google.com/maps/search/?api=1&amp;query=24.69370383,46.70449213", "View Map")</f>
        <v/>
      </c>
    </row>
    <row r="3711">
      <c r="A3711" t="inlineStr">
        <is>
          <t xml:space="preserve">   مسجد      العمرين   . .</t>
        </is>
      </c>
      <c r="B3711" t="inlineStr">
        <is>
          <t>KFM2020660132815</t>
        </is>
      </c>
      <c r="C3711" t="inlineStr">
        <is>
          <t>الرياض</t>
        </is>
      </c>
      <c r="D3711" t="inlineStr">
        <is>
          <t>مساءا</t>
        </is>
      </c>
      <c r="E3711" t="n">
        <v>511</v>
      </c>
      <c r="F3711" t="b">
        <v>0</v>
      </c>
      <c r="G3711">
        <f>HYPERLINK("https://www.google.com/maps/search/?api=1&amp;query=24.68870433,46.7880236", "View Map")</f>
        <v/>
      </c>
    </row>
    <row r="3712">
      <c r="A3712" t="inlineStr">
        <is>
          <t>ﻤﺴﺎﺠﺩ .</t>
        </is>
      </c>
      <c r="B3712" t="inlineStr">
        <is>
          <t>SMR2320661035105</t>
        </is>
      </c>
      <c r="C3712" t="inlineStr">
        <is>
          <t>الرياض</t>
        </is>
      </c>
      <c r="D3712" t="inlineStr">
        <is>
          <t>مساءا</t>
        </is>
      </c>
      <c r="E3712" t="n">
        <v>510</v>
      </c>
      <c r="F3712" t="b">
        <v>1</v>
      </c>
      <c r="G3712">
        <f>HYPERLINK("https://www.google.com/maps/search/?api=1&amp;query=24.85500732,46.84684564", "View Map")</f>
        <v/>
      </c>
    </row>
    <row r="3713">
      <c r="A3713" t="inlineStr">
        <is>
          <t>مسجد حى  نمار .</t>
        </is>
      </c>
      <c r="B3713" t="inlineStr">
        <is>
          <t>KFM2020660203229</t>
        </is>
      </c>
      <c r="C3713" t="inlineStr">
        <is>
          <t>الرياض</t>
        </is>
      </c>
      <c r="D3713" t="inlineStr">
        <is>
          <t>مساءا</t>
        </is>
      </c>
      <c r="E3713" t="n">
        <v>510</v>
      </c>
      <c r="F3713" t="b">
        <v>0</v>
      </c>
      <c r="G3713">
        <f>HYPERLINK("https://www.google.com/maps/search/?api=1&amp;query=24.57072287,46.68936209", "View Map")</f>
        <v/>
      </c>
    </row>
    <row r="3714">
      <c r="A3714" t="inlineStr">
        <is>
          <t xml:space="preserve">   مسجد حى الورود .</t>
        </is>
      </c>
      <c r="B3714" t="inlineStr">
        <is>
          <t>KFM2020660165578</t>
        </is>
      </c>
      <c r="C3714" t="inlineStr">
        <is>
          <t>الرياض</t>
        </is>
      </c>
      <c r="D3714" t="inlineStr">
        <is>
          <t>صباحا</t>
        </is>
      </c>
      <c r="E3714" t="n">
        <v>510</v>
      </c>
      <c r="F3714" t="b">
        <v>0</v>
      </c>
      <c r="G3714">
        <f>HYPERLINK("https://www.google.com/maps/search/?api=1&amp;query=24.71953425,46.68268026", "View Map")</f>
        <v/>
      </c>
    </row>
    <row r="3715">
      <c r="A3715" t="inlineStr">
        <is>
          <t>ﻤﺴﺎﺠﺩ .</t>
        </is>
      </c>
      <c r="B3715" t="inlineStr">
        <is>
          <t>MMF2420601026026</t>
        </is>
      </c>
      <c r="C3715" t="inlineStr">
        <is>
          <t>الرياض</t>
        </is>
      </c>
      <c r="D3715" t="inlineStr">
        <is>
          <t>مساءا</t>
        </is>
      </c>
      <c r="E3715" t="n">
        <v>510</v>
      </c>
      <c r="F3715" t="b">
        <v>0</v>
      </c>
      <c r="G3715">
        <f>HYPERLINK("https://www.google.com/maps/search/?api=1&amp;query=24.6521277,46.5051015", "View Map")</f>
        <v/>
      </c>
    </row>
    <row r="3716">
      <c r="A3716" t="inlineStr">
        <is>
          <t xml:space="preserve">   مسجد حي السلام .</t>
        </is>
      </c>
      <c r="B3716" t="inlineStr">
        <is>
          <t>KFM2020660045958</t>
        </is>
      </c>
      <c r="C3716" t="inlineStr">
        <is>
          <t>الرياض</t>
        </is>
      </c>
      <c r="D3716" t="inlineStr">
        <is>
          <t>مساءا</t>
        </is>
      </c>
      <c r="E3716" t="n">
        <v>509</v>
      </c>
      <c r="F3716" t="b">
        <v>0</v>
      </c>
      <c r="G3716">
        <f>HYPERLINK("https://www.google.com/maps/search/?api=1&amp;query=24.70293401,46.80903975", "View Map")</f>
        <v/>
      </c>
    </row>
    <row r="3717">
      <c r="A3717" t="inlineStr">
        <is>
          <t xml:space="preserve">   مسجد عمر بن الخطاب .</t>
        </is>
      </c>
      <c r="B3717" t="inlineStr">
        <is>
          <t>KFM2020660007252</t>
        </is>
      </c>
      <c r="C3717" t="inlineStr">
        <is>
          <t>الرياض</t>
        </is>
      </c>
      <c r="D3717" t="inlineStr">
        <is>
          <t>صباحا</t>
        </is>
      </c>
      <c r="E3717" t="n">
        <v>509</v>
      </c>
      <c r="F3717" t="b">
        <v>0</v>
      </c>
      <c r="G3717">
        <f>HYPERLINK("https://www.google.com/maps/search/?api=1&amp;query=24.67731411,46.58313015", "View Map")</f>
        <v/>
      </c>
    </row>
    <row r="3718">
      <c r="A3718" t="inlineStr">
        <is>
          <t>ﻭﺯﺍﺭﺓﺍﻟﺸﺌﻭﻥ ﺍﻻﺴﻼﻤﻴﺓﻭﺍﻻﻭﻗﺎﻑ .</t>
        </is>
      </c>
      <c r="B3718" t="inlineStr">
        <is>
          <t>AEC2020830033947</t>
        </is>
      </c>
      <c r="C3718" t="inlineStr">
        <is>
          <t>الرياض</t>
        </is>
      </c>
      <c r="D3718" t="inlineStr">
        <is>
          <t>مساءا</t>
        </is>
      </c>
      <c r="E3718" t="n">
        <v>509</v>
      </c>
      <c r="F3718" t="b">
        <v>0</v>
      </c>
      <c r="G3718">
        <f>HYPERLINK("https://www.google.com/maps/search/?api=1&amp;query=24.52432236,46.63794522", "View Map")</f>
        <v/>
      </c>
    </row>
    <row r="3719">
      <c r="A3719" t="inlineStr">
        <is>
          <t>0    مسجد      القرينى .</t>
        </is>
      </c>
      <c r="B3719" t="inlineStr">
        <is>
          <t>KFM2020660057779</t>
        </is>
      </c>
      <c r="C3719" t="inlineStr">
        <is>
          <t>الرياض</t>
        </is>
      </c>
      <c r="D3719" t="inlineStr">
        <is>
          <t>مساءا</t>
        </is>
      </c>
      <c r="E3719" t="n">
        <v>509</v>
      </c>
      <c r="F3719" t="b">
        <v>0</v>
      </c>
      <c r="G3719">
        <f>HYPERLINK("https://www.google.com/maps/search/?api=1&amp;query=24.57430126,46.60961395", "View Map")</f>
        <v/>
      </c>
    </row>
    <row r="3720">
      <c r="A3720" t="inlineStr">
        <is>
          <t>مسجد /طارق  بن زياد .</t>
        </is>
      </c>
      <c r="B3720" t="inlineStr">
        <is>
          <t>KFM2020660198450</t>
        </is>
      </c>
      <c r="C3720" t="inlineStr">
        <is>
          <t>الرياض</t>
        </is>
      </c>
      <c r="D3720" t="inlineStr">
        <is>
          <t>مساءا</t>
        </is>
      </c>
      <c r="E3720" t="n">
        <v>508</v>
      </c>
      <c r="F3720" t="b">
        <v>0</v>
      </c>
      <c r="G3720">
        <f>HYPERLINK("https://www.google.com/maps/search/?api=1&amp;query=24.57384886,46.71337917", "View Map")</f>
        <v/>
      </c>
    </row>
    <row r="3721">
      <c r="A3721" t="inlineStr">
        <is>
          <t>مسجد الشيخ  عبدالعزيز عبدالله .</t>
        </is>
      </c>
      <c r="B3721" t="inlineStr">
        <is>
          <t>KFM2020660006630</t>
        </is>
      </c>
      <c r="C3721" t="inlineStr">
        <is>
          <t>الرياض</t>
        </is>
      </c>
      <c r="D3721" t="inlineStr">
        <is>
          <t>صباحا</t>
        </is>
      </c>
      <c r="E3721" t="n">
        <v>508</v>
      </c>
      <c r="F3721" t="b">
        <v>0</v>
      </c>
      <c r="G3721">
        <f>HYPERLINK("https://www.google.com/maps/search/?api=1&amp;query=24.6119,46.7258", "View Map")</f>
        <v/>
      </c>
    </row>
    <row r="3722">
      <c r="A3722" t="inlineStr">
        <is>
          <t xml:space="preserve">   مسجد      حي        النهضه .</t>
        </is>
      </c>
      <c r="B3722" t="inlineStr">
        <is>
          <t>KFM2020660025504</t>
        </is>
      </c>
      <c r="C3722" t="inlineStr">
        <is>
          <t>الرياض</t>
        </is>
      </c>
      <c r="D3722" t="inlineStr">
        <is>
          <t>صباحا</t>
        </is>
      </c>
      <c r="E3722" t="n">
        <v>508</v>
      </c>
      <c r="F3722" t="b">
        <v>0</v>
      </c>
      <c r="G3722">
        <f>HYPERLINK("https://www.google.com/maps/search/?api=1&amp;query=24.75719664,46.80775008", "View Map")</f>
        <v/>
      </c>
    </row>
    <row r="3723">
      <c r="A3723" t="inlineStr">
        <is>
          <t>مساجد .</t>
        </is>
      </c>
      <c r="B3723" t="inlineStr">
        <is>
          <t>KFM2020660187965</t>
        </is>
      </c>
      <c r="C3723" t="inlineStr">
        <is>
          <t>الرياض</t>
        </is>
      </c>
      <c r="D3723" t="inlineStr">
        <is>
          <t>مساءا</t>
        </is>
      </c>
      <c r="E3723" t="n">
        <v>508</v>
      </c>
      <c r="F3723" t="b">
        <v>0</v>
      </c>
      <c r="G3723">
        <f>HYPERLINK("https://www.google.com/maps/search/?api=1&amp;query=24.81570469,46.6055563", "View Map")</f>
        <v/>
      </c>
    </row>
    <row r="3724">
      <c r="A3724" t="inlineStr">
        <is>
          <t>ﻭﺯﺍﺭﺓﺍﻟﺸﺌﻭﻥ ﺍﻻﺴﻼﻤﻴﺓﻭﺍﻻﻭﻗﺎﻑ .</t>
        </is>
      </c>
      <c r="B3724" t="inlineStr">
        <is>
          <t>KFM2020660202454</t>
        </is>
      </c>
      <c r="C3724" t="inlineStr">
        <is>
          <t>الرياض</t>
        </is>
      </c>
      <c r="D3724" t="inlineStr">
        <is>
          <t>مساءا</t>
        </is>
      </c>
      <c r="E3724" t="n">
        <v>508</v>
      </c>
      <c r="F3724" t="b">
        <v>1</v>
      </c>
      <c r="G3724">
        <f>HYPERLINK("https://www.google.com/maps/search/?api=1&amp;query=24.55851379,46.53840205", "View Map")</f>
        <v/>
      </c>
    </row>
    <row r="3725">
      <c r="A3725" t="inlineStr">
        <is>
          <t xml:space="preserve">   مسجد الحسن بحي الصحافه .</t>
        </is>
      </c>
      <c r="B3725" t="inlineStr">
        <is>
          <t>KFM2020660135664</t>
        </is>
      </c>
      <c r="C3725" t="inlineStr">
        <is>
          <t>الرياض</t>
        </is>
      </c>
      <c r="D3725" t="inlineStr">
        <is>
          <t>مساءا</t>
        </is>
      </c>
      <c r="E3725" t="n">
        <v>508</v>
      </c>
      <c r="F3725" t="b">
        <v>0</v>
      </c>
      <c r="G3725">
        <f>HYPERLINK("https://www.google.com/maps/search/?api=1&amp;query=24.80554309,46.63418568", "View Map")</f>
        <v/>
      </c>
    </row>
    <row r="3726">
      <c r="A3726" t="inlineStr">
        <is>
          <t>ﻤﺴﺎﺠﺩ .</t>
        </is>
      </c>
      <c r="B3726" t="inlineStr">
        <is>
          <t>KFM2020660204441</t>
        </is>
      </c>
      <c r="C3726" t="inlineStr">
        <is>
          <t>الرياض</t>
        </is>
      </c>
      <c r="D3726" t="inlineStr">
        <is>
          <t>مساءا</t>
        </is>
      </c>
      <c r="E3726" t="n">
        <v>507</v>
      </c>
      <c r="F3726" t="b">
        <v>0</v>
      </c>
      <c r="G3726">
        <f>HYPERLINK("https://www.google.com/maps/search/?api=1&amp;query=24.77103029,46.65556605", "View Map")</f>
        <v/>
      </c>
    </row>
    <row r="3727">
      <c r="A3727" t="inlineStr">
        <is>
          <t>مسجد / خليل  السبعان .</t>
        </is>
      </c>
      <c r="B3727" t="inlineStr">
        <is>
          <t>KFM2020766093993</t>
        </is>
      </c>
      <c r="C3727" t="inlineStr">
        <is>
          <t>الرياض</t>
        </is>
      </c>
      <c r="D3727" t="inlineStr">
        <is>
          <t>مساءا</t>
        </is>
      </c>
      <c r="E3727" t="n">
        <v>507</v>
      </c>
      <c r="F3727" t="b">
        <v>0</v>
      </c>
      <c r="G3727">
        <f>HYPERLINK("https://www.google.com/maps/search/?api=1&amp;query=24.55717854,46.71781796", "View Map")</f>
        <v/>
      </c>
    </row>
    <row r="3728">
      <c r="A3728" t="inlineStr">
        <is>
          <t xml:space="preserve">   مسجد عمر بن الخطاب .</t>
        </is>
      </c>
      <c r="B3728" t="inlineStr">
        <is>
          <t>KFM2020660054559</t>
        </is>
      </c>
      <c r="C3728" t="inlineStr">
        <is>
          <t>الرياض</t>
        </is>
      </c>
      <c r="D3728" t="inlineStr">
        <is>
          <t>مساءا</t>
        </is>
      </c>
      <c r="E3728" t="n">
        <v>507</v>
      </c>
      <c r="F3728" t="b">
        <v>0</v>
      </c>
      <c r="G3728">
        <f>HYPERLINK("https://www.google.com/maps/search/?api=1&amp;query=24.72034708,46.84046907", "View Map")</f>
        <v/>
      </c>
    </row>
    <row r="3729">
      <c r="A3729" t="inlineStr">
        <is>
          <t xml:space="preserve">   جامع الشلوي .</t>
        </is>
      </c>
      <c r="B3729" t="inlineStr">
        <is>
          <t>KFM2020660057084</t>
        </is>
      </c>
      <c r="C3729" t="inlineStr">
        <is>
          <t>الرياض</t>
        </is>
      </c>
      <c r="D3729" t="inlineStr">
        <is>
          <t>مساءا</t>
        </is>
      </c>
      <c r="E3729" t="n">
        <v>507</v>
      </c>
      <c r="F3729" t="b">
        <v>0</v>
      </c>
      <c r="G3729">
        <f>HYPERLINK("https://www.google.com/maps/search/?api=1&amp;query=24.72577575,46.83063556", "View Map")</f>
        <v/>
      </c>
    </row>
    <row r="3730">
      <c r="A3730" t="inlineStr">
        <is>
          <t>ﻤﺴﺎﺠﺩ .</t>
        </is>
      </c>
      <c r="B3730" t="inlineStr">
        <is>
          <t>KFM2120660292190</t>
        </is>
      </c>
      <c r="C3730" t="inlineStr">
        <is>
          <t>الدرعية</t>
        </is>
      </c>
      <c r="D3730" t="inlineStr">
        <is>
          <t>صباحا</t>
        </is>
      </c>
      <c r="E3730" t="n">
        <v>507</v>
      </c>
      <c r="F3730" t="b">
        <v>0</v>
      </c>
      <c r="G3730">
        <f>HYPERLINK("https://www.google.com/maps/search/?api=1&amp;query=24.90233057,46.30434206", "View Map")</f>
        <v/>
      </c>
    </row>
    <row r="3731">
      <c r="A3731" t="inlineStr">
        <is>
          <t xml:space="preserve">   مسجد عبدالرحمن الشاعر .</t>
        </is>
      </c>
      <c r="B3731" t="inlineStr">
        <is>
          <t>KFM2020660053526</t>
        </is>
      </c>
      <c r="C3731" t="inlineStr">
        <is>
          <t>الرياض</t>
        </is>
      </c>
      <c r="D3731" t="inlineStr">
        <is>
          <t>صباحا</t>
        </is>
      </c>
      <c r="E3731" t="n">
        <v>507</v>
      </c>
      <c r="F3731" t="b">
        <v>0</v>
      </c>
      <c r="G3731">
        <f>HYPERLINK("https://www.google.com/maps/search/?api=1&amp;query=24.73857131,46.77395375", "View Map")</f>
        <v/>
      </c>
    </row>
    <row r="3732">
      <c r="A3732" t="inlineStr">
        <is>
          <t>مسجد الخراشى .</t>
        </is>
      </c>
      <c r="B3732" t="inlineStr">
        <is>
          <t>KFM2020660055004</t>
        </is>
      </c>
      <c r="C3732" t="inlineStr">
        <is>
          <t>الرياض</t>
        </is>
      </c>
      <c r="D3732" t="inlineStr">
        <is>
          <t>مساءا</t>
        </is>
      </c>
      <c r="E3732" t="n">
        <v>506</v>
      </c>
      <c r="F3732" t="b">
        <v>1</v>
      </c>
      <c r="G3732">
        <f>HYPERLINK("https://www.google.com/maps/search/?api=1&amp;query=24.59283752,46.64587898", "View Map")</f>
        <v/>
      </c>
    </row>
    <row r="3733">
      <c r="A3733" t="inlineStr">
        <is>
          <t xml:space="preserve">   مسجد ال جامش .</t>
        </is>
      </c>
      <c r="B3733" t="inlineStr">
        <is>
          <t>KFM2020660144705</t>
        </is>
      </c>
      <c r="C3733" t="inlineStr">
        <is>
          <t>الرياض</t>
        </is>
      </c>
      <c r="D3733" t="inlineStr">
        <is>
          <t>مساءا</t>
        </is>
      </c>
      <c r="E3733" t="n">
        <v>505</v>
      </c>
      <c r="F3733" t="b">
        <v>0</v>
      </c>
      <c r="G3733">
        <f>HYPERLINK("https://www.google.com/maps/search/?api=1&amp;query=24.79980031,46.78066347", "View Map")</f>
        <v/>
      </c>
    </row>
    <row r="3734">
      <c r="A3734" t="inlineStr">
        <is>
          <t>ﻭﺯﺍﺭﺓﺍﻟﺸﺌﻭﻥ ﺍﻻﺴﻼﻤﻴﺓﻭﺍﻻﻭﻗﺎﻑ .</t>
        </is>
      </c>
      <c r="B3734" t="inlineStr">
        <is>
          <t>KFM2020660175002</t>
        </is>
      </c>
      <c r="C3734" t="inlineStr">
        <is>
          <t>الرياض</t>
        </is>
      </c>
      <c r="D3734" t="inlineStr">
        <is>
          <t>مساءا</t>
        </is>
      </c>
      <c r="E3734" t="n">
        <v>505</v>
      </c>
      <c r="F3734" t="b">
        <v>0</v>
      </c>
      <c r="G3734">
        <f>HYPERLINK("https://www.google.com/maps/search/?api=1&amp;query=24.51399553,46.67858352", "View Map")</f>
        <v/>
      </c>
    </row>
    <row r="3735">
      <c r="A3735" t="inlineStr">
        <is>
          <t xml:space="preserve">   مسجدعثمان العثمان .</t>
        </is>
      </c>
      <c r="B3735" t="inlineStr">
        <is>
          <t>KFM2020660211387</t>
        </is>
      </c>
      <c r="C3735" t="inlineStr">
        <is>
          <t>الرياض</t>
        </is>
      </c>
      <c r="D3735" t="inlineStr">
        <is>
          <t>صباحا</t>
        </is>
      </c>
      <c r="E3735" t="n">
        <v>504</v>
      </c>
      <c r="F3735" t="b">
        <v>0</v>
      </c>
      <c r="G3735">
        <f>HYPERLINK("https://www.google.com/maps/search/?api=1&amp;query=24.78883732,46.68569906", "View Map")</f>
        <v/>
      </c>
    </row>
    <row r="3736">
      <c r="A3736" t="inlineStr">
        <is>
          <t>مسجد      محمد      بن عبدالوهاب .</t>
        </is>
      </c>
      <c r="B3736" t="inlineStr">
        <is>
          <t>KFM2020660171573</t>
        </is>
      </c>
      <c r="C3736" t="inlineStr">
        <is>
          <t>الرياض</t>
        </is>
      </c>
      <c r="D3736" t="inlineStr">
        <is>
          <t>مساءا</t>
        </is>
      </c>
      <c r="E3736" t="n">
        <v>504</v>
      </c>
      <c r="F3736" t="b">
        <v>1</v>
      </c>
      <c r="G3736">
        <f>HYPERLINK("https://www.google.com/maps/search/?api=1&amp;query=24.54986692,46.69962082", "View Map")</f>
        <v/>
      </c>
    </row>
    <row r="3737">
      <c r="A3737" t="inlineStr">
        <is>
          <t>مسجد ابو دجانه .</t>
        </is>
      </c>
      <c r="B3737" t="inlineStr">
        <is>
          <t>KFM2020660052771</t>
        </is>
      </c>
      <c r="C3737" t="inlineStr">
        <is>
          <t>الرياض</t>
        </is>
      </c>
      <c r="D3737" t="inlineStr">
        <is>
          <t>مساءا</t>
        </is>
      </c>
      <c r="E3737" t="n">
        <v>504</v>
      </c>
      <c r="F3737" t="b">
        <v>0</v>
      </c>
      <c r="G3737">
        <f>HYPERLINK("https://www.google.com/maps/search/?api=1&amp;query=24.5882463,46.59399297", "View Map")</f>
        <v/>
      </c>
    </row>
    <row r="3738">
      <c r="A3738" t="inlineStr">
        <is>
          <t xml:space="preserve">   مسجد العبيد .</t>
        </is>
      </c>
      <c r="B3738" t="inlineStr">
        <is>
          <t>KFM2020660135854</t>
        </is>
      </c>
      <c r="C3738" t="inlineStr">
        <is>
          <t>الرياض</t>
        </is>
      </c>
      <c r="D3738" t="inlineStr">
        <is>
          <t>مساءا</t>
        </is>
      </c>
      <c r="E3738" t="n">
        <v>503</v>
      </c>
      <c r="F3738" t="b">
        <v>0</v>
      </c>
      <c r="G3738">
        <f>HYPERLINK("https://www.google.com/maps/search/?api=1&amp;query=24.81996131,46.61316041", "View Map")</f>
        <v/>
      </c>
    </row>
    <row r="3739">
      <c r="A3739" t="inlineStr">
        <is>
          <t>ﻭﺯﺍﺭﺓﺍﻟﺸﺌﻭﻥ ﺍﻻﺴﻼﻤﻴﺓﻭﺍﻻﻭﻗﺎﻑ .</t>
        </is>
      </c>
      <c r="B3739" t="inlineStr">
        <is>
          <t>KFM2020660051464</t>
        </is>
      </c>
      <c r="C3739" t="inlineStr">
        <is>
          <t>الرياض</t>
        </is>
      </c>
      <c r="D3739" t="inlineStr">
        <is>
          <t>مساءا</t>
        </is>
      </c>
      <c r="E3739" t="n">
        <v>503</v>
      </c>
      <c r="F3739" t="b">
        <v>0</v>
      </c>
      <c r="G3739">
        <f>HYPERLINK("https://www.google.com/maps/search/?api=1&amp;query=24.51085352,46.68135624", "View Map")</f>
        <v/>
      </c>
    </row>
    <row r="3740">
      <c r="A3740" t="inlineStr">
        <is>
          <t>ﻭﺯﺍﺭﺓﺍﻟﺸﺌﻭﻥ ﺍﻻﺴﻼﻤﻴﺓﻭﺍﻻﻭﻗﺎﻑ .</t>
        </is>
      </c>
      <c r="B3740" t="inlineStr">
        <is>
          <t>KFM2020660231139</t>
        </is>
      </c>
      <c r="C3740" t="inlineStr">
        <is>
          <t>الرياض</t>
        </is>
      </c>
      <c r="D3740" t="inlineStr">
        <is>
          <t>مساءا</t>
        </is>
      </c>
      <c r="E3740" t="n">
        <v>503</v>
      </c>
      <c r="F3740" t="b">
        <v>0</v>
      </c>
      <c r="G3740">
        <f>HYPERLINK("https://www.google.com/maps/search/?api=1&amp;query=24.6715883,46.5505835", "View Map")</f>
        <v/>
      </c>
    </row>
    <row r="3741">
      <c r="A3741" t="inlineStr">
        <is>
          <t>ﻤﺴﺎﺠﺩ .</t>
        </is>
      </c>
      <c r="B3741" t="inlineStr">
        <is>
          <t>SMR2320661022935</t>
        </is>
      </c>
      <c r="C3741" t="inlineStr">
        <is>
          <t>الرياض</t>
        </is>
      </c>
      <c r="D3741" t="inlineStr">
        <is>
          <t>مساءا</t>
        </is>
      </c>
      <c r="E3741" t="n">
        <v>503</v>
      </c>
      <c r="F3741" t="b">
        <v>0</v>
      </c>
      <c r="G3741">
        <f>HYPERLINK("https://www.google.com/maps/search/?api=1&amp;query=24.64713614,46.52066565", "View Map")</f>
        <v/>
      </c>
    </row>
    <row r="3742">
      <c r="A3742" t="inlineStr">
        <is>
          <t>مسجد      صناعية  الجود بحي الشفا .</t>
        </is>
      </c>
      <c r="B3742" t="inlineStr">
        <is>
          <t>KFM2020660057829</t>
        </is>
      </c>
      <c r="C3742" t="inlineStr">
        <is>
          <t>الرياض</t>
        </is>
      </c>
      <c r="D3742" t="inlineStr">
        <is>
          <t>مساءا</t>
        </is>
      </c>
      <c r="E3742" t="n">
        <v>503</v>
      </c>
      <c r="F3742" t="b">
        <v>0</v>
      </c>
      <c r="G3742">
        <f>HYPERLINK("https://www.google.com/maps/search/?api=1&amp;query=24.58192621,46.74366794", "View Map")</f>
        <v/>
      </c>
    </row>
    <row r="3743">
      <c r="A3743" t="inlineStr">
        <is>
          <t>ﻤﺴﺎﺠﺩ .</t>
        </is>
      </c>
      <c r="B3743" t="inlineStr">
        <is>
          <t>SMR2020865008909</t>
        </is>
      </c>
      <c r="C3743" t="inlineStr">
        <is>
          <t>الرياض</t>
        </is>
      </c>
      <c r="D3743" t="inlineStr">
        <is>
          <t>مساءا</t>
        </is>
      </c>
      <c r="E3743" t="n">
        <v>502</v>
      </c>
      <c r="F3743" t="b">
        <v>0</v>
      </c>
      <c r="G3743">
        <f>HYPERLINK("https://www.google.com/maps/search/?api=1&amp;query=24.72797,46.85068", "View Map")</f>
        <v/>
      </c>
    </row>
    <row r="3744">
      <c r="A3744" t="inlineStr">
        <is>
          <t>مسجد سموالا مير/سلمان .</t>
        </is>
      </c>
      <c r="B3744" t="inlineStr">
        <is>
          <t>KFM2020660015281</t>
        </is>
      </c>
      <c r="C3744" t="inlineStr">
        <is>
          <t>الرياض</t>
        </is>
      </c>
      <c r="D3744" t="inlineStr">
        <is>
          <t>مساءا</t>
        </is>
      </c>
      <c r="E3744" t="n">
        <v>502</v>
      </c>
      <c r="F3744" t="b">
        <v>0</v>
      </c>
      <c r="G3744">
        <f>HYPERLINK("https://www.google.com/maps/search/?api=1&amp;query=24.58327794,46.56908346", "View Map")</f>
        <v/>
      </c>
    </row>
    <row r="3745">
      <c r="A3745" t="inlineStr">
        <is>
          <t>ﻤﺴﺎﺠﺩ .</t>
        </is>
      </c>
      <c r="B3745" t="inlineStr">
        <is>
          <t>SMR2420761037868</t>
        </is>
      </c>
      <c r="C3745" t="inlineStr">
        <is>
          <t>الرياض</t>
        </is>
      </c>
      <c r="D3745" t="inlineStr">
        <is>
          <t>مساءا</t>
        </is>
      </c>
      <c r="E3745" t="n">
        <v>502</v>
      </c>
      <c r="F3745" t="b">
        <v>0</v>
      </c>
      <c r="G3745">
        <f>HYPERLINK("https://www.google.com/maps/search/?api=1&amp;query=24.78918221,46.90390026", "View Map")</f>
        <v/>
      </c>
    </row>
    <row r="3746">
      <c r="A3746" t="inlineStr">
        <is>
          <t xml:space="preserve">   مسجد      المعتق    . .</t>
        </is>
      </c>
      <c r="B3746" t="inlineStr">
        <is>
          <t>KFM2020660145914</t>
        </is>
      </c>
      <c r="C3746" t="inlineStr">
        <is>
          <t>الرياض</t>
        </is>
      </c>
      <c r="D3746" t="inlineStr">
        <is>
          <t>مساءا</t>
        </is>
      </c>
      <c r="E3746" t="n">
        <v>502</v>
      </c>
      <c r="F3746" t="b">
        <v>1</v>
      </c>
      <c r="G3746">
        <f>HYPERLINK("https://www.google.com/maps/search/?api=1&amp;query=24.80691605,46.64255231", "View Map")</f>
        <v/>
      </c>
    </row>
    <row r="3747">
      <c r="A3747" t="inlineStr">
        <is>
          <t>ﻤﺴﺎﺠﺩ .</t>
        </is>
      </c>
      <c r="B3747" t="inlineStr">
        <is>
          <t>MMF2420601016424</t>
        </is>
      </c>
      <c r="C3747" t="inlineStr">
        <is>
          <t>الرياض</t>
        </is>
      </c>
      <c r="D3747" t="inlineStr">
        <is>
          <t>مساءا</t>
        </is>
      </c>
      <c r="E3747" t="n">
        <v>502</v>
      </c>
      <c r="F3747" t="b">
        <v>0</v>
      </c>
      <c r="G3747">
        <f>HYPERLINK("https://www.google.com/maps/search/?api=1&amp;query=0.0,0.0", "View Map")</f>
        <v/>
      </c>
    </row>
    <row r="3748">
      <c r="A3748" t="inlineStr">
        <is>
          <t>مسجد الناصر .</t>
        </is>
      </c>
      <c r="B3748" t="inlineStr">
        <is>
          <t>KFM2020660162232</t>
        </is>
      </c>
      <c r="C3748" t="inlineStr">
        <is>
          <t>الرياض</t>
        </is>
      </c>
      <c r="D3748" t="inlineStr">
        <is>
          <t>مساءا</t>
        </is>
      </c>
      <c r="E3748" t="n">
        <v>501</v>
      </c>
      <c r="F3748" t="b">
        <v>0</v>
      </c>
      <c r="G3748">
        <f>HYPERLINK("https://www.google.com/maps/search/?api=1&amp;query=24.55116424,46.78306951", "View Map")</f>
        <v/>
      </c>
    </row>
    <row r="3749">
      <c r="A3749" t="inlineStr">
        <is>
          <t>مسجد /    الشيخ      الرصيص .</t>
        </is>
      </c>
      <c r="B3749" t="inlineStr">
        <is>
          <t>KFM2020660051559</t>
        </is>
      </c>
      <c r="C3749" t="inlineStr">
        <is>
          <t>الرياض</t>
        </is>
      </c>
      <c r="D3749" t="inlineStr">
        <is>
          <t>مساءا</t>
        </is>
      </c>
      <c r="E3749" t="n">
        <v>501</v>
      </c>
      <c r="F3749" t="b">
        <v>0</v>
      </c>
      <c r="G3749">
        <f>HYPERLINK("https://www.google.com/maps/search/?api=1&amp;query=24.60179574,46.63637335", "View Map")</f>
        <v/>
      </c>
    </row>
    <row r="3750">
      <c r="A3750" t="inlineStr">
        <is>
          <t xml:space="preserve">   مسجد الاسلام .</t>
        </is>
      </c>
      <c r="B3750" t="inlineStr">
        <is>
          <t>KFM2020660195063</t>
        </is>
      </c>
      <c r="C3750" t="inlineStr">
        <is>
          <t>الرياض</t>
        </is>
      </c>
      <c r="D3750" t="inlineStr">
        <is>
          <t>صباحا</t>
        </is>
      </c>
      <c r="E3750" t="n">
        <v>500</v>
      </c>
      <c r="F3750" t="b">
        <v>0</v>
      </c>
      <c r="G3750">
        <f>HYPERLINK("https://www.google.com/maps/search/?api=1&amp;query=24.814851,46.89511", "View Map")</f>
        <v/>
      </c>
    </row>
    <row r="3751">
      <c r="A3751" t="inlineStr">
        <is>
          <t>وزارة الشئون الا سلا مية والااوقاف .</t>
        </is>
      </c>
      <c r="B3751" t="inlineStr">
        <is>
          <t>KFM2020660201622</t>
        </is>
      </c>
      <c r="C3751" t="inlineStr">
        <is>
          <t>الرياض</t>
        </is>
      </c>
      <c r="D3751" t="inlineStr">
        <is>
          <t>مساءا</t>
        </is>
      </c>
      <c r="E3751" t="n">
        <v>500</v>
      </c>
      <c r="F3751" t="b">
        <v>0</v>
      </c>
      <c r="G3751">
        <f>HYPERLINK("https://www.google.com/maps/search/?api=1&amp;query=24.56088242,46.71798948", "View Map")</f>
        <v/>
      </c>
    </row>
    <row r="3752">
      <c r="A3752" t="inlineStr">
        <is>
          <t xml:space="preserve">   مسجد السديس .</t>
        </is>
      </c>
      <c r="B3752" t="inlineStr">
        <is>
          <t>KFM2020660036484</t>
        </is>
      </c>
      <c r="C3752" t="inlineStr">
        <is>
          <t>الرياض</t>
        </is>
      </c>
      <c r="D3752" t="inlineStr">
        <is>
          <t>مساءا</t>
        </is>
      </c>
      <c r="E3752" t="n">
        <v>500</v>
      </c>
      <c r="F3752" t="b">
        <v>1</v>
      </c>
      <c r="G3752">
        <f>HYPERLINK("https://www.google.com/maps/search/?api=1&amp;query=24.72485281,46.81306006", "View Map")</f>
        <v/>
      </c>
    </row>
    <row r="3753">
      <c r="A3753" t="inlineStr">
        <is>
          <t xml:space="preserve">   مسجد محمد زيد الغنام وحرمه .</t>
        </is>
      </c>
      <c r="B3753" t="inlineStr">
        <is>
          <t>KFM2120660254599</t>
        </is>
      </c>
      <c r="C3753" t="inlineStr">
        <is>
          <t>الرياض</t>
        </is>
      </c>
      <c r="D3753" t="inlineStr">
        <is>
          <t>مساءا</t>
        </is>
      </c>
      <c r="E3753" t="n">
        <v>500</v>
      </c>
      <c r="F3753" t="b">
        <v>0</v>
      </c>
      <c r="G3753">
        <f>HYPERLINK("https://www.google.com/maps/search/?api=1&amp;query=24.59157332,46.76814823", "View Map")</f>
        <v/>
      </c>
    </row>
    <row r="3754">
      <c r="A3754" t="inlineStr">
        <is>
          <t xml:space="preserve">   مسجد النور .</t>
        </is>
      </c>
      <c r="B3754" t="inlineStr">
        <is>
          <t>KFM2020660198565</t>
        </is>
      </c>
      <c r="C3754" t="inlineStr">
        <is>
          <t>الرياض</t>
        </is>
      </c>
      <c r="D3754" t="inlineStr">
        <is>
          <t>مساءا</t>
        </is>
      </c>
      <c r="E3754" t="n">
        <v>500</v>
      </c>
      <c r="F3754" t="b">
        <v>1</v>
      </c>
      <c r="G3754">
        <f>HYPERLINK("https://www.google.com/maps/search/?api=1&amp;query=24.64559399,46.54794048", "View Map")</f>
        <v/>
      </c>
    </row>
    <row r="3755">
      <c r="A3755" t="inlineStr">
        <is>
          <t xml:space="preserve">   مسجد عمر بن الخطاب .</t>
        </is>
      </c>
      <c r="B3755" t="inlineStr">
        <is>
          <t>KFM2120660304169</t>
        </is>
      </c>
      <c r="C3755" t="inlineStr">
        <is>
          <t>الرياض</t>
        </is>
      </c>
      <c r="D3755" t="inlineStr">
        <is>
          <t>مساءا</t>
        </is>
      </c>
      <c r="E3755" t="n">
        <v>500</v>
      </c>
      <c r="F3755" t="b">
        <v>0</v>
      </c>
      <c r="G3755">
        <f>HYPERLINK("https://www.google.com/maps/search/?api=1&amp;query=24.60079956,46.74184377", "View Map")</f>
        <v/>
      </c>
    </row>
    <row r="3756">
      <c r="A3756" t="inlineStr">
        <is>
          <t xml:space="preserve">   مسجد حي السلي .</t>
        </is>
      </c>
      <c r="B3756" t="inlineStr">
        <is>
          <t>KFM2120660274130</t>
        </is>
      </c>
      <c r="C3756" t="inlineStr">
        <is>
          <t>الرياض</t>
        </is>
      </c>
      <c r="D3756" t="inlineStr">
        <is>
          <t>مساءا</t>
        </is>
      </c>
      <c r="E3756" t="n">
        <v>499</v>
      </c>
      <c r="F3756" t="b">
        <v>0</v>
      </c>
      <c r="G3756">
        <f>HYPERLINK("https://www.google.com/maps/search/?api=1&amp;query=24.67100013,46.84986766", "View Map")</f>
        <v/>
      </c>
    </row>
    <row r="3757">
      <c r="A3757" t="inlineStr">
        <is>
          <t xml:space="preserve">   مسجد حمد السعيدان .</t>
        </is>
      </c>
      <c r="B3757" t="inlineStr">
        <is>
          <t>KFM2020660190484</t>
        </is>
      </c>
      <c r="C3757" t="inlineStr">
        <is>
          <t>الرياض</t>
        </is>
      </c>
      <c r="D3757" t="inlineStr">
        <is>
          <t>صباحا</t>
        </is>
      </c>
      <c r="E3757" t="n">
        <v>499</v>
      </c>
      <c r="F3757" t="b">
        <v>0</v>
      </c>
      <c r="G3757">
        <f>HYPERLINK("https://www.google.com/maps/search/?api=1&amp;query=24.76882868,46.68191664", "View Map")</f>
        <v/>
      </c>
    </row>
    <row r="3758">
      <c r="A3758" t="inlineStr">
        <is>
          <t>مسجد القاسم .</t>
        </is>
      </c>
      <c r="B3758" t="inlineStr">
        <is>
          <t>KFM2020660099023</t>
        </is>
      </c>
      <c r="C3758" t="inlineStr">
        <is>
          <t>الرياض</t>
        </is>
      </c>
      <c r="D3758" t="inlineStr">
        <is>
          <t>صباحا</t>
        </is>
      </c>
      <c r="E3758" t="n">
        <v>499</v>
      </c>
      <c r="F3758" t="b">
        <v>0</v>
      </c>
      <c r="G3758">
        <f>HYPERLINK("https://www.google.com/maps/search/?api=1&amp;query=24.61757667,46.69805552", "View Map")</f>
        <v/>
      </c>
    </row>
    <row r="3759">
      <c r="A3759" t="inlineStr">
        <is>
          <t>.      مسجد      جعفر .</t>
        </is>
      </c>
      <c r="B3759" t="inlineStr">
        <is>
          <t>KFM2020660203378</t>
        </is>
      </c>
      <c r="C3759" t="inlineStr">
        <is>
          <t>الرياض</t>
        </is>
      </c>
      <c r="D3759" t="inlineStr">
        <is>
          <t>مساءا</t>
        </is>
      </c>
      <c r="E3759" t="n">
        <v>497</v>
      </c>
      <c r="F3759" t="b">
        <v>0</v>
      </c>
      <c r="G3759">
        <f>HYPERLINK("https://www.google.com/maps/search/?api=1&amp;query=24.57801161,46.56510858", "View Map")</f>
        <v/>
      </c>
    </row>
    <row r="3760">
      <c r="A3760" t="inlineStr">
        <is>
          <t xml:space="preserve">   مسجدالامير/عبدالرحمن بن عبدالله .</t>
        </is>
      </c>
      <c r="B3760" t="inlineStr">
        <is>
          <t>KFM2120660249183</t>
        </is>
      </c>
      <c r="C3760" t="inlineStr">
        <is>
          <t>الرياض</t>
        </is>
      </c>
      <c r="D3760" t="inlineStr">
        <is>
          <t>مساءا</t>
        </is>
      </c>
      <c r="E3760" t="n">
        <v>497</v>
      </c>
      <c r="F3760" t="b">
        <v>0</v>
      </c>
      <c r="G3760">
        <f>HYPERLINK("https://www.google.com/maps/search/?api=1&amp;query=24.72550707,46.6765122", "View Map")</f>
        <v/>
      </c>
    </row>
    <row r="3761">
      <c r="A3761" t="inlineStr">
        <is>
          <t xml:space="preserve">   مسجد منصور التركي .</t>
        </is>
      </c>
      <c r="B3761" t="inlineStr">
        <is>
          <t>KFM2020660193553</t>
        </is>
      </c>
      <c r="C3761" t="inlineStr">
        <is>
          <t>الرياض</t>
        </is>
      </c>
      <c r="D3761" t="inlineStr">
        <is>
          <t>مساءا</t>
        </is>
      </c>
      <c r="E3761" t="n">
        <v>497</v>
      </c>
      <c r="F3761" t="b">
        <v>0</v>
      </c>
      <c r="G3761">
        <f>HYPERLINK("https://www.google.com/maps/search/?api=1&amp;query=24.71419882,46.77090112", "View Map")</f>
        <v/>
      </c>
    </row>
    <row r="3762">
      <c r="A3762" t="inlineStr">
        <is>
          <t xml:space="preserve">   مسجد  حي الفيصليه .</t>
        </is>
      </c>
      <c r="B3762" t="inlineStr">
        <is>
          <t>KFM2020660044716</t>
        </is>
      </c>
      <c r="C3762" t="inlineStr">
        <is>
          <t>الرياض</t>
        </is>
      </c>
      <c r="D3762" t="inlineStr">
        <is>
          <t>مساءا</t>
        </is>
      </c>
      <c r="E3762" t="n">
        <v>496</v>
      </c>
      <c r="F3762" t="b">
        <v>0</v>
      </c>
      <c r="G3762">
        <f>HYPERLINK("https://www.google.com/maps/search/?api=1&amp;query=24.64373854,46.78088063", "View Map")</f>
        <v/>
      </c>
    </row>
    <row r="3763">
      <c r="A3763" t="inlineStr">
        <is>
          <t>مسجد حمد الزير .</t>
        </is>
      </c>
      <c r="B3763" t="inlineStr">
        <is>
          <t>KFM2020660202634</t>
        </is>
      </c>
      <c r="C3763" t="inlineStr">
        <is>
          <t>الرياض</t>
        </is>
      </c>
      <c r="D3763" t="inlineStr">
        <is>
          <t>مساءا</t>
        </is>
      </c>
      <c r="E3763" t="n">
        <v>496</v>
      </c>
      <c r="F3763" t="b">
        <v>0</v>
      </c>
      <c r="G3763">
        <f>HYPERLINK("https://www.google.com/maps/search/?api=1&amp;query=24.57362629,46.69565938", "View Map")</f>
        <v/>
      </c>
    </row>
    <row r="3764">
      <c r="A3764" t="inlineStr">
        <is>
          <t xml:space="preserve">   مسجد علي راكان العتيبي .</t>
        </is>
      </c>
      <c r="B3764" t="inlineStr">
        <is>
          <t>KFM2020660012571</t>
        </is>
      </c>
      <c r="C3764" t="inlineStr">
        <is>
          <t>الرياض</t>
        </is>
      </c>
      <c r="D3764" t="inlineStr">
        <is>
          <t>مساءا</t>
        </is>
      </c>
      <c r="E3764" t="n">
        <v>496</v>
      </c>
      <c r="F3764" t="b">
        <v>0</v>
      </c>
      <c r="G3764">
        <f>HYPERLINK("https://www.google.com/maps/search/?api=1&amp;query=24.81478987,46.8314077", "View Map")</f>
        <v/>
      </c>
    </row>
    <row r="3765">
      <c r="A3765" t="inlineStr">
        <is>
          <t>مسجد وزاره  الشئون والاوقاف .</t>
        </is>
      </c>
      <c r="B3765" t="inlineStr">
        <is>
          <t>KFM2020660013654</t>
        </is>
      </c>
      <c r="C3765" t="inlineStr">
        <is>
          <t>الرياض</t>
        </is>
      </c>
      <c r="D3765" t="inlineStr">
        <is>
          <t>مساءا</t>
        </is>
      </c>
      <c r="E3765" t="n">
        <v>496</v>
      </c>
      <c r="F3765" t="b">
        <v>0</v>
      </c>
      <c r="G3765">
        <f>HYPERLINK("https://www.google.com/maps/search/?api=1&amp;query=24.55985519,46.69391101", "View Map")</f>
        <v/>
      </c>
    </row>
    <row r="3766">
      <c r="A3766" t="inlineStr">
        <is>
          <t xml:space="preserve">   مسجدالسحيم مع سكن الامام والمؤذن .</t>
        </is>
      </c>
      <c r="B3766" t="inlineStr">
        <is>
          <t>KFM2020660045409</t>
        </is>
      </c>
      <c r="C3766" t="inlineStr">
        <is>
          <t>الرياض</t>
        </is>
      </c>
      <c r="D3766" t="inlineStr">
        <is>
          <t>مساءا</t>
        </is>
      </c>
      <c r="E3766" t="n">
        <v>495</v>
      </c>
      <c r="F3766" t="b">
        <v>0</v>
      </c>
      <c r="G3766">
        <f>HYPERLINK("https://www.google.com/maps/search/?api=1&amp;query=24.81903982,46.72484829", "View Map")</f>
        <v/>
      </c>
    </row>
    <row r="3767">
      <c r="A3767" t="inlineStr">
        <is>
          <t xml:space="preserve">   مسجد شارع ثليم .</t>
        </is>
      </c>
      <c r="B3767" t="inlineStr">
        <is>
          <t>KFM2120660242097</t>
        </is>
      </c>
      <c r="C3767" t="inlineStr">
        <is>
          <t>الرياض</t>
        </is>
      </c>
      <c r="D3767" t="inlineStr">
        <is>
          <t>مساءا</t>
        </is>
      </c>
      <c r="E3767" t="n">
        <v>495</v>
      </c>
      <c r="F3767" t="b">
        <v>0</v>
      </c>
      <c r="G3767">
        <f>HYPERLINK("https://www.google.com/maps/search/?api=1&amp;query=24.63946649,46.72296125", "View Map")</f>
        <v/>
      </c>
    </row>
    <row r="3768">
      <c r="A3768" t="inlineStr">
        <is>
          <t>ﻤﺴﺎﺠﺩ .</t>
        </is>
      </c>
      <c r="B3768" t="inlineStr">
        <is>
          <t>KFM2020660212159</t>
        </is>
      </c>
      <c r="C3768" t="inlineStr">
        <is>
          <t>الرياض</t>
        </is>
      </c>
      <c r="D3768" t="inlineStr">
        <is>
          <t>مساءا</t>
        </is>
      </c>
      <c r="E3768" t="n">
        <v>495</v>
      </c>
      <c r="F3768" t="b">
        <v>0</v>
      </c>
      <c r="G3768">
        <f>HYPERLINK("https://www.google.com/maps/search/?api=1&amp;query=24.68541138,46.60127279", "View Map")</f>
        <v/>
      </c>
    </row>
    <row r="3769">
      <c r="A3769" t="inlineStr">
        <is>
          <t xml:space="preserve">   مسجد حى النهضة .</t>
        </is>
      </c>
      <c r="B3769" t="inlineStr">
        <is>
          <t>KFM2020660060031</t>
        </is>
      </c>
      <c r="C3769" t="inlineStr">
        <is>
          <t>الرياض</t>
        </is>
      </c>
      <c r="D3769" t="inlineStr">
        <is>
          <t>صباحا</t>
        </is>
      </c>
      <c r="E3769" t="n">
        <v>495</v>
      </c>
      <c r="F3769" t="b">
        <v>0</v>
      </c>
      <c r="G3769">
        <f>HYPERLINK("https://www.google.com/maps/search/?api=1&amp;query=24.75385273,46.82017761", "View Map")</f>
        <v/>
      </c>
    </row>
    <row r="3770">
      <c r="A3770" t="inlineStr">
        <is>
          <t>مسجد العذل  الثانى .</t>
        </is>
      </c>
      <c r="B3770" t="inlineStr">
        <is>
          <t>KFM2020660176983</t>
        </is>
      </c>
      <c r="C3770" t="inlineStr">
        <is>
          <t>الرياض</t>
        </is>
      </c>
      <c r="D3770" t="inlineStr">
        <is>
          <t>مساءا</t>
        </is>
      </c>
      <c r="E3770" t="n">
        <v>495</v>
      </c>
      <c r="F3770" t="b">
        <v>0</v>
      </c>
      <c r="G3770">
        <f>HYPERLINK("https://www.google.com/maps/search/?api=1&amp;query=24.59669837,46.60896618", "View Map")</f>
        <v/>
      </c>
    </row>
    <row r="3771">
      <c r="A3771" t="inlineStr">
        <is>
          <t xml:space="preserve">   مسجدحسن السهلي وسكن امام ومؤذن .</t>
        </is>
      </c>
      <c r="B3771" t="inlineStr">
        <is>
          <t>KFM2120660258318</t>
        </is>
      </c>
      <c r="C3771" t="inlineStr">
        <is>
          <t>الرياض</t>
        </is>
      </c>
      <c r="D3771" t="inlineStr">
        <is>
          <t>مساءا</t>
        </is>
      </c>
      <c r="E3771" t="n">
        <v>495</v>
      </c>
      <c r="F3771" t="b">
        <v>0</v>
      </c>
      <c r="G3771">
        <f>HYPERLINK("https://www.google.com/maps/search/?api=1&amp;query=24.77409627,46.6078313", "View Map")</f>
        <v/>
      </c>
    </row>
    <row r="3772">
      <c r="A3772" t="inlineStr">
        <is>
          <t>مسجدالمسعود/شارع  عسير .</t>
        </is>
      </c>
      <c r="B3772" t="inlineStr">
        <is>
          <t>KFM2020660038880</t>
        </is>
      </c>
      <c r="C3772" t="inlineStr">
        <is>
          <t>الرياض</t>
        </is>
      </c>
      <c r="D3772" t="inlineStr">
        <is>
          <t>مساءا</t>
        </is>
      </c>
      <c r="E3772" t="n">
        <v>495</v>
      </c>
      <c r="F3772" t="b">
        <v>0</v>
      </c>
      <c r="G3772">
        <f>HYPERLINK("https://www.google.com/maps/search/?api=1&amp;query=24.61811359,46.70279823", "View Map")</f>
        <v/>
      </c>
    </row>
    <row r="3773">
      <c r="A3773" t="inlineStr">
        <is>
          <t xml:space="preserve">   مسجد الفيحاء .</t>
        </is>
      </c>
      <c r="B3773" t="inlineStr">
        <is>
          <t>KFM2120660295058</t>
        </is>
      </c>
      <c r="C3773" t="inlineStr">
        <is>
          <t>الرياض</t>
        </is>
      </c>
      <c r="D3773" t="inlineStr">
        <is>
          <t>مساءا</t>
        </is>
      </c>
      <c r="E3773" t="n">
        <v>494</v>
      </c>
      <c r="F3773" t="b">
        <v>0</v>
      </c>
      <c r="G3773">
        <f>HYPERLINK("https://www.google.com/maps/search/?api=1&amp;query=24.67790019,46.81000194", "View Map")</f>
        <v/>
      </c>
    </row>
    <row r="3774">
      <c r="A3774" t="inlineStr">
        <is>
          <t xml:space="preserve">   مسجد حي الملك فهد .</t>
        </is>
      </c>
      <c r="B3774" t="inlineStr">
        <is>
          <t>KFM2020660173342</t>
        </is>
      </c>
      <c r="C3774" t="inlineStr">
        <is>
          <t>الرياض</t>
        </is>
      </c>
      <c r="D3774" t="inlineStr">
        <is>
          <t>مساءا</t>
        </is>
      </c>
      <c r="E3774" t="n">
        <v>494</v>
      </c>
      <c r="F3774" t="b">
        <v>0</v>
      </c>
      <c r="G3774">
        <f>HYPERLINK("https://www.google.com/maps/search/?api=1&amp;query=24.73427158,46.67331046", "View Map")</f>
        <v/>
      </c>
    </row>
    <row r="3775">
      <c r="A3775" t="inlineStr">
        <is>
          <t>مسجد حى  بدر .</t>
        </is>
      </c>
      <c r="B3775" t="inlineStr">
        <is>
          <t>KFM2020660200398</t>
        </is>
      </c>
      <c r="C3775" t="inlineStr">
        <is>
          <t>الرياض</t>
        </is>
      </c>
      <c r="D3775" t="inlineStr">
        <is>
          <t>مساءا</t>
        </is>
      </c>
      <c r="E3775" t="n">
        <v>494</v>
      </c>
      <c r="F3775" t="b">
        <v>1</v>
      </c>
      <c r="G3775">
        <f>HYPERLINK("https://www.google.com/maps/search/?api=1&amp;query=24.54554412,46.71511112", "View Map")</f>
        <v/>
      </c>
    </row>
    <row r="3776">
      <c r="A3776" t="inlineStr">
        <is>
          <t>ﻤﺴﺎﺠﺩ .</t>
        </is>
      </c>
      <c r="B3776" t="inlineStr">
        <is>
          <t>KFM2020660161293</t>
        </is>
      </c>
      <c r="C3776" t="inlineStr">
        <is>
          <t>الرياض</t>
        </is>
      </c>
      <c r="D3776" t="inlineStr">
        <is>
          <t>مساءا</t>
        </is>
      </c>
      <c r="E3776" t="n">
        <v>494</v>
      </c>
      <c r="F3776" t="b">
        <v>0</v>
      </c>
      <c r="G3776">
        <f>HYPERLINK("https://www.google.com/maps/search/?api=1&amp;query=24.83092516,46.77305534", "View Map")</f>
        <v/>
      </c>
    </row>
    <row r="3777">
      <c r="A3777" t="inlineStr">
        <is>
          <t xml:space="preserve">   مسجد/حي الخليج .</t>
        </is>
      </c>
      <c r="B3777" t="inlineStr">
        <is>
          <t>KFM2020660193621</t>
        </is>
      </c>
      <c r="C3777" t="inlineStr">
        <is>
          <t>الرياض</t>
        </is>
      </c>
      <c r="D3777" t="inlineStr">
        <is>
          <t>صباحا</t>
        </is>
      </c>
      <c r="E3777" t="n">
        <v>494</v>
      </c>
      <c r="F3777" t="b">
        <v>1</v>
      </c>
      <c r="G3777">
        <f>HYPERLINK("https://www.google.com/maps/search/?api=1&amp;query=24.78312611,46.81997389", "View Map")</f>
        <v/>
      </c>
    </row>
    <row r="3778">
      <c r="A3778" t="inlineStr">
        <is>
          <t>مسجد      ال  حمود   نمار .</t>
        </is>
      </c>
      <c r="B3778" t="inlineStr">
        <is>
          <t>KFM2020660054301</t>
        </is>
      </c>
      <c r="C3778" t="inlineStr">
        <is>
          <t>الرياض</t>
        </is>
      </c>
      <c r="D3778" t="inlineStr">
        <is>
          <t>مساءا</t>
        </is>
      </c>
      <c r="E3778" t="n">
        <v>493</v>
      </c>
      <c r="F3778" t="b">
        <v>0</v>
      </c>
      <c r="G3778">
        <f>HYPERLINK("https://www.google.com/maps/search/?api=1&amp;query=24.57801037,46.69770333", "View Map")</f>
        <v/>
      </c>
    </row>
    <row r="3779">
      <c r="A3779" t="inlineStr">
        <is>
          <t>ﻤﺴﺎﺠﺩ .</t>
        </is>
      </c>
      <c r="B3779" t="inlineStr">
        <is>
          <t>KFM2020660193112</t>
        </is>
      </c>
      <c r="C3779" t="inlineStr">
        <is>
          <t>الرياض</t>
        </is>
      </c>
      <c r="D3779" t="inlineStr">
        <is>
          <t>مساءا</t>
        </is>
      </c>
      <c r="E3779" t="n">
        <v>493</v>
      </c>
      <c r="F3779" t="b">
        <v>1</v>
      </c>
      <c r="G3779">
        <f>HYPERLINK("https://www.google.com/maps/search/?api=1&amp;query=24.82599,46.58453", "View Map")</f>
        <v/>
      </c>
    </row>
    <row r="3780">
      <c r="A3780" t="inlineStr">
        <is>
          <t>مسجد حى  ال  فريان .</t>
        </is>
      </c>
      <c r="B3780" t="inlineStr">
        <is>
          <t>SMR2220621001073</t>
        </is>
      </c>
      <c r="C3780" t="inlineStr">
        <is>
          <t>الرياض</t>
        </is>
      </c>
      <c r="D3780" t="inlineStr">
        <is>
          <t>مساءا</t>
        </is>
      </c>
      <c r="E3780" t="n">
        <v>493</v>
      </c>
      <c r="F3780" t="b">
        <v>0</v>
      </c>
      <c r="G3780">
        <f>HYPERLINK("https://www.google.com/maps/search/?api=1&amp;query=24.57131413,46.63469525", "View Map")</f>
        <v/>
      </c>
    </row>
    <row r="3781">
      <c r="A3781" t="inlineStr">
        <is>
          <t xml:space="preserve">   مسجد الرفيعة .</t>
        </is>
      </c>
      <c r="B3781" t="inlineStr">
        <is>
          <t>KFM2120660262199</t>
        </is>
      </c>
      <c r="C3781" t="inlineStr">
        <is>
          <t>الرياض</t>
        </is>
      </c>
      <c r="D3781" t="inlineStr">
        <is>
          <t>مساءا</t>
        </is>
      </c>
      <c r="E3781" t="n">
        <v>493</v>
      </c>
      <c r="F3781" t="b">
        <v>0</v>
      </c>
      <c r="G3781">
        <f>HYPERLINK("https://www.google.com/maps/search/?api=1&amp;query=24.64306071,46.66530391", "View Map")</f>
        <v/>
      </c>
    </row>
    <row r="3782">
      <c r="A3782" t="inlineStr">
        <is>
          <t xml:space="preserve">   مسجد بدر السلماني .</t>
        </is>
      </c>
      <c r="B3782" t="inlineStr">
        <is>
          <t>KFM2020660139811</t>
        </is>
      </c>
      <c r="C3782" t="inlineStr">
        <is>
          <t>الرياض</t>
        </is>
      </c>
      <c r="D3782" t="inlineStr">
        <is>
          <t>مساءا</t>
        </is>
      </c>
      <c r="E3782" t="n">
        <v>493</v>
      </c>
      <c r="F3782" t="b">
        <v>0</v>
      </c>
      <c r="G3782">
        <f>HYPERLINK("https://www.google.com/maps/search/?api=1&amp;query=24.82602806,46.88518644", "View Map")</f>
        <v/>
      </c>
    </row>
    <row r="3783">
      <c r="A3783" t="inlineStr">
        <is>
          <t>مسجد      الغريب .</t>
        </is>
      </c>
      <c r="B3783" t="inlineStr">
        <is>
          <t>KFM2020660203978</t>
        </is>
      </c>
      <c r="C3783" t="inlineStr">
        <is>
          <t>الرياض</t>
        </is>
      </c>
      <c r="D3783" t="inlineStr">
        <is>
          <t>مساءا</t>
        </is>
      </c>
      <c r="E3783" t="n">
        <v>492</v>
      </c>
      <c r="F3783" t="b">
        <v>0</v>
      </c>
      <c r="G3783">
        <f>HYPERLINK("https://www.google.com/maps/search/?api=1&amp;query=24.61865942,46.70584327", "View Map")</f>
        <v/>
      </c>
    </row>
    <row r="3784">
      <c r="A3784" t="inlineStr">
        <is>
          <t>ﻭﺯﺍﺭﺓﺍﻟﺸﺌﻭﻥ ﺍﻻﺴﻼﻤﻴﺓﻭﺍﻻﻭﻗﺎﻑ .</t>
        </is>
      </c>
      <c r="B3784" t="inlineStr">
        <is>
          <t>SMR2220661010812</t>
        </is>
      </c>
      <c r="C3784" t="inlineStr">
        <is>
          <t>الرياض</t>
        </is>
      </c>
      <c r="D3784" t="inlineStr">
        <is>
          <t>مساءا</t>
        </is>
      </c>
      <c r="E3784" t="n">
        <v>492</v>
      </c>
      <c r="F3784" t="b">
        <v>1</v>
      </c>
      <c r="G3784">
        <f>HYPERLINK("https://www.google.com/maps/search/?api=1&amp;query=24.55212048,46.51575089", "View Map")</f>
        <v/>
      </c>
    </row>
    <row r="3785">
      <c r="A3785" t="inlineStr">
        <is>
          <t xml:space="preserve">   مسجد مخطط /3087ش سليمان وعبدالله .</t>
        </is>
      </c>
      <c r="B3785" t="inlineStr">
        <is>
          <t>KFM2120660305004</t>
        </is>
      </c>
      <c r="C3785" t="inlineStr">
        <is>
          <t>الرياض</t>
        </is>
      </c>
      <c r="D3785" t="inlineStr">
        <is>
          <t>مساءا</t>
        </is>
      </c>
      <c r="E3785" t="n">
        <v>492</v>
      </c>
      <c r="F3785" t="b">
        <v>0</v>
      </c>
      <c r="G3785">
        <f>HYPERLINK("https://www.google.com/maps/search/?api=1&amp;query=24.63059179,46.79805594", "View Map")</f>
        <v/>
      </c>
    </row>
    <row r="3786">
      <c r="A3786" t="inlineStr">
        <is>
          <t xml:space="preserve">   مسجد      الحمراء معماموالمؤذن .</t>
        </is>
      </c>
      <c r="B3786" t="inlineStr">
        <is>
          <t>KFM2020660054485</t>
        </is>
      </c>
      <c r="C3786" t="inlineStr">
        <is>
          <t>الرياض</t>
        </is>
      </c>
      <c r="D3786" t="inlineStr">
        <is>
          <t>صباحا</t>
        </is>
      </c>
      <c r="E3786" t="n">
        <v>492</v>
      </c>
      <c r="F3786" t="b">
        <v>0</v>
      </c>
      <c r="G3786">
        <f>HYPERLINK("https://www.google.com/maps/search/?api=1&amp;query=24.77944254,46.76738078", "View Map")</f>
        <v/>
      </c>
    </row>
    <row r="3787">
      <c r="A3787" t="inlineStr">
        <is>
          <t>ﻭﺯﺍﺭﺓﺍﻟﺸﺌﻭﻥ ﺍﻻﺴﻼﻤﻴﺓﻭﺍﻻﻭﻗﺎﻑ .</t>
        </is>
      </c>
      <c r="B3787" t="inlineStr">
        <is>
          <t>SMR2220661006889</t>
        </is>
      </c>
      <c r="C3787" t="inlineStr">
        <is>
          <t>الرياض</t>
        </is>
      </c>
      <c r="D3787" t="inlineStr">
        <is>
          <t>مساءا</t>
        </is>
      </c>
      <c r="E3787" t="n">
        <v>492</v>
      </c>
      <c r="F3787" t="b">
        <v>1</v>
      </c>
      <c r="G3787">
        <f>HYPERLINK("https://www.google.com/maps/search/?api=1&amp;query=24.56677111,46.56418492", "View Map")</f>
        <v/>
      </c>
    </row>
    <row r="3788">
      <c r="A3788" t="inlineStr">
        <is>
          <t xml:space="preserve">    مسجد حي المصيف .</t>
        </is>
      </c>
      <c r="B3788" t="inlineStr">
        <is>
          <t>KFM2020660190490</t>
        </is>
      </c>
      <c r="C3788" t="inlineStr">
        <is>
          <t>الرياض</t>
        </is>
      </c>
      <c r="D3788" t="inlineStr">
        <is>
          <t>مساءا</t>
        </is>
      </c>
      <c r="E3788" t="n">
        <v>492</v>
      </c>
      <c r="F3788" t="b">
        <v>0</v>
      </c>
      <c r="G3788">
        <f>HYPERLINK("https://www.google.com/maps/search/?api=1&amp;query=24.75943952,46.6886478", "View Map")</f>
        <v/>
      </c>
    </row>
    <row r="3789">
      <c r="A3789" t="inlineStr">
        <is>
          <t xml:space="preserve">   مسجد  العماجيه .</t>
        </is>
      </c>
      <c r="B3789" t="inlineStr">
        <is>
          <t>KFM2120660279975</t>
        </is>
      </c>
      <c r="C3789" t="inlineStr">
        <is>
          <t>الرياض</t>
        </is>
      </c>
      <c r="D3789" t="inlineStr">
        <is>
          <t>صباحا</t>
        </is>
      </c>
      <c r="E3789" t="n">
        <v>492</v>
      </c>
      <c r="F3789" t="b">
        <v>0</v>
      </c>
      <c r="G3789">
        <f>HYPERLINK("https://www.google.com/maps/search/?api=1&amp;query=24.44059333,46.98017431", "View Map")</f>
        <v/>
      </c>
    </row>
    <row r="3790">
      <c r="A3790" t="inlineStr">
        <is>
          <t>ﻭﺯﺍﺭﺓﺍﻟﺸﺌﻭﻥ ﺍﻻﺴﻼﻤﻴﺓﻭﺍﻻﻭﻗﺎﻑ .</t>
        </is>
      </c>
      <c r="B3790" t="inlineStr">
        <is>
          <t>KFM2020760144740</t>
        </is>
      </c>
      <c r="C3790" t="inlineStr">
        <is>
          <t>الرياض</t>
        </is>
      </c>
      <c r="D3790" t="inlineStr">
        <is>
          <t>صباحا</t>
        </is>
      </c>
      <c r="E3790" t="n">
        <v>491</v>
      </c>
      <c r="F3790" t="b">
        <v>0</v>
      </c>
      <c r="G3790">
        <f>HYPERLINK("https://www.google.com/maps/search/?api=1&amp;query=24.56492783,46.56110241", "View Map")</f>
        <v/>
      </c>
    </row>
    <row r="3791">
      <c r="A3791" t="inlineStr">
        <is>
          <t>مسجد الحزم  وزاره  الشئون الاسلاميه .</t>
        </is>
      </c>
      <c r="B3791" t="inlineStr">
        <is>
          <t>KFM2020660174991</t>
        </is>
      </c>
      <c r="C3791" t="inlineStr">
        <is>
          <t>الرياض</t>
        </is>
      </c>
      <c r="D3791" t="inlineStr">
        <is>
          <t>مساءا</t>
        </is>
      </c>
      <c r="E3791" t="n">
        <v>491</v>
      </c>
      <c r="F3791" t="b">
        <v>0</v>
      </c>
      <c r="G3791">
        <f>HYPERLINK("https://www.google.com/maps/search/?api=1&amp;query=24.53798407,46.64989771", "View Map")</f>
        <v/>
      </c>
    </row>
    <row r="3792">
      <c r="A3792" t="inlineStr">
        <is>
          <t>مسجدجامع  النسيم .</t>
        </is>
      </c>
      <c r="B3792" t="inlineStr">
        <is>
          <t>KFM2020660054923</t>
        </is>
      </c>
      <c r="C3792" t="inlineStr">
        <is>
          <t>الرياض</t>
        </is>
      </c>
      <c r="D3792" t="inlineStr">
        <is>
          <t>صباحا</t>
        </is>
      </c>
      <c r="E3792" t="n">
        <v>491</v>
      </c>
      <c r="F3792" t="b">
        <v>0</v>
      </c>
      <c r="G3792">
        <f>HYPERLINK("https://www.google.com/maps/search/?api=1&amp;query=24.60674023,46.71569212", "View Map")</f>
        <v/>
      </c>
    </row>
    <row r="3793">
      <c r="A3793" t="inlineStr">
        <is>
          <t xml:space="preserve">   مسجد الفاروق .</t>
        </is>
      </c>
      <c r="B3793" t="inlineStr">
        <is>
          <t>KFM2020660037503</t>
        </is>
      </c>
      <c r="C3793" t="inlineStr">
        <is>
          <t>الرياض</t>
        </is>
      </c>
      <c r="D3793" t="inlineStr">
        <is>
          <t>مساءا</t>
        </is>
      </c>
      <c r="E3793" t="n">
        <v>490</v>
      </c>
      <c r="F3793" t="b">
        <v>1</v>
      </c>
      <c r="G3793">
        <f>HYPERLINK("https://www.google.com/maps/search/?api=1&amp;query=24.79755522,46.78648869", "View Map")</f>
        <v/>
      </c>
    </row>
    <row r="3794">
      <c r="A3794" t="inlineStr">
        <is>
          <t>ﻤﺴﺎﺠﺩ .</t>
        </is>
      </c>
      <c r="B3794" t="inlineStr">
        <is>
          <t>KFM2120660264437</t>
        </is>
      </c>
      <c r="C3794" t="inlineStr">
        <is>
          <t>الرياض</t>
        </is>
      </c>
      <c r="D3794" t="inlineStr">
        <is>
          <t>مساءا</t>
        </is>
      </c>
      <c r="E3794" t="n">
        <v>490</v>
      </c>
      <c r="F3794" t="b">
        <v>0</v>
      </c>
      <c r="G3794">
        <f>HYPERLINK("https://www.google.com/maps/search/?api=1&amp;query=24.62084447,46.77477463", "View Map")</f>
        <v/>
      </c>
    </row>
    <row r="3795">
      <c r="A3795" t="inlineStr">
        <is>
          <t>مسجد  عبير ال  الشيخ   مع السكن .</t>
        </is>
      </c>
      <c r="B3795" t="inlineStr">
        <is>
          <t>KFM2020660200539</t>
        </is>
      </c>
      <c r="C3795" t="inlineStr">
        <is>
          <t>الرياض</t>
        </is>
      </c>
      <c r="D3795" t="inlineStr">
        <is>
          <t>مساءا</t>
        </is>
      </c>
      <c r="E3795" t="n">
        <v>490</v>
      </c>
      <c r="F3795" t="b">
        <v>1</v>
      </c>
      <c r="G3795">
        <f>HYPERLINK("https://www.google.com/maps/search/?api=1&amp;query=24.567964,46.66483772", "View Map")</f>
        <v/>
      </c>
    </row>
    <row r="3796">
      <c r="A3796" t="inlineStr">
        <is>
          <t xml:space="preserve">   مسجد راجح بوصى .</t>
        </is>
      </c>
      <c r="B3796" t="inlineStr">
        <is>
          <t>KFM2120660281962</t>
        </is>
      </c>
      <c r="C3796" t="inlineStr">
        <is>
          <t>الرياض</t>
        </is>
      </c>
      <c r="D3796" t="inlineStr">
        <is>
          <t>مساءا</t>
        </is>
      </c>
      <c r="E3796" t="n">
        <v>490</v>
      </c>
      <c r="F3796" t="b">
        <v>0</v>
      </c>
      <c r="G3796">
        <f>HYPERLINK("https://www.google.com/maps/search/?api=1&amp;query=24.63707465,46.72614532", "View Map")</f>
        <v/>
      </c>
    </row>
    <row r="3797">
      <c r="A3797" t="inlineStr">
        <is>
          <t xml:space="preserve">   مسجد حي الوادي .</t>
        </is>
      </c>
      <c r="B3797" t="inlineStr">
        <is>
          <t>KFM2020660211470</t>
        </is>
      </c>
      <c r="C3797" t="inlineStr">
        <is>
          <t>الرياض</t>
        </is>
      </c>
      <c r="D3797" t="inlineStr">
        <is>
          <t>مساءا</t>
        </is>
      </c>
      <c r="E3797" t="n">
        <v>489</v>
      </c>
      <c r="F3797" t="b">
        <v>1</v>
      </c>
      <c r="G3797">
        <f>HYPERLINK("https://www.google.com/maps/search/?api=1&amp;query=24.7899744,46.6973213", "View Map")</f>
        <v/>
      </c>
    </row>
    <row r="3798">
      <c r="A3798" t="inlineStr">
        <is>
          <t>ﻭﺯﺍﺭﺓﺍﻟﺸﺌﻭﻥ ﺍﻻﺴﻼﻤﻴﺓﻭﺍﻻﻭﻗﺎﻑ .</t>
        </is>
      </c>
      <c r="B3798" t="inlineStr">
        <is>
          <t>KFM2020660200472</t>
        </is>
      </c>
      <c r="C3798" t="inlineStr">
        <is>
          <t>الرياض</t>
        </is>
      </c>
      <c r="D3798" t="inlineStr">
        <is>
          <t>مساءا</t>
        </is>
      </c>
      <c r="E3798" t="n">
        <v>489</v>
      </c>
      <c r="F3798" t="b">
        <v>0</v>
      </c>
      <c r="G3798">
        <f>HYPERLINK("https://www.google.com/maps/search/?api=1&amp;query=24.48284751,46.62784771", "View Map")</f>
        <v/>
      </c>
    </row>
    <row r="3799">
      <c r="A3799" t="inlineStr">
        <is>
          <t>مسجد النمر .</t>
        </is>
      </c>
      <c r="B3799" t="inlineStr">
        <is>
          <t>KFM2120655004295</t>
        </is>
      </c>
      <c r="C3799" t="inlineStr">
        <is>
          <t>الرياض</t>
        </is>
      </c>
      <c r="D3799" t="inlineStr">
        <is>
          <t>صباحا</t>
        </is>
      </c>
      <c r="E3799" t="n">
        <v>489</v>
      </c>
      <c r="F3799" t="b">
        <v>0</v>
      </c>
      <c r="G3799">
        <f>HYPERLINK("https://www.google.com/maps/search/?api=1&amp;query=24.62458838,46.684835", "View Map")</f>
        <v/>
      </c>
    </row>
    <row r="3800">
      <c r="A3800" t="inlineStr">
        <is>
          <t>مسجد / خالد بن الوليد الموقت .</t>
        </is>
      </c>
      <c r="B3800" t="inlineStr">
        <is>
          <t>KFM2020660192531</t>
        </is>
      </c>
      <c r="C3800" t="inlineStr">
        <is>
          <t>الرياض</t>
        </is>
      </c>
      <c r="D3800" t="inlineStr">
        <is>
          <t>مساءا</t>
        </is>
      </c>
      <c r="E3800" t="n">
        <v>488</v>
      </c>
      <c r="F3800" t="b">
        <v>0</v>
      </c>
      <c r="G3800">
        <f>HYPERLINK("https://www.google.com/maps/search/?api=1&amp;query=24.56667145,46.70700169", "View Map")</f>
        <v/>
      </c>
    </row>
    <row r="3801">
      <c r="A3801" t="inlineStr">
        <is>
          <t>مسجد الطريق  الدائري  حي السويدي .</t>
        </is>
      </c>
      <c r="B3801" t="inlineStr">
        <is>
          <t>KFM2020660051485</t>
        </is>
      </c>
      <c r="C3801" t="inlineStr">
        <is>
          <t>الرياض</t>
        </is>
      </c>
      <c r="D3801" t="inlineStr">
        <is>
          <t>مساءا</t>
        </is>
      </c>
      <c r="E3801" t="n">
        <v>488</v>
      </c>
      <c r="F3801" t="b">
        <v>0</v>
      </c>
      <c r="G3801">
        <f>HYPERLINK("https://www.google.com/maps/search/?api=1&amp;query=24.566189,46.65449972", "View Map")</f>
        <v/>
      </c>
    </row>
    <row r="3802">
      <c r="A3802" t="inlineStr">
        <is>
          <t xml:space="preserve">   مسجد حمدان العتيبي .</t>
        </is>
      </c>
      <c r="B3802" t="inlineStr">
        <is>
          <t>KFM2020660054515</t>
        </is>
      </c>
      <c r="C3802" t="inlineStr">
        <is>
          <t>الرياض</t>
        </is>
      </c>
      <c r="D3802" t="inlineStr">
        <is>
          <t>مساءا</t>
        </is>
      </c>
      <c r="E3802" t="n">
        <v>488</v>
      </c>
      <c r="F3802" t="b">
        <v>0</v>
      </c>
      <c r="G3802">
        <f>HYPERLINK("https://www.google.com/maps/search/?api=1&amp;query=24.80620942,46.80617566", "View Map")</f>
        <v/>
      </c>
    </row>
    <row r="3803">
      <c r="A3803" t="inlineStr">
        <is>
          <t>مسجد عبدالله  الخضيرى .</t>
        </is>
      </c>
      <c r="B3803" t="inlineStr">
        <is>
          <t>KFM2020660038718</t>
        </is>
      </c>
      <c r="C3803" t="inlineStr">
        <is>
          <t>الرياض</t>
        </is>
      </c>
      <c r="D3803" t="inlineStr">
        <is>
          <t>مساءا</t>
        </is>
      </c>
      <c r="E3803" t="n">
        <v>487</v>
      </c>
      <c r="F3803" t="b">
        <v>0</v>
      </c>
      <c r="G3803">
        <f>HYPERLINK("https://www.google.com/maps/search/?api=1&amp;query=24.58465315,46.64525637", "View Map")</f>
        <v/>
      </c>
    </row>
    <row r="3804">
      <c r="A3804" t="inlineStr">
        <is>
          <t>مسجد حى  الشعلان .</t>
        </is>
      </c>
      <c r="B3804" t="inlineStr">
        <is>
          <t>KFM2020660098822</t>
        </is>
      </c>
      <c r="C3804" t="inlineStr">
        <is>
          <t>الرياض</t>
        </is>
      </c>
      <c r="D3804" t="inlineStr">
        <is>
          <t>مساءا</t>
        </is>
      </c>
      <c r="E3804" t="n">
        <v>487</v>
      </c>
      <c r="F3804" t="b">
        <v>0</v>
      </c>
      <c r="G3804">
        <f>HYPERLINK("https://www.google.com/maps/search/?api=1&amp;query=24.55360376,46.69328613", "View Map")</f>
        <v/>
      </c>
    </row>
    <row r="3805">
      <c r="A3805" t="inlineStr">
        <is>
          <t xml:space="preserve">   مسجد الملز .</t>
        </is>
      </c>
      <c r="B3805" t="inlineStr">
        <is>
          <t>KFM2020660054729</t>
        </is>
      </c>
      <c r="C3805" t="inlineStr">
        <is>
          <t>الرياض</t>
        </is>
      </c>
      <c r="D3805" t="inlineStr">
        <is>
          <t>صباحا</t>
        </is>
      </c>
      <c r="E3805" t="n">
        <v>487</v>
      </c>
      <c r="F3805" t="b">
        <v>0</v>
      </c>
      <c r="G3805">
        <f>HYPERLINK("https://www.google.com/maps/search/?api=1&amp;query=24.65627271,46.73709355", "View Map")</f>
        <v/>
      </c>
    </row>
    <row r="3806">
      <c r="A3806" t="inlineStr">
        <is>
          <t xml:space="preserve">   مسجد الحدادي .</t>
        </is>
      </c>
      <c r="B3806" t="inlineStr">
        <is>
          <t>KFM2020660209678</t>
        </is>
      </c>
      <c r="C3806" t="inlineStr">
        <is>
          <t>الرياض</t>
        </is>
      </c>
      <c r="D3806" t="inlineStr">
        <is>
          <t>صباحا</t>
        </is>
      </c>
      <c r="E3806" t="n">
        <v>487</v>
      </c>
      <c r="F3806" t="b">
        <v>0</v>
      </c>
      <c r="G3806">
        <f>HYPERLINK("https://www.google.com/maps/search/?api=1&amp;query=24.67759762,46.70784145", "View Map")</f>
        <v/>
      </c>
    </row>
    <row r="3807">
      <c r="A3807" t="inlineStr">
        <is>
          <t xml:space="preserve">   مسجد جـامع  بنبان .</t>
        </is>
      </c>
      <c r="B3807" t="inlineStr">
        <is>
          <t>KFM2020660212099</t>
        </is>
      </c>
      <c r="C3807" t="inlineStr">
        <is>
          <t>الرياض</t>
        </is>
      </c>
      <c r="D3807" t="inlineStr">
        <is>
          <t>مساءا</t>
        </is>
      </c>
      <c r="E3807" t="n">
        <v>487</v>
      </c>
      <c r="F3807" t="b">
        <v>0</v>
      </c>
      <c r="G3807">
        <f>HYPERLINK("https://www.google.com/maps/search/?api=1&amp;query=25.0006543,46.58570842", "View Map")</f>
        <v/>
      </c>
    </row>
    <row r="3808">
      <c r="A3808" t="inlineStr">
        <is>
          <t>مسجد/ محمدالجويعد .</t>
        </is>
      </c>
      <c r="B3808" t="inlineStr">
        <is>
          <t>KFM2020660196799</t>
        </is>
      </c>
      <c r="C3808" t="inlineStr">
        <is>
          <t>الرياض</t>
        </is>
      </c>
      <c r="D3808" t="inlineStr">
        <is>
          <t>مساءا</t>
        </is>
      </c>
      <c r="E3808" t="n">
        <v>487</v>
      </c>
      <c r="F3808" t="b">
        <v>0</v>
      </c>
      <c r="G3808">
        <f>HYPERLINK("https://www.google.com/maps/search/?api=1&amp;query=24.52714416,46.69686009", "View Map")</f>
        <v/>
      </c>
    </row>
    <row r="3809">
      <c r="A3809" t="inlineStr">
        <is>
          <t xml:space="preserve">   مسجد الابرار .</t>
        </is>
      </c>
      <c r="B3809" t="inlineStr">
        <is>
          <t>KFM2120660300603</t>
        </is>
      </c>
      <c r="C3809" t="inlineStr">
        <is>
          <t>الرياض</t>
        </is>
      </c>
      <c r="D3809" t="inlineStr">
        <is>
          <t>صباحا</t>
        </is>
      </c>
      <c r="E3809" t="n">
        <v>487</v>
      </c>
      <c r="F3809" t="b">
        <v>0</v>
      </c>
      <c r="G3809">
        <f>HYPERLINK("https://www.google.com/maps/search/?api=1&amp;query=24.68942477,46.83043704", "View Map")</f>
        <v/>
      </c>
    </row>
    <row r="3810">
      <c r="A3810" t="inlineStr">
        <is>
          <t xml:space="preserve"> وزارةالشئون الاسلاميه / مسجد الضبعان .</t>
        </is>
      </c>
      <c r="B3810" t="inlineStr">
        <is>
          <t>KFM2020660161701</t>
        </is>
      </c>
      <c r="C3810" t="inlineStr">
        <is>
          <t>الرياض</t>
        </is>
      </c>
      <c r="D3810" t="inlineStr">
        <is>
          <t>مساءا</t>
        </is>
      </c>
      <c r="E3810" t="n">
        <v>487</v>
      </c>
      <c r="F3810" t="b">
        <v>0</v>
      </c>
      <c r="G3810">
        <f>HYPERLINK("https://www.google.com/maps/search/?api=1&amp;query=24.57289128,46.84907569", "View Map")</f>
        <v/>
      </c>
    </row>
    <row r="3811">
      <c r="A3811" t="inlineStr">
        <is>
          <t xml:space="preserve">   مسجدابراهيم التميمي .</t>
        </is>
      </c>
      <c r="B3811" t="inlineStr">
        <is>
          <t>KFM2020660170759</t>
        </is>
      </c>
      <c r="C3811" t="inlineStr">
        <is>
          <t>الرياض</t>
        </is>
      </c>
      <c r="D3811" t="inlineStr">
        <is>
          <t>صباحا</t>
        </is>
      </c>
      <c r="E3811" t="n">
        <v>486</v>
      </c>
      <c r="F3811" t="b">
        <v>0</v>
      </c>
      <c r="G3811">
        <f>HYPERLINK("https://www.google.com/maps/search/?api=1&amp;query=24.76533818,46.79683584", "View Map")</f>
        <v/>
      </c>
    </row>
    <row r="3812">
      <c r="A3812" t="inlineStr">
        <is>
          <t>مسجد القصير .</t>
        </is>
      </c>
      <c r="B3812" t="inlineStr">
        <is>
          <t>KFM2020660025749</t>
        </is>
      </c>
      <c r="C3812" t="inlineStr">
        <is>
          <t>الرياض</t>
        </is>
      </c>
      <c r="D3812" t="inlineStr">
        <is>
          <t>مساءا</t>
        </is>
      </c>
      <c r="E3812" t="n">
        <v>486</v>
      </c>
      <c r="F3812" t="b">
        <v>0</v>
      </c>
      <c r="G3812">
        <f>HYPERLINK("https://www.google.com/maps/search/?api=1&amp;query=24.61658094,46.70892594", "View Map")</f>
        <v/>
      </c>
    </row>
    <row r="3813">
      <c r="A3813" t="inlineStr">
        <is>
          <t>مسجد الفاخريه .</t>
        </is>
      </c>
      <c r="B3813" t="inlineStr">
        <is>
          <t>KFM2020660171795</t>
        </is>
      </c>
      <c r="C3813" t="inlineStr">
        <is>
          <t>الرياض</t>
        </is>
      </c>
      <c r="D3813" t="inlineStr">
        <is>
          <t>صباحا</t>
        </is>
      </c>
      <c r="E3813" t="n">
        <v>486</v>
      </c>
      <c r="F3813" t="b">
        <v>0</v>
      </c>
      <c r="G3813">
        <f>HYPERLINK("https://www.google.com/maps/search/?api=1&amp;query=24.63566187,46.67702498", "View Map")</f>
        <v/>
      </c>
    </row>
    <row r="3814">
      <c r="A3814" t="inlineStr">
        <is>
          <t>مسجد جامع  شرق  حله  بن دايل .</t>
        </is>
      </c>
      <c r="B3814" t="inlineStr">
        <is>
          <t>KFM2020660204006</t>
        </is>
      </c>
      <c r="C3814" t="inlineStr">
        <is>
          <t>الرياض</t>
        </is>
      </c>
      <c r="D3814" t="inlineStr">
        <is>
          <t>مساءا</t>
        </is>
      </c>
      <c r="E3814" t="n">
        <v>486</v>
      </c>
      <c r="F3814" t="b">
        <v>0</v>
      </c>
      <c r="G3814">
        <f>HYPERLINK("https://www.google.com/maps/search/?api=1&amp;query=24.60049317,46.71582646", "View Map")</f>
        <v/>
      </c>
    </row>
    <row r="3815">
      <c r="A3815" t="inlineStr">
        <is>
          <t>ﻭﺯﺍﺭﺓﺍﻟﺸﺌﻭﻥ ﺍﻻﺴﻼﻤﻴﺓﻭﺍﻻﻭﻗﺎﻑ .</t>
        </is>
      </c>
      <c r="B3815" t="inlineStr">
        <is>
          <t>KFM2020660025750</t>
        </is>
      </c>
      <c r="C3815" t="inlineStr">
        <is>
          <t>الرياض</t>
        </is>
      </c>
      <c r="D3815" t="inlineStr">
        <is>
          <t>مساءا</t>
        </is>
      </c>
      <c r="E3815" t="n">
        <v>486</v>
      </c>
      <c r="F3815" t="b">
        <v>0</v>
      </c>
      <c r="G3815">
        <f>HYPERLINK("https://www.google.com/maps/search/?api=1&amp;query=24.5795311,46.61115021", "View Map")</f>
        <v/>
      </c>
    </row>
    <row r="3816">
      <c r="A3816" t="inlineStr">
        <is>
          <t>مسجد /طامي النصار .</t>
        </is>
      </c>
      <c r="B3816" t="inlineStr">
        <is>
          <t>KFM2020660053780</t>
        </is>
      </c>
      <c r="C3816" t="inlineStr">
        <is>
          <t>الرياض</t>
        </is>
      </c>
      <c r="D3816" t="inlineStr">
        <is>
          <t>مساءا</t>
        </is>
      </c>
      <c r="E3816" t="n">
        <v>486</v>
      </c>
      <c r="F3816" t="b">
        <v>0</v>
      </c>
      <c r="G3816">
        <f>HYPERLINK("https://www.google.com/maps/search/?api=1&amp;query=24.58555044,46.54949613", "View Map")</f>
        <v/>
      </c>
    </row>
    <row r="3817">
      <c r="A3817" t="inlineStr">
        <is>
          <t>ﻤﺴﺎﺠﺩ .</t>
        </is>
      </c>
      <c r="B3817" t="inlineStr">
        <is>
          <t>SMR2320661035136</t>
        </is>
      </c>
      <c r="C3817" t="inlineStr">
        <is>
          <t>الرياض</t>
        </is>
      </c>
      <c r="D3817" t="inlineStr">
        <is>
          <t>مساءا</t>
        </is>
      </c>
      <c r="E3817" t="n">
        <v>485</v>
      </c>
      <c r="F3817" t="b">
        <v>0</v>
      </c>
      <c r="G3817">
        <f>HYPERLINK("https://www.google.com/maps/search/?api=1&amp;query=0.0,0.0", "View Map")</f>
        <v/>
      </c>
    </row>
    <row r="3818">
      <c r="A3818" t="inlineStr">
        <is>
          <t xml:space="preserve">   وزارة الشئون الاسلاميه مسجد غمامه .</t>
        </is>
      </c>
      <c r="B3818" t="inlineStr">
        <is>
          <t>KFM2120660281752</t>
        </is>
      </c>
      <c r="C3818" t="inlineStr">
        <is>
          <t>الرياض</t>
        </is>
      </c>
      <c r="D3818" t="inlineStr">
        <is>
          <t>مساءا</t>
        </is>
      </c>
      <c r="E3818" t="n">
        <v>485</v>
      </c>
      <c r="F3818" t="b">
        <v>0</v>
      </c>
      <c r="G3818">
        <f>HYPERLINK("https://www.google.com/maps/search/?api=1&amp;query=24.60519215,46.73549603", "View Map")</f>
        <v/>
      </c>
    </row>
    <row r="3819">
      <c r="A3819" t="inlineStr">
        <is>
          <t xml:space="preserve">   مسجد الجابر .</t>
        </is>
      </c>
      <c r="B3819" t="inlineStr">
        <is>
          <t>KFM2020660209247</t>
        </is>
      </c>
      <c r="C3819" t="inlineStr">
        <is>
          <t>الرياض</t>
        </is>
      </c>
      <c r="D3819" t="inlineStr">
        <is>
          <t>مساءا</t>
        </is>
      </c>
      <c r="E3819" t="n">
        <v>485</v>
      </c>
      <c r="F3819" t="b">
        <v>0</v>
      </c>
      <c r="G3819">
        <f>HYPERLINK("https://www.google.com/maps/search/?api=1&amp;query=24.65565522,46.6690319", "View Map")</f>
        <v/>
      </c>
    </row>
    <row r="3820">
      <c r="A3820" t="inlineStr">
        <is>
          <t xml:space="preserve">   مسجد محمد العبداللطيف .</t>
        </is>
      </c>
      <c r="B3820" t="inlineStr">
        <is>
          <t>KFM2120660257830</t>
        </is>
      </c>
      <c r="C3820" t="inlineStr">
        <is>
          <t>الرياض</t>
        </is>
      </c>
      <c r="D3820" t="inlineStr">
        <is>
          <t>مساءا</t>
        </is>
      </c>
      <c r="E3820" t="n">
        <v>485</v>
      </c>
      <c r="F3820" t="b">
        <v>0</v>
      </c>
      <c r="G3820">
        <f>HYPERLINK("https://www.google.com/maps/search/?api=1&amp;query=24.79670332,46.6409025", "View Map")</f>
        <v/>
      </c>
    </row>
    <row r="3821">
      <c r="A3821" t="inlineStr">
        <is>
          <t>مسجد الدريب مسجد النشيز .</t>
        </is>
      </c>
      <c r="B3821" t="inlineStr">
        <is>
          <t>KFM2020660057910</t>
        </is>
      </c>
      <c r="C3821" t="inlineStr">
        <is>
          <t>الرياض</t>
        </is>
      </c>
      <c r="D3821" t="inlineStr">
        <is>
          <t>مساءا</t>
        </is>
      </c>
      <c r="E3821" t="n">
        <v>485</v>
      </c>
      <c r="F3821" t="b">
        <v>0</v>
      </c>
      <c r="G3821">
        <f>HYPERLINK("https://www.google.com/maps/search/?api=1&amp;query=24.60481032,46.71435088", "View Map")</f>
        <v/>
      </c>
    </row>
    <row r="3822">
      <c r="A3822" t="inlineStr">
        <is>
          <t xml:space="preserve">   مسجد      ابراهيم   . .</t>
        </is>
      </c>
      <c r="B3822" t="inlineStr">
        <is>
          <t>KFM2020660201440</t>
        </is>
      </c>
      <c r="C3822" t="inlineStr">
        <is>
          <t>الرياض</t>
        </is>
      </c>
      <c r="D3822" t="inlineStr">
        <is>
          <t>مساءا</t>
        </is>
      </c>
      <c r="E3822" t="n">
        <v>485</v>
      </c>
      <c r="F3822" t="b">
        <v>0</v>
      </c>
      <c r="G3822">
        <f>HYPERLINK("https://www.google.com/maps/search/?api=1&amp;query=24.62622925,46.5645011", "View Map")</f>
        <v/>
      </c>
    </row>
    <row r="3823">
      <c r="A3823" t="inlineStr">
        <is>
          <t xml:space="preserve">   مسجد العساف .</t>
        </is>
      </c>
      <c r="B3823" t="inlineStr">
        <is>
          <t>KFM2020660133312</t>
        </is>
      </c>
      <c r="C3823" t="inlineStr">
        <is>
          <t>الرياض</t>
        </is>
      </c>
      <c r="D3823" t="inlineStr">
        <is>
          <t>صباحا</t>
        </is>
      </c>
      <c r="E3823" t="n">
        <v>484</v>
      </c>
      <c r="F3823" t="b">
        <v>0</v>
      </c>
      <c r="G3823">
        <f>HYPERLINK("https://www.google.com/maps/search/?api=1&amp;query=24.72766189,46.80175248", "View Map")</f>
        <v/>
      </c>
    </row>
    <row r="3824">
      <c r="A3824" t="inlineStr">
        <is>
          <t>مسجد      حله        النور .</t>
        </is>
      </c>
      <c r="B3824" t="inlineStr">
        <is>
          <t>KFM2020660053116</t>
        </is>
      </c>
      <c r="C3824" t="inlineStr">
        <is>
          <t>الرياض</t>
        </is>
      </c>
      <c r="D3824" t="inlineStr">
        <is>
          <t>مساءا</t>
        </is>
      </c>
      <c r="E3824" t="n">
        <v>484</v>
      </c>
      <c r="F3824" t="b">
        <v>0</v>
      </c>
      <c r="G3824">
        <f>HYPERLINK("https://www.google.com/maps/search/?api=1&amp;query=24.61922879,46.72079137", "View Map")</f>
        <v/>
      </c>
    </row>
    <row r="3825">
      <c r="A3825" t="inlineStr">
        <is>
          <t xml:space="preserve">   وزارة الشئون الاسلامية والاوقاف .</t>
        </is>
      </c>
      <c r="B3825" t="inlineStr">
        <is>
          <t>KFM2020660206945</t>
        </is>
      </c>
      <c r="C3825" t="inlineStr">
        <is>
          <t>الرياض</t>
        </is>
      </c>
      <c r="D3825" t="inlineStr">
        <is>
          <t>مساءا</t>
        </is>
      </c>
      <c r="E3825" t="n">
        <v>484</v>
      </c>
      <c r="F3825" t="b">
        <v>0</v>
      </c>
      <c r="G3825">
        <f>HYPERLINK("https://www.google.com/maps/search/?api=1&amp;query=24.8239064,46.65772709", "View Map")</f>
        <v/>
      </c>
    </row>
    <row r="3826">
      <c r="A3826" t="inlineStr">
        <is>
          <t xml:space="preserve">   مسجد ابن سعيدان .</t>
        </is>
      </c>
      <c r="B3826" t="inlineStr">
        <is>
          <t>KFM2020660129888</t>
        </is>
      </c>
      <c r="C3826" t="inlineStr">
        <is>
          <t>الرياض</t>
        </is>
      </c>
      <c r="D3826" t="inlineStr">
        <is>
          <t>مساءا</t>
        </is>
      </c>
      <c r="E3826" t="n">
        <v>483</v>
      </c>
      <c r="F3826" t="b">
        <v>0</v>
      </c>
      <c r="G3826">
        <f>HYPERLINK("https://www.google.com/maps/search/?api=1&amp;query=24.79150848,46.77626989", "View Map")</f>
        <v/>
      </c>
    </row>
    <row r="3827">
      <c r="A3827" t="inlineStr">
        <is>
          <t>ﻤﺴﺎﺠﺩ .</t>
        </is>
      </c>
      <c r="B3827" t="inlineStr">
        <is>
          <t>SMR2320661022842</t>
        </is>
      </c>
      <c r="C3827" t="inlineStr">
        <is>
          <t>الرياض</t>
        </is>
      </c>
      <c r="D3827" t="inlineStr">
        <is>
          <t>مساءا</t>
        </is>
      </c>
      <c r="E3827" t="n">
        <v>483</v>
      </c>
      <c r="F3827" t="b">
        <v>0</v>
      </c>
      <c r="G3827">
        <f>HYPERLINK("https://www.google.com/maps/search/?api=1&amp;query=24.80337768,46.59003903", "View Map")</f>
        <v/>
      </c>
    </row>
    <row r="3828">
      <c r="A3828" t="inlineStr">
        <is>
          <t>جامع اليحيى .</t>
        </is>
      </c>
      <c r="B3828" t="inlineStr">
        <is>
          <t>KFM2120660305007</t>
        </is>
      </c>
      <c r="C3828" t="inlineStr">
        <is>
          <t>الرياض</t>
        </is>
      </c>
      <c r="D3828" t="inlineStr">
        <is>
          <t>مساءا</t>
        </is>
      </c>
      <c r="E3828" t="n">
        <v>483</v>
      </c>
      <c r="F3828" t="b">
        <v>0</v>
      </c>
      <c r="G3828">
        <f>HYPERLINK("https://www.google.com/maps/search/?api=1&amp;query=24.64695621,46.78288276", "View Map")</f>
        <v/>
      </c>
    </row>
    <row r="3829">
      <c r="A3829" t="inlineStr">
        <is>
          <t>ﻭﺯﺍﺭﺓﺍﻟﺸﺌﻭﻥ ﺍﻻﺴﻼﻤﻴﺓﻭﺍﻻﻭﻗﺎﻑ .</t>
        </is>
      </c>
      <c r="B3829" t="inlineStr">
        <is>
          <t>KFM2020660177105</t>
        </is>
      </c>
      <c r="C3829" t="inlineStr">
        <is>
          <t>الرياض</t>
        </is>
      </c>
      <c r="D3829" t="inlineStr">
        <is>
          <t>مساءا</t>
        </is>
      </c>
      <c r="E3829" t="n">
        <v>483</v>
      </c>
      <c r="F3829" t="b">
        <v>0</v>
      </c>
      <c r="G3829">
        <f>HYPERLINK("https://www.google.com/maps/search/?api=1&amp;query=24.55414887,46.62646314", "View Map")</f>
        <v/>
      </c>
    </row>
    <row r="3830">
      <c r="A3830" t="inlineStr">
        <is>
          <t>مسجد الاحنف بن قيس .</t>
        </is>
      </c>
      <c r="B3830" t="inlineStr">
        <is>
          <t>KFM2020660177023</t>
        </is>
      </c>
      <c r="C3830" t="inlineStr">
        <is>
          <t>الرياض</t>
        </is>
      </c>
      <c r="D3830" t="inlineStr">
        <is>
          <t>مساءا</t>
        </is>
      </c>
      <c r="E3830" t="n">
        <v>482</v>
      </c>
      <c r="F3830" t="b">
        <v>0</v>
      </c>
      <c r="G3830">
        <f>HYPERLINK("https://www.google.com/maps/search/?api=1&amp;query=24.54550841,46.70579374", "View Map")</f>
        <v/>
      </c>
    </row>
    <row r="3831">
      <c r="A3831" t="inlineStr">
        <is>
          <t>ﻭﺯﺍﺭﺓﺍﻟﺸﺌﻭﻥ ﺍﻻﺴﻼﻤﻴﺓﻭﺍﻻﻭﻗﺎﻑ .</t>
        </is>
      </c>
      <c r="B3831" t="inlineStr">
        <is>
          <t>SMR2220661018624</t>
        </is>
      </c>
      <c r="C3831" t="inlineStr">
        <is>
          <t>الرياض</t>
        </is>
      </c>
      <c r="D3831" t="inlineStr">
        <is>
          <t>مساءا</t>
        </is>
      </c>
      <c r="E3831" t="n">
        <v>481</v>
      </c>
      <c r="F3831" t="b">
        <v>0</v>
      </c>
      <c r="G3831">
        <f>HYPERLINK("https://www.google.com/maps/search/?api=1&amp;query=24.55363955,46.6674507", "View Map")</f>
        <v/>
      </c>
    </row>
    <row r="3832">
      <c r="A3832" t="inlineStr">
        <is>
          <t>ﻤﺴﺎﺠﺩ .</t>
        </is>
      </c>
      <c r="B3832" t="inlineStr">
        <is>
          <t>KFM2020660007006</t>
        </is>
      </c>
      <c r="C3832" t="inlineStr">
        <is>
          <t>الرياض</t>
        </is>
      </c>
      <c r="D3832" t="inlineStr">
        <is>
          <t>صباحا</t>
        </is>
      </c>
      <c r="E3832" t="n">
        <v>481</v>
      </c>
      <c r="F3832" t="b">
        <v>0</v>
      </c>
      <c r="G3832">
        <f>HYPERLINK("https://www.google.com/maps/search/?api=1&amp;query=24.79542558,46.88743625", "View Map")</f>
        <v/>
      </c>
    </row>
    <row r="3833">
      <c r="A3833" t="inlineStr">
        <is>
          <t xml:space="preserve">   مسجدعماربن ياسربحي الملقا .</t>
        </is>
      </c>
      <c r="B3833" t="inlineStr">
        <is>
          <t>KFM2020660192318</t>
        </is>
      </c>
      <c r="C3833" t="inlineStr">
        <is>
          <t>الرياض</t>
        </is>
      </c>
      <c r="D3833" t="inlineStr">
        <is>
          <t>مساءا</t>
        </is>
      </c>
      <c r="E3833" t="n">
        <v>480</v>
      </c>
      <c r="F3833" t="b">
        <v>0</v>
      </c>
      <c r="G3833">
        <f>HYPERLINK("https://www.google.com/maps/search/?api=1&amp;query=24.78974,46.61907", "View Map")</f>
        <v/>
      </c>
    </row>
    <row r="3834">
      <c r="A3834" t="inlineStr">
        <is>
          <t xml:space="preserve">   مسجد      حي        الخليج .</t>
        </is>
      </c>
      <c r="B3834" t="inlineStr">
        <is>
          <t>KFM2020660190972</t>
        </is>
      </c>
      <c r="C3834" t="inlineStr">
        <is>
          <t>الرياض</t>
        </is>
      </c>
      <c r="D3834" t="inlineStr">
        <is>
          <t>مساءا</t>
        </is>
      </c>
      <c r="E3834" t="n">
        <v>480</v>
      </c>
      <c r="F3834" t="b">
        <v>0</v>
      </c>
      <c r="G3834">
        <f>HYPERLINK("https://www.google.com/maps/search/?api=1&amp;query=24.78316729,46.80621993", "View Map")</f>
        <v/>
      </c>
    </row>
    <row r="3835">
      <c r="A3835" t="inlineStr">
        <is>
          <t>مسجد      محمد      الزير .</t>
        </is>
      </c>
      <c r="B3835" t="inlineStr">
        <is>
          <t>KFM2020660025781</t>
        </is>
      </c>
      <c r="C3835" t="inlineStr">
        <is>
          <t>الرياض</t>
        </is>
      </c>
      <c r="D3835" t="inlineStr">
        <is>
          <t>مساءا</t>
        </is>
      </c>
      <c r="E3835" t="n">
        <v>480</v>
      </c>
      <c r="F3835" t="b">
        <v>0</v>
      </c>
      <c r="G3835">
        <f>HYPERLINK("https://www.google.com/maps/search/?api=1&amp;query=24.56521298,46.64655708", "View Map")</f>
        <v/>
      </c>
    </row>
    <row r="3836">
      <c r="A3836" t="inlineStr">
        <is>
          <t xml:space="preserve">   مسجد محمد سعود العجاجي .</t>
        </is>
      </c>
      <c r="B3836" t="inlineStr">
        <is>
          <t>KFM2020660192549</t>
        </is>
      </c>
      <c r="C3836" t="inlineStr">
        <is>
          <t>الرياض</t>
        </is>
      </c>
      <c r="D3836" t="inlineStr">
        <is>
          <t>مساءا</t>
        </is>
      </c>
      <c r="E3836" t="n">
        <v>479</v>
      </c>
      <c r="F3836" t="b">
        <v>1</v>
      </c>
      <c r="G3836">
        <f>HYPERLINK("https://www.google.com/maps/search/?api=1&amp;query=24.63692912,46.62290432", "View Map")</f>
        <v/>
      </c>
    </row>
    <row r="3837">
      <c r="A3837" t="inlineStr">
        <is>
          <t>ﻭﺯﺍﺭﺓﺍﻟﺸﺌﻭﻥ ﺍﻻﺴﻼﻤﻴﺓﻭﺍﻻﻭﻗﺎﻑ .</t>
        </is>
      </c>
      <c r="B3837" t="inlineStr">
        <is>
          <t>KFM2020660171720</t>
        </is>
      </c>
      <c r="C3837" t="inlineStr">
        <is>
          <t>الرياض</t>
        </is>
      </c>
      <c r="D3837" t="inlineStr">
        <is>
          <t>مساءا</t>
        </is>
      </c>
      <c r="E3837" t="n">
        <v>479</v>
      </c>
      <c r="F3837" t="b">
        <v>0</v>
      </c>
      <c r="G3837">
        <f>HYPERLINK("https://www.google.com/maps/search/?api=1&amp;query=24.54396403,46.64259288", "View Map")</f>
        <v/>
      </c>
    </row>
    <row r="3838">
      <c r="A3838" t="inlineStr">
        <is>
          <t>مسجد      الامير     منصور .</t>
        </is>
      </c>
      <c r="B3838" t="inlineStr">
        <is>
          <t>KFM2020660171827</t>
        </is>
      </c>
      <c r="C3838" t="inlineStr">
        <is>
          <t>الرياض</t>
        </is>
      </c>
      <c r="D3838" t="inlineStr">
        <is>
          <t>صباحا</t>
        </is>
      </c>
      <c r="E3838" t="n">
        <v>479</v>
      </c>
      <c r="F3838" t="b">
        <v>0</v>
      </c>
      <c r="G3838">
        <f>HYPERLINK("https://www.google.com/maps/search/?api=1&amp;query=24.62506497,46.71437349", "View Map")</f>
        <v/>
      </c>
    </row>
    <row r="3839">
      <c r="A3839" t="inlineStr">
        <is>
          <t xml:space="preserve">   مسجدسعدبن ابي وقا ص  ومرافقه .</t>
        </is>
      </c>
      <c r="B3839" t="inlineStr">
        <is>
          <t>KFM2020660202284</t>
        </is>
      </c>
      <c r="C3839" t="inlineStr">
        <is>
          <t>الرياض</t>
        </is>
      </c>
      <c r="D3839" t="inlineStr">
        <is>
          <t>مساءا</t>
        </is>
      </c>
      <c r="E3839" t="n">
        <v>479</v>
      </c>
      <c r="F3839" t="b">
        <v>0</v>
      </c>
      <c r="G3839">
        <f>HYPERLINK("https://www.google.com/maps/search/?api=1&amp;query=24.6289,46.5561", "View Map")</f>
        <v/>
      </c>
    </row>
    <row r="3840">
      <c r="A3840" t="inlineStr">
        <is>
          <t xml:space="preserve">   مسجدابراهيم الحمزة .</t>
        </is>
      </c>
      <c r="B3840" t="inlineStr">
        <is>
          <t>KFM2020660057137</t>
        </is>
      </c>
      <c r="C3840" t="inlineStr">
        <is>
          <t>الرياض</t>
        </is>
      </c>
      <c r="D3840" t="inlineStr">
        <is>
          <t>صباحا</t>
        </is>
      </c>
      <c r="E3840" t="n">
        <v>477</v>
      </c>
      <c r="F3840" t="b">
        <v>0</v>
      </c>
      <c r="G3840">
        <f>HYPERLINK("https://www.google.com/maps/search/?api=1&amp;query=24.72719777,46.80751668", "View Map")</f>
        <v/>
      </c>
    </row>
    <row r="3841">
      <c r="A3841" t="inlineStr">
        <is>
          <t xml:space="preserve">   مسجد سعد الحقان .</t>
        </is>
      </c>
      <c r="B3841" t="inlineStr">
        <is>
          <t>KFM2020660188971</t>
        </is>
      </c>
      <c r="C3841" t="inlineStr">
        <is>
          <t>الرياض</t>
        </is>
      </c>
      <c r="D3841" t="inlineStr">
        <is>
          <t>مساءا</t>
        </is>
      </c>
      <c r="E3841" t="n">
        <v>477</v>
      </c>
      <c r="F3841" t="b">
        <v>0</v>
      </c>
      <c r="G3841">
        <f>HYPERLINK("https://www.google.com/maps/search/?api=1&amp;query=24.76217442,46.71804277", "View Map")</f>
        <v/>
      </c>
    </row>
    <row r="3842">
      <c r="A3842" t="inlineStr">
        <is>
          <t>ﻤﺴﺎﺠﺩ .</t>
        </is>
      </c>
      <c r="B3842" t="inlineStr">
        <is>
          <t>KFM2020660208588</t>
        </is>
      </c>
      <c r="C3842" t="inlineStr">
        <is>
          <t>الرياض</t>
        </is>
      </c>
      <c r="D3842" t="inlineStr">
        <is>
          <t>مساءا</t>
        </is>
      </c>
      <c r="E3842" t="n">
        <v>476</v>
      </c>
      <c r="F3842" t="b">
        <v>0</v>
      </c>
      <c r="G3842">
        <f>HYPERLINK("https://www.google.com/maps/search/?api=1&amp;query=24.64936535,46.56457391", "View Map")</f>
        <v/>
      </c>
    </row>
    <row r="3843">
      <c r="A3843" t="inlineStr">
        <is>
          <t xml:space="preserve">   مسجد السليمانيه ومرافقه .</t>
        </is>
      </c>
      <c r="B3843" t="inlineStr">
        <is>
          <t>KFM2020660209679</t>
        </is>
      </c>
      <c r="C3843" t="inlineStr">
        <is>
          <t>الرياض</t>
        </is>
      </c>
      <c r="D3843" t="inlineStr">
        <is>
          <t>صباحا</t>
        </is>
      </c>
      <c r="E3843" t="n">
        <v>476</v>
      </c>
      <c r="F3843" t="b">
        <v>0</v>
      </c>
      <c r="G3843">
        <f>HYPERLINK("https://www.google.com/maps/search/?api=1&amp;query=24.68441128,46.70755887", "View Map")</f>
        <v/>
      </c>
    </row>
    <row r="3844">
      <c r="A3844" t="inlineStr">
        <is>
          <t xml:space="preserve">   مسجد      أبي سعيد  الخدري .</t>
        </is>
      </c>
      <c r="B3844" t="inlineStr">
        <is>
          <t>KFM2120760242334</t>
        </is>
      </c>
      <c r="C3844" t="inlineStr">
        <is>
          <t>الرياض</t>
        </is>
      </c>
      <c r="D3844" t="inlineStr">
        <is>
          <t>مساءا</t>
        </is>
      </c>
      <c r="E3844" t="n">
        <v>476</v>
      </c>
      <c r="F3844" t="b">
        <v>0</v>
      </c>
      <c r="G3844">
        <f>HYPERLINK("https://www.google.com/maps/search/?api=1&amp;query=24.76496575,46.78210153", "View Map")</f>
        <v/>
      </c>
    </row>
    <row r="3845">
      <c r="A3845" t="inlineStr">
        <is>
          <t xml:space="preserve">   مسـجد العلاء الحضرمي .</t>
        </is>
      </c>
      <c r="B3845" t="inlineStr">
        <is>
          <t>KFM2120660299133</t>
        </is>
      </c>
      <c r="C3845" t="inlineStr">
        <is>
          <t>الرياض</t>
        </is>
      </c>
      <c r="D3845" t="inlineStr">
        <is>
          <t>مساءا</t>
        </is>
      </c>
      <c r="E3845" t="n">
        <v>475</v>
      </c>
      <c r="F3845" t="b">
        <v>0</v>
      </c>
      <c r="G3845">
        <f>HYPERLINK("https://www.google.com/maps/search/?api=1&amp;query=24.61283324,46.73596205", "View Map")</f>
        <v/>
      </c>
    </row>
    <row r="3846">
      <c r="A3846" t="inlineStr">
        <is>
          <t xml:space="preserve">   مسجد طرفة العبدالقادر .</t>
        </is>
      </c>
      <c r="B3846" t="inlineStr">
        <is>
          <t>KFM2020660127529</t>
        </is>
      </c>
      <c r="C3846" t="inlineStr">
        <is>
          <t>الرياض</t>
        </is>
      </c>
      <c r="D3846" t="inlineStr">
        <is>
          <t>صباحا</t>
        </is>
      </c>
      <c r="E3846" t="n">
        <v>474</v>
      </c>
      <c r="F3846" t="b">
        <v>0</v>
      </c>
      <c r="G3846">
        <f>HYPERLINK("https://www.google.com/maps/search/?api=1&amp;query=24.82298273,46.62311306", "View Map")</f>
        <v/>
      </c>
    </row>
    <row r="3847">
      <c r="A3847" t="inlineStr">
        <is>
          <t>مسجد محمد بن زيد .</t>
        </is>
      </c>
      <c r="B3847" t="inlineStr">
        <is>
          <t>KFM2020660096673</t>
        </is>
      </c>
      <c r="C3847" t="inlineStr">
        <is>
          <t>الرياض</t>
        </is>
      </c>
      <c r="D3847" t="inlineStr">
        <is>
          <t>صباحا</t>
        </is>
      </c>
      <c r="E3847" t="n">
        <v>474</v>
      </c>
      <c r="F3847" t="b">
        <v>0</v>
      </c>
      <c r="G3847">
        <f>HYPERLINK("https://www.google.com/maps/search/?api=1&amp;query=24.59178048,46.62750883", "View Map")</f>
        <v/>
      </c>
    </row>
    <row r="3848">
      <c r="A3848" t="inlineStr">
        <is>
          <t xml:space="preserve">   مسجد حسن خليف العنزي .</t>
        </is>
      </c>
      <c r="B3848" t="inlineStr">
        <is>
          <t>KFM2020660175848</t>
        </is>
      </c>
      <c r="C3848" t="inlineStr">
        <is>
          <t>الرياض</t>
        </is>
      </c>
      <c r="D3848" t="inlineStr">
        <is>
          <t>صباحا</t>
        </is>
      </c>
      <c r="E3848" t="n">
        <v>474</v>
      </c>
      <c r="F3848" t="b">
        <v>0</v>
      </c>
      <c r="G3848">
        <f>HYPERLINK("https://www.google.com/maps/search/?api=1&amp;query=24.79951214,46.86380815", "View Map")</f>
        <v/>
      </c>
    </row>
    <row r="3849">
      <c r="A3849" t="inlineStr">
        <is>
          <t>مسجد الوشام .</t>
        </is>
      </c>
      <c r="B3849" t="inlineStr">
        <is>
          <t>KFM2020660039111</t>
        </is>
      </c>
      <c r="C3849" t="inlineStr">
        <is>
          <t>الرياض</t>
        </is>
      </c>
      <c r="D3849" t="inlineStr">
        <is>
          <t>مساءا</t>
        </is>
      </c>
      <c r="E3849" t="n">
        <v>474</v>
      </c>
      <c r="F3849" t="b">
        <v>0</v>
      </c>
      <c r="G3849">
        <f>HYPERLINK("https://www.google.com/maps/search/?api=1&amp;query=24.637199,46.70656693", "View Map")</f>
        <v/>
      </c>
    </row>
    <row r="3850">
      <c r="A3850" t="inlineStr">
        <is>
          <t>مسجد /عبدالرحمن الموسى .</t>
        </is>
      </c>
      <c r="B3850" t="inlineStr">
        <is>
          <t>KFM2020660171767</t>
        </is>
      </c>
      <c r="C3850" t="inlineStr">
        <is>
          <t>الرياض</t>
        </is>
      </c>
      <c r="D3850" t="inlineStr">
        <is>
          <t>مساءا</t>
        </is>
      </c>
      <c r="E3850" t="n">
        <v>474</v>
      </c>
      <c r="F3850" t="b">
        <v>0</v>
      </c>
      <c r="G3850">
        <f>HYPERLINK("https://www.google.com/maps/search/?api=1&amp;query=24.581297,46.59497425", "View Map")</f>
        <v/>
      </c>
    </row>
    <row r="3851">
      <c r="A3851" t="inlineStr">
        <is>
          <t xml:space="preserve">   مسجد عمر بن الخطاب .</t>
        </is>
      </c>
      <c r="B3851" t="inlineStr">
        <is>
          <t>KFM2120660247901</t>
        </is>
      </c>
      <c r="C3851" t="inlineStr">
        <is>
          <t>الرياض</t>
        </is>
      </c>
      <c r="D3851" t="inlineStr">
        <is>
          <t>مساءا</t>
        </is>
      </c>
      <c r="E3851" t="n">
        <v>474</v>
      </c>
      <c r="F3851" t="b">
        <v>0</v>
      </c>
      <c r="G3851">
        <f>HYPERLINK("https://www.google.com/maps/search/?api=1&amp;query=24.67317744,46.66629491", "View Map")</f>
        <v/>
      </c>
    </row>
    <row r="3852">
      <c r="A3852" t="inlineStr">
        <is>
          <t>مسجد السبيل .</t>
        </is>
      </c>
      <c r="B3852" t="inlineStr">
        <is>
          <t>KFM2020766161571</t>
        </is>
      </c>
      <c r="C3852" t="inlineStr">
        <is>
          <t>الرياض</t>
        </is>
      </c>
      <c r="D3852" t="inlineStr">
        <is>
          <t>مساءا</t>
        </is>
      </c>
      <c r="E3852" t="n">
        <v>473</v>
      </c>
      <c r="F3852" t="b">
        <v>0</v>
      </c>
      <c r="G3852">
        <f>HYPERLINK("https://www.google.com/maps/search/?api=1&amp;query=24.58936801,46.72155799", "View Map")</f>
        <v/>
      </c>
    </row>
    <row r="3853">
      <c r="A3853" t="inlineStr">
        <is>
          <t xml:space="preserve">   مسجد/ ظلماء بالدرعيه .</t>
        </is>
      </c>
      <c r="B3853" t="inlineStr">
        <is>
          <t>KFM2020660173778</t>
        </is>
      </c>
      <c r="C3853" t="inlineStr">
        <is>
          <t>الدرعية</t>
        </is>
      </c>
      <c r="D3853" t="inlineStr">
        <is>
          <t>مساءا</t>
        </is>
      </c>
      <c r="E3853" t="n">
        <v>473</v>
      </c>
      <c r="F3853" t="b">
        <v>0</v>
      </c>
      <c r="G3853">
        <f>HYPERLINK("https://www.google.com/maps/search/?api=1&amp;query=24.74521792,46.56490203", "View Map")</f>
        <v/>
      </c>
    </row>
    <row r="3854">
      <c r="A3854" t="inlineStr">
        <is>
          <t xml:space="preserve"> مسجد الشيخ عبدالعزيزعبدالله الموسى .</t>
        </is>
      </c>
      <c r="B3854" t="inlineStr">
        <is>
          <t>KFM2120660272407</t>
        </is>
      </c>
      <c r="C3854" t="inlineStr">
        <is>
          <t>الرياض</t>
        </is>
      </c>
      <c r="D3854" t="inlineStr">
        <is>
          <t>مساءا</t>
        </is>
      </c>
      <c r="E3854" t="n">
        <v>473</v>
      </c>
      <c r="F3854" t="b">
        <v>0</v>
      </c>
      <c r="G3854">
        <f>HYPERLINK("https://www.google.com/maps/search/?api=1&amp;query=24.68315,46.69397", "View Map")</f>
        <v/>
      </c>
    </row>
    <row r="3855">
      <c r="A3855" t="inlineStr">
        <is>
          <t xml:space="preserve">   مسجد عثمان بن عفان .</t>
        </is>
      </c>
      <c r="B3855" t="inlineStr">
        <is>
          <t>KFM2020660126315</t>
        </is>
      </c>
      <c r="C3855" t="inlineStr">
        <is>
          <t>الرياض</t>
        </is>
      </c>
      <c r="D3855" t="inlineStr">
        <is>
          <t>مساءا</t>
        </is>
      </c>
      <c r="E3855" t="n">
        <v>473</v>
      </c>
      <c r="F3855" t="b">
        <v>0</v>
      </c>
      <c r="G3855">
        <f>HYPERLINK("https://www.google.com/maps/search/?api=1&amp;query=24.75773081,46.71722487", "View Map")</f>
        <v/>
      </c>
    </row>
    <row r="3856">
      <c r="A3856" t="inlineStr">
        <is>
          <t>مسجد      جامع      السويدي .</t>
        </is>
      </c>
      <c r="B3856" t="inlineStr">
        <is>
          <t>KFM2020660054932</t>
        </is>
      </c>
      <c r="C3856" t="inlineStr">
        <is>
          <t>الرياض</t>
        </is>
      </c>
      <c r="D3856" t="inlineStr">
        <is>
          <t>صباحا</t>
        </is>
      </c>
      <c r="E3856" t="n">
        <v>472</v>
      </c>
      <c r="F3856" t="b">
        <v>0</v>
      </c>
      <c r="G3856">
        <f>HYPERLINK("https://www.google.com/maps/search/?api=1&amp;query=24.58993157,46.65970334", "View Map")</f>
        <v/>
      </c>
    </row>
    <row r="3857">
      <c r="A3857" t="inlineStr">
        <is>
          <t xml:space="preserve">   مسجد الطلاسى بالعود .</t>
        </is>
      </c>
      <c r="B3857" t="inlineStr">
        <is>
          <t>KFM2020660044671</t>
        </is>
      </c>
      <c r="C3857" t="inlineStr">
        <is>
          <t>الرياض</t>
        </is>
      </c>
      <c r="D3857" t="inlineStr">
        <is>
          <t>مساءا</t>
        </is>
      </c>
      <c r="E3857" t="n">
        <v>472</v>
      </c>
      <c r="F3857" t="b">
        <v>0</v>
      </c>
      <c r="G3857">
        <f>HYPERLINK("https://www.google.com/maps/search/?api=1&amp;query=24.62957723,46.72926715", "View Map")</f>
        <v/>
      </c>
    </row>
    <row r="3858">
      <c r="A3858" t="inlineStr">
        <is>
          <t>ﻭﺯﺍﺭﺓﺍﻟﺸﺌﻭﻥ ﺍﻻﺴﻼﻤﻴﺓﻭﺍﻻﻭﻗﺎﻑ .</t>
        </is>
      </c>
      <c r="B3858" t="inlineStr">
        <is>
          <t>KFM2020660175009</t>
        </is>
      </c>
      <c r="C3858" t="inlineStr">
        <is>
          <t>الرياض</t>
        </is>
      </c>
      <c r="D3858" t="inlineStr">
        <is>
          <t>مساءا</t>
        </is>
      </c>
      <c r="E3858" t="n">
        <v>472</v>
      </c>
      <c r="F3858" t="b">
        <v>0</v>
      </c>
      <c r="G3858">
        <f>HYPERLINK("https://www.google.com/maps/search/?api=1&amp;query=24.51890811,46.683561", "View Map")</f>
        <v/>
      </c>
    </row>
    <row r="3859">
      <c r="A3859" t="inlineStr">
        <is>
          <t xml:space="preserve"> مسجدالشيخ عبدالله عبدالعزيزالحبيشى .</t>
        </is>
      </c>
      <c r="B3859" t="inlineStr">
        <is>
          <t>ECC2420831014926</t>
        </is>
      </c>
      <c r="C3859" t="inlineStr">
        <is>
          <t>الرياض</t>
        </is>
      </c>
      <c r="D3859" t="inlineStr">
        <is>
          <t>مساءا</t>
        </is>
      </c>
      <c r="E3859" t="n">
        <v>472</v>
      </c>
      <c r="F3859" t="b">
        <v>0</v>
      </c>
      <c r="G3859">
        <f>HYPERLINK("https://www.google.com/maps/search/?api=1&amp;query=24.6788625,46.75155327", "View Map")</f>
        <v/>
      </c>
    </row>
    <row r="3860">
      <c r="A3860" t="inlineStr">
        <is>
          <t xml:space="preserve">   دورة مياه جامع الرحمانيه .</t>
        </is>
      </c>
      <c r="B3860" t="inlineStr">
        <is>
          <t>MMF2020800179419</t>
        </is>
      </c>
      <c r="C3860" t="inlineStr">
        <is>
          <t>الرياض</t>
        </is>
      </c>
      <c r="D3860" t="inlineStr">
        <is>
          <t>مساءا</t>
        </is>
      </c>
      <c r="E3860" t="n">
        <v>472</v>
      </c>
      <c r="F3860" t="b">
        <v>0</v>
      </c>
      <c r="G3860">
        <f>HYPERLINK("https://www.google.com/maps/search/?api=1&amp;query=24.71392961,46.66438471", "View Map")</f>
        <v/>
      </c>
    </row>
    <row r="3861">
      <c r="A3861" t="inlineStr">
        <is>
          <t xml:space="preserve">   مسجدشعبه المرقب الجديد .</t>
        </is>
      </c>
      <c r="B3861" t="inlineStr">
        <is>
          <t>KFM2020660047753</t>
        </is>
      </c>
      <c r="C3861" t="inlineStr">
        <is>
          <t>الرياض</t>
        </is>
      </c>
      <c r="D3861" t="inlineStr">
        <is>
          <t>مساءا</t>
        </is>
      </c>
      <c r="E3861" t="n">
        <v>471</v>
      </c>
      <c r="F3861" t="b">
        <v>0</v>
      </c>
      <c r="G3861">
        <f>HYPERLINK("https://www.google.com/maps/search/?api=1&amp;query=24.63998854,46.72619668", "View Map")</f>
        <v/>
      </c>
    </row>
    <row r="3862">
      <c r="A3862" t="inlineStr">
        <is>
          <t>مسجد الحروب .</t>
        </is>
      </c>
      <c r="B3862" t="inlineStr">
        <is>
          <t>KFM2020660052961</t>
        </is>
      </c>
      <c r="C3862" t="inlineStr">
        <is>
          <t>الرياض</t>
        </is>
      </c>
      <c r="D3862" t="inlineStr">
        <is>
          <t>صباحا</t>
        </is>
      </c>
      <c r="E3862" t="n">
        <v>471</v>
      </c>
      <c r="F3862" t="b">
        <v>0</v>
      </c>
      <c r="G3862">
        <f>HYPERLINK("https://www.google.com/maps/search/?api=1&amp;query=24.61582741,46.7245446", "View Map")</f>
        <v/>
      </c>
    </row>
    <row r="3863">
      <c r="A3863" t="inlineStr">
        <is>
          <t xml:space="preserve">   مسجد  محمد  ابراهيم  آل شيخ .</t>
        </is>
      </c>
      <c r="B3863" t="inlineStr">
        <is>
          <t>KFM2020660190997</t>
        </is>
      </c>
      <c r="C3863" t="inlineStr">
        <is>
          <t>الرياض</t>
        </is>
      </c>
      <c r="D3863" t="inlineStr">
        <is>
          <t>مساءا</t>
        </is>
      </c>
      <c r="E3863" t="n">
        <v>471</v>
      </c>
      <c r="F3863" t="b">
        <v>0</v>
      </c>
      <c r="G3863">
        <f>HYPERLINK("https://www.google.com/maps/search/?api=1&amp;query=24.81102076,46.90438785", "View Map")</f>
        <v/>
      </c>
    </row>
    <row r="3864">
      <c r="A3864" t="inlineStr">
        <is>
          <t>ﻤﺴﺎﺠﺩ .</t>
        </is>
      </c>
      <c r="B3864" t="inlineStr">
        <is>
          <t>MMF2020800235384</t>
        </is>
      </c>
      <c r="C3864" t="inlineStr">
        <is>
          <t>الرياض</t>
        </is>
      </c>
      <c r="D3864" t="inlineStr">
        <is>
          <t>مساءا</t>
        </is>
      </c>
      <c r="E3864" t="n">
        <v>471</v>
      </c>
      <c r="F3864" t="b">
        <v>0</v>
      </c>
      <c r="G3864">
        <f>HYPERLINK("https://www.google.com/maps/search/?api=1&amp;query=24.57887155,46.76087669", "View Map")</f>
        <v/>
      </c>
    </row>
    <row r="3865">
      <c r="A3865" t="inlineStr">
        <is>
          <t xml:space="preserve">   مسجد صالح الراجحي .</t>
        </is>
      </c>
      <c r="B3865" t="inlineStr">
        <is>
          <t>KFM2020660057087</t>
        </is>
      </c>
      <c r="C3865" t="inlineStr">
        <is>
          <t>الرياض</t>
        </is>
      </c>
      <c r="D3865" t="inlineStr">
        <is>
          <t>مساءا</t>
        </is>
      </c>
      <c r="E3865" t="n">
        <v>471</v>
      </c>
      <c r="F3865" t="b">
        <v>0</v>
      </c>
      <c r="G3865">
        <f>HYPERLINK("https://www.google.com/maps/search/?api=1&amp;query=24.72577575,46.83063556", "View Map")</f>
        <v/>
      </c>
    </row>
    <row r="3866">
      <c r="A3866" t="inlineStr">
        <is>
          <t xml:space="preserve">   مسجد حي الملك عبدالله .</t>
        </is>
      </c>
      <c r="B3866" t="inlineStr">
        <is>
          <t>KFM2120660300437</t>
        </is>
      </c>
      <c r="C3866" t="inlineStr">
        <is>
          <t>الرياض</t>
        </is>
      </c>
      <c r="D3866" t="inlineStr">
        <is>
          <t>مساءا</t>
        </is>
      </c>
      <c r="E3866" t="n">
        <v>470</v>
      </c>
      <c r="F3866" t="b">
        <v>0</v>
      </c>
      <c r="G3866">
        <f>HYPERLINK("https://www.google.com/maps/search/?api=1&amp;query=24.73016061,46.7463302", "View Map")</f>
        <v/>
      </c>
    </row>
    <row r="3867">
      <c r="A3867" t="inlineStr">
        <is>
          <t>مسجد على  بن برغشى .</t>
        </is>
      </c>
      <c r="B3867" t="inlineStr">
        <is>
          <t>KFM2020660054996</t>
        </is>
      </c>
      <c r="C3867" t="inlineStr">
        <is>
          <t>الرياض</t>
        </is>
      </c>
      <c r="D3867" t="inlineStr">
        <is>
          <t>مساءا</t>
        </is>
      </c>
      <c r="E3867" t="n">
        <v>470</v>
      </c>
      <c r="F3867" t="b">
        <v>0</v>
      </c>
      <c r="G3867">
        <f>HYPERLINK("https://www.google.com/maps/search/?api=1&amp;query=24.58369598,46.68155207", "View Map")</f>
        <v/>
      </c>
    </row>
    <row r="3868">
      <c r="A3868" t="inlineStr">
        <is>
          <t xml:space="preserve">   مسجد الناصر .</t>
        </is>
      </c>
      <c r="B3868" t="inlineStr">
        <is>
          <t>KFM2020660039908</t>
        </is>
      </c>
      <c r="C3868" t="inlineStr">
        <is>
          <t>الرياض</t>
        </is>
      </c>
      <c r="D3868" t="inlineStr">
        <is>
          <t>مساءا</t>
        </is>
      </c>
      <c r="E3868" t="n">
        <v>470</v>
      </c>
      <c r="F3868" t="b">
        <v>0</v>
      </c>
      <c r="G3868">
        <f>HYPERLINK("https://www.google.com/maps/search/?api=1&amp;query=24.80594966,46.60508266", "View Map")</f>
        <v/>
      </c>
    </row>
    <row r="3869">
      <c r="A3869" t="inlineStr">
        <is>
          <t xml:space="preserve">   مسجد مناحي السبيعي .</t>
        </is>
      </c>
      <c r="B3869" t="inlineStr">
        <is>
          <t>KFM2020660127232</t>
        </is>
      </c>
      <c r="C3869" t="inlineStr">
        <is>
          <t>الرياض</t>
        </is>
      </c>
      <c r="D3869" t="inlineStr">
        <is>
          <t>صباحا</t>
        </is>
      </c>
      <c r="E3869" t="n">
        <v>470</v>
      </c>
      <c r="F3869" t="b">
        <v>0</v>
      </c>
      <c r="G3869">
        <f>HYPERLINK("https://www.google.com/maps/search/?api=1&amp;query=24.7404933,46.82110909", "View Map")</f>
        <v/>
      </c>
    </row>
    <row r="3870">
      <c r="A3870" t="inlineStr">
        <is>
          <t>مسجد منفوحه .</t>
        </is>
      </c>
      <c r="B3870" t="inlineStr">
        <is>
          <t>KFM2020660189432</t>
        </is>
      </c>
      <c r="C3870" t="inlineStr">
        <is>
          <t>الرياض</t>
        </is>
      </c>
      <c r="D3870" t="inlineStr">
        <is>
          <t>صباحا</t>
        </is>
      </c>
      <c r="E3870" t="n">
        <v>470</v>
      </c>
      <c r="F3870" t="b">
        <v>0</v>
      </c>
      <c r="G3870">
        <f>HYPERLINK("https://www.google.com/maps/search/?api=1&amp;query=24.60090544,46.72007478", "View Map")</f>
        <v/>
      </c>
    </row>
    <row r="3871">
      <c r="A3871" t="inlineStr">
        <is>
          <t>ﻤﺴﺎﺠﺩ .</t>
        </is>
      </c>
      <c r="B3871" t="inlineStr">
        <is>
          <t>KFM2020660197963</t>
        </is>
      </c>
      <c r="C3871" t="inlineStr">
        <is>
          <t>الرياض</t>
        </is>
      </c>
      <c r="D3871" t="inlineStr">
        <is>
          <t>مساءا</t>
        </is>
      </c>
      <c r="E3871" t="n">
        <v>469</v>
      </c>
      <c r="F3871" t="b">
        <v>0</v>
      </c>
      <c r="G3871">
        <f>HYPERLINK("https://www.google.com/maps/search/?api=1&amp;query=24.62431564,46.57222066", "View Map")</f>
        <v/>
      </c>
    </row>
    <row r="3872">
      <c r="A3872" t="inlineStr">
        <is>
          <t xml:space="preserve">   مسجد حي المنصورة .</t>
        </is>
      </c>
      <c r="B3872" t="inlineStr">
        <is>
          <t>KFM2120660253469</t>
        </is>
      </c>
      <c r="C3872" t="inlineStr">
        <is>
          <t>الرياض</t>
        </is>
      </c>
      <c r="D3872" t="inlineStr">
        <is>
          <t>مساءا</t>
        </is>
      </c>
      <c r="E3872" t="n">
        <v>469</v>
      </c>
      <c r="F3872" t="b">
        <v>0</v>
      </c>
      <c r="G3872">
        <f>HYPERLINK("https://www.google.com/maps/search/?api=1&amp;query=24.60779395,46.74470817", "View Map")</f>
        <v/>
      </c>
    </row>
    <row r="3873">
      <c r="A3873" t="inlineStr">
        <is>
          <t xml:space="preserve">   مسجد أبي ذر الغفاري .</t>
        </is>
      </c>
      <c r="B3873" t="inlineStr">
        <is>
          <t>KFM2020660167795</t>
        </is>
      </c>
      <c r="C3873" t="inlineStr">
        <is>
          <t>الرياض</t>
        </is>
      </c>
      <c r="D3873" t="inlineStr">
        <is>
          <t>مساءا</t>
        </is>
      </c>
      <c r="E3873" t="n">
        <v>469</v>
      </c>
      <c r="F3873" t="b">
        <v>0</v>
      </c>
      <c r="G3873">
        <f>HYPERLINK("https://www.google.com/maps/search/?api=1&amp;query=24.71022678,46.78445387", "View Map")</f>
        <v/>
      </c>
    </row>
    <row r="3874">
      <c r="A3874" t="inlineStr">
        <is>
          <t xml:space="preserve">   مسجد حى الصناعيه القديمه .</t>
        </is>
      </c>
      <c r="B3874" t="inlineStr">
        <is>
          <t>KFM2120660304882</t>
        </is>
      </c>
      <c r="C3874" t="inlineStr">
        <is>
          <t>الرياض</t>
        </is>
      </c>
      <c r="D3874" t="inlineStr">
        <is>
          <t>مساءا</t>
        </is>
      </c>
      <c r="E3874" t="n">
        <v>469</v>
      </c>
      <c r="F3874" t="b">
        <v>0</v>
      </c>
      <c r="G3874">
        <f>HYPERLINK("https://www.google.com/maps/search/?api=1&amp;query=24.63661924,46.74131099", "View Map")</f>
        <v/>
      </c>
    </row>
    <row r="3875">
      <c r="A3875" t="inlineStr">
        <is>
          <t>ﻭﺯﺍﺭﺓﺍﻟﺸﺌﻭﻥ ﺍﻻﺴﻼﻤﻴﺓﻭﺍﻻﻭﻗﺎﻑ .</t>
        </is>
      </c>
      <c r="B3875" t="inlineStr">
        <is>
          <t>SMR2220621001087</t>
        </is>
      </c>
      <c r="C3875" t="inlineStr">
        <is>
          <t>الرياض</t>
        </is>
      </c>
      <c r="D3875" t="inlineStr">
        <is>
          <t>مساءا</t>
        </is>
      </c>
      <c r="E3875" t="n">
        <v>468</v>
      </c>
      <c r="F3875" t="b">
        <v>0</v>
      </c>
      <c r="G3875">
        <f>HYPERLINK("https://www.google.com/maps/search/?api=1&amp;query=24.54871884,46.57095762", "View Map")</f>
        <v/>
      </c>
    </row>
    <row r="3876">
      <c r="A3876" t="inlineStr">
        <is>
          <t xml:space="preserve">   مساجد .</t>
        </is>
      </c>
      <c r="B3876" t="inlineStr">
        <is>
          <t>KFM2020660211391</t>
        </is>
      </c>
      <c r="C3876" t="inlineStr">
        <is>
          <t>الرياض</t>
        </is>
      </c>
      <c r="D3876" t="inlineStr">
        <is>
          <t>مساءا</t>
        </is>
      </c>
      <c r="E3876" t="n">
        <v>468</v>
      </c>
      <c r="F3876" t="b">
        <v>0</v>
      </c>
      <c r="G3876">
        <f>HYPERLINK("https://www.google.com/maps/search/?api=1&amp;query=24.80696893,46.69067915", "View Map")</f>
        <v/>
      </c>
    </row>
    <row r="3877">
      <c r="A3877" t="inlineStr">
        <is>
          <t xml:space="preserve">   مسجد فهد سعود السهلي .</t>
        </is>
      </c>
      <c r="B3877" t="inlineStr">
        <is>
          <t>KFM2020660025594</t>
        </is>
      </c>
      <c r="C3877" t="inlineStr">
        <is>
          <t>الرياض</t>
        </is>
      </c>
      <c r="D3877" t="inlineStr">
        <is>
          <t>مساءا</t>
        </is>
      </c>
      <c r="E3877" t="n">
        <v>468</v>
      </c>
      <c r="F3877" t="b">
        <v>0</v>
      </c>
      <c r="G3877">
        <f>HYPERLINK("https://www.google.com/maps/search/?api=1&amp;query=24.78029907,46.81830926", "View Map")</f>
        <v/>
      </c>
    </row>
    <row r="3878">
      <c r="A3878" t="inlineStr">
        <is>
          <t xml:space="preserve">   مسجدشيخ الا سلا م ابن تيمية .</t>
        </is>
      </c>
      <c r="B3878" t="inlineStr">
        <is>
          <t>KFM2020660012554</t>
        </is>
      </c>
      <c r="C3878" t="inlineStr">
        <is>
          <t>الرياض</t>
        </is>
      </c>
      <c r="D3878" t="inlineStr">
        <is>
          <t>صباحا</t>
        </is>
      </c>
      <c r="E3878" t="n">
        <v>468</v>
      </c>
      <c r="F3878" t="b">
        <v>0</v>
      </c>
      <c r="G3878">
        <f>HYPERLINK("https://www.google.com/maps/search/?api=1&amp;query=24.81352794,46.85888217", "View Map")</f>
        <v/>
      </c>
    </row>
    <row r="3879">
      <c r="A3879" t="inlineStr">
        <is>
          <t xml:space="preserve">   مسجدأصحاب الشجرة. .</t>
        </is>
      </c>
      <c r="B3879" t="inlineStr">
        <is>
          <t>KFM2020660060136</t>
        </is>
      </c>
      <c r="C3879" t="inlineStr">
        <is>
          <t>الرياض</t>
        </is>
      </c>
      <c r="D3879" t="inlineStr">
        <is>
          <t>مساءا</t>
        </is>
      </c>
      <c r="E3879" t="n">
        <v>467</v>
      </c>
      <c r="F3879" t="b">
        <v>0</v>
      </c>
      <c r="G3879">
        <f>HYPERLINK("https://www.google.com/maps/search/?api=1&amp;query=24.76625567,46.75047061", "View Map")</f>
        <v/>
      </c>
    </row>
    <row r="3880">
      <c r="A3880" t="inlineStr">
        <is>
          <t xml:space="preserve">   مسجد النويمي .</t>
        </is>
      </c>
      <c r="B3880" t="inlineStr">
        <is>
          <t>KFM2020660196931</t>
        </is>
      </c>
      <c r="C3880" t="inlineStr">
        <is>
          <t>الرياض</t>
        </is>
      </c>
      <c r="D3880" t="inlineStr">
        <is>
          <t>صباحا</t>
        </is>
      </c>
      <c r="E3880" t="n">
        <v>467</v>
      </c>
      <c r="F3880" t="b">
        <v>0</v>
      </c>
      <c r="G3880">
        <f>HYPERLINK("https://www.google.com/maps/search/?api=1&amp;query=24.55521152,46.76666448", "View Map")</f>
        <v/>
      </c>
    </row>
    <row r="3881">
      <c r="A3881" t="inlineStr">
        <is>
          <t>ﻤﺴﺎﺠﺩ .</t>
        </is>
      </c>
      <c r="B3881" t="inlineStr">
        <is>
          <t>SMR2420668001489</t>
        </is>
      </c>
      <c r="C3881" t="inlineStr">
        <is>
          <t>الرياض</t>
        </is>
      </c>
      <c r="D3881" t="inlineStr">
        <is>
          <t>مساءا</t>
        </is>
      </c>
      <c r="E3881" t="n">
        <v>467</v>
      </c>
      <c r="F3881" t="b">
        <v>0</v>
      </c>
      <c r="G3881">
        <f>HYPERLINK("https://www.google.com/maps/search/?api=1&amp;query=24.6395123,46.4970377", "View Map")</f>
        <v/>
      </c>
    </row>
    <row r="3882">
      <c r="A3882" t="inlineStr">
        <is>
          <t>ﻭﺯﺍﺭﺓﺍﻟﺸﺌﻭﻥ ﺍﻻﺴﻼﻤﻴﺓﻭﺍﻻﻭﻗﺎﻑ .</t>
        </is>
      </c>
      <c r="B3882" t="inlineStr">
        <is>
          <t>KFM2020660060881</t>
        </is>
      </c>
      <c r="C3882" t="inlineStr">
        <is>
          <t>الرياض</t>
        </is>
      </c>
      <c r="D3882" t="inlineStr">
        <is>
          <t>مساءا</t>
        </is>
      </c>
      <c r="E3882" t="n">
        <v>467</v>
      </c>
      <c r="F3882" t="b">
        <v>0</v>
      </c>
      <c r="G3882">
        <f>HYPERLINK("https://www.google.com/maps/search/?api=1&amp;query=24.55188981,46.67147424", "View Map")</f>
        <v/>
      </c>
    </row>
    <row r="3883">
      <c r="A3883" t="inlineStr">
        <is>
          <t xml:space="preserve">   مسجد الفلوجه بحي لبن .</t>
        </is>
      </c>
      <c r="B3883" t="inlineStr">
        <is>
          <t>KFM2020766077549</t>
        </is>
      </c>
      <c r="C3883" t="inlineStr">
        <is>
          <t>الرياض</t>
        </is>
      </c>
      <c r="D3883" t="inlineStr">
        <is>
          <t>مساءا</t>
        </is>
      </c>
      <c r="E3883" t="n">
        <v>466</v>
      </c>
      <c r="F3883" t="b">
        <v>0</v>
      </c>
      <c r="G3883">
        <f>HYPERLINK("https://www.google.com/maps/search/?api=1&amp;query=24.65819426,46.5860862", "View Map")</f>
        <v/>
      </c>
    </row>
    <row r="3884">
      <c r="A3884" t="inlineStr">
        <is>
          <t>مسجد      ال         التركي .</t>
        </is>
      </c>
      <c r="B3884" t="inlineStr">
        <is>
          <t>KFM2020660006668</t>
        </is>
      </c>
      <c r="C3884" t="inlineStr">
        <is>
          <t>الرياض</t>
        </is>
      </c>
      <c r="D3884" t="inlineStr">
        <is>
          <t>مساءا</t>
        </is>
      </c>
      <c r="E3884" t="n">
        <v>466</v>
      </c>
      <c r="F3884" t="b">
        <v>0</v>
      </c>
      <c r="G3884">
        <f>HYPERLINK("https://www.google.com/maps/search/?api=1&amp;query=24.59071612,46.67004526", "View Map")</f>
        <v/>
      </c>
    </row>
    <row r="3885">
      <c r="A3885" t="inlineStr">
        <is>
          <t xml:space="preserve">   مساجد .</t>
        </is>
      </c>
      <c r="B3885" t="inlineStr">
        <is>
          <t>KFM2020660037045</t>
        </is>
      </c>
      <c r="C3885" t="inlineStr">
        <is>
          <t>الرياض</t>
        </is>
      </c>
      <c r="D3885" t="inlineStr">
        <is>
          <t>صباحا</t>
        </is>
      </c>
      <c r="E3885" t="n">
        <v>466</v>
      </c>
      <c r="F3885" t="b">
        <v>0</v>
      </c>
      <c r="G3885">
        <f>HYPERLINK("https://www.google.com/maps/search/?api=1&amp;query=24.75509541,46.84141647", "View Map")</f>
        <v/>
      </c>
    </row>
    <row r="3886">
      <c r="A3886" t="inlineStr">
        <is>
          <t>ﻤﺴﺎﺠﺩ .</t>
        </is>
      </c>
      <c r="B3886" t="inlineStr">
        <is>
          <t>SMR2220661007608</t>
        </is>
      </c>
      <c r="C3886" t="inlineStr">
        <is>
          <t>الرياض</t>
        </is>
      </c>
      <c r="D3886" t="inlineStr">
        <is>
          <t>صباحا</t>
        </is>
      </c>
      <c r="E3886" t="n">
        <v>465</v>
      </c>
      <c r="F3886" t="b">
        <v>0</v>
      </c>
      <c r="G3886">
        <f>HYPERLINK("https://www.google.com/maps/search/?api=1&amp;query=24.84198305,46.75873085", "View Map")</f>
        <v/>
      </c>
    </row>
    <row r="3887">
      <c r="A3887" t="inlineStr">
        <is>
          <t>2  مسجد الدخل  المحدود بلك .</t>
        </is>
      </c>
      <c r="B3887" t="inlineStr">
        <is>
          <t>KFM2020660015287</t>
        </is>
      </c>
      <c r="C3887" t="inlineStr">
        <is>
          <t>الرياض</t>
        </is>
      </c>
      <c r="D3887" t="inlineStr">
        <is>
          <t>صباحا</t>
        </is>
      </c>
      <c r="E3887" t="n">
        <v>465</v>
      </c>
      <c r="F3887" t="b">
        <v>0</v>
      </c>
      <c r="G3887">
        <f>HYPERLINK("https://www.google.com/maps/search/?api=1&amp;query=24.58108402,46.56850134", "View Map")</f>
        <v/>
      </c>
    </row>
    <row r="3888">
      <c r="A3888" t="inlineStr">
        <is>
          <t xml:space="preserve">   مسجد الهاجري /مؤسسةعلي المسفر .</t>
        </is>
      </c>
      <c r="B3888" t="inlineStr">
        <is>
          <t>KFM2120660299104</t>
        </is>
      </c>
      <c r="C3888" t="inlineStr">
        <is>
          <t>الرياض</t>
        </is>
      </c>
      <c r="D3888" t="inlineStr">
        <is>
          <t>مساءا</t>
        </is>
      </c>
      <c r="E3888" t="n">
        <v>465</v>
      </c>
      <c r="F3888" t="b">
        <v>1</v>
      </c>
      <c r="G3888">
        <f>HYPERLINK("https://www.google.com/maps/search/?api=1&amp;query=24.56301245,46.84785748", "View Map")</f>
        <v/>
      </c>
    </row>
    <row r="3889">
      <c r="A3889" t="inlineStr">
        <is>
          <t>مسجد النمر .</t>
        </is>
      </c>
      <c r="B3889" t="inlineStr">
        <is>
          <t>KFM2020660201773</t>
        </is>
      </c>
      <c r="C3889" t="inlineStr">
        <is>
          <t>الرياض</t>
        </is>
      </c>
      <c r="D3889" t="inlineStr">
        <is>
          <t>مساءا</t>
        </is>
      </c>
      <c r="E3889" t="n">
        <v>464</v>
      </c>
      <c r="F3889" t="b">
        <v>0</v>
      </c>
      <c r="G3889">
        <f>HYPERLINK("https://www.google.com/maps/search/?api=1&amp;query=24.58647312,46.58842888", "View Map")</f>
        <v/>
      </c>
    </row>
    <row r="3890">
      <c r="A3890" t="inlineStr">
        <is>
          <t>مسجد /جامع المخطط السادس .</t>
        </is>
      </c>
      <c r="B3890" t="inlineStr">
        <is>
          <t>KFM2020660201710</t>
        </is>
      </c>
      <c r="C3890" t="inlineStr">
        <is>
          <t>الرياض</t>
        </is>
      </c>
      <c r="D3890" t="inlineStr">
        <is>
          <t>مساءا</t>
        </is>
      </c>
      <c r="E3890" t="n">
        <v>464</v>
      </c>
      <c r="F3890" t="b">
        <v>1</v>
      </c>
      <c r="G3890">
        <f>HYPERLINK("https://www.google.com/maps/search/?api=1&amp;query=24.57911872,46.60023553", "View Map")</f>
        <v/>
      </c>
    </row>
    <row r="3891">
      <c r="A3891" t="inlineStr">
        <is>
          <t xml:space="preserve">   مسجدالخلفاء .</t>
        </is>
      </c>
      <c r="B3891" t="inlineStr">
        <is>
          <t>KFM2020660056962</t>
        </is>
      </c>
      <c r="C3891" t="inlineStr">
        <is>
          <t>الرياض</t>
        </is>
      </c>
      <c r="D3891" t="inlineStr">
        <is>
          <t>مساءا</t>
        </is>
      </c>
      <c r="E3891" t="n">
        <v>464</v>
      </c>
      <c r="F3891" t="b">
        <v>0</v>
      </c>
      <c r="G3891">
        <f>HYPERLINK("https://www.google.com/maps/search/?api=1&amp;query=24.72906862,46.79982067", "View Map")</f>
        <v/>
      </c>
    </row>
    <row r="3892">
      <c r="A3892" t="inlineStr">
        <is>
          <t xml:space="preserve">   مسجد جامع الفيصليه .</t>
        </is>
      </c>
      <c r="B3892" t="inlineStr">
        <is>
          <t>KFM2020760035620</t>
        </is>
      </c>
      <c r="C3892" t="inlineStr">
        <is>
          <t>الرياض</t>
        </is>
      </c>
      <c r="D3892" t="inlineStr">
        <is>
          <t>مساءا</t>
        </is>
      </c>
      <c r="E3892" t="n">
        <v>464</v>
      </c>
      <c r="F3892" t="b">
        <v>0</v>
      </c>
      <c r="G3892">
        <f>HYPERLINK("https://www.google.com/maps/search/?api=1&amp;query=24.64296183,46.78394715", "View Map")</f>
        <v/>
      </c>
    </row>
    <row r="3893">
      <c r="A3893" t="inlineStr">
        <is>
          <t xml:space="preserve">   مسجد الشيخ محمد بن عبدالوهاب .</t>
        </is>
      </c>
      <c r="B3893" t="inlineStr">
        <is>
          <t>KFM2020660040806</t>
        </is>
      </c>
      <c r="C3893" t="inlineStr">
        <is>
          <t>الرياض</t>
        </is>
      </c>
      <c r="D3893" t="inlineStr">
        <is>
          <t>صباحا</t>
        </is>
      </c>
      <c r="E3893" t="n">
        <v>464</v>
      </c>
      <c r="F3893" t="b">
        <v>0</v>
      </c>
      <c r="G3893">
        <f>HYPERLINK("https://www.google.com/maps/search/?api=1&amp;query=24.80533717,46.88850322", "View Map")</f>
        <v/>
      </c>
    </row>
    <row r="3894">
      <c r="A3894" t="inlineStr">
        <is>
          <t xml:space="preserve">   مسجد الربوه .</t>
        </is>
      </c>
      <c r="B3894" t="inlineStr">
        <is>
          <t>KFM2020660142190</t>
        </is>
      </c>
      <c r="C3894" t="inlineStr">
        <is>
          <t>الرياض</t>
        </is>
      </c>
      <c r="D3894" t="inlineStr">
        <is>
          <t>مساءا</t>
        </is>
      </c>
      <c r="E3894" t="n">
        <v>464</v>
      </c>
      <c r="F3894" t="b">
        <v>0</v>
      </c>
      <c r="G3894">
        <f>HYPERLINK("https://www.google.com/maps/search/?api=1&amp;query=24.69603898,46.77451051", "View Map")</f>
        <v/>
      </c>
    </row>
    <row r="3895">
      <c r="A3895" t="inlineStr">
        <is>
          <t xml:space="preserve">   مسجد خالد بن الوليد .</t>
        </is>
      </c>
      <c r="B3895" t="inlineStr">
        <is>
          <t>KFM2120660251566</t>
        </is>
      </c>
      <c r="C3895" t="inlineStr">
        <is>
          <t>الرياض</t>
        </is>
      </c>
      <c r="D3895" t="inlineStr">
        <is>
          <t>صباحا</t>
        </is>
      </c>
      <c r="E3895" t="n">
        <v>464</v>
      </c>
      <c r="F3895" t="b">
        <v>0</v>
      </c>
      <c r="G3895">
        <f>HYPERLINK("https://www.google.com/maps/search/?api=1&amp;query=24.80485001,46.85844191", "View Map")</f>
        <v/>
      </c>
    </row>
    <row r="3896">
      <c r="A3896" t="inlineStr">
        <is>
          <t>المسجدالمؤقت  بالدخل  المحدود .</t>
        </is>
      </c>
      <c r="B3896" t="inlineStr">
        <is>
          <t>KFM2020660177030</t>
        </is>
      </c>
      <c r="C3896" t="inlineStr">
        <is>
          <t>الرياض</t>
        </is>
      </c>
      <c r="D3896" t="inlineStr">
        <is>
          <t>مساءا</t>
        </is>
      </c>
      <c r="E3896" t="n">
        <v>464</v>
      </c>
      <c r="F3896" t="b">
        <v>0</v>
      </c>
      <c r="G3896">
        <f>HYPERLINK("https://www.google.com/maps/search/?api=1&amp;query=24.60939611,46.6062606", "View Map")</f>
        <v/>
      </c>
    </row>
    <row r="3897">
      <c r="A3897" t="inlineStr">
        <is>
          <t>ﻭﺯﺍﺭﺓﺍﻟﺸﺌﻭﻥ ﺍﻻﺴﻼﻤﻴﺓﻭﺍﻻﻭﻗﺎﻑ .</t>
        </is>
      </c>
      <c r="B3897" t="inlineStr">
        <is>
          <t>KFM2020660042293</t>
        </is>
      </c>
      <c r="C3897" t="inlineStr">
        <is>
          <t>الرياض</t>
        </is>
      </c>
      <c r="D3897" t="inlineStr">
        <is>
          <t>مساءا</t>
        </is>
      </c>
      <c r="E3897" t="n">
        <v>463</v>
      </c>
      <c r="F3897" t="b">
        <v>0</v>
      </c>
      <c r="G3897">
        <f>HYPERLINK("https://www.google.com/maps/search/?api=1&amp;query=24.5347,46.6489", "View Map")</f>
        <v/>
      </c>
    </row>
    <row r="3898">
      <c r="A3898" t="inlineStr">
        <is>
          <t>مساجد .</t>
        </is>
      </c>
      <c r="B3898" t="inlineStr">
        <is>
          <t>KFM2120660249227</t>
        </is>
      </c>
      <c r="C3898" t="inlineStr">
        <is>
          <t>الرياض</t>
        </is>
      </c>
      <c r="D3898" t="inlineStr">
        <is>
          <t>مساءا</t>
        </is>
      </c>
      <c r="E3898" t="n">
        <v>463</v>
      </c>
      <c r="F3898" t="b">
        <v>0</v>
      </c>
      <c r="G3898">
        <f>HYPERLINK("https://www.google.com/maps/search/?api=1&amp;query=24.85667139,46.6335996", "View Map")</f>
        <v/>
      </c>
    </row>
    <row r="3899">
      <c r="A3899" t="inlineStr">
        <is>
          <t>مسجدعودة  العبدالله  الجديد .</t>
        </is>
      </c>
      <c r="B3899" t="inlineStr">
        <is>
          <t>KFM2020660198355</t>
        </is>
      </c>
      <c r="C3899" t="inlineStr">
        <is>
          <t>الرياض</t>
        </is>
      </c>
      <c r="D3899" t="inlineStr">
        <is>
          <t>مساءا</t>
        </is>
      </c>
      <c r="E3899" t="n">
        <v>463</v>
      </c>
      <c r="F3899" t="b">
        <v>0</v>
      </c>
      <c r="G3899">
        <f>HYPERLINK("https://www.google.com/maps/search/?api=1&amp;query=24.61301763,46.67316312", "View Map")</f>
        <v/>
      </c>
    </row>
    <row r="3900">
      <c r="A3900" t="inlineStr">
        <is>
          <t xml:space="preserve">   مسجدعبدالعزيزالجهيمى .</t>
        </is>
      </c>
      <c r="B3900" t="inlineStr">
        <is>
          <t>KFM2020660211459</t>
        </is>
      </c>
      <c r="C3900" t="inlineStr">
        <is>
          <t>الرياض</t>
        </is>
      </c>
      <c r="D3900" t="inlineStr">
        <is>
          <t>مساءا</t>
        </is>
      </c>
      <c r="E3900" t="n">
        <v>463</v>
      </c>
      <c r="F3900" t="b">
        <v>0</v>
      </c>
      <c r="G3900">
        <f>HYPERLINK("https://www.google.com/maps/search/?api=1&amp;query=24.77657298,46.67614731", "View Map")</f>
        <v/>
      </c>
    </row>
    <row r="3901">
      <c r="A3901" t="inlineStr">
        <is>
          <t>.مسجد      الملك  خالد .</t>
        </is>
      </c>
      <c r="B3901" t="inlineStr">
        <is>
          <t>KFM2020660198965</t>
        </is>
      </c>
      <c r="C3901" t="inlineStr">
        <is>
          <t>الرياض</t>
        </is>
      </c>
      <c r="D3901" t="inlineStr">
        <is>
          <t>مساءا</t>
        </is>
      </c>
      <c r="E3901" t="n">
        <v>463</v>
      </c>
      <c r="F3901" t="b">
        <v>0</v>
      </c>
      <c r="G3901">
        <f>HYPERLINK("https://www.google.com/maps/search/?api=1&amp;query=24.59586588,46.61233113", "View Map")</f>
        <v/>
      </c>
    </row>
    <row r="3902">
      <c r="A3902" t="inlineStr">
        <is>
          <t xml:space="preserve">   مسجد زيد بن الخطاب .</t>
        </is>
      </c>
      <c r="B3902" t="inlineStr">
        <is>
          <t>KFM2020660054723</t>
        </is>
      </c>
      <c r="C3902" t="inlineStr">
        <is>
          <t>الرياض</t>
        </is>
      </c>
      <c r="D3902" t="inlineStr">
        <is>
          <t>مساءا</t>
        </is>
      </c>
      <c r="E3902" t="n">
        <v>462</v>
      </c>
      <c r="F3902" t="b">
        <v>0</v>
      </c>
      <c r="G3902">
        <f>HYPERLINK("https://www.google.com/maps/search/?api=1&amp;query=24.65698403,46.7440842", "View Map")</f>
        <v/>
      </c>
    </row>
    <row r="3903">
      <c r="A3903" t="inlineStr">
        <is>
          <t>ﻤﺴﺎﺠﺩ .</t>
        </is>
      </c>
      <c r="B3903" t="inlineStr">
        <is>
          <t>KFM2020660007053</t>
        </is>
      </c>
      <c r="C3903" t="inlineStr">
        <is>
          <t>الرياض</t>
        </is>
      </c>
      <c r="D3903" t="inlineStr">
        <is>
          <t>مساءا</t>
        </is>
      </c>
      <c r="E3903" t="n">
        <v>462</v>
      </c>
      <c r="F3903" t="b">
        <v>0</v>
      </c>
      <c r="G3903">
        <f>HYPERLINK("https://www.google.com/maps/search/?api=1&amp;query=24.6916555,46.57511498", "View Map")</f>
        <v/>
      </c>
    </row>
    <row r="3904">
      <c r="A3904" t="inlineStr">
        <is>
          <t xml:space="preserve">   مسجدالراجحي .</t>
        </is>
      </c>
      <c r="B3904" t="inlineStr">
        <is>
          <t>KFM2020860085363</t>
        </is>
      </c>
      <c r="C3904" t="inlineStr">
        <is>
          <t>الرياض</t>
        </is>
      </c>
      <c r="D3904" t="inlineStr">
        <is>
          <t>مساءا</t>
        </is>
      </c>
      <c r="E3904" t="n">
        <v>462</v>
      </c>
      <c r="F3904" t="b">
        <v>0</v>
      </c>
      <c r="G3904">
        <f>HYPERLINK("https://www.google.com/maps/search/?api=1&amp;query=24.63891245,46.72356187", "View Map")</f>
        <v/>
      </c>
    </row>
    <row r="3905">
      <c r="A3905" t="inlineStr">
        <is>
          <t>مسجد الدريهمية .</t>
        </is>
      </c>
      <c r="B3905" t="inlineStr">
        <is>
          <t>KFM2020660051456</t>
        </is>
      </c>
      <c r="C3905" t="inlineStr">
        <is>
          <t>الرياض</t>
        </is>
      </c>
      <c r="D3905" t="inlineStr">
        <is>
          <t>صباحا</t>
        </is>
      </c>
      <c r="E3905" t="n">
        <v>461</v>
      </c>
      <c r="F3905" t="b">
        <v>0</v>
      </c>
      <c r="G3905">
        <f>HYPERLINK("https://www.google.com/maps/search/?api=1&amp;query=24.58625121,46.69313837", "View Map")</f>
        <v/>
      </c>
    </row>
    <row r="3906">
      <c r="A3906" t="inlineStr">
        <is>
          <t>ﻤﺴﺎﺠﺩ .</t>
        </is>
      </c>
      <c r="B3906" t="inlineStr">
        <is>
          <t>KFM2120660249215</t>
        </is>
      </c>
      <c r="C3906" t="inlineStr">
        <is>
          <t>الرياض</t>
        </is>
      </c>
      <c r="D3906" t="inlineStr">
        <is>
          <t>مساءا</t>
        </is>
      </c>
      <c r="E3906" t="n">
        <v>461</v>
      </c>
      <c r="F3906" t="b">
        <v>0</v>
      </c>
      <c r="G3906">
        <f>HYPERLINK("https://www.google.com/maps/search/?api=1&amp;query=24.86958532,46.62467536", "View Map")</f>
        <v/>
      </c>
    </row>
    <row r="3907">
      <c r="A3907" t="inlineStr">
        <is>
          <t xml:space="preserve">   مسجد حي الروابي .</t>
        </is>
      </c>
      <c r="B3907" t="inlineStr">
        <is>
          <t>KFM2020660145229</t>
        </is>
      </c>
      <c r="C3907" t="inlineStr">
        <is>
          <t>الرياض</t>
        </is>
      </c>
      <c r="D3907" t="inlineStr">
        <is>
          <t>مساءا</t>
        </is>
      </c>
      <c r="E3907" t="n">
        <v>461</v>
      </c>
      <c r="F3907" t="b">
        <v>0</v>
      </c>
      <c r="G3907">
        <f>HYPERLINK("https://www.google.com/maps/search/?api=1&amp;query=24.69234082,46.78445698", "View Map")</f>
        <v/>
      </c>
    </row>
    <row r="3908">
      <c r="A3908" t="inlineStr">
        <is>
          <t>ﻭﺯﺍﺭﺓﺍﻟﺸﺌﻭﻥ ﺍﻻﺴﻼﻤﻴﺓﻭﺍﻻﻭﻗﺎﻑ .</t>
        </is>
      </c>
      <c r="B3908" t="inlineStr">
        <is>
          <t>KFM2020660038870</t>
        </is>
      </c>
      <c r="C3908" t="inlineStr">
        <is>
          <t>الرياض</t>
        </is>
      </c>
      <c r="D3908" t="inlineStr">
        <is>
          <t>مساءا</t>
        </is>
      </c>
      <c r="E3908" t="n">
        <v>461</v>
      </c>
      <c r="F3908" t="b">
        <v>0</v>
      </c>
      <c r="G3908">
        <f>HYPERLINK("https://www.google.com/maps/search/?api=1&amp;query=24.55985924,46.68000616", "View Map")</f>
        <v/>
      </c>
    </row>
    <row r="3909">
      <c r="A3909" t="inlineStr">
        <is>
          <t>ﻤﺴﺎﺠﺩ .</t>
        </is>
      </c>
      <c r="B3909" t="inlineStr">
        <is>
          <t>KFM2120660260292</t>
        </is>
      </c>
      <c r="C3909" t="inlineStr">
        <is>
          <t>الرياض</t>
        </is>
      </c>
      <c r="D3909" t="inlineStr">
        <is>
          <t>مساءا</t>
        </is>
      </c>
      <c r="E3909" t="n">
        <v>459</v>
      </c>
      <c r="F3909" t="b">
        <v>0</v>
      </c>
      <c r="G3909">
        <f>HYPERLINK("https://www.google.com/maps/search/?api=1&amp;query=24.68111062,46.85511076", "View Map")</f>
        <v/>
      </c>
    </row>
    <row r="3910">
      <c r="A3910" t="inlineStr">
        <is>
          <t>ﻭﺯﺍﺭﺓﺍﻟﺸﺌﻭﻥ ﺍﻻﺴﻼﻤﻴﺓﻭﺍﻻﻭﻗﺎﻑ .</t>
        </is>
      </c>
      <c r="B3910" t="inlineStr">
        <is>
          <t>KFM2020660043883</t>
        </is>
      </c>
      <c r="C3910" t="inlineStr">
        <is>
          <t>الرياض</t>
        </is>
      </c>
      <c r="D3910" t="inlineStr">
        <is>
          <t>مساءا</t>
        </is>
      </c>
      <c r="E3910" t="n">
        <v>459</v>
      </c>
      <c r="F3910" t="b">
        <v>0</v>
      </c>
      <c r="G3910">
        <f>HYPERLINK("https://www.google.com/maps/search/?api=1&amp;query=24.56369751,46.55344939", "View Map")</f>
        <v/>
      </c>
    </row>
    <row r="3911">
      <c r="A3911" t="inlineStr">
        <is>
          <t>ﻤﺴﺎﺠﺩ .</t>
        </is>
      </c>
      <c r="B3911" t="inlineStr">
        <is>
          <t>KFM2120660249226</t>
        </is>
      </c>
      <c r="C3911" t="inlineStr">
        <is>
          <t>الرياض</t>
        </is>
      </c>
      <c r="D3911" t="inlineStr">
        <is>
          <t>مساءا</t>
        </is>
      </c>
      <c r="E3911" t="n">
        <v>458</v>
      </c>
      <c r="F3911" t="b">
        <v>0</v>
      </c>
      <c r="G3911">
        <f>HYPERLINK("https://www.google.com/maps/search/?api=1&amp;query=24.86076763,46.63123375", "View Map")</f>
        <v/>
      </c>
    </row>
    <row r="3912">
      <c r="A3912" t="inlineStr">
        <is>
          <t>مسجد غذوانه .</t>
        </is>
      </c>
      <c r="B3912" t="inlineStr">
        <is>
          <t>KFM2020660006677</t>
        </is>
      </c>
      <c r="C3912" t="inlineStr">
        <is>
          <t>الرياض</t>
        </is>
      </c>
      <c r="D3912" t="inlineStr">
        <is>
          <t>صباحا</t>
        </is>
      </c>
      <c r="E3912" t="n">
        <v>458</v>
      </c>
      <c r="F3912" t="b">
        <v>1</v>
      </c>
      <c r="G3912">
        <f>HYPERLINK("https://www.google.com/maps/search/?api=1&amp;query=24.59816571,46.67094878", "View Map")</f>
        <v/>
      </c>
    </row>
    <row r="3913">
      <c r="A3913" t="inlineStr">
        <is>
          <t>0    مسجد      السويدي .</t>
        </is>
      </c>
      <c r="B3913" t="inlineStr">
        <is>
          <t>KFM2020660037871</t>
        </is>
      </c>
      <c r="C3913" t="inlineStr">
        <is>
          <t>الرياض</t>
        </is>
      </c>
      <c r="D3913" t="inlineStr">
        <is>
          <t>صباحا</t>
        </is>
      </c>
      <c r="E3913" t="n">
        <v>458</v>
      </c>
      <c r="F3913" t="b">
        <v>0</v>
      </c>
      <c r="G3913">
        <f>HYPERLINK("https://www.google.com/maps/search/?api=1&amp;query=24.56478475,46.64908738", "View Map")</f>
        <v/>
      </c>
    </row>
    <row r="3914">
      <c r="A3914" t="inlineStr">
        <is>
          <t>.   مسجد      الفاخرية .</t>
        </is>
      </c>
      <c r="B3914" t="inlineStr">
        <is>
          <t>KFM2020660014155</t>
        </is>
      </c>
      <c r="C3914" t="inlineStr">
        <is>
          <t>الرياض</t>
        </is>
      </c>
      <c r="D3914" t="inlineStr">
        <is>
          <t>مساءا</t>
        </is>
      </c>
      <c r="E3914" t="n">
        <v>458</v>
      </c>
      <c r="F3914" t="b">
        <v>0</v>
      </c>
      <c r="G3914">
        <f>HYPERLINK("https://www.google.com/maps/search/?api=1&amp;query=24.63863247,46.67458454", "View Map")</f>
        <v/>
      </c>
    </row>
    <row r="3915">
      <c r="A3915" t="inlineStr">
        <is>
          <t xml:space="preserve">   مسجد      الجوهره   السويلم .</t>
        </is>
      </c>
      <c r="B3915" t="inlineStr">
        <is>
          <t>KFM2020660042568</t>
        </is>
      </c>
      <c r="C3915" t="inlineStr">
        <is>
          <t>الرياض</t>
        </is>
      </c>
      <c r="D3915" t="inlineStr">
        <is>
          <t>مساءا</t>
        </is>
      </c>
      <c r="E3915" t="n">
        <v>457</v>
      </c>
      <c r="F3915" t="b">
        <v>0</v>
      </c>
      <c r="G3915">
        <f>HYPERLINK("https://www.google.com/maps/search/?api=1&amp;query=24.81802007,46.63605442", "View Map")</f>
        <v/>
      </c>
    </row>
    <row r="3916">
      <c r="A3916" t="inlineStr">
        <is>
          <t>مسجد عثمان بن عفان .</t>
        </is>
      </c>
      <c r="B3916" t="inlineStr">
        <is>
          <t>KFM2020660167691</t>
        </is>
      </c>
      <c r="C3916" t="inlineStr">
        <is>
          <t>الرياض</t>
        </is>
      </c>
      <c r="D3916" t="inlineStr">
        <is>
          <t>مساءا</t>
        </is>
      </c>
      <c r="E3916" t="n">
        <v>457</v>
      </c>
      <c r="F3916" t="b">
        <v>0</v>
      </c>
      <c r="G3916">
        <f>HYPERLINK("https://www.google.com/maps/search/?api=1&amp;query=24.54896168,46.71110261", "View Map")</f>
        <v/>
      </c>
    </row>
    <row r="3917">
      <c r="A3917" t="inlineStr">
        <is>
          <t xml:space="preserve">   مسجد حى الفيحاء .</t>
        </is>
      </c>
      <c r="B3917" t="inlineStr">
        <is>
          <t>KFM2120660270417</t>
        </is>
      </c>
      <c r="C3917" t="inlineStr">
        <is>
          <t>الرياض</t>
        </is>
      </c>
      <c r="D3917" t="inlineStr">
        <is>
          <t>صباحا</t>
        </is>
      </c>
      <c r="E3917" t="n">
        <v>457</v>
      </c>
      <c r="F3917" t="b">
        <v>1</v>
      </c>
      <c r="G3917">
        <f>HYPERLINK("https://www.google.com/maps/search/?api=1&amp;query=24.68751392,46.80119424", "View Map")</f>
        <v/>
      </c>
    </row>
    <row r="3918">
      <c r="A3918" t="inlineStr">
        <is>
          <t xml:space="preserve">   وزاره الشئون  والاوقاف  مسجد .</t>
        </is>
      </c>
      <c r="B3918" t="inlineStr">
        <is>
          <t>KFM2020660014264</t>
        </is>
      </c>
      <c r="C3918" t="inlineStr">
        <is>
          <t>الرياض</t>
        </is>
      </c>
      <c r="D3918" t="inlineStr">
        <is>
          <t>مساءا</t>
        </is>
      </c>
      <c r="E3918" t="n">
        <v>456</v>
      </c>
      <c r="F3918" t="b">
        <v>0</v>
      </c>
      <c r="G3918">
        <f>HYPERLINK("https://www.google.com/maps/search/?api=1&amp;query=24.72457876,46.66387443", "View Map")</f>
        <v/>
      </c>
    </row>
    <row r="3919">
      <c r="A3919" t="inlineStr">
        <is>
          <t>ﻤﺴﺎﺠﺩ .</t>
        </is>
      </c>
      <c r="B3919" t="inlineStr">
        <is>
          <t>KFM2020660131994</t>
        </is>
      </c>
      <c r="C3919" t="inlineStr">
        <is>
          <t>الرياض</t>
        </is>
      </c>
      <c r="D3919" t="inlineStr">
        <is>
          <t>مساءا</t>
        </is>
      </c>
      <c r="E3919" t="n">
        <v>456</v>
      </c>
      <c r="F3919" t="b">
        <v>0</v>
      </c>
      <c r="G3919">
        <f>HYPERLINK("https://www.google.com/maps/search/?api=1&amp;query=24.84796303,46.82736287", "View Map")</f>
        <v/>
      </c>
    </row>
    <row r="3920">
      <c r="A3920" t="inlineStr">
        <is>
          <t>حصه سعود عبدالعزيز الربيعة .</t>
        </is>
      </c>
      <c r="B3920" t="inlineStr">
        <is>
          <t>KFM2020660229421</t>
        </is>
      </c>
      <c r="C3920" t="inlineStr">
        <is>
          <t>الرياض</t>
        </is>
      </c>
      <c r="D3920" t="inlineStr">
        <is>
          <t>مساءا</t>
        </is>
      </c>
      <c r="E3920" t="n">
        <v>456</v>
      </c>
      <c r="F3920" t="b">
        <v>0</v>
      </c>
      <c r="G3920">
        <f>HYPERLINK("https://www.google.com/maps/search/?api=1&amp;query=24.65570646,46.7187533", "View Map")</f>
        <v/>
      </c>
    </row>
    <row r="3921">
      <c r="A3921" t="inlineStr">
        <is>
          <t xml:space="preserve">   مسجد وزارةالشئون والاوقاف .</t>
        </is>
      </c>
      <c r="B3921" t="inlineStr">
        <is>
          <t>KFM2020660104861</t>
        </is>
      </c>
      <c r="C3921" t="inlineStr">
        <is>
          <t>الرياض</t>
        </is>
      </c>
      <c r="D3921" t="inlineStr">
        <is>
          <t>مساءا</t>
        </is>
      </c>
      <c r="E3921" t="n">
        <v>456</v>
      </c>
      <c r="F3921" t="b">
        <v>0</v>
      </c>
      <c r="G3921">
        <f>HYPERLINK("https://www.google.com/maps/search/?api=1&amp;query=24.81965619,46.64000431", "View Map")</f>
        <v/>
      </c>
    </row>
    <row r="3922">
      <c r="A3922" t="inlineStr">
        <is>
          <t xml:space="preserve">   مسجد حسن بن مبارك الجريسي .</t>
        </is>
      </c>
      <c r="B3922" t="inlineStr">
        <is>
          <t>KFM2020660051218</t>
        </is>
      </c>
      <c r="C3922" t="inlineStr">
        <is>
          <t>الرياض</t>
        </is>
      </c>
      <c r="D3922" t="inlineStr">
        <is>
          <t>مساءا</t>
        </is>
      </c>
      <c r="E3922" t="n">
        <v>456</v>
      </c>
      <c r="F3922" t="b">
        <v>0</v>
      </c>
      <c r="G3922">
        <f>HYPERLINK("https://www.google.com/maps/search/?api=1&amp;query=24.6759383,46.5872309", "View Map")</f>
        <v/>
      </c>
    </row>
    <row r="3923">
      <c r="A3923" t="inlineStr">
        <is>
          <t xml:space="preserve">   مسجد حي السعادة / فاعل خير .</t>
        </is>
      </c>
      <c r="B3923" t="inlineStr">
        <is>
          <t>KFM2120660251580</t>
        </is>
      </c>
      <c r="C3923" t="inlineStr">
        <is>
          <t>الرياض</t>
        </is>
      </c>
      <c r="D3923" t="inlineStr">
        <is>
          <t>صباحا</t>
        </is>
      </c>
      <c r="E3923" t="n">
        <v>456</v>
      </c>
      <c r="F3923" t="b">
        <v>0</v>
      </c>
      <c r="G3923">
        <f>HYPERLINK("https://www.google.com/maps/search/?api=1&amp;query=24.70077596,46.8495959", "View Map")</f>
        <v/>
      </c>
    </row>
    <row r="3924">
      <c r="A3924" t="inlineStr">
        <is>
          <t xml:space="preserve">   مسجد ذي النورين .</t>
        </is>
      </c>
      <c r="B3924" t="inlineStr">
        <is>
          <t>KFM2020660025593</t>
        </is>
      </c>
      <c r="C3924" t="inlineStr">
        <is>
          <t>الرياض</t>
        </is>
      </c>
      <c r="D3924" t="inlineStr">
        <is>
          <t>صباحا</t>
        </is>
      </c>
      <c r="E3924" t="n">
        <v>456</v>
      </c>
      <c r="F3924" t="b">
        <v>0</v>
      </c>
      <c r="G3924">
        <f>HYPERLINK("https://www.google.com/maps/search/?api=1&amp;query=24.78085016,46.82210985", "View Map")</f>
        <v/>
      </c>
    </row>
    <row r="3925">
      <c r="A3925" t="inlineStr">
        <is>
          <t>ﻤﺴﺎﺠﺩ .</t>
        </is>
      </c>
      <c r="B3925" t="inlineStr">
        <is>
          <t>KFM2020660044558</t>
        </is>
      </c>
      <c r="C3925" t="inlineStr">
        <is>
          <t>الرياض</t>
        </is>
      </c>
      <c r="D3925" t="inlineStr">
        <is>
          <t>صباحا</t>
        </is>
      </c>
      <c r="E3925" t="n">
        <v>456</v>
      </c>
      <c r="F3925" t="b">
        <v>0</v>
      </c>
      <c r="G3925">
        <f>HYPERLINK("https://www.google.com/maps/search/?api=1&amp;query=24.85543332,46.80627792", "View Map")</f>
        <v/>
      </c>
    </row>
    <row r="3926">
      <c r="A3926" t="inlineStr">
        <is>
          <t>مسجد  اليحياء .</t>
        </is>
      </c>
      <c r="B3926" t="inlineStr">
        <is>
          <t>KFM2020660038594</t>
        </is>
      </c>
      <c r="C3926" t="inlineStr">
        <is>
          <t>الرياض</t>
        </is>
      </c>
      <c r="D3926" t="inlineStr">
        <is>
          <t>صباحا</t>
        </is>
      </c>
      <c r="E3926" t="n">
        <v>455</v>
      </c>
      <c r="F3926" t="b">
        <v>0</v>
      </c>
      <c r="G3926">
        <f>HYPERLINK("https://www.google.com/maps/search/?api=1&amp;query=24.61854182,46.68654005", "View Map")</f>
        <v/>
      </c>
    </row>
    <row r="3927">
      <c r="A3927" t="inlineStr">
        <is>
          <t>ﻤﺴﺎﺠﺩ .</t>
        </is>
      </c>
      <c r="B3927" t="inlineStr">
        <is>
          <t>KFM2020660172934</t>
        </is>
      </c>
      <c r="C3927" t="inlineStr">
        <is>
          <t>الرياض</t>
        </is>
      </c>
      <c r="D3927" t="inlineStr">
        <is>
          <t>مساءا</t>
        </is>
      </c>
      <c r="E3927" t="n">
        <v>455</v>
      </c>
      <c r="F3927" t="b">
        <v>0</v>
      </c>
      <c r="G3927">
        <f>HYPERLINK("https://www.google.com/maps/search/?api=1&amp;query=24.65657724,46.68381828", "View Map")</f>
        <v/>
      </c>
    </row>
    <row r="3928">
      <c r="A3928" t="inlineStr">
        <is>
          <t xml:space="preserve">   مسجد الشرفيه .</t>
        </is>
      </c>
      <c r="B3928" t="inlineStr">
        <is>
          <t>AEC2020830556856</t>
        </is>
      </c>
      <c r="C3928" t="inlineStr">
        <is>
          <t>الرياض</t>
        </is>
      </c>
      <c r="D3928" t="inlineStr">
        <is>
          <t>مساءا</t>
        </is>
      </c>
      <c r="E3928" t="n">
        <v>455</v>
      </c>
      <c r="F3928" t="b">
        <v>1</v>
      </c>
      <c r="G3928">
        <f>HYPERLINK("https://www.google.com/maps/search/?api=1&amp;query=24.66201512,46.66768564", "View Map")</f>
        <v/>
      </c>
    </row>
    <row r="3929">
      <c r="A3929" t="inlineStr">
        <is>
          <t>مسجد السديس .</t>
        </is>
      </c>
      <c r="B3929" t="inlineStr">
        <is>
          <t>KFM2120660276211</t>
        </is>
      </c>
      <c r="C3929" t="inlineStr">
        <is>
          <t>الرياض</t>
        </is>
      </c>
      <c r="D3929" t="inlineStr">
        <is>
          <t>مساءا</t>
        </is>
      </c>
      <c r="E3929" t="n">
        <v>454</v>
      </c>
      <c r="F3929" t="b">
        <v>0</v>
      </c>
      <c r="G3929">
        <f>HYPERLINK("https://www.google.com/maps/search/?api=1&amp;query=24.6814561,46.75487675", "View Map")</f>
        <v/>
      </c>
    </row>
    <row r="3930">
      <c r="A3930" t="inlineStr">
        <is>
          <t xml:space="preserve">   مسجد حي الأندلس .</t>
        </is>
      </c>
      <c r="B3930" t="inlineStr">
        <is>
          <t>KFM2020660039105</t>
        </is>
      </c>
      <c r="C3930" t="inlineStr">
        <is>
          <t>الرياض</t>
        </is>
      </c>
      <c r="D3930" t="inlineStr">
        <is>
          <t>مساءا</t>
        </is>
      </c>
      <c r="E3930" t="n">
        <v>454</v>
      </c>
      <c r="F3930" t="b">
        <v>0</v>
      </c>
      <c r="G3930">
        <f>HYPERLINK("https://www.google.com/maps/search/?api=1&amp;query=24.74608103,46.79637723", "View Map")</f>
        <v/>
      </c>
    </row>
    <row r="3931">
      <c r="A3931" t="inlineStr">
        <is>
          <t xml:space="preserve">   مسجدحي الوادي وسكن الامام والمؤذن .</t>
        </is>
      </c>
      <c r="B3931" t="inlineStr">
        <is>
          <t>KFM2020660211382</t>
        </is>
      </c>
      <c r="C3931" t="inlineStr">
        <is>
          <t>الرياض</t>
        </is>
      </c>
      <c r="D3931" t="inlineStr">
        <is>
          <t>صباحا</t>
        </is>
      </c>
      <c r="E3931" t="n">
        <v>454</v>
      </c>
      <c r="F3931" t="b">
        <v>0</v>
      </c>
      <c r="G3931">
        <f>HYPERLINK("https://www.google.com/maps/search/?api=1&amp;query=24.79689306,46.69508732", "View Map")</f>
        <v/>
      </c>
    </row>
    <row r="3932">
      <c r="A3932" t="inlineStr">
        <is>
          <t xml:space="preserve">   مسجد ال الشيخ .</t>
        </is>
      </c>
      <c r="B3932" t="inlineStr">
        <is>
          <t>KFM2020660035139</t>
        </is>
      </c>
      <c r="C3932" t="inlineStr">
        <is>
          <t>الرياض</t>
        </is>
      </c>
      <c r="D3932" t="inlineStr">
        <is>
          <t>مساءا</t>
        </is>
      </c>
      <c r="E3932" t="n">
        <v>454</v>
      </c>
      <c r="F3932" t="b">
        <v>0</v>
      </c>
      <c r="G3932">
        <f>HYPERLINK("https://www.google.com/maps/search/?api=1&amp;query=24.78942235,46.90010618", "View Map")</f>
        <v/>
      </c>
    </row>
    <row r="3933">
      <c r="A3933" t="inlineStr">
        <is>
          <t xml:space="preserve">   مسجد حي الربيع .</t>
        </is>
      </c>
      <c r="B3933" t="inlineStr">
        <is>
          <t>KFM2020660207587</t>
        </is>
      </c>
      <c r="C3933" t="inlineStr">
        <is>
          <t>الرياض</t>
        </is>
      </c>
      <c r="D3933" t="inlineStr">
        <is>
          <t>مساءا</t>
        </is>
      </c>
      <c r="E3933" t="n">
        <v>453</v>
      </c>
      <c r="F3933" t="b">
        <v>0</v>
      </c>
      <c r="G3933">
        <f>HYPERLINK("https://www.google.com/maps/search/?api=1&amp;query=24.78894063,46.65282893", "View Map")</f>
        <v/>
      </c>
    </row>
    <row r="3934">
      <c r="A3934" t="inlineStr">
        <is>
          <t xml:space="preserve">   مسجد حي النهضه .</t>
        </is>
      </c>
      <c r="B3934" t="inlineStr">
        <is>
          <t>KFM2020660012588</t>
        </is>
      </c>
      <c r="C3934" t="inlineStr">
        <is>
          <t>الرياض</t>
        </is>
      </c>
      <c r="D3934" t="inlineStr">
        <is>
          <t>صباحا</t>
        </is>
      </c>
      <c r="E3934" t="n">
        <v>453</v>
      </c>
      <c r="F3934" t="b">
        <v>0</v>
      </c>
      <c r="G3934">
        <f>HYPERLINK("https://www.google.com/maps/search/?api=1&amp;query=24.7624132,46.83222347", "View Map")</f>
        <v/>
      </c>
    </row>
    <row r="3935">
      <c r="A3935" t="inlineStr">
        <is>
          <t xml:space="preserve">   مسجد حى الخليج .</t>
        </is>
      </c>
      <c r="B3935" t="inlineStr">
        <is>
          <t>KFM2120660251310</t>
        </is>
      </c>
      <c r="C3935" t="inlineStr">
        <is>
          <t>الرياض</t>
        </is>
      </c>
      <c r="D3935" t="inlineStr">
        <is>
          <t>مساءا</t>
        </is>
      </c>
      <c r="E3935" t="n">
        <v>453</v>
      </c>
      <c r="F3935" t="b">
        <v>0</v>
      </c>
      <c r="G3935">
        <f>HYPERLINK("https://www.google.com/maps/search/?api=1&amp;query=24.77996929,46.82535386", "View Map")</f>
        <v/>
      </c>
    </row>
    <row r="3936">
      <c r="A3936" t="inlineStr">
        <is>
          <t>ﻤﺴﺎﺠﺩ .</t>
        </is>
      </c>
      <c r="B3936" t="inlineStr">
        <is>
          <t>KFM2120660262124</t>
        </is>
      </c>
      <c r="C3936" t="inlineStr">
        <is>
          <t>الرياض</t>
        </is>
      </c>
      <c r="D3936" t="inlineStr">
        <is>
          <t>مساءا</t>
        </is>
      </c>
      <c r="E3936" t="n">
        <v>453</v>
      </c>
      <c r="F3936" t="b">
        <v>1</v>
      </c>
      <c r="G3936">
        <f>HYPERLINK("https://www.google.com/maps/search/?api=1&amp;query=24.88587464,46.62777758", "View Map")</f>
        <v/>
      </c>
    </row>
    <row r="3937">
      <c r="A3937" t="inlineStr">
        <is>
          <t>مسجد حمد الفريان .</t>
        </is>
      </c>
      <c r="B3937" t="inlineStr">
        <is>
          <t>SMR2020850042404</t>
        </is>
      </c>
      <c r="C3937" t="inlineStr">
        <is>
          <t>الرياض</t>
        </is>
      </c>
      <c r="D3937" t="inlineStr">
        <is>
          <t>مساءا</t>
        </is>
      </c>
      <c r="E3937" t="n">
        <v>452</v>
      </c>
      <c r="F3937" t="b">
        <v>0</v>
      </c>
      <c r="G3937">
        <f>HYPERLINK("https://www.google.com/maps/search/?api=1&amp;query=24.56762563,46.63359201", "View Map")</f>
        <v/>
      </c>
    </row>
    <row r="3938">
      <c r="A3938" t="inlineStr">
        <is>
          <t xml:space="preserve">   مسجد با جنيد .</t>
        </is>
      </c>
      <c r="B3938" t="inlineStr">
        <is>
          <t>KFM2120660299245</t>
        </is>
      </c>
      <c r="C3938" t="inlineStr">
        <is>
          <t>الرياض</t>
        </is>
      </c>
      <c r="D3938" t="inlineStr">
        <is>
          <t>صباحا</t>
        </is>
      </c>
      <c r="E3938" t="n">
        <v>452</v>
      </c>
      <c r="F3938" t="b">
        <v>0</v>
      </c>
      <c r="G3938">
        <f>HYPERLINK("https://www.google.com/maps/search/?api=1&amp;query=24.59058316,46.76109909", "View Map")</f>
        <v/>
      </c>
    </row>
    <row r="3939">
      <c r="A3939" t="inlineStr">
        <is>
          <t xml:space="preserve">    مسجد      السعدون .</t>
        </is>
      </c>
      <c r="B3939" t="inlineStr">
        <is>
          <t>KFM2120660303468</t>
        </is>
      </c>
      <c r="C3939" t="inlineStr">
        <is>
          <t>الرياض</t>
        </is>
      </c>
      <c r="D3939" t="inlineStr">
        <is>
          <t>مساءا</t>
        </is>
      </c>
      <c r="E3939" t="n">
        <v>452</v>
      </c>
      <c r="F3939" t="b">
        <v>0</v>
      </c>
      <c r="G3939">
        <f>HYPERLINK("https://www.google.com/maps/search/?api=1&amp;query=24.73897133,46.83123421", "View Map")</f>
        <v/>
      </c>
    </row>
    <row r="3940">
      <c r="A3940" t="inlineStr">
        <is>
          <t xml:space="preserve">   مسجد الشيخ صالح بن غصون .</t>
        </is>
      </c>
      <c r="B3940" t="inlineStr">
        <is>
          <t>KFM2120660299307</t>
        </is>
      </c>
      <c r="C3940" t="inlineStr">
        <is>
          <t>الرياض</t>
        </is>
      </c>
      <c r="D3940" t="inlineStr">
        <is>
          <t>مساءا</t>
        </is>
      </c>
      <c r="E3940" t="n">
        <v>452</v>
      </c>
      <c r="F3940" t="b">
        <v>0</v>
      </c>
      <c r="G3940">
        <f>HYPERLINK("https://www.google.com/maps/search/?api=1&amp;query=24.60835605,46.75752616", "View Map")</f>
        <v/>
      </c>
    </row>
    <row r="3941">
      <c r="A3941" t="inlineStr">
        <is>
          <t xml:space="preserve">   مسجد  عبدالكريم الخليفي .</t>
        </is>
      </c>
      <c r="B3941" t="inlineStr">
        <is>
          <t>KFM2020660046507</t>
        </is>
      </c>
      <c r="C3941" t="inlineStr">
        <is>
          <t>الرياض</t>
        </is>
      </c>
      <c r="D3941" t="inlineStr">
        <is>
          <t>مساءا</t>
        </is>
      </c>
      <c r="E3941" t="n">
        <v>451</v>
      </c>
      <c r="F3941" t="b">
        <v>0</v>
      </c>
      <c r="G3941">
        <f>HYPERLINK("https://www.google.com/maps/search/?api=1&amp;query=24.82866537,46.75032105", "View Map")</f>
        <v/>
      </c>
    </row>
    <row r="3942">
      <c r="A3942" t="inlineStr">
        <is>
          <t>مسجد ال  صفيان .</t>
        </is>
      </c>
      <c r="B3942" t="inlineStr">
        <is>
          <t>KFM2020660174911</t>
        </is>
      </c>
      <c r="C3942" t="inlineStr">
        <is>
          <t>الرياض</t>
        </is>
      </c>
      <c r="D3942" t="inlineStr">
        <is>
          <t>مساءا</t>
        </is>
      </c>
      <c r="E3942" t="n">
        <v>451</v>
      </c>
      <c r="F3942" t="b">
        <v>0</v>
      </c>
      <c r="G3942">
        <f>HYPERLINK("https://www.google.com/maps/search/?api=1&amp;query=24.62043232,46.69744293", "View Map")</f>
        <v/>
      </c>
    </row>
    <row r="3943">
      <c r="A3943" t="inlineStr">
        <is>
          <t xml:space="preserve">   مسجد حي المنار .</t>
        </is>
      </c>
      <c r="B3943" t="inlineStr">
        <is>
          <t>KFM2020660056965</t>
        </is>
      </c>
      <c r="C3943" t="inlineStr">
        <is>
          <t>الرياض</t>
        </is>
      </c>
      <c r="D3943" t="inlineStr">
        <is>
          <t>صباحا</t>
        </is>
      </c>
      <c r="E3943" t="n">
        <v>451</v>
      </c>
      <c r="F3943" t="b">
        <v>0</v>
      </c>
      <c r="G3943">
        <f>HYPERLINK("https://www.google.com/maps/search/?api=1&amp;query=24.73308272,46.79633338", "View Map")</f>
        <v/>
      </c>
    </row>
    <row r="3944">
      <c r="A3944" t="inlineStr">
        <is>
          <t>ﻤﺴﺎﺠﺩ .</t>
        </is>
      </c>
      <c r="B3944" t="inlineStr">
        <is>
          <t>KFM2120660253326</t>
        </is>
      </c>
      <c r="C3944" t="inlineStr">
        <is>
          <t>الرياض</t>
        </is>
      </c>
      <c r="D3944" t="inlineStr">
        <is>
          <t>مساءا</t>
        </is>
      </c>
      <c r="E3944" t="n">
        <v>450</v>
      </c>
      <c r="F3944" t="b">
        <v>0</v>
      </c>
      <c r="G3944">
        <f>HYPERLINK("https://www.google.com/maps/search/?api=1&amp;query=24.59235485,46.7855268", "View Map")</f>
        <v/>
      </c>
    </row>
    <row r="3945">
      <c r="A3945" t="inlineStr">
        <is>
          <t xml:space="preserve">   مساجد .</t>
        </is>
      </c>
      <c r="B3945" t="inlineStr">
        <is>
          <t>KFM2020660171784</t>
        </is>
      </c>
      <c r="C3945" t="inlineStr">
        <is>
          <t>الرياض</t>
        </is>
      </c>
      <c r="D3945" t="inlineStr">
        <is>
          <t>مساءا</t>
        </is>
      </c>
      <c r="E3945" t="n">
        <v>450</v>
      </c>
      <c r="F3945" t="b">
        <v>1</v>
      </c>
      <c r="G3945">
        <f>HYPERLINK("https://www.google.com/maps/search/?api=1&amp;query=24.85586175,46.81746251", "View Map")</f>
        <v/>
      </c>
    </row>
    <row r="3946">
      <c r="A3946" t="inlineStr">
        <is>
          <t>مسجد الامير عبدالرحمن عبدالله .</t>
        </is>
      </c>
      <c r="B3946" t="inlineStr">
        <is>
          <t>KFM2020660015442</t>
        </is>
      </c>
      <c r="C3946" t="inlineStr">
        <is>
          <t>الرياض</t>
        </is>
      </c>
      <c r="D3946" t="inlineStr">
        <is>
          <t>مساءا</t>
        </is>
      </c>
      <c r="E3946" t="n">
        <v>450</v>
      </c>
      <c r="F3946" t="b">
        <v>0</v>
      </c>
      <c r="G3946">
        <f>HYPERLINK("https://www.google.com/maps/search/?api=1&amp;query=24.62647728,46.68203026", "View Map")</f>
        <v/>
      </c>
    </row>
    <row r="3947">
      <c r="A3947" t="inlineStr">
        <is>
          <t>ﻤﺴﺎﺠﺩ .</t>
        </is>
      </c>
      <c r="B3947" t="inlineStr">
        <is>
          <t>KFM2020660192960</t>
        </is>
      </c>
      <c r="C3947" t="inlineStr">
        <is>
          <t>الرياض</t>
        </is>
      </c>
      <c r="D3947" t="inlineStr">
        <is>
          <t>مساءا</t>
        </is>
      </c>
      <c r="E3947" t="n">
        <v>450</v>
      </c>
      <c r="F3947" t="b">
        <v>0</v>
      </c>
      <c r="G3947">
        <f>HYPERLINK("https://www.google.com/maps/search/?api=1&amp;query=24.92570141,46.81880472", "View Map")</f>
        <v/>
      </c>
    </row>
    <row r="3948">
      <c r="A3948" t="inlineStr">
        <is>
          <t xml:space="preserve">   مسجد الشهداء .</t>
        </is>
      </c>
      <c r="B3948" t="inlineStr">
        <is>
          <t>KFM2020660042132</t>
        </is>
      </c>
      <c r="C3948" t="inlineStr">
        <is>
          <t>الرياض</t>
        </is>
      </c>
      <c r="D3948" t="inlineStr">
        <is>
          <t>مساءا</t>
        </is>
      </c>
      <c r="E3948" t="n">
        <v>449</v>
      </c>
      <c r="F3948" t="b">
        <v>0</v>
      </c>
      <c r="G3948">
        <f>HYPERLINK("https://www.google.com/maps/search/?api=1&amp;query=24.7487016,46.81994379", "View Map")</f>
        <v/>
      </c>
    </row>
    <row r="3949">
      <c r="A3949" t="inlineStr">
        <is>
          <t>مسجد ابوعلي .</t>
        </is>
      </c>
      <c r="B3949" t="inlineStr">
        <is>
          <t>SMR2320661034825</t>
        </is>
      </c>
      <c r="C3949" t="inlineStr">
        <is>
          <t>الرياض</t>
        </is>
      </c>
      <c r="D3949" t="inlineStr">
        <is>
          <t>مساءا</t>
        </is>
      </c>
      <c r="E3949" t="n">
        <v>449</v>
      </c>
      <c r="F3949" t="b">
        <v>0</v>
      </c>
      <c r="G3949">
        <f>HYPERLINK("https://www.google.com/maps/search/?api=1&amp;query=24.58500951,46.59607608", "View Map")</f>
        <v/>
      </c>
    </row>
    <row r="3950">
      <c r="A3950" t="inlineStr">
        <is>
          <t>ﻤﺴﺎﺠﺩ .</t>
        </is>
      </c>
      <c r="B3950" t="inlineStr">
        <is>
          <t>MMF2420601023705</t>
        </is>
      </c>
      <c r="C3950" t="inlineStr">
        <is>
          <t>الرياض</t>
        </is>
      </c>
      <c r="D3950" t="inlineStr">
        <is>
          <t>مساءا</t>
        </is>
      </c>
      <c r="E3950" t="n">
        <v>449</v>
      </c>
      <c r="F3950" t="b">
        <v>1</v>
      </c>
      <c r="G3950">
        <f>HYPERLINK("https://www.google.com/maps/search/?api=1&amp;query=24.85776149,46.63080403", "View Map")</f>
        <v/>
      </c>
    </row>
    <row r="3951">
      <c r="A3951" t="inlineStr">
        <is>
          <t xml:space="preserve">   وزاراة الشئون الاسلامية .</t>
        </is>
      </c>
      <c r="B3951" t="inlineStr">
        <is>
          <t>KFM2120660255669</t>
        </is>
      </c>
      <c r="C3951" t="inlineStr">
        <is>
          <t>الرياض</t>
        </is>
      </c>
      <c r="D3951" t="inlineStr">
        <is>
          <t>مساءا</t>
        </is>
      </c>
      <c r="E3951" t="n">
        <v>449</v>
      </c>
      <c r="F3951" t="b">
        <v>0</v>
      </c>
      <c r="G3951">
        <f>HYPERLINK("https://www.google.com/maps/search/?api=1&amp;query=24.63159863,46.54288918", "View Map")</f>
        <v/>
      </c>
    </row>
    <row r="3952">
      <c r="A3952" t="inlineStr">
        <is>
          <t xml:space="preserve">   مسجد/ابراهيم عبدالرحمن السلمان .</t>
        </is>
      </c>
      <c r="B3952" t="inlineStr">
        <is>
          <t>KFM2020660026300</t>
        </is>
      </c>
      <c r="C3952" t="inlineStr">
        <is>
          <t>الدرعية</t>
        </is>
      </c>
      <c r="D3952" t="inlineStr">
        <is>
          <t>مساءا</t>
        </is>
      </c>
      <c r="E3952" t="n">
        <v>449</v>
      </c>
      <c r="F3952" t="b">
        <v>0</v>
      </c>
      <c r="G3952">
        <f>HYPERLINK("https://www.google.com/maps/search/?api=1&amp;query=24.75595728,46.57202354", "View Map")</f>
        <v/>
      </c>
    </row>
    <row r="3953">
      <c r="A3953" t="inlineStr">
        <is>
          <t>.3     مسجد      العودة .</t>
        </is>
      </c>
      <c r="B3953" t="inlineStr">
        <is>
          <t>KFM2020660201738</t>
        </is>
      </c>
      <c r="C3953" t="inlineStr">
        <is>
          <t>الرياض</t>
        </is>
      </c>
      <c r="D3953" t="inlineStr">
        <is>
          <t>مساءا</t>
        </is>
      </c>
      <c r="E3953" t="n">
        <v>449</v>
      </c>
      <c r="F3953" t="b">
        <v>0</v>
      </c>
      <c r="G3953">
        <f>HYPERLINK("https://www.google.com/maps/search/?api=1&amp;query=24.62166514,46.70277624", "View Map")</f>
        <v/>
      </c>
    </row>
    <row r="3954">
      <c r="A3954" t="inlineStr">
        <is>
          <t xml:space="preserve">   مسجد امتداد شارع جرير .</t>
        </is>
      </c>
      <c r="B3954" t="inlineStr">
        <is>
          <t>KFM2020660053978</t>
        </is>
      </c>
      <c r="C3954" t="inlineStr">
        <is>
          <t>الرياض</t>
        </is>
      </c>
      <c r="D3954" t="inlineStr">
        <is>
          <t>مساءا</t>
        </is>
      </c>
      <c r="E3954" t="n">
        <v>449</v>
      </c>
      <c r="F3954" t="b">
        <v>1</v>
      </c>
      <c r="G3954">
        <f>HYPERLINK("https://www.google.com/maps/search/?api=1&amp;query=24.68333919,46.75265711", "View Map")</f>
        <v/>
      </c>
    </row>
    <row r="3955">
      <c r="A3955" t="inlineStr">
        <is>
          <t>وزارة الشئون الاسلامية والاوقاف .</t>
        </is>
      </c>
      <c r="B3955" t="inlineStr">
        <is>
          <t>KFM2020660013748</t>
        </is>
      </c>
      <c r="C3955" t="inlineStr">
        <is>
          <t>الرياض</t>
        </is>
      </c>
      <c r="D3955" t="inlineStr">
        <is>
          <t>مساءا</t>
        </is>
      </c>
      <c r="E3955" t="n">
        <v>449</v>
      </c>
      <c r="F3955" t="b">
        <v>0</v>
      </c>
      <c r="G3955">
        <f>HYPERLINK("https://www.google.com/maps/search/?api=1&amp;query=24.53310355,46.68580712", "View Map")</f>
        <v/>
      </c>
    </row>
    <row r="3956">
      <c r="A3956" t="inlineStr">
        <is>
          <t xml:space="preserve">   مسجد أهالي سدير/ فاعل خير .</t>
        </is>
      </c>
      <c r="B3956" t="inlineStr">
        <is>
          <t>KFM2120660281742</t>
        </is>
      </c>
      <c r="C3956" t="inlineStr">
        <is>
          <t>الرياض</t>
        </is>
      </c>
      <c r="D3956" t="inlineStr">
        <is>
          <t>صباحا</t>
        </is>
      </c>
      <c r="E3956" t="n">
        <v>449</v>
      </c>
      <c r="F3956" t="b">
        <v>0</v>
      </c>
      <c r="G3956">
        <f>HYPERLINK("https://www.google.com/maps/search/?api=1&amp;query=24.61779707,46.72759564", "View Map")</f>
        <v/>
      </c>
    </row>
    <row r="3957">
      <c r="A3957" t="inlineStr">
        <is>
          <t xml:space="preserve">   مسجد حى النزهه .</t>
        </is>
      </c>
      <c r="B3957" t="inlineStr">
        <is>
          <t>KFM2020660201228</t>
        </is>
      </c>
      <c r="C3957" t="inlineStr">
        <is>
          <t>الرياض</t>
        </is>
      </c>
      <c r="D3957" t="inlineStr">
        <is>
          <t>صباحا</t>
        </is>
      </c>
      <c r="E3957" t="n">
        <v>449</v>
      </c>
      <c r="F3957" t="b">
        <v>0</v>
      </c>
      <c r="G3957">
        <f>HYPERLINK("https://www.google.com/maps/search/?api=1&amp;query=24.75591572,46.6992818", "View Map")</f>
        <v/>
      </c>
    </row>
    <row r="3958">
      <c r="A3958" t="inlineStr">
        <is>
          <t>ﻤﺴﺎﺠﺩ .</t>
        </is>
      </c>
      <c r="B3958" t="inlineStr">
        <is>
          <t>SMR2320661021580</t>
        </is>
      </c>
      <c r="C3958" t="inlineStr">
        <is>
          <t>الرياض</t>
        </is>
      </c>
      <c r="D3958" t="inlineStr">
        <is>
          <t>مساءا</t>
        </is>
      </c>
      <c r="E3958" t="n">
        <v>448</v>
      </c>
      <c r="F3958" t="b">
        <v>0</v>
      </c>
      <c r="G3958">
        <f>HYPERLINK("https://www.google.com/maps/search/?api=1&amp;query=24.59964257,46.76786411", "View Map")</f>
        <v/>
      </c>
    </row>
    <row r="3959">
      <c r="A3959" t="inlineStr">
        <is>
          <t xml:space="preserve">   مسجد لولوه بالحمراء .</t>
        </is>
      </c>
      <c r="B3959" t="inlineStr">
        <is>
          <t>KFM2020660058552</t>
        </is>
      </c>
      <c r="C3959" t="inlineStr">
        <is>
          <t>الرياض</t>
        </is>
      </c>
      <c r="D3959" t="inlineStr">
        <is>
          <t>مساءا</t>
        </is>
      </c>
      <c r="E3959" t="n">
        <v>448</v>
      </c>
      <c r="F3959" t="b">
        <v>0</v>
      </c>
      <c r="G3959">
        <f>HYPERLINK("https://www.google.com/maps/search/?api=1&amp;query=24.77463122,46.7550923", "View Map")</f>
        <v/>
      </c>
    </row>
    <row r="3960">
      <c r="A3960" t="inlineStr">
        <is>
          <t>ﻤﺴﺎﺠﺩ .</t>
        </is>
      </c>
      <c r="B3960" t="inlineStr">
        <is>
          <t>KFM2020660050442</t>
        </is>
      </c>
      <c r="C3960" t="inlineStr">
        <is>
          <t>الدرعية</t>
        </is>
      </c>
      <c r="D3960" t="inlineStr">
        <is>
          <t>مساءا</t>
        </is>
      </c>
      <c r="E3960" t="n">
        <v>448</v>
      </c>
      <c r="F3960" t="b">
        <v>0</v>
      </c>
      <c r="G3960">
        <f>HYPERLINK("https://www.google.com/maps/search/?api=1&amp;query=24.74598087,46.51343717", "View Map")</f>
        <v/>
      </c>
    </row>
    <row r="3961">
      <c r="A3961" t="inlineStr">
        <is>
          <t>مسجد الثقفي .</t>
        </is>
      </c>
      <c r="B3961" t="inlineStr">
        <is>
          <t>KFM2020660035610</t>
        </is>
      </c>
      <c r="C3961" t="inlineStr">
        <is>
          <t>الرياض</t>
        </is>
      </c>
      <c r="D3961" t="inlineStr">
        <is>
          <t>مساءا</t>
        </is>
      </c>
      <c r="E3961" t="n">
        <v>448</v>
      </c>
      <c r="F3961" t="b">
        <v>0</v>
      </c>
      <c r="G3961">
        <f>HYPERLINK("https://www.google.com/maps/search/?api=1&amp;query=24.56508027,46.6890892", "View Map")</f>
        <v/>
      </c>
    </row>
    <row r="3962">
      <c r="A3962" t="inlineStr">
        <is>
          <t xml:space="preserve">   مسجد ساطي بن غازي السعير .</t>
        </is>
      </c>
      <c r="B3962" t="inlineStr">
        <is>
          <t>KFM2020760155843</t>
        </is>
      </c>
      <c r="C3962" t="inlineStr">
        <is>
          <t>الدرعية</t>
        </is>
      </c>
      <c r="D3962" t="inlineStr">
        <is>
          <t>مساءا</t>
        </is>
      </c>
      <c r="E3962" t="n">
        <v>448</v>
      </c>
      <c r="F3962" t="b">
        <v>0</v>
      </c>
      <c r="G3962">
        <f>HYPERLINK("https://www.google.com/maps/search/?api=1&amp;query=24.90268,46.38495", "View Map")</f>
        <v/>
      </c>
    </row>
    <row r="3963">
      <c r="A3963" t="inlineStr">
        <is>
          <t xml:space="preserve">   مسجد جبران .</t>
        </is>
      </c>
      <c r="B3963" t="inlineStr">
        <is>
          <t>KFM2020660232860</t>
        </is>
      </c>
      <c r="C3963" t="inlineStr">
        <is>
          <t>الرياض</t>
        </is>
      </c>
      <c r="D3963" t="inlineStr">
        <is>
          <t>مساءا</t>
        </is>
      </c>
      <c r="E3963" t="n">
        <v>448</v>
      </c>
      <c r="F3963" t="b">
        <v>0</v>
      </c>
      <c r="G3963">
        <f>HYPERLINK("https://www.google.com/maps/search/?api=1&amp;query=24.8174262,46.88257927", "View Map")</f>
        <v/>
      </c>
    </row>
    <row r="3964">
      <c r="A3964" t="inlineStr">
        <is>
          <t xml:space="preserve">   مسجد حي حطين .</t>
        </is>
      </c>
      <c r="B3964" t="inlineStr">
        <is>
          <t>KFM2020660095303</t>
        </is>
      </c>
      <c r="C3964" t="inlineStr">
        <is>
          <t>الدرعية</t>
        </is>
      </c>
      <c r="D3964" t="inlineStr">
        <is>
          <t>مساءا</t>
        </is>
      </c>
      <c r="E3964" t="n">
        <v>448</v>
      </c>
      <c r="F3964" t="b">
        <v>0</v>
      </c>
      <c r="G3964">
        <f>HYPERLINK("https://www.google.com/maps/search/?api=1&amp;query=24.74563765,46.59197015", "View Map")</f>
        <v/>
      </c>
    </row>
    <row r="3965">
      <c r="A3965" t="inlineStr">
        <is>
          <t>مسجد حي الفواز .</t>
        </is>
      </c>
      <c r="B3965" t="inlineStr">
        <is>
          <t>KFM2020660166414</t>
        </is>
      </c>
      <c r="C3965" t="inlineStr">
        <is>
          <t>الرياض</t>
        </is>
      </c>
      <c r="D3965" t="inlineStr">
        <is>
          <t>صباحا</t>
        </is>
      </c>
      <c r="E3965" t="n">
        <v>448</v>
      </c>
      <c r="F3965" t="b">
        <v>0</v>
      </c>
      <c r="G3965">
        <f>HYPERLINK("https://www.google.com/maps/search/?api=1&amp;query=24.50427467,46.63007483", "View Map")</f>
        <v/>
      </c>
    </row>
    <row r="3966">
      <c r="A3966" t="inlineStr">
        <is>
          <t xml:space="preserve">   مسجد حمد السعيدان .</t>
        </is>
      </c>
      <c r="B3966" t="inlineStr">
        <is>
          <t>KFM2020660046042</t>
        </is>
      </c>
      <c r="C3966" t="inlineStr">
        <is>
          <t>الرياض</t>
        </is>
      </c>
      <c r="D3966" t="inlineStr">
        <is>
          <t>مساءا</t>
        </is>
      </c>
      <c r="E3966" t="n">
        <v>447</v>
      </c>
      <c r="F3966" t="b">
        <v>1</v>
      </c>
      <c r="G3966">
        <f>HYPERLINK("https://www.google.com/maps/search/?api=1&amp;query=24.71694969,46.81369685", "View Map")</f>
        <v/>
      </c>
    </row>
    <row r="3967">
      <c r="A3967" t="inlineStr">
        <is>
          <t xml:space="preserve">    مسجد الجدعان .</t>
        </is>
      </c>
      <c r="B3967" t="inlineStr">
        <is>
          <t>KFM2020660127762</t>
        </is>
      </c>
      <c r="C3967" t="inlineStr">
        <is>
          <t>الرياض</t>
        </is>
      </c>
      <c r="D3967" t="inlineStr">
        <is>
          <t>مساءا</t>
        </is>
      </c>
      <c r="E3967" t="n">
        <v>446</v>
      </c>
      <c r="F3967" t="b">
        <v>0</v>
      </c>
      <c r="G3967">
        <f>HYPERLINK("https://www.google.com/maps/search/?api=1&amp;query=24.79823311,46.62257654", "View Map")</f>
        <v/>
      </c>
    </row>
    <row r="3968">
      <c r="A3968" t="inlineStr">
        <is>
          <t>مسجد      شعبة       ابن الحجاج .</t>
        </is>
      </c>
      <c r="B3968" t="inlineStr">
        <is>
          <t>KFM2020660198406</t>
        </is>
      </c>
      <c r="C3968" t="inlineStr">
        <is>
          <t>الرياض</t>
        </is>
      </c>
      <c r="D3968" t="inlineStr">
        <is>
          <t>مساءا</t>
        </is>
      </c>
      <c r="E3968" t="n">
        <v>446</v>
      </c>
      <c r="F3968" t="b">
        <v>0</v>
      </c>
      <c r="G3968">
        <f>HYPERLINK("https://www.google.com/maps/search/?api=1&amp;query=24.6008962,46.58917031", "View Map")</f>
        <v/>
      </c>
    </row>
    <row r="3969">
      <c r="A3969" t="inlineStr">
        <is>
          <t xml:space="preserve">   مسجدمحمدالفاتح .</t>
        </is>
      </c>
      <c r="B3969" t="inlineStr">
        <is>
          <t>KFM2020660161769</t>
        </is>
      </c>
      <c r="C3969" t="inlineStr">
        <is>
          <t>الرياض</t>
        </is>
      </c>
      <c r="D3969" t="inlineStr">
        <is>
          <t>صباحا</t>
        </is>
      </c>
      <c r="E3969" t="n">
        <v>446</v>
      </c>
      <c r="F3969" t="b">
        <v>0</v>
      </c>
      <c r="G3969">
        <f>HYPERLINK("https://www.google.com/maps/search/?api=1&amp;query=24.56641178,46.84331573", "View Map")</f>
        <v/>
      </c>
    </row>
    <row r="3970">
      <c r="A3970" t="inlineStr">
        <is>
          <t>ﻭﺯﺍﺭﺓﺍﻟﺸﺌﻭﻥ ﺍﻻﺴﻼﻤﻴﺓﻭﺍﻻﻭﻗﺎﻑ .</t>
        </is>
      </c>
      <c r="B3970" t="inlineStr">
        <is>
          <t>KFM2020660191365</t>
        </is>
      </c>
      <c r="C3970" t="inlineStr">
        <is>
          <t>الدرعية</t>
        </is>
      </c>
      <c r="D3970" t="inlineStr">
        <is>
          <t>صباحا</t>
        </is>
      </c>
      <c r="E3970" t="n">
        <v>446</v>
      </c>
      <c r="F3970" t="b">
        <v>0</v>
      </c>
      <c r="G3970">
        <f>HYPERLINK("https://www.google.com/maps/search/?api=1&amp;query=24.75788,46.54815", "View Map")</f>
        <v/>
      </c>
    </row>
    <row r="3971">
      <c r="A3971" t="inlineStr">
        <is>
          <t xml:space="preserve">   مسجد الأمير فيصل بن مشعل .</t>
        </is>
      </c>
      <c r="B3971" t="inlineStr">
        <is>
          <t>KFM2020660053498</t>
        </is>
      </c>
      <c r="C3971" t="inlineStr">
        <is>
          <t>الرياض</t>
        </is>
      </c>
      <c r="D3971" t="inlineStr">
        <is>
          <t>صباحا</t>
        </is>
      </c>
      <c r="E3971" t="n">
        <v>446</v>
      </c>
      <c r="F3971" t="b">
        <v>0</v>
      </c>
      <c r="G3971">
        <f>HYPERLINK("https://www.google.com/maps/search/?api=1&amp;query=24.74345578,46.75898319", "View Map")</f>
        <v/>
      </c>
    </row>
    <row r="3972">
      <c r="A3972" t="inlineStr">
        <is>
          <t xml:space="preserve">   مسجد مؤقت السليمانيه .</t>
        </is>
      </c>
      <c r="B3972" t="inlineStr">
        <is>
          <t>ECC2020810833444</t>
        </is>
      </c>
      <c r="C3972" t="inlineStr">
        <is>
          <t>الرياض</t>
        </is>
      </c>
      <c r="D3972" t="inlineStr">
        <is>
          <t>صباحا</t>
        </is>
      </c>
      <c r="E3972" t="n">
        <v>445</v>
      </c>
      <c r="F3972" t="b">
        <v>0</v>
      </c>
      <c r="G3972">
        <f>HYPERLINK("https://www.google.com/maps/search/?api=1&amp;query=24.71906934,46.69130671", "View Map")</f>
        <v/>
      </c>
    </row>
    <row r="3973">
      <c r="A3973" t="inlineStr">
        <is>
          <t>مسجد سليمان محمد الحمالي .</t>
        </is>
      </c>
      <c r="B3973" t="inlineStr">
        <is>
          <t>KFM2020766155477</t>
        </is>
      </c>
      <c r="C3973" t="inlineStr">
        <is>
          <t>الرياض</t>
        </is>
      </c>
      <c r="D3973" t="inlineStr">
        <is>
          <t>صباحا</t>
        </is>
      </c>
      <c r="E3973" t="n">
        <v>445</v>
      </c>
      <c r="F3973" t="b">
        <v>0</v>
      </c>
      <c r="G3973">
        <f>HYPERLINK("https://www.google.com/maps/search/?api=1&amp;query=24.49931966,46.62987886", "View Map")</f>
        <v/>
      </c>
    </row>
    <row r="3974">
      <c r="A3974" t="inlineStr">
        <is>
          <t>مسجد عمر بن الخطاب .</t>
        </is>
      </c>
      <c r="B3974" t="inlineStr">
        <is>
          <t>KFM2020660057909</t>
        </is>
      </c>
      <c r="C3974" t="inlineStr">
        <is>
          <t>الرياض</t>
        </is>
      </c>
      <c r="D3974" t="inlineStr">
        <is>
          <t>مساءا</t>
        </is>
      </c>
      <c r="E3974" t="n">
        <v>445</v>
      </c>
      <c r="F3974" t="b">
        <v>0</v>
      </c>
      <c r="G3974">
        <f>HYPERLINK("https://www.google.com/maps/search/?api=1&amp;query=24.56657566,46.63072662", "View Map")</f>
        <v/>
      </c>
    </row>
    <row r="3975">
      <c r="A3975" t="inlineStr">
        <is>
          <t>ﻤﺴﺎﺠﺩ .</t>
        </is>
      </c>
      <c r="B3975" t="inlineStr">
        <is>
          <t>LYE2020830073701</t>
        </is>
      </c>
      <c r="C3975" t="inlineStr">
        <is>
          <t>الرياض</t>
        </is>
      </c>
      <c r="D3975" t="inlineStr">
        <is>
          <t>مساءا</t>
        </is>
      </c>
      <c r="E3975" t="n">
        <v>445</v>
      </c>
      <c r="F3975" t="b">
        <v>0</v>
      </c>
      <c r="G3975">
        <f>HYPERLINK("https://www.google.com/maps/search/?api=1&amp;query=24.82760704,46.80253286", "View Map")</f>
        <v/>
      </c>
    </row>
    <row r="3976">
      <c r="A3976" t="inlineStr">
        <is>
          <t>ﻭﺯﺍﺭﺓﺍﻟﺸﺌﻭﻥ ﺍﻻﺴﻼﻤﻴﺓﻭﺍﻻﻭﻗﺎﻑ .</t>
        </is>
      </c>
      <c r="B3976" t="inlineStr">
        <is>
          <t>KFM2020660203570</t>
        </is>
      </c>
      <c r="C3976" t="inlineStr">
        <is>
          <t>الرياض</t>
        </is>
      </c>
      <c r="D3976" t="inlineStr">
        <is>
          <t>مساءا</t>
        </is>
      </c>
      <c r="E3976" t="n">
        <v>445</v>
      </c>
      <c r="F3976" t="b">
        <v>0</v>
      </c>
      <c r="G3976">
        <f>HYPERLINK("https://www.google.com/maps/search/?api=1&amp;query=24.55825237,46.53394679", "View Map")</f>
        <v/>
      </c>
    </row>
    <row r="3977">
      <c r="A3977" t="inlineStr">
        <is>
          <t xml:space="preserve">   مسجدالرحمن  بحي الملقا .</t>
        </is>
      </c>
      <c r="B3977" t="inlineStr">
        <is>
          <t>KFM2020660127827</t>
        </is>
      </c>
      <c r="C3977" t="inlineStr">
        <is>
          <t>الرياض</t>
        </is>
      </c>
      <c r="D3977" t="inlineStr">
        <is>
          <t>مساءا</t>
        </is>
      </c>
      <c r="E3977" t="n">
        <v>445</v>
      </c>
      <c r="F3977" t="b">
        <v>0</v>
      </c>
      <c r="G3977">
        <f>HYPERLINK("https://www.google.com/maps/search/?api=1&amp;query=24.79259841,46.62043272", "View Map")</f>
        <v/>
      </c>
    </row>
    <row r="3978">
      <c r="A3978" t="inlineStr">
        <is>
          <t xml:space="preserve">   مسجدالصغير .</t>
        </is>
      </c>
      <c r="B3978" t="inlineStr">
        <is>
          <t>KFM2120660276194</t>
        </is>
      </c>
      <c r="C3978" t="inlineStr">
        <is>
          <t>الرياض</t>
        </is>
      </c>
      <c r="D3978" t="inlineStr">
        <is>
          <t>مساءا</t>
        </is>
      </c>
      <c r="E3978" t="n">
        <v>444</v>
      </c>
      <c r="F3978" t="b">
        <v>0</v>
      </c>
      <c r="G3978">
        <f>HYPERLINK("https://www.google.com/maps/search/?api=1&amp;query=24.67451059,46.74260757", "View Map")</f>
        <v/>
      </c>
    </row>
    <row r="3979">
      <c r="A3979" t="inlineStr">
        <is>
          <t xml:space="preserve">   مسجد سعيد بن صرير .</t>
        </is>
      </c>
      <c r="B3979" t="inlineStr">
        <is>
          <t>KFM2020660234131</t>
        </is>
      </c>
      <c r="C3979" t="inlineStr">
        <is>
          <t>الرياض</t>
        </is>
      </c>
      <c r="D3979" t="inlineStr">
        <is>
          <t>مساءا</t>
        </is>
      </c>
      <c r="E3979" t="n">
        <v>444</v>
      </c>
      <c r="F3979" t="b">
        <v>0</v>
      </c>
      <c r="G3979">
        <f>HYPERLINK("https://www.google.com/maps/search/?api=1&amp;query=24.70662716,46.84324093", "View Map")</f>
        <v/>
      </c>
    </row>
    <row r="3980">
      <c r="A3980" t="inlineStr">
        <is>
          <t>مسجد جناده  بن مالك .</t>
        </is>
      </c>
      <c r="B3980" t="inlineStr">
        <is>
          <t>KFM2020660043893</t>
        </is>
      </c>
      <c r="C3980" t="inlineStr">
        <is>
          <t>الرياض</t>
        </is>
      </c>
      <c r="D3980" t="inlineStr">
        <is>
          <t>مساءا</t>
        </is>
      </c>
      <c r="E3980" t="n">
        <v>444</v>
      </c>
      <c r="F3980" t="b">
        <v>1</v>
      </c>
      <c r="G3980">
        <f>HYPERLINK("https://www.google.com/maps/search/?api=1&amp;query=24.58522127,46.58221971", "View Map")</f>
        <v/>
      </c>
    </row>
    <row r="3981">
      <c r="A3981" t="inlineStr">
        <is>
          <t xml:space="preserve">   مسجد/ سعد بن أبي وقاص .</t>
        </is>
      </c>
      <c r="B3981" t="inlineStr">
        <is>
          <t>KFM2020660047148</t>
        </is>
      </c>
      <c r="C3981" t="inlineStr">
        <is>
          <t>الرياض</t>
        </is>
      </c>
      <c r="D3981" t="inlineStr">
        <is>
          <t>مساءا</t>
        </is>
      </c>
      <c r="E3981" t="n">
        <v>444</v>
      </c>
      <c r="F3981" t="b">
        <v>0</v>
      </c>
      <c r="G3981">
        <f>HYPERLINK("https://www.google.com/maps/search/?api=1&amp;query=24.778056,46.79354135", "View Map")</f>
        <v/>
      </c>
    </row>
    <row r="3982">
      <c r="A3982" t="inlineStr">
        <is>
          <t xml:space="preserve">   مسجد حماد الثقفي .</t>
        </is>
      </c>
      <c r="B3982" t="inlineStr">
        <is>
          <t>KFM2020660162755</t>
        </is>
      </c>
      <c r="C3982" t="inlineStr">
        <is>
          <t>الرياض</t>
        </is>
      </c>
      <c r="D3982" t="inlineStr">
        <is>
          <t>صباحا</t>
        </is>
      </c>
      <c r="E3982" t="n">
        <v>444</v>
      </c>
      <c r="F3982" t="b">
        <v>0</v>
      </c>
      <c r="G3982">
        <f>HYPERLINK("https://www.google.com/maps/search/?api=1&amp;query=24.5811801,46.76715882", "View Map")</f>
        <v/>
      </c>
    </row>
    <row r="3983">
      <c r="A3983" t="inlineStr">
        <is>
          <t>ﻤﺴﺎﺠﺩ .</t>
        </is>
      </c>
      <c r="B3983" t="inlineStr">
        <is>
          <t>SMR2220661006258</t>
        </is>
      </c>
      <c r="C3983" t="inlineStr">
        <is>
          <t>الرياض</t>
        </is>
      </c>
      <c r="D3983" t="inlineStr">
        <is>
          <t>صباحا</t>
        </is>
      </c>
      <c r="E3983" t="n">
        <v>443</v>
      </c>
      <c r="F3983" t="b">
        <v>0</v>
      </c>
      <c r="G3983">
        <f>HYPERLINK("https://www.google.com/maps/search/?api=1&amp;query=24.76861819,46.69715248", "View Map")</f>
        <v/>
      </c>
    </row>
    <row r="3984">
      <c r="A3984" t="inlineStr">
        <is>
          <t xml:space="preserve">   مسجد / حي وزارةالبترول .</t>
        </is>
      </c>
      <c r="B3984" t="inlineStr">
        <is>
          <t>KFM2120660300421</t>
        </is>
      </c>
      <c r="C3984" t="inlineStr">
        <is>
          <t>الرياض</t>
        </is>
      </c>
      <c r="D3984" t="inlineStr">
        <is>
          <t>صباحا</t>
        </is>
      </c>
      <c r="E3984" t="n">
        <v>443</v>
      </c>
      <c r="F3984" t="b">
        <v>0</v>
      </c>
      <c r="G3984">
        <f>HYPERLINK("https://www.google.com/maps/search/?api=1&amp;query=24.69781453,46.71960839", "View Map")</f>
        <v/>
      </c>
    </row>
    <row r="3985">
      <c r="A3985" t="inlineStr">
        <is>
          <t xml:space="preserve">   مسجد حي المرسلات .</t>
        </is>
      </c>
      <c r="B3985" t="inlineStr">
        <is>
          <t>KFM2020660174115</t>
        </is>
      </c>
      <c r="C3985" t="inlineStr">
        <is>
          <t>الرياض</t>
        </is>
      </c>
      <c r="D3985" t="inlineStr">
        <is>
          <t>مساءا</t>
        </is>
      </c>
      <c r="E3985" t="n">
        <v>443</v>
      </c>
      <c r="F3985" t="b">
        <v>1</v>
      </c>
      <c r="G3985">
        <f>HYPERLINK("https://www.google.com/maps/search/?api=1&amp;query=24.75466855,46.6851675", "View Map")</f>
        <v/>
      </c>
    </row>
    <row r="3986">
      <c r="A3986" t="inlineStr">
        <is>
          <t>مسجد عبدالملك  ال  الشيخ .</t>
        </is>
      </c>
      <c r="B3986" t="inlineStr">
        <is>
          <t>KFM2020660051660</t>
        </is>
      </c>
      <c r="C3986" t="inlineStr">
        <is>
          <t>الرياض</t>
        </is>
      </c>
      <c r="D3986" t="inlineStr">
        <is>
          <t>مساءا</t>
        </is>
      </c>
      <c r="E3986" t="n">
        <v>443</v>
      </c>
      <c r="F3986" t="b">
        <v>0</v>
      </c>
      <c r="G3986">
        <f>HYPERLINK("https://www.google.com/maps/search/?api=1&amp;query=24.59116346,46.65047966", "View Map")</f>
        <v/>
      </c>
    </row>
    <row r="3987">
      <c r="A3987" t="inlineStr">
        <is>
          <t xml:space="preserve">   مسجد الباهلى / العروان .</t>
        </is>
      </c>
      <c r="B3987" t="inlineStr">
        <is>
          <t>KFM2020760147729</t>
        </is>
      </c>
      <c r="C3987" t="inlineStr">
        <is>
          <t>الدرعية</t>
        </is>
      </c>
      <c r="D3987" t="inlineStr">
        <is>
          <t>مساءا</t>
        </is>
      </c>
      <c r="E3987" t="n">
        <v>443</v>
      </c>
      <c r="F3987" t="b">
        <v>1</v>
      </c>
      <c r="G3987">
        <f>HYPERLINK("https://www.google.com/maps/search/?api=1&amp;query=24.90549531,46.39087572", "View Map")</f>
        <v/>
      </c>
    </row>
    <row r="3988">
      <c r="A3988" t="inlineStr">
        <is>
          <t>ﻭﺯﺍﺭﺓﺍﻟﺸﺌﻭﻥ ﺍﻻﺴﻼﻤﻴﺓﻭﺍﻻﻭﻗﺎﻑ .</t>
        </is>
      </c>
      <c r="B3988" t="inlineStr">
        <is>
          <t>SMR2420661036039</t>
        </is>
      </c>
      <c r="C3988" t="inlineStr">
        <is>
          <t>الرياض</t>
        </is>
      </c>
      <c r="D3988" t="inlineStr">
        <is>
          <t>مساءا</t>
        </is>
      </c>
      <c r="E3988" t="n">
        <v>442</v>
      </c>
      <c r="F3988" t="b">
        <v>0</v>
      </c>
      <c r="G3988">
        <f>HYPERLINK("https://www.google.com/maps/search/?api=1&amp;query=24.5648488,46.60823283", "View Map")</f>
        <v/>
      </c>
    </row>
    <row r="3989">
      <c r="A3989" t="inlineStr">
        <is>
          <t xml:space="preserve">   مسجد      الشرافيه  . .</t>
        </is>
      </c>
      <c r="B3989" t="inlineStr">
        <is>
          <t>KFM2020760094633</t>
        </is>
      </c>
      <c r="C3989" t="inlineStr">
        <is>
          <t>الدرعية</t>
        </is>
      </c>
      <c r="D3989" t="inlineStr">
        <is>
          <t>مساءا</t>
        </is>
      </c>
      <c r="E3989" t="n">
        <v>442</v>
      </c>
      <c r="F3989" t="b">
        <v>0</v>
      </c>
      <c r="G3989">
        <f>HYPERLINK("https://www.google.com/maps/search/?api=1&amp;query=24.76916279,46.42482379", "View Map")</f>
        <v/>
      </c>
    </row>
    <row r="3990">
      <c r="A3990" t="inlineStr">
        <is>
          <t xml:space="preserve">   مسجد البديع / فاعل خير .</t>
        </is>
      </c>
      <c r="B3990" t="inlineStr">
        <is>
          <t>KFM2020660047681</t>
        </is>
      </c>
      <c r="C3990" t="inlineStr">
        <is>
          <t>الرياض</t>
        </is>
      </c>
      <c r="D3990" t="inlineStr">
        <is>
          <t>صباحا</t>
        </is>
      </c>
      <c r="E3990" t="n">
        <v>442</v>
      </c>
      <c r="F3990" t="b">
        <v>0</v>
      </c>
      <c r="G3990">
        <f>HYPERLINK("https://www.google.com/maps/search/?api=1&amp;query=24.63282665,46.71965195", "View Map")</f>
        <v/>
      </c>
    </row>
    <row r="3991">
      <c r="A3991" t="inlineStr">
        <is>
          <t>ﻭﺯﺍﺭﺓﺍﻟﺸﺌﻭﻥ ﺍﻻﺴﻼﻤﻴﺓﻭﺍﻻﻭﻗﺎﻑ .</t>
        </is>
      </c>
      <c r="B3991" t="inlineStr">
        <is>
          <t>SMR2320761030853</t>
        </is>
      </c>
      <c r="C3991" t="inlineStr">
        <is>
          <t>الرياض</t>
        </is>
      </c>
      <c r="D3991" t="inlineStr">
        <is>
          <t>مساءا</t>
        </is>
      </c>
      <c r="E3991" t="n">
        <v>441</v>
      </c>
      <c r="F3991" t="b">
        <v>0</v>
      </c>
      <c r="G3991">
        <f>HYPERLINK("https://www.google.com/maps/search/?api=1&amp;query=24.55821721,46.61979325", "View Map")</f>
        <v/>
      </c>
    </row>
    <row r="3992">
      <c r="A3992" t="inlineStr">
        <is>
          <t>ﻤﺴﺎﺠﺩ .</t>
        </is>
      </c>
      <c r="B3992" t="inlineStr">
        <is>
          <t>KFM2020660202072</t>
        </is>
      </c>
      <c r="C3992" t="inlineStr">
        <is>
          <t>الرياض</t>
        </is>
      </c>
      <c r="D3992" t="inlineStr">
        <is>
          <t>مساءا</t>
        </is>
      </c>
      <c r="E3992" t="n">
        <v>441</v>
      </c>
      <c r="F3992" t="b">
        <v>0</v>
      </c>
      <c r="G3992">
        <f>HYPERLINK("https://www.google.com/maps/search/?api=1&amp;query=24.74906,46.73131", "View Map")</f>
        <v/>
      </c>
    </row>
    <row r="3993">
      <c r="A3993" t="inlineStr">
        <is>
          <t xml:space="preserve"> مسجدالاميره طرفه عبدالله بن عبدالرحم .</t>
        </is>
      </c>
      <c r="B3993" t="inlineStr">
        <is>
          <t>KFM2020760026320</t>
        </is>
      </c>
      <c r="C3993" t="inlineStr">
        <is>
          <t>الرياض</t>
        </is>
      </c>
      <c r="D3993" t="inlineStr">
        <is>
          <t>صباحا</t>
        </is>
      </c>
      <c r="E3993" t="n">
        <v>441</v>
      </c>
      <c r="F3993" t="b">
        <v>0</v>
      </c>
      <c r="G3993">
        <f>HYPERLINK("https://www.google.com/maps/search/?api=1&amp;query=24.39324164,46.83622297", "View Map")</f>
        <v/>
      </c>
    </row>
    <row r="3994">
      <c r="A3994" t="inlineStr">
        <is>
          <t xml:space="preserve">   مسجد محمد يونس  الشريف .</t>
        </is>
      </c>
      <c r="B3994" t="inlineStr">
        <is>
          <t>KFM2120660282549</t>
        </is>
      </c>
      <c r="C3994" t="inlineStr">
        <is>
          <t>الرياض</t>
        </is>
      </c>
      <c r="D3994" t="inlineStr">
        <is>
          <t>مساءا</t>
        </is>
      </c>
      <c r="E3994" t="n">
        <v>441</v>
      </c>
      <c r="F3994" t="b">
        <v>0</v>
      </c>
      <c r="G3994">
        <f>HYPERLINK("https://www.google.com/maps/search/?api=1&amp;query=24.63823435,46.80044857", "View Map")</f>
        <v/>
      </c>
    </row>
    <row r="3995">
      <c r="A3995" t="inlineStr">
        <is>
          <t xml:space="preserve">   مسجد نوار بام الحمام .</t>
        </is>
      </c>
      <c r="B3995" t="inlineStr">
        <is>
          <t>KFM2020660189612</t>
        </is>
      </c>
      <c r="C3995" t="inlineStr">
        <is>
          <t>الرياض</t>
        </is>
      </c>
      <c r="D3995" t="inlineStr">
        <is>
          <t>مساءا</t>
        </is>
      </c>
      <c r="E3995" t="n">
        <v>441</v>
      </c>
      <c r="F3995" t="b">
        <v>0</v>
      </c>
      <c r="G3995">
        <f>HYPERLINK("https://www.google.com/maps/search/?api=1&amp;query=24.69951455,46.64609815", "View Map")</f>
        <v/>
      </c>
    </row>
    <row r="3996">
      <c r="A3996" t="inlineStr">
        <is>
          <t xml:space="preserve">   مسجد عبدالله اللحيدان .</t>
        </is>
      </c>
      <c r="B3996" t="inlineStr">
        <is>
          <t>KFM2120660242863</t>
        </is>
      </c>
      <c r="C3996" t="inlineStr">
        <is>
          <t>الرياض</t>
        </is>
      </c>
      <c r="D3996" t="inlineStr">
        <is>
          <t>مساءا</t>
        </is>
      </c>
      <c r="E3996" t="n">
        <v>440</v>
      </c>
      <c r="F3996" t="b">
        <v>0</v>
      </c>
      <c r="G3996">
        <f>HYPERLINK("https://www.google.com/maps/search/?api=1&amp;query=24.74159705,46.78374184", "View Map")</f>
        <v/>
      </c>
    </row>
    <row r="3997">
      <c r="A3997" t="inlineStr">
        <is>
          <t>مسجد بن خضير .</t>
        </is>
      </c>
      <c r="B3997" t="inlineStr">
        <is>
          <t>KFM2020660054905</t>
        </is>
      </c>
      <c r="C3997" t="inlineStr">
        <is>
          <t>الرياض</t>
        </is>
      </c>
      <c r="D3997" t="inlineStr">
        <is>
          <t>صباحا</t>
        </is>
      </c>
      <c r="E3997" t="n">
        <v>440</v>
      </c>
      <c r="F3997" t="b">
        <v>0</v>
      </c>
      <c r="G3997">
        <f>HYPERLINK("https://www.google.com/maps/search/?api=1&amp;query=24.58329154,46.63128856", "View Map")</f>
        <v/>
      </c>
    </row>
    <row r="3998">
      <c r="A3998" t="inlineStr">
        <is>
          <t xml:space="preserve">   مسجد/ ظهره الشماليه .</t>
        </is>
      </c>
      <c r="B3998" t="inlineStr">
        <is>
          <t>KFM2020660203010</t>
        </is>
      </c>
      <c r="C3998" t="inlineStr">
        <is>
          <t>الدرعية</t>
        </is>
      </c>
      <c r="D3998" t="inlineStr">
        <is>
          <t>مساءا</t>
        </is>
      </c>
      <c r="E3998" t="n">
        <v>440</v>
      </c>
      <c r="F3998" t="b">
        <v>0</v>
      </c>
      <c r="G3998">
        <f>HYPERLINK("https://www.google.com/maps/search/?api=1&amp;query=24.89598778,46.44484969", "View Map")</f>
        <v/>
      </c>
    </row>
    <row r="3999">
      <c r="A3999" t="inlineStr">
        <is>
          <t>مسجد المثنى  بن حارثه .</t>
        </is>
      </c>
      <c r="B3999" t="inlineStr">
        <is>
          <t>KFM2020660176987</t>
        </is>
      </c>
      <c r="C3999" t="inlineStr">
        <is>
          <t>الرياض</t>
        </is>
      </c>
      <c r="D3999" t="inlineStr">
        <is>
          <t>مساءا</t>
        </is>
      </c>
      <c r="E3999" t="n">
        <v>440</v>
      </c>
      <c r="F3999" t="b">
        <v>0</v>
      </c>
      <c r="G3999">
        <f>HYPERLINK("https://www.google.com/maps/search/?api=1&amp;query=24.60722836,46.59692946", "View Map")</f>
        <v/>
      </c>
    </row>
    <row r="4000">
      <c r="A4000" t="inlineStr">
        <is>
          <t xml:space="preserve">   مسجد عقيل بن ابي طالب  بحي  لبن .</t>
        </is>
      </c>
      <c r="B4000" t="inlineStr">
        <is>
          <t>KFM2020660202283</t>
        </is>
      </c>
      <c r="C4000" t="inlineStr">
        <is>
          <t>الرياض</t>
        </is>
      </c>
      <c r="D4000" t="inlineStr">
        <is>
          <t>صباحا</t>
        </is>
      </c>
      <c r="E4000" t="n">
        <v>439</v>
      </c>
      <c r="F4000" t="b">
        <v>0</v>
      </c>
      <c r="G4000">
        <f>HYPERLINK("https://www.google.com/maps/search/?api=1&amp;query=24.63459177,46.55866748", "View Map")</f>
        <v/>
      </c>
    </row>
    <row r="4001">
      <c r="A4001" t="inlineStr">
        <is>
          <t>ﻤﺴﺎﺠﺩ .</t>
        </is>
      </c>
      <c r="B4001" t="inlineStr">
        <is>
          <t>KFM2120655004053</t>
        </is>
      </c>
      <c r="C4001" t="inlineStr">
        <is>
          <t>الرياض</t>
        </is>
      </c>
      <c r="D4001" t="inlineStr">
        <is>
          <t>مساءا</t>
        </is>
      </c>
      <c r="E4001" t="n">
        <v>439</v>
      </c>
      <c r="F4001" t="b">
        <v>0</v>
      </c>
      <c r="G4001">
        <f>HYPERLINK("https://www.google.com/maps/search/?api=1&amp;query=24.92525789,46.82341566", "View Map")</f>
        <v/>
      </c>
    </row>
    <row r="4002">
      <c r="A4002" t="inlineStr">
        <is>
          <t xml:space="preserve">   مسجد حديقه الاطفال .</t>
        </is>
      </c>
      <c r="B4002" t="inlineStr">
        <is>
          <t>ECC2020810892759</t>
        </is>
      </c>
      <c r="C4002" t="inlineStr">
        <is>
          <t>الرياض</t>
        </is>
      </c>
      <c r="D4002" t="inlineStr">
        <is>
          <t>مساءا</t>
        </is>
      </c>
      <c r="E4002" t="n">
        <v>438</v>
      </c>
      <c r="F4002" t="b">
        <v>0</v>
      </c>
      <c r="G4002">
        <f>HYPERLINK("https://www.google.com/maps/search/?api=1&amp;query=24.67642516,46.73069266", "View Map")</f>
        <v/>
      </c>
    </row>
    <row r="4003">
      <c r="A4003" t="inlineStr">
        <is>
          <t>ﻭﺯﺍﺭﺓﺍﻟﺸﺌﻭﻥ ﺍﻻﺴﻼﻤﻴﺓﻭﺍﻻﻭﻗﺎﻑ .</t>
        </is>
      </c>
      <c r="B4003" t="inlineStr">
        <is>
          <t>KFM2020660051568</t>
        </is>
      </c>
      <c r="C4003" t="inlineStr">
        <is>
          <t>الرياض</t>
        </is>
      </c>
      <c r="D4003" t="inlineStr">
        <is>
          <t>مساءا</t>
        </is>
      </c>
      <c r="E4003" t="n">
        <v>438</v>
      </c>
      <c r="F4003" t="b">
        <v>1</v>
      </c>
      <c r="G4003">
        <f>HYPERLINK("https://www.google.com/maps/search/?api=1&amp;query=24.56921016,46.52727413", "View Map")</f>
        <v/>
      </c>
    </row>
    <row r="4004">
      <c r="A4004" t="inlineStr">
        <is>
          <t xml:space="preserve">   مسجد القادسية .</t>
        </is>
      </c>
      <c r="B4004" t="inlineStr">
        <is>
          <t>KFM2020660046549</t>
        </is>
      </c>
      <c r="C4004" t="inlineStr">
        <is>
          <t>الرياض</t>
        </is>
      </c>
      <c r="D4004" t="inlineStr">
        <is>
          <t>صباحا</t>
        </is>
      </c>
      <c r="E4004" t="n">
        <v>438</v>
      </c>
      <c r="F4004" t="b">
        <v>0</v>
      </c>
      <c r="G4004">
        <f>HYPERLINK("https://www.google.com/maps/search/?api=1&amp;query=24.84777708,46.82057679", "View Map")</f>
        <v/>
      </c>
    </row>
    <row r="4005">
      <c r="A4005" t="inlineStr">
        <is>
          <t>ﻤﺴﺎﺠﺩ .</t>
        </is>
      </c>
      <c r="B4005" t="inlineStr">
        <is>
          <t>SMR2220661001407</t>
        </is>
      </c>
      <c r="C4005" t="inlineStr">
        <is>
          <t>الرياض</t>
        </is>
      </c>
      <c r="D4005" t="inlineStr">
        <is>
          <t>مساءا</t>
        </is>
      </c>
      <c r="E4005" t="n">
        <v>438</v>
      </c>
      <c r="F4005" t="b">
        <v>0</v>
      </c>
      <c r="G4005">
        <f>HYPERLINK("https://www.google.com/maps/search/?api=1&amp;query=24.91581198,46.77978704", "View Map")</f>
        <v/>
      </c>
    </row>
    <row r="4006">
      <c r="A4006" t="inlineStr">
        <is>
          <t xml:space="preserve">   مسجدوسكن حي القادسيه .</t>
        </is>
      </c>
      <c r="B4006" t="inlineStr">
        <is>
          <t>KFM2020660060659</t>
        </is>
      </c>
      <c r="C4006" t="inlineStr">
        <is>
          <t>الرياض</t>
        </is>
      </c>
      <c r="D4006" t="inlineStr">
        <is>
          <t>مساءا</t>
        </is>
      </c>
      <c r="E4006" t="n">
        <v>438</v>
      </c>
      <c r="F4006" t="b">
        <v>0</v>
      </c>
      <c r="G4006">
        <f>HYPERLINK("https://www.google.com/maps/search/?api=1&amp;query=24.81312836,46.81106884", "View Map")</f>
        <v/>
      </c>
    </row>
    <row r="4007">
      <c r="A4007" t="inlineStr">
        <is>
          <t xml:space="preserve">   مسجد      التقوى    . .</t>
        </is>
      </c>
      <c r="B4007" t="inlineStr">
        <is>
          <t>KFM2020660127483</t>
        </is>
      </c>
      <c r="C4007" t="inlineStr">
        <is>
          <t>الرياض</t>
        </is>
      </c>
      <c r="D4007" t="inlineStr">
        <is>
          <t>صباحا</t>
        </is>
      </c>
      <c r="E4007" t="n">
        <v>438</v>
      </c>
      <c r="F4007" t="b">
        <v>0</v>
      </c>
      <c r="G4007">
        <f>HYPERLINK("https://www.google.com/maps/search/?api=1&amp;query=24.77037236,46.67634442", "View Map")</f>
        <v/>
      </c>
    </row>
    <row r="4008">
      <c r="A4008" t="inlineStr">
        <is>
          <t xml:space="preserve">   مسجد غليفص  بسوق البطحاء .</t>
        </is>
      </c>
      <c r="B4008" t="inlineStr">
        <is>
          <t>KFM2020660047684</t>
        </is>
      </c>
      <c r="C4008" t="inlineStr">
        <is>
          <t>الرياض</t>
        </is>
      </c>
      <c r="D4008" t="inlineStr">
        <is>
          <t>مساءا</t>
        </is>
      </c>
      <c r="E4008" t="n">
        <v>438</v>
      </c>
      <c r="F4008" t="b">
        <v>1</v>
      </c>
      <c r="G4008">
        <f>HYPERLINK("https://www.google.com/maps/search/?api=1&amp;query=24.63588024,46.71842588", "View Map")</f>
        <v/>
      </c>
    </row>
    <row r="4009">
      <c r="A4009" t="inlineStr">
        <is>
          <t xml:space="preserve">   مسجد مهديه بعرقه .</t>
        </is>
      </c>
      <c r="B4009" t="inlineStr">
        <is>
          <t>MMF2020800178245</t>
        </is>
      </c>
      <c r="C4009" t="inlineStr">
        <is>
          <t>الرياض</t>
        </is>
      </c>
      <c r="D4009" t="inlineStr">
        <is>
          <t>مساءا</t>
        </is>
      </c>
      <c r="E4009" t="n">
        <v>438</v>
      </c>
      <c r="F4009" t="b">
        <v>0</v>
      </c>
      <c r="G4009">
        <f>HYPERLINK("https://www.google.com/maps/search/?api=1&amp;query=24.79634876,46.85507738", "View Map")</f>
        <v/>
      </c>
    </row>
    <row r="4010">
      <c r="A4010" t="inlineStr">
        <is>
          <t xml:space="preserve">   مسجد قماشة بنت سعود .</t>
        </is>
      </c>
      <c r="B4010" t="inlineStr">
        <is>
          <t>KFM2120660299331</t>
        </is>
      </c>
      <c r="C4010" t="inlineStr">
        <is>
          <t>الرياض</t>
        </is>
      </c>
      <c r="D4010" t="inlineStr">
        <is>
          <t>مساءا</t>
        </is>
      </c>
      <c r="E4010" t="n">
        <v>437</v>
      </c>
      <c r="F4010" t="b">
        <v>0</v>
      </c>
      <c r="G4010">
        <f>HYPERLINK("https://www.google.com/maps/search/?api=1&amp;query=24.63922296,46.74766584", "View Map")</f>
        <v/>
      </c>
    </row>
    <row r="4011">
      <c r="A4011" t="inlineStr">
        <is>
          <t xml:space="preserve">   مسجد/محمد عبدالله العياف .</t>
        </is>
      </c>
      <c r="B4011" t="inlineStr">
        <is>
          <t>KFM2020660173131</t>
        </is>
      </c>
      <c r="C4011" t="inlineStr">
        <is>
          <t>الرياض</t>
        </is>
      </c>
      <c r="D4011" t="inlineStr">
        <is>
          <t>مساءا</t>
        </is>
      </c>
      <c r="E4011" t="n">
        <v>437</v>
      </c>
      <c r="F4011" t="b">
        <v>0</v>
      </c>
      <c r="G4011">
        <f>HYPERLINK("https://www.google.com/maps/search/?api=1&amp;query=24.77633701,46.72770281", "View Map")</f>
        <v/>
      </c>
    </row>
    <row r="4012">
      <c r="A4012" t="inlineStr">
        <is>
          <t xml:space="preserve">   مسجد احمد بن حنبل .</t>
        </is>
      </c>
      <c r="B4012" t="inlineStr">
        <is>
          <t>KFM2020660162857</t>
        </is>
      </c>
      <c r="C4012" t="inlineStr">
        <is>
          <t>الرياض</t>
        </is>
      </c>
      <c r="D4012" t="inlineStr">
        <is>
          <t>مساءا</t>
        </is>
      </c>
      <c r="E4012" t="n">
        <v>437</v>
      </c>
      <c r="F4012" t="b">
        <v>0</v>
      </c>
      <c r="G4012">
        <f>HYPERLINK("https://www.google.com/maps/search/?api=1&amp;query=24.57764767,46.83948955", "View Map")</f>
        <v/>
      </c>
    </row>
    <row r="4013">
      <c r="A4013" t="inlineStr">
        <is>
          <t>مسجد الصديق .</t>
        </is>
      </c>
      <c r="B4013" t="inlineStr">
        <is>
          <t>KFM2020660203730</t>
        </is>
      </c>
      <c r="C4013" t="inlineStr">
        <is>
          <t>الرياض</t>
        </is>
      </c>
      <c r="D4013" t="inlineStr">
        <is>
          <t>مساءا</t>
        </is>
      </c>
      <c r="E4013" t="n">
        <v>437</v>
      </c>
      <c r="F4013" t="b">
        <v>0</v>
      </c>
      <c r="G4013">
        <f>HYPERLINK("https://www.google.com/maps/search/?api=1&amp;query=24.61734424,46.71565425", "View Map")</f>
        <v/>
      </c>
    </row>
    <row r="4014">
      <c r="A4014" t="inlineStr">
        <is>
          <t xml:space="preserve">   مسجد  سعد بن جمهور في عرقه .</t>
        </is>
      </c>
      <c r="B4014" t="inlineStr">
        <is>
          <t>KFM2020660190316</t>
        </is>
      </c>
      <c r="C4014" t="inlineStr">
        <is>
          <t>الرياض</t>
        </is>
      </c>
      <c r="D4014" t="inlineStr">
        <is>
          <t>مساءا</t>
        </is>
      </c>
      <c r="E4014" t="n">
        <v>437</v>
      </c>
      <c r="F4014" t="b">
        <v>0</v>
      </c>
      <c r="G4014">
        <f>HYPERLINK("https://www.google.com/maps/search/?api=1&amp;query=24.67328746,46.58223855", "View Map")</f>
        <v/>
      </c>
    </row>
    <row r="4015">
      <c r="A4015" t="inlineStr">
        <is>
          <t xml:space="preserve"> مسجدالامير/مشهوربن مساعدبن عبدالعزيز .</t>
        </is>
      </c>
      <c r="B4015" t="inlineStr">
        <is>
          <t>MMF2020800125306</t>
        </is>
      </c>
      <c r="C4015" t="inlineStr">
        <is>
          <t>الرياض</t>
        </is>
      </c>
      <c r="D4015" t="inlineStr">
        <is>
          <t>مساءا</t>
        </is>
      </c>
      <c r="E4015" t="n">
        <v>436</v>
      </c>
      <c r="F4015" t="b">
        <v>0</v>
      </c>
      <c r="G4015">
        <f>HYPERLINK("https://www.google.com/maps/search/?api=1&amp;query=24.752848,46.796467", "View Map")</f>
        <v/>
      </c>
    </row>
    <row r="4016">
      <c r="A4016" t="inlineStr">
        <is>
          <t xml:space="preserve">   مسجد/الهويريني بحي النسيم الغربي .</t>
        </is>
      </c>
      <c r="B4016" t="inlineStr">
        <is>
          <t>KFM2020660042053</t>
        </is>
      </c>
      <c r="C4016" t="inlineStr">
        <is>
          <t>الرياض</t>
        </is>
      </c>
      <c r="D4016" t="inlineStr">
        <is>
          <t>مساءا</t>
        </is>
      </c>
      <c r="E4016" t="n">
        <v>436</v>
      </c>
      <c r="F4016" t="b">
        <v>0</v>
      </c>
      <c r="G4016">
        <f>HYPERLINK("https://www.google.com/maps/search/?api=1&amp;query=24.74006077,46.8114395", "View Map")</f>
        <v/>
      </c>
    </row>
    <row r="4017">
      <c r="A4017" t="inlineStr">
        <is>
          <t>مسجد   حوطة خالد  الشئونالاسلامية .</t>
        </is>
      </c>
      <c r="B4017" t="inlineStr">
        <is>
          <t>KFM2020660171766</t>
        </is>
      </c>
      <c r="C4017" t="inlineStr">
        <is>
          <t>الرياض</t>
        </is>
      </c>
      <c r="D4017" t="inlineStr">
        <is>
          <t>مساءا</t>
        </is>
      </c>
      <c r="E4017" t="n">
        <v>436</v>
      </c>
      <c r="F4017" t="b">
        <v>0</v>
      </c>
      <c r="G4017">
        <f>HYPERLINK("https://www.google.com/maps/search/?api=1&amp;query=24.63511106,46.71337445", "View Map")</f>
        <v/>
      </c>
    </row>
    <row r="4018">
      <c r="A4018" t="inlineStr">
        <is>
          <t>ﻭﺯﺍﺭﺓﺍﻟﺸﺌﻭﻥ ﺍﻻﺴﻼﻤﻴﺓﻭﺍﻻﻭﻗﺎﻑ .</t>
        </is>
      </c>
      <c r="B4018" t="inlineStr">
        <is>
          <t>SMR2220621001846</t>
        </is>
      </c>
      <c r="C4018" t="inlineStr">
        <is>
          <t>الرياض</t>
        </is>
      </c>
      <c r="D4018" t="inlineStr">
        <is>
          <t>مساءا</t>
        </is>
      </c>
      <c r="E4018" t="n">
        <v>436</v>
      </c>
      <c r="F4018" t="b">
        <v>1</v>
      </c>
      <c r="G4018">
        <f>HYPERLINK("https://www.google.com/maps/search/?api=1&amp;query=24.56925677,46.55913179", "View Map")</f>
        <v/>
      </c>
    </row>
    <row r="4019">
      <c r="A4019" t="inlineStr">
        <is>
          <t>ﻤﺴﺎﺠﺩ .</t>
        </is>
      </c>
      <c r="B4019" t="inlineStr">
        <is>
          <t>SMR2320661033990</t>
        </is>
      </c>
      <c r="C4019" t="inlineStr">
        <is>
          <t>الرياض</t>
        </is>
      </c>
      <c r="D4019" t="inlineStr">
        <is>
          <t>مساءا</t>
        </is>
      </c>
      <c r="E4019" t="n">
        <v>436</v>
      </c>
      <c r="F4019" t="b">
        <v>0</v>
      </c>
      <c r="G4019">
        <f>HYPERLINK("https://www.google.com/maps/search/?api=1&amp;query=24.80049235,46.83531518", "View Map")</f>
        <v/>
      </c>
    </row>
    <row r="4020">
      <c r="A4020" t="inlineStr">
        <is>
          <t xml:space="preserve">   مسجد طوى .</t>
        </is>
      </c>
      <c r="B4020" t="inlineStr">
        <is>
          <t>KFM2020660057980</t>
        </is>
      </c>
      <c r="C4020" t="inlineStr">
        <is>
          <t>الرياض</t>
        </is>
      </c>
      <c r="D4020" t="inlineStr">
        <is>
          <t>صباحا</t>
        </is>
      </c>
      <c r="E4020" t="n">
        <v>436</v>
      </c>
      <c r="F4020" t="b">
        <v>0</v>
      </c>
      <c r="G4020">
        <f>HYPERLINK("https://www.google.com/maps/search/?api=1&amp;query=24.75268964,46.76065876", "View Map")</f>
        <v/>
      </c>
    </row>
    <row r="4021">
      <c r="A4021" t="inlineStr">
        <is>
          <t>مساجد .</t>
        </is>
      </c>
      <c r="B4021" t="inlineStr">
        <is>
          <t>KFM2020660104279</t>
        </is>
      </c>
      <c r="C4021" t="inlineStr">
        <is>
          <t>الرياض</t>
        </is>
      </c>
      <c r="D4021" t="inlineStr">
        <is>
          <t>مساءا</t>
        </is>
      </c>
      <c r="E4021" t="n">
        <v>436</v>
      </c>
      <c r="F4021" t="b">
        <v>0</v>
      </c>
      <c r="G4021">
        <f>HYPERLINK("https://www.google.com/maps/search/?api=1&amp;query=24.81874096,46.65453281", "View Map")</f>
        <v/>
      </c>
    </row>
    <row r="4022">
      <c r="A4022" t="inlineStr">
        <is>
          <t>وزارة الشؤون الاسلامية  مسجد سبيكة .</t>
        </is>
      </c>
      <c r="B4022" t="inlineStr">
        <is>
          <t>KFM2020660006596</t>
        </is>
      </c>
      <c r="C4022" t="inlineStr">
        <is>
          <t>الرياض</t>
        </is>
      </c>
      <c r="D4022" t="inlineStr">
        <is>
          <t>صباحا</t>
        </is>
      </c>
      <c r="E4022" t="n">
        <v>436</v>
      </c>
      <c r="F4022" t="b">
        <v>0</v>
      </c>
      <c r="G4022">
        <f>HYPERLINK("https://www.google.com/maps/search/?api=1&amp;query=24.63359755,46.70660824", "View Map")</f>
        <v/>
      </c>
    </row>
    <row r="4023">
      <c r="A4023" t="inlineStr">
        <is>
          <t>ﻭﺯﺍﺭﺓﺍﻟﺸﺌﻭﻥ ﺍﻻﺴﻼﻤﻴﺓﻭﺍﻻﻭﻗﺎﻑ .</t>
        </is>
      </c>
      <c r="B4023" t="inlineStr">
        <is>
          <t>SMR2220761006500</t>
        </is>
      </c>
      <c r="C4023" t="inlineStr">
        <is>
          <t>الرياض</t>
        </is>
      </c>
      <c r="D4023" t="inlineStr">
        <is>
          <t>مساءا</t>
        </is>
      </c>
      <c r="E4023" t="n">
        <v>436</v>
      </c>
      <c r="F4023" t="b">
        <v>0</v>
      </c>
      <c r="G4023">
        <f>HYPERLINK("https://www.google.com/maps/search/?api=1&amp;query=24.55363955,46.6674507", "View Map")</f>
        <v/>
      </c>
    </row>
    <row r="4024">
      <c r="A4024" t="inlineStr">
        <is>
          <t xml:space="preserve">   مسـجد حى المروج .</t>
        </is>
      </c>
      <c r="B4024" t="inlineStr">
        <is>
          <t>KFM2020660173701</t>
        </is>
      </c>
      <c r="C4024" t="inlineStr">
        <is>
          <t>الرياض</t>
        </is>
      </c>
      <c r="D4024" t="inlineStr">
        <is>
          <t>صباحا</t>
        </is>
      </c>
      <c r="E4024" t="n">
        <v>435</v>
      </c>
      <c r="F4024" t="b">
        <v>0</v>
      </c>
      <c r="G4024">
        <f>HYPERLINK("https://www.google.com/maps/search/?api=1&amp;query=24.75473524,46.67351567", "View Map")</f>
        <v/>
      </c>
    </row>
    <row r="4025">
      <c r="A4025" t="inlineStr">
        <is>
          <t>مسجد بحي الدار البيضاء .</t>
        </is>
      </c>
      <c r="B4025" t="inlineStr">
        <is>
          <t>KFM2020660163522</t>
        </is>
      </c>
      <c r="C4025" t="inlineStr">
        <is>
          <t>الرياض</t>
        </is>
      </c>
      <c r="D4025" t="inlineStr">
        <is>
          <t>مساءا</t>
        </is>
      </c>
      <c r="E4025" t="n">
        <v>435</v>
      </c>
      <c r="F4025" t="b">
        <v>0</v>
      </c>
      <c r="G4025">
        <f>HYPERLINK("https://www.google.com/maps/search/?api=1&amp;query=24.5608608,46.80118393", "View Map")</f>
        <v/>
      </c>
    </row>
    <row r="4026">
      <c r="A4026" t="inlineStr">
        <is>
          <t xml:space="preserve">   مسجد الهزاع .</t>
        </is>
      </c>
      <c r="B4026" t="inlineStr">
        <is>
          <t>KFM2020660148965</t>
        </is>
      </c>
      <c r="C4026" t="inlineStr">
        <is>
          <t>الرياض</t>
        </is>
      </c>
      <c r="D4026" t="inlineStr">
        <is>
          <t>مساءا</t>
        </is>
      </c>
      <c r="E4026" t="n">
        <v>435</v>
      </c>
      <c r="F4026" t="b">
        <v>0</v>
      </c>
      <c r="G4026">
        <f>HYPERLINK("https://www.google.com/maps/search/?api=1&amp;query=24.7399,46.80751", "View Map")</f>
        <v/>
      </c>
    </row>
    <row r="4027">
      <c r="A4027" t="inlineStr">
        <is>
          <t>مسجد / الامير منصور بن مشارى  ال  سعود .</t>
        </is>
      </c>
      <c r="B4027" t="inlineStr">
        <is>
          <t>KFM2020660115689</t>
        </is>
      </c>
      <c r="C4027" t="inlineStr">
        <is>
          <t>الرياض</t>
        </is>
      </c>
      <c r="D4027" t="inlineStr">
        <is>
          <t>مساءا</t>
        </is>
      </c>
      <c r="E4027" t="n">
        <v>434</v>
      </c>
      <c r="F4027" t="b">
        <v>0</v>
      </c>
      <c r="G4027">
        <f>HYPERLINK("https://www.google.com/maps/search/?api=1&amp;query=24.59686212,46.58142196", "View Map")</f>
        <v/>
      </c>
    </row>
    <row r="4028">
      <c r="A4028" t="inlineStr">
        <is>
          <t>مسجد      حي        الشفاء .</t>
        </is>
      </c>
      <c r="B4028" t="inlineStr">
        <is>
          <t>KFM2020660171556</t>
        </is>
      </c>
      <c r="C4028" t="inlineStr">
        <is>
          <t>الرياض</t>
        </is>
      </c>
      <c r="D4028" t="inlineStr">
        <is>
          <t>مساءا</t>
        </is>
      </c>
      <c r="E4028" t="n">
        <v>434</v>
      </c>
      <c r="F4028" t="b">
        <v>0</v>
      </c>
      <c r="G4028">
        <f>HYPERLINK("https://www.google.com/maps/search/?api=1&amp;query=24.54554628,46.7036859", "View Map")</f>
        <v/>
      </c>
    </row>
    <row r="4029">
      <c r="A4029" t="inlineStr">
        <is>
          <t xml:space="preserve">   مسجد الجوهرة ال الشيخ .</t>
        </is>
      </c>
      <c r="B4029" t="inlineStr">
        <is>
          <t>KFM2120660262180</t>
        </is>
      </c>
      <c r="C4029" t="inlineStr">
        <is>
          <t>الرياض</t>
        </is>
      </c>
      <c r="D4029" t="inlineStr">
        <is>
          <t>مساءا</t>
        </is>
      </c>
      <c r="E4029" t="n">
        <v>434</v>
      </c>
      <c r="F4029" t="b">
        <v>0</v>
      </c>
      <c r="G4029">
        <f>HYPERLINK("https://www.google.com/maps/search/?api=1&amp;query=24.68990643,46.59679933", "View Map")</f>
        <v/>
      </c>
    </row>
    <row r="4030">
      <c r="A4030" t="inlineStr">
        <is>
          <t>مسجد  شيخ  الاسلام  بن تيميه .</t>
        </is>
      </c>
      <c r="B4030" t="inlineStr">
        <is>
          <t>KFM2020660023707</t>
        </is>
      </c>
      <c r="C4030" t="inlineStr">
        <is>
          <t>الرياض</t>
        </is>
      </c>
      <c r="D4030" t="inlineStr">
        <is>
          <t>صباحا</t>
        </is>
      </c>
      <c r="E4030" t="n">
        <v>434</v>
      </c>
      <c r="F4030" t="b">
        <v>0</v>
      </c>
      <c r="G4030">
        <f>HYPERLINK("https://www.google.com/maps/search/?api=1&amp;query=24.58976297,46.55213702", "View Map")</f>
        <v/>
      </c>
    </row>
    <row r="4031">
      <c r="A4031" t="inlineStr">
        <is>
          <t xml:space="preserve">   مسجدمعن بن زائدة .</t>
        </is>
      </c>
      <c r="B4031" t="inlineStr">
        <is>
          <t>KFM2120660235628</t>
        </is>
      </c>
      <c r="C4031" t="inlineStr">
        <is>
          <t>الرياض</t>
        </is>
      </c>
      <c r="D4031" t="inlineStr">
        <is>
          <t>صباحا</t>
        </is>
      </c>
      <c r="E4031" t="n">
        <v>434</v>
      </c>
      <c r="F4031" t="b">
        <v>0</v>
      </c>
      <c r="G4031">
        <f>HYPERLINK("https://www.google.com/maps/search/?api=1&amp;query=24.61575355,46.74685539", "View Map")</f>
        <v/>
      </c>
    </row>
    <row r="4032">
      <c r="A4032" t="inlineStr">
        <is>
          <t>مسجد مالك  بن انس    العريجاء .</t>
        </is>
      </c>
      <c r="B4032" t="inlineStr">
        <is>
          <t>KFM2020660083710</t>
        </is>
      </c>
      <c r="C4032" t="inlineStr">
        <is>
          <t>الرياض</t>
        </is>
      </c>
      <c r="D4032" t="inlineStr">
        <is>
          <t>صباحا</t>
        </is>
      </c>
      <c r="E4032" t="n">
        <v>434</v>
      </c>
      <c r="F4032" t="b">
        <v>0</v>
      </c>
      <c r="G4032">
        <f>HYPERLINK("https://www.google.com/maps/search/?api=1&amp;query=24.60962188,46.64449755", "View Map")</f>
        <v/>
      </c>
    </row>
    <row r="4033">
      <c r="A4033" t="inlineStr">
        <is>
          <t xml:space="preserve">   مسجد الثنيان .</t>
        </is>
      </c>
      <c r="B4033" t="inlineStr">
        <is>
          <t>KFM2020660061263</t>
        </is>
      </c>
      <c r="C4033" t="inlineStr">
        <is>
          <t>الرياض</t>
        </is>
      </c>
      <c r="D4033" t="inlineStr">
        <is>
          <t>مساءا</t>
        </is>
      </c>
      <c r="E4033" t="n">
        <v>434</v>
      </c>
      <c r="F4033" t="b">
        <v>0</v>
      </c>
      <c r="G4033">
        <f>HYPERLINK("https://www.google.com/maps/search/?api=1&amp;query=24.77320054,46.73422514", "View Map")</f>
        <v/>
      </c>
    </row>
    <row r="4034">
      <c r="A4034" t="inlineStr">
        <is>
          <t>ﻤﺴﺎﺠﺩ .</t>
        </is>
      </c>
      <c r="B4034" t="inlineStr">
        <is>
          <t>KFM2120660281783</t>
        </is>
      </c>
      <c r="C4034" t="inlineStr">
        <is>
          <t>الرياض</t>
        </is>
      </c>
      <c r="D4034" t="inlineStr">
        <is>
          <t>مساءا</t>
        </is>
      </c>
      <c r="E4034" t="n">
        <v>433</v>
      </c>
      <c r="F4034" t="b">
        <v>0</v>
      </c>
      <c r="G4034">
        <f>HYPERLINK("https://www.google.com/maps/search/?api=1&amp;query=24.39800554,46.84309455", "View Map")</f>
        <v/>
      </c>
    </row>
    <row r="4035">
      <c r="A4035" t="inlineStr">
        <is>
          <t>جامع خادم  الحرمين الشريفين .</t>
        </is>
      </c>
      <c r="B4035" t="inlineStr">
        <is>
          <t>KFM2020660225623</t>
        </is>
      </c>
      <c r="C4035" t="inlineStr">
        <is>
          <t>الرياض</t>
        </is>
      </c>
      <c r="D4035" t="inlineStr">
        <is>
          <t>مساءا</t>
        </is>
      </c>
      <c r="E4035" t="n">
        <v>433</v>
      </c>
      <c r="F4035" t="b">
        <v>0</v>
      </c>
      <c r="G4035">
        <f>HYPERLINK("https://www.google.com/maps/search/?api=1&amp;query=24.56217063,46.63502891", "View Map")</f>
        <v/>
      </c>
    </row>
    <row r="4036">
      <c r="A4036" t="inlineStr">
        <is>
          <t>مسجدوالدة الاميرمنصور .</t>
        </is>
      </c>
      <c r="B4036" t="inlineStr">
        <is>
          <t>KFM2120660295176</t>
        </is>
      </c>
      <c r="C4036" t="inlineStr">
        <is>
          <t>الرياض</t>
        </is>
      </c>
      <c r="D4036" t="inlineStr">
        <is>
          <t>مساءا</t>
        </is>
      </c>
      <c r="E4036" t="n">
        <v>433</v>
      </c>
      <c r="F4036" t="b">
        <v>0</v>
      </c>
      <c r="G4036">
        <f>HYPERLINK("https://www.google.com/maps/search/?api=1&amp;query=24.63184549,46.70601154", "View Map")</f>
        <v/>
      </c>
    </row>
    <row r="4037">
      <c r="A4037" t="inlineStr">
        <is>
          <t>ﻤﺴﺎﺠﺩ .</t>
        </is>
      </c>
      <c r="B4037" t="inlineStr">
        <is>
          <t>KFM2120660303831</t>
        </is>
      </c>
      <c r="C4037" t="inlineStr">
        <is>
          <t>الرياض</t>
        </is>
      </c>
      <c r="D4037" t="inlineStr">
        <is>
          <t>مساءا</t>
        </is>
      </c>
      <c r="E4037" t="n">
        <v>433</v>
      </c>
      <c r="F4037" t="b">
        <v>0</v>
      </c>
      <c r="G4037">
        <f>HYPERLINK("https://www.google.com/maps/search/?api=1&amp;query=24.89336,46.62087", "View Map")</f>
        <v/>
      </c>
    </row>
    <row r="4038">
      <c r="A4038" t="inlineStr">
        <is>
          <t>مسجد/منيرة بنت  منصور سعد المنصور .</t>
        </is>
      </c>
      <c r="B4038" t="inlineStr">
        <is>
          <t>KFM2020660023016</t>
        </is>
      </c>
      <c r="C4038" t="inlineStr">
        <is>
          <t>الرياض</t>
        </is>
      </c>
      <c r="D4038" t="inlineStr">
        <is>
          <t>مساءا</t>
        </is>
      </c>
      <c r="E4038" t="n">
        <v>433</v>
      </c>
      <c r="F4038" t="b">
        <v>0</v>
      </c>
      <c r="G4038">
        <f>HYPERLINK("https://www.google.com/maps/search/?api=1&amp;query=24.56447941,46.71867503", "View Map")</f>
        <v/>
      </c>
    </row>
    <row r="4039">
      <c r="A4039" t="inlineStr">
        <is>
          <t>مسجد المرافق .</t>
        </is>
      </c>
      <c r="B4039" t="inlineStr">
        <is>
          <t>KFM2020660045041</t>
        </is>
      </c>
      <c r="C4039" t="inlineStr">
        <is>
          <t>الرياض</t>
        </is>
      </c>
      <c r="D4039" t="inlineStr">
        <is>
          <t>مساءا</t>
        </is>
      </c>
      <c r="E4039" t="n">
        <v>432</v>
      </c>
      <c r="F4039" t="b">
        <v>0</v>
      </c>
      <c r="G4039">
        <f>HYPERLINK("https://www.google.com/maps/search/?api=1&amp;query=24.57855931,46.65430422", "View Map")</f>
        <v/>
      </c>
    </row>
    <row r="4040">
      <c r="A4040" t="inlineStr">
        <is>
          <t>مسجد الامير عبدالعزيز بن تركى .</t>
        </is>
      </c>
      <c r="B4040" t="inlineStr">
        <is>
          <t>KFM2020660177103</t>
        </is>
      </c>
      <c r="C4040" t="inlineStr">
        <is>
          <t>الرياض</t>
        </is>
      </c>
      <c r="D4040" t="inlineStr">
        <is>
          <t>مساءا</t>
        </is>
      </c>
      <c r="E4040" t="n">
        <v>432</v>
      </c>
      <c r="F4040" t="b">
        <v>1</v>
      </c>
      <c r="G4040">
        <f>HYPERLINK("https://www.google.com/maps/search/?api=1&amp;query=24.56348315,46.69582513", "View Map")</f>
        <v/>
      </c>
    </row>
    <row r="4041">
      <c r="A4041" t="inlineStr">
        <is>
          <t xml:space="preserve">   مسجد بن القيم الجوزيه .</t>
        </is>
      </c>
      <c r="B4041" t="inlineStr">
        <is>
          <t>KFM2020660196953</t>
        </is>
      </c>
      <c r="C4041" t="inlineStr">
        <is>
          <t>الرياض</t>
        </is>
      </c>
      <c r="D4041" t="inlineStr">
        <is>
          <t>مساءا</t>
        </is>
      </c>
      <c r="E4041" t="n">
        <v>432</v>
      </c>
      <c r="F4041" t="b">
        <v>0</v>
      </c>
      <c r="G4041">
        <f>HYPERLINK("https://www.google.com/maps/search/?api=1&amp;query=24.67392879,46.77770846", "View Map")</f>
        <v/>
      </c>
    </row>
    <row r="4042">
      <c r="A4042" t="inlineStr">
        <is>
          <t xml:space="preserve">   مسـجد الفيحاء .</t>
        </is>
      </c>
      <c r="B4042" t="inlineStr">
        <is>
          <t>KFM2120660268863</t>
        </is>
      </c>
      <c r="C4042" t="inlineStr">
        <is>
          <t>الرياض</t>
        </is>
      </c>
      <c r="D4042" t="inlineStr">
        <is>
          <t>مساءا</t>
        </is>
      </c>
      <c r="E4042" t="n">
        <v>432</v>
      </c>
      <c r="F4042" t="b">
        <v>0</v>
      </c>
      <c r="G4042">
        <f>HYPERLINK("https://www.google.com/maps/search/?api=1&amp;query=24.69357492,46.81563012", "View Map")</f>
        <v/>
      </c>
    </row>
    <row r="4043">
      <c r="A4043" t="inlineStr">
        <is>
          <t>مسجدالبكيرى .</t>
        </is>
      </c>
      <c r="B4043" t="inlineStr">
        <is>
          <t>KFM2020660189387</t>
        </is>
      </c>
      <c r="C4043" t="inlineStr">
        <is>
          <t>الرياض</t>
        </is>
      </c>
      <c r="D4043" t="inlineStr">
        <is>
          <t>مساءا</t>
        </is>
      </c>
      <c r="E4043" t="n">
        <v>432</v>
      </c>
      <c r="F4043" t="b">
        <v>0</v>
      </c>
      <c r="G4043">
        <f>HYPERLINK("https://www.google.com/maps/search/?api=1&amp;query=24.61780781,46.69153148", "View Map")</f>
        <v/>
      </c>
    </row>
    <row r="4044">
      <c r="A4044" t="inlineStr">
        <is>
          <t>.  مسجد      حي سلطانة .</t>
        </is>
      </c>
      <c r="B4044" t="inlineStr">
        <is>
          <t>KFM2020660056136</t>
        </is>
      </c>
      <c r="C4044" t="inlineStr">
        <is>
          <t>الرياض</t>
        </is>
      </c>
      <c r="D4044" t="inlineStr">
        <is>
          <t>صباحا</t>
        </is>
      </c>
      <c r="E4044" t="n">
        <v>432</v>
      </c>
      <c r="F4044" t="b">
        <v>0</v>
      </c>
      <c r="G4044">
        <f>HYPERLINK("https://www.google.com/maps/search/?api=1&amp;query=24.60845884,46.68567826", "View Map")</f>
        <v/>
      </c>
    </row>
    <row r="4045">
      <c r="A4045" t="inlineStr">
        <is>
          <t>مسجد الامير/خالد سعد بن محمد .</t>
        </is>
      </c>
      <c r="B4045" t="inlineStr">
        <is>
          <t>KFM2020660023513</t>
        </is>
      </c>
      <c r="C4045" t="inlineStr">
        <is>
          <t>الرياض</t>
        </is>
      </c>
      <c r="D4045" t="inlineStr">
        <is>
          <t>مساءا</t>
        </is>
      </c>
      <c r="E4045" t="n">
        <v>432</v>
      </c>
      <c r="F4045" t="b">
        <v>0</v>
      </c>
      <c r="G4045">
        <f>HYPERLINK("https://www.google.com/maps/search/?api=1&amp;query=24.62696308,46.66555846", "View Map")</f>
        <v/>
      </c>
    </row>
    <row r="4046">
      <c r="A4046" t="inlineStr">
        <is>
          <t>مسجد /عميربن وهب .</t>
        </is>
      </c>
      <c r="B4046" t="inlineStr">
        <is>
          <t>KFM2020660173144</t>
        </is>
      </c>
      <c r="C4046" t="inlineStr">
        <is>
          <t>الرياض</t>
        </is>
      </c>
      <c r="D4046" t="inlineStr">
        <is>
          <t>مساءا</t>
        </is>
      </c>
      <c r="E4046" t="n">
        <v>432</v>
      </c>
      <c r="F4046" t="b">
        <v>0</v>
      </c>
      <c r="G4046">
        <f>HYPERLINK("https://www.google.com/maps/search/?api=1&amp;query=24.61911986,46.71267851", "View Map")</f>
        <v/>
      </c>
    </row>
    <row r="4047">
      <c r="A4047" t="inlineStr">
        <is>
          <t>جامع حمد العمري .</t>
        </is>
      </c>
      <c r="B4047" t="inlineStr">
        <is>
          <t>KFM2020660104879</t>
        </is>
      </c>
      <c r="C4047" t="inlineStr">
        <is>
          <t>الرياض</t>
        </is>
      </c>
      <c r="D4047" t="inlineStr">
        <is>
          <t>مساءا</t>
        </is>
      </c>
      <c r="E4047" t="n">
        <v>432</v>
      </c>
      <c r="F4047" t="b">
        <v>0</v>
      </c>
      <c r="G4047">
        <f>HYPERLINK("https://www.google.com/maps/search/?api=1&amp;query=24.87745011,46.60828638", "View Map")</f>
        <v/>
      </c>
    </row>
    <row r="4048">
      <c r="A4048" t="inlineStr">
        <is>
          <t xml:space="preserve">   مسجد علي بن فهد الهزاع .</t>
        </is>
      </c>
      <c r="B4048" t="inlineStr">
        <is>
          <t>KFM2020660057271</t>
        </is>
      </c>
      <c r="C4048" t="inlineStr">
        <is>
          <t>الرياض</t>
        </is>
      </c>
      <c r="D4048" t="inlineStr">
        <is>
          <t>مساءا</t>
        </is>
      </c>
      <c r="E4048" t="n">
        <v>431</v>
      </c>
      <c r="F4048" t="b">
        <v>0</v>
      </c>
      <c r="G4048">
        <f>HYPERLINK("https://www.google.com/maps/search/?api=1&amp;query=24.72646528,46.85817032", "View Map")</f>
        <v/>
      </c>
    </row>
    <row r="4049">
      <c r="A4049" t="inlineStr">
        <is>
          <t>مسجد ورثة عبدالعزيز بن سعيدان .</t>
        </is>
      </c>
      <c r="B4049" t="inlineStr">
        <is>
          <t>KFM2020660196435</t>
        </is>
      </c>
      <c r="C4049" t="inlineStr">
        <is>
          <t>الرياض</t>
        </is>
      </c>
      <c r="D4049" t="inlineStr">
        <is>
          <t>مساءا</t>
        </is>
      </c>
      <c r="E4049" t="n">
        <v>431</v>
      </c>
      <c r="F4049" t="b">
        <v>1</v>
      </c>
      <c r="G4049">
        <f>HYPERLINK("https://www.google.com/maps/search/?api=1&amp;query=24.57172829,46.82842336", "View Map")</f>
        <v/>
      </c>
    </row>
    <row r="4050">
      <c r="A4050" t="inlineStr">
        <is>
          <t xml:space="preserve">   مسجد الفالح .</t>
        </is>
      </c>
      <c r="B4050" t="inlineStr">
        <is>
          <t>KFM2020660039570</t>
        </is>
      </c>
      <c r="C4050" t="inlineStr">
        <is>
          <t>الرياض</t>
        </is>
      </c>
      <c r="D4050" t="inlineStr">
        <is>
          <t>مساءا</t>
        </is>
      </c>
      <c r="E4050" t="n">
        <v>431</v>
      </c>
      <c r="F4050" t="b">
        <v>0</v>
      </c>
      <c r="G4050">
        <f>HYPERLINK("https://www.google.com/maps/search/?api=1&amp;query=24.65742252,46.7340843", "View Map")</f>
        <v/>
      </c>
    </row>
    <row r="4051">
      <c r="A4051" t="inlineStr">
        <is>
          <t xml:space="preserve">   مسجد عمار بن ياسر   , .</t>
        </is>
      </c>
      <c r="B4051" t="inlineStr">
        <is>
          <t>KFM2020660036519</t>
        </is>
      </c>
      <c r="C4051" t="inlineStr">
        <is>
          <t>الرياض</t>
        </is>
      </c>
      <c r="D4051" t="inlineStr">
        <is>
          <t>مساءا</t>
        </is>
      </c>
      <c r="E4051" t="n">
        <v>431</v>
      </c>
      <c r="F4051" t="b">
        <v>0</v>
      </c>
      <c r="G4051">
        <f>HYPERLINK("https://www.google.com/maps/search/?api=1&amp;query=24.69938349,46.80608213", "View Map")</f>
        <v/>
      </c>
    </row>
    <row r="4052">
      <c r="A4052" t="inlineStr">
        <is>
          <t>ﻤﺴﺎﺠﺩ .</t>
        </is>
      </c>
      <c r="B4052" t="inlineStr">
        <is>
          <t>KFM2020660174836</t>
        </is>
      </c>
      <c r="C4052" t="inlineStr">
        <is>
          <t>الرياض</t>
        </is>
      </c>
      <c r="D4052" t="inlineStr">
        <is>
          <t>مساءا</t>
        </is>
      </c>
      <c r="E4052" t="n">
        <v>430</v>
      </c>
      <c r="F4052" t="b">
        <v>0</v>
      </c>
      <c r="G4052">
        <f>HYPERLINK("https://www.google.com/maps/search/?api=1&amp;query=24.80848354,46.88071208", "View Map")</f>
        <v/>
      </c>
    </row>
    <row r="4053">
      <c r="A4053" t="inlineStr">
        <is>
          <t xml:space="preserve">   مسجد سعود بن زقحه .</t>
        </is>
      </c>
      <c r="B4053" t="inlineStr">
        <is>
          <t>KFM2120660279980</t>
        </is>
      </c>
      <c r="C4053" t="inlineStr">
        <is>
          <t>الرياض</t>
        </is>
      </c>
      <c r="D4053" t="inlineStr">
        <is>
          <t>مساءا</t>
        </is>
      </c>
      <c r="E4053" t="n">
        <v>430</v>
      </c>
      <c r="F4053" t="b">
        <v>0</v>
      </c>
      <c r="G4053">
        <f>HYPERLINK("https://www.google.com/maps/search/?api=1&amp;query=24.44098936,46.97822832", "View Map")</f>
        <v/>
      </c>
    </row>
    <row r="4054">
      <c r="A4054" t="inlineStr">
        <is>
          <t xml:space="preserve">   مسجد أحمد بن حنبل .</t>
        </is>
      </c>
      <c r="B4054" t="inlineStr">
        <is>
          <t>KFM2120660237145</t>
        </is>
      </c>
      <c r="C4054" t="inlineStr">
        <is>
          <t>الرياض</t>
        </is>
      </c>
      <c r="D4054" t="inlineStr">
        <is>
          <t>مساءا</t>
        </is>
      </c>
      <c r="E4054" t="n">
        <v>430</v>
      </c>
      <c r="F4054" t="b">
        <v>0</v>
      </c>
      <c r="G4054">
        <f>HYPERLINK("https://www.google.com/maps/search/?api=1&amp;query=24.72848731,46.84582952", "View Map")</f>
        <v/>
      </c>
    </row>
    <row r="4055">
      <c r="A4055" t="inlineStr">
        <is>
          <t xml:space="preserve"> مسجدحي الشفاءبلال  بن رباح .</t>
        </is>
      </c>
      <c r="B4055" t="inlineStr">
        <is>
          <t>KFM2020660098824</t>
        </is>
      </c>
      <c r="C4055" t="inlineStr">
        <is>
          <t>الرياض</t>
        </is>
      </c>
      <c r="D4055" t="inlineStr">
        <is>
          <t>مساءا</t>
        </is>
      </c>
      <c r="E4055" t="n">
        <v>429</v>
      </c>
      <c r="F4055" t="b">
        <v>0</v>
      </c>
      <c r="G4055">
        <f>HYPERLINK("https://www.google.com/maps/search/?api=1&amp;query=24.55404279,46.68418143", "View Map")</f>
        <v/>
      </c>
    </row>
    <row r="4056">
      <c r="A4056" t="inlineStr">
        <is>
          <t xml:space="preserve">   مسجد جامع الخيرين .</t>
        </is>
      </c>
      <c r="B4056" t="inlineStr">
        <is>
          <t>KFM2120660282982</t>
        </is>
      </c>
      <c r="C4056" t="inlineStr">
        <is>
          <t>الرياض</t>
        </is>
      </c>
      <c r="D4056" t="inlineStr">
        <is>
          <t>مساءا</t>
        </is>
      </c>
      <c r="E4056" t="n">
        <v>429</v>
      </c>
      <c r="F4056" t="b">
        <v>0</v>
      </c>
      <c r="G4056">
        <f>HYPERLINK("https://www.google.com/maps/search/?api=1&amp;query=24.63602452,46.74034807", "View Map")</f>
        <v/>
      </c>
    </row>
    <row r="4057">
      <c r="A4057" t="inlineStr">
        <is>
          <t xml:space="preserve">   مسجد هياء الناجم .</t>
        </is>
      </c>
      <c r="B4057" t="inlineStr">
        <is>
          <t>KFM2020660176731</t>
        </is>
      </c>
      <c r="C4057" t="inlineStr">
        <is>
          <t>الرياض</t>
        </is>
      </c>
      <c r="D4057" t="inlineStr">
        <is>
          <t>صباحا</t>
        </is>
      </c>
      <c r="E4057" t="n">
        <v>428</v>
      </c>
      <c r="F4057" t="b">
        <v>0</v>
      </c>
      <c r="G4057">
        <f>HYPERLINK("https://www.google.com/maps/search/?api=1&amp;query=24.80715256,46.60924339", "View Map")</f>
        <v/>
      </c>
    </row>
    <row r="4058">
      <c r="A4058" t="inlineStr">
        <is>
          <t>مسجد      سليمان    الشعيبي .</t>
        </is>
      </c>
      <c r="B4058" t="inlineStr">
        <is>
          <t>KFM2020660056054</t>
        </is>
      </c>
      <c r="C4058" t="inlineStr">
        <is>
          <t>الرياض</t>
        </is>
      </c>
      <c r="D4058" t="inlineStr">
        <is>
          <t>صباحا</t>
        </is>
      </c>
      <c r="E4058" t="n">
        <v>428</v>
      </c>
      <c r="F4058" t="b">
        <v>0</v>
      </c>
      <c r="G4058">
        <f>HYPERLINK("https://www.google.com/maps/search/?api=1&amp;query=24.60370336,46.68136869", "View Map")</f>
        <v/>
      </c>
    </row>
    <row r="4059">
      <c r="A4059" t="inlineStr">
        <is>
          <t xml:space="preserve">   مسجد على بن ابى طالب .</t>
        </is>
      </c>
      <c r="B4059" t="inlineStr">
        <is>
          <t>KFM2020660209597</t>
        </is>
      </c>
      <c r="C4059" t="inlineStr">
        <is>
          <t>الرياض</t>
        </is>
      </c>
      <c r="D4059" t="inlineStr">
        <is>
          <t>مساءا</t>
        </is>
      </c>
      <c r="E4059" t="n">
        <v>428</v>
      </c>
      <c r="F4059" t="b">
        <v>0</v>
      </c>
      <c r="G4059">
        <f>HYPERLINK("https://www.google.com/maps/search/?api=1&amp;query=24.7347096,46.67005411", "View Map")</f>
        <v/>
      </c>
    </row>
    <row r="4060">
      <c r="A4060" t="inlineStr">
        <is>
          <t xml:space="preserve">   مسجد فضيلةالشيخ عبدالعزيز بن باز .</t>
        </is>
      </c>
      <c r="B4060" t="inlineStr">
        <is>
          <t>KFM2120660300648</t>
        </is>
      </c>
      <c r="C4060" t="inlineStr">
        <is>
          <t>الرياض</t>
        </is>
      </c>
      <c r="D4060" t="inlineStr">
        <is>
          <t>صباحا</t>
        </is>
      </c>
      <c r="E4060" t="n">
        <v>427</v>
      </c>
      <c r="F4060" t="b">
        <v>0</v>
      </c>
      <c r="G4060">
        <f>HYPERLINK("https://www.google.com/maps/search/?api=1&amp;query=24.57239652,46.77617492", "View Map")</f>
        <v/>
      </c>
    </row>
    <row r="4061">
      <c r="A4061" t="inlineStr">
        <is>
          <t xml:space="preserve">   مسجد حي ظهرة الحائر .</t>
        </is>
      </c>
      <c r="B4061" t="inlineStr">
        <is>
          <t>KFM2020766171752</t>
        </is>
      </c>
      <c r="C4061" t="inlineStr">
        <is>
          <t>الرياض</t>
        </is>
      </c>
      <c r="D4061" t="inlineStr">
        <is>
          <t>مساءا</t>
        </is>
      </c>
      <c r="E4061" t="n">
        <v>427</v>
      </c>
      <c r="F4061" t="b">
        <v>0</v>
      </c>
      <c r="G4061">
        <f>HYPERLINK("https://www.google.com/maps/search/?api=1&amp;query=24.40902446,46.83896622", "View Map")</f>
        <v/>
      </c>
    </row>
    <row r="4062">
      <c r="A4062" t="inlineStr">
        <is>
          <t>ﻤﺴﺎﺠﺩ .</t>
        </is>
      </c>
      <c r="B4062" t="inlineStr">
        <is>
          <t>KFM2020760151511</t>
        </is>
      </c>
      <c r="C4062" t="inlineStr">
        <is>
          <t>الدرعية</t>
        </is>
      </c>
      <c r="D4062" t="inlineStr">
        <is>
          <t>مساءا</t>
        </is>
      </c>
      <c r="E4062" t="n">
        <v>427</v>
      </c>
      <c r="F4062" t="b">
        <v>0</v>
      </c>
      <c r="G4062">
        <f>HYPERLINK("https://www.google.com/maps/search/?api=1&amp;query=24.74115151,46.50840367", "View Map")</f>
        <v/>
      </c>
    </row>
    <row r="4063">
      <c r="A4063" t="inlineStr">
        <is>
          <t xml:space="preserve">   مسجد لبن .</t>
        </is>
      </c>
      <c r="B4063" t="inlineStr">
        <is>
          <t>KFM2020660202923</t>
        </is>
      </c>
      <c r="C4063" t="inlineStr">
        <is>
          <t>الرياض</t>
        </is>
      </c>
      <c r="D4063" t="inlineStr">
        <is>
          <t>مساءا</t>
        </is>
      </c>
      <c r="E4063" t="n">
        <v>427</v>
      </c>
      <c r="F4063" t="b">
        <v>0</v>
      </c>
      <c r="G4063">
        <f>HYPERLINK("https://www.google.com/maps/search/?api=1&amp;query=24.62631164,46.5592212", "View Map")</f>
        <v/>
      </c>
    </row>
    <row r="4064">
      <c r="A4064" t="inlineStr">
        <is>
          <t xml:space="preserve">   مسجد      حي   لبن .</t>
        </is>
      </c>
      <c r="B4064" t="inlineStr">
        <is>
          <t>KFM2020660197728</t>
        </is>
      </c>
      <c r="C4064" t="inlineStr">
        <is>
          <t>الرياض</t>
        </is>
      </c>
      <c r="D4064" t="inlineStr">
        <is>
          <t>مساءا</t>
        </is>
      </c>
      <c r="E4064" t="n">
        <v>427</v>
      </c>
      <c r="F4064" t="b">
        <v>0</v>
      </c>
      <c r="G4064">
        <f>HYPERLINK("https://www.google.com/maps/search/?api=1&amp;query=24.64113356,46.59069291", "View Map")</f>
        <v/>
      </c>
    </row>
    <row r="4065">
      <c r="A4065" t="inlineStr">
        <is>
          <t>مسجد العطير .</t>
        </is>
      </c>
      <c r="B4065" t="inlineStr">
        <is>
          <t>KFM2120660300568</t>
        </is>
      </c>
      <c r="C4065" t="inlineStr">
        <is>
          <t>الرياض</t>
        </is>
      </c>
      <c r="D4065" t="inlineStr">
        <is>
          <t>صباحا</t>
        </is>
      </c>
      <c r="E4065" t="n">
        <v>427</v>
      </c>
      <c r="F4065" t="b">
        <v>0</v>
      </c>
      <c r="G4065">
        <f>HYPERLINK("https://www.google.com/maps/search/?api=1&amp;query=24.57249031,46.80175256", "View Map")</f>
        <v/>
      </c>
    </row>
    <row r="4066">
      <c r="A4066" t="inlineStr">
        <is>
          <t>مسجد الهدى .</t>
        </is>
      </c>
      <c r="B4066" t="inlineStr">
        <is>
          <t>KFM2120660268961</t>
        </is>
      </c>
      <c r="C4066" t="inlineStr">
        <is>
          <t>الرياض</t>
        </is>
      </c>
      <c r="D4066" t="inlineStr">
        <is>
          <t>مساءا</t>
        </is>
      </c>
      <c r="E4066" t="n">
        <v>425</v>
      </c>
      <c r="F4066" t="b">
        <v>0</v>
      </c>
      <c r="G4066">
        <f>HYPERLINK("https://www.google.com/maps/search/?api=1&amp;query=24.67896902,46.78124561", "View Map")</f>
        <v/>
      </c>
    </row>
    <row r="4067">
      <c r="A4067" t="inlineStr">
        <is>
          <t>مسجد منفوحه  القديمه .</t>
        </is>
      </c>
      <c r="B4067" t="inlineStr">
        <is>
          <t>KFM2020660191419</t>
        </is>
      </c>
      <c r="C4067" t="inlineStr">
        <is>
          <t>الرياض</t>
        </is>
      </c>
      <c r="D4067" t="inlineStr">
        <is>
          <t>مساءا</t>
        </is>
      </c>
      <c r="E4067" t="n">
        <v>424</v>
      </c>
      <c r="F4067" t="b">
        <v>0</v>
      </c>
      <c r="G4067">
        <f>HYPERLINK("https://www.google.com/maps/search/?api=1&amp;query=24.59649693,46.72643655", "View Map")</f>
        <v/>
      </c>
    </row>
    <row r="4068">
      <c r="A4068" t="inlineStr">
        <is>
          <t>ﻤﺴﺎﺠﺩ .</t>
        </is>
      </c>
      <c r="B4068" t="inlineStr">
        <is>
          <t>SMR2220661007837</t>
        </is>
      </c>
      <c r="C4068" t="inlineStr">
        <is>
          <t>الدرعية</t>
        </is>
      </c>
      <c r="D4068" t="inlineStr">
        <is>
          <t>مساءا</t>
        </is>
      </c>
      <c r="E4068" t="n">
        <v>424</v>
      </c>
      <c r="F4068" t="b">
        <v>1</v>
      </c>
      <c r="G4068">
        <f>HYPERLINK("https://www.google.com/maps/search/?api=1&amp;query=24.83083847,46.5580538", "View Map")</f>
        <v/>
      </c>
    </row>
    <row r="4069">
      <c r="A4069" t="inlineStr">
        <is>
          <t xml:space="preserve">   مسجد حي الصحافة .</t>
        </is>
      </c>
      <c r="B4069" t="inlineStr">
        <is>
          <t>KFM2020660127426</t>
        </is>
      </c>
      <c r="C4069" t="inlineStr">
        <is>
          <t>الرياض</t>
        </is>
      </c>
      <c r="D4069" t="inlineStr">
        <is>
          <t>مساءا</t>
        </is>
      </c>
      <c r="E4069" t="n">
        <v>424</v>
      </c>
      <c r="F4069" t="b">
        <v>0</v>
      </c>
      <c r="G4069">
        <f>HYPERLINK("https://www.google.com/maps/search/?api=1&amp;query=24.81461331,46.64459433", "View Map")</f>
        <v/>
      </c>
    </row>
    <row r="4070">
      <c r="A4070" t="inlineStr">
        <is>
          <t xml:space="preserve">   مسجد وسكن حي قرطبه .</t>
        </is>
      </c>
      <c r="B4070" t="inlineStr">
        <is>
          <t>KFM2020660195201</t>
        </is>
      </c>
      <c r="C4070" t="inlineStr">
        <is>
          <t>الرياض</t>
        </is>
      </c>
      <c r="D4070" t="inlineStr">
        <is>
          <t>مساءا</t>
        </is>
      </c>
      <c r="E4070" t="n">
        <v>424</v>
      </c>
      <c r="F4070" t="b">
        <v>0</v>
      </c>
      <c r="G4070">
        <f>HYPERLINK("https://www.google.com/maps/search/?api=1&amp;query=24.81726158,46.71684647", "View Map")</f>
        <v/>
      </c>
    </row>
    <row r="4071">
      <c r="A4071" t="inlineStr">
        <is>
          <t>ﻤﺴﺎﺠﺩ .</t>
        </is>
      </c>
      <c r="B4071" t="inlineStr">
        <is>
          <t>KFM2020660176396</t>
        </is>
      </c>
      <c r="C4071" t="inlineStr">
        <is>
          <t>الرياض</t>
        </is>
      </c>
      <c r="D4071" t="inlineStr">
        <is>
          <t>مساءا</t>
        </is>
      </c>
      <c r="E4071" t="n">
        <v>423</v>
      </c>
      <c r="F4071" t="b">
        <v>0</v>
      </c>
      <c r="G4071">
        <f>HYPERLINK("https://www.google.com/maps/search/?api=1&amp;query=24.73091,46.84381", "View Map")</f>
        <v/>
      </c>
    </row>
    <row r="4072">
      <c r="A4072" t="inlineStr">
        <is>
          <t>ﻤﺴﺎﺠﺩ .</t>
        </is>
      </c>
      <c r="B4072" t="inlineStr">
        <is>
          <t>KFM2120660276281</t>
        </is>
      </c>
      <c r="C4072" t="inlineStr">
        <is>
          <t>الرياض</t>
        </is>
      </c>
      <c r="D4072" t="inlineStr">
        <is>
          <t>مساءا</t>
        </is>
      </c>
      <c r="E4072" t="n">
        <v>423</v>
      </c>
      <c r="F4072" t="b">
        <v>0</v>
      </c>
      <c r="G4072">
        <f>HYPERLINK("https://www.google.com/maps/search/?api=1&amp;query=24.54706779,46.77594952", "View Map")</f>
        <v/>
      </c>
    </row>
    <row r="4073">
      <c r="A4073" t="inlineStr">
        <is>
          <t>ﻭﺯﺍﺭﺓﺍﻟﺸﺌﻭﻥ ﺍﻻﺴﻼﻤﻴﺓﻭﺍﻻﻭﻗﺎﻑ .</t>
        </is>
      </c>
      <c r="B4073" t="inlineStr">
        <is>
          <t>SMR2220661007418</t>
        </is>
      </c>
      <c r="C4073" t="inlineStr">
        <is>
          <t>الدرعية</t>
        </is>
      </c>
      <c r="D4073" t="inlineStr">
        <is>
          <t>صباحا</t>
        </is>
      </c>
      <c r="E4073" t="n">
        <v>421</v>
      </c>
      <c r="F4073" t="b">
        <v>0</v>
      </c>
      <c r="G4073">
        <f>HYPERLINK("https://www.google.com/maps/search/?api=1&amp;query=24.907124,46.429818", "View Map")</f>
        <v/>
      </c>
    </row>
    <row r="4074">
      <c r="A4074" t="inlineStr">
        <is>
          <t>ﻭﺯﺍﺭﺓﺍﻟﺸﺌﻭﻥ ﺍﻻﺴﻼﻤﻴﺓﻭﺍﻻﻭﻗﺎﻑ .</t>
        </is>
      </c>
      <c r="B4074" t="inlineStr">
        <is>
          <t>KFM2020660171638</t>
        </is>
      </c>
      <c r="C4074" t="inlineStr">
        <is>
          <t>الرياض</t>
        </is>
      </c>
      <c r="D4074" t="inlineStr">
        <is>
          <t>صباحا</t>
        </is>
      </c>
      <c r="E4074" t="n">
        <v>421</v>
      </c>
      <c r="F4074" t="b">
        <v>0</v>
      </c>
      <c r="G4074">
        <f>HYPERLINK("https://www.google.com/maps/search/?api=1&amp;query=24.53574394,46.65465023", "View Map")</f>
        <v/>
      </c>
    </row>
    <row r="4075">
      <c r="A4075" t="inlineStr">
        <is>
          <t xml:space="preserve">   مسجد / الامير سلطان .</t>
        </is>
      </c>
      <c r="B4075" t="inlineStr">
        <is>
          <t>KFM2120660272366</t>
        </is>
      </c>
      <c r="C4075" t="inlineStr">
        <is>
          <t>الرياض</t>
        </is>
      </c>
      <c r="D4075" t="inlineStr">
        <is>
          <t>صباحا</t>
        </is>
      </c>
      <c r="E4075" t="n">
        <v>421</v>
      </c>
      <c r="F4075" t="b">
        <v>0</v>
      </c>
      <c r="G4075">
        <f>HYPERLINK("https://www.google.com/maps/search/?api=1&amp;query=24.70716736,46.69478223", "View Map")</f>
        <v/>
      </c>
    </row>
    <row r="4076">
      <c r="A4076" t="inlineStr">
        <is>
          <t xml:space="preserve">   مسجد الذبيان .</t>
        </is>
      </c>
      <c r="B4076" t="inlineStr">
        <is>
          <t>KFM2120660264100</t>
        </is>
      </c>
      <c r="C4076" t="inlineStr">
        <is>
          <t>الرياض</t>
        </is>
      </c>
      <c r="D4076" t="inlineStr">
        <is>
          <t>مساءا</t>
        </is>
      </c>
      <c r="E4076" t="n">
        <v>421</v>
      </c>
      <c r="F4076" t="b">
        <v>0</v>
      </c>
      <c r="G4076">
        <f>HYPERLINK("https://www.google.com/maps/search/?api=1&amp;query=24.60186045,46.77227283", "View Map")</f>
        <v/>
      </c>
    </row>
    <row r="4077">
      <c r="A4077" t="inlineStr">
        <is>
          <t>مسجد      عبدالرحمن الخنيفر .</t>
        </is>
      </c>
      <c r="B4077" t="inlineStr">
        <is>
          <t>KFM2020660087396</t>
        </is>
      </c>
      <c r="C4077" t="inlineStr">
        <is>
          <t>الرياض</t>
        </is>
      </c>
      <c r="D4077" t="inlineStr">
        <is>
          <t>مساءا</t>
        </is>
      </c>
      <c r="E4077" t="n">
        <v>420</v>
      </c>
      <c r="F4077" t="b">
        <v>1</v>
      </c>
      <c r="G4077">
        <f>HYPERLINK("https://www.google.com/maps/search/?api=1&amp;query=24.5741245,46.67866138", "View Map")</f>
        <v/>
      </c>
    </row>
    <row r="4078">
      <c r="A4078" t="inlineStr">
        <is>
          <t xml:space="preserve">   مسجد      السحيم    . .</t>
        </is>
      </c>
      <c r="B4078" t="inlineStr">
        <is>
          <t>KFM2020660173061</t>
        </is>
      </c>
      <c r="C4078" t="inlineStr">
        <is>
          <t>الرياض</t>
        </is>
      </c>
      <c r="D4078" t="inlineStr">
        <is>
          <t>صباحا</t>
        </is>
      </c>
      <c r="E4078" t="n">
        <v>420</v>
      </c>
      <c r="F4078" t="b">
        <v>0</v>
      </c>
      <c r="G4078">
        <f>HYPERLINK("https://www.google.com/maps/search/?api=1&amp;query=24.76775785,46.70300627", "View Map")</f>
        <v/>
      </c>
    </row>
    <row r="4079">
      <c r="A4079" t="inlineStr">
        <is>
          <t xml:space="preserve">   مسجد الدواسـر بالـدرعـيـه .</t>
        </is>
      </c>
      <c r="B4079" t="inlineStr">
        <is>
          <t>GTR2320890740683</t>
        </is>
      </c>
      <c r="C4079" t="inlineStr">
        <is>
          <t>الدرعية</t>
        </is>
      </c>
      <c r="D4079" t="inlineStr">
        <is>
          <t>صباحا</t>
        </is>
      </c>
      <c r="E4079" t="n">
        <v>419</v>
      </c>
      <c r="F4079" t="b">
        <v>0</v>
      </c>
      <c r="G4079">
        <f>HYPERLINK("https://www.google.com/maps/search/?api=1&amp;query=24.73241,46.57832", "View Map")</f>
        <v/>
      </c>
    </row>
    <row r="4080">
      <c r="A4080" t="inlineStr">
        <is>
          <t>ﻤﺴﺎﺠﺩ .</t>
        </is>
      </c>
      <c r="B4080" t="inlineStr">
        <is>
          <t>KFM2020660191721</t>
        </is>
      </c>
      <c r="C4080" t="inlineStr">
        <is>
          <t>الرياض</t>
        </is>
      </c>
      <c r="D4080" t="inlineStr">
        <is>
          <t>مساءا</t>
        </is>
      </c>
      <c r="E4080" t="n">
        <v>419</v>
      </c>
      <c r="F4080" t="b">
        <v>0</v>
      </c>
      <c r="G4080">
        <f>HYPERLINK("https://www.google.com/maps/search/?api=1&amp;query=24.78534069,46.90647111", "View Map")</f>
        <v/>
      </c>
    </row>
    <row r="4081">
      <c r="A4081" t="inlineStr">
        <is>
          <t xml:space="preserve">   مسجد حي الياسمين .</t>
        </is>
      </c>
      <c r="B4081" t="inlineStr">
        <is>
          <t>KFM2020660145553</t>
        </is>
      </c>
      <c r="C4081" t="inlineStr">
        <is>
          <t>الرياض</t>
        </is>
      </c>
      <c r="D4081" t="inlineStr">
        <is>
          <t>مساءا</t>
        </is>
      </c>
      <c r="E4081" t="n">
        <v>419</v>
      </c>
      <c r="F4081" t="b">
        <v>0</v>
      </c>
      <c r="G4081">
        <f>HYPERLINK("https://www.google.com/maps/search/?api=1&amp;query=24.82147802,46.64630148", "View Map")</f>
        <v/>
      </c>
    </row>
    <row r="4082">
      <c r="A4082" t="inlineStr">
        <is>
          <t xml:space="preserve">   مسجد حي النسيم الشرقي .</t>
        </is>
      </c>
      <c r="B4082" t="inlineStr">
        <is>
          <t>KFM2020660042590</t>
        </is>
      </c>
      <c r="C4082" t="inlineStr">
        <is>
          <t>الرياض</t>
        </is>
      </c>
      <c r="D4082" t="inlineStr">
        <is>
          <t>مساءا</t>
        </is>
      </c>
      <c r="E4082" t="n">
        <v>418</v>
      </c>
      <c r="F4082" t="b">
        <v>0</v>
      </c>
      <c r="G4082">
        <f>HYPERLINK("https://www.google.com/maps/search/?api=1&amp;query=24.7494214,46.83999163", "View Map")</f>
        <v/>
      </c>
    </row>
    <row r="4083">
      <c r="A4083" t="inlineStr">
        <is>
          <t xml:space="preserve">   مسجد السهول .</t>
        </is>
      </c>
      <c r="B4083" t="inlineStr">
        <is>
          <t>KFM2020660061505</t>
        </is>
      </c>
      <c r="C4083" t="inlineStr">
        <is>
          <t>الرياض</t>
        </is>
      </c>
      <c r="D4083" t="inlineStr">
        <is>
          <t>مساءا</t>
        </is>
      </c>
      <c r="E4083" t="n">
        <v>418</v>
      </c>
      <c r="F4083" t="b">
        <v>0</v>
      </c>
      <c r="G4083">
        <f>HYPERLINK("https://www.google.com/maps/search/?api=1&amp;query=24.77247453,46.81706666", "View Map")</f>
        <v/>
      </c>
    </row>
    <row r="4084">
      <c r="A4084" t="inlineStr">
        <is>
          <t xml:space="preserve">   مسجد عبدالله عمر الجلعود .</t>
        </is>
      </c>
      <c r="B4084" t="inlineStr">
        <is>
          <t>KFM2020660057978</t>
        </is>
      </c>
      <c r="C4084" t="inlineStr">
        <is>
          <t>الرياض</t>
        </is>
      </c>
      <c r="D4084" t="inlineStr">
        <is>
          <t>صباحا</t>
        </is>
      </c>
      <c r="E4084" t="n">
        <v>417</v>
      </c>
      <c r="F4084" t="b">
        <v>0</v>
      </c>
      <c r="G4084">
        <f>HYPERLINK("https://www.google.com/maps/search/?api=1&amp;query=24.76053985,46.77389475", "View Map")</f>
        <v/>
      </c>
    </row>
    <row r="4085">
      <c r="A4085" t="inlineStr">
        <is>
          <t xml:space="preserve">   مسجد  نايف  دعيج .</t>
        </is>
      </c>
      <c r="B4085" t="inlineStr">
        <is>
          <t>KFM2020660045376</t>
        </is>
      </c>
      <c r="C4085" t="inlineStr">
        <is>
          <t>الرياض</t>
        </is>
      </c>
      <c r="D4085" t="inlineStr">
        <is>
          <t>صباحا</t>
        </is>
      </c>
      <c r="E4085" t="n">
        <v>417</v>
      </c>
      <c r="F4085" t="b">
        <v>0</v>
      </c>
      <c r="G4085">
        <f>HYPERLINK("https://www.google.com/maps/search/?api=1&amp;query=24.74114359,46.83374039", "View Map")</f>
        <v/>
      </c>
    </row>
    <row r="4086">
      <c r="A4086" t="inlineStr">
        <is>
          <t xml:space="preserve">   مسجد حي البريه .</t>
        </is>
      </c>
      <c r="B4086" t="inlineStr">
        <is>
          <t>KFM2020760204018</t>
        </is>
      </c>
      <c r="C4086" t="inlineStr">
        <is>
          <t>الرياض</t>
        </is>
      </c>
      <c r="D4086" t="inlineStr">
        <is>
          <t>صباحا</t>
        </is>
      </c>
      <c r="E4086" t="n">
        <v>416</v>
      </c>
      <c r="F4086" t="b">
        <v>0</v>
      </c>
      <c r="G4086">
        <f>HYPERLINK("https://www.google.com/maps/search/?api=1&amp;query=24.56410447,46.90034296", "View Map")</f>
        <v/>
      </c>
    </row>
    <row r="4087">
      <c r="A4087" t="inlineStr">
        <is>
          <t>مسجد      عبدالله    الجربا .</t>
        </is>
      </c>
      <c r="B4087" t="inlineStr">
        <is>
          <t>KFM2020660013173</t>
        </is>
      </c>
      <c r="C4087" t="inlineStr">
        <is>
          <t>الرياض</t>
        </is>
      </c>
      <c r="D4087" t="inlineStr">
        <is>
          <t>صباحا</t>
        </is>
      </c>
      <c r="E4087" t="n">
        <v>416</v>
      </c>
      <c r="F4087" t="b">
        <v>0</v>
      </c>
      <c r="G4087">
        <f>HYPERLINK("https://www.google.com/maps/search/?api=1&amp;query=24.64386745,46.69024367", "View Map")</f>
        <v/>
      </c>
    </row>
    <row r="4088">
      <c r="A4088" t="inlineStr">
        <is>
          <t xml:space="preserve">   مسجد عمر بن عبدالعزيز .</t>
        </is>
      </c>
      <c r="B4088" t="inlineStr">
        <is>
          <t>KFM2020760028550</t>
        </is>
      </c>
      <c r="C4088" t="inlineStr">
        <is>
          <t>الرياض</t>
        </is>
      </c>
      <c r="D4088" t="inlineStr">
        <is>
          <t>صباحا</t>
        </is>
      </c>
      <c r="E4088" t="n">
        <v>415</v>
      </c>
      <c r="F4088" t="b">
        <v>0</v>
      </c>
      <c r="G4088">
        <f>HYPERLINK("https://www.google.com/maps/search/?api=1&amp;query=24.80937039,46.89046054", "View Map")</f>
        <v/>
      </c>
    </row>
    <row r="4089">
      <c r="A4089" t="inlineStr">
        <is>
          <t xml:space="preserve">   مسجد/ الامير محمد بن سعود الكبير .</t>
        </is>
      </c>
      <c r="B4089" t="inlineStr">
        <is>
          <t>KFM2020660193697</t>
        </is>
      </c>
      <c r="C4089" t="inlineStr">
        <is>
          <t>الرياض</t>
        </is>
      </c>
      <c r="D4089" t="inlineStr">
        <is>
          <t>صباحا</t>
        </is>
      </c>
      <c r="E4089" t="n">
        <v>415</v>
      </c>
      <c r="F4089" t="b">
        <v>0</v>
      </c>
      <c r="G4089">
        <f>HYPERLINK("https://www.google.com/maps/search/?api=1&amp;query=24.75348357,46.75402851", "View Map")</f>
        <v/>
      </c>
    </row>
    <row r="4090">
      <c r="A4090" t="inlineStr">
        <is>
          <t>مسجد المخطط الخامس .</t>
        </is>
      </c>
      <c r="B4090" t="inlineStr">
        <is>
          <t>KFM2020660056081</t>
        </is>
      </c>
      <c r="C4090" t="inlineStr">
        <is>
          <t>الرياض</t>
        </is>
      </c>
      <c r="D4090" t="inlineStr">
        <is>
          <t>صباحا</t>
        </is>
      </c>
      <c r="E4090" t="n">
        <v>414</v>
      </c>
      <c r="F4090" t="b">
        <v>0</v>
      </c>
      <c r="G4090">
        <f>HYPERLINK("https://www.google.com/maps/search/?api=1&amp;query=24.59048086,46.63762672", "View Map")</f>
        <v/>
      </c>
    </row>
    <row r="4091">
      <c r="A4091" t="inlineStr">
        <is>
          <t>ﻤﺴﺎﺠﺩ .</t>
        </is>
      </c>
      <c r="B4091" t="inlineStr">
        <is>
          <t>KFM2020660187924</t>
        </is>
      </c>
      <c r="C4091" t="inlineStr">
        <is>
          <t>الرياض</t>
        </is>
      </c>
      <c r="D4091" t="inlineStr">
        <is>
          <t>صباحا</t>
        </is>
      </c>
      <c r="E4091" t="n">
        <v>413</v>
      </c>
      <c r="F4091" t="b">
        <v>0</v>
      </c>
      <c r="G4091">
        <f>HYPERLINK("https://www.google.com/maps/search/?api=1&amp;query=24.8246734,46.58086967", "View Map")</f>
        <v/>
      </c>
    </row>
    <row r="4092">
      <c r="A4092" t="inlineStr">
        <is>
          <t>.   مسجد      معاذ بن .</t>
        </is>
      </c>
      <c r="B4092" t="inlineStr">
        <is>
          <t>KFM2020660196689</t>
        </is>
      </c>
      <c r="C4092" t="inlineStr">
        <is>
          <t>الرياض</t>
        </is>
      </c>
      <c r="D4092" t="inlineStr">
        <is>
          <t>صباحا</t>
        </is>
      </c>
      <c r="E4092" t="n">
        <v>413</v>
      </c>
      <c r="F4092" t="b">
        <v>0</v>
      </c>
      <c r="G4092">
        <f>HYPERLINK("https://www.google.com/maps/search/?api=1&amp;query=24.57927856,46.54873551", "View Map")</f>
        <v/>
      </c>
    </row>
    <row r="4093">
      <c r="A4093" t="inlineStr">
        <is>
          <t xml:space="preserve">   مسجد / ابومخروق .</t>
        </is>
      </c>
      <c r="B4093" t="inlineStr">
        <is>
          <t>KFM2120660260429</t>
        </is>
      </c>
      <c r="C4093" t="inlineStr">
        <is>
          <t>الرياض</t>
        </is>
      </c>
      <c r="D4093" t="inlineStr">
        <is>
          <t>صباحا</t>
        </is>
      </c>
      <c r="E4093" t="n">
        <v>413</v>
      </c>
      <c r="F4093" t="b">
        <v>0</v>
      </c>
      <c r="G4093">
        <f>HYPERLINK("https://www.google.com/maps/search/?api=1&amp;query=24.67488462,46.72215458", "View Map")</f>
        <v/>
      </c>
    </row>
    <row r="4094">
      <c r="A4094" t="inlineStr">
        <is>
          <t xml:space="preserve">   مساجد .</t>
        </is>
      </c>
      <c r="B4094" t="inlineStr">
        <is>
          <t>KFM2020660154707</t>
        </is>
      </c>
      <c r="C4094" t="inlineStr">
        <is>
          <t>الرياض</t>
        </is>
      </c>
      <c r="D4094" t="inlineStr">
        <is>
          <t>مساءا</t>
        </is>
      </c>
      <c r="E4094" t="n">
        <v>413</v>
      </c>
      <c r="F4094" t="b">
        <v>1</v>
      </c>
      <c r="G4094">
        <f>HYPERLINK("https://www.google.com/maps/search/?api=1&amp;query=24.83512749,46.88101455", "View Map")</f>
        <v/>
      </c>
    </row>
    <row r="4095">
      <c r="A4095" t="inlineStr">
        <is>
          <t xml:space="preserve">   مسجد .</t>
        </is>
      </c>
      <c r="B4095" t="inlineStr">
        <is>
          <t>KFM2020660126823</t>
        </is>
      </c>
      <c r="C4095" t="inlineStr">
        <is>
          <t>الرياض</t>
        </is>
      </c>
      <c r="D4095" t="inlineStr">
        <is>
          <t>صباحا</t>
        </is>
      </c>
      <c r="E4095" t="n">
        <v>412</v>
      </c>
      <c r="F4095" t="b">
        <v>0</v>
      </c>
      <c r="G4095">
        <f>HYPERLINK("https://www.google.com/maps/search/?api=1&amp;query=24.80847403,46.90424685", "View Map")</f>
        <v/>
      </c>
    </row>
    <row r="4096">
      <c r="A4096" t="inlineStr">
        <is>
          <t>,   مسجد      المطران .</t>
        </is>
      </c>
      <c r="B4096" t="inlineStr">
        <is>
          <t>KFM2020660006634</t>
        </is>
      </c>
      <c r="C4096" t="inlineStr">
        <is>
          <t>الرياض</t>
        </is>
      </c>
      <c r="D4096" t="inlineStr">
        <is>
          <t>صباحا</t>
        </is>
      </c>
      <c r="E4096" t="n">
        <v>411</v>
      </c>
      <c r="F4096" t="b">
        <v>0</v>
      </c>
      <c r="G4096">
        <f>HYPERLINK("https://www.google.com/maps/search/?api=1&amp;query=24.61330567,46.72329158", "View Map")</f>
        <v/>
      </c>
    </row>
    <row r="4097">
      <c r="A4097" t="inlineStr">
        <is>
          <t>مسجد/الا ميرة هيا بنت  عبدالعزيز .</t>
        </is>
      </c>
      <c r="B4097" t="inlineStr">
        <is>
          <t>KFM2020660023420</t>
        </is>
      </c>
      <c r="C4097" t="inlineStr">
        <is>
          <t>الرياض</t>
        </is>
      </c>
      <c r="D4097" t="inlineStr">
        <is>
          <t>صباحا</t>
        </is>
      </c>
      <c r="E4097" t="n">
        <v>411</v>
      </c>
      <c r="F4097" t="b">
        <v>0</v>
      </c>
      <c r="G4097">
        <f>HYPERLINK("https://www.google.com/maps/search/?api=1&amp;query=24.585948,46.628697", "View Map")</f>
        <v/>
      </c>
    </row>
    <row r="4098">
      <c r="A4098" t="inlineStr">
        <is>
          <t xml:space="preserve">   مسجد حي النسيم. .</t>
        </is>
      </c>
      <c r="B4098" t="inlineStr">
        <is>
          <t>KFM2120660237153</t>
        </is>
      </c>
      <c r="C4098" t="inlineStr">
        <is>
          <t>الرياض</t>
        </is>
      </c>
      <c r="D4098" t="inlineStr">
        <is>
          <t>صباحا</t>
        </is>
      </c>
      <c r="E4098" t="n">
        <v>410</v>
      </c>
      <c r="F4098" t="b">
        <v>0</v>
      </c>
      <c r="G4098">
        <f>HYPERLINK("https://www.google.com/maps/search/?api=1&amp;query=24.74876461,46.83573612", "View Map")</f>
        <v/>
      </c>
    </row>
    <row r="4099">
      <c r="A4099" t="inlineStr">
        <is>
          <t>مسجد      الشيخ      ابن فدان .</t>
        </is>
      </c>
      <c r="B4099" t="inlineStr">
        <is>
          <t>KFM2020660203547</t>
        </is>
      </c>
      <c r="C4099" t="inlineStr">
        <is>
          <t>الرياض</t>
        </is>
      </c>
      <c r="D4099" t="inlineStr">
        <is>
          <t>صباحا</t>
        </is>
      </c>
      <c r="E4099" t="n">
        <v>409</v>
      </c>
      <c r="F4099" t="b">
        <v>0</v>
      </c>
      <c r="G4099">
        <f>HYPERLINK("https://www.google.com/maps/search/?api=1&amp;query=24.60675546,46.61360264", "View Map")</f>
        <v/>
      </c>
    </row>
    <row r="4100">
      <c r="A4100" t="inlineStr">
        <is>
          <t xml:space="preserve">   مسجد/سعيدمباركالشهراني .</t>
        </is>
      </c>
      <c r="B4100" t="inlineStr">
        <is>
          <t>KFM2020660169955</t>
        </is>
      </c>
      <c r="C4100" t="inlineStr">
        <is>
          <t>الرياض</t>
        </is>
      </c>
      <c r="D4100" t="inlineStr">
        <is>
          <t>مساءا</t>
        </is>
      </c>
      <c r="E4100" t="n">
        <v>408</v>
      </c>
      <c r="F4100" t="b">
        <v>0</v>
      </c>
      <c r="G4100">
        <f>HYPERLINK("https://www.google.com/maps/search/?api=1&amp;query=24.73503003,46.68704132", "View Map")</f>
        <v/>
      </c>
    </row>
    <row r="4101">
      <c r="A4101" t="inlineStr">
        <is>
          <t>مسجدسلطانه  الشمالى .</t>
        </is>
      </c>
      <c r="B4101" t="inlineStr">
        <is>
          <t>KFM2020760154088</t>
        </is>
      </c>
      <c r="C4101" t="inlineStr">
        <is>
          <t>الرياض</t>
        </is>
      </c>
      <c r="D4101" t="inlineStr">
        <is>
          <t>صباحا</t>
        </is>
      </c>
      <c r="E4101" t="n">
        <v>407</v>
      </c>
      <c r="F4101" t="b">
        <v>0</v>
      </c>
      <c r="G4101">
        <f>HYPERLINK("https://www.google.com/maps/search/?api=1&amp;query=24.60534329,46.68414725", "View Map")</f>
        <v/>
      </c>
    </row>
    <row r="4102">
      <c r="A4102" t="inlineStr">
        <is>
          <t xml:space="preserve">   مسـجد عمر بن الخطاب .</t>
        </is>
      </c>
      <c r="B4102" t="inlineStr">
        <is>
          <t>KFM2020660209715</t>
        </is>
      </c>
      <c r="C4102" t="inlineStr">
        <is>
          <t>الرياض</t>
        </is>
      </c>
      <c r="D4102" t="inlineStr">
        <is>
          <t>صباحا</t>
        </is>
      </c>
      <c r="E4102" t="n">
        <v>406</v>
      </c>
      <c r="F4102" t="b">
        <v>0</v>
      </c>
      <c r="G4102">
        <f>HYPERLINK("https://www.google.com/maps/search/?api=1&amp;query=24.67855253,46.71086464", "View Map")</f>
        <v/>
      </c>
    </row>
    <row r="4103">
      <c r="A4103" t="inlineStr">
        <is>
          <t xml:space="preserve">   مسجد      الفاضل    - .</t>
        </is>
      </c>
      <c r="B4103" t="inlineStr">
        <is>
          <t>KFM2020760010093</t>
        </is>
      </c>
      <c r="C4103" t="inlineStr">
        <is>
          <t>الرياض</t>
        </is>
      </c>
      <c r="D4103" t="inlineStr">
        <is>
          <t>صباحا</t>
        </is>
      </c>
      <c r="E4103" t="n">
        <v>406</v>
      </c>
      <c r="F4103" t="b">
        <v>0</v>
      </c>
      <c r="G4103">
        <f>HYPERLINK("https://www.google.com/maps/search/?api=1&amp;query=24.69292043,46.76261806", "View Map")</f>
        <v/>
      </c>
    </row>
    <row r="4104">
      <c r="A4104" t="inlineStr">
        <is>
          <t xml:space="preserve">   مسجد الخليج .</t>
        </is>
      </c>
      <c r="B4104" t="inlineStr">
        <is>
          <t>KFM2020660061585</t>
        </is>
      </c>
      <c r="C4104" t="inlineStr">
        <is>
          <t>الرياض</t>
        </is>
      </c>
      <c r="D4104" t="inlineStr">
        <is>
          <t>مساءا</t>
        </is>
      </c>
      <c r="E4104" t="n">
        <v>405</v>
      </c>
      <c r="F4104" t="b">
        <v>0</v>
      </c>
      <c r="G4104">
        <f>HYPERLINK("https://www.google.com/maps/search/?api=1&amp;query=24.77722624,46.79580449", "View Map")</f>
        <v/>
      </c>
    </row>
    <row r="4105">
      <c r="A4105" t="inlineStr">
        <is>
          <t xml:space="preserve">   مسجدالمطيري ومرافقه بحي الصحافه .</t>
        </is>
      </c>
      <c r="B4105" t="inlineStr">
        <is>
          <t>KFM2020660135562</t>
        </is>
      </c>
      <c r="C4105" t="inlineStr">
        <is>
          <t>الرياض</t>
        </is>
      </c>
      <c r="D4105" t="inlineStr">
        <is>
          <t>صباحا</t>
        </is>
      </c>
      <c r="E4105" t="n">
        <v>403</v>
      </c>
      <c r="F4105" t="b">
        <v>0</v>
      </c>
      <c r="G4105">
        <f>HYPERLINK("https://www.google.com/maps/search/?api=1&amp;query=24.80601785,46.62976729", "View Map")</f>
        <v/>
      </c>
    </row>
    <row r="4106">
      <c r="A4106" t="inlineStr">
        <is>
          <t>مسجد الترمذي .</t>
        </is>
      </c>
      <c r="B4106" t="inlineStr">
        <is>
          <t>KFM2020660098828</t>
        </is>
      </c>
      <c r="C4106" t="inlineStr">
        <is>
          <t>الرياض</t>
        </is>
      </c>
      <c r="D4106" t="inlineStr">
        <is>
          <t>صباحا</t>
        </is>
      </c>
      <c r="E4106" t="n">
        <v>402</v>
      </c>
      <c r="F4106" t="b">
        <v>0</v>
      </c>
      <c r="G4106">
        <f>HYPERLINK("https://www.google.com/maps/search/?api=1&amp;query=24.54814697,46.69003433", "View Map")</f>
        <v/>
      </c>
    </row>
    <row r="4107">
      <c r="A4107" t="inlineStr">
        <is>
          <t>مسجد جامع  قرى  ال  شهيل .</t>
        </is>
      </c>
      <c r="B4107" t="inlineStr">
        <is>
          <t>KFM2020660027231</t>
        </is>
      </c>
      <c r="C4107" t="inlineStr">
        <is>
          <t>الرياض</t>
        </is>
      </c>
      <c r="D4107" t="inlineStr">
        <is>
          <t>صباحا</t>
        </is>
      </c>
      <c r="E4107" t="n">
        <v>401</v>
      </c>
      <c r="F4107" t="b">
        <v>0</v>
      </c>
      <c r="G4107">
        <f>HYPERLINK("https://www.google.com/maps/search/?api=1&amp;query=24.61522647,46.68536534", "View Map")</f>
        <v/>
      </c>
    </row>
    <row r="4108">
      <c r="A4108" t="inlineStr">
        <is>
          <t>مسجد احمد بن حنبل .</t>
        </is>
      </c>
      <c r="B4108" t="inlineStr">
        <is>
          <t>KFM2020660203372</t>
        </is>
      </c>
      <c r="C4108" t="inlineStr">
        <is>
          <t>الرياض</t>
        </is>
      </c>
      <c r="D4108" t="inlineStr">
        <is>
          <t>صباحا</t>
        </is>
      </c>
      <c r="E4108" t="n">
        <v>401</v>
      </c>
      <c r="F4108" t="b">
        <v>0</v>
      </c>
      <c r="G4108">
        <f>HYPERLINK("https://www.google.com/maps/search/?api=1&amp;query=24.59258883,46.53948231", "View Map")</f>
        <v/>
      </c>
    </row>
    <row r="4109">
      <c r="A4109" t="inlineStr">
        <is>
          <t xml:space="preserve">   مسجد      محمد      الريس .</t>
        </is>
      </c>
      <c r="B4109" t="inlineStr">
        <is>
          <t>KFM2020660174234</t>
        </is>
      </c>
      <c r="C4109" t="inlineStr">
        <is>
          <t>الرياض</t>
        </is>
      </c>
      <c r="D4109" t="inlineStr">
        <is>
          <t>صباحا</t>
        </is>
      </c>
      <c r="E4109" t="n">
        <v>401</v>
      </c>
      <c r="F4109" t="b">
        <v>0</v>
      </c>
      <c r="G4109">
        <f>HYPERLINK("https://www.google.com/maps/search/?api=1&amp;query=24.69039092,46.679865", "View Map")</f>
        <v/>
      </c>
    </row>
    <row r="4110">
      <c r="A4110" t="inlineStr">
        <is>
          <t xml:space="preserve">   مساجد .</t>
        </is>
      </c>
      <c r="B4110" t="inlineStr">
        <is>
          <t>KFM2020660176728</t>
        </is>
      </c>
      <c r="C4110" t="inlineStr">
        <is>
          <t>الرياض</t>
        </is>
      </c>
      <c r="D4110" t="inlineStr">
        <is>
          <t>صباحا</t>
        </is>
      </c>
      <c r="E4110" t="n">
        <v>400</v>
      </c>
      <c r="F4110" t="b">
        <v>0</v>
      </c>
      <c r="G4110">
        <f>HYPERLINK("https://www.google.com/maps/search/?api=1&amp;query=24.83590988,46.88953995", "View Map")</f>
        <v/>
      </c>
    </row>
    <row r="4111">
      <c r="A4111" t="inlineStr">
        <is>
          <t>وزارة الشئون الاسلامية مسجدنورة الشيخ .</t>
        </is>
      </c>
      <c r="B4111" t="inlineStr">
        <is>
          <t>KFM2020660015285</t>
        </is>
      </c>
      <c r="C4111" t="inlineStr">
        <is>
          <t>الرياض</t>
        </is>
      </c>
      <c r="D4111" t="inlineStr">
        <is>
          <t>صباحا</t>
        </is>
      </c>
      <c r="E4111" t="n">
        <v>399</v>
      </c>
      <c r="F4111" t="b">
        <v>0</v>
      </c>
      <c r="G4111">
        <f>HYPERLINK("https://www.google.com/maps/search/?api=1&amp;query=24.58225674,46.56108025", "View Map")</f>
        <v/>
      </c>
    </row>
    <row r="4112">
      <c r="A4112" t="inlineStr">
        <is>
          <t>مسجدالرويتع / حي اليمامة .</t>
        </is>
      </c>
      <c r="B4112" t="inlineStr">
        <is>
          <t>KFM2020660204005</t>
        </is>
      </c>
      <c r="C4112" t="inlineStr">
        <is>
          <t>الرياض</t>
        </is>
      </c>
      <c r="D4112" t="inlineStr">
        <is>
          <t>صباحا</t>
        </is>
      </c>
      <c r="E4112" t="n">
        <v>399</v>
      </c>
      <c r="F4112" t="b">
        <v>0</v>
      </c>
      <c r="G4112">
        <f>HYPERLINK("https://www.google.com/maps/search/?api=1&amp;query=24.59697641,46.71298921", "View Map")</f>
        <v/>
      </c>
    </row>
    <row r="4113">
      <c r="A4113" t="inlineStr">
        <is>
          <t>.    مسجد      المنقع .</t>
        </is>
      </c>
      <c r="B4113" t="inlineStr">
        <is>
          <t>KFM2020660168459</t>
        </is>
      </c>
      <c r="C4113" t="inlineStr">
        <is>
          <t>الرياض</t>
        </is>
      </c>
      <c r="D4113" t="inlineStr">
        <is>
          <t>مساءا</t>
        </is>
      </c>
      <c r="E4113" t="n">
        <v>398</v>
      </c>
      <c r="F4113" t="b">
        <v>0</v>
      </c>
      <c r="G4113">
        <f>HYPERLINK("https://www.google.com/maps/search/?api=1&amp;query=24.59314562,46.71031256", "View Map")</f>
        <v/>
      </c>
    </row>
    <row r="4114">
      <c r="A4114" t="inlineStr">
        <is>
          <t>مسجد      ضاحية      سعد بن معاذ .</t>
        </is>
      </c>
      <c r="B4114" t="inlineStr">
        <is>
          <t>KFM2020660203468</t>
        </is>
      </c>
      <c r="C4114" t="inlineStr">
        <is>
          <t>الرياض</t>
        </is>
      </c>
      <c r="D4114" t="inlineStr">
        <is>
          <t>مساءا</t>
        </is>
      </c>
      <c r="E4114" t="n">
        <v>398</v>
      </c>
      <c r="F4114" t="b">
        <v>0</v>
      </c>
      <c r="G4114">
        <f>HYPERLINK("https://www.google.com/maps/search/?api=1&amp;query=24.58672745,46.53021536", "View Map")</f>
        <v/>
      </c>
    </row>
    <row r="4115">
      <c r="A4115" t="inlineStr">
        <is>
          <t xml:space="preserve">   مسجد محمد بن عبدالرحمن العساكر .</t>
        </is>
      </c>
      <c r="B4115" t="inlineStr">
        <is>
          <t>KFM2120660242120</t>
        </is>
      </c>
      <c r="C4115" t="inlineStr">
        <is>
          <t>الرياض</t>
        </is>
      </c>
      <c r="D4115" t="inlineStr">
        <is>
          <t>صباحا</t>
        </is>
      </c>
      <c r="E4115" t="n">
        <v>398</v>
      </c>
      <c r="F4115" t="b">
        <v>0</v>
      </c>
      <c r="G4115">
        <f>HYPERLINK("https://www.google.com/maps/search/?api=1&amp;query=24.63183258,46.71742932", "View Map")</f>
        <v/>
      </c>
    </row>
    <row r="4116">
      <c r="A4116" t="inlineStr">
        <is>
          <t>ﻤﺴﺎﺠﺩ .</t>
        </is>
      </c>
      <c r="B4116" t="inlineStr">
        <is>
          <t>MMF2020801012079</t>
        </is>
      </c>
      <c r="C4116" t="inlineStr">
        <is>
          <t>الرياض</t>
        </is>
      </c>
      <c r="D4116" t="inlineStr">
        <is>
          <t>صباحا</t>
        </is>
      </c>
      <c r="E4116" t="n">
        <v>398</v>
      </c>
      <c r="F4116" t="b">
        <v>0</v>
      </c>
      <c r="G4116">
        <f>HYPERLINK("https://www.google.com/maps/search/?api=1&amp;query=24.92334319,46.82037301", "View Map")</f>
        <v/>
      </c>
    </row>
    <row r="4117">
      <c r="A4117" t="inlineStr">
        <is>
          <t>ﻤﺴﺎﺠﺩ .</t>
        </is>
      </c>
      <c r="B4117" t="inlineStr">
        <is>
          <t>KFM2120655004004</t>
        </is>
      </c>
      <c r="C4117" t="inlineStr">
        <is>
          <t>الرياض</t>
        </is>
      </c>
      <c r="D4117" t="inlineStr">
        <is>
          <t>صباحا</t>
        </is>
      </c>
      <c r="E4117" t="n">
        <v>393</v>
      </c>
      <c r="F4117" t="b">
        <v>0</v>
      </c>
      <c r="G4117">
        <f>HYPERLINK("https://www.google.com/maps/search/?api=1&amp;query=24.84282029,46.80261087", "View Map")</f>
        <v/>
      </c>
    </row>
    <row r="4118">
      <c r="A4118" t="inlineStr">
        <is>
          <t xml:space="preserve">   مسجدعروة بن الزبير .</t>
        </is>
      </c>
      <c r="B4118" t="inlineStr">
        <is>
          <t>KFM2020660162789</t>
        </is>
      </c>
      <c r="C4118" t="inlineStr">
        <is>
          <t>الرياض</t>
        </is>
      </c>
      <c r="D4118" t="inlineStr">
        <is>
          <t>صباحا</t>
        </is>
      </c>
      <c r="E4118" t="n">
        <v>393</v>
      </c>
      <c r="F4118" t="b">
        <v>0</v>
      </c>
      <c r="G4118">
        <f>HYPERLINK("https://www.google.com/maps/search/?api=1&amp;query=24.57451475,46.84476151", "View Map")</f>
        <v/>
      </c>
    </row>
    <row r="4119">
      <c r="A4119" t="inlineStr">
        <is>
          <t>ﻭﺯﺍﺭﺓﺍﻟﺸﺌﻭﻥ ﺍﻻﺴﻼﻤﻴﺓﻭﺍﻻﻭﻗﺎﻑ .</t>
        </is>
      </c>
      <c r="B4119" t="inlineStr">
        <is>
          <t>KFM2020660038583</t>
        </is>
      </c>
      <c r="C4119" t="inlineStr">
        <is>
          <t>الرياض</t>
        </is>
      </c>
      <c r="D4119" t="inlineStr">
        <is>
          <t>صباحا</t>
        </is>
      </c>
      <c r="E4119" t="n">
        <v>392</v>
      </c>
      <c r="F4119" t="b">
        <v>0</v>
      </c>
      <c r="G4119">
        <f>HYPERLINK("https://www.google.com/maps/search/?api=1&amp;query=24.55601913,46.60418898", "View Map")</f>
        <v/>
      </c>
    </row>
    <row r="4120">
      <c r="A4120" t="inlineStr">
        <is>
          <t xml:space="preserve">   مسجدام الحمام الشرقيه .</t>
        </is>
      </c>
      <c r="B4120" t="inlineStr">
        <is>
          <t>KFM2020660190839</t>
        </is>
      </c>
      <c r="C4120" t="inlineStr">
        <is>
          <t>الرياض</t>
        </is>
      </c>
      <c r="D4120" t="inlineStr">
        <is>
          <t>صباحا</t>
        </is>
      </c>
      <c r="E4120" t="n">
        <v>392</v>
      </c>
      <c r="F4120" t="b">
        <v>0</v>
      </c>
      <c r="G4120">
        <f>HYPERLINK("https://www.google.com/maps/search/?api=1&amp;query=24.68857769,46.65314299", "View Map")</f>
        <v/>
      </c>
    </row>
    <row r="4121">
      <c r="A4121" t="inlineStr">
        <is>
          <t xml:space="preserve">  مسجد ورثة/الملك خالد بن عبدالعزيز .</t>
        </is>
      </c>
      <c r="B4121" t="inlineStr">
        <is>
          <t>KFM2020660187736</t>
        </is>
      </c>
      <c r="C4121" t="inlineStr">
        <is>
          <t>الرياض</t>
        </is>
      </c>
      <c r="D4121" t="inlineStr">
        <is>
          <t>صباحا</t>
        </is>
      </c>
      <c r="E4121" t="n">
        <v>392</v>
      </c>
      <c r="F4121" t="b">
        <v>1</v>
      </c>
      <c r="G4121">
        <f>HYPERLINK("https://www.google.com/maps/search/?api=1&amp;query=24.6918934,46.64110086", "View Map")</f>
        <v/>
      </c>
    </row>
    <row r="4122">
      <c r="A4122" t="inlineStr">
        <is>
          <t>.     مسجد      الفصام .</t>
        </is>
      </c>
      <c r="B4122" t="inlineStr">
        <is>
          <t>KFM2020660038647</t>
        </is>
      </c>
      <c r="C4122" t="inlineStr">
        <is>
          <t>الرياض</t>
        </is>
      </c>
      <c r="D4122" t="inlineStr">
        <is>
          <t>صباحا</t>
        </is>
      </c>
      <c r="E4122" t="n">
        <v>389</v>
      </c>
      <c r="F4122" t="b">
        <v>0</v>
      </c>
      <c r="G4122">
        <f>HYPERLINK("https://www.google.com/maps/search/?api=1&amp;query=24.58414059,46.60682294", "View Map")</f>
        <v/>
      </c>
    </row>
    <row r="4123">
      <c r="A4123" t="inlineStr">
        <is>
          <t xml:space="preserve">   مسجد النفق بالعود .</t>
        </is>
      </c>
      <c r="B4123" t="inlineStr">
        <is>
          <t>KFM2020660044678</t>
        </is>
      </c>
      <c r="C4123" t="inlineStr">
        <is>
          <t>الرياض</t>
        </is>
      </c>
      <c r="D4123" t="inlineStr">
        <is>
          <t>صباحا</t>
        </is>
      </c>
      <c r="E4123" t="n">
        <v>389</v>
      </c>
      <c r="F4123" t="b">
        <v>0</v>
      </c>
      <c r="G4123">
        <f>HYPERLINK("https://www.google.com/maps/search/?api=1&amp;query=24.6298761,46.73066716", "View Map")</f>
        <v/>
      </c>
    </row>
    <row r="4124">
      <c r="A4124" t="inlineStr">
        <is>
          <t>مسجد/الامام  مالك  بن انس .</t>
        </is>
      </c>
      <c r="B4124" t="inlineStr">
        <is>
          <t>KFM2020660034222</t>
        </is>
      </c>
      <c r="C4124" t="inlineStr">
        <is>
          <t>الرياض</t>
        </is>
      </c>
      <c r="D4124" t="inlineStr">
        <is>
          <t>صباحا</t>
        </is>
      </c>
      <c r="E4124" t="n">
        <v>389</v>
      </c>
      <c r="F4124" t="b">
        <v>0</v>
      </c>
      <c r="G4124">
        <f>HYPERLINK("https://www.google.com/maps/search/?api=1&amp;query=24.57572215,46.61173217", "View Map")</f>
        <v/>
      </c>
    </row>
    <row r="4125">
      <c r="A4125" t="inlineStr">
        <is>
          <t xml:space="preserve">   مسجد عبدالله النعيم .</t>
        </is>
      </c>
      <c r="B4125" t="inlineStr">
        <is>
          <t>KFM2020660197691</t>
        </is>
      </c>
      <c r="C4125" t="inlineStr">
        <is>
          <t>الرياض</t>
        </is>
      </c>
      <c r="D4125" t="inlineStr">
        <is>
          <t>صباحا</t>
        </is>
      </c>
      <c r="E4125" t="n">
        <v>388</v>
      </c>
      <c r="F4125" t="b">
        <v>0</v>
      </c>
      <c r="G4125">
        <f>HYPERLINK("https://www.google.com/maps/search/?api=1&amp;query=24.71516667,46.68078879", "View Map")</f>
        <v/>
      </c>
    </row>
    <row r="4126">
      <c r="A4126" t="inlineStr">
        <is>
          <t xml:space="preserve">   وزارة الشؤون الاسلاميه والاوقاف .</t>
        </is>
      </c>
      <c r="B4126" t="inlineStr">
        <is>
          <t>KFM2020660192010</t>
        </is>
      </c>
      <c r="C4126" t="inlineStr">
        <is>
          <t>الرياض</t>
        </is>
      </c>
      <c r="D4126" t="inlineStr">
        <is>
          <t>صباحا</t>
        </is>
      </c>
      <c r="E4126" t="n">
        <v>386</v>
      </c>
      <c r="F4126" t="b">
        <v>0</v>
      </c>
      <c r="G4126">
        <f>HYPERLINK("https://www.google.com/maps/search/?api=1&amp;query=24.80210042,46.69356903", "View Map")</f>
        <v/>
      </c>
    </row>
    <row r="4127">
      <c r="A4127" t="inlineStr">
        <is>
          <t xml:space="preserve">   مسجد الهزاعيه المؤقت .</t>
        </is>
      </c>
      <c r="B4127" t="inlineStr">
        <is>
          <t>LYE2020810185640</t>
        </is>
      </c>
      <c r="C4127" t="inlineStr">
        <is>
          <t>الرياض</t>
        </is>
      </c>
      <c r="D4127" t="inlineStr">
        <is>
          <t>صباحا</t>
        </is>
      </c>
      <c r="E4127" t="n">
        <v>384</v>
      </c>
      <c r="F4127" t="b">
        <v>0</v>
      </c>
      <c r="G4127">
        <f>HYPERLINK("https://www.google.com/maps/search/?api=1&amp;query=24.7439168,46.84453094", "View Map")</f>
        <v/>
      </c>
    </row>
    <row r="4128">
      <c r="A4128" t="inlineStr">
        <is>
          <t xml:space="preserve">   مسجد محمد عبدالرحمن العجلان .</t>
        </is>
      </c>
      <c r="B4128" t="inlineStr">
        <is>
          <t>KFM2020760229565</t>
        </is>
      </c>
      <c r="C4128" t="inlineStr">
        <is>
          <t>الرياض</t>
        </is>
      </c>
      <c r="D4128" t="inlineStr">
        <is>
          <t>صباحا</t>
        </is>
      </c>
      <c r="E4128" t="n">
        <v>383</v>
      </c>
      <c r="F4128" t="b">
        <v>0</v>
      </c>
      <c r="G4128">
        <f>HYPERLINK("https://www.google.com/maps/search/?api=1&amp;query=24.6993,46.6504", "View Map")</f>
        <v/>
      </c>
    </row>
    <row r="4129">
      <c r="A4129" t="inlineStr">
        <is>
          <t>مسجد الفراج .</t>
        </is>
      </c>
      <c r="B4129" t="inlineStr">
        <is>
          <t>KFM2020660055029</t>
        </is>
      </c>
      <c r="C4129" t="inlineStr">
        <is>
          <t>الرياض</t>
        </is>
      </c>
      <c r="D4129" t="inlineStr">
        <is>
          <t>صباحا</t>
        </is>
      </c>
      <c r="E4129" t="n">
        <v>381</v>
      </c>
      <c r="F4129" t="b">
        <v>0</v>
      </c>
      <c r="G4129">
        <f>HYPERLINK("https://www.google.com/maps/search/?api=1&amp;query=24.58758014,46.65620863", "View Map")</f>
        <v/>
      </c>
    </row>
    <row r="4130">
      <c r="A4130" t="inlineStr">
        <is>
          <t>مسجد / الفرقان بظهرة  نمار .</t>
        </is>
      </c>
      <c r="B4130" t="inlineStr">
        <is>
          <t>KFM2020660039107</t>
        </is>
      </c>
      <c r="C4130" t="inlineStr">
        <is>
          <t>الرياض</t>
        </is>
      </c>
      <c r="D4130" t="inlineStr">
        <is>
          <t>مساءا</t>
        </is>
      </c>
      <c r="E4130" t="n">
        <v>379</v>
      </c>
      <c r="F4130" t="b">
        <v>1</v>
      </c>
      <c r="G4130">
        <f>HYPERLINK("https://www.google.com/maps/search/?api=1&amp;query=24.74673111,46.6790529", "View Map")</f>
        <v/>
      </c>
    </row>
    <row r="4131">
      <c r="A4131" t="inlineStr">
        <is>
          <t>مساجد .</t>
        </is>
      </c>
      <c r="B4131" t="inlineStr">
        <is>
          <t>KFM2020660211358</t>
        </is>
      </c>
      <c r="C4131" t="inlineStr">
        <is>
          <t>الرياض</t>
        </is>
      </c>
      <c r="D4131" t="inlineStr">
        <is>
          <t>مساءا</t>
        </is>
      </c>
      <c r="E4131" t="n">
        <v>376</v>
      </c>
      <c r="F4131" t="b">
        <v>0</v>
      </c>
      <c r="G4131">
        <f>HYPERLINK("https://www.google.com/maps/search/?api=1&amp;query=24.63081379,46.53521542", "View Map")</f>
        <v/>
      </c>
    </row>
    <row r="4132">
      <c r="A4132" t="inlineStr">
        <is>
          <t xml:space="preserve">   مسجد حي المعيزليه .</t>
        </is>
      </c>
      <c r="B4132" t="inlineStr">
        <is>
          <t>KFM2020766102535</t>
        </is>
      </c>
      <c r="C4132" t="inlineStr">
        <is>
          <t>الرياض</t>
        </is>
      </c>
      <c r="D4132" t="inlineStr">
        <is>
          <t>صباحا</t>
        </is>
      </c>
      <c r="E4132" t="n">
        <v>374</v>
      </c>
      <c r="F4132" t="b">
        <v>0</v>
      </c>
      <c r="G4132">
        <f>HYPERLINK("https://www.google.com/maps/search/?api=1&amp;query=24.79754006,46.84898686", "View Map")</f>
        <v/>
      </c>
    </row>
    <row r="4133">
      <c r="A4133" t="inlineStr">
        <is>
          <t xml:space="preserve">   مسجد ابراهيم اليحيى .</t>
        </is>
      </c>
      <c r="B4133" t="inlineStr">
        <is>
          <t>KFM2020660135773</t>
        </is>
      </c>
      <c r="C4133" t="inlineStr">
        <is>
          <t>الرياض</t>
        </is>
      </c>
      <c r="D4133" t="inlineStr">
        <is>
          <t>صباحا</t>
        </is>
      </c>
      <c r="E4133" t="n">
        <v>370</v>
      </c>
      <c r="F4133" t="b">
        <v>0</v>
      </c>
      <c r="G4133">
        <f>HYPERLINK("https://www.google.com/maps/search/?api=1&amp;query=24.69142988,46.80484833", "View Map")</f>
        <v/>
      </c>
    </row>
    <row r="4134">
      <c r="A4134" t="inlineStr">
        <is>
          <t xml:space="preserve">   مسجد رقم 5 حي الاسكان رقم 1 .</t>
        </is>
      </c>
      <c r="B4134" t="inlineStr">
        <is>
          <t>KFM2020660162705</t>
        </is>
      </c>
      <c r="C4134" t="inlineStr">
        <is>
          <t>الرياض</t>
        </is>
      </c>
      <c r="D4134" t="inlineStr">
        <is>
          <t>مساءا</t>
        </is>
      </c>
      <c r="E4134" t="n">
        <v>365</v>
      </c>
      <c r="F4134" t="b">
        <v>1</v>
      </c>
      <c r="G4134">
        <f>HYPERLINK("https://www.google.com/maps/search/?api=1&amp;query=24.5672239,46.85127791", "View Map")</f>
        <v/>
      </c>
    </row>
    <row r="4135">
      <c r="A4135" t="inlineStr">
        <is>
          <t>ﻭﺯﺍﺭﺓﺍﻟﺸﺌﻭﻥ ﺍﻻﺴﻼﻤﻴﺓﻭﺍﻻﻭﻗﺎﻑ .</t>
        </is>
      </c>
      <c r="B4135" t="inlineStr">
        <is>
          <t>SMR2120765020884</t>
        </is>
      </c>
      <c r="C4135" t="inlineStr">
        <is>
          <t>الرياض</t>
        </is>
      </c>
      <c r="D4135" t="inlineStr">
        <is>
          <t>مساءا</t>
        </is>
      </c>
      <c r="E4135" t="n">
        <v>365</v>
      </c>
      <c r="F4135" t="b">
        <v>0</v>
      </c>
      <c r="G4135">
        <f>HYPERLINK("https://www.google.com/maps/search/?api=1&amp;query=24.55363955,46.6674507", "View Map")</f>
        <v/>
      </c>
    </row>
    <row r="4136">
      <c r="A4136" t="inlineStr">
        <is>
          <t>مسجد      .         الحكير .</t>
        </is>
      </c>
      <c r="B4136" t="inlineStr">
        <is>
          <t>KFM2020660099038</t>
        </is>
      </c>
      <c r="C4136" t="inlineStr">
        <is>
          <t>الرياض</t>
        </is>
      </c>
      <c r="D4136" t="inlineStr">
        <is>
          <t>مساءا</t>
        </is>
      </c>
      <c r="E4136" t="n">
        <v>363</v>
      </c>
      <c r="F4136" t="b">
        <v>0</v>
      </c>
      <c r="G4136">
        <f>HYPERLINK("https://www.google.com/maps/search/?api=1&amp;query=24.57666437,46.65304207", "View Map")</f>
        <v/>
      </c>
    </row>
    <row r="4137">
      <c r="A4137" t="inlineStr">
        <is>
          <t>مسجدحى  النسيج .</t>
        </is>
      </c>
      <c r="B4137" t="inlineStr">
        <is>
          <t>KFM2020660039879</t>
        </is>
      </c>
      <c r="C4137" t="inlineStr">
        <is>
          <t>الرياض</t>
        </is>
      </c>
      <c r="D4137" t="inlineStr">
        <is>
          <t>صباحا</t>
        </is>
      </c>
      <c r="E4137" t="n">
        <v>354</v>
      </c>
      <c r="F4137" t="b">
        <v>0</v>
      </c>
      <c r="G4137">
        <f>HYPERLINK("https://www.google.com/maps/search/?api=1&amp;query=24.60396187,46.71313876", "View Map")</f>
        <v/>
      </c>
    </row>
    <row r="4138">
      <c r="A4138" t="inlineStr">
        <is>
          <t>مسجد ال  شايع .</t>
        </is>
      </c>
      <c r="B4138" t="inlineStr">
        <is>
          <t>ECC2020810925908</t>
        </is>
      </c>
      <c r="C4138" t="inlineStr">
        <is>
          <t>الرياض</t>
        </is>
      </c>
      <c r="D4138" t="inlineStr">
        <is>
          <t>مساءا</t>
        </is>
      </c>
      <c r="E4138" t="n">
        <v>352</v>
      </c>
      <c r="F4138" t="b">
        <v>0</v>
      </c>
      <c r="G4138">
        <f>HYPERLINK("https://www.google.com/maps/search/?api=1&amp;query=24.61796026,46.67789645", "View Map")</f>
        <v/>
      </c>
    </row>
    <row r="4139">
      <c r="A4139" t="inlineStr">
        <is>
          <t>ﻤﺴﺎﺠﺩ .</t>
        </is>
      </c>
      <c r="B4139" t="inlineStr">
        <is>
          <t>KFM2020660091861</t>
        </is>
      </c>
      <c r="C4139" t="inlineStr">
        <is>
          <t>الرياض</t>
        </is>
      </c>
      <c r="D4139" t="inlineStr">
        <is>
          <t>مساءا</t>
        </is>
      </c>
      <c r="E4139" t="n">
        <v>352</v>
      </c>
      <c r="F4139" t="b">
        <v>0</v>
      </c>
      <c r="G4139">
        <f>HYPERLINK("https://www.google.com/maps/search/?api=1&amp;query=24.79022868,46.59262798", "View Map")</f>
        <v/>
      </c>
    </row>
    <row r="4140">
      <c r="A4140" t="inlineStr">
        <is>
          <t>مسجد الدريهميه  شرق  شبرا .</t>
        </is>
      </c>
      <c r="B4140" t="inlineStr">
        <is>
          <t>KFM2020660051459</t>
        </is>
      </c>
      <c r="C4140" t="inlineStr">
        <is>
          <t>الرياض</t>
        </is>
      </c>
      <c r="D4140" t="inlineStr">
        <is>
          <t>صباحا</t>
        </is>
      </c>
      <c r="E4140" t="n">
        <v>346</v>
      </c>
      <c r="F4140" t="b">
        <v>0</v>
      </c>
      <c r="G4140">
        <f>HYPERLINK("https://www.google.com/maps/search/?api=1&amp;query=24.58478014,46.6869654", "View Map")</f>
        <v/>
      </c>
    </row>
    <row r="4141">
      <c r="A4141" t="inlineStr">
        <is>
          <t xml:space="preserve">   مسجدالمهنا .</t>
        </is>
      </c>
      <c r="B4141" t="inlineStr">
        <is>
          <t>KFM2020660052347</t>
        </is>
      </c>
      <c r="C4141" t="inlineStr">
        <is>
          <t>الرياض</t>
        </is>
      </c>
      <c r="D4141" t="inlineStr">
        <is>
          <t>صباحا</t>
        </is>
      </c>
      <c r="E4141" t="n">
        <v>344</v>
      </c>
      <c r="F4141" t="b">
        <v>1</v>
      </c>
      <c r="G4141">
        <f>HYPERLINK("https://www.google.com/maps/search/?api=1&amp;query=24.81008175,46.60339533", "View Map")</f>
        <v/>
      </c>
    </row>
    <row r="4142">
      <c r="A4142" t="inlineStr">
        <is>
          <t>مسجد بن دغيثر .</t>
        </is>
      </c>
      <c r="B4142" t="inlineStr">
        <is>
          <t>KFM2020660201628</t>
        </is>
      </c>
      <c r="C4142" t="inlineStr">
        <is>
          <t>الرياض</t>
        </is>
      </c>
      <c r="D4142" t="inlineStr">
        <is>
          <t>صباحا</t>
        </is>
      </c>
      <c r="E4142" t="n">
        <v>342</v>
      </c>
      <c r="F4142" t="b">
        <v>0</v>
      </c>
      <c r="G4142">
        <f>HYPERLINK("https://www.google.com/maps/search/?api=1&amp;query=24.62204231,46.71914289", "View Map")</f>
        <v/>
      </c>
    </row>
    <row r="4143">
      <c r="A4143" t="inlineStr">
        <is>
          <t>مسجد/ حي النسيج   منفوحة .</t>
        </is>
      </c>
      <c r="B4143" t="inlineStr">
        <is>
          <t>KFM2020766081616</t>
        </is>
      </c>
      <c r="C4143" t="inlineStr">
        <is>
          <t>الرياض</t>
        </is>
      </c>
      <c r="D4143" t="inlineStr">
        <is>
          <t>مساءا</t>
        </is>
      </c>
      <c r="E4143" t="n">
        <v>337</v>
      </c>
      <c r="F4143" t="b">
        <v>0</v>
      </c>
      <c r="G4143">
        <f>HYPERLINK("https://www.google.com/maps/search/?api=1&amp;query=24.60546268,46.71727898", "View Map")</f>
        <v/>
      </c>
    </row>
    <row r="4144">
      <c r="A4144" t="inlineStr">
        <is>
          <t>.    مسجد      الزهيري .</t>
        </is>
      </c>
      <c r="B4144" t="inlineStr">
        <is>
          <t>KFM2020660013733</t>
        </is>
      </c>
      <c r="C4144" t="inlineStr">
        <is>
          <t>الرياض</t>
        </is>
      </c>
      <c r="D4144" t="inlineStr">
        <is>
          <t>صباحا</t>
        </is>
      </c>
      <c r="E4144" t="n">
        <v>337</v>
      </c>
      <c r="F4144" t="b">
        <v>0</v>
      </c>
      <c r="G4144">
        <f>HYPERLINK("https://www.google.com/maps/search/?api=1&amp;query=24.57269149,46.69052296", "View Map")</f>
        <v/>
      </c>
    </row>
    <row r="4145">
      <c r="A4145" t="inlineStr">
        <is>
          <t xml:space="preserve">   مسجد عبدالله بن أنيس (مسجدمؤقت) .</t>
        </is>
      </c>
      <c r="B4145" t="inlineStr">
        <is>
          <t>KFM2120760244657</t>
        </is>
      </c>
      <c r="C4145" t="inlineStr">
        <is>
          <t>الرياض</t>
        </is>
      </c>
      <c r="D4145" t="inlineStr">
        <is>
          <t>مساءا</t>
        </is>
      </c>
      <c r="E4145" t="n">
        <v>275</v>
      </c>
      <c r="F4145" t="b">
        <v>0</v>
      </c>
      <c r="G4145">
        <f>HYPERLINK("https://www.google.com/maps/search/?api=1&amp;query=24.74945472,46.75192887", "View Map")</f>
        <v/>
      </c>
    </row>
    <row r="4146">
      <c r="A4146" t="inlineStr">
        <is>
          <t>مسجد ابو موسى  الا شعري .</t>
        </is>
      </c>
      <c r="B4146" t="inlineStr">
        <is>
          <t>KFM2020660013287</t>
        </is>
      </c>
      <c r="C4146" t="inlineStr">
        <is>
          <t>الرياض</t>
        </is>
      </c>
      <c r="D4146" t="inlineStr">
        <is>
          <t>مساءا</t>
        </is>
      </c>
      <c r="E4146" t="n">
        <v>275</v>
      </c>
      <c r="F4146" t="b">
        <v>0</v>
      </c>
      <c r="G4146">
        <f>HYPERLINK("https://www.google.com/maps/search/?api=1&amp;query=24.5894121,46.58873461", "View Map")</f>
        <v/>
      </c>
    </row>
    <row r="4147">
      <c r="A4147" t="inlineStr">
        <is>
          <t>مسجد خالد بن الوليد .</t>
        </is>
      </c>
      <c r="B4147" t="inlineStr">
        <is>
          <t>KFM2020660171738</t>
        </is>
      </c>
      <c r="C4147" t="inlineStr">
        <is>
          <t>الرياض</t>
        </is>
      </c>
      <c r="D4147" t="inlineStr">
        <is>
          <t>صباحا</t>
        </is>
      </c>
      <c r="E4147" t="n">
        <v>272</v>
      </c>
      <c r="F4147" t="b">
        <v>0</v>
      </c>
      <c r="G4147">
        <f>HYPERLINK("https://www.google.com/maps/search/?api=1&amp;query=24.5780302,46.5218564", "View Map")</f>
        <v/>
      </c>
    </row>
    <row r="4148">
      <c r="A4148" t="inlineStr">
        <is>
          <t>ﻭﺯﺍﺭﺓﺍﻟﺸﺌﻭﻥ ﺍﻻﺴﻼﻤﻴﺓﻭﺍﻻﻭﻗﺎﻑ .</t>
        </is>
      </c>
      <c r="B4148" t="inlineStr">
        <is>
          <t>KFM2020660039127</t>
        </is>
      </c>
      <c r="C4148" t="inlineStr">
        <is>
          <t>الرياض</t>
        </is>
      </c>
      <c r="D4148" t="inlineStr">
        <is>
          <t>صباحا</t>
        </is>
      </c>
      <c r="E4148" t="n">
        <v>261</v>
      </c>
      <c r="F4148" t="b">
        <v>0</v>
      </c>
      <c r="G4148">
        <f>HYPERLINK("https://www.google.com/maps/search/?api=1&amp;query=24.55259924,46.59012974", "View Map")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5" customWidth="1" min="3" max="3"/>
    <col width="20" customWidth="1" min="4" max="4"/>
    <col width="24" customWidth="1" min="5" max="5"/>
    <col width="13" customWidth="1" min="6" max="6"/>
    <col width="99" customWidth="1" min="7" max="7"/>
  </cols>
  <sheetData>
    <row r="1">
      <c r="A1" s="1" t="inlineStr">
        <is>
          <t>اسم المسجد</t>
        </is>
      </c>
      <c r="B1" s="1" t="inlineStr">
        <is>
          <t>رقم العداد</t>
        </is>
      </c>
      <c r="C1" s="1" t="inlineStr">
        <is>
          <t>المحافظة</t>
        </is>
      </c>
      <c r="D1" s="1" t="inlineStr">
        <is>
          <t>الفترة صباحا/مساءا</t>
        </is>
      </c>
      <c r="E1" s="1" t="inlineStr">
        <is>
          <t>قيمة الفاتورة الإجمالي</t>
        </is>
      </c>
      <c r="F1" s="1" t="inlineStr">
        <is>
          <t>مخالف سابقا</t>
        </is>
      </c>
      <c r="G1" s="1" t="inlineStr">
        <is>
          <t>الموقع</t>
        </is>
      </c>
    </row>
    <row r="2">
      <c r="A2" t="inlineStr">
        <is>
          <t xml:space="preserve">   جامع الملك عبدالله بن عبدالعزيز .</t>
        </is>
      </c>
      <c r="B2" t="inlineStr">
        <is>
          <t>KFM2020660170239</t>
        </is>
      </c>
      <c r="C2" t="inlineStr">
        <is>
          <t>الأفلاج</t>
        </is>
      </c>
      <c r="D2" t="inlineStr">
        <is>
          <t>كلا الفترتين</t>
        </is>
      </c>
      <c r="E2" t="n">
        <v>19071</v>
      </c>
      <c r="F2" t="b">
        <v>1</v>
      </c>
      <c r="G2">
        <f>HYPERLINK("https://www.google.com/maps/search/?api=1&amp;query=22.28821198,46.72140969", "View Map")</f>
        <v/>
      </c>
    </row>
    <row r="3">
      <c r="A3" t="inlineStr">
        <is>
          <t xml:space="preserve"> جامع الامير مشعل بن عبدالعزيز ال سعود .</t>
        </is>
      </c>
      <c r="B3" t="inlineStr">
        <is>
          <t>KFM2020660200908</t>
        </is>
      </c>
      <c r="C3" t="inlineStr">
        <is>
          <t>حوطة بني تميم</t>
        </is>
      </c>
      <c r="D3" t="inlineStr">
        <is>
          <t>كلا الفترتين</t>
        </is>
      </c>
      <c r="E3" t="n">
        <v>18209</v>
      </c>
      <c r="F3" t="b">
        <v>1</v>
      </c>
      <c r="G3">
        <f>HYPERLINK("https://www.google.com/maps/search/?api=1&amp;query=23.49019876,46.86642954", "View Map")</f>
        <v/>
      </c>
    </row>
    <row r="4">
      <c r="A4" t="inlineStr">
        <is>
          <t>المساجد والدعوة والإرشاد - الافلاج .</t>
        </is>
      </c>
      <c r="B4" t="inlineStr">
        <is>
          <t>KFM2020660165150</t>
        </is>
      </c>
      <c r="C4" t="inlineStr">
        <is>
          <t>الأفلاج</t>
        </is>
      </c>
      <c r="D4" t="inlineStr">
        <is>
          <t>كلا الفترتين</t>
        </is>
      </c>
      <c r="E4" t="n">
        <v>17214</v>
      </c>
      <c r="F4" t="b">
        <v>1</v>
      </c>
      <c r="G4">
        <f>HYPERLINK("https://www.google.com/maps/search/?api=1&amp;query=22.30267156,46.72373659", "View Map")</f>
        <v/>
      </c>
    </row>
    <row r="5">
      <c r="A5" t="inlineStr">
        <is>
          <t>ﻤﺴﺎﺠﺩﺍﻟﺨـﺭﺝ .</t>
        </is>
      </c>
      <c r="B5" t="inlineStr">
        <is>
          <t>SMR2220661003002</t>
        </is>
      </c>
      <c r="C5" t="inlineStr">
        <is>
          <t>الخرج</t>
        </is>
      </c>
      <c r="D5" t="inlineStr">
        <is>
          <t>كلا الفترتين</t>
        </is>
      </c>
      <c r="E5" t="n">
        <v>14279</v>
      </c>
      <c r="F5" t="b">
        <v>1</v>
      </c>
      <c r="G5">
        <f>HYPERLINK("https://www.google.com/maps/search/?api=1&amp;query=24.16007137,47.23464169", "View Map")</f>
        <v/>
      </c>
    </row>
    <row r="6">
      <c r="A6" t="inlineStr">
        <is>
          <t xml:space="preserve">   جامع      ال مطرف   اوقاف الدواس .</t>
        </is>
      </c>
      <c r="B6" t="inlineStr">
        <is>
          <t>KFM2020660212686</t>
        </is>
      </c>
      <c r="C6" t="inlineStr">
        <is>
          <t>وادي الدواسر</t>
        </is>
      </c>
      <c r="D6" t="inlineStr">
        <is>
          <t>كلا الفترتين</t>
        </is>
      </c>
      <c r="E6" t="n">
        <v>13456</v>
      </c>
      <c r="F6" t="b">
        <v>1</v>
      </c>
      <c r="G6">
        <f>HYPERLINK("https://www.google.com/maps/search/?api=1&amp;query=20.47210421,44.78443717", "View Map")</f>
        <v/>
      </c>
    </row>
    <row r="7">
      <c r="A7" t="inlineStr">
        <is>
          <t>ﻤﺴﺎﺠﺩ ﻭﺤﺩﺓ ﺍﻟﺤﺭﻴﻕ .</t>
        </is>
      </c>
      <c r="B7" t="inlineStr">
        <is>
          <t>KFM2020660177688</t>
        </is>
      </c>
      <c r="C7" t="inlineStr">
        <is>
          <t>الحريق</t>
        </is>
      </c>
      <c r="D7" t="inlineStr">
        <is>
          <t>كلا الفترتين</t>
        </is>
      </c>
      <c r="E7" t="n">
        <v>11071</v>
      </c>
      <c r="F7" t="b">
        <v>1</v>
      </c>
      <c r="G7">
        <f>HYPERLINK("https://www.google.com/maps/search/?api=1&amp;query=23.63346239,46.52722316", "View Map")</f>
        <v/>
      </c>
    </row>
    <row r="8">
      <c r="A8" t="inlineStr">
        <is>
          <t xml:space="preserve">      مسجد التوفيق الجامع .</t>
        </is>
      </c>
      <c r="B8" t="inlineStr">
        <is>
          <t>SMR2220661004329</t>
        </is>
      </c>
      <c r="C8" t="inlineStr">
        <is>
          <t>الدلم</t>
        </is>
      </c>
      <c r="D8" t="inlineStr">
        <is>
          <t>كلا الفترتين</t>
        </is>
      </c>
      <c r="E8" t="n">
        <v>10544</v>
      </c>
      <c r="F8" t="b">
        <v>0</v>
      </c>
      <c r="G8">
        <f>HYPERLINK("https://www.google.com/maps/search/?api=1&amp;query=23.9842,47.1356", "View Map")</f>
        <v/>
      </c>
    </row>
    <row r="9">
      <c r="A9" t="inlineStr">
        <is>
          <t xml:space="preserve">  اوقاف الخرج /جامع الملك عبدالعزيز .</t>
        </is>
      </c>
      <c r="B9" t="inlineStr">
        <is>
          <t>KFM2120660270821</t>
        </is>
      </c>
      <c r="C9" t="inlineStr">
        <is>
          <t>الخرج</t>
        </is>
      </c>
      <c r="D9" t="inlineStr">
        <is>
          <t>كلا الفترتين</t>
        </is>
      </c>
      <c r="E9" t="n">
        <v>10313</v>
      </c>
      <c r="F9" t="b">
        <v>1</v>
      </c>
      <c r="G9">
        <f>HYPERLINK("https://www.google.com/maps/search/?api=1&amp;query=24.15200302,47.30254745", "View Map")</f>
        <v/>
      </c>
    </row>
    <row r="10">
      <c r="A10" t="inlineStr">
        <is>
          <t xml:space="preserve">    مسجد/عاصم بن ثابت .</t>
        </is>
      </c>
      <c r="B10" t="inlineStr">
        <is>
          <t>KFM2120660260510</t>
        </is>
      </c>
      <c r="C10" t="inlineStr">
        <is>
          <t>الخرج</t>
        </is>
      </c>
      <c r="D10" t="inlineStr">
        <is>
          <t>كلا الفترتين</t>
        </is>
      </c>
      <c r="E10" t="n">
        <v>10054</v>
      </c>
      <c r="F10" t="b">
        <v>1</v>
      </c>
      <c r="G10">
        <f>HYPERLINK("https://www.google.com/maps/search/?api=1&amp;query=24.13137844,47.27461704", "View Map")</f>
        <v/>
      </c>
    </row>
    <row r="11">
      <c r="A11" t="inlineStr">
        <is>
          <t xml:space="preserve">   جامع/ راشد صالح الخنين .</t>
        </is>
      </c>
      <c r="B11" t="inlineStr">
        <is>
          <t>KFM2020660177832</t>
        </is>
      </c>
      <c r="C11" t="inlineStr">
        <is>
          <t>الدلم</t>
        </is>
      </c>
      <c r="D11" t="inlineStr">
        <is>
          <t>كلا الفترتين</t>
        </is>
      </c>
      <c r="E11" t="n">
        <v>9246</v>
      </c>
      <c r="F11" t="b">
        <v>1</v>
      </c>
      <c r="G11">
        <f>HYPERLINK("https://www.google.com/maps/search/?api=1&amp;query=23.99563646,47.1238727", "View Map")</f>
        <v/>
      </c>
    </row>
    <row r="12">
      <c r="A12" t="inlineStr">
        <is>
          <t xml:space="preserve">   جامع الملك عبدالله بن عبدالعزيز .</t>
        </is>
      </c>
      <c r="B12" t="inlineStr">
        <is>
          <t>KFM2020660170236</t>
        </is>
      </c>
      <c r="C12" t="inlineStr">
        <is>
          <t>الأفلاج</t>
        </is>
      </c>
      <c r="D12" t="inlineStr">
        <is>
          <t>كلا الفترتين</t>
        </is>
      </c>
      <c r="E12" t="n">
        <v>8165</v>
      </c>
      <c r="F12" t="b">
        <v>1</v>
      </c>
      <c r="G12">
        <f>HYPERLINK("https://www.google.com/maps/search/?api=1&amp;query=22.28827317,46.72144073", "View Map")</f>
        <v/>
      </c>
    </row>
    <row r="13">
      <c r="A13" t="inlineStr">
        <is>
          <t>ﻤﺴﺎﺠﺩ ﻭﺤﺩﺓ ﺍﻟﺤﺭﻴﻕ .</t>
        </is>
      </c>
      <c r="B13" t="inlineStr">
        <is>
          <t>KFM2120660272838</t>
        </is>
      </c>
      <c r="C13" t="inlineStr">
        <is>
          <t>الخرج</t>
        </is>
      </c>
      <c r="D13" t="inlineStr">
        <is>
          <t>كلا الفترتين</t>
        </is>
      </c>
      <c r="E13" t="n">
        <v>7742</v>
      </c>
      <c r="F13" t="b">
        <v>1</v>
      </c>
      <c r="G13">
        <f>HYPERLINK("https://www.google.com/maps/search/?api=1&amp;query=24.33593315,47.50011255", "View Map")</f>
        <v/>
      </c>
    </row>
    <row r="14">
      <c r="A14" t="inlineStr">
        <is>
          <t>ﺍﻟﻤﺴﺎﺠﺩﻭﺍﻟﺩﻋﻭﻩ ﺍﻻﺭﺸﺎﺩ ﺒﺎﻻﻓﻼﺝ .</t>
        </is>
      </c>
      <c r="B14" t="inlineStr">
        <is>
          <t>KFM2120660259915</t>
        </is>
      </c>
      <c r="C14" t="inlineStr">
        <is>
          <t>الأفلاج</t>
        </is>
      </c>
      <c r="D14" t="inlineStr">
        <is>
          <t>كلا الفترتين</t>
        </is>
      </c>
      <c r="E14" t="n">
        <v>7477</v>
      </c>
      <c r="F14" t="b">
        <v>1</v>
      </c>
      <c r="G14">
        <f>HYPERLINK("https://www.google.com/maps/search/?api=1&amp;query=22.04178402,46.5695802", "View Map")</f>
        <v/>
      </c>
    </row>
    <row r="15">
      <c r="A15" t="inlineStr">
        <is>
          <t xml:space="preserve">   اوقاف الدواسر/مسجد جروان قويد .</t>
        </is>
      </c>
      <c r="B15" t="inlineStr">
        <is>
          <t>SMR2420661037324</t>
        </is>
      </c>
      <c r="C15" t="inlineStr">
        <is>
          <t>وادي الدواسر</t>
        </is>
      </c>
      <c r="D15" t="inlineStr">
        <is>
          <t>كلا الفترتين</t>
        </is>
      </c>
      <c r="E15" t="n">
        <v>6368</v>
      </c>
      <c r="F15" t="b">
        <v>1</v>
      </c>
      <c r="G15">
        <f>HYPERLINK("https://www.google.com/maps/search/?api=1&amp;query=20.44948124,44.84848058", "View Map")</f>
        <v/>
      </c>
    </row>
    <row r="16">
      <c r="A16" t="inlineStr">
        <is>
          <t xml:space="preserve">   اوقاف الدلم / جامع السلمانية .</t>
        </is>
      </c>
      <c r="B16" t="inlineStr">
        <is>
          <t>KFM2020660170466</t>
        </is>
      </c>
      <c r="C16" t="inlineStr">
        <is>
          <t>الدلم</t>
        </is>
      </c>
      <c r="D16" t="inlineStr">
        <is>
          <t>كلا الفترتين</t>
        </is>
      </c>
      <c r="E16" t="n">
        <v>6034</v>
      </c>
      <c r="F16" t="b">
        <v>1</v>
      </c>
      <c r="G16">
        <f>HYPERLINK("https://www.google.com/maps/search/?api=1&amp;query=23.95827861,47.11796616", "View Map")</f>
        <v/>
      </c>
    </row>
    <row r="17">
      <c r="A17" t="inlineStr">
        <is>
          <t>مساجد الخماسين .</t>
        </is>
      </c>
      <c r="B17" t="inlineStr">
        <is>
          <t>SMR2220661004671</t>
        </is>
      </c>
      <c r="C17" t="inlineStr">
        <is>
          <t>وادي الدواسر</t>
        </is>
      </c>
      <c r="D17" t="inlineStr">
        <is>
          <t>كلا الفترتين</t>
        </is>
      </c>
      <c r="E17" t="n">
        <v>5991</v>
      </c>
      <c r="F17" t="b">
        <v>1</v>
      </c>
      <c r="G17">
        <f>HYPERLINK("https://www.google.com/maps/search/?api=1&amp;query=20.43414579,44.87712767", "View Map")</f>
        <v/>
      </c>
    </row>
    <row r="18">
      <c r="A18" t="inlineStr">
        <is>
          <t xml:space="preserve">      مسجد حى الناصريه الجامع .</t>
        </is>
      </c>
      <c r="B18" t="inlineStr">
        <is>
          <t>KFM2020660125098</t>
        </is>
      </c>
      <c r="C18" t="inlineStr">
        <is>
          <t>الدلم</t>
        </is>
      </c>
      <c r="D18" t="inlineStr">
        <is>
          <t>كلا الفترتين</t>
        </is>
      </c>
      <c r="E18" t="n">
        <v>5983</v>
      </c>
      <c r="F18" t="b">
        <v>1</v>
      </c>
      <c r="G18">
        <f>HYPERLINK("https://www.google.com/maps/search/?api=1&amp;query=23.9886,47.1644", "View Map")</f>
        <v/>
      </c>
    </row>
    <row r="19">
      <c r="A19" t="inlineStr">
        <is>
          <t>ﻤﺴﺎﺠﺩ ﺍﻟﺨﻤﺎﺴﻴﻥ .</t>
        </is>
      </c>
      <c r="B19" t="inlineStr">
        <is>
          <t>SMR2220661004664</t>
        </is>
      </c>
      <c r="C19" t="inlineStr">
        <is>
          <t>وادي الدواسر</t>
        </is>
      </c>
      <c r="D19" t="inlineStr">
        <is>
          <t>كلا الفترتين</t>
        </is>
      </c>
      <c r="E19" t="n">
        <v>5954</v>
      </c>
      <c r="F19" t="b">
        <v>1</v>
      </c>
      <c r="G19">
        <f>HYPERLINK("https://www.google.com/maps/search/?api=1&amp;query=20.47812639,44.79162144", "View Map")</f>
        <v/>
      </c>
    </row>
    <row r="20">
      <c r="A20" t="inlineStr">
        <is>
          <t xml:space="preserve">   اوقاف الدواسر/ جامع الولامين .</t>
        </is>
      </c>
      <c r="B20" t="inlineStr">
        <is>
          <t>KFM2020660206127</t>
        </is>
      </c>
      <c r="C20" t="inlineStr">
        <is>
          <t>وادي الدواسر</t>
        </is>
      </c>
      <c r="D20" t="inlineStr">
        <is>
          <t>كلا الفترتين</t>
        </is>
      </c>
      <c r="E20" t="n">
        <v>5823</v>
      </c>
      <c r="F20" t="b">
        <v>1</v>
      </c>
      <c r="G20">
        <f>HYPERLINK("https://www.google.com/maps/search/?api=1&amp;query=20.48200068,44.77792373", "View Map")</f>
        <v/>
      </c>
    </row>
    <row r="21">
      <c r="A21" t="inlineStr">
        <is>
          <t xml:space="preserve">   اوقاف الخرج / مسجديوسف السالم .</t>
        </is>
      </c>
      <c r="B21" t="inlineStr">
        <is>
          <t>KFM2120660245994</t>
        </is>
      </c>
      <c r="C21" t="inlineStr">
        <is>
          <t>الخرج</t>
        </is>
      </c>
      <c r="D21" t="inlineStr">
        <is>
          <t>كلا الفترتين</t>
        </is>
      </c>
      <c r="E21" t="n">
        <v>5688</v>
      </c>
      <c r="F21" t="b">
        <v>1</v>
      </c>
      <c r="G21">
        <f>HYPERLINK("https://www.google.com/maps/search/?api=1&amp;query=24.13584247,47.35314122", "View Map")</f>
        <v/>
      </c>
    </row>
    <row r="22">
      <c r="A22" t="inlineStr">
        <is>
          <t>ﻤﺴﺎﺠﺩ ﺍﻟﺨﻤﺎﺴﻴﻥ .</t>
        </is>
      </c>
      <c r="B22" t="inlineStr">
        <is>
          <t>KFM2020660212763</t>
        </is>
      </c>
      <c r="C22" t="inlineStr">
        <is>
          <t>وادي الدواسر</t>
        </is>
      </c>
      <c r="D22" t="inlineStr">
        <is>
          <t>كلا الفترتين</t>
        </is>
      </c>
      <c r="E22" t="n">
        <v>5244</v>
      </c>
      <c r="F22" t="b">
        <v>1</v>
      </c>
      <c r="G22">
        <f>HYPERLINK("https://www.google.com/maps/search/?api=1&amp;query=20.4521667,44.77183392", "View Map")</f>
        <v/>
      </c>
    </row>
    <row r="23">
      <c r="A23" t="inlineStr">
        <is>
          <t>ﻤﺴﺎﺠﺩﺍﻟﺨـﺭﺝ .</t>
        </is>
      </c>
      <c r="B23" t="inlineStr">
        <is>
          <t>KFM2020660207930</t>
        </is>
      </c>
      <c r="C23" t="inlineStr">
        <is>
          <t>الخرج</t>
        </is>
      </c>
      <c r="D23" t="inlineStr">
        <is>
          <t>كلا الفترتين</t>
        </is>
      </c>
      <c r="E23" t="n">
        <v>5217</v>
      </c>
      <c r="F23" t="b">
        <v>1</v>
      </c>
      <c r="G23">
        <f>HYPERLINK("https://www.google.com/maps/search/?api=1&amp;query=24.12170154,47.25547128", "View Map")</f>
        <v/>
      </c>
    </row>
    <row r="24">
      <c r="A24" t="inlineStr">
        <is>
          <t xml:space="preserve">   جامع حي النهضـه .</t>
        </is>
      </c>
      <c r="B24" t="inlineStr">
        <is>
          <t>KFM2120660264343</t>
        </is>
      </c>
      <c r="C24" t="inlineStr">
        <is>
          <t>الخرج</t>
        </is>
      </c>
      <c r="D24" t="inlineStr">
        <is>
          <t>كلا الفترتين</t>
        </is>
      </c>
      <c r="E24" t="n">
        <v>5149</v>
      </c>
      <c r="F24" t="b">
        <v>1</v>
      </c>
      <c r="G24">
        <f>HYPERLINK("https://www.google.com/maps/search/?api=1&amp;query=24.15426279,47.33110943", "View Map")</f>
        <v/>
      </c>
    </row>
    <row r="25">
      <c r="A25" t="inlineStr">
        <is>
          <t xml:space="preserve">   مسجد / مفرج البياع .</t>
        </is>
      </c>
      <c r="B25" t="inlineStr">
        <is>
          <t>KFM2120660302740</t>
        </is>
      </c>
      <c r="C25" t="inlineStr">
        <is>
          <t>وادي الدواسر</t>
        </is>
      </c>
      <c r="D25" t="inlineStr">
        <is>
          <t>كلا الفترتين</t>
        </is>
      </c>
      <c r="E25" t="n">
        <v>5057</v>
      </c>
      <c r="F25" t="b">
        <v>1</v>
      </c>
      <c r="G25">
        <f>HYPERLINK("https://www.google.com/maps/search/?api=1&amp;query=20.4337845,44.77963537", "View Map")</f>
        <v/>
      </c>
    </row>
    <row r="26">
      <c r="A26" t="inlineStr">
        <is>
          <t xml:space="preserve">   مسجدآل حفيظ بالنزهه .</t>
        </is>
      </c>
      <c r="B26" t="inlineStr">
        <is>
          <t>KFM2120660260644</t>
        </is>
      </c>
      <c r="C26" t="inlineStr">
        <is>
          <t>الخرج</t>
        </is>
      </c>
      <c r="D26" t="inlineStr">
        <is>
          <t>كلا الفترتين</t>
        </is>
      </c>
      <c r="E26" t="n">
        <v>5017</v>
      </c>
      <c r="F26" t="b">
        <v>1</v>
      </c>
      <c r="G26">
        <f>HYPERLINK("https://www.google.com/maps/search/?api=1&amp;query=24.16532819,47.33944296", "View Map")</f>
        <v/>
      </c>
    </row>
    <row r="27">
      <c r="A27" t="inlineStr">
        <is>
          <t>ﻤﺴﺎﺠﺩ ﺍﻟﺤﻭﻁﻩ .</t>
        </is>
      </c>
      <c r="B27" t="inlineStr">
        <is>
          <t>KFM2120660263435</t>
        </is>
      </c>
      <c r="C27" t="inlineStr">
        <is>
          <t>حوطة بني تميم</t>
        </is>
      </c>
      <c r="D27" t="inlineStr">
        <is>
          <t>كلا الفترتين</t>
        </is>
      </c>
      <c r="E27" t="n">
        <v>4981</v>
      </c>
      <c r="F27" t="b">
        <v>0</v>
      </c>
      <c r="G27">
        <f>HYPERLINK("https://www.google.com/maps/search/?api=1&amp;query=23.49260601,46.87017804", "View Map")</f>
        <v/>
      </c>
    </row>
    <row r="28">
      <c r="A28" t="inlineStr">
        <is>
          <t xml:space="preserve">   أدارةالا وقاف(مسجد جامع الخرفه  ) .</t>
        </is>
      </c>
      <c r="B28" t="inlineStr">
        <is>
          <t>KFM2020660176109</t>
        </is>
      </c>
      <c r="C28" t="inlineStr">
        <is>
          <t>الأفلاج</t>
        </is>
      </c>
      <c r="D28" t="inlineStr">
        <is>
          <t>كلا الفترتين</t>
        </is>
      </c>
      <c r="E28" t="n">
        <v>4845</v>
      </c>
      <c r="F28" t="b">
        <v>1</v>
      </c>
      <c r="G28">
        <f>HYPERLINK("https://www.google.com/maps/search/?api=1&amp;query=22.22870053,46.69283442", "View Map")</f>
        <v/>
      </c>
    </row>
    <row r="29">
      <c r="A29" t="inlineStr">
        <is>
          <t xml:space="preserve">   مسسجد خالد بن الوليد .</t>
        </is>
      </c>
      <c r="B29" t="inlineStr">
        <is>
          <t>KFM2120660260567</t>
        </is>
      </c>
      <c r="C29" t="inlineStr">
        <is>
          <t>الخرج</t>
        </is>
      </c>
      <c r="D29" t="inlineStr">
        <is>
          <t>كلا الفترتين</t>
        </is>
      </c>
      <c r="E29" t="n">
        <v>4768</v>
      </c>
      <c r="F29" t="b">
        <v>1</v>
      </c>
      <c r="G29">
        <f>HYPERLINK("https://www.google.com/maps/search/?api=1&amp;query=24.13314947,47.34355138", "View Map")</f>
        <v/>
      </c>
    </row>
    <row r="30">
      <c r="A30" t="inlineStr">
        <is>
          <t>ﻤﺴﺎﺠﺩ ﺍﻟﺤﻭﻁﻩ .</t>
        </is>
      </c>
      <c r="B30" t="inlineStr">
        <is>
          <t>KFM2020660205842</t>
        </is>
      </c>
      <c r="C30" t="inlineStr">
        <is>
          <t>حوطة بني تميم</t>
        </is>
      </c>
      <c r="D30" t="inlineStr">
        <is>
          <t>كلا الفترتين</t>
        </is>
      </c>
      <c r="E30" t="n">
        <v>4735</v>
      </c>
      <c r="F30" t="b">
        <v>0</v>
      </c>
      <c r="G30">
        <f>HYPERLINK("https://www.google.com/maps/search/?api=1&amp;query=23.48928235,46.87721383", "View Map")</f>
        <v/>
      </c>
    </row>
    <row r="31">
      <c r="A31" t="inlineStr">
        <is>
          <t xml:space="preserve">   مسجد      فرج       ابو سنيه .</t>
        </is>
      </c>
      <c r="B31" t="inlineStr">
        <is>
          <t>KFM2020760204251</t>
        </is>
      </c>
      <c r="C31" t="inlineStr">
        <is>
          <t>وادي الدواسر</t>
        </is>
      </c>
      <c r="D31" t="inlineStr">
        <is>
          <t>كلا الفترتين</t>
        </is>
      </c>
      <c r="E31" t="n">
        <v>4567</v>
      </c>
      <c r="F31" t="b">
        <v>1</v>
      </c>
      <c r="G31">
        <f>HYPERLINK("https://www.google.com/maps/search/?api=1&amp;query=20.46947157,45.05679971", "View Map")</f>
        <v/>
      </c>
    </row>
    <row r="32">
      <c r="A32" t="inlineStr">
        <is>
          <t xml:space="preserve">    الا وقاف ولمساجد(مسجدالهيصميه..) .</t>
        </is>
      </c>
      <c r="B32" t="inlineStr">
        <is>
          <t>AES2020896073609</t>
        </is>
      </c>
      <c r="C32" t="inlineStr">
        <is>
          <t>الأفلاج</t>
        </is>
      </c>
      <c r="D32" t="inlineStr">
        <is>
          <t>كلا الفترتين</t>
        </is>
      </c>
      <c r="E32" t="n">
        <v>4501</v>
      </c>
      <c r="F32" t="b">
        <v>0</v>
      </c>
      <c r="G32">
        <f>HYPERLINK("https://www.google.com/maps/search/?api=1&amp;query=22.27001704,46.75314554", "View Map")</f>
        <v/>
      </c>
    </row>
    <row r="33">
      <c r="A33" t="inlineStr">
        <is>
          <t>ﺍﻭﻗﺎﻑ ﺍﻟﺩﻟﻡ / ﺍﻟﻤﺴــــــﺎﺠـﺩ .</t>
        </is>
      </c>
      <c r="B33" t="inlineStr">
        <is>
          <t>KFM2020660177843</t>
        </is>
      </c>
      <c r="C33" t="inlineStr">
        <is>
          <t>الدلم</t>
        </is>
      </c>
      <c r="D33" t="inlineStr">
        <is>
          <t>كلا الفترتين</t>
        </is>
      </c>
      <c r="E33" t="n">
        <v>4480</v>
      </c>
      <c r="F33" t="b">
        <v>1</v>
      </c>
      <c r="G33">
        <f>HYPERLINK("https://www.google.com/maps/search/?api=1&amp;query=23.96111,47.17606", "View Map")</f>
        <v/>
      </c>
    </row>
    <row r="34">
      <c r="A34" t="inlineStr">
        <is>
          <t xml:space="preserve">   مسجد / ابو بكر الصديق .</t>
        </is>
      </c>
      <c r="B34" t="inlineStr">
        <is>
          <t>SMR2320661021313</t>
        </is>
      </c>
      <c r="C34" t="inlineStr">
        <is>
          <t>وادي الدواسر</t>
        </is>
      </c>
      <c r="D34" t="inlineStr">
        <is>
          <t>كلا الفترتين</t>
        </is>
      </c>
      <c r="E34" t="n">
        <v>4423</v>
      </c>
      <c r="F34" t="b">
        <v>1</v>
      </c>
      <c r="G34">
        <f>HYPERLINK("https://www.google.com/maps/search/?api=1&amp;query=20.47101102,44.79302675", "View Map")</f>
        <v/>
      </c>
    </row>
    <row r="35">
      <c r="A35" t="inlineStr">
        <is>
          <t xml:space="preserve">   اوقاف الخرج/مسجد الامام البخارى .</t>
        </is>
      </c>
      <c r="B35" t="inlineStr">
        <is>
          <t>KFM2020660174636</t>
        </is>
      </c>
      <c r="C35" t="inlineStr">
        <is>
          <t>الخرج</t>
        </is>
      </c>
      <c r="D35" t="inlineStr">
        <is>
          <t>كلا الفترتين</t>
        </is>
      </c>
      <c r="E35" t="n">
        <v>4340</v>
      </c>
      <c r="F35" t="b">
        <v>0</v>
      </c>
      <c r="G35">
        <f>HYPERLINK("https://www.google.com/maps/search/?api=1&amp;query=24.12679216,47.27874723", "View Map")</f>
        <v/>
      </c>
    </row>
    <row r="36">
      <c r="A36" t="inlineStr">
        <is>
          <t>ﻤﺴﺎﺠﺩ ﺍﻟﺴﻟﻴﻝ .</t>
        </is>
      </c>
      <c r="B36" t="inlineStr">
        <is>
          <t>SMR2220661018181</t>
        </is>
      </c>
      <c r="C36" t="inlineStr">
        <is>
          <t>السليل</t>
        </is>
      </c>
      <c r="D36" t="inlineStr">
        <is>
          <t>كلا الفترتين</t>
        </is>
      </c>
      <c r="E36" t="n">
        <v>4331</v>
      </c>
      <c r="F36" t="b">
        <v>1</v>
      </c>
      <c r="G36">
        <f>HYPERLINK("https://www.google.com/maps/search/?api=1&amp;query=20.45828528,45.60095048", "View Map")</f>
        <v/>
      </c>
    </row>
    <row r="37">
      <c r="A37" t="inlineStr">
        <is>
          <t>ﺍﻟﻤﺴﺎﺠﺩﻭﺍﻟﺩﻋﻭﻩ ﺍﻻﺭﺸﺎﺩ ﺒﺎﻻﻓﻼﺝ .</t>
        </is>
      </c>
      <c r="B37" t="inlineStr">
        <is>
          <t>KFM2020660176176</t>
        </is>
      </c>
      <c r="C37" t="inlineStr">
        <is>
          <t>الأفلاج</t>
        </is>
      </c>
      <c r="D37" t="inlineStr">
        <is>
          <t>كلا الفترتين</t>
        </is>
      </c>
      <c r="E37" t="n">
        <v>4130</v>
      </c>
      <c r="F37" t="b">
        <v>0</v>
      </c>
      <c r="G37">
        <f>HYPERLINK("https://www.google.com/maps/search/?api=1&amp;query=22.28373137,46.7221944", "View Map")</f>
        <v/>
      </c>
    </row>
    <row r="38">
      <c r="A38" t="inlineStr">
        <is>
          <t xml:space="preserve">   أوقاف و مساجدالسليل/ مسجد الرقة .</t>
        </is>
      </c>
      <c r="B38" t="inlineStr">
        <is>
          <t>KFM2120660270771</t>
        </is>
      </c>
      <c r="C38" t="inlineStr">
        <is>
          <t>السليل</t>
        </is>
      </c>
      <c r="D38" t="inlineStr">
        <is>
          <t>كلا الفترتين</t>
        </is>
      </c>
      <c r="E38" t="n">
        <v>4124</v>
      </c>
      <c r="F38" t="b">
        <v>0</v>
      </c>
      <c r="G38">
        <f>HYPERLINK("https://www.google.com/maps/search/?api=1&amp;query=20.46089548,45.54705527", "View Map")</f>
        <v/>
      </c>
    </row>
    <row r="39">
      <c r="A39" t="inlineStr">
        <is>
          <t xml:space="preserve">   مسجد       حلة        3/ .</t>
        </is>
      </c>
      <c r="B39" t="inlineStr">
        <is>
          <t>KFM2120660272949</t>
        </is>
      </c>
      <c r="C39" t="inlineStr">
        <is>
          <t>الخرج</t>
        </is>
      </c>
      <c r="D39" t="inlineStr">
        <is>
          <t>كلا الفترتين</t>
        </is>
      </c>
      <c r="E39" t="n">
        <v>4083</v>
      </c>
      <c r="F39" t="b">
        <v>0</v>
      </c>
      <c r="G39">
        <f>HYPERLINK("https://www.google.com/maps/search/?api=1&amp;query=24.15499071,47.31498239", "View Map")</f>
        <v/>
      </c>
    </row>
    <row r="40">
      <c r="A40" t="inlineStr">
        <is>
          <t xml:space="preserve">   مسجد       مبارك     ال عريمه .</t>
        </is>
      </c>
      <c r="B40" t="inlineStr">
        <is>
          <t>KFM2020660177877</t>
        </is>
      </c>
      <c r="C40" t="inlineStr">
        <is>
          <t>وادي الدواسر</t>
        </is>
      </c>
      <c r="D40" t="inlineStr">
        <is>
          <t>كلا الفترتين</t>
        </is>
      </c>
      <c r="E40" t="n">
        <v>4033</v>
      </c>
      <c r="F40" t="b">
        <v>1</v>
      </c>
      <c r="G40">
        <f>HYPERLINK("https://www.google.com/maps/search/?api=1&amp;query=20.46875995,44.76747325", "View Map")</f>
        <v/>
      </c>
    </row>
    <row r="41">
      <c r="A41" t="inlineStr">
        <is>
          <t>مساجد الخماسين .</t>
        </is>
      </c>
      <c r="B41" t="inlineStr">
        <is>
          <t>KFM2020660212769</t>
        </is>
      </c>
      <c r="C41" t="inlineStr">
        <is>
          <t>وادي الدواسر</t>
        </is>
      </c>
      <c r="D41" t="inlineStr">
        <is>
          <t>كلا الفترتين</t>
        </is>
      </c>
      <c r="E41" t="n">
        <v>3935</v>
      </c>
      <c r="F41" t="b">
        <v>0</v>
      </c>
      <c r="G41">
        <f>HYPERLINK("https://www.google.com/maps/search/?api=1&amp;query=20.44978469,44.77434045", "View Map")</f>
        <v/>
      </c>
    </row>
    <row r="42">
      <c r="A42" t="inlineStr">
        <is>
          <t>ﻤﺴﺎﺠﺩﺍﻟﺨـﺭﺝ .</t>
        </is>
      </c>
      <c r="B42" t="inlineStr">
        <is>
          <t>SMR2220661004487</t>
        </is>
      </c>
      <c r="C42" t="inlineStr">
        <is>
          <t>الخرج</t>
        </is>
      </c>
      <c r="D42" t="inlineStr">
        <is>
          <t>كلا الفترتين</t>
        </is>
      </c>
      <c r="E42" t="n">
        <v>3613</v>
      </c>
      <c r="F42" t="b">
        <v>1</v>
      </c>
      <c r="G42">
        <f>HYPERLINK("https://www.google.com/maps/search/?api=1&amp;query=24.16007137,47.23464169", "View Map")</f>
        <v/>
      </c>
    </row>
    <row r="43">
      <c r="A43" t="inlineStr">
        <is>
          <t xml:space="preserve">      مسجد حى العاليه .</t>
        </is>
      </c>
      <c r="B43" t="inlineStr">
        <is>
          <t>KFM2120660300267</t>
        </is>
      </c>
      <c r="C43" t="inlineStr">
        <is>
          <t>الخرج</t>
        </is>
      </c>
      <c r="D43" t="inlineStr">
        <is>
          <t>كلا الفترتين</t>
        </is>
      </c>
      <c r="E43" t="n">
        <v>3612</v>
      </c>
      <c r="F43" t="b">
        <v>1</v>
      </c>
      <c r="G43">
        <f>HYPERLINK("https://www.google.com/maps/search/?api=1&amp;query=24.17494047,47.34780505", "View Map")</f>
        <v/>
      </c>
    </row>
    <row r="44">
      <c r="A44" t="inlineStr">
        <is>
          <t xml:space="preserve">      مسجد / صالح الحسن .</t>
        </is>
      </c>
      <c r="B44" t="inlineStr">
        <is>
          <t>KFM2120660264320</t>
        </is>
      </c>
      <c r="C44" t="inlineStr">
        <is>
          <t>الخرج</t>
        </is>
      </c>
      <c r="D44" t="inlineStr">
        <is>
          <t>كلا الفترتين</t>
        </is>
      </c>
      <c r="E44" t="n">
        <v>3508</v>
      </c>
      <c r="F44" t="b">
        <v>0</v>
      </c>
      <c r="G44">
        <f>HYPERLINK("https://www.google.com/maps/search/?api=1&amp;query=24.1530248,47.34529481", "View Map")</f>
        <v/>
      </c>
    </row>
    <row r="45">
      <c r="A45" t="inlineStr">
        <is>
          <t xml:space="preserve">   مسجد حي المطار .</t>
        </is>
      </c>
      <c r="B45" t="inlineStr">
        <is>
          <t>ECC2020810834367</t>
        </is>
      </c>
      <c r="C45" t="inlineStr">
        <is>
          <t>السليل</t>
        </is>
      </c>
      <c r="D45" t="inlineStr">
        <is>
          <t>كلا الفترتين</t>
        </is>
      </c>
      <c r="E45" t="n">
        <v>3490</v>
      </c>
      <c r="F45" t="b">
        <v>1</v>
      </c>
      <c r="G45">
        <f>HYPERLINK("https://www.google.com/maps/search/?api=1&amp;query=20.44686468,45.19487975", "View Map")</f>
        <v/>
      </c>
    </row>
    <row r="46">
      <c r="A46" t="inlineStr">
        <is>
          <t>ﺍﻟﻤﺴﺎﺠﺩﻭﺍﻟﺩﻋﻭﻩ ﺍﻻﺭﺸﺎﺩ ﺒﺎﻻﻓﻼﺝ .</t>
        </is>
      </c>
      <c r="B46" t="inlineStr">
        <is>
          <t>KFM2020660211807</t>
        </is>
      </c>
      <c r="C46" t="inlineStr">
        <is>
          <t>الأفلاج</t>
        </is>
      </c>
      <c r="D46" t="inlineStr">
        <is>
          <t>كلا الفترتين</t>
        </is>
      </c>
      <c r="E46" t="n">
        <v>3470</v>
      </c>
      <c r="F46" t="b">
        <v>1</v>
      </c>
      <c r="G46">
        <f>HYPERLINK("https://www.google.com/maps/search/?api=1&amp;query=22.01179802,46.59672528", "View Map")</f>
        <v/>
      </c>
    </row>
    <row r="47">
      <c r="A47" t="inlineStr">
        <is>
          <t xml:space="preserve">   مسجد/محمد احمد الطهيفي .</t>
        </is>
      </c>
      <c r="B47" t="inlineStr">
        <is>
          <t>KFM2120660257281</t>
        </is>
      </c>
      <c r="C47" t="inlineStr">
        <is>
          <t>الخرج</t>
        </is>
      </c>
      <c r="D47" t="inlineStr">
        <is>
          <t>كلا الفترتين</t>
        </is>
      </c>
      <c r="E47" t="n">
        <v>3469</v>
      </c>
      <c r="F47" t="b">
        <v>1</v>
      </c>
      <c r="G47">
        <f>HYPERLINK("https://www.google.com/maps/search/?api=1&amp;query=24.21256254,47.19673791", "View Map")</f>
        <v/>
      </c>
    </row>
    <row r="48">
      <c r="A48" t="inlineStr">
        <is>
          <t xml:space="preserve">   مسجد      جامع      الجنوبيى .</t>
        </is>
      </c>
      <c r="B48" t="inlineStr">
        <is>
          <t>KFM2020660211845</t>
        </is>
      </c>
      <c r="C48" t="inlineStr">
        <is>
          <t>الأفلاج</t>
        </is>
      </c>
      <c r="D48" t="inlineStr">
        <is>
          <t>كلا الفترتين</t>
        </is>
      </c>
      <c r="E48" t="n">
        <v>3394</v>
      </c>
      <c r="F48" t="b">
        <v>0</v>
      </c>
      <c r="G48">
        <f>HYPERLINK("https://www.google.com/maps/search/?api=1&amp;query=22.0036128,46.56628379", "View Map")</f>
        <v/>
      </c>
    </row>
    <row r="49">
      <c r="A49" t="inlineStr">
        <is>
          <t xml:space="preserve">   جامع الحسايه بالباطن .</t>
        </is>
      </c>
      <c r="B49" t="inlineStr">
        <is>
          <t>KFM2120660292726</t>
        </is>
      </c>
      <c r="C49" t="inlineStr">
        <is>
          <t>حوطة بني تميم</t>
        </is>
      </c>
      <c r="D49" t="inlineStr">
        <is>
          <t>كلا الفترتين</t>
        </is>
      </c>
      <c r="E49" t="n">
        <v>3385</v>
      </c>
      <c r="F49" t="b">
        <v>0</v>
      </c>
      <c r="G49">
        <f>HYPERLINK("https://www.google.com/maps/search/?api=1&amp;query=23.53012053,46.83201069", "View Map")</f>
        <v/>
      </c>
    </row>
    <row r="50">
      <c r="A50" t="inlineStr">
        <is>
          <t>ﻤﺴﺎﺠﺩ ﺍﻟﺨﻤﺎﺴﻴﻥ .</t>
        </is>
      </c>
      <c r="B50" t="inlineStr">
        <is>
          <t>AEC2020830275655</t>
        </is>
      </c>
      <c r="C50" t="inlineStr">
        <is>
          <t>وادي الدواسر</t>
        </is>
      </c>
      <c r="D50" t="inlineStr">
        <is>
          <t>كلا الفترتين</t>
        </is>
      </c>
      <c r="E50" t="n">
        <v>3375</v>
      </c>
      <c r="F50" t="b">
        <v>1</v>
      </c>
      <c r="G50">
        <f>HYPERLINK("https://www.google.com/maps/search/?api=1&amp;query=20.44729749,44.78795038", "View Map")</f>
        <v/>
      </c>
    </row>
    <row r="51">
      <c r="A51" t="inlineStr">
        <is>
          <t xml:space="preserve">   مسجد/ال سويكت .</t>
        </is>
      </c>
      <c r="B51" t="inlineStr">
        <is>
          <t>KFM2020660223654</t>
        </is>
      </c>
      <c r="C51" t="inlineStr">
        <is>
          <t>وادي الدواسر</t>
        </is>
      </c>
      <c r="D51" t="inlineStr">
        <is>
          <t>كلا الفترتين</t>
        </is>
      </c>
      <c r="E51" t="n">
        <v>3328</v>
      </c>
      <c r="F51" t="b">
        <v>1</v>
      </c>
      <c r="G51">
        <f>HYPERLINK("https://www.google.com/maps/search/?api=1&amp;query=20.43271828,44.85573303", "View Map")</f>
        <v/>
      </c>
    </row>
    <row r="52">
      <c r="A52" t="inlineStr">
        <is>
          <t xml:space="preserve">   مسجدجامع الحـريدى .</t>
        </is>
      </c>
      <c r="B52" t="inlineStr">
        <is>
          <t>KFM2020660212945</t>
        </is>
      </c>
      <c r="C52" t="inlineStr">
        <is>
          <t>الخرج</t>
        </is>
      </c>
      <c r="D52" t="inlineStr">
        <is>
          <t>كلا الفترتين</t>
        </is>
      </c>
      <c r="E52" t="n">
        <v>3306</v>
      </c>
      <c r="F52" t="b">
        <v>1</v>
      </c>
      <c r="G52">
        <f>HYPERLINK("https://www.google.com/maps/search/?api=1&amp;query=24.19700207,47.29871877", "View Map")</f>
        <v/>
      </c>
    </row>
    <row r="53">
      <c r="A53" t="inlineStr">
        <is>
          <t>مسجد ابن خلدون .</t>
        </is>
      </c>
      <c r="B53" t="inlineStr">
        <is>
          <t>KFM2020760204108</t>
        </is>
      </c>
      <c r="C53" t="inlineStr">
        <is>
          <t>وادي الدواسر</t>
        </is>
      </c>
      <c r="D53" t="inlineStr">
        <is>
          <t>كلا الفترتين</t>
        </is>
      </c>
      <c r="E53" t="n">
        <v>3270</v>
      </c>
      <c r="F53" t="b">
        <v>1</v>
      </c>
      <c r="G53">
        <f>HYPERLINK("https://www.google.com/maps/search/?api=1&amp;query=20.45321588,44.81211579", "View Map")</f>
        <v/>
      </c>
    </row>
    <row r="54">
      <c r="A54" t="inlineStr">
        <is>
          <t xml:space="preserve">   اوقاف الخرج /  مسجد حلة المحاسنه .</t>
        </is>
      </c>
      <c r="B54" t="inlineStr">
        <is>
          <t>KFM2020660174637</t>
        </is>
      </c>
      <c r="C54" t="inlineStr">
        <is>
          <t>الخرج</t>
        </is>
      </c>
      <c r="D54" t="inlineStr">
        <is>
          <t>كلا الفترتين</t>
        </is>
      </c>
      <c r="E54" t="n">
        <v>3265</v>
      </c>
      <c r="F54" t="b">
        <v>1</v>
      </c>
      <c r="G54">
        <f>HYPERLINK("https://www.google.com/maps/search/?api=1&amp;query=24.1259483,47.27599942", "View Map")</f>
        <v/>
      </c>
    </row>
    <row r="55">
      <c r="A55" t="inlineStr">
        <is>
          <t>ﻤﺴﺎﺠﺩ ﺍﻟﺨﻤﺎﺴﻴﻥ .</t>
        </is>
      </c>
      <c r="B55" t="inlineStr">
        <is>
          <t>MMF2020800319402</t>
        </is>
      </c>
      <c r="C55" t="inlineStr">
        <is>
          <t>وادي الدواسر</t>
        </is>
      </c>
      <c r="D55" t="inlineStr">
        <is>
          <t>كلا الفترتين</t>
        </is>
      </c>
      <c r="E55" t="n">
        <v>3255</v>
      </c>
      <c r="F55" t="b">
        <v>1</v>
      </c>
      <c r="G55">
        <f>HYPERLINK("https://www.google.com/maps/search/?api=1&amp;query=20.4503241,44.8405842", "View Map")</f>
        <v/>
      </c>
    </row>
    <row r="56">
      <c r="A56" t="inlineStr">
        <is>
          <t xml:space="preserve">   مسجد /حي ال برزان .</t>
        </is>
      </c>
      <c r="B56" t="inlineStr">
        <is>
          <t>AEC2020830311436</t>
        </is>
      </c>
      <c r="C56" t="inlineStr">
        <is>
          <t>وادي الدواسر</t>
        </is>
      </c>
      <c r="D56" t="inlineStr">
        <is>
          <t>كلا الفترتين</t>
        </is>
      </c>
      <c r="E56" t="n">
        <v>3201</v>
      </c>
      <c r="F56" t="b">
        <v>0</v>
      </c>
      <c r="G56">
        <f>HYPERLINK("https://www.google.com/maps/search/?api=1&amp;query=20.46818392,45.13275226", "View Map")</f>
        <v/>
      </c>
    </row>
    <row r="57">
      <c r="A57" t="inlineStr">
        <is>
          <t xml:space="preserve">      جامع الد عوه .</t>
        </is>
      </c>
      <c r="B57" t="inlineStr">
        <is>
          <t>KFM2020660228430</t>
        </is>
      </c>
      <c r="C57" t="inlineStr">
        <is>
          <t>الدلم</t>
        </is>
      </c>
      <c r="D57" t="inlineStr">
        <is>
          <t>كلا الفترتين</t>
        </is>
      </c>
      <c r="E57" t="n">
        <v>3185</v>
      </c>
      <c r="F57" t="b">
        <v>0</v>
      </c>
      <c r="G57">
        <f>HYPERLINK("https://www.google.com/maps/search/?api=1&amp;query=23.99084306,47.12888933", "View Map")</f>
        <v/>
      </c>
    </row>
    <row r="58">
      <c r="A58" t="inlineStr">
        <is>
          <t xml:space="preserve">   مسجد/ تميم الداري .</t>
        </is>
      </c>
      <c r="B58" t="inlineStr">
        <is>
          <t>KFM2120660249793</t>
        </is>
      </c>
      <c r="C58" t="inlineStr">
        <is>
          <t>الخرج</t>
        </is>
      </c>
      <c r="D58" t="inlineStr">
        <is>
          <t>كلا الفترتين</t>
        </is>
      </c>
      <c r="E58" t="n">
        <v>3154</v>
      </c>
      <c r="F58" t="b">
        <v>0</v>
      </c>
      <c r="G58">
        <f>HYPERLINK("https://www.google.com/maps/search/?api=1&amp;query=24.1446886,47.35863788", "View Map")</f>
        <v/>
      </c>
    </row>
    <row r="59">
      <c r="A59" t="inlineStr">
        <is>
          <t xml:space="preserve">      اوقاف الدواسر/مسجد متعب .</t>
        </is>
      </c>
      <c r="B59" t="inlineStr">
        <is>
          <t>KFM2020660206085</t>
        </is>
      </c>
      <c r="C59" t="inlineStr">
        <is>
          <t>وادي الدواسر</t>
        </is>
      </c>
      <c r="D59" t="inlineStr">
        <is>
          <t>كلا الفترتين</t>
        </is>
      </c>
      <c r="E59" t="n">
        <v>3106</v>
      </c>
      <c r="F59" t="b">
        <v>1</v>
      </c>
      <c r="G59">
        <f>HYPERLINK("https://www.google.com/maps/search/?api=1&amp;query=20.4503241,44.8405842", "View Map")</f>
        <v/>
      </c>
    </row>
    <row r="60">
      <c r="A60" t="inlineStr">
        <is>
          <t xml:space="preserve">      اوقاف الدواسر/مسجد بن جماهر .</t>
        </is>
      </c>
      <c r="B60" t="inlineStr">
        <is>
          <t>KFM2020660206215</t>
        </is>
      </c>
      <c r="C60" t="inlineStr">
        <is>
          <t>وادي الدواسر</t>
        </is>
      </c>
      <c r="D60" t="inlineStr">
        <is>
          <t>كلا الفترتين</t>
        </is>
      </c>
      <c r="E60" t="n">
        <v>3092</v>
      </c>
      <c r="F60" t="b">
        <v>0</v>
      </c>
      <c r="G60">
        <f>HYPERLINK("https://www.google.com/maps/search/?api=1&amp;query=20.4602661,44.79577631", "View Map")</f>
        <v/>
      </c>
    </row>
    <row r="61">
      <c r="A61" t="inlineStr">
        <is>
          <t xml:space="preserve">   مسجد      عبدالله   ال صقر .</t>
        </is>
      </c>
      <c r="B61" t="inlineStr">
        <is>
          <t>KFM2020660176030</t>
        </is>
      </c>
      <c r="C61" t="inlineStr">
        <is>
          <t>وادي الدواسر</t>
        </is>
      </c>
      <c r="D61" t="inlineStr">
        <is>
          <t>كلا الفترتين</t>
        </is>
      </c>
      <c r="E61" t="n">
        <v>3084</v>
      </c>
      <c r="F61" t="b">
        <v>1</v>
      </c>
      <c r="G61">
        <f>HYPERLINK("https://www.google.com/maps/search/?api=1&amp;query=20.44453598,44.74161437", "View Map")</f>
        <v/>
      </c>
    </row>
    <row r="62">
      <c r="A62" t="inlineStr">
        <is>
          <t xml:space="preserve">   اوقاف الدواسر - مسجد/جامع آلمفيز .</t>
        </is>
      </c>
      <c r="B62" t="inlineStr">
        <is>
          <t>KFM2020660206019</t>
        </is>
      </c>
      <c r="C62" t="inlineStr">
        <is>
          <t>وادي الدواسر</t>
        </is>
      </c>
      <c r="D62" t="inlineStr">
        <is>
          <t>كلا الفترتين</t>
        </is>
      </c>
      <c r="E62" t="n">
        <v>3077</v>
      </c>
      <c r="F62" t="b">
        <v>1</v>
      </c>
      <c r="G62">
        <f>HYPERLINK("https://www.google.com/maps/search/?api=1&amp;query=20.43785733,44.77984414", "View Map")</f>
        <v/>
      </c>
    </row>
    <row r="63">
      <c r="A63" t="inlineStr">
        <is>
          <t xml:space="preserve">   مسجد الرمضةبالجوبة .</t>
        </is>
      </c>
      <c r="B63" t="inlineStr">
        <is>
          <t>KFM2120660247567</t>
        </is>
      </c>
      <c r="C63" t="inlineStr">
        <is>
          <t>وادي الدواسر</t>
        </is>
      </c>
      <c r="D63" t="inlineStr">
        <is>
          <t>كلا الفترتين</t>
        </is>
      </c>
      <c r="E63" t="n">
        <v>2977</v>
      </c>
      <c r="F63" t="b">
        <v>0</v>
      </c>
      <c r="G63">
        <f>HYPERLINK("https://www.google.com/maps/search/?api=1&amp;query=20.40133781,45.18385742", "View Map")</f>
        <v/>
      </c>
    </row>
    <row r="64">
      <c r="A64" t="inlineStr">
        <is>
          <t xml:space="preserve">      مسجد الجامع بالرفيعه .</t>
        </is>
      </c>
      <c r="B64" t="inlineStr">
        <is>
          <t>KFM2020660200846</t>
        </is>
      </c>
      <c r="C64" t="inlineStr">
        <is>
          <t>الخرج</t>
        </is>
      </c>
      <c r="D64" t="inlineStr">
        <is>
          <t>كلا الفترتين</t>
        </is>
      </c>
      <c r="E64" t="n">
        <v>2923</v>
      </c>
      <c r="F64" t="b">
        <v>0</v>
      </c>
      <c r="G64">
        <f>HYPERLINK("https://www.google.com/maps/search/?api=1&amp;query=24.18819948,47.26896588", "View Map")</f>
        <v/>
      </c>
    </row>
    <row r="65">
      <c r="A65" t="inlineStr">
        <is>
          <t xml:space="preserve">      مسجد حله السعوديه5/ .</t>
        </is>
      </c>
      <c r="B65" t="inlineStr">
        <is>
          <t>KFM2020660208012</t>
        </is>
      </c>
      <c r="C65" t="inlineStr">
        <is>
          <t>الخرج</t>
        </is>
      </c>
      <c r="D65" t="inlineStr">
        <is>
          <t>كلا الفترتين</t>
        </is>
      </c>
      <c r="E65" t="n">
        <v>2854</v>
      </c>
      <c r="F65" t="b">
        <v>1</v>
      </c>
      <c r="G65">
        <f>HYPERLINK("https://www.google.com/maps/search/?api=1&amp;query=24.16025664,47.31870038", "View Map")</f>
        <v/>
      </c>
    </row>
    <row r="66">
      <c r="A66" t="inlineStr">
        <is>
          <t>ﻤﺴﺎﺠﺩ ﺍﻟﺤﻭﻁﻩ .</t>
        </is>
      </c>
      <c r="B66" t="inlineStr">
        <is>
          <t>KFM2020660177752</t>
        </is>
      </c>
      <c r="C66" t="inlineStr">
        <is>
          <t>حوطة بني تميم</t>
        </is>
      </c>
      <c r="D66" t="inlineStr">
        <is>
          <t>كلا الفترتين</t>
        </is>
      </c>
      <c r="E66" t="n">
        <v>2851</v>
      </c>
      <c r="F66" t="b">
        <v>1</v>
      </c>
      <c r="G66">
        <f>HYPERLINK("https://www.google.com/maps/search/?api=1&amp;query=23.49517311,46.88341394", "View Map")</f>
        <v/>
      </c>
    </row>
    <row r="67">
      <c r="A67" t="inlineStr">
        <is>
          <t>ﻤﺴﺎﺠﺩ ﺍﻟﺤﻭﻁﻩ .</t>
        </is>
      </c>
      <c r="B67" t="inlineStr">
        <is>
          <t>KFM2120660302795</t>
        </is>
      </c>
      <c r="C67" t="inlineStr">
        <is>
          <t>حوطة بني تميم</t>
        </is>
      </c>
      <c r="D67" t="inlineStr">
        <is>
          <t>كلا الفترتين</t>
        </is>
      </c>
      <c r="E67" t="n">
        <v>2835</v>
      </c>
      <c r="F67" t="b">
        <v>1</v>
      </c>
      <c r="G67">
        <f>HYPERLINK("https://www.google.com/maps/search/?api=1&amp;query=23.43246151,46.79009905", "View Map")</f>
        <v/>
      </c>
    </row>
    <row r="68">
      <c r="A68" t="inlineStr">
        <is>
          <t>ﻤﺴﺎﺠﺩ ﺍﻟﺨﻤﺎﺴﻴﻥ .</t>
        </is>
      </c>
      <c r="B68" t="inlineStr">
        <is>
          <t>KFM2020760220647</t>
        </is>
      </c>
      <c r="C68" t="inlineStr">
        <is>
          <t>وادي الدواسر</t>
        </is>
      </c>
      <c r="D68" t="inlineStr">
        <is>
          <t>كلا الفترتين</t>
        </is>
      </c>
      <c r="E68" t="n">
        <v>2833</v>
      </c>
      <c r="F68" t="b">
        <v>0</v>
      </c>
      <c r="G68">
        <f>HYPERLINK("https://www.google.com/maps/search/?api=1&amp;query=20.4503241,44.8405842", "View Map")</f>
        <v/>
      </c>
    </row>
    <row r="69">
      <c r="A69" t="inlineStr">
        <is>
          <t>مساجد السليل .</t>
        </is>
      </c>
      <c r="B69" t="inlineStr">
        <is>
          <t>KFM2120660271413</t>
        </is>
      </c>
      <c r="C69" t="inlineStr">
        <is>
          <t>السليل</t>
        </is>
      </c>
      <c r="D69" t="inlineStr">
        <is>
          <t>كلا الفترتين</t>
        </is>
      </c>
      <c r="E69" t="n">
        <v>2824</v>
      </c>
      <c r="F69" t="b">
        <v>0</v>
      </c>
      <c r="G69">
        <f>HYPERLINK("https://www.google.com/maps/search/?api=1&amp;query=20.45821062,45.59651651", "View Map")</f>
        <v/>
      </c>
    </row>
    <row r="70">
      <c r="A70" t="inlineStr">
        <is>
          <t xml:space="preserve">   مسجدبن كهف /اوقاف الدواسر .</t>
        </is>
      </c>
      <c r="B70" t="inlineStr">
        <is>
          <t>MMF2020800259580</t>
        </is>
      </c>
      <c r="C70" t="inlineStr">
        <is>
          <t>وادي الدواسر</t>
        </is>
      </c>
      <c r="D70" t="inlineStr">
        <is>
          <t>كلا الفترتين</t>
        </is>
      </c>
      <c r="E70" t="n">
        <v>2770</v>
      </c>
      <c r="F70" t="b">
        <v>1</v>
      </c>
      <c r="G70">
        <f>HYPERLINK("https://www.google.com/maps/search/?api=1&amp;query=20.38800009,44.74027198", "View Map")</f>
        <v/>
      </c>
    </row>
    <row r="71">
      <c r="A71" t="inlineStr">
        <is>
          <t xml:space="preserve">      مسجد جامع حى الرفاع .</t>
        </is>
      </c>
      <c r="B71" t="inlineStr">
        <is>
          <t>KFM2020660207897</t>
        </is>
      </c>
      <c r="C71" t="inlineStr">
        <is>
          <t>الخرج</t>
        </is>
      </c>
      <c r="D71" t="inlineStr">
        <is>
          <t>كلا الفترتين</t>
        </is>
      </c>
      <c r="E71" t="n">
        <v>2768</v>
      </c>
      <c r="F71" t="b">
        <v>1</v>
      </c>
      <c r="G71">
        <f>HYPERLINK("https://www.google.com/maps/search/?api=1&amp;query=24.117,47.939", "View Map")</f>
        <v/>
      </c>
    </row>
    <row r="72">
      <c r="A72" t="inlineStr">
        <is>
          <t xml:space="preserve">    الموسسه العامه للصناعات الحربيه .</t>
        </is>
      </c>
      <c r="B72" t="inlineStr">
        <is>
          <t>KFM2120660250471</t>
        </is>
      </c>
      <c r="C72" t="inlineStr">
        <is>
          <t>الخرج</t>
        </is>
      </c>
      <c r="D72" t="inlineStr">
        <is>
          <t>كلا الفترتين</t>
        </is>
      </c>
      <c r="E72" t="n">
        <v>2761</v>
      </c>
      <c r="F72" t="b">
        <v>1</v>
      </c>
      <c r="G72">
        <f>HYPERLINK("https://www.google.com/maps/search/?api=1&amp;query=24.13352099,47.28804134", "View Map")</f>
        <v/>
      </c>
    </row>
    <row r="73">
      <c r="A73" t="inlineStr">
        <is>
          <t>ﻤﺴﺎﺠﺩ ﺍﻟﺨﻤﺎﺴﻴﻥ .</t>
        </is>
      </c>
      <c r="B73" t="inlineStr">
        <is>
          <t>SMR2220661016938</t>
        </is>
      </c>
      <c r="C73" t="inlineStr">
        <is>
          <t>وادي الدواسر</t>
        </is>
      </c>
      <c r="D73" t="inlineStr">
        <is>
          <t>كلا الفترتين</t>
        </is>
      </c>
      <c r="E73" t="n">
        <v>2754</v>
      </c>
      <c r="F73" t="b">
        <v>1</v>
      </c>
      <c r="G73">
        <f>HYPERLINK("https://www.google.com/maps/search/?api=1&amp;query=20.45935227,44.75663044", "View Map")</f>
        <v/>
      </c>
    </row>
    <row r="74">
      <c r="A74" t="inlineStr">
        <is>
          <t>ﺍﻭﻗﺎﻑ ﺍﻟﺩﻟﻡ / ﺍﻟﻤﺴــــــﺎﺠـﺩ .</t>
        </is>
      </c>
      <c r="B74" t="inlineStr">
        <is>
          <t>AEC2020830024523</t>
        </is>
      </c>
      <c r="C74" t="inlineStr">
        <is>
          <t>الدلم</t>
        </is>
      </c>
      <c r="D74" t="inlineStr">
        <is>
          <t>كلا الفترتين</t>
        </is>
      </c>
      <c r="E74" t="n">
        <v>2705</v>
      </c>
      <c r="F74" t="b">
        <v>0</v>
      </c>
      <c r="G74">
        <f>HYPERLINK("https://www.google.com/maps/search/?api=1&amp;query=24.01850527,47.16885421", "View Map")</f>
        <v/>
      </c>
    </row>
    <row r="75">
      <c r="A75" t="inlineStr">
        <is>
          <t xml:space="preserve">   جامع الملك فهد .</t>
        </is>
      </c>
      <c r="B75" t="inlineStr">
        <is>
          <t>KFM2120660260690</t>
        </is>
      </c>
      <c r="C75" t="inlineStr">
        <is>
          <t>الخرج</t>
        </is>
      </c>
      <c r="D75" t="inlineStr">
        <is>
          <t>كلا الفترتين</t>
        </is>
      </c>
      <c r="E75" t="n">
        <v>2674</v>
      </c>
      <c r="F75" t="b">
        <v>0</v>
      </c>
      <c r="G75">
        <f>HYPERLINK("https://www.google.com/maps/search/?api=1&amp;query=24.1441969,47.3466413", "View Map")</f>
        <v/>
      </c>
    </row>
    <row r="76">
      <c r="A76" t="inlineStr">
        <is>
          <t xml:space="preserve">     مسجدالجامع الكبير .</t>
        </is>
      </c>
      <c r="B76" t="inlineStr">
        <is>
          <t>KFM2120660270881</t>
        </is>
      </c>
      <c r="C76" t="inlineStr">
        <is>
          <t>حوطة بني تميم</t>
        </is>
      </c>
      <c r="D76" t="inlineStr">
        <is>
          <t>كلا الفترتين</t>
        </is>
      </c>
      <c r="E76" t="n">
        <v>2649</v>
      </c>
      <c r="F76" t="b">
        <v>1</v>
      </c>
      <c r="G76">
        <f>HYPERLINK("https://www.google.com/maps/search/?api=1&amp;query=23.48823798,46.85188467", "View Map")</f>
        <v/>
      </c>
    </row>
    <row r="77">
      <c r="A77" t="inlineStr">
        <is>
          <t>ﻤﺴﺎﺠﺩ ﺍﻟﺨﻤﺎﺴﻴﻥ .</t>
        </is>
      </c>
      <c r="B77" t="inlineStr">
        <is>
          <t>KFM2120660256214</t>
        </is>
      </c>
      <c r="C77" t="inlineStr">
        <is>
          <t>وادي الدواسر</t>
        </is>
      </c>
      <c r="D77" t="inlineStr">
        <is>
          <t>كلا الفترتين</t>
        </is>
      </c>
      <c r="E77" t="n">
        <v>2636</v>
      </c>
      <c r="F77" t="b">
        <v>1</v>
      </c>
      <c r="G77">
        <f>HYPERLINK("https://www.google.com/maps/search/?api=1&amp;query=20.42512156,44.88295773", "View Map")</f>
        <v/>
      </c>
    </row>
    <row r="78">
      <c r="A78" t="inlineStr">
        <is>
          <t>لمساجدوالدعوه الا رشاد بالا فل .</t>
        </is>
      </c>
      <c r="B78" t="inlineStr">
        <is>
          <t>KFM2020660176173</t>
        </is>
      </c>
      <c r="C78" t="inlineStr">
        <is>
          <t>الأفلاج</t>
        </is>
      </c>
      <c r="D78" t="inlineStr">
        <is>
          <t>كلا الفترتين</t>
        </is>
      </c>
      <c r="E78" t="n">
        <v>2613</v>
      </c>
      <c r="F78" t="b">
        <v>0</v>
      </c>
      <c r="G78">
        <f>HYPERLINK("https://www.google.com/maps/search/?api=1&amp;query=22.2249776,46.77494447", "View Map")</f>
        <v/>
      </c>
    </row>
    <row r="79">
      <c r="A79" t="inlineStr">
        <is>
          <t xml:space="preserve">   مسجد أم سلطان الاوقاف والمساجد .</t>
        </is>
      </c>
      <c r="B79" t="inlineStr">
        <is>
          <t>KFM2020660212677</t>
        </is>
      </c>
      <c r="C79" t="inlineStr">
        <is>
          <t>وادي الدواسر</t>
        </is>
      </c>
      <c r="D79" t="inlineStr">
        <is>
          <t>كلا الفترتين</t>
        </is>
      </c>
      <c r="E79" t="n">
        <v>2595</v>
      </c>
      <c r="F79" t="b">
        <v>0</v>
      </c>
      <c r="G79">
        <f>HYPERLINK("https://www.google.com/maps/search/?api=1&amp;query=20.46044554,44.77590333", "View Map")</f>
        <v/>
      </c>
    </row>
    <row r="80">
      <c r="A80" t="inlineStr">
        <is>
          <t xml:space="preserve">   مسجد حى الفيصليه رقم(8) .</t>
        </is>
      </c>
      <c r="B80" t="inlineStr">
        <is>
          <t>KFM2020660230761</t>
        </is>
      </c>
      <c r="C80" t="inlineStr">
        <is>
          <t>الخرج</t>
        </is>
      </c>
      <c r="D80" t="inlineStr">
        <is>
          <t>كلا الفترتين</t>
        </is>
      </c>
      <c r="E80" t="n">
        <v>2581</v>
      </c>
      <c r="F80" t="b">
        <v>0</v>
      </c>
      <c r="G80">
        <f>HYPERLINK("https://www.google.com/maps/search/?api=1&amp;query=24.16634665,47.3552089", "View Map")</f>
        <v/>
      </c>
    </row>
    <row r="81">
      <c r="A81" t="inlineStr">
        <is>
          <t xml:space="preserve">   مسجدالمخطط(1)/اوقاف الدواسر .</t>
        </is>
      </c>
      <c r="B81" t="inlineStr">
        <is>
          <t>KFM2020760052883</t>
        </is>
      </c>
      <c r="C81" t="inlineStr">
        <is>
          <t>وادي الدواسر</t>
        </is>
      </c>
      <c r="D81" t="inlineStr">
        <is>
          <t>كلا الفترتين</t>
        </is>
      </c>
      <c r="E81" t="n">
        <v>2567</v>
      </c>
      <c r="F81" t="b">
        <v>1</v>
      </c>
      <c r="G81">
        <f>HYPERLINK("https://www.google.com/maps/search/?api=1&amp;query=20.46526271,44.78159819", "View Map")</f>
        <v/>
      </c>
    </row>
    <row r="82">
      <c r="A82" t="inlineStr">
        <is>
          <t xml:space="preserve">   مسجد تجمع حي النهضة .</t>
        </is>
      </c>
      <c r="B82" t="inlineStr">
        <is>
          <t>KFM2120660247687</t>
        </is>
      </c>
      <c r="C82" t="inlineStr">
        <is>
          <t>وادي الدواسر</t>
        </is>
      </c>
      <c r="D82" t="inlineStr">
        <is>
          <t>كلا الفترتين</t>
        </is>
      </c>
      <c r="E82" t="n">
        <v>2564</v>
      </c>
      <c r="F82" t="b">
        <v>1</v>
      </c>
      <c r="G82">
        <f>HYPERLINK("https://www.google.com/maps/search/?api=1&amp;query=20.47696215,45.14269688", "View Map")</f>
        <v/>
      </c>
    </row>
    <row r="83">
      <c r="A83" t="inlineStr">
        <is>
          <t xml:space="preserve">   مسجد مران ناشرالاوقاف والارشاد .</t>
        </is>
      </c>
      <c r="B83" t="inlineStr">
        <is>
          <t>AEC2020830176095</t>
        </is>
      </c>
      <c r="C83" t="inlineStr">
        <is>
          <t>وادي الدواسر</t>
        </is>
      </c>
      <c r="D83" t="inlineStr">
        <is>
          <t>كلا الفترتين</t>
        </is>
      </c>
      <c r="E83" t="n">
        <v>2561</v>
      </c>
      <c r="F83" t="b">
        <v>0</v>
      </c>
      <c r="G83">
        <f>HYPERLINK("https://www.google.com/maps/search/?api=1&amp;query=20.43414,44.8515", "View Map")</f>
        <v/>
      </c>
    </row>
    <row r="84">
      <c r="A84" t="inlineStr">
        <is>
          <t>ﻤﺴﺎﺠﺩ ﺍﻟﺨﻤﺎﺴﻴﻥ .</t>
        </is>
      </c>
      <c r="B84" t="inlineStr">
        <is>
          <t>KFM2020660174703</t>
        </is>
      </c>
      <c r="C84" t="inlineStr">
        <is>
          <t>وادي الدواسر</t>
        </is>
      </c>
      <c r="D84" t="inlineStr">
        <is>
          <t>كلا الفترتين</t>
        </is>
      </c>
      <c r="E84" t="n">
        <v>2557</v>
      </c>
      <c r="F84" t="b">
        <v>0</v>
      </c>
      <c r="G84">
        <f>HYPERLINK("https://www.google.com/maps/search/?api=1&amp;query=20.42893974,44.73145283", "View Map")</f>
        <v/>
      </c>
    </row>
    <row r="85">
      <c r="A85" t="inlineStr">
        <is>
          <t xml:space="preserve">   اوقاف الخرج - مسجدابراهيم الصغير .</t>
        </is>
      </c>
      <c r="B85" t="inlineStr">
        <is>
          <t>KFM2120660245969</t>
        </is>
      </c>
      <c r="C85" t="inlineStr">
        <is>
          <t>الخرج</t>
        </is>
      </c>
      <c r="D85" t="inlineStr">
        <is>
          <t>كلا الفترتين</t>
        </is>
      </c>
      <c r="E85" t="n">
        <v>2546</v>
      </c>
      <c r="F85" t="b">
        <v>1</v>
      </c>
      <c r="G85">
        <f>HYPERLINK("https://www.google.com/maps/search/?api=1&amp;query=24.13739516,47.35707489", "View Map")</f>
        <v/>
      </c>
    </row>
    <row r="86">
      <c r="A86" t="inlineStr">
        <is>
          <t xml:space="preserve">   مسجدجامع  المرشد .</t>
        </is>
      </c>
      <c r="B86" t="inlineStr">
        <is>
          <t>KFM2020660234569</t>
        </is>
      </c>
      <c r="C86" t="inlineStr">
        <is>
          <t>حوطة بني تميم</t>
        </is>
      </c>
      <c r="D86" t="inlineStr">
        <is>
          <t>كلا الفترتين</t>
        </is>
      </c>
      <c r="E86" t="n">
        <v>2542</v>
      </c>
      <c r="F86" t="b">
        <v>1</v>
      </c>
      <c r="G86">
        <f>HYPERLINK("https://www.google.com/maps/search/?api=1&amp;query=23.50046849,46.83218681", "View Map")</f>
        <v/>
      </c>
    </row>
    <row r="87">
      <c r="A87" t="inlineStr">
        <is>
          <t xml:space="preserve">       مسجد جامع الحزم بالحلوه .</t>
        </is>
      </c>
      <c r="B87" t="inlineStr">
        <is>
          <t>KFM2020660230804</t>
        </is>
      </c>
      <c r="C87" t="inlineStr">
        <is>
          <t>حوطة بني تميم</t>
        </is>
      </c>
      <c r="D87" t="inlineStr">
        <is>
          <t>كلا الفترتين</t>
        </is>
      </c>
      <c r="E87" t="n">
        <v>2535</v>
      </c>
      <c r="F87" t="b">
        <v>0</v>
      </c>
      <c r="G87">
        <f>HYPERLINK("https://www.google.com/maps/search/?api=1&amp;query=23.45017029,46.80428492", "View Map")</f>
        <v/>
      </c>
    </row>
    <row r="88">
      <c r="A88" t="inlineStr">
        <is>
          <t>ﻤﺴﺎﺠﺩﺍﻟﺨـﺭﺝ .</t>
        </is>
      </c>
      <c r="B88" t="inlineStr">
        <is>
          <t>KFM2120660248794</t>
        </is>
      </c>
      <c r="C88" t="inlineStr">
        <is>
          <t>الخرج</t>
        </is>
      </c>
      <c r="D88" t="inlineStr">
        <is>
          <t>كلا الفترتين</t>
        </is>
      </c>
      <c r="E88" t="n">
        <v>2522</v>
      </c>
      <c r="F88" t="b">
        <v>1</v>
      </c>
      <c r="G88">
        <f>HYPERLINK("https://www.google.com/maps/search/?api=1&amp;query=24.14918635,47.39252381", "View Map")</f>
        <v/>
      </c>
    </row>
    <row r="89">
      <c r="A89" t="inlineStr">
        <is>
          <t>ﻤﺴﺎﺠﺩ ﺍﻟﺨﻤﺎﺴﻴﻥ .</t>
        </is>
      </c>
      <c r="B89" t="inlineStr">
        <is>
          <t>SMR2220661011051</t>
        </is>
      </c>
      <c r="C89" t="inlineStr">
        <is>
          <t>السليل</t>
        </is>
      </c>
      <c r="D89" t="inlineStr">
        <is>
          <t>كلا الفترتين</t>
        </is>
      </c>
      <c r="E89" t="n">
        <v>2515</v>
      </c>
      <c r="F89" t="b">
        <v>1</v>
      </c>
      <c r="G89">
        <f>HYPERLINK("https://www.google.com/maps/search/?api=1&amp;query=20.40604398,45.22935098", "View Map")</f>
        <v/>
      </c>
    </row>
    <row r="90">
      <c r="A90" t="inlineStr">
        <is>
          <t xml:space="preserve">   اوقاف الدواسر/ جامع ال ناهش .</t>
        </is>
      </c>
      <c r="B90" t="inlineStr">
        <is>
          <t>KFM2020660174684</t>
        </is>
      </c>
      <c r="C90" t="inlineStr">
        <is>
          <t>وادي الدواسر</t>
        </is>
      </c>
      <c r="D90" t="inlineStr">
        <is>
          <t>كلا الفترتين</t>
        </is>
      </c>
      <c r="E90" t="n">
        <v>2512</v>
      </c>
      <c r="F90" t="b">
        <v>1</v>
      </c>
      <c r="G90">
        <f>HYPERLINK("https://www.google.com/maps/search/?api=1&amp;query=20.49206405,44.74902214", "View Map")</f>
        <v/>
      </c>
    </row>
    <row r="91">
      <c r="A91" t="inlineStr">
        <is>
          <t>مسجد محطة السلام .</t>
        </is>
      </c>
      <c r="B91" t="inlineStr">
        <is>
          <t>MMF2020800299662</t>
        </is>
      </c>
      <c r="C91" t="inlineStr">
        <is>
          <t>وادي الدواسر</t>
        </is>
      </c>
      <c r="D91" t="inlineStr">
        <is>
          <t>كلا الفترتين</t>
        </is>
      </c>
      <c r="E91" t="n">
        <v>2487</v>
      </c>
      <c r="F91" t="b">
        <v>1</v>
      </c>
      <c r="G91">
        <f>HYPERLINK("https://www.google.com/maps/search/?api=1&amp;query=20.42940844,45.0172764", "View Map")</f>
        <v/>
      </c>
    </row>
    <row r="92">
      <c r="A92" t="inlineStr">
        <is>
          <t xml:space="preserve">   مسجد/ معاويه بن ابي سفيان .</t>
        </is>
      </c>
      <c r="B92" t="inlineStr">
        <is>
          <t>KFM2120660260583</t>
        </is>
      </c>
      <c r="C92" t="inlineStr">
        <is>
          <t>الخرج</t>
        </is>
      </c>
      <c r="D92" t="inlineStr">
        <is>
          <t>كلا الفترتين</t>
        </is>
      </c>
      <c r="E92" t="n">
        <v>2476</v>
      </c>
      <c r="F92" t="b">
        <v>1</v>
      </c>
      <c r="G92">
        <f>HYPERLINK("https://www.google.com/maps/search/?api=1&amp;query=24.14283231,47.33389687", "View Map")</f>
        <v/>
      </c>
    </row>
    <row r="93">
      <c r="A93" t="inlineStr">
        <is>
          <t xml:space="preserve">     جامع الموقفه القبلي .</t>
        </is>
      </c>
      <c r="B93" t="inlineStr">
        <is>
          <t>KFM2020660166957</t>
        </is>
      </c>
      <c r="C93" t="inlineStr">
        <is>
          <t>الأفلاج</t>
        </is>
      </c>
      <c r="D93" t="inlineStr">
        <is>
          <t>كلا الفترتين</t>
        </is>
      </c>
      <c r="E93" t="n">
        <v>2475</v>
      </c>
      <c r="F93" t="b">
        <v>0</v>
      </c>
      <c r="G93">
        <f>HYPERLINK("https://www.google.com/maps/search/?api=1&amp;query=22.2928942,46.7299582", "View Map")</f>
        <v/>
      </c>
    </row>
    <row r="94">
      <c r="A94" t="inlineStr">
        <is>
          <t xml:space="preserve">               منزل امام وخطيب جامع .</t>
        </is>
      </c>
      <c r="B94" t="inlineStr">
        <is>
          <t>MMF2020800301261</t>
        </is>
      </c>
      <c r="C94" t="inlineStr">
        <is>
          <t>وادي الدواسر</t>
        </is>
      </c>
      <c r="D94" t="inlineStr">
        <is>
          <t>كلا الفترتين</t>
        </is>
      </c>
      <c r="E94" t="n">
        <v>2463</v>
      </c>
      <c r="F94" t="b">
        <v>0</v>
      </c>
      <c r="G94">
        <f>HYPERLINK("https://www.google.com/maps/search/?api=1&amp;query=20.41554377,44.8387717", "View Map")</f>
        <v/>
      </c>
    </row>
    <row r="95">
      <c r="A95" t="inlineStr">
        <is>
          <t xml:space="preserve">   مسجد الكريس  رقم (1) .</t>
        </is>
      </c>
      <c r="B95" t="inlineStr">
        <is>
          <t>KFM2020660230802</t>
        </is>
      </c>
      <c r="C95" t="inlineStr">
        <is>
          <t>حوطة بني تميم</t>
        </is>
      </c>
      <c r="D95" t="inlineStr">
        <is>
          <t>كلا الفترتين</t>
        </is>
      </c>
      <c r="E95" t="n">
        <v>2446</v>
      </c>
      <c r="F95" t="b">
        <v>1</v>
      </c>
      <c r="G95">
        <f>HYPERLINK("https://www.google.com/maps/search/?api=1&amp;query=23.44724739,46.787458", "View Map")</f>
        <v/>
      </c>
    </row>
    <row r="96">
      <c r="A96" t="inlineStr">
        <is>
          <t xml:space="preserve">   مـسـجد جـامعالغانمية .</t>
        </is>
      </c>
      <c r="B96" t="inlineStr">
        <is>
          <t>KFM2020660212715</t>
        </is>
      </c>
      <c r="C96" t="inlineStr">
        <is>
          <t>الأفلاج</t>
        </is>
      </c>
      <c r="D96" t="inlineStr">
        <is>
          <t>كلا الفترتين</t>
        </is>
      </c>
      <c r="E96" t="n">
        <v>2392</v>
      </c>
      <c r="F96" t="b">
        <v>0</v>
      </c>
      <c r="G96">
        <f>HYPERLINK("https://www.google.com/maps/search/?api=1&amp;query=22.25706443,46.78236455", "View Map")</f>
        <v/>
      </c>
    </row>
    <row r="97">
      <c r="A97" t="inlineStr">
        <is>
          <t xml:space="preserve">   مسجد الفايزيه/ اوقاف الدواسر .</t>
        </is>
      </c>
      <c r="B97" t="inlineStr">
        <is>
          <t>KFM2120660259982</t>
        </is>
      </c>
      <c r="C97" t="inlineStr">
        <is>
          <t>وادي الدواسر</t>
        </is>
      </c>
      <c r="D97" t="inlineStr">
        <is>
          <t>كلا الفترتين</t>
        </is>
      </c>
      <c r="E97" t="n">
        <v>2386</v>
      </c>
      <c r="F97" t="b">
        <v>0</v>
      </c>
      <c r="G97">
        <f>HYPERLINK("https://www.google.com/maps/search/?api=1&amp;query=20.42122862,45.09734073", "View Map")</f>
        <v/>
      </c>
    </row>
    <row r="98">
      <c r="A98" t="inlineStr">
        <is>
          <t>ﻤﺴﺎﺠﺩﺍﻟﺨـﺭﺝ .</t>
        </is>
      </c>
      <c r="B98" t="inlineStr">
        <is>
          <t>SMR2220661003267</t>
        </is>
      </c>
      <c r="C98" t="inlineStr">
        <is>
          <t>الخرج</t>
        </is>
      </c>
      <c r="D98" t="inlineStr">
        <is>
          <t>كلا الفترتين</t>
        </is>
      </c>
      <c r="E98" t="n">
        <v>2383</v>
      </c>
      <c r="F98" t="b">
        <v>1</v>
      </c>
      <c r="G98">
        <f>HYPERLINK("https://www.google.com/maps/search/?api=1&amp;query=24.0945035,47.27503035", "View Map")</f>
        <v/>
      </c>
    </row>
    <row r="99">
      <c r="A99" t="inlineStr">
        <is>
          <t xml:space="preserve">   اوقاف الخرج / مسجد نعجان .</t>
        </is>
      </c>
      <c r="B99" t="inlineStr">
        <is>
          <t>KFM2020660212384</t>
        </is>
      </c>
      <c r="C99" t="inlineStr">
        <is>
          <t>الدلم</t>
        </is>
      </c>
      <c r="D99" t="inlineStr">
        <is>
          <t>كلا الفترتين</t>
        </is>
      </c>
      <c r="E99" t="n">
        <v>2379</v>
      </c>
      <c r="F99" t="b">
        <v>1</v>
      </c>
      <c r="G99">
        <f>HYPERLINK("https://www.google.com/maps/search/?api=1&amp;query=24.07670621,47.16687189", "View Map")</f>
        <v/>
      </c>
    </row>
    <row r="100">
      <c r="A100" t="inlineStr">
        <is>
          <t xml:space="preserve">      مسجد جامع بنعرفج .</t>
        </is>
      </c>
      <c r="B100" t="inlineStr">
        <is>
          <t>KFM2020660165224</t>
        </is>
      </c>
      <c r="C100" t="inlineStr">
        <is>
          <t>الخرج</t>
        </is>
      </c>
      <c r="D100" t="inlineStr">
        <is>
          <t>كلا الفترتين</t>
        </is>
      </c>
      <c r="E100" t="n">
        <v>2375</v>
      </c>
      <c r="F100" t="b">
        <v>0</v>
      </c>
      <c r="G100">
        <f>HYPERLINK("https://www.google.com/maps/search/?api=1&amp;query=24.21638332,47.32697028", "View Map")</f>
        <v/>
      </c>
    </row>
    <row r="101">
      <c r="A101" t="inlineStr">
        <is>
          <t xml:space="preserve">        مسجد المدينة ج الثاني .</t>
        </is>
      </c>
      <c r="B101" t="inlineStr">
        <is>
          <t>KFM2020660177745</t>
        </is>
      </c>
      <c r="C101" t="inlineStr">
        <is>
          <t>الحريق</t>
        </is>
      </c>
      <c r="D101" t="inlineStr">
        <is>
          <t>كلا الفترتين</t>
        </is>
      </c>
      <c r="E101" t="n">
        <v>2362</v>
      </c>
      <c r="F101" t="b">
        <v>0</v>
      </c>
      <c r="G101">
        <f>HYPERLINK("https://www.google.com/maps/search/?api=1&amp;query=23.63807022,46.50699498", "View Map")</f>
        <v/>
      </c>
    </row>
    <row r="102">
      <c r="A102" t="inlineStr">
        <is>
          <t xml:space="preserve">      مسجد جامع القطين .</t>
        </is>
      </c>
      <c r="B102" t="inlineStr">
        <is>
          <t>KFM2020660177816</t>
        </is>
      </c>
      <c r="C102" t="inlineStr">
        <is>
          <t>الأفلاج</t>
        </is>
      </c>
      <c r="D102" t="inlineStr">
        <is>
          <t>كلا الفترتين</t>
        </is>
      </c>
      <c r="E102" t="n">
        <v>2358</v>
      </c>
      <c r="F102" t="b">
        <v>0</v>
      </c>
      <c r="G102">
        <f>HYPERLINK("https://www.google.com/maps/search/?api=1&amp;query=22.23468175,46.77786399", "View Map")</f>
        <v/>
      </c>
    </row>
    <row r="103">
      <c r="A103" t="inlineStr">
        <is>
          <t>ﻤﺴﺎﺠﺩ ﺍﻟﺤﻭﻁﻩ .</t>
        </is>
      </c>
      <c r="B103" t="inlineStr">
        <is>
          <t>KFM2120660263441</t>
        </is>
      </c>
      <c r="C103" t="inlineStr">
        <is>
          <t>حوطة بني تميم</t>
        </is>
      </c>
      <c r="D103" t="inlineStr">
        <is>
          <t>كلا الفترتين</t>
        </is>
      </c>
      <c r="E103" t="n">
        <v>2336</v>
      </c>
      <c r="F103" t="b">
        <v>1</v>
      </c>
      <c r="G103">
        <f>HYPERLINK("https://www.google.com/maps/search/?api=1&amp;query=23.4925467,46.86371686", "View Map")</f>
        <v/>
      </c>
    </row>
    <row r="104">
      <c r="A104" t="inlineStr">
        <is>
          <t xml:space="preserve">      جامع سويدان .</t>
        </is>
      </c>
      <c r="B104" t="inlineStr">
        <is>
          <t>KFM2120660302747</t>
        </is>
      </c>
      <c r="C104" t="inlineStr">
        <is>
          <t>الأفلاج</t>
        </is>
      </c>
      <c r="D104" t="inlineStr">
        <is>
          <t>كلا الفترتين</t>
        </is>
      </c>
      <c r="E104" t="n">
        <v>2327</v>
      </c>
      <c r="F104" t="b">
        <v>0</v>
      </c>
      <c r="G104">
        <f>HYPERLINK("https://www.google.com/maps/search/?api=1&amp;query=22.09077207,46.70497469", "View Map")</f>
        <v/>
      </c>
    </row>
    <row r="105">
      <c r="A105" t="inlineStr">
        <is>
          <t xml:space="preserve">   مسجد جامع مصدة .</t>
        </is>
      </c>
      <c r="B105" t="inlineStr">
        <is>
          <t>KFM2120660257255</t>
        </is>
      </c>
      <c r="C105" t="inlineStr">
        <is>
          <t>حوطة بني تميم</t>
        </is>
      </c>
      <c r="D105" t="inlineStr">
        <is>
          <t>كلا الفترتين</t>
        </is>
      </c>
      <c r="E105" t="n">
        <v>2322</v>
      </c>
      <c r="F105" t="b">
        <v>0</v>
      </c>
      <c r="G105">
        <f>HYPERLINK("https://www.google.com/maps/search/?api=1&amp;query=23.21718743,46.49033124", "View Map")</f>
        <v/>
      </c>
    </row>
    <row r="106">
      <c r="A106" t="inlineStr">
        <is>
          <t xml:space="preserve">   مسجد/عبدالله بن زيد .</t>
        </is>
      </c>
      <c r="B106" t="inlineStr">
        <is>
          <t>KFM2020660212789</t>
        </is>
      </c>
      <c r="C106" t="inlineStr">
        <is>
          <t>وادي الدواسر</t>
        </is>
      </c>
      <c r="D106" t="inlineStr">
        <is>
          <t>كلا الفترتين</t>
        </is>
      </c>
      <c r="E106" t="n">
        <v>2318</v>
      </c>
      <c r="F106" t="b">
        <v>0</v>
      </c>
      <c r="G106">
        <f>HYPERLINK("https://www.google.com/maps/search/?api=1&amp;query=20.4457031,44.84813005", "View Map")</f>
        <v/>
      </c>
    </row>
    <row r="107">
      <c r="A107" t="inlineStr">
        <is>
          <t>مساجد الخماسين .</t>
        </is>
      </c>
      <c r="B107" t="inlineStr">
        <is>
          <t>KFM2020660223663</t>
        </is>
      </c>
      <c r="C107" t="inlineStr">
        <is>
          <t>وادي الدواسر</t>
        </is>
      </c>
      <c r="D107" t="inlineStr">
        <is>
          <t>كلا الفترتين</t>
        </is>
      </c>
      <c r="E107" t="n">
        <v>2309</v>
      </c>
      <c r="F107" t="b">
        <v>0</v>
      </c>
      <c r="G107">
        <f>HYPERLINK("https://www.google.com/maps/search/?api=1&amp;query=20.43638493,44.84514764", "View Map")</f>
        <v/>
      </c>
    </row>
    <row r="108">
      <c r="A108" t="inlineStr">
        <is>
          <t>ﻤﺴﺎﺠﺩﺍﻟﺨـﺭﺝ .</t>
        </is>
      </c>
      <c r="B108" t="inlineStr">
        <is>
          <t>SMR2220661004489</t>
        </is>
      </c>
      <c r="C108" t="inlineStr">
        <is>
          <t>الخرج</t>
        </is>
      </c>
      <c r="D108" t="inlineStr">
        <is>
          <t>كلا الفترتين</t>
        </is>
      </c>
      <c r="E108" t="n">
        <v>2278</v>
      </c>
      <c r="F108" t="b">
        <v>1</v>
      </c>
      <c r="G108">
        <f>HYPERLINK("https://www.google.com/maps/search/?api=1&amp;query=24.16007137,47.23464169", "View Map")</f>
        <v/>
      </c>
    </row>
    <row r="109">
      <c r="A109" t="inlineStr">
        <is>
          <t>مساجد الخماسين .</t>
        </is>
      </c>
      <c r="B109" t="inlineStr">
        <is>
          <t>KFM2020660206129</t>
        </is>
      </c>
      <c r="C109" t="inlineStr">
        <is>
          <t>وادي الدواسر</t>
        </is>
      </c>
      <c r="D109" t="inlineStr">
        <is>
          <t>كلا الفترتين</t>
        </is>
      </c>
      <c r="E109" t="n">
        <v>2269</v>
      </c>
      <c r="F109" t="b">
        <v>0</v>
      </c>
      <c r="G109">
        <f>HYPERLINK("https://www.google.com/maps/search/?api=1&amp;query=20.48474575,44.77605821", "View Map")</f>
        <v/>
      </c>
    </row>
    <row r="110">
      <c r="A110" t="inlineStr">
        <is>
          <t xml:space="preserve">   مســجـد العيـن .</t>
        </is>
      </c>
      <c r="B110" t="inlineStr">
        <is>
          <t>KFM2120660260786</t>
        </is>
      </c>
      <c r="C110" t="inlineStr">
        <is>
          <t>الدلم</t>
        </is>
      </c>
      <c r="D110" t="inlineStr">
        <is>
          <t>كلا الفترتين</t>
        </is>
      </c>
      <c r="E110" t="n">
        <v>2269</v>
      </c>
      <c r="F110" t="b">
        <v>0</v>
      </c>
      <c r="G110">
        <f>HYPERLINK("https://www.google.com/maps/search/?api=1&amp;query=24.11225051,46.80593327", "View Map")</f>
        <v/>
      </c>
    </row>
    <row r="111">
      <c r="A111" t="inlineStr">
        <is>
          <t xml:space="preserve">      مسـجد صـلاح الدين الأيوبي .</t>
        </is>
      </c>
      <c r="B111" t="inlineStr">
        <is>
          <t>KFM2020660205803</t>
        </is>
      </c>
      <c r="C111" t="inlineStr">
        <is>
          <t>الحريق</t>
        </is>
      </c>
      <c r="D111" t="inlineStr">
        <is>
          <t>كلا الفترتين</t>
        </is>
      </c>
      <c r="E111" t="n">
        <v>2266</v>
      </c>
      <c r="F111" t="b">
        <v>0</v>
      </c>
      <c r="G111">
        <f>HYPERLINK("https://www.google.com/maps/search/?api=1&amp;query=23.63209551,46.51225013", "View Map")</f>
        <v/>
      </c>
    </row>
    <row r="112">
      <c r="A112" t="inlineStr">
        <is>
          <t xml:space="preserve">   مسجد جامع الزهره .</t>
        </is>
      </c>
      <c r="B112" t="inlineStr">
        <is>
          <t>KFM2120660272295</t>
        </is>
      </c>
      <c r="C112" t="inlineStr">
        <is>
          <t>الأفلاج</t>
        </is>
      </c>
      <c r="D112" t="inlineStr">
        <is>
          <t>كلا الفترتين</t>
        </is>
      </c>
      <c r="E112" t="n">
        <v>2257</v>
      </c>
      <c r="F112" t="b">
        <v>1</v>
      </c>
      <c r="G112">
        <f>HYPERLINK("https://www.google.com/maps/search/?api=1&amp;query=22.1887528,46.49598408", "View Map")</f>
        <v/>
      </c>
    </row>
    <row r="113">
      <c r="A113" t="inlineStr">
        <is>
          <t xml:space="preserve">      اوقاف الدواسر/ جامع اللدام .</t>
        </is>
      </c>
      <c r="B113" t="inlineStr">
        <is>
          <t>KFM2020660176056</t>
        </is>
      </c>
      <c r="C113" t="inlineStr">
        <is>
          <t>وادي الدواسر</t>
        </is>
      </c>
      <c r="D113" t="inlineStr">
        <is>
          <t>كلا الفترتين</t>
        </is>
      </c>
      <c r="E113" t="n">
        <v>2234</v>
      </c>
      <c r="F113" t="b">
        <v>0</v>
      </c>
      <c r="G113">
        <f>HYPERLINK("https://www.google.com/maps/search/?api=1&amp;query=20.47127647,44.79374548", "View Map")</f>
        <v/>
      </c>
    </row>
    <row r="114">
      <c r="A114" t="inlineStr">
        <is>
          <t xml:space="preserve">      جامع ال خليفه/ اوقاف الدواسر .</t>
        </is>
      </c>
      <c r="B114" t="inlineStr">
        <is>
          <t>AES2020896466287</t>
        </is>
      </c>
      <c r="C114" t="inlineStr">
        <is>
          <t>السليل</t>
        </is>
      </c>
      <c r="D114" t="inlineStr">
        <is>
          <t>كلا الفترتين</t>
        </is>
      </c>
      <c r="E114" t="n">
        <v>2231</v>
      </c>
      <c r="F114" t="b">
        <v>0</v>
      </c>
      <c r="G114">
        <f>HYPERLINK("https://www.google.com/maps/search/?api=1&amp;query=20.40516872,45.2320161", "View Map")</f>
        <v/>
      </c>
    </row>
    <row r="115">
      <c r="A115" t="inlineStr">
        <is>
          <t>ﻤﺴﺎﺠﺩﺍﻟﺨـﺭﺝ .</t>
        </is>
      </c>
      <c r="B115" t="inlineStr">
        <is>
          <t>KFM2020660230873</t>
        </is>
      </c>
      <c r="C115" t="inlineStr">
        <is>
          <t>الخرج</t>
        </is>
      </c>
      <c r="D115" t="inlineStr">
        <is>
          <t>كلا الفترتين</t>
        </is>
      </c>
      <c r="E115" t="n">
        <v>2226</v>
      </c>
      <c r="F115" t="b">
        <v>1</v>
      </c>
      <c r="G115">
        <f>HYPERLINK("https://www.google.com/maps/search/?api=1&amp;query=24.17319047,47.34223867", "View Map")</f>
        <v/>
      </c>
    </row>
    <row r="116">
      <c r="A116" t="inlineStr">
        <is>
          <t xml:space="preserve">   مسجد/محمد بن        عبدالوهاب .</t>
        </is>
      </c>
      <c r="B116" t="inlineStr">
        <is>
          <t>KFM2120660271543</t>
        </is>
      </c>
      <c r="C116" t="inlineStr">
        <is>
          <t>السليل</t>
        </is>
      </c>
      <c r="D116" t="inlineStr">
        <is>
          <t>كلا الفترتين</t>
        </is>
      </c>
      <c r="E116" t="n">
        <v>2226</v>
      </c>
      <c r="F116" t="b">
        <v>1</v>
      </c>
      <c r="G116">
        <f>HYPERLINK("https://www.google.com/maps/search/?api=1&amp;query=20.4583537,45.5847935", "View Map")</f>
        <v/>
      </c>
    </row>
    <row r="117">
      <c r="A117" t="inlineStr">
        <is>
          <t xml:space="preserve">   ادارةاوقافمسجد      بالافلاج .</t>
        </is>
      </c>
      <c r="B117" t="inlineStr">
        <is>
          <t>KFM2020766000952</t>
        </is>
      </c>
      <c r="C117" t="inlineStr">
        <is>
          <t>الأفلاج</t>
        </is>
      </c>
      <c r="D117" t="inlineStr">
        <is>
          <t>كلا الفترتين</t>
        </is>
      </c>
      <c r="E117" t="n">
        <v>2195</v>
      </c>
      <c r="F117" t="b">
        <v>1</v>
      </c>
      <c r="G117">
        <f>HYPERLINK("https://www.google.com/maps/search/?api=1&amp;query=22.45488746,46.58204475", "View Map")</f>
        <v/>
      </c>
    </row>
    <row r="118">
      <c r="A118" t="inlineStr">
        <is>
          <t xml:space="preserve">   ادارة الا وقاف مسجد التراضي .</t>
        </is>
      </c>
      <c r="B118" t="inlineStr">
        <is>
          <t>KFM2120660245992</t>
        </is>
      </c>
      <c r="C118" t="inlineStr">
        <is>
          <t>الخرج</t>
        </is>
      </c>
      <c r="D118" t="inlineStr">
        <is>
          <t>كلا الفترتين</t>
        </is>
      </c>
      <c r="E118" t="n">
        <v>2187</v>
      </c>
      <c r="F118" t="b">
        <v>0</v>
      </c>
      <c r="G118">
        <f>HYPERLINK("https://www.google.com/maps/search/?api=1&amp;query=24.14171973,47.35121878", "View Map")</f>
        <v/>
      </c>
    </row>
    <row r="119">
      <c r="A119" t="inlineStr">
        <is>
          <t>ﻤﺴﺎﺠﺩ ﺍﻟﺨﻤﺎﺴﻴﻥ .</t>
        </is>
      </c>
      <c r="B119" t="inlineStr">
        <is>
          <t>KFM2120660272869</t>
        </is>
      </c>
      <c r="C119" t="inlineStr">
        <is>
          <t>السليل</t>
        </is>
      </c>
      <c r="D119" t="inlineStr">
        <is>
          <t>كلا الفترتين</t>
        </is>
      </c>
      <c r="E119" t="n">
        <v>2187</v>
      </c>
      <c r="F119" t="b">
        <v>0</v>
      </c>
      <c r="G119">
        <f>HYPERLINK("https://www.google.com/maps/search/?api=1&amp;query=20.47450422,45.27818951", "View Map")</f>
        <v/>
      </c>
    </row>
    <row r="120">
      <c r="A120" t="inlineStr">
        <is>
          <t xml:space="preserve">   جامع   خيران .</t>
        </is>
      </c>
      <c r="B120" t="inlineStr">
        <is>
          <t>KFM2120660263423</t>
        </is>
      </c>
      <c r="C120" t="inlineStr">
        <is>
          <t>السليل</t>
        </is>
      </c>
      <c r="D120" t="inlineStr">
        <is>
          <t>كلا الفترتين</t>
        </is>
      </c>
      <c r="E120" t="n">
        <v>2182</v>
      </c>
      <c r="F120" t="b">
        <v>0</v>
      </c>
      <c r="G120">
        <f>HYPERLINK("https://www.google.com/maps/search/?api=1&amp;query=20.40799975,45.4315882", "View Map")</f>
        <v/>
      </c>
    </row>
    <row r="121">
      <c r="A121" t="inlineStr">
        <is>
          <t xml:space="preserve">   مسجد/ محمع الاميرسلمان-اسكان خيري .</t>
        </is>
      </c>
      <c r="B121" t="inlineStr">
        <is>
          <t>KFM2120660274742</t>
        </is>
      </c>
      <c r="C121" t="inlineStr">
        <is>
          <t>الخرج</t>
        </is>
      </c>
      <c r="D121" t="inlineStr">
        <is>
          <t>كلا الفترتين</t>
        </is>
      </c>
      <c r="E121" t="n">
        <v>2178</v>
      </c>
      <c r="F121" t="b">
        <v>0</v>
      </c>
      <c r="G121">
        <f>HYPERLINK("https://www.google.com/maps/search/?api=1&amp;query=24.17666425,47.31591366", "View Map")</f>
        <v/>
      </c>
    </row>
    <row r="122">
      <c r="A122" t="inlineStr">
        <is>
          <t>مسجد سمو الامير-فيصل سلمان محمد .</t>
        </is>
      </c>
      <c r="B122" t="inlineStr">
        <is>
          <t>KFM2020660169647</t>
        </is>
      </c>
      <c r="C122" t="inlineStr">
        <is>
          <t>الدلم</t>
        </is>
      </c>
      <c r="D122" t="inlineStr">
        <is>
          <t>كلا الفترتين</t>
        </is>
      </c>
      <c r="E122" t="n">
        <v>2153</v>
      </c>
      <c r="F122" t="b">
        <v>0</v>
      </c>
      <c r="G122">
        <f>HYPERLINK("https://www.google.com/maps/search/?api=1&amp;query=23.99573483,47.13340157", "View Map")</f>
        <v/>
      </c>
    </row>
    <row r="123">
      <c r="A123" t="inlineStr">
        <is>
          <t xml:space="preserve">   جامع فهادآل فاران /اوقاف السليل .</t>
        </is>
      </c>
      <c r="B123" t="inlineStr">
        <is>
          <t>KFM2120660270779</t>
        </is>
      </c>
      <c r="C123" t="inlineStr">
        <is>
          <t>السليل</t>
        </is>
      </c>
      <c r="D123" t="inlineStr">
        <is>
          <t>كلا الفترتين</t>
        </is>
      </c>
      <c r="E123" t="n">
        <v>2152</v>
      </c>
      <c r="F123" t="b">
        <v>0</v>
      </c>
      <c r="G123">
        <f>HYPERLINK("https://www.google.com/maps/search/?api=1&amp;query=20.46156062,45.58903528", "View Map")</f>
        <v/>
      </c>
    </row>
    <row r="124">
      <c r="A124" t="inlineStr">
        <is>
          <t xml:space="preserve">   اوقاف الدواسر/مسجد مريس  دعيكان .</t>
        </is>
      </c>
      <c r="B124" t="inlineStr">
        <is>
          <t>KFM2020660206050</t>
        </is>
      </c>
      <c r="C124" t="inlineStr">
        <is>
          <t>وادي الدواسر</t>
        </is>
      </c>
      <c r="D124" t="inlineStr">
        <is>
          <t>كلا الفترتين</t>
        </is>
      </c>
      <c r="E124" t="n">
        <v>2147</v>
      </c>
      <c r="F124" t="b">
        <v>0</v>
      </c>
      <c r="G124">
        <f>HYPERLINK("https://www.google.com/maps/search/?api=1&amp;query=20.46355505,44.83804197", "View Map")</f>
        <v/>
      </c>
    </row>
    <row r="125">
      <c r="A125" t="inlineStr">
        <is>
          <t>ﻤﺴﺎﺠﺩ ﺍﻟﺨﻤﺎﺴﻴﻥ .</t>
        </is>
      </c>
      <c r="B125" t="inlineStr">
        <is>
          <t>MMF2020800310729</t>
        </is>
      </c>
      <c r="C125" t="inlineStr">
        <is>
          <t>وادي الدواسر</t>
        </is>
      </c>
      <c r="D125" t="inlineStr">
        <is>
          <t>كلا الفترتين</t>
        </is>
      </c>
      <c r="E125" t="n">
        <v>2132</v>
      </c>
      <c r="F125" t="b">
        <v>1</v>
      </c>
      <c r="G125">
        <f>HYPERLINK("https://www.google.com/maps/search/?api=1&amp;query=20.43293361,44.82176449", "View Map")</f>
        <v/>
      </c>
    </row>
    <row r="126">
      <c r="A126" t="inlineStr">
        <is>
          <t xml:space="preserve">      مسجد حمزة بن عبد المطلب .</t>
        </is>
      </c>
      <c r="B126" t="inlineStr">
        <is>
          <t>KFM2020766054510</t>
        </is>
      </c>
      <c r="C126" t="inlineStr">
        <is>
          <t>الحريق</t>
        </is>
      </c>
      <c r="D126" t="inlineStr">
        <is>
          <t>كلا الفترتين</t>
        </is>
      </c>
      <c r="E126" t="n">
        <v>2131</v>
      </c>
      <c r="F126" t="b">
        <v>0</v>
      </c>
      <c r="G126">
        <f>HYPERLINK("https://www.google.com/maps/search/?api=1&amp;query=23.63658891,46.50142543", "View Map")</f>
        <v/>
      </c>
    </row>
    <row r="127">
      <c r="A127" t="inlineStr">
        <is>
          <t>ﻤﺴﺎﺠﺩ ﺍﻟﺤﻭﻁﻩ .</t>
        </is>
      </c>
      <c r="B127" t="inlineStr">
        <is>
          <t>SXE2020800417464</t>
        </is>
      </c>
      <c r="C127" t="inlineStr">
        <is>
          <t>حوطة بني تميم</t>
        </is>
      </c>
      <c r="D127" t="inlineStr">
        <is>
          <t>كلا الفترتين</t>
        </is>
      </c>
      <c r="E127" t="n">
        <v>2119</v>
      </c>
      <c r="F127" t="b">
        <v>0</v>
      </c>
      <c r="G127">
        <f>HYPERLINK("https://www.google.com/maps/search/?api=1&amp;query=23.19956041,46.44972739", "View Map")</f>
        <v/>
      </c>
    </row>
    <row r="128">
      <c r="A128" t="inlineStr">
        <is>
          <t xml:space="preserve">   جامع النويعمه /اوقاف الدواســ .</t>
        </is>
      </c>
      <c r="B128" t="inlineStr">
        <is>
          <t>KFM2020660177897</t>
        </is>
      </c>
      <c r="C128" t="inlineStr">
        <is>
          <t>وادي الدواسر</t>
        </is>
      </c>
      <c r="D128" t="inlineStr">
        <is>
          <t>كلا الفترتين</t>
        </is>
      </c>
      <c r="E128" t="n">
        <v>2113</v>
      </c>
      <c r="F128" t="b">
        <v>1</v>
      </c>
      <c r="G128">
        <f>HYPERLINK("https://www.google.com/maps/search/?api=1&amp;query=20.45466368,44.85435293", "View Map")</f>
        <v/>
      </c>
    </row>
    <row r="129">
      <c r="A129" t="inlineStr">
        <is>
          <t>ﻤﺴﺎﺠﺩﺍﻟﺨـﺭﺝ .</t>
        </is>
      </c>
      <c r="B129" t="inlineStr">
        <is>
          <t>KFM2020660210979</t>
        </is>
      </c>
      <c r="C129" t="inlineStr">
        <is>
          <t>الخرج</t>
        </is>
      </c>
      <c r="D129" t="inlineStr">
        <is>
          <t>كلا الفترتين</t>
        </is>
      </c>
      <c r="E129" t="n">
        <v>2113</v>
      </c>
      <c r="F129" t="b">
        <v>1</v>
      </c>
      <c r="G129">
        <f>HYPERLINK("https://www.google.com/maps/search/?api=1&amp;query=24.08391463,47.2566621", "View Map")</f>
        <v/>
      </c>
    </row>
    <row r="130">
      <c r="A130" t="inlineStr">
        <is>
          <t xml:space="preserve">   مسجد   محمد مبارك الفرج .</t>
        </is>
      </c>
      <c r="B130" t="inlineStr">
        <is>
          <t>KFM2020660230856</t>
        </is>
      </c>
      <c r="C130" t="inlineStr">
        <is>
          <t>الخرج</t>
        </is>
      </c>
      <c r="D130" t="inlineStr">
        <is>
          <t>كلا الفترتين</t>
        </is>
      </c>
      <c r="E130" t="n">
        <v>2109</v>
      </c>
      <c r="F130" t="b">
        <v>0</v>
      </c>
      <c r="G130">
        <f>HYPERLINK("https://www.google.com/maps/search/?api=1&amp;query=24.17338817,47.34686633", "View Map")</f>
        <v/>
      </c>
    </row>
    <row r="131">
      <c r="A131" t="inlineStr">
        <is>
          <t>ﻤﺴﺎﺠﺩ ﺍﻟﺨﻤﺎﺴﻴﻥ .</t>
        </is>
      </c>
      <c r="B131" t="inlineStr">
        <is>
          <t>SMR2220661004282</t>
        </is>
      </c>
      <c r="C131" t="inlineStr">
        <is>
          <t>وادي الدواسر</t>
        </is>
      </c>
      <c r="D131" t="inlineStr">
        <is>
          <t>كلا الفترتين</t>
        </is>
      </c>
      <c r="E131" t="n">
        <v>2093</v>
      </c>
      <c r="F131" t="b">
        <v>0</v>
      </c>
      <c r="G131">
        <f>HYPERLINK("https://www.google.com/maps/search/?api=1&amp;query=20.44729749,44.78795038", "View Map")</f>
        <v/>
      </c>
    </row>
    <row r="132">
      <c r="A132" t="inlineStr">
        <is>
          <t>ﻤﺴﺎﺠﺩ ﺍﻟﺴﻟﻴﻝ .</t>
        </is>
      </c>
      <c r="B132" t="inlineStr">
        <is>
          <t>KFM2120660272279</t>
        </is>
      </c>
      <c r="C132" t="inlineStr">
        <is>
          <t>السليل</t>
        </is>
      </c>
      <c r="D132" t="inlineStr">
        <is>
          <t>كلا الفترتين</t>
        </is>
      </c>
      <c r="E132" t="n">
        <v>2064</v>
      </c>
      <c r="F132" t="b">
        <v>0</v>
      </c>
      <c r="G132">
        <f>HYPERLINK("https://www.google.com/maps/search/?api=1&amp;query=20.48708513,45.57296269", "View Map")</f>
        <v/>
      </c>
    </row>
    <row r="133">
      <c r="A133" t="inlineStr">
        <is>
          <t xml:space="preserve">   مسجد جامع السلميه .</t>
        </is>
      </c>
      <c r="B133" t="inlineStr">
        <is>
          <t>KFM2020660202728</t>
        </is>
      </c>
      <c r="C133" t="inlineStr">
        <is>
          <t>الخرج</t>
        </is>
      </c>
      <c r="D133" t="inlineStr">
        <is>
          <t>كلا الفترتين</t>
        </is>
      </c>
      <c r="E133" t="n">
        <v>2062</v>
      </c>
      <c r="F133" t="b">
        <v>0</v>
      </c>
      <c r="G133">
        <f>HYPERLINK("https://www.google.com/maps/search/?api=1&amp;query=24.20134994,47.28801865", "View Map")</f>
        <v/>
      </c>
    </row>
    <row r="134">
      <c r="A134" t="inlineStr">
        <is>
          <t xml:space="preserve">   مسجد صالح الخشان .</t>
        </is>
      </c>
      <c r="B134" t="inlineStr">
        <is>
          <t>KFM2020660177795</t>
        </is>
      </c>
      <c r="C134" t="inlineStr">
        <is>
          <t>الخرج</t>
        </is>
      </c>
      <c r="D134" t="inlineStr">
        <is>
          <t>كلا الفترتين</t>
        </is>
      </c>
      <c r="E134" t="n">
        <v>2029</v>
      </c>
      <c r="F134" t="b">
        <v>0</v>
      </c>
      <c r="G134">
        <f>HYPERLINK("https://www.google.com/maps/search/?api=1&amp;query=24.13782953,47.29136503", "View Map")</f>
        <v/>
      </c>
    </row>
    <row r="135">
      <c r="A135" t="inlineStr">
        <is>
          <t xml:space="preserve">   مسجدال حميان /الاوقاف والمساجد .</t>
        </is>
      </c>
      <c r="B135" t="inlineStr">
        <is>
          <t>KFM2020660223659</t>
        </is>
      </c>
      <c r="C135" t="inlineStr">
        <is>
          <t>وادي الدواسر</t>
        </is>
      </c>
      <c r="D135" t="inlineStr">
        <is>
          <t>كلا الفترتين</t>
        </is>
      </c>
      <c r="E135" t="n">
        <v>2026</v>
      </c>
      <c r="F135" t="b">
        <v>0</v>
      </c>
      <c r="G135">
        <f>HYPERLINK("https://www.google.com/maps/search/?api=1&amp;query=20.44380232,44.85389465", "View Map")</f>
        <v/>
      </c>
    </row>
    <row r="136">
      <c r="A136" t="inlineStr">
        <is>
          <t>ﻤﺴﺎﺠﺩﺍﻟﺨـﺭﺝ .</t>
        </is>
      </c>
      <c r="B136" t="inlineStr">
        <is>
          <t>KFM2020660212601</t>
        </is>
      </c>
      <c r="C136" t="inlineStr">
        <is>
          <t>الخرج</t>
        </is>
      </c>
      <c r="D136" t="inlineStr">
        <is>
          <t>كلا الفترتين</t>
        </is>
      </c>
      <c r="E136" t="n">
        <v>2015</v>
      </c>
      <c r="F136" t="b">
        <v>1</v>
      </c>
      <c r="G136">
        <f>HYPERLINK("https://www.google.com/maps/search/?api=1&amp;query=24.13955011,47.27518753", "View Map")</f>
        <v/>
      </c>
    </row>
    <row r="137">
      <c r="A137" t="inlineStr">
        <is>
          <t xml:space="preserve">   الحج والاوقاف مسجدال سويدان .</t>
        </is>
      </c>
      <c r="B137" t="inlineStr">
        <is>
          <t>AEC2020830311383</t>
        </is>
      </c>
      <c r="C137" t="inlineStr">
        <is>
          <t>وادي الدواسر</t>
        </is>
      </c>
      <c r="D137" t="inlineStr">
        <is>
          <t>كلا الفترتين</t>
        </is>
      </c>
      <c r="E137" t="n">
        <v>2015</v>
      </c>
      <c r="F137" t="b">
        <v>0</v>
      </c>
      <c r="G137">
        <f>HYPERLINK("https://www.google.com/maps/search/?api=1&amp;query=20.41524649,45.14015438", "View Map")</f>
        <v/>
      </c>
    </row>
    <row r="138">
      <c r="A138" t="inlineStr">
        <is>
          <t xml:space="preserve">   الاوقاف والمساجد(م,الفيصليه جديد) .</t>
        </is>
      </c>
      <c r="B138" t="inlineStr">
        <is>
          <t>KFM2020766121721</t>
        </is>
      </c>
      <c r="C138" t="inlineStr">
        <is>
          <t>الأفلاج</t>
        </is>
      </c>
      <c r="D138" t="inlineStr">
        <is>
          <t>كلا الفترتين</t>
        </is>
      </c>
      <c r="E138" t="n">
        <v>1998</v>
      </c>
      <c r="F138" t="b">
        <v>0</v>
      </c>
      <c r="G138">
        <f>HYPERLINK("https://www.google.com/maps/search/?api=1&amp;query=22.27284345,46.71608131", "View Map")</f>
        <v/>
      </c>
    </row>
    <row r="139">
      <c r="A139" t="inlineStr">
        <is>
          <t>جامع حي الشرف بالحنيه /اوقاف الخرج .</t>
        </is>
      </c>
      <c r="B139" t="inlineStr">
        <is>
          <t>KFM2020660176064</t>
        </is>
      </c>
      <c r="C139" t="inlineStr">
        <is>
          <t>الخرج</t>
        </is>
      </c>
      <c r="D139" t="inlineStr">
        <is>
          <t>كلا الفترتين</t>
        </is>
      </c>
      <c r="E139" t="n">
        <v>1997</v>
      </c>
      <c r="F139" t="b">
        <v>0</v>
      </c>
      <c r="G139">
        <f>HYPERLINK("https://www.google.com/maps/search/?api=1&amp;query=24.39839527,47.22363499", "View Map")</f>
        <v/>
      </c>
    </row>
    <row r="140">
      <c r="A140" t="inlineStr">
        <is>
          <t xml:space="preserve">      مسجد آل حشان .</t>
        </is>
      </c>
      <c r="B140" t="inlineStr">
        <is>
          <t>KFM2020660177741</t>
        </is>
      </c>
      <c r="C140" t="inlineStr">
        <is>
          <t>الحريق</t>
        </is>
      </c>
      <c r="D140" t="inlineStr">
        <is>
          <t>كلا الفترتين</t>
        </is>
      </c>
      <c r="E140" t="n">
        <v>1996</v>
      </c>
      <c r="F140" t="b">
        <v>0</v>
      </c>
      <c r="G140">
        <f>HYPERLINK("https://www.google.com/maps/search/?api=1&amp;query=23.63773281,46.51039062", "View Map")</f>
        <v/>
      </c>
    </row>
    <row r="141">
      <c r="A141" t="inlineStr">
        <is>
          <t>ﻤﺴﺎﺠﺩ ﺍﻟﺨﻤﺎﺴﻴﻥ .</t>
        </is>
      </c>
      <c r="B141" t="inlineStr">
        <is>
          <t>AEC2020830242719</t>
        </is>
      </c>
      <c r="C141" t="inlineStr">
        <is>
          <t>وادي الدواسر</t>
        </is>
      </c>
      <c r="D141" t="inlineStr">
        <is>
          <t>كلا الفترتين</t>
        </is>
      </c>
      <c r="E141" t="n">
        <v>1986</v>
      </c>
      <c r="F141" t="b">
        <v>0</v>
      </c>
      <c r="G141">
        <f>HYPERLINK("https://www.google.com/maps/search/?api=1&amp;query=20.47468095,45.0581382", "View Map")</f>
        <v/>
      </c>
    </row>
    <row r="142">
      <c r="A142" t="inlineStr">
        <is>
          <t xml:space="preserve">   مسجدال جمعان .</t>
        </is>
      </c>
      <c r="B142" t="inlineStr">
        <is>
          <t>KFM2120660257247</t>
        </is>
      </c>
      <c r="C142" t="inlineStr">
        <is>
          <t>حوطة بني تميم</t>
        </is>
      </c>
      <c r="D142" t="inlineStr">
        <is>
          <t>كلا الفترتين</t>
        </is>
      </c>
      <c r="E142" t="n">
        <v>1963</v>
      </c>
      <c r="F142" t="b">
        <v>0</v>
      </c>
      <c r="G142">
        <f>HYPERLINK("https://www.google.com/maps/search/?api=1&amp;query=23.20405201,46.42188859", "View Map")</f>
        <v/>
      </c>
    </row>
    <row r="143">
      <c r="A143" t="inlineStr">
        <is>
          <t xml:space="preserve">      اوقاف الدواسر/مسجد ال وثيله .</t>
        </is>
      </c>
      <c r="B143" t="inlineStr">
        <is>
          <t>KFM2020760181897</t>
        </is>
      </c>
      <c r="C143" t="inlineStr">
        <is>
          <t>وادي الدواسر</t>
        </is>
      </c>
      <c r="D143" t="inlineStr">
        <is>
          <t>كلا الفترتين</t>
        </is>
      </c>
      <c r="E143" t="n">
        <v>1962</v>
      </c>
      <c r="F143" t="b">
        <v>0</v>
      </c>
      <c r="G143">
        <f>HYPERLINK("https://www.google.com/maps/search/?api=1&amp;query=20.46913493,44.79566844", "View Map")</f>
        <v/>
      </c>
    </row>
    <row r="144">
      <c r="A144" t="inlineStr">
        <is>
          <t xml:space="preserve">   اوقاف الدلم/مسجدخالدالغانم .</t>
        </is>
      </c>
      <c r="B144" t="inlineStr">
        <is>
          <t>KFM2120660249816</t>
        </is>
      </c>
      <c r="C144" t="inlineStr">
        <is>
          <t>الدلم</t>
        </is>
      </c>
      <c r="D144" t="inlineStr">
        <is>
          <t>كلا الفترتين</t>
        </is>
      </c>
      <c r="E144" t="n">
        <v>1954</v>
      </c>
      <c r="F144" t="b">
        <v>1</v>
      </c>
      <c r="G144">
        <f>HYPERLINK("https://www.google.com/maps/search/?api=1&amp;query=23.99789822,47.11837938", "View Map")</f>
        <v/>
      </c>
    </row>
    <row r="145">
      <c r="A145" t="inlineStr">
        <is>
          <t>لمساجدوالدعوه الا رشاد بالا فل .</t>
        </is>
      </c>
      <c r="B145" t="inlineStr">
        <is>
          <t>KFM2020660169750</t>
        </is>
      </c>
      <c r="C145" t="inlineStr">
        <is>
          <t>الأفلاج</t>
        </is>
      </c>
      <c r="D145" t="inlineStr">
        <is>
          <t>كلا الفترتين</t>
        </is>
      </c>
      <c r="E145" t="n">
        <v>1938</v>
      </c>
      <c r="F145" t="b">
        <v>0</v>
      </c>
      <c r="G145">
        <f>HYPERLINK("https://www.google.com/maps/search/?api=1&amp;query=22.30212061,46.70328734", "View Map")</f>
        <v/>
      </c>
    </row>
    <row r="146">
      <c r="A146" t="inlineStr">
        <is>
          <t>ﻤﺴﺎﺠﺩ ﺍﻟﺨﻤﺎﺴﻴﻥ .</t>
        </is>
      </c>
      <c r="B146" t="inlineStr">
        <is>
          <t>KFM2020660206130</t>
        </is>
      </c>
      <c r="C146" t="inlineStr">
        <is>
          <t>وادي الدواسر</t>
        </is>
      </c>
      <c r="D146" t="inlineStr">
        <is>
          <t>كلا الفترتين</t>
        </is>
      </c>
      <c r="E146" t="n">
        <v>1916</v>
      </c>
      <c r="F146" t="b">
        <v>1</v>
      </c>
      <c r="G146">
        <f>HYPERLINK("https://www.google.com/maps/search/?api=1&amp;query=20.420367,44.76540525", "View Map")</f>
        <v/>
      </c>
    </row>
    <row r="147">
      <c r="A147" t="inlineStr">
        <is>
          <t xml:space="preserve">   اوقاف الخرج --مسجدعبدالله جعوني .</t>
        </is>
      </c>
      <c r="B147" t="inlineStr">
        <is>
          <t>KFM2020660231430</t>
        </is>
      </c>
      <c r="C147" t="inlineStr">
        <is>
          <t>الخرج</t>
        </is>
      </c>
      <c r="D147" t="inlineStr">
        <is>
          <t>كلا الفترتين</t>
        </is>
      </c>
      <c r="E147" t="n">
        <v>1915</v>
      </c>
      <c r="F147" t="b">
        <v>0</v>
      </c>
      <c r="G147">
        <f>HYPERLINK("https://www.google.com/maps/search/?api=1&amp;query=24.16987251,47.34385565", "View Map")</f>
        <v/>
      </c>
    </row>
    <row r="148">
      <c r="A148" t="inlineStr">
        <is>
          <t xml:space="preserve">      مسجد العليا اوقاف الدواسر .</t>
        </is>
      </c>
      <c r="B148" t="inlineStr">
        <is>
          <t>KFM2020660212695</t>
        </is>
      </c>
      <c r="C148" t="inlineStr">
        <is>
          <t>وادي الدواسر</t>
        </is>
      </c>
      <c r="D148" t="inlineStr">
        <is>
          <t>كلا الفترتين</t>
        </is>
      </c>
      <c r="E148" t="n">
        <v>1909</v>
      </c>
      <c r="F148" t="b">
        <v>0</v>
      </c>
      <c r="G148">
        <f>HYPERLINK("https://www.google.com/maps/search/?api=1&amp;query=20.45351763,44.78330188", "View Map")</f>
        <v/>
      </c>
    </row>
    <row r="149">
      <c r="A149" t="inlineStr">
        <is>
          <t xml:space="preserve"> اوقاف الخرج/مسجدعبدالله صالح العسكر .</t>
        </is>
      </c>
      <c r="B149" t="inlineStr">
        <is>
          <t>KFM2020660230150</t>
        </is>
      </c>
      <c r="C149" t="inlineStr">
        <is>
          <t>الخرج</t>
        </is>
      </c>
      <c r="D149" t="inlineStr">
        <is>
          <t>كلا الفترتين</t>
        </is>
      </c>
      <c r="E149" t="n">
        <v>1908</v>
      </c>
      <c r="F149" t="b">
        <v>1</v>
      </c>
      <c r="G149">
        <f>HYPERLINK("https://www.google.com/maps/search/?api=1&amp;query=24.15933706,47.30571765", "View Map")</f>
        <v/>
      </c>
    </row>
    <row r="150">
      <c r="A150" t="inlineStr">
        <is>
          <t xml:space="preserve">   مسجد/ محمد ناصر اليوسف .</t>
        </is>
      </c>
      <c r="B150" t="inlineStr">
        <is>
          <t>KFM2120660264303</t>
        </is>
      </c>
      <c r="C150" t="inlineStr">
        <is>
          <t>الخرج</t>
        </is>
      </c>
      <c r="D150" t="inlineStr">
        <is>
          <t>كلا الفترتين</t>
        </is>
      </c>
      <c r="E150" t="n">
        <v>1901</v>
      </c>
      <c r="F150" t="b">
        <v>1</v>
      </c>
      <c r="G150">
        <f>HYPERLINK("https://www.google.com/maps/search/?api=1&amp;query=24.13855392,47.28682893", "View Map")</f>
        <v/>
      </c>
    </row>
    <row r="151">
      <c r="A151" t="inlineStr">
        <is>
          <t xml:space="preserve">   مسجد مترك بن نفل /اوقاف الدواسر .</t>
        </is>
      </c>
      <c r="B151" t="inlineStr">
        <is>
          <t>AEC2020830323574</t>
        </is>
      </c>
      <c r="C151" t="inlineStr">
        <is>
          <t>وادي الدواسر</t>
        </is>
      </c>
      <c r="D151" t="inlineStr">
        <is>
          <t>كلا الفترتين</t>
        </is>
      </c>
      <c r="E151" t="n">
        <v>1897</v>
      </c>
      <c r="F151" t="b">
        <v>0</v>
      </c>
      <c r="G151">
        <f>HYPERLINK("https://www.google.com/maps/search/?api=1&amp;query=20.42278123,45.1332104", "View Map")</f>
        <v/>
      </c>
    </row>
    <row r="152">
      <c r="A152" t="inlineStr">
        <is>
          <t xml:space="preserve">      المسجد الجامع بالمفيجر .</t>
        </is>
      </c>
      <c r="B152" t="inlineStr">
        <is>
          <t>KFM2020660177632</t>
        </is>
      </c>
      <c r="C152" t="inlineStr">
        <is>
          <t>الحريق</t>
        </is>
      </c>
      <c r="D152" t="inlineStr">
        <is>
          <t>كلا الفترتين</t>
        </is>
      </c>
      <c r="E152" t="n">
        <v>1892</v>
      </c>
      <c r="F152" t="b">
        <v>0</v>
      </c>
      <c r="G152">
        <f>HYPERLINK("https://www.google.com/maps/search/?api=1&amp;query=23.61165107,46.56493632", "View Map")</f>
        <v/>
      </c>
    </row>
    <row r="153">
      <c r="A153" t="inlineStr">
        <is>
          <t xml:space="preserve">   اوقاف الخرج / مسجد حي الزاهر .</t>
        </is>
      </c>
      <c r="B153" t="inlineStr">
        <is>
          <t>KFM2020660230162</t>
        </is>
      </c>
      <c r="C153" t="inlineStr">
        <is>
          <t>الخرج</t>
        </is>
      </c>
      <c r="D153" t="inlineStr">
        <is>
          <t>كلا الفترتين</t>
        </is>
      </c>
      <c r="E153" t="n">
        <v>1888</v>
      </c>
      <c r="F153" t="b">
        <v>0</v>
      </c>
      <c r="G153">
        <f>HYPERLINK("https://www.google.com/maps/search/?api=1&amp;query=24.15405288,47.36583522", "View Map")</f>
        <v/>
      </c>
    </row>
    <row r="154">
      <c r="A154" t="inlineStr">
        <is>
          <t>ﻤﺴﺎﺠﺩﺍﻟﺨـﺭﺝ .</t>
        </is>
      </c>
      <c r="B154" t="inlineStr">
        <is>
          <t>KFM2020660212408</t>
        </is>
      </c>
      <c r="C154" t="inlineStr">
        <is>
          <t>الخرج</t>
        </is>
      </c>
      <c r="D154" t="inlineStr">
        <is>
          <t>كلا الفترتين</t>
        </is>
      </c>
      <c r="E154" t="n">
        <v>1863</v>
      </c>
      <c r="F154" t="b">
        <v>0</v>
      </c>
      <c r="G154">
        <f>HYPERLINK("https://www.google.com/maps/search/?api=1&amp;query=24.17228438,47.32368765", "View Map")</f>
        <v/>
      </c>
    </row>
    <row r="155">
      <c r="A155" t="inlineStr">
        <is>
          <t xml:space="preserve">   أوقاف     و مساجد   جامع آل مغاط .</t>
        </is>
      </c>
      <c r="B155" t="inlineStr">
        <is>
          <t>KFM2120660272344</t>
        </is>
      </c>
      <c r="C155" t="inlineStr">
        <is>
          <t>السليل</t>
        </is>
      </c>
      <c r="D155" t="inlineStr">
        <is>
          <t>كلا الفترتين</t>
        </is>
      </c>
      <c r="E155" t="n">
        <v>1858</v>
      </c>
      <c r="F155" t="b">
        <v>0</v>
      </c>
      <c r="G155">
        <f>HYPERLINK("https://www.google.com/maps/search/?api=1&amp;query=20.47285474,45.57557678", "View Map")</f>
        <v/>
      </c>
    </row>
    <row r="156">
      <c r="A156" t="inlineStr">
        <is>
          <t xml:space="preserve">   مسجد      بن تيمية  الجديدة .</t>
        </is>
      </c>
      <c r="B156" t="inlineStr">
        <is>
          <t>KFM2020660177749</t>
        </is>
      </c>
      <c r="C156" t="inlineStr">
        <is>
          <t>الحريق</t>
        </is>
      </c>
      <c r="D156" t="inlineStr">
        <is>
          <t>كلا الفترتين</t>
        </is>
      </c>
      <c r="E156" t="n">
        <v>1851</v>
      </c>
      <c r="F156" t="b">
        <v>0</v>
      </c>
      <c r="G156">
        <f>HYPERLINK("https://www.google.com/maps/search/?api=1&amp;query=23.63270452,46.50823466", "View Map")</f>
        <v/>
      </c>
    </row>
    <row r="157">
      <c r="A157" t="inlineStr">
        <is>
          <t>مساجد الخماسين .</t>
        </is>
      </c>
      <c r="B157" t="inlineStr">
        <is>
          <t>KFM2020660212795</t>
        </is>
      </c>
      <c r="C157" t="inlineStr">
        <is>
          <t>وادي الدواسر</t>
        </is>
      </c>
      <c r="D157" t="inlineStr">
        <is>
          <t>كلا الفترتين</t>
        </is>
      </c>
      <c r="E157" t="n">
        <v>1846</v>
      </c>
      <c r="F157" t="b">
        <v>0</v>
      </c>
      <c r="G157">
        <f>HYPERLINK("https://www.google.com/maps/search/?api=1&amp;query=20.43984713,44.78824657", "View Map")</f>
        <v/>
      </c>
    </row>
    <row r="158">
      <c r="A158" t="inlineStr">
        <is>
          <t xml:space="preserve">   مسجد عمربن عبدالعزيز .</t>
        </is>
      </c>
      <c r="B158" t="inlineStr">
        <is>
          <t>KFM2120660263478</t>
        </is>
      </c>
      <c r="C158" t="inlineStr">
        <is>
          <t>وادي الدواسر</t>
        </is>
      </c>
      <c r="D158" t="inlineStr">
        <is>
          <t>كلا الفترتين</t>
        </is>
      </c>
      <c r="E158" t="n">
        <v>1833</v>
      </c>
      <c r="F158" t="b">
        <v>0</v>
      </c>
      <c r="G158">
        <f>HYPERLINK("https://www.google.com/maps/search/?api=1&amp;query=20.45715855,44.7467372", "View Map")</f>
        <v/>
      </c>
    </row>
    <row r="159">
      <c r="A159" t="inlineStr">
        <is>
          <t xml:space="preserve">   مسجد الحزم الثانى .</t>
        </is>
      </c>
      <c r="B159" t="inlineStr">
        <is>
          <t>KFM2020660232740</t>
        </is>
      </c>
      <c r="C159" t="inlineStr">
        <is>
          <t>حوطة بني تميم</t>
        </is>
      </c>
      <c r="D159" t="inlineStr">
        <is>
          <t>كلا الفترتين</t>
        </is>
      </c>
      <c r="E159" t="n">
        <v>1828</v>
      </c>
      <c r="F159" t="b">
        <v>0</v>
      </c>
      <c r="G159">
        <f>HYPERLINK("https://www.google.com/maps/search/?api=1&amp;query=23.45085706,46.80683466", "View Map")</f>
        <v/>
      </c>
    </row>
    <row r="160">
      <c r="A160" t="inlineStr">
        <is>
          <t>مساجد الخماسين .</t>
        </is>
      </c>
      <c r="B160" t="inlineStr">
        <is>
          <t>KFM2020760208694</t>
        </is>
      </c>
      <c r="C160" t="inlineStr">
        <is>
          <t>وادي الدواسر</t>
        </is>
      </c>
      <c r="D160" t="inlineStr">
        <is>
          <t>كلا الفترتين</t>
        </is>
      </c>
      <c r="E160" t="n">
        <v>1827</v>
      </c>
      <c r="F160" t="b">
        <v>0</v>
      </c>
      <c r="G160">
        <f>HYPERLINK("https://www.google.com/maps/search/?api=1&amp;query=20.4986618,44.72718531", "View Map")</f>
        <v/>
      </c>
    </row>
    <row r="161">
      <c r="A161" t="inlineStr">
        <is>
          <t xml:space="preserve">      مسجد الجامع الكبير .</t>
        </is>
      </c>
      <c r="B161" t="inlineStr">
        <is>
          <t>KFM2020660170441</t>
        </is>
      </c>
      <c r="C161" t="inlineStr">
        <is>
          <t>الدلم</t>
        </is>
      </c>
      <c r="D161" t="inlineStr">
        <is>
          <t>كلا الفترتين</t>
        </is>
      </c>
      <c r="E161" t="n">
        <v>1816</v>
      </c>
      <c r="F161" t="b">
        <v>1</v>
      </c>
      <c r="G161">
        <f>HYPERLINK("https://www.google.com/maps/search/?api=1&amp;query=23.99395062,47.1600723", "View Map")</f>
        <v/>
      </c>
    </row>
    <row r="162">
      <c r="A162" t="inlineStr">
        <is>
          <t>ﻤﺴﺎﺠﺩﺍﻟﺨـﺭﺝ .</t>
        </is>
      </c>
      <c r="B162" t="inlineStr">
        <is>
          <t>KFM2020660231393</t>
        </is>
      </c>
      <c r="C162" t="inlineStr">
        <is>
          <t>الخرج</t>
        </is>
      </c>
      <c r="D162" t="inlineStr">
        <is>
          <t>كلا الفترتين</t>
        </is>
      </c>
      <c r="E162" t="n">
        <v>1803</v>
      </c>
      <c r="F162" t="b">
        <v>0</v>
      </c>
      <c r="G162">
        <f>HYPERLINK("https://www.google.com/maps/search/?api=1&amp;query=24.18263358,47.464438", "View Map")</f>
        <v/>
      </c>
    </row>
    <row r="163">
      <c r="A163" t="inlineStr">
        <is>
          <t>ﻤﺴﺎﺠﺩ ﺍﻟﺨﻤﺎﺴﻴﻥ .</t>
        </is>
      </c>
      <c r="B163" t="inlineStr">
        <is>
          <t>MMF2020800319405</t>
        </is>
      </c>
      <c r="C163" t="inlineStr">
        <is>
          <t>وادي الدواسر</t>
        </is>
      </c>
      <c r="D163" t="inlineStr">
        <is>
          <t>كلا الفترتين</t>
        </is>
      </c>
      <c r="E163" t="n">
        <v>1793</v>
      </c>
      <c r="F163" t="b">
        <v>1</v>
      </c>
      <c r="G163">
        <f>HYPERLINK("https://www.google.com/maps/search/?api=1&amp;query=20.4503241,44.8405842", "View Map")</f>
        <v/>
      </c>
    </row>
    <row r="164">
      <c r="A164" t="inlineStr">
        <is>
          <t xml:space="preserve">   اوقاف الدواسر/مسجد تميم مترك .</t>
        </is>
      </c>
      <c r="B164" t="inlineStr">
        <is>
          <t>SMR2220661004530</t>
        </is>
      </c>
      <c r="C164" t="inlineStr">
        <is>
          <t>وادي الدواسر</t>
        </is>
      </c>
      <c r="D164" t="inlineStr">
        <is>
          <t>كلا الفترتين</t>
        </is>
      </c>
      <c r="E164" t="n">
        <v>1785</v>
      </c>
      <c r="F164" t="b">
        <v>0</v>
      </c>
      <c r="G164">
        <f>HYPERLINK("https://www.google.com/maps/search/?api=1&amp;query=20.43997305,44.84708496", "View Map")</f>
        <v/>
      </c>
    </row>
    <row r="165">
      <c r="A165" t="inlineStr">
        <is>
          <t xml:space="preserve">   مسجدال علي .</t>
        </is>
      </c>
      <c r="B165" t="inlineStr">
        <is>
          <t>AES2320896631812</t>
        </is>
      </c>
      <c r="C165" t="inlineStr">
        <is>
          <t>حوطة بني تميم</t>
        </is>
      </c>
      <c r="D165" t="inlineStr">
        <is>
          <t>كلا الفترتين</t>
        </is>
      </c>
      <c r="E165" t="n">
        <v>1774</v>
      </c>
      <c r="F165" t="b">
        <v>0</v>
      </c>
      <c r="G165">
        <f>HYPERLINK("https://www.google.com/maps/search/?api=1&amp;query=23.21993654,46.48826511", "View Map")</f>
        <v/>
      </c>
    </row>
    <row r="166">
      <c r="A166" t="inlineStr">
        <is>
          <t>جامع ابوبكرالصديق .</t>
        </is>
      </c>
      <c r="B166" t="inlineStr">
        <is>
          <t>KFM2020660177876</t>
        </is>
      </c>
      <c r="C166" t="inlineStr">
        <is>
          <t>وادي الدواسر</t>
        </is>
      </c>
      <c r="D166" t="inlineStr">
        <is>
          <t>كلا الفترتين</t>
        </is>
      </c>
      <c r="E166" t="n">
        <v>1769</v>
      </c>
      <c r="F166" t="b">
        <v>0</v>
      </c>
      <c r="G166">
        <f>HYPERLINK("https://www.google.com/maps/search/?api=1&amp;query=20.44793977,44.65425261", "View Map")</f>
        <v/>
      </c>
    </row>
    <row r="167">
      <c r="A167" t="inlineStr">
        <is>
          <t xml:space="preserve">   مسجد      ال فرحان  اوقاف السليل .</t>
        </is>
      </c>
      <c r="B167" t="inlineStr">
        <is>
          <t>KFM2020766165783</t>
        </is>
      </c>
      <c r="C167" t="inlineStr">
        <is>
          <t>السليل</t>
        </is>
      </c>
      <c r="D167" t="inlineStr">
        <is>
          <t>كلا الفترتين</t>
        </is>
      </c>
      <c r="E167" t="n">
        <v>1761</v>
      </c>
      <c r="F167" t="b">
        <v>0</v>
      </c>
      <c r="G167">
        <f>HYPERLINK("https://www.google.com/maps/search/?api=1&amp;query=20.45229655,45.57151859", "View Map")</f>
        <v/>
      </c>
    </row>
    <row r="168">
      <c r="A168" t="inlineStr">
        <is>
          <t xml:space="preserve">   مسجد أبي بن كعـب بالسلاميه .</t>
        </is>
      </c>
      <c r="B168" t="inlineStr">
        <is>
          <t>KFM2020766166085</t>
        </is>
      </c>
      <c r="C168" t="inlineStr">
        <is>
          <t>حوطة بني تميم</t>
        </is>
      </c>
      <c r="D168" t="inlineStr">
        <is>
          <t>كلا الفترتين</t>
        </is>
      </c>
      <c r="E168" t="n">
        <v>1755</v>
      </c>
      <c r="F168" t="b">
        <v>0</v>
      </c>
      <c r="G168">
        <f>HYPERLINK("https://www.google.com/maps/search/?api=1&amp;query=23.47530964,46.87300362", "View Map")</f>
        <v/>
      </c>
    </row>
    <row r="169">
      <c r="A169" t="inlineStr">
        <is>
          <t xml:space="preserve"> مسجد مصعب بن عمير الا وقاف والمساجد .</t>
        </is>
      </c>
      <c r="B169" t="inlineStr">
        <is>
          <t>KFM2020660176099</t>
        </is>
      </c>
      <c r="C169" t="inlineStr">
        <is>
          <t>وادي الدواسر</t>
        </is>
      </c>
      <c r="D169" t="inlineStr">
        <is>
          <t>كلا الفترتين</t>
        </is>
      </c>
      <c r="E169" t="n">
        <v>1736</v>
      </c>
      <c r="F169" t="b">
        <v>1</v>
      </c>
      <c r="G169">
        <f>HYPERLINK("https://www.google.com/maps/search/?api=1&amp;query=20.46451015,44.76095763", "View Map")</f>
        <v/>
      </c>
    </row>
    <row r="170">
      <c r="A170" t="inlineStr">
        <is>
          <t xml:space="preserve">   مسجد جامع الصفيه .</t>
        </is>
      </c>
      <c r="B170" t="inlineStr">
        <is>
          <t>KFM2020660234461</t>
        </is>
      </c>
      <c r="C170" t="inlineStr">
        <is>
          <t>وادي الدواسر</t>
        </is>
      </c>
      <c r="D170" t="inlineStr">
        <is>
          <t>كلا الفترتين</t>
        </is>
      </c>
      <c r="E170" t="n">
        <v>1729</v>
      </c>
      <c r="F170" t="b">
        <v>1</v>
      </c>
      <c r="G170">
        <f>HYPERLINK("https://www.google.com/maps/search/?api=1&amp;query=20.44597739,44.6898883", "View Map")</f>
        <v/>
      </c>
    </row>
    <row r="171">
      <c r="A171" t="inlineStr">
        <is>
          <t xml:space="preserve">   اوقاف الدواسر/ جامع بهجه .</t>
        </is>
      </c>
      <c r="B171" t="inlineStr">
        <is>
          <t>KFM2020660212751</t>
        </is>
      </c>
      <c r="C171" t="inlineStr">
        <is>
          <t>وادي الدواسر</t>
        </is>
      </c>
      <c r="D171" t="inlineStr">
        <is>
          <t>كلا الفترتين</t>
        </is>
      </c>
      <c r="E171" t="n">
        <v>1716</v>
      </c>
      <c r="F171" t="b">
        <v>1</v>
      </c>
      <c r="G171">
        <f>HYPERLINK("https://www.google.com/maps/search/?api=1&amp;query=20.46521864,44.78945013", "View Map")</f>
        <v/>
      </c>
    </row>
    <row r="172">
      <c r="A172" t="inlineStr">
        <is>
          <t xml:space="preserve">   مسجدال عليان .</t>
        </is>
      </c>
      <c r="B172" t="inlineStr">
        <is>
          <t>KFM2020760211558</t>
        </is>
      </c>
      <c r="C172" t="inlineStr">
        <is>
          <t>وادي الدواسر</t>
        </is>
      </c>
      <c r="D172" t="inlineStr">
        <is>
          <t>كلا الفترتين</t>
        </is>
      </c>
      <c r="E172" t="n">
        <v>1715</v>
      </c>
      <c r="F172" t="b">
        <v>0</v>
      </c>
      <c r="G172">
        <f>HYPERLINK("https://www.google.com/maps/search/?api=1&amp;query=20.42867407,45.04177089", "View Map")</f>
        <v/>
      </c>
    </row>
    <row r="173">
      <c r="A173" t="inlineStr">
        <is>
          <t xml:space="preserve">   مسجدعمربن عبدالعزيز .</t>
        </is>
      </c>
      <c r="B173" t="inlineStr">
        <is>
          <t>KFM2020660212793</t>
        </is>
      </c>
      <c r="C173" t="inlineStr">
        <is>
          <t>وادي الدواسر</t>
        </is>
      </c>
      <c r="D173" t="inlineStr">
        <is>
          <t>كلا الفترتين</t>
        </is>
      </c>
      <c r="E173" t="n">
        <v>1713</v>
      </c>
      <c r="F173" t="b">
        <v>0</v>
      </c>
      <c r="G173">
        <f>HYPERLINK("https://www.google.com/maps/search/?api=1&amp;query=20.46213119,44.79875545", "View Map")</f>
        <v/>
      </c>
    </row>
    <row r="174">
      <c r="A174" t="inlineStr">
        <is>
          <t>ﺍﻟﻤﺴﺎﺠﺩﻭﺍﻟﺩﻋﻭﻩ ﺍﻻﺭﺸﺎﺩ ﺒﺎﻻﻓﻼﺝ .</t>
        </is>
      </c>
      <c r="B174" t="inlineStr">
        <is>
          <t>KFM2020660211850</t>
        </is>
      </c>
      <c r="C174" t="inlineStr">
        <is>
          <t>الأفلاج</t>
        </is>
      </c>
      <c r="D174" t="inlineStr">
        <is>
          <t>كلا الفترتين</t>
        </is>
      </c>
      <c r="E174" t="n">
        <v>1713</v>
      </c>
      <c r="F174" t="b">
        <v>0</v>
      </c>
      <c r="G174">
        <f>HYPERLINK("https://www.google.com/maps/search/?api=1&amp;query=22.2974572,46.70735911", "View Map")</f>
        <v/>
      </c>
    </row>
    <row r="175">
      <c r="A175" t="inlineStr">
        <is>
          <t xml:space="preserve">   مسجدمحطةال سلطان .</t>
        </is>
      </c>
      <c r="B175" t="inlineStr">
        <is>
          <t>KFM2020660174674</t>
        </is>
      </c>
      <c r="C175" t="inlineStr">
        <is>
          <t>وادي الدواسر</t>
        </is>
      </c>
      <c r="D175" t="inlineStr">
        <is>
          <t>كلا الفترتين</t>
        </is>
      </c>
      <c r="E175" t="n">
        <v>1709</v>
      </c>
      <c r="F175" t="b">
        <v>0</v>
      </c>
      <c r="G175">
        <f>HYPERLINK("https://www.google.com/maps/search/?api=1&amp;query=20.4728795,44.78438994", "View Map")</f>
        <v/>
      </c>
    </row>
    <row r="176">
      <c r="A176" t="inlineStr">
        <is>
          <t xml:space="preserve">   اوقاف الخرج / مسجد ال هتلان .</t>
        </is>
      </c>
      <c r="B176" t="inlineStr">
        <is>
          <t>KFM2020660207867</t>
        </is>
      </c>
      <c r="C176" t="inlineStr">
        <is>
          <t>الخرج</t>
        </is>
      </c>
      <c r="D176" t="inlineStr">
        <is>
          <t>كلا الفترتين</t>
        </is>
      </c>
      <c r="E176" t="n">
        <v>1706</v>
      </c>
      <c r="F176" t="b">
        <v>1</v>
      </c>
      <c r="G176">
        <f>HYPERLINK("https://www.google.com/maps/search/?api=1&amp;query=24.19154391,47.2902271", "View Map")</f>
        <v/>
      </c>
    </row>
    <row r="177">
      <c r="A177" t="inlineStr">
        <is>
          <t xml:space="preserve">   اوقاف الدلم- مسجد طارق بن زياد .</t>
        </is>
      </c>
      <c r="B177" t="inlineStr">
        <is>
          <t>KFM2020760006682</t>
        </is>
      </c>
      <c r="C177" t="inlineStr">
        <is>
          <t>الدلم</t>
        </is>
      </c>
      <c r="D177" t="inlineStr">
        <is>
          <t>كلا الفترتين</t>
        </is>
      </c>
      <c r="E177" t="n">
        <v>1698</v>
      </c>
      <c r="F177" t="b">
        <v>0</v>
      </c>
      <c r="G177">
        <f>HYPERLINK("https://www.google.com/maps/search/?api=1&amp;query=23.98263111,47.11820952", "View Map")</f>
        <v/>
      </c>
    </row>
    <row r="178">
      <c r="A178" t="inlineStr">
        <is>
          <t xml:space="preserve">   اوقاف     الدواسر   بن الوليد .</t>
        </is>
      </c>
      <c r="B178" t="inlineStr">
        <is>
          <t>KFM2020660223653</t>
        </is>
      </c>
      <c r="C178" t="inlineStr">
        <is>
          <t>وادي الدواسر</t>
        </is>
      </c>
      <c r="D178" t="inlineStr">
        <is>
          <t>كلا الفترتين</t>
        </is>
      </c>
      <c r="E178" t="n">
        <v>1694</v>
      </c>
      <c r="F178" t="b">
        <v>0</v>
      </c>
      <c r="G178">
        <f>HYPERLINK("https://www.google.com/maps/search/?api=1&amp;query=20.44626217,44.85257081", "View Map")</f>
        <v/>
      </c>
    </row>
    <row r="179">
      <c r="A179" t="inlineStr">
        <is>
          <t>ﻤﺴﺎﺠﺩﺍﻟﺨـﺭﺝ .</t>
        </is>
      </c>
      <c r="B179" t="inlineStr">
        <is>
          <t>KFM2020660210977</t>
        </is>
      </c>
      <c r="C179" t="inlineStr">
        <is>
          <t>الخرج</t>
        </is>
      </c>
      <c r="D179" t="inlineStr">
        <is>
          <t>كلا الفترتين</t>
        </is>
      </c>
      <c r="E179" t="n">
        <v>1691</v>
      </c>
      <c r="F179" t="b">
        <v>1</v>
      </c>
      <c r="G179">
        <f>HYPERLINK("https://www.google.com/maps/search/?api=1&amp;query=24.0945035,47.27503035", "View Map")</f>
        <v/>
      </c>
    </row>
    <row r="180">
      <c r="A180" t="inlineStr">
        <is>
          <t>ﺍﻭﻗﺎﻑ ﺍﻟﺩﻟﻡ / ﺍﻟﻤﺴــــــﺎﺠـﺩ .</t>
        </is>
      </c>
      <c r="B180" t="inlineStr">
        <is>
          <t>KFM2020660169689</t>
        </is>
      </c>
      <c r="C180" t="inlineStr">
        <is>
          <t>الدلم</t>
        </is>
      </c>
      <c r="D180" t="inlineStr">
        <is>
          <t>كلا الفترتين</t>
        </is>
      </c>
      <c r="E180" t="n">
        <v>1689</v>
      </c>
      <c r="F180" t="b">
        <v>0</v>
      </c>
      <c r="G180">
        <f>HYPERLINK("https://www.google.com/maps/search/?api=1&amp;query=23.96111,47.17606", "View Map")</f>
        <v/>
      </c>
    </row>
    <row r="181">
      <c r="A181" t="inlineStr">
        <is>
          <t xml:space="preserve">   مسجد/مبارك الغيمه .</t>
        </is>
      </c>
      <c r="B181" t="inlineStr">
        <is>
          <t>KFM2020660169706</t>
        </is>
      </c>
      <c r="C181" t="inlineStr">
        <is>
          <t>الخرج</t>
        </is>
      </c>
      <c r="D181" t="inlineStr">
        <is>
          <t>كلا الفترتين</t>
        </is>
      </c>
      <c r="E181" t="n">
        <v>1686</v>
      </c>
      <c r="F181" t="b">
        <v>0</v>
      </c>
      <c r="G181">
        <f>HYPERLINK("https://www.google.com/maps/search/?api=1&amp;query=24.17807103,47.29273926", "View Map")</f>
        <v/>
      </c>
    </row>
    <row r="182">
      <c r="A182" t="inlineStr">
        <is>
          <t xml:space="preserve">      مسجد جامع الصغو .</t>
        </is>
      </c>
      <c r="B182" t="inlineStr">
        <is>
          <t>KFM2120660252773</t>
        </is>
      </c>
      <c r="C182" t="inlineStr">
        <is>
          <t>الأفلاج</t>
        </is>
      </c>
      <c r="D182" t="inlineStr">
        <is>
          <t>كلا الفترتين</t>
        </is>
      </c>
      <c r="E182" t="n">
        <v>1680</v>
      </c>
      <c r="F182" t="b">
        <v>0</v>
      </c>
      <c r="G182">
        <f>HYPERLINK("https://www.google.com/maps/search/?api=1&amp;query=22.20504793,46.68610139", "View Map")</f>
        <v/>
      </c>
    </row>
    <row r="183">
      <c r="A183" t="inlineStr">
        <is>
          <t xml:space="preserve">   مسجدالخليل بن أحمدبالسلاميه .</t>
        </is>
      </c>
      <c r="B183" t="inlineStr">
        <is>
          <t>KFM2020766166096</t>
        </is>
      </c>
      <c r="C183" t="inlineStr">
        <is>
          <t>حوطة بني تميم</t>
        </is>
      </c>
      <c r="D183" t="inlineStr">
        <is>
          <t>كلا الفترتين</t>
        </is>
      </c>
      <c r="E183" t="n">
        <v>1679</v>
      </c>
      <c r="F183" t="b">
        <v>0</v>
      </c>
      <c r="G183">
        <f>HYPERLINK("https://www.google.com/maps/search/?api=1&amp;query=23.49309039,46.88628369", "View Map")</f>
        <v/>
      </c>
    </row>
    <row r="184">
      <c r="A184" t="inlineStr">
        <is>
          <t xml:space="preserve">   اوقاف الدواسر/ جامع ال حميضان .</t>
        </is>
      </c>
      <c r="B184" t="inlineStr">
        <is>
          <t>KFM2020660174728</t>
        </is>
      </c>
      <c r="C184" t="inlineStr">
        <is>
          <t>وادي الدواسر</t>
        </is>
      </c>
      <c r="D184" t="inlineStr">
        <is>
          <t>كلا الفترتين</t>
        </is>
      </c>
      <c r="E184" t="n">
        <v>1674</v>
      </c>
      <c r="F184" t="b">
        <v>0</v>
      </c>
      <c r="G184">
        <f>HYPERLINK("https://www.google.com/maps/search/?api=1&amp;query=20.49513101,44.74228422", "View Map")</f>
        <v/>
      </c>
    </row>
    <row r="185">
      <c r="A185" t="inlineStr">
        <is>
          <t xml:space="preserve">   الا وقافوالمساجد فهد حصين .</t>
        </is>
      </c>
      <c r="B185" t="inlineStr">
        <is>
          <t>MMF2020800256121</t>
        </is>
      </c>
      <c r="C185" t="inlineStr">
        <is>
          <t>وادي الدواسر</t>
        </is>
      </c>
      <c r="D185" t="inlineStr">
        <is>
          <t>كلا الفترتين</t>
        </is>
      </c>
      <c r="E185" t="n">
        <v>1672</v>
      </c>
      <c r="F185" t="b">
        <v>0</v>
      </c>
      <c r="G185">
        <f>HYPERLINK("https://www.google.com/maps/search/?api=1&amp;query=20.45618222,44.82905881", "View Map")</f>
        <v/>
      </c>
    </row>
    <row r="186">
      <c r="A186" t="inlineStr">
        <is>
          <t xml:space="preserve">   اوقاف الدواسر/ جامع المخطط .</t>
        </is>
      </c>
      <c r="B186" t="inlineStr">
        <is>
          <t>KFM2020660212731</t>
        </is>
      </c>
      <c r="C186" t="inlineStr">
        <is>
          <t>وادي الدواسر</t>
        </is>
      </c>
      <c r="D186" t="inlineStr">
        <is>
          <t>كلا الفترتين</t>
        </is>
      </c>
      <c r="E186" t="n">
        <v>1662</v>
      </c>
      <c r="F186" t="b">
        <v>1</v>
      </c>
      <c r="G186">
        <f>HYPERLINK("https://www.google.com/maps/search/?api=1&amp;query=20.46356177,44.78095887", "View Map")</f>
        <v/>
      </c>
    </row>
    <row r="187">
      <c r="A187" t="inlineStr">
        <is>
          <t xml:space="preserve">   اوقاف الدلم جامع هجرةالعزيزيه .</t>
        </is>
      </c>
      <c r="B187" t="inlineStr">
        <is>
          <t>KFM2020660170464</t>
        </is>
      </c>
      <c r="C187" t="inlineStr">
        <is>
          <t>الدلم</t>
        </is>
      </c>
      <c r="D187" t="inlineStr">
        <is>
          <t>كلا الفترتين</t>
        </is>
      </c>
      <c r="E187" t="n">
        <v>1658</v>
      </c>
      <c r="F187" t="b">
        <v>0</v>
      </c>
      <c r="G187">
        <f>HYPERLINK("https://www.google.com/maps/search/?api=1&amp;query=23.82445946,46.96289869", "View Map")</f>
        <v/>
      </c>
    </row>
    <row r="188">
      <c r="A188" t="inlineStr">
        <is>
          <t xml:space="preserve">   مسجد لؤلؤة منصور الرميح .</t>
        </is>
      </c>
      <c r="B188" t="inlineStr">
        <is>
          <t>KFM2020660210913</t>
        </is>
      </c>
      <c r="C188" t="inlineStr">
        <is>
          <t>الخرج</t>
        </is>
      </c>
      <c r="D188" t="inlineStr">
        <is>
          <t>كلا الفترتين</t>
        </is>
      </c>
      <c r="E188" t="n">
        <v>1651</v>
      </c>
      <c r="F188" t="b">
        <v>0</v>
      </c>
      <c r="G188">
        <f>HYPERLINK("https://www.google.com/maps/search/?api=1&amp;query=24.20163064,47.26514614", "View Map")</f>
        <v/>
      </c>
    </row>
    <row r="189">
      <c r="A189" t="inlineStr">
        <is>
          <t xml:space="preserve">   مسجد/ سعيد بن زيد .</t>
        </is>
      </c>
      <c r="B189" t="inlineStr">
        <is>
          <t>KFM2120660273268</t>
        </is>
      </c>
      <c r="C189" t="inlineStr">
        <is>
          <t>الخرج</t>
        </is>
      </c>
      <c r="D189" t="inlineStr">
        <is>
          <t>كلا الفترتين</t>
        </is>
      </c>
      <c r="E189" t="n">
        <v>1648</v>
      </c>
      <c r="F189" t="b">
        <v>1</v>
      </c>
      <c r="G189">
        <f>HYPERLINK("https://www.google.com/maps/search/?api=1&amp;query=24.15396657,47.32782008", "View Map")</f>
        <v/>
      </c>
    </row>
    <row r="190">
      <c r="A190" t="inlineStr">
        <is>
          <t xml:space="preserve">   مسجد عبادةبن الصامت مخطط 384 .</t>
        </is>
      </c>
      <c r="B190" t="inlineStr">
        <is>
          <t>KFM2120660270870</t>
        </is>
      </c>
      <c r="C190" t="inlineStr">
        <is>
          <t>حوطة بني تميم</t>
        </is>
      </c>
      <c r="D190" t="inlineStr">
        <is>
          <t>كلا الفترتين</t>
        </is>
      </c>
      <c r="E190" t="n">
        <v>1643</v>
      </c>
      <c r="F190" t="b">
        <v>0</v>
      </c>
      <c r="G190">
        <f>HYPERLINK("https://www.google.com/maps/search/?api=1&amp;query=23.49188929,46.86474432", "View Map")</f>
        <v/>
      </c>
    </row>
    <row r="191">
      <c r="A191" t="inlineStr">
        <is>
          <t xml:space="preserve">   ادارة     الأوقاف    مسجد حسان بن .</t>
        </is>
      </c>
      <c r="B191" t="inlineStr">
        <is>
          <t>KFM2120660271512</t>
        </is>
      </c>
      <c r="C191" t="inlineStr">
        <is>
          <t>السليل</t>
        </is>
      </c>
      <c r="D191" t="inlineStr">
        <is>
          <t>كلا الفترتين</t>
        </is>
      </c>
      <c r="E191" t="n">
        <v>1628</v>
      </c>
      <c r="F191" t="b">
        <v>1</v>
      </c>
      <c r="G191">
        <f>HYPERLINK("https://www.google.com/maps/search/?api=1&amp;query=20.4641214,45.57750053", "View Map")</f>
        <v/>
      </c>
    </row>
    <row r="192">
      <c r="A192" t="inlineStr">
        <is>
          <t xml:space="preserve">    اوقاف الدواسر/مسجد محمد بن علوش .</t>
        </is>
      </c>
      <c r="B192" t="inlineStr">
        <is>
          <t>KFM2120660247670</t>
        </is>
      </c>
      <c r="C192" t="inlineStr">
        <is>
          <t>وادي الدواسر</t>
        </is>
      </c>
      <c r="D192" t="inlineStr">
        <is>
          <t>مساءا</t>
        </is>
      </c>
      <c r="E192" t="n">
        <v>1622</v>
      </c>
      <c r="F192" t="b">
        <v>0</v>
      </c>
      <c r="G192">
        <f>HYPERLINK("https://www.google.com/maps/search/?api=1&amp;query=20.41361575,44.83857602", "View Map")</f>
        <v/>
      </c>
    </row>
    <row r="193">
      <c r="A193" t="inlineStr">
        <is>
          <t xml:space="preserve">   جامع الساحبه ببرك .</t>
        </is>
      </c>
      <c r="B193" t="inlineStr">
        <is>
          <t>KFM2020660193202</t>
        </is>
      </c>
      <c r="C193" t="inlineStr">
        <is>
          <t>حوطة بني تميم</t>
        </is>
      </c>
      <c r="D193" t="inlineStr">
        <is>
          <t>كلا الفترتين</t>
        </is>
      </c>
      <c r="E193" t="n">
        <v>1619</v>
      </c>
      <c r="F193" t="b">
        <v>1</v>
      </c>
      <c r="G193">
        <f>HYPERLINK("https://www.google.com/maps/search/?api=1&amp;query=23.23286403,46.63406168", "View Map")</f>
        <v/>
      </c>
    </row>
    <row r="194">
      <c r="A194" t="inlineStr">
        <is>
          <t xml:space="preserve">   الموسسه العامه للصناعات الحرب .</t>
        </is>
      </c>
      <c r="B194" t="inlineStr">
        <is>
          <t>KFM2020760214512</t>
        </is>
      </c>
      <c r="C194" t="inlineStr">
        <is>
          <t>الخرج</t>
        </is>
      </c>
      <c r="D194" t="inlineStr">
        <is>
          <t>كلا الفترتين</t>
        </is>
      </c>
      <c r="E194" t="n">
        <v>1615</v>
      </c>
      <c r="F194" t="b">
        <v>0</v>
      </c>
      <c r="G194">
        <f>HYPERLINK("https://www.google.com/maps/search/?api=1&amp;query=24.12023,47.29528", "View Map")</f>
        <v/>
      </c>
    </row>
    <row r="195">
      <c r="A195" t="inlineStr">
        <is>
          <t xml:space="preserve">   اوقاف     ومساجد    مسجدال ناصر .</t>
        </is>
      </c>
      <c r="B195" t="inlineStr">
        <is>
          <t>KFM2120660272848</t>
        </is>
      </c>
      <c r="C195" t="inlineStr">
        <is>
          <t>السليل</t>
        </is>
      </c>
      <c r="D195" t="inlineStr">
        <is>
          <t>صباحا</t>
        </is>
      </c>
      <c r="E195" t="n">
        <v>1615</v>
      </c>
      <c r="F195" t="b">
        <v>0</v>
      </c>
      <c r="G195">
        <f>HYPERLINK("https://www.google.com/maps/search/?api=1&amp;query=20.40545676,45.3999102", "View Map")</f>
        <v/>
      </c>
    </row>
    <row r="196">
      <c r="A196" t="inlineStr">
        <is>
          <t xml:space="preserve">   المسجد الشمالي بالشديدة .</t>
        </is>
      </c>
      <c r="B196" t="inlineStr">
        <is>
          <t>MMF2020800218918</t>
        </is>
      </c>
      <c r="C196" t="inlineStr">
        <is>
          <t>الخرج</t>
        </is>
      </c>
      <c r="D196" t="inlineStr">
        <is>
          <t>كلا الفترتين</t>
        </is>
      </c>
      <c r="E196" t="n">
        <v>1599</v>
      </c>
      <c r="F196" t="b">
        <v>0</v>
      </c>
      <c r="G196">
        <f>HYPERLINK("https://www.google.com/maps/search/?api=1&amp;query=24.28050941,47.29267323", "View Map")</f>
        <v/>
      </c>
    </row>
    <row r="197">
      <c r="A197" t="inlineStr">
        <is>
          <t xml:space="preserve">   الموسسه العامه للصناعات الحرب .</t>
        </is>
      </c>
      <c r="B197" t="inlineStr">
        <is>
          <t>KFM2020760001442</t>
        </is>
      </c>
      <c r="C197" t="inlineStr">
        <is>
          <t>الخرج</t>
        </is>
      </c>
      <c r="D197" t="inlineStr">
        <is>
          <t>كلا الفترتين</t>
        </is>
      </c>
      <c r="E197" t="n">
        <v>1593</v>
      </c>
      <c r="F197" t="b">
        <v>0</v>
      </c>
      <c r="G197">
        <f>HYPERLINK("https://www.google.com/maps/search/?api=1&amp;query=24.12023,47.29528", "View Map")</f>
        <v/>
      </c>
    </row>
    <row r="198">
      <c r="A198" t="inlineStr">
        <is>
          <t>مسجد كعب بن مالك .</t>
        </is>
      </c>
      <c r="B198" t="inlineStr">
        <is>
          <t>KFM2120660272199</t>
        </is>
      </c>
      <c r="C198" t="inlineStr">
        <is>
          <t>السليل</t>
        </is>
      </c>
      <c r="D198" t="inlineStr">
        <is>
          <t>كلا الفترتين</t>
        </is>
      </c>
      <c r="E198" t="n">
        <v>1591</v>
      </c>
      <c r="F198" t="b">
        <v>0</v>
      </c>
      <c r="G198">
        <f>HYPERLINK("https://www.google.com/maps/search/?api=1&amp;query=20.44646981,45.58570272", "View Map")</f>
        <v/>
      </c>
    </row>
    <row r="199">
      <c r="A199" t="inlineStr">
        <is>
          <t xml:space="preserve">   مسجد      جامع      . .</t>
        </is>
      </c>
      <c r="B199" t="inlineStr">
        <is>
          <t>KFM2120660271507</t>
        </is>
      </c>
      <c r="C199" t="inlineStr">
        <is>
          <t>السليل</t>
        </is>
      </c>
      <c r="D199" t="inlineStr">
        <is>
          <t>كلا الفترتين</t>
        </is>
      </c>
      <c r="E199" t="n">
        <v>1583</v>
      </c>
      <c r="F199" t="b">
        <v>1</v>
      </c>
      <c r="G199">
        <f>HYPERLINK("https://www.google.com/maps/search/?api=1&amp;query=20.4596098,45.5763322", "View Map")</f>
        <v/>
      </c>
    </row>
    <row r="200">
      <c r="A200" t="inlineStr">
        <is>
          <t>ﻤﺴﺎﺠﺩ ﺍﻟﺨﻤﺎﺴﻴﻥ .</t>
        </is>
      </c>
      <c r="B200" t="inlineStr">
        <is>
          <t>AEC2020830267733</t>
        </is>
      </c>
      <c r="C200" t="inlineStr">
        <is>
          <t>وادي الدواسر</t>
        </is>
      </c>
      <c r="D200" t="inlineStr">
        <is>
          <t>كلا الفترتين</t>
        </is>
      </c>
      <c r="E200" t="n">
        <v>1583</v>
      </c>
      <c r="F200" t="b">
        <v>0</v>
      </c>
      <c r="G200">
        <f>HYPERLINK("https://www.google.com/maps/search/?api=1&amp;query=20.49194098,44.77486086", "View Map")</f>
        <v/>
      </c>
    </row>
    <row r="201">
      <c r="A201" t="inlineStr">
        <is>
          <t>ﺍﻟﻤﺴﺎﺠﺩﻭﺍﻟﺩﻋﻭﻩ ﺍﻻﺭﺸﺎﺩ ﺒﺎﻻﻓﻼﺝ .</t>
        </is>
      </c>
      <c r="B201" t="inlineStr">
        <is>
          <t>KFM2020660211839</t>
        </is>
      </c>
      <c r="C201" t="inlineStr">
        <is>
          <t>الأفلاج</t>
        </is>
      </c>
      <c r="D201" t="inlineStr">
        <is>
          <t>كلا الفترتين</t>
        </is>
      </c>
      <c r="E201" t="n">
        <v>1581</v>
      </c>
      <c r="F201" t="b">
        <v>0</v>
      </c>
      <c r="G201">
        <f>HYPERLINK("https://www.google.com/maps/search/?api=1&amp;query=22.27756152,46.72174519", "View Map")</f>
        <v/>
      </c>
    </row>
    <row r="202">
      <c r="A202" t="inlineStr">
        <is>
          <t>جامع الفيصلية .</t>
        </is>
      </c>
      <c r="B202" t="inlineStr">
        <is>
          <t>AEC2020830326015</t>
        </is>
      </c>
      <c r="C202" t="inlineStr">
        <is>
          <t>وادي الدواسر</t>
        </is>
      </c>
      <c r="D202" t="inlineStr">
        <is>
          <t>كلا الفترتين</t>
        </is>
      </c>
      <c r="E202" t="n">
        <v>1579</v>
      </c>
      <c r="F202" t="b">
        <v>0</v>
      </c>
      <c r="G202">
        <f>HYPERLINK("https://www.google.com/maps/search/?api=1&amp;query=21.97257853,44.9686352", "View Map")</f>
        <v/>
      </c>
    </row>
    <row r="203">
      <c r="A203" t="inlineStr">
        <is>
          <t xml:space="preserve">    مسجد جامع الفرشه .</t>
        </is>
      </c>
      <c r="B203" t="inlineStr">
        <is>
          <t>KFM2020766163276</t>
        </is>
      </c>
      <c r="C203" t="inlineStr">
        <is>
          <t>حوطة بني تميم</t>
        </is>
      </c>
      <c r="D203" t="inlineStr">
        <is>
          <t>كلا الفترتين</t>
        </is>
      </c>
      <c r="E203" t="n">
        <v>1574</v>
      </c>
      <c r="F203" t="b">
        <v>0</v>
      </c>
      <c r="G203">
        <f>HYPERLINK("https://www.google.com/maps/search/?api=1&amp;query=23.14999816,46.91065238", "View Map")</f>
        <v/>
      </c>
    </row>
    <row r="204">
      <c r="A204" t="inlineStr">
        <is>
          <t>ﻤﺴﺎﺠﺩﺍﻟﺨـﺭﺝ .</t>
        </is>
      </c>
      <c r="B204" t="inlineStr">
        <is>
          <t>KFM2120660273253</t>
        </is>
      </c>
      <c r="C204" t="inlineStr">
        <is>
          <t>الخرج</t>
        </is>
      </c>
      <c r="D204" t="inlineStr">
        <is>
          <t>كلا الفترتين</t>
        </is>
      </c>
      <c r="E204" t="n">
        <v>1567</v>
      </c>
      <c r="F204" t="b">
        <v>0</v>
      </c>
      <c r="G204">
        <f>HYPERLINK("https://www.google.com/maps/search/?api=1&amp;query=24.1384396,47.37256416", "View Map")</f>
        <v/>
      </c>
    </row>
    <row r="205">
      <c r="A205" t="inlineStr">
        <is>
          <t xml:space="preserve">   أدارة     الأ وقاف   مسجد عائشة .</t>
        </is>
      </c>
      <c r="B205" t="inlineStr">
        <is>
          <t>MMF2020800310739</t>
        </is>
      </c>
      <c r="C205" t="inlineStr">
        <is>
          <t>السليل</t>
        </is>
      </c>
      <c r="D205" t="inlineStr">
        <is>
          <t>كلا الفترتين</t>
        </is>
      </c>
      <c r="E205" t="n">
        <v>1566</v>
      </c>
      <c r="F205" t="b">
        <v>0</v>
      </c>
      <c r="G205">
        <f>HYPERLINK("https://www.google.com/maps/search/?api=1&amp;query=20.44875011,45.58904253", "View Map")</f>
        <v/>
      </c>
    </row>
    <row r="206">
      <c r="A206" t="inlineStr">
        <is>
          <t xml:space="preserve">   مسجد جامع ال شداد بالفرشه .</t>
        </is>
      </c>
      <c r="B206" t="inlineStr">
        <is>
          <t>KFM2120660272957</t>
        </is>
      </c>
      <c r="C206" t="inlineStr">
        <is>
          <t>حوطة بني تميم</t>
        </is>
      </c>
      <c r="D206" t="inlineStr">
        <is>
          <t>كلا الفترتين</t>
        </is>
      </c>
      <c r="E206" t="n">
        <v>1565</v>
      </c>
      <c r="F206" t="b">
        <v>0</v>
      </c>
      <c r="G206">
        <f>HYPERLINK("https://www.google.com/maps/search/?api=1&amp;query=23.21699585,46.9041293", "View Map")</f>
        <v/>
      </c>
    </row>
    <row r="207">
      <c r="A207" t="inlineStr">
        <is>
          <t xml:space="preserve">   مسجد حى السلام .</t>
        </is>
      </c>
      <c r="B207" t="inlineStr">
        <is>
          <t>KFM2020660177924</t>
        </is>
      </c>
      <c r="C207" t="inlineStr">
        <is>
          <t>الخرج</t>
        </is>
      </c>
      <c r="D207" t="inlineStr">
        <is>
          <t>كلا الفترتين</t>
        </is>
      </c>
      <c r="E207" t="n">
        <v>1562</v>
      </c>
      <c r="F207" t="b">
        <v>1</v>
      </c>
      <c r="G207">
        <f>HYPERLINK("https://www.google.com/maps/search/?api=1&amp;query=24.1457091,47.30523873", "View Map")</f>
        <v/>
      </c>
    </row>
    <row r="208">
      <c r="A208" t="inlineStr">
        <is>
          <t xml:space="preserve">  وزارةالحج والاوقاف/مسجدجامع آل طله .</t>
        </is>
      </c>
      <c r="B208" t="inlineStr">
        <is>
          <t>KFM2020766096124</t>
        </is>
      </c>
      <c r="C208" t="inlineStr">
        <is>
          <t>الأفلاج</t>
        </is>
      </c>
      <c r="D208" t="inlineStr">
        <is>
          <t>كلا الفترتين</t>
        </is>
      </c>
      <c r="E208" t="n">
        <v>1561</v>
      </c>
      <c r="F208" t="b">
        <v>0</v>
      </c>
      <c r="G208">
        <f>HYPERLINK("https://www.google.com/maps/search/?api=1&amp;query=22.33265848,46.63413355", "View Map")</f>
        <v/>
      </c>
    </row>
    <row r="209">
      <c r="A209" t="inlineStr">
        <is>
          <t xml:space="preserve">  مسجد جامع ال سويلم / اوقاف السليل .</t>
        </is>
      </c>
      <c r="B209" t="inlineStr">
        <is>
          <t>KFM2120660271398</t>
        </is>
      </c>
      <c r="C209" t="inlineStr">
        <is>
          <t>السليل</t>
        </is>
      </c>
      <c r="D209" t="inlineStr">
        <is>
          <t>كلا الفترتين</t>
        </is>
      </c>
      <c r="E209" t="n">
        <v>1560</v>
      </c>
      <c r="F209" t="b">
        <v>0</v>
      </c>
      <c r="G209">
        <f>HYPERLINK("https://www.google.com/maps/search/?api=1&amp;query=20.46393752,45.57258403", "View Map")</f>
        <v/>
      </c>
    </row>
    <row r="210">
      <c r="A210" t="inlineStr">
        <is>
          <t xml:space="preserve">   ادارة     الأوقاف    مسجد الصلا لي .</t>
        </is>
      </c>
      <c r="B210" t="inlineStr">
        <is>
          <t>MMF2020800259538</t>
        </is>
      </c>
      <c r="C210" t="inlineStr">
        <is>
          <t>وادي الدواسر</t>
        </is>
      </c>
      <c r="D210" t="inlineStr">
        <is>
          <t>كلا الفترتين</t>
        </is>
      </c>
      <c r="E210" t="n">
        <v>1556</v>
      </c>
      <c r="F210" t="b">
        <v>0</v>
      </c>
      <c r="G210">
        <f>HYPERLINK("https://www.google.com/maps/search/?api=1&amp;query=20.41340567,44.7349707", "View Map")</f>
        <v/>
      </c>
    </row>
    <row r="211">
      <c r="A211" t="inlineStr">
        <is>
          <t>ﻤﺴﺎﺠﺩ ﺍﻟﺨﻤﺎﺴﻴﻥ .</t>
        </is>
      </c>
      <c r="B211" t="inlineStr">
        <is>
          <t>AEC2020830171245</t>
        </is>
      </c>
      <c r="C211" t="inlineStr">
        <is>
          <t>وادي الدواسر</t>
        </is>
      </c>
      <c r="D211" t="inlineStr">
        <is>
          <t>كلا الفترتين</t>
        </is>
      </c>
      <c r="E211" t="n">
        <v>1554</v>
      </c>
      <c r="F211" t="b">
        <v>1</v>
      </c>
      <c r="G211">
        <f>HYPERLINK("https://www.google.com/maps/search/?api=1&amp;query=20.43189677,44.88776996", "View Map")</f>
        <v/>
      </c>
    </row>
    <row r="212">
      <c r="A212" t="inlineStr">
        <is>
          <t xml:space="preserve">      ادارة الأوقاف والمساجد بالحريق .</t>
        </is>
      </c>
      <c r="B212" t="inlineStr">
        <is>
          <t>AES2320896641508</t>
        </is>
      </c>
      <c r="C212" t="inlineStr">
        <is>
          <t>الحريق</t>
        </is>
      </c>
      <c r="D212" t="inlineStr">
        <is>
          <t>صباحا</t>
        </is>
      </c>
      <c r="E212" t="n">
        <v>1542</v>
      </c>
      <c r="F212" t="b">
        <v>0</v>
      </c>
      <c r="G212">
        <f>HYPERLINK("https://www.google.com/maps/search/?api=1&amp;query=23.63233808,46.50877792", "View Map")</f>
        <v/>
      </c>
    </row>
    <row r="213">
      <c r="A213" t="inlineStr">
        <is>
          <t xml:space="preserve">   مسجد هجرة اللفيف / اوقاف الدواسر .</t>
        </is>
      </c>
      <c r="B213" t="inlineStr">
        <is>
          <t>AEC2020830575601</t>
        </is>
      </c>
      <c r="C213" t="inlineStr">
        <is>
          <t>وادي الدواسر</t>
        </is>
      </c>
      <c r="D213" t="inlineStr">
        <is>
          <t>كلا الفترتين</t>
        </is>
      </c>
      <c r="E213" t="n">
        <v>1541</v>
      </c>
      <c r="F213" t="b">
        <v>0</v>
      </c>
      <c r="G213">
        <f>HYPERLINK("https://www.google.com/maps/search/?api=1&amp;query=20.45077323,44.98005124", "View Map")</f>
        <v/>
      </c>
    </row>
    <row r="214">
      <c r="A214" t="inlineStr">
        <is>
          <t xml:space="preserve">   مسجد / عبدالعزيز اليمني .</t>
        </is>
      </c>
      <c r="B214" t="inlineStr">
        <is>
          <t>KFM2120660245967</t>
        </is>
      </c>
      <c r="C214" t="inlineStr">
        <is>
          <t>الخرج</t>
        </is>
      </c>
      <c r="D214" t="inlineStr">
        <is>
          <t>كلا الفترتين</t>
        </is>
      </c>
      <c r="E214" t="n">
        <v>1538</v>
      </c>
      <c r="F214" t="b">
        <v>0</v>
      </c>
      <c r="G214">
        <f>HYPERLINK("https://www.google.com/maps/search/?api=1&amp;query=24.08650327,47.22018749", "View Map")</f>
        <v/>
      </c>
    </row>
    <row r="215">
      <c r="A215" t="inlineStr">
        <is>
          <t>ﻤﺴﺎﺠﺩ ﺍﻟﺨﻤﺎﺴﻴﻥ .</t>
        </is>
      </c>
      <c r="B215" t="inlineStr">
        <is>
          <t>SMR2220661004277</t>
        </is>
      </c>
      <c r="C215" t="inlineStr">
        <is>
          <t>وادي الدواسر</t>
        </is>
      </c>
      <c r="D215" t="inlineStr">
        <is>
          <t>كلا الفترتين</t>
        </is>
      </c>
      <c r="E215" t="n">
        <v>1536</v>
      </c>
      <c r="F215" t="b">
        <v>0</v>
      </c>
      <c r="G215">
        <f>HYPERLINK("https://www.google.com/maps/search/?api=1&amp;query=20.43028036,44.87192924", "View Map")</f>
        <v/>
      </c>
    </row>
    <row r="216">
      <c r="A216" t="inlineStr">
        <is>
          <t xml:space="preserve">   مسجد الغنيم .</t>
        </is>
      </c>
      <c r="B216" t="inlineStr">
        <is>
          <t>KFM2020760006669</t>
        </is>
      </c>
      <c r="C216" t="inlineStr">
        <is>
          <t>الدلم</t>
        </is>
      </c>
      <c r="D216" t="inlineStr">
        <is>
          <t>كلا الفترتين</t>
        </is>
      </c>
      <c r="E216" t="n">
        <v>1523</v>
      </c>
      <c r="F216" t="b">
        <v>0</v>
      </c>
      <c r="G216">
        <f>HYPERLINK("https://www.google.com/maps/search/?api=1&amp;query=23.98470104,47.1083658", "View Map")</f>
        <v/>
      </c>
    </row>
    <row r="217">
      <c r="A217" t="inlineStr">
        <is>
          <t>ﻤﺴﺎﺠﺩ ﺍﻟﺨﻤﺎﺴﻴﻥ .</t>
        </is>
      </c>
      <c r="B217" t="inlineStr">
        <is>
          <t>KFM2120660273308</t>
        </is>
      </c>
      <c r="C217" t="inlineStr">
        <is>
          <t>السليل</t>
        </is>
      </c>
      <c r="D217" t="inlineStr">
        <is>
          <t>كلا الفترتين</t>
        </is>
      </c>
      <c r="E217" t="n">
        <v>1522</v>
      </c>
      <c r="F217" t="b">
        <v>0</v>
      </c>
      <c r="G217">
        <f>HYPERLINK("https://www.google.com/maps/search/?api=1&amp;query=20.41658509,45.23225865", "View Map")</f>
        <v/>
      </c>
    </row>
    <row r="218">
      <c r="A218" t="inlineStr">
        <is>
          <t xml:space="preserve">   اوقاف الدواسر/جامع سوق النويعمة .</t>
        </is>
      </c>
      <c r="B218" t="inlineStr">
        <is>
          <t>KFM2020660174594</t>
        </is>
      </c>
      <c r="C218" t="inlineStr">
        <is>
          <t>وادي الدواسر</t>
        </is>
      </c>
      <c r="D218" t="inlineStr">
        <is>
          <t>كلا الفترتين</t>
        </is>
      </c>
      <c r="E218" t="n">
        <v>1521</v>
      </c>
      <c r="F218" t="b">
        <v>1</v>
      </c>
      <c r="G218">
        <f>HYPERLINK("https://www.google.com/maps/search/?api=1&amp;query=20.44952346,44.85353691", "View Map")</f>
        <v/>
      </c>
    </row>
    <row r="219">
      <c r="A219" t="inlineStr">
        <is>
          <t xml:space="preserve">      جامع الزير .</t>
        </is>
      </c>
      <c r="B219" t="inlineStr">
        <is>
          <t>SMR2020765000191</t>
        </is>
      </c>
      <c r="C219" t="inlineStr">
        <is>
          <t>الحريق</t>
        </is>
      </c>
      <c r="D219" t="inlineStr">
        <is>
          <t>كلا الفترتين</t>
        </is>
      </c>
      <c r="E219" t="n">
        <v>1520</v>
      </c>
      <c r="F219" t="b">
        <v>0</v>
      </c>
      <c r="G219">
        <f>HYPERLINK("https://www.google.com/maps/search/?api=1&amp;query=23.62166231,46.51655548", "View Map")</f>
        <v/>
      </c>
    </row>
    <row r="220">
      <c r="A220" t="inlineStr">
        <is>
          <t>ﻤﺴﺎﺠﺩ ﻭﺤﺩﺓ ﺍﻟﺤﺭﻴﻕ .</t>
        </is>
      </c>
      <c r="B220" t="inlineStr">
        <is>
          <t>SMR2220761005498</t>
        </is>
      </c>
      <c r="C220" t="inlineStr">
        <is>
          <t>حوطة بني تميم</t>
        </is>
      </c>
      <c r="D220" t="inlineStr">
        <is>
          <t>كلا الفترتين</t>
        </is>
      </c>
      <c r="E220" t="n">
        <v>1518</v>
      </c>
      <c r="F220" t="b">
        <v>0</v>
      </c>
      <c r="G220">
        <f>HYPERLINK("https://www.google.com/maps/search/?api=1&amp;query=22.99664573,46.0981717", "View Map")</f>
        <v/>
      </c>
    </row>
    <row r="221">
      <c r="A221" t="inlineStr">
        <is>
          <t xml:space="preserve">    الموسسه العامه للصناعات الحربيه .</t>
        </is>
      </c>
      <c r="B221" t="inlineStr">
        <is>
          <t>KFM2020760001596</t>
        </is>
      </c>
      <c r="C221" t="inlineStr">
        <is>
          <t>الخرج</t>
        </is>
      </c>
      <c r="D221" t="inlineStr">
        <is>
          <t>كلا الفترتين</t>
        </is>
      </c>
      <c r="E221" t="n">
        <v>1514</v>
      </c>
      <c r="F221" t="b">
        <v>0</v>
      </c>
      <c r="G221">
        <f>HYPERLINK("https://www.google.com/maps/search/?api=1&amp;query=24.13352099,47.28804134", "View Map")</f>
        <v/>
      </c>
    </row>
    <row r="222">
      <c r="A222" t="inlineStr">
        <is>
          <t>ﻤﺴﺎﺠﺩﺍﻟﺨـﺭﺝ .</t>
        </is>
      </c>
      <c r="B222" t="inlineStr">
        <is>
          <t>KFM2020760176414</t>
        </is>
      </c>
      <c r="C222" t="inlineStr">
        <is>
          <t>الخرج</t>
        </is>
      </c>
      <c r="D222" t="inlineStr">
        <is>
          <t>كلا الفترتين</t>
        </is>
      </c>
      <c r="E222" t="n">
        <v>1511</v>
      </c>
      <c r="F222" t="b">
        <v>0</v>
      </c>
      <c r="G222">
        <f>HYPERLINK("https://www.google.com/maps/search/?api=1&amp;query=24.17216864,47.31968852", "View Map")</f>
        <v/>
      </c>
    </row>
    <row r="223">
      <c r="A223" t="inlineStr">
        <is>
          <t xml:space="preserve">   مسجد هجره الصاع .</t>
        </is>
      </c>
      <c r="B223" t="inlineStr">
        <is>
          <t>KFM2020760163438</t>
        </is>
      </c>
      <c r="C223" t="inlineStr">
        <is>
          <t>الخرج</t>
        </is>
      </c>
      <c r="D223" t="inlineStr">
        <is>
          <t>كلا الفترتين</t>
        </is>
      </c>
      <c r="E223" t="n">
        <v>1510</v>
      </c>
      <c r="F223" t="b">
        <v>0</v>
      </c>
      <c r="G223">
        <f>HYPERLINK("https://www.google.com/maps/search/?api=1&amp;query=23.99090964,47.33743806", "View Map")</f>
        <v/>
      </c>
    </row>
    <row r="224">
      <c r="A224" t="inlineStr">
        <is>
          <t xml:space="preserve">   مسجد حي العمائرالشمالي .</t>
        </is>
      </c>
      <c r="B224" t="inlineStr">
        <is>
          <t>AES2120896559022</t>
        </is>
      </c>
      <c r="C224" t="inlineStr">
        <is>
          <t>الأفلاج</t>
        </is>
      </c>
      <c r="D224" t="inlineStr">
        <is>
          <t>كلا الفترتين</t>
        </is>
      </c>
      <c r="E224" t="n">
        <v>1507</v>
      </c>
      <c r="F224" t="b">
        <v>0</v>
      </c>
      <c r="G224">
        <f>HYPERLINK("https://www.google.com/maps/search/?api=1&amp;query=22.03741546,46.56649041", "View Map")</f>
        <v/>
      </c>
    </row>
    <row r="225">
      <c r="A225" t="inlineStr">
        <is>
          <t xml:space="preserve">   الموسسه العامه للصناعات الحرب .</t>
        </is>
      </c>
      <c r="B225" t="inlineStr">
        <is>
          <t>KFM2020760001525</t>
        </is>
      </c>
      <c r="C225" t="inlineStr">
        <is>
          <t>الخرج</t>
        </is>
      </c>
      <c r="D225" t="inlineStr">
        <is>
          <t>كلا الفترتين</t>
        </is>
      </c>
      <c r="E225" t="n">
        <v>1499</v>
      </c>
      <c r="F225" t="b">
        <v>0</v>
      </c>
      <c r="G225">
        <f>HYPERLINK("https://www.google.com/maps/search/?api=1&amp;query=24.12023,47.29528", "View Map")</f>
        <v/>
      </c>
    </row>
    <row r="226">
      <c r="A226" t="inlineStr">
        <is>
          <t xml:space="preserve">    مسجدطارقبنزياد/ادارةالا وقاف .</t>
        </is>
      </c>
      <c r="B226" t="inlineStr">
        <is>
          <t>KFM2020660170941</t>
        </is>
      </c>
      <c r="C226" t="inlineStr">
        <is>
          <t>الأفلاج</t>
        </is>
      </c>
      <c r="D226" t="inlineStr">
        <is>
          <t>كلا الفترتين</t>
        </is>
      </c>
      <c r="E226" t="n">
        <v>1499</v>
      </c>
      <c r="F226" t="b">
        <v>0</v>
      </c>
      <c r="G226">
        <f>HYPERLINK("https://www.google.com/maps/search/?api=1&amp;query=22.30063055,46.71270919", "View Map")</f>
        <v/>
      </c>
    </row>
    <row r="227">
      <c r="A227" t="inlineStr">
        <is>
          <t xml:space="preserve">   ادارةاوقافمسجدحمزه  المطلب بلافلاج .</t>
        </is>
      </c>
      <c r="B227" t="inlineStr">
        <is>
          <t>KFM2020660171000</t>
        </is>
      </c>
      <c r="C227" t="inlineStr">
        <is>
          <t>الأفلاج</t>
        </is>
      </c>
      <c r="D227" t="inlineStr">
        <is>
          <t>كلا الفترتين</t>
        </is>
      </c>
      <c r="E227" t="n">
        <v>1491</v>
      </c>
      <c r="F227" t="b">
        <v>0</v>
      </c>
      <c r="G227">
        <f>HYPERLINK("https://www.google.com/maps/search/?api=1&amp;query=22.29468787,46.72562696", "View Map")</f>
        <v/>
      </c>
    </row>
    <row r="228">
      <c r="A228" t="inlineStr">
        <is>
          <t xml:space="preserve">    الموسسه العامه للصناعات الحربيه .</t>
        </is>
      </c>
      <c r="B228" t="inlineStr">
        <is>
          <t>KFM2020760006757</t>
        </is>
      </c>
      <c r="C228" t="inlineStr">
        <is>
          <t>الخرج</t>
        </is>
      </c>
      <c r="D228" t="inlineStr">
        <is>
          <t>كلا الفترتين</t>
        </is>
      </c>
      <c r="E228" t="n">
        <v>1487</v>
      </c>
      <c r="F228" t="b">
        <v>0</v>
      </c>
      <c r="G228">
        <f>HYPERLINK("https://www.google.com/maps/search/?api=1&amp;query=24.13352099,47.28804134", "View Map")</f>
        <v/>
      </c>
    </row>
    <row r="229">
      <c r="A229" t="inlineStr">
        <is>
          <t xml:space="preserve">   مسجد ال نابى/ اوقاف الدواسر .</t>
        </is>
      </c>
      <c r="B229" t="inlineStr">
        <is>
          <t>KFM2120660272267</t>
        </is>
      </c>
      <c r="C229" t="inlineStr">
        <is>
          <t>وادي الدواسر</t>
        </is>
      </c>
      <c r="D229" t="inlineStr">
        <is>
          <t>كلا الفترتين</t>
        </is>
      </c>
      <c r="E229" t="n">
        <v>1484</v>
      </c>
      <c r="F229" t="b">
        <v>0</v>
      </c>
      <c r="G229">
        <f>HYPERLINK("https://www.google.com/maps/search/?api=1&amp;query=20.45715766,44.81567593", "View Map")</f>
        <v/>
      </c>
    </row>
    <row r="230">
      <c r="A230" t="inlineStr">
        <is>
          <t xml:space="preserve">   ادارة     الاوقاف    شمال الخالدي .</t>
        </is>
      </c>
      <c r="B230" t="inlineStr">
        <is>
          <t>KFM2020766134705</t>
        </is>
      </c>
      <c r="C230" t="inlineStr">
        <is>
          <t>الأفلاج</t>
        </is>
      </c>
      <c r="D230" t="inlineStr">
        <is>
          <t>كلا الفترتين</t>
        </is>
      </c>
      <c r="E230" t="n">
        <v>1478</v>
      </c>
      <c r="F230" t="b">
        <v>0</v>
      </c>
      <c r="G230">
        <f>HYPERLINK("https://www.google.com/maps/search/?api=1&amp;query=22.31736012,46.72595035", "View Map")</f>
        <v/>
      </c>
    </row>
    <row r="231">
      <c r="A231" t="inlineStr">
        <is>
          <t xml:space="preserve">   الموسسه العامه للصناعات الحرب .</t>
        </is>
      </c>
      <c r="B231" t="inlineStr">
        <is>
          <t>KFM2020760053027</t>
        </is>
      </c>
      <c r="C231" t="inlineStr">
        <is>
          <t>الخرج</t>
        </is>
      </c>
      <c r="D231" t="inlineStr">
        <is>
          <t>كلا الفترتين</t>
        </is>
      </c>
      <c r="E231" t="n">
        <v>1469</v>
      </c>
      <c r="F231" t="b">
        <v>0</v>
      </c>
      <c r="G231">
        <f>HYPERLINK("https://www.google.com/maps/search/?api=1&amp;query=24.12023,47.29528", "View Map")</f>
        <v/>
      </c>
    </row>
    <row r="232">
      <c r="A232" t="inlineStr">
        <is>
          <t>ﻤﺴﺎﺠﺩ ﺍﻟﺨﻤﺎﺴﻴﻥ .</t>
        </is>
      </c>
      <c r="B232" t="inlineStr">
        <is>
          <t>SMR2220661004676</t>
        </is>
      </c>
      <c r="C232" t="inlineStr">
        <is>
          <t>وادي الدواسر</t>
        </is>
      </c>
      <c r="D232" t="inlineStr">
        <is>
          <t>كلا الفترتين</t>
        </is>
      </c>
      <c r="E232" t="n">
        <v>1469</v>
      </c>
      <c r="F232" t="b">
        <v>1</v>
      </c>
      <c r="G232">
        <f>HYPERLINK("https://www.google.com/maps/search/?api=1&amp;query=20.42068501,44.87260016", "View Map")</f>
        <v/>
      </c>
    </row>
    <row r="233">
      <c r="A233" t="inlineStr">
        <is>
          <t>ﻤﺴﺎﺠﺩ ﺍﻟﺨﻤﺎﺴﻴﻥ .</t>
        </is>
      </c>
      <c r="B233" t="inlineStr">
        <is>
          <t>KFM2020760211328</t>
        </is>
      </c>
      <c r="C233" t="inlineStr">
        <is>
          <t>وادي الدواسر</t>
        </is>
      </c>
      <c r="D233" t="inlineStr">
        <is>
          <t>كلا الفترتين</t>
        </is>
      </c>
      <c r="E233" t="n">
        <v>1466</v>
      </c>
      <c r="F233" t="b">
        <v>0</v>
      </c>
      <c r="G233">
        <f>HYPERLINK("https://www.google.com/maps/search/?api=1&amp;query=20.44236314,45.10328028", "View Map")</f>
        <v/>
      </c>
    </row>
    <row r="234">
      <c r="A234" t="inlineStr">
        <is>
          <t xml:space="preserve">   مساجدالدوسرجامع أم سليم .</t>
        </is>
      </c>
      <c r="B234" t="inlineStr">
        <is>
          <t>AES2020896463027</t>
        </is>
      </c>
      <c r="C234" t="inlineStr">
        <is>
          <t>وادي الدواسر</t>
        </is>
      </c>
      <c r="D234" t="inlineStr">
        <is>
          <t>كلا الفترتين</t>
        </is>
      </c>
      <c r="E234" t="n">
        <v>1465</v>
      </c>
      <c r="F234" t="b">
        <v>0</v>
      </c>
      <c r="G234">
        <f>HYPERLINK("https://www.google.com/maps/search/?api=1&amp;query=22.28938496,45.13409974", "View Map")</f>
        <v/>
      </c>
    </row>
    <row r="235">
      <c r="A235" t="inlineStr">
        <is>
          <t xml:space="preserve">   مسجد      محمد      آل محيش .</t>
        </is>
      </c>
      <c r="B235" t="inlineStr">
        <is>
          <t>KFM2020660212721</t>
        </is>
      </c>
      <c r="C235" t="inlineStr">
        <is>
          <t>وادي الدواسر</t>
        </is>
      </c>
      <c r="D235" t="inlineStr">
        <is>
          <t>كلا الفترتين</t>
        </is>
      </c>
      <c r="E235" t="n">
        <v>1463</v>
      </c>
      <c r="F235" t="b">
        <v>1</v>
      </c>
      <c r="G235">
        <f>HYPERLINK("https://www.google.com/maps/search/?api=1&amp;query=20.44635123,44.82191721", "View Map")</f>
        <v/>
      </c>
    </row>
    <row r="236">
      <c r="A236" t="inlineStr">
        <is>
          <t xml:space="preserve">      مسجد المهيزع بالسلاميه .</t>
        </is>
      </c>
      <c r="B236" t="inlineStr">
        <is>
          <t>KFM2020660205846</t>
        </is>
      </c>
      <c r="C236" t="inlineStr">
        <is>
          <t>حوطة بني تميم</t>
        </is>
      </c>
      <c r="D236" t="inlineStr">
        <is>
          <t>كلا الفترتين</t>
        </is>
      </c>
      <c r="E236" t="n">
        <v>1458</v>
      </c>
      <c r="F236" t="b">
        <v>0</v>
      </c>
      <c r="G236">
        <f>HYPERLINK("https://www.google.com/maps/search/?api=1&amp;query=23.4914,46.8797", "View Map")</f>
        <v/>
      </c>
    </row>
    <row r="237">
      <c r="A237" t="inlineStr">
        <is>
          <t xml:space="preserve">      مسجد/حسن عبدالهادى .</t>
        </is>
      </c>
      <c r="B237" t="inlineStr">
        <is>
          <t>MMF2020800219033</t>
        </is>
      </c>
      <c r="C237" t="inlineStr">
        <is>
          <t>الدلم</t>
        </is>
      </c>
      <c r="D237" t="inlineStr">
        <is>
          <t>كلا الفترتين</t>
        </is>
      </c>
      <c r="E237" t="n">
        <v>1457</v>
      </c>
      <c r="F237" t="b">
        <v>1</v>
      </c>
      <c r="G237">
        <f>HYPERLINK("https://www.google.com/maps/search/?api=1&amp;query=24.09989848,47.17302828", "View Map")</f>
        <v/>
      </c>
    </row>
    <row r="238">
      <c r="A238" t="inlineStr">
        <is>
          <t xml:space="preserve">   ادارةاوقاف(مسجدالا مام مسلم حي ال .</t>
        </is>
      </c>
      <c r="B238" t="inlineStr">
        <is>
          <t>KFM2020660170209</t>
        </is>
      </c>
      <c r="C238" t="inlineStr">
        <is>
          <t>الأفلاج</t>
        </is>
      </c>
      <c r="D238" t="inlineStr">
        <is>
          <t>كلا الفترتين</t>
        </is>
      </c>
      <c r="E238" t="n">
        <v>1448</v>
      </c>
      <c r="F238" t="b">
        <v>1</v>
      </c>
      <c r="G238">
        <f>HYPERLINK("https://www.google.com/maps/search/?api=1&amp;query=22.29316684,46.70657369", "View Map")</f>
        <v/>
      </c>
    </row>
    <row r="239">
      <c r="A239" t="inlineStr">
        <is>
          <t xml:space="preserve">   الاوقاف والدعوةولارشادمسجدال راكان .</t>
        </is>
      </c>
      <c r="B239" t="inlineStr">
        <is>
          <t>KFM2020660206137</t>
        </is>
      </c>
      <c r="C239" t="inlineStr">
        <is>
          <t>وادي الدواسر</t>
        </is>
      </c>
      <c r="D239" t="inlineStr">
        <is>
          <t>كلا الفترتين</t>
        </is>
      </c>
      <c r="E239" t="n">
        <v>1444</v>
      </c>
      <c r="F239" t="b">
        <v>0</v>
      </c>
      <c r="G239">
        <f>HYPERLINK("https://www.google.com/maps/search/?api=1&amp;query=20.46881368,44.77928984", "View Map")</f>
        <v/>
      </c>
    </row>
    <row r="240">
      <c r="A240" t="inlineStr">
        <is>
          <t>ﻤﺴﺎﺠﺩ ﺍﻟﺨﻤﺎﺴﻴﻥ .</t>
        </is>
      </c>
      <c r="B240" t="inlineStr">
        <is>
          <t>MMF2020800321323</t>
        </is>
      </c>
      <c r="C240" t="inlineStr">
        <is>
          <t>وادي الدواسر</t>
        </is>
      </c>
      <c r="D240" t="inlineStr">
        <is>
          <t>كلا الفترتين</t>
        </is>
      </c>
      <c r="E240" t="n">
        <v>1439</v>
      </c>
      <c r="F240" t="b">
        <v>0</v>
      </c>
      <c r="G240">
        <f>HYPERLINK("https://www.google.com/maps/search/?api=1&amp;query=20.4503241,44.8405842", "View Map")</f>
        <v/>
      </c>
    </row>
    <row r="241">
      <c r="A241" t="inlineStr">
        <is>
          <t xml:space="preserve">   اوقاف الخرج/ مسجدسعيدعامرالجمحي .</t>
        </is>
      </c>
      <c r="B241" t="inlineStr">
        <is>
          <t>KFM2020660211777</t>
        </is>
      </c>
      <c r="C241" t="inlineStr">
        <is>
          <t>الخرج</t>
        </is>
      </c>
      <c r="D241" t="inlineStr">
        <is>
          <t>كلا الفترتين</t>
        </is>
      </c>
      <c r="E241" t="n">
        <v>1425</v>
      </c>
      <c r="F241" t="b">
        <v>0</v>
      </c>
      <c r="G241">
        <f>HYPERLINK("https://www.google.com/maps/search/?api=1&amp;query=24.10328439,47.28413852", "View Map")</f>
        <v/>
      </c>
    </row>
    <row r="242">
      <c r="A242" t="inlineStr">
        <is>
          <t>ﺃﻭﻗﺎﻑ ﻭﻤﺴﺎﺠﺩ ﺍﻟﻗﻭﻴﻌﻴﻩ .</t>
        </is>
      </c>
      <c r="B242" t="inlineStr">
        <is>
          <t>AES2020896523426</t>
        </is>
      </c>
      <c r="C242" t="inlineStr">
        <is>
          <t>وادي الدواسر</t>
        </is>
      </c>
      <c r="D242" t="inlineStr">
        <is>
          <t>كلا الفترتين</t>
        </is>
      </c>
      <c r="E242" t="n">
        <v>1424</v>
      </c>
      <c r="F242" t="b">
        <v>0</v>
      </c>
      <c r="G242">
        <f>HYPERLINK("https://www.google.com/maps/search/?api=1&amp;query=22.14068043,44.8637787", "View Map")</f>
        <v/>
      </c>
    </row>
    <row r="243">
      <c r="A243" t="inlineStr">
        <is>
          <t xml:space="preserve">   اوقاف الخرج/مسجد حى العدامه .</t>
        </is>
      </c>
      <c r="B243" t="inlineStr">
        <is>
          <t>KFM2120660245966</t>
        </is>
      </c>
      <c r="C243" t="inlineStr">
        <is>
          <t>الخرج</t>
        </is>
      </c>
      <c r="D243" t="inlineStr">
        <is>
          <t>كلا الفترتين</t>
        </is>
      </c>
      <c r="E243" t="n">
        <v>1418</v>
      </c>
      <c r="F243" t="b">
        <v>0</v>
      </c>
      <c r="G243">
        <f>HYPERLINK("https://www.google.com/maps/search/?api=1&amp;query=24.09163916,47.22705583", "View Map")</f>
        <v/>
      </c>
    </row>
    <row r="244">
      <c r="A244" t="inlineStr">
        <is>
          <t xml:space="preserve">   جامع / النميص .</t>
        </is>
      </c>
      <c r="B244" t="inlineStr">
        <is>
          <t>KFM2020760154057</t>
        </is>
      </c>
      <c r="C244" t="inlineStr">
        <is>
          <t>وادي الدواسر</t>
        </is>
      </c>
      <c r="D244" t="inlineStr">
        <is>
          <t>كلا الفترتين</t>
        </is>
      </c>
      <c r="E244" t="n">
        <v>1415</v>
      </c>
      <c r="F244" t="b">
        <v>0</v>
      </c>
      <c r="G244">
        <f>HYPERLINK("https://www.google.com/maps/search/?api=1&amp;query=21.42692287,43.95059678", "View Map")</f>
        <v/>
      </c>
    </row>
    <row r="245">
      <c r="A245" t="inlineStr">
        <is>
          <t>ﻤﺴﺎﺠﺩ ﺍﻟﺨﻤﺎﺴﻴﻥ .</t>
        </is>
      </c>
      <c r="B245" t="inlineStr">
        <is>
          <t>KFM2020660212775</t>
        </is>
      </c>
      <c r="C245" t="inlineStr">
        <is>
          <t>وادي الدواسر</t>
        </is>
      </c>
      <c r="D245" t="inlineStr">
        <is>
          <t>كلا الفترتين</t>
        </is>
      </c>
      <c r="E245" t="n">
        <v>1412</v>
      </c>
      <c r="F245" t="b">
        <v>1</v>
      </c>
      <c r="G245">
        <f>HYPERLINK("https://www.google.com/maps/search/?api=1&amp;query=20.41969598,44.8391955", "View Map")</f>
        <v/>
      </c>
    </row>
    <row r="246">
      <c r="A246" t="inlineStr">
        <is>
          <t xml:space="preserve">   اوقاف الدلم/ مسجد سعد الدريهم .</t>
        </is>
      </c>
      <c r="B246" t="inlineStr">
        <is>
          <t>KFM2020660169736</t>
        </is>
      </c>
      <c r="C246" t="inlineStr">
        <is>
          <t>الدلم</t>
        </is>
      </c>
      <c r="D246" t="inlineStr">
        <is>
          <t>كلا الفترتين</t>
        </is>
      </c>
      <c r="E246" t="n">
        <v>1402</v>
      </c>
      <c r="F246" t="b">
        <v>0</v>
      </c>
      <c r="G246">
        <f>HYPERLINK("https://www.google.com/maps/search/?api=1&amp;query=23.98542409,47.16326666", "View Map")</f>
        <v/>
      </c>
    </row>
    <row r="247">
      <c r="A247" t="inlineStr">
        <is>
          <t xml:space="preserve">   اوقاف الدلم/مسجد فهد الفهادي .</t>
        </is>
      </c>
      <c r="B247" t="inlineStr">
        <is>
          <t>KFM2020660170534</t>
        </is>
      </c>
      <c r="C247" t="inlineStr">
        <is>
          <t>الدلم</t>
        </is>
      </c>
      <c r="D247" t="inlineStr">
        <is>
          <t>كلا الفترتين</t>
        </is>
      </c>
      <c r="E247" t="n">
        <v>1399</v>
      </c>
      <c r="F247" t="b">
        <v>0</v>
      </c>
      <c r="G247">
        <f>HYPERLINK("https://www.google.com/maps/search/?api=1&amp;query=23.97517199,47.11902617", "View Map")</f>
        <v/>
      </c>
    </row>
    <row r="248">
      <c r="A248" t="inlineStr">
        <is>
          <t>ﻤﺴﺎﺠﺩ ﺍﻟﺨﻤﺎﺴﻴﻥ .</t>
        </is>
      </c>
      <c r="B248" t="inlineStr">
        <is>
          <t>LYE2020810249104</t>
        </is>
      </c>
      <c r="C248" t="inlineStr">
        <is>
          <t>وادي الدواسر</t>
        </is>
      </c>
      <c r="D248" t="inlineStr">
        <is>
          <t>كلا الفترتين</t>
        </is>
      </c>
      <c r="E248" t="n">
        <v>1391</v>
      </c>
      <c r="F248" t="b">
        <v>0</v>
      </c>
      <c r="G248">
        <f>HYPERLINK("https://www.google.com/maps/search/?api=1&amp;query=20.44161227,44.88167314", "View Map")</f>
        <v/>
      </c>
    </row>
    <row r="249">
      <c r="A249" t="inlineStr">
        <is>
          <t>ﺍﻟﻤﺴﺎﺠﺩﻭﺍﻟﺩﻋﻭﻩ ﺍﻻﺭﺸﺎﺩ ﺒﺎﻻﻓﻼﺝ .</t>
        </is>
      </c>
      <c r="B249" t="inlineStr">
        <is>
          <t>AEC2020830007505</t>
        </is>
      </c>
      <c r="C249" t="inlineStr">
        <is>
          <t>الأفلاج</t>
        </is>
      </c>
      <c r="D249" t="inlineStr">
        <is>
          <t>كلا الفترتين</t>
        </is>
      </c>
      <c r="E249" t="n">
        <v>1390</v>
      </c>
      <c r="F249" t="b">
        <v>0</v>
      </c>
      <c r="G249">
        <f>HYPERLINK("https://www.google.com/maps/search/?api=1&amp;query=22.32206347,46.70301756", "View Map")</f>
        <v/>
      </c>
    </row>
    <row r="250">
      <c r="A250" t="inlineStr">
        <is>
          <t xml:space="preserve">   مسجد مخطط ال حنيش /اوقاف السليل .</t>
        </is>
      </c>
      <c r="B250" t="inlineStr">
        <is>
          <t>KFM2020766133861</t>
        </is>
      </c>
      <c r="C250" t="inlineStr">
        <is>
          <t>السليل</t>
        </is>
      </c>
      <c r="D250" t="inlineStr">
        <is>
          <t>كلا الفترتين</t>
        </is>
      </c>
      <c r="E250" t="n">
        <v>1388</v>
      </c>
      <c r="F250" t="b">
        <v>0</v>
      </c>
      <c r="G250">
        <f>HYPERLINK("https://www.google.com/maps/search/?api=1&amp;query=20.44957499,45.58179312", "View Map")</f>
        <v/>
      </c>
    </row>
    <row r="251">
      <c r="A251" t="inlineStr">
        <is>
          <t>مساجد السليل .</t>
        </is>
      </c>
      <c r="B251" t="inlineStr">
        <is>
          <t>KFM2120660270755</t>
        </is>
      </c>
      <c r="C251" t="inlineStr">
        <is>
          <t>السليل</t>
        </is>
      </c>
      <c r="D251" t="inlineStr">
        <is>
          <t>كلا الفترتين</t>
        </is>
      </c>
      <c r="E251" t="n">
        <v>1383</v>
      </c>
      <c r="F251" t="b">
        <v>0</v>
      </c>
      <c r="G251">
        <f>HYPERLINK("https://www.google.com/maps/search/?api=1&amp;query=20.47767036,45.54738236", "View Map")</f>
        <v/>
      </c>
    </row>
    <row r="252">
      <c r="A252" t="inlineStr">
        <is>
          <t xml:space="preserve">      اوقاف الدواسر/ جامع مهدى .</t>
        </is>
      </c>
      <c r="B252" t="inlineStr">
        <is>
          <t>KFM2020660212699</t>
        </is>
      </c>
      <c r="C252" t="inlineStr">
        <is>
          <t>وادي الدواسر</t>
        </is>
      </c>
      <c r="D252" t="inlineStr">
        <is>
          <t>كلا الفترتين</t>
        </is>
      </c>
      <c r="E252" t="n">
        <v>1378</v>
      </c>
      <c r="F252" t="b">
        <v>0</v>
      </c>
      <c r="G252">
        <f>HYPERLINK("https://www.google.com/maps/search/?api=1&amp;query=20.46397203,44.7873135", "View Map")</f>
        <v/>
      </c>
    </row>
    <row r="253">
      <c r="A253" t="inlineStr">
        <is>
          <t xml:space="preserve">      اوقاف الدواسر/جامع الصالحيه .</t>
        </is>
      </c>
      <c r="B253" t="inlineStr">
        <is>
          <t>KFM2020660223651</t>
        </is>
      </c>
      <c r="C253" t="inlineStr">
        <is>
          <t>وادي الدواسر</t>
        </is>
      </c>
      <c r="D253" t="inlineStr">
        <is>
          <t>كلا الفترتين</t>
        </is>
      </c>
      <c r="E253" t="n">
        <v>1375</v>
      </c>
      <c r="F253" t="b">
        <v>0</v>
      </c>
      <c r="G253">
        <f>HYPERLINK("https://www.google.com/maps/search/?api=1&amp;query=20.44265859,44.85059647", "View Map")</f>
        <v/>
      </c>
    </row>
    <row r="254">
      <c r="A254" t="inlineStr">
        <is>
          <t xml:space="preserve">      مسجد الفيحاء .</t>
        </is>
      </c>
      <c r="B254" t="inlineStr">
        <is>
          <t>AES2020896466275</t>
        </is>
      </c>
      <c r="C254" t="inlineStr">
        <is>
          <t>الأفلاج</t>
        </is>
      </c>
      <c r="D254" t="inlineStr">
        <is>
          <t>كلا الفترتين</t>
        </is>
      </c>
      <c r="E254" t="n">
        <v>1370</v>
      </c>
      <c r="F254" t="b">
        <v>0</v>
      </c>
      <c r="G254">
        <f>HYPERLINK("https://www.google.com/maps/search/?api=1&amp;query=21.98898155,45.9684757", "View Map")</f>
        <v/>
      </c>
    </row>
    <row r="255">
      <c r="A255" t="inlineStr">
        <is>
          <t xml:space="preserve">      مسجد الحله بالعزيزيه .</t>
        </is>
      </c>
      <c r="B255" t="inlineStr">
        <is>
          <t>KFM2020760009879</t>
        </is>
      </c>
      <c r="C255" t="inlineStr">
        <is>
          <t>الخرج</t>
        </is>
      </c>
      <c r="D255" t="inlineStr">
        <is>
          <t>كلا الفترتين</t>
        </is>
      </c>
      <c r="E255" t="n">
        <v>1370</v>
      </c>
      <c r="F255" t="b">
        <v>0</v>
      </c>
      <c r="G255">
        <f>HYPERLINK("https://www.google.com/maps/search/?api=1&amp;query=24.14302867,47.29647217", "View Map")</f>
        <v/>
      </c>
    </row>
    <row r="256">
      <c r="A256" t="inlineStr">
        <is>
          <t xml:space="preserve">    مسجدمصعب بن عميربالسلامية 204 .</t>
        </is>
      </c>
      <c r="B256" t="inlineStr">
        <is>
          <t>KFM2020766166045</t>
        </is>
      </c>
      <c r="C256" t="inlineStr">
        <is>
          <t>حوطة بني تميم</t>
        </is>
      </c>
      <c r="D256" t="inlineStr">
        <is>
          <t>كلا الفترتين</t>
        </is>
      </c>
      <c r="E256" t="n">
        <v>1369</v>
      </c>
      <c r="F256" t="b">
        <v>0</v>
      </c>
      <c r="G256">
        <f>HYPERLINK("https://www.google.com/maps/search/?api=1&amp;query=23.48809345,46.88234365", "View Map")</f>
        <v/>
      </c>
    </row>
    <row r="257">
      <c r="A257" t="inlineStr">
        <is>
          <t>ﻤﺴﺎﺠﺩ ﺍﻟﺤﻭﻁﻩ .</t>
        </is>
      </c>
      <c r="B257" t="inlineStr">
        <is>
          <t>SMR2220761005089</t>
        </is>
      </c>
      <c r="C257" t="inlineStr">
        <is>
          <t>حوطة بني تميم</t>
        </is>
      </c>
      <c r="D257" t="inlineStr">
        <is>
          <t>كلا الفترتين</t>
        </is>
      </c>
      <c r="E257" t="n">
        <v>1366</v>
      </c>
      <c r="F257" t="b">
        <v>0</v>
      </c>
      <c r="G257">
        <f>HYPERLINK("https://www.google.com/maps/search/?api=1&amp;query=23.49091911,46.88930802", "View Map")</f>
        <v/>
      </c>
    </row>
    <row r="258">
      <c r="A258" t="inlineStr">
        <is>
          <t xml:space="preserve">   اوقاف الخرج/مسجد الملك فيصل .</t>
        </is>
      </c>
      <c r="B258" t="inlineStr">
        <is>
          <t>KFM2120660260637</t>
        </is>
      </c>
      <c r="C258" t="inlineStr">
        <is>
          <t>الخرج</t>
        </is>
      </c>
      <c r="D258" t="inlineStr">
        <is>
          <t>صباحا</t>
        </is>
      </c>
      <c r="E258" t="n">
        <v>1360</v>
      </c>
      <c r="F258" t="b">
        <v>0</v>
      </c>
      <c r="G258">
        <f>HYPERLINK("https://www.google.com/maps/search/?api=1&amp;query=24.15681033,47.32807519", "View Map")</f>
        <v/>
      </c>
    </row>
    <row r="259">
      <c r="A259" t="inlineStr">
        <is>
          <t>ﺍﻟﻤﺴﺎﺠﺩﻭﺍﻟﺩﻋﻭﻩ ﺍﻻﺭﺸﺎﺩ ﺒﺎﻻﻓﻼﺝ .</t>
        </is>
      </c>
      <c r="B259" t="inlineStr">
        <is>
          <t>AEC2020830020072</t>
        </is>
      </c>
      <c r="C259" t="inlineStr">
        <is>
          <t>الأفلاج</t>
        </is>
      </c>
      <c r="D259" t="inlineStr">
        <is>
          <t>كلا الفترتين</t>
        </is>
      </c>
      <c r="E259" t="n">
        <v>1358</v>
      </c>
      <c r="F259" t="b">
        <v>0</v>
      </c>
      <c r="G259">
        <f>HYPERLINK("https://www.google.com/maps/search/?api=1&amp;query=22.45557461,46.58841444", "View Map")</f>
        <v/>
      </c>
    </row>
    <row r="260">
      <c r="A260" t="inlineStr">
        <is>
          <t xml:space="preserve">   مسجد      جامع      بالافلاج .</t>
        </is>
      </c>
      <c r="B260" t="inlineStr">
        <is>
          <t>KFM2120660252757</t>
        </is>
      </c>
      <c r="C260" t="inlineStr">
        <is>
          <t>الأفلاج</t>
        </is>
      </c>
      <c r="D260" t="inlineStr">
        <is>
          <t>كلا الفترتين</t>
        </is>
      </c>
      <c r="E260" t="n">
        <v>1346</v>
      </c>
      <c r="F260" t="b">
        <v>0</v>
      </c>
      <c r="G260">
        <f>HYPERLINK("https://www.google.com/maps/search/?api=1&amp;query=22.35268259,46.66879953", "View Map")</f>
        <v/>
      </c>
    </row>
    <row r="261">
      <c r="A261" t="inlineStr">
        <is>
          <t xml:space="preserve">   جامع يوسف على العمرى .</t>
        </is>
      </c>
      <c r="B261" t="inlineStr">
        <is>
          <t>KFM2020660230850</t>
        </is>
      </c>
      <c r="C261" t="inlineStr">
        <is>
          <t>الخرج</t>
        </is>
      </c>
      <c r="D261" t="inlineStr">
        <is>
          <t>كلا الفترتين</t>
        </is>
      </c>
      <c r="E261" t="n">
        <v>1345</v>
      </c>
      <c r="F261" t="b">
        <v>1</v>
      </c>
      <c r="G261">
        <f>HYPERLINK("https://www.google.com/maps/search/?api=1&amp;query=24.17869167,47.36518279", "View Map")</f>
        <v/>
      </c>
    </row>
    <row r="262">
      <c r="A262" t="inlineStr">
        <is>
          <t xml:space="preserve">   مسجد انس  بن مالك .</t>
        </is>
      </c>
      <c r="B262" t="inlineStr">
        <is>
          <t>KFM2020660169642</t>
        </is>
      </c>
      <c r="C262" t="inlineStr">
        <is>
          <t>الدلم</t>
        </is>
      </c>
      <c r="D262" t="inlineStr">
        <is>
          <t>كلا الفترتين</t>
        </is>
      </c>
      <c r="E262" t="n">
        <v>1341</v>
      </c>
      <c r="F262" t="b">
        <v>0</v>
      </c>
      <c r="G262">
        <f>HYPERLINK("https://www.google.com/maps/search/?api=1&amp;query=23.99436462,47.1318983", "View Map")</f>
        <v/>
      </c>
    </row>
    <row r="263">
      <c r="A263" t="inlineStr">
        <is>
          <t xml:space="preserve">   ادارة     الأوقاف    مسجد جنبان ف .</t>
        </is>
      </c>
      <c r="B263" t="inlineStr">
        <is>
          <t>KFM2020660205941</t>
        </is>
      </c>
      <c r="C263" t="inlineStr">
        <is>
          <t>وادي الدواسر</t>
        </is>
      </c>
      <c r="D263" t="inlineStr">
        <is>
          <t>صباحا</t>
        </is>
      </c>
      <c r="E263" t="n">
        <v>1339</v>
      </c>
      <c r="F263" t="b">
        <v>0</v>
      </c>
      <c r="G263">
        <f>HYPERLINK("https://www.google.com/maps/search/?api=1&amp;query=20.44949082,44.86355412", "View Map")</f>
        <v/>
      </c>
    </row>
    <row r="264">
      <c r="A264" t="inlineStr">
        <is>
          <t xml:space="preserve">   مسجد حى الروضه .</t>
        </is>
      </c>
      <c r="B264" t="inlineStr">
        <is>
          <t>KFM2020660211786</t>
        </is>
      </c>
      <c r="C264" t="inlineStr">
        <is>
          <t>الخرج</t>
        </is>
      </c>
      <c r="D264" t="inlineStr">
        <is>
          <t>كلا الفترتين</t>
        </is>
      </c>
      <c r="E264" t="n">
        <v>1324</v>
      </c>
      <c r="F264" t="b">
        <v>1</v>
      </c>
      <c r="G264">
        <f>HYPERLINK("https://www.google.com/maps/search/?api=1&amp;query=24.20754629,47.27379691", "View Map")</f>
        <v/>
      </c>
    </row>
    <row r="265">
      <c r="A265" t="inlineStr">
        <is>
          <t xml:space="preserve">      جامع كمدا/اوقاف الدواسر .</t>
        </is>
      </c>
      <c r="B265" t="inlineStr">
        <is>
          <t>KFM2120660247622</t>
        </is>
      </c>
      <c r="C265" t="inlineStr">
        <is>
          <t>وادي الدواسر</t>
        </is>
      </c>
      <c r="D265" t="inlineStr">
        <is>
          <t>كلا الفترتين</t>
        </is>
      </c>
      <c r="E265" t="n">
        <v>1322</v>
      </c>
      <c r="F265" t="b">
        <v>0</v>
      </c>
      <c r="G265">
        <f>HYPERLINK("https://www.google.com/maps/search/?api=1&amp;query=20.38919501,45.07709974", "View Map")</f>
        <v/>
      </c>
    </row>
    <row r="266">
      <c r="A266" t="inlineStr">
        <is>
          <t>ﻤﺴﺎﺠﺩﺍﻟﺨـﺭﺝ .</t>
        </is>
      </c>
      <c r="B266" t="inlineStr">
        <is>
          <t>KFM2020660212433</t>
        </is>
      </c>
      <c r="C266" t="inlineStr">
        <is>
          <t>الدلم</t>
        </is>
      </c>
      <c r="D266" t="inlineStr">
        <is>
          <t>كلا الفترتين</t>
        </is>
      </c>
      <c r="E266" t="n">
        <v>1320</v>
      </c>
      <c r="F266" t="b">
        <v>1</v>
      </c>
      <c r="G266">
        <f>HYPERLINK("https://www.google.com/maps/search/?api=1&amp;query=24.1028556,47.17585787", "View Map")</f>
        <v/>
      </c>
    </row>
    <row r="267">
      <c r="A267" t="inlineStr">
        <is>
          <t xml:space="preserve">   مسجد الرفايع .</t>
        </is>
      </c>
      <c r="B267" t="inlineStr">
        <is>
          <t>MMF2020800309305</t>
        </is>
      </c>
      <c r="C267" t="inlineStr">
        <is>
          <t>وادي الدواسر</t>
        </is>
      </c>
      <c r="D267" t="inlineStr">
        <is>
          <t>كلا الفترتين</t>
        </is>
      </c>
      <c r="E267" t="n">
        <v>1317</v>
      </c>
      <c r="F267" t="b">
        <v>0</v>
      </c>
      <c r="G267">
        <f>HYPERLINK("https://www.google.com/maps/search/?api=1&amp;query=20.45625797,44.79848915", "View Map")</f>
        <v/>
      </c>
    </row>
    <row r="268">
      <c r="A268" t="inlineStr">
        <is>
          <t>مساجد الخماسين .</t>
        </is>
      </c>
      <c r="B268" t="inlineStr">
        <is>
          <t>ECC2020810917709</t>
        </is>
      </c>
      <c r="C268" t="inlineStr">
        <is>
          <t>وادي الدواسر</t>
        </is>
      </c>
      <c r="D268" t="inlineStr">
        <is>
          <t>كلا الفترتين</t>
        </is>
      </c>
      <c r="E268" t="n">
        <v>1315</v>
      </c>
      <c r="F268" t="b">
        <v>1</v>
      </c>
      <c r="G268">
        <f>HYPERLINK("https://www.google.com/maps/search/?api=1&amp;query=20.40946347,45.14229054", "View Map")</f>
        <v/>
      </c>
    </row>
    <row r="269">
      <c r="A269" t="inlineStr">
        <is>
          <t xml:space="preserve">      مسجد حى الفيصليه .</t>
        </is>
      </c>
      <c r="B269" t="inlineStr">
        <is>
          <t>KFM2020660231520</t>
        </is>
      </c>
      <c r="C269" t="inlineStr">
        <is>
          <t>الخرج</t>
        </is>
      </c>
      <c r="D269" t="inlineStr">
        <is>
          <t>كلا الفترتين</t>
        </is>
      </c>
      <c r="E269" t="n">
        <v>1314</v>
      </c>
      <c r="F269" t="b">
        <v>0</v>
      </c>
      <c r="G269">
        <f>HYPERLINK("https://www.google.com/maps/search/?api=1&amp;query=24.16857854,47.35939734", "View Map")</f>
        <v/>
      </c>
    </row>
    <row r="270">
      <c r="A270" t="inlineStr">
        <is>
          <t xml:space="preserve"> مسجد الشيخ / عبدالعزيز بن باز .</t>
        </is>
      </c>
      <c r="B270" t="inlineStr">
        <is>
          <t>KFM2020660223929</t>
        </is>
      </c>
      <c r="C270" t="inlineStr">
        <is>
          <t>الدلم</t>
        </is>
      </c>
      <c r="D270" t="inlineStr">
        <is>
          <t>كلا الفترتين</t>
        </is>
      </c>
      <c r="E270" t="n">
        <v>1311</v>
      </c>
      <c r="F270" t="b">
        <v>1</v>
      </c>
      <c r="G270">
        <f>HYPERLINK("https://www.google.com/maps/search/?api=1&amp;query=24.01149185,47.13158961", "View Map")</f>
        <v/>
      </c>
    </row>
    <row r="271">
      <c r="A271" t="inlineStr">
        <is>
          <t xml:space="preserve">   اوقاف الدواسر/ جامع الزويراء .</t>
        </is>
      </c>
      <c r="B271" t="inlineStr">
        <is>
          <t>KFM2020660206060</t>
        </is>
      </c>
      <c r="C271" t="inlineStr">
        <is>
          <t>وادي الدواسر</t>
        </is>
      </c>
      <c r="D271" t="inlineStr">
        <is>
          <t>كلا الفترتين</t>
        </is>
      </c>
      <c r="E271" t="n">
        <v>1310</v>
      </c>
      <c r="F271" t="b">
        <v>0</v>
      </c>
      <c r="G271">
        <f>HYPERLINK("https://www.google.com/maps/search/?api=1&amp;query=20.46153643,44.82962677", "View Map")</f>
        <v/>
      </c>
    </row>
    <row r="272">
      <c r="A272" t="inlineStr">
        <is>
          <t xml:space="preserve">   مسجد / عائشه بنت الصديق .</t>
        </is>
      </c>
      <c r="B272" t="inlineStr">
        <is>
          <t>KFM2020660230227</t>
        </is>
      </c>
      <c r="C272" t="inlineStr">
        <is>
          <t>الخرج</t>
        </is>
      </c>
      <c r="D272" t="inlineStr">
        <is>
          <t>كلا الفترتين</t>
        </is>
      </c>
      <c r="E272" t="n">
        <v>1306</v>
      </c>
      <c r="F272" t="b">
        <v>0</v>
      </c>
      <c r="G272">
        <f>HYPERLINK("https://www.google.com/maps/search/?api=1&amp;query=24.15385797,47.36092772", "View Map")</f>
        <v/>
      </c>
    </row>
    <row r="273">
      <c r="A273" t="inlineStr">
        <is>
          <t>ﻤﺴﺎﺠﺩﺍﻟﺨـﺭﺝ .</t>
        </is>
      </c>
      <c r="B273" t="inlineStr">
        <is>
          <t>SMR2120765018733</t>
        </is>
      </c>
      <c r="C273" t="inlineStr">
        <is>
          <t>الدلم</t>
        </is>
      </c>
      <c r="D273" t="inlineStr">
        <is>
          <t>كلا الفترتين</t>
        </is>
      </c>
      <c r="E273" t="n">
        <v>1305</v>
      </c>
      <c r="F273" t="b">
        <v>0</v>
      </c>
      <c r="G273">
        <f>HYPERLINK("https://www.google.com/maps/search/?api=1&amp;query=23.62063024,47.08950687", "View Map")</f>
        <v/>
      </c>
    </row>
    <row r="274">
      <c r="A274" t="inlineStr">
        <is>
          <t>مساجد الخماسين .</t>
        </is>
      </c>
      <c r="B274" t="inlineStr">
        <is>
          <t>KFM2020660206046</t>
        </is>
      </c>
      <c r="C274" t="inlineStr">
        <is>
          <t>وادي الدواسر</t>
        </is>
      </c>
      <c r="D274" t="inlineStr">
        <is>
          <t>كلا الفترتين</t>
        </is>
      </c>
      <c r="E274" t="n">
        <v>1304</v>
      </c>
      <c r="F274" t="b">
        <v>0</v>
      </c>
      <c r="G274">
        <f>HYPERLINK("https://www.google.com/maps/search/?api=1&amp;query=20.45170448,44.84871395", "View Map")</f>
        <v/>
      </c>
    </row>
    <row r="275">
      <c r="A275" t="inlineStr">
        <is>
          <t xml:space="preserve">   الاوقاف    مسجد      بن عباس .</t>
        </is>
      </c>
      <c r="B275" t="inlineStr">
        <is>
          <t>KFM2020766100543</t>
        </is>
      </c>
      <c r="C275" t="inlineStr">
        <is>
          <t>الحريق</t>
        </is>
      </c>
      <c r="D275" t="inlineStr">
        <is>
          <t>كلا الفترتين</t>
        </is>
      </c>
      <c r="E275" t="n">
        <v>1304</v>
      </c>
      <c r="F275" t="b">
        <v>0</v>
      </c>
      <c r="G275">
        <f>HYPERLINK("https://www.google.com/maps/search/?api=1&amp;query=23.63548615,46.50674346", "View Map")</f>
        <v/>
      </c>
    </row>
    <row r="276">
      <c r="A276" t="inlineStr">
        <is>
          <t xml:space="preserve"> مسجد علي زيد ابو حيد .</t>
        </is>
      </c>
      <c r="B276" t="inlineStr">
        <is>
          <t>KFM2020760229890</t>
        </is>
      </c>
      <c r="C276" t="inlineStr">
        <is>
          <t>حوطة بني تميم</t>
        </is>
      </c>
      <c r="D276" t="inlineStr">
        <is>
          <t>كلا الفترتين</t>
        </is>
      </c>
      <c r="E276" t="n">
        <v>1303</v>
      </c>
      <c r="F276" t="b">
        <v>0</v>
      </c>
      <c r="G276">
        <f>HYPERLINK("https://www.google.com/maps/search/?api=1&amp;query=23.26630789,46.68240901", "View Map")</f>
        <v/>
      </c>
    </row>
    <row r="277">
      <c r="A277" t="inlineStr">
        <is>
          <t xml:space="preserve">   أوقاف السليل / مسجد رقم 7 .</t>
        </is>
      </c>
      <c r="B277" t="inlineStr">
        <is>
          <t>KFM2120660271539</t>
        </is>
      </c>
      <c r="C277" t="inlineStr">
        <is>
          <t>السليل</t>
        </is>
      </c>
      <c r="D277" t="inlineStr">
        <is>
          <t>كلا الفترتين</t>
        </is>
      </c>
      <c r="E277" t="n">
        <v>1301</v>
      </c>
      <c r="F277" t="b">
        <v>0</v>
      </c>
      <c r="G277">
        <f>HYPERLINK("https://www.google.com/maps/search/?api=1&amp;query=20.46884037,45.58252076", "View Map")</f>
        <v/>
      </c>
    </row>
    <row r="278">
      <c r="A278" t="inlineStr">
        <is>
          <t xml:space="preserve">   مسجد الامام الذهبي .</t>
        </is>
      </c>
      <c r="B278" t="inlineStr">
        <is>
          <t>KFM2120660257182</t>
        </is>
      </c>
      <c r="C278" t="inlineStr">
        <is>
          <t>الخرج</t>
        </is>
      </c>
      <c r="D278" t="inlineStr">
        <is>
          <t>كلا الفترتين</t>
        </is>
      </c>
      <c r="E278" t="n">
        <v>1298</v>
      </c>
      <c r="F278" t="b">
        <v>1</v>
      </c>
      <c r="G278">
        <f>HYPERLINK("https://www.google.com/maps/search/?api=1&amp;query=24.13698984,47.2831484", "View Map")</f>
        <v/>
      </c>
    </row>
    <row r="279">
      <c r="A279" t="inlineStr">
        <is>
          <t>ﻤﺴﺎﺠﺩ ﺍﻟﺨﻤﺎﺴﻴﻥ .</t>
        </is>
      </c>
      <c r="B279" t="inlineStr">
        <is>
          <t>MMF2020800321908</t>
        </is>
      </c>
      <c r="C279" t="inlineStr">
        <is>
          <t>وادي الدواسر</t>
        </is>
      </c>
      <c r="D279" t="inlineStr">
        <is>
          <t>كلا الفترتين</t>
        </is>
      </c>
      <c r="E279" t="n">
        <v>1298</v>
      </c>
      <c r="F279" t="b">
        <v>0</v>
      </c>
      <c r="G279">
        <f>HYPERLINK("https://www.google.com/maps/search/?api=1&amp;query=20.4503241,44.8405842", "View Map")</f>
        <v/>
      </c>
    </row>
    <row r="280">
      <c r="A280" t="inlineStr">
        <is>
          <t xml:space="preserve">     مسجد ابوعبيده بن الجراح .</t>
        </is>
      </c>
      <c r="B280" t="inlineStr">
        <is>
          <t>KFM2020766121710</t>
        </is>
      </c>
      <c r="C280" t="inlineStr">
        <is>
          <t>الأفلاج</t>
        </is>
      </c>
      <c r="D280" t="inlineStr">
        <is>
          <t>كلا الفترتين</t>
        </is>
      </c>
      <c r="E280" t="n">
        <v>1298</v>
      </c>
      <c r="F280" t="b">
        <v>0</v>
      </c>
      <c r="G280">
        <f>HYPERLINK("https://www.google.com/maps/search/?api=1&amp;query=22.29978619,46.73050899", "View Map")</f>
        <v/>
      </c>
    </row>
    <row r="281">
      <c r="A281" t="inlineStr">
        <is>
          <t xml:space="preserve">    مسجد الصيقيريه/عبدالعزيزالفواز .</t>
        </is>
      </c>
      <c r="B281" t="inlineStr">
        <is>
          <t>AES2120896543949</t>
        </is>
      </c>
      <c r="C281" t="inlineStr">
        <is>
          <t>حوطة بني تميم</t>
        </is>
      </c>
      <c r="D281" t="inlineStr">
        <is>
          <t>كلا الفترتين</t>
        </is>
      </c>
      <c r="E281" t="n">
        <v>1295</v>
      </c>
      <c r="F281" t="b">
        <v>0</v>
      </c>
      <c r="G281">
        <f>HYPERLINK("https://www.google.com/maps/search/?api=1&amp;query=23.49650531,46.82099913", "View Map")</f>
        <v/>
      </c>
    </row>
    <row r="282">
      <c r="A282" t="inlineStr">
        <is>
          <t xml:space="preserve">   مسجد الخريجى .</t>
        </is>
      </c>
      <c r="B282" t="inlineStr">
        <is>
          <t>KFM2120660246071</t>
        </is>
      </c>
      <c r="C282" t="inlineStr">
        <is>
          <t>الخرج</t>
        </is>
      </c>
      <c r="D282" t="inlineStr">
        <is>
          <t>كلا الفترتين</t>
        </is>
      </c>
      <c r="E282" t="n">
        <v>1292</v>
      </c>
      <c r="F282" t="b">
        <v>1</v>
      </c>
      <c r="G282">
        <f>HYPERLINK("https://www.google.com/maps/search/?api=1&amp;query=24.1539678,47.30686577", "View Map")</f>
        <v/>
      </c>
    </row>
    <row r="283">
      <c r="A283" t="inlineStr">
        <is>
          <t>ﻤﺴﺎﺠﺩﺍﻟﺨـﺭﺝ .</t>
        </is>
      </c>
      <c r="B283" t="inlineStr">
        <is>
          <t>KFM2020660210990</t>
        </is>
      </c>
      <c r="C283" t="inlineStr">
        <is>
          <t>الخرج</t>
        </is>
      </c>
      <c r="D283" t="inlineStr">
        <is>
          <t>كلا الفترتين</t>
        </is>
      </c>
      <c r="E283" t="n">
        <v>1291</v>
      </c>
      <c r="F283" t="b">
        <v>0</v>
      </c>
      <c r="G283">
        <f>HYPERLINK("https://www.google.com/maps/search/?api=1&amp;query=24.10883158,47.27006067", "View Map")</f>
        <v/>
      </c>
    </row>
    <row r="284">
      <c r="A284" t="inlineStr">
        <is>
          <t xml:space="preserve">   ادارة     الاوقاف    السميري .</t>
        </is>
      </c>
      <c r="B284" t="inlineStr">
        <is>
          <t>KFM2020660205890</t>
        </is>
      </c>
      <c r="C284" t="inlineStr">
        <is>
          <t>الحريق</t>
        </is>
      </c>
      <c r="D284" t="inlineStr">
        <is>
          <t>كلا الفترتين</t>
        </is>
      </c>
      <c r="E284" t="n">
        <v>1290</v>
      </c>
      <c r="F284" t="b">
        <v>0</v>
      </c>
      <c r="G284">
        <f>HYPERLINK("https://www.google.com/maps/search/?api=1&amp;query=23.61986544,46.51812511", "View Map")</f>
        <v/>
      </c>
    </row>
    <row r="285">
      <c r="A285" t="inlineStr">
        <is>
          <t xml:space="preserve">   مـسجـدالحزمبسويدان/الحج الاوقاف .</t>
        </is>
      </c>
      <c r="B285" t="inlineStr">
        <is>
          <t>AES2120896543379</t>
        </is>
      </c>
      <c r="C285" t="inlineStr">
        <is>
          <t>الأفلاج</t>
        </is>
      </c>
      <c r="D285" t="inlineStr">
        <is>
          <t>كلا الفترتين</t>
        </is>
      </c>
      <c r="E285" t="n">
        <v>1289</v>
      </c>
      <c r="F285" t="b">
        <v>0</v>
      </c>
      <c r="G285">
        <f>HYPERLINK("https://www.google.com/maps/search/?api=1&amp;query=22.09006456,46.69985429", "View Map")</f>
        <v/>
      </c>
    </row>
    <row r="286">
      <c r="A286" t="inlineStr">
        <is>
          <t xml:space="preserve">   اوقاف الدواسر/ مسجد العمائر .</t>
        </is>
      </c>
      <c r="B286" t="inlineStr">
        <is>
          <t>KFM2120660248997</t>
        </is>
      </c>
      <c r="C286" t="inlineStr">
        <is>
          <t>وادي الدواسر</t>
        </is>
      </c>
      <c r="D286" t="inlineStr">
        <is>
          <t>كلا الفترتين</t>
        </is>
      </c>
      <c r="E286" t="n">
        <v>1286</v>
      </c>
      <c r="F286" t="b">
        <v>0</v>
      </c>
      <c r="G286">
        <f>HYPERLINK("https://www.google.com/maps/search/?api=1&amp;query=20.47571818,45.13377983", "View Map")</f>
        <v/>
      </c>
    </row>
    <row r="287">
      <c r="A287" t="inlineStr">
        <is>
          <t>ﻤﺴﺎﺠﺩ ﺍﻟﺨﻤﺎﺴﻴﻥ .</t>
        </is>
      </c>
      <c r="B287" t="inlineStr">
        <is>
          <t>ECC2320831073432</t>
        </is>
      </c>
      <c r="C287" t="inlineStr">
        <is>
          <t>وادي الدواسر</t>
        </is>
      </c>
      <c r="D287" t="inlineStr">
        <is>
          <t>كلا الفترتين</t>
        </is>
      </c>
      <c r="E287" t="n">
        <v>1284</v>
      </c>
      <c r="F287" t="b">
        <v>0</v>
      </c>
      <c r="G287">
        <f>HYPERLINK("https://www.google.com/maps/search/?api=1&amp;query=20.4496296,44.88394527", "View Map")</f>
        <v/>
      </c>
    </row>
    <row r="288">
      <c r="A288" t="inlineStr">
        <is>
          <t xml:space="preserve"> وزارةالحجوألاوقافمسجدألاماممحمدبنسعود .</t>
        </is>
      </c>
      <c r="B288" t="inlineStr">
        <is>
          <t>KFM2020660170207</t>
        </is>
      </c>
      <c r="C288" t="inlineStr">
        <is>
          <t>الأفلاج</t>
        </is>
      </c>
      <c r="D288" t="inlineStr">
        <is>
          <t>كلا الفترتين</t>
        </is>
      </c>
      <c r="E288" t="n">
        <v>1282</v>
      </c>
      <c r="F288" t="b">
        <v>0</v>
      </c>
      <c r="G288">
        <f>HYPERLINK("https://www.google.com/maps/search/?api=1&amp;query=22.29021615,46.71103832", "View Map")</f>
        <v/>
      </c>
    </row>
    <row r="289">
      <c r="A289" t="inlineStr">
        <is>
          <t>ﻤﺴﺎﺠﺩ ﺍﻟﺤﻭﻁﻩ .</t>
        </is>
      </c>
      <c r="B289" t="inlineStr">
        <is>
          <t>DZG2020890008084</t>
        </is>
      </c>
      <c r="C289" t="inlineStr">
        <is>
          <t>حوطة بني تميم</t>
        </is>
      </c>
      <c r="D289" t="inlineStr">
        <is>
          <t>كلا الفترتين</t>
        </is>
      </c>
      <c r="E289" t="n">
        <v>1278</v>
      </c>
      <c r="F289" t="b">
        <v>0</v>
      </c>
      <c r="G289">
        <f>HYPERLINK("https://www.google.com/maps/search/?api=1&amp;query=23.26836693,46.66897558", "View Map")</f>
        <v/>
      </c>
    </row>
    <row r="290">
      <c r="A290" t="inlineStr">
        <is>
          <t xml:space="preserve">   مسجد ال جروان .</t>
        </is>
      </c>
      <c r="B290" t="inlineStr">
        <is>
          <t>KFM2020660206116</t>
        </is>
      </c>
      <c r="C290" t="inlineStr">
        <is>
          <t>وادي الدواسر</t>
        </is>
      </c>
      <c r="D290" t="inlineStr">
        <is>
          <t>كلا الفترتين</t>
        </is>
      </c>
      <c r="E290" t="n">
        <v>1275</v>
      </c>
      <c r="F290" t="b">
        <v>0</v>
      </c>
      <c r="G290">
        <f>HYPERLINK("https://www.google.com/maps/search/?api=1&amp;query=20.44461336,44.84676627", "View Map")</f>
        <v/>
      </c>
    </row>
    <row r="291">
      <c r="A291" t="inlineStr">
        <is>
          <t>ﺍﻭﻗﺎﻑ ﺍﻟﺩﻟﻡ / ﺍﻟﻤﺴــــــﺎﺠـﺩ .</t>
        </is>
      </c>
      <c r="B291" t="inlineStr">
        <is>
          <t>KFM2120660260553</t>
        </is>
      </c>
      <c r="C291" t="inlineStr">
        <is>
          <t>الدلم</t>
        </is>
      </c>
      <c r="D291" t="inlineStr">
        <is>
          <t>كلا الفترتين</t>
        </is>
      </c>
      <c r="E291" t="n">
        <v>1273</v>
      </c>
      <c r="F291" t="b">
        <v>0</v>
      </c>
      <c r="G291">
        <f>HYPERLINK("https://www.google.com/maps/search/?api=1&amp;query=23.99349883,47.17797152", "View Map")</f>
        <v/>
      </c>
    </row>
    <row r="292">
      <c r="A292" t="inlineStr">
        <is>
          <t xml:space="preserve">   مسجد بلال بن رباح .</t>
        </is>
      </c>
      <c r="B292" t="inlineStr">
        <is>
          <t>KFM2020660170105</t>
        </is>
      </c>
      <c r="C292" t="inlineStr">
        <is>
          <t>الأفلاج</t>
        </is>
      </c>
      <c r="D292" t="inlineStr">
        <is>
          <t>كلا الفترتين</t>
        </is>
      </c>
      <c r="E292" t="n">
        <v>1272</v>
      </c>
      <c r="F292" t="b">
        <v>0</v>
      </c>
      <c r="G292">
        <f>HYPERLINK("https://www.google.com/maps/search/?api=1&amp;query=22.29285338,46.71552439", "View Map")</f>
        <v/>
      </c>
    </row>
    <row r="293">
      <c r="A293" t="inlineStr">
        <is>
          <t>ﻤﺴﺎﺠﺩ ﺍﻟﺤﻭﻁﻩ .</t>
        </is>
      </c>
      <c r="B293" t="inlineStr">
        <is>
          <t>KFM2020766166042</t>
        </is>
      </c>
      <c r="C293" t="inlineStr">
        <is>
          <t>حوطة بني تميم</t>
        </is>
      </c>
      <c r="D293" t="inlineStr">
        <is>
          <t>كلا الفترتين</t>
        </is>
      </c>
      <c r="E293" t="n">
        <v>1270</v>
      </c>
      <c r="F293" t="b">
        <v>0</v>
      </c>
      <c r="G293">
        <f>HYPERLINK("https://www.google.com/maps/search/?api=1&amp;query=23.45812721,46.8620731", "View Map")</f>
        <v/>
      </c>
    </row>
    <row r="294">
      <c r="A294" t="inlineStr">
        <is>
          <t xml:space="preserve">   ادرةاوقاف(مسجد ال شبيب بالبديع ) .</t>
        </is>
      </c>
      <c r="B294" t="inlineStr">
        <is>
          <t>KFM2020766167933</t>
        </is>
      </c>
      <c r="C294" t="inlineStr">
        <is>
          <t>الأفلاج</t>
        </is>
      </c>
      <c r="D294" t="inlineStr">
        <is>
          <t>كلا الفترتين</t>
        </is>
      </c>
      <c r="E294" t="n">
        <v>1269</v>
      </c>
      <c r="F294" t="b">
        <v>0</v>
      </c>
      <c r="G294">
        <f>HYPERLINK("https://www.google.com/maps/search/?api=1&amp;query=22.02204328,46.57654255", "View Map")</f>
        <v/>
      </c>
    </row>
    <row r="295">
      <c r="A295" t="inlineStr">
        <is>
          <t xml:space="preserve">      مسجدجامع اسامةابن زيدبالبديع .</t>
        </is>
      </c>
      <c r="B295" t="inlineStr">
        <is>
          <t>KFM2020660211849</t>
        </is>
      </c>
      <c r="C295" t="inlineStr">
        <is>
          <t>الأفلاج</t>
        </is>
      </c>
      <c r="D295" t="inlineStr">
        <is>
          <t>كلا الفترتين</t>
        </is>
      </c>
      <c r="E295" t="n">
        <v>1266</v>
      </c>
      <c r="F295" t="b">
        <v>0</v>
      </c>
      <c r="G295">
        <f>HYPERLINK("https://www.google.com/maps/search/?api=1&amp;query=22.02392534,46.55498299", "View Map")</f>
        <v/>
      </c>
    </row>
    <row r="296">
      <c r="A296" t="inlineStr">
        <is>
          <t xml:space="preserve">   مسجدابن قدامة .</t>
        </is>
      </c>
      <c r="B296" t="inlineStr">
        <is>
          <t>AES2020896463046</t>
        </is>
      </c>
      <c r="C296" t="inlineStr">
        <is>
          <t>السليل</t>
        </is>
      </c>
      <c r="D296" t="inlineStr">
        <is>
          <t>كلا الفترتين</t>
        </is>
      </c>
      <c r="E296" t="n">
        <v>1264</v>
      </c>
      <c r="F296" t="b">
        <v>0</v>
      </c>
      <c r="G296">
        <f>HYPERLINK("https://www.google.com/maps/search/?api=1&amp;query=20.41099488,45.39262589", "View Map")</f>
        <v/>
      </c>
    </row>
    <row r="297">
      <c r="A297" t="inlineStr">
        <is>
          <t xml:space="preserve">    مسجد سعدبن ابي وقاص .</t>
        </is>
      </c>
      <c r="B297" t="inlineStr">
        <is>
          <t>KFM2020766167879</t>
        </is>
      </c>
      <c r="C297" t="inlineStr">
        <is>
          <t>الأفلاج</t>
        </is>
      </c>
      <c r="D297" t="inlineStr">
        <is>
          <t>كلا الفترتين</t>
        </is>
      </c>
      <c r="E297" t="n">
        <v>1264</v>
      </c>
      <c r="F297" t="b">
        <v>0</v>
      </c>
      <c r="G297">
        <f>HYPERLINK("https://www.google.com/maps/search/?api=1&amp;query=22.02198044,46.55615188", "View Map")</f>
        <v/>
      </c>
    </row>
    <row r="298">
      <c r="A298" t="inlineStr">
        <is>
          <t>ﻤﺴﺎﺠﺩ ﺍﻟﺨﻤﺎﺴﻴﻥ .</t>
        </is>
      </c>
      <c r="B298" t="inlineStr">
        <is>
          <t>MMF2020800307864</t>
        </is>
      </c>
      <c r="C298" t="inlineStr">
        <is>
          <t>وادي الدواسر</t>
        </is>
      </c>
      <c r="D298" t="inlineStr">
        <is>
          <t>كلا الفترتين</t>
        </is>
      </c>
      <c r="E298" t="n">
        <v>1263</v>
      </c>
      <c r="F298" t="b">
        <v>0</v>
      </c>
      <c r="G298">
        <f>HYPERLINK("https://www.google.com/maps/search/?api=1&amp;query=20.45801339,44.86060672", "View Map")</f>
        <v/>
      </c>
    </row>
    <row r="299">
      <c r="A299" t="inlineStr">
        <is>
          <t>ﻤﺴﺎﺠﺩﺍﻟﺨـﺭﺝ .</t>
        </is>
      </c>
      <c r="B299" t="inlineStr">
        <is>
          <t>SMR2220661004402</t>
        </is>
      </c>
      <c r="C299" t="inlineStr">
        <is>
          <t>الخرج</t>
        </is>
      </c>
      <c r="D299" t="inlineStr">
        <is>
          <t>كلا الفترتين</t>
        </is>
      </c>
      <c r="E299" t="n">
        <v>1262</v>
      </c>
      <c r="F299" t="b">
        <v>0</v>
      </c>
      <c r="G299">
        <f>HYPERLINK("https://www.google.com/maps/search/?api=1&amp;query=24.0945035,47.27503035", "View Map")</f>
        <v/>
      </c>
    </row>
    <row r="300">
      <c r="A300" t="inlineStr">
        <is>
          <t xml:space="preserve">  جامع الملك عبدالله/الاسكان التنموي .</t>
        </is>
      </c>
      <c r="B300" t="inlineStr">
        <is>
          <t>KFM2020660165111</t>
        </is>
      </c>
      <c r="C300" t="inlineStr">
        <is>
          <t>الأفلاج</t>
        </is>
      </c>
      <c r="D300" t="inlineStr">
        <is>
          <t>كلا الفترتين</t>
        </is>
      </c>
      <c r="E300" t="n">
        <v>1260</v>
      </c>
      <c r="F300" t="b">
        <v>0</v>
      </c>
      <c r="G300">
        <f>HYPERLINK("https://www.google.com/maps/search/?api=1&amp;query=22.31126363,46.69619102", "View Map")</f>
        <v/>
      </c>
    </row>
    <row r="301">
      <c r="A301" t="inlineStr">
        <is>
          <t>مسجد نوره ساير الحربي بحي الهد .</t>
        </is>
      </c>
      <c r="B301" t="inlineStr">
        <is>
          <t>KFM2120660246012</t>
        </is>
      </c>
      <c r="C301" t="inlineStr">
        <is>
          <t>الخرج</t>
        </is>
      </c>
      <c r="D301" t="inlineStr">
        <is>
          <t>كلا الفترتين</t>
        </is>
      </c>
      <c r="E301" t="n">
        <v>1257</v>
      </c>
      <c r="F301" t="b">
        <v>0</v>
      </c>
      <c r="G301">
        <f>HYPERLINK("https://www.google.com/maps/search/?api=1&amp;query=24.10045,47.29874", "View Map")</f>
        <v/>
      </c>
    </row>
    <row r="302">
      <c r="A302" t="inlineStr">
        <is>
          <t xml:space="preserve">   مسجد عمر بن الخطاب .</t>
        </is>
      </c>
      <c r="B302" t="inlineStr">
        <is>
          <t>MMF2020800321889</t>
        </is>
      </c>
      <c r="C302" t="inlineStr">
        <is>
          <t>وادي الدواسر</t>
        </is>
      </c>
      <c r="D302" t="inlineStr">
        <is>
          <t>كلا الفترتين</t>
        </is>
      </c>
      <c r="E302" t="n">
        <v>1254</v>
      </c>
      <c r="F302" t="b">
        <v>0</v>
      </c>
      <c r="G302">
        <f>HYPERLINK("https://www.google.com/maps/search/?api=1&amp;query=20.46185495,44.80866706", "View Map")</f>
        <v/>
      </c>
    </row>
    <row r="303">
      <c r="A303" t="inlineStr">
        <is>
          <t>مسجد سكن العمال ببلدية محافظة الدلم .</t>
        </is>
      </c>
      <c r="B303" t="inlineStr">
        <is>
          <t>KFM2120660260549</t>
        </is>
      </c>
      <c r="C303" t="inlineStr">
        <is>
          <t>الدلم</t>
        </is>
      </c>
      <c r="D303" t="inlineStr">
        <is>
          <t>كلا الفترتين</t>
        </is>
      </c>
      <c r="E303" t="n">
        <v>1248</v>
      </c>
      <c r="F303" t="b">
        <v>0</v>
      </c>
      <c r="G303">
        <f>HYPERLINK("https://www.google.com/maps/search/?api=1&amp;query=23.9892122,47.18022657", "View Map")</f>
        <v/>
      </c>
    </row>
    <row r="304">
      <c r="A304" t="inlineStr">
        <is>
          <t xml:space="preserve">   مسـجدمصعب بن عمـير .</t>
        </is>
      </c>
      <c r="B304" t="inlineStr">
        <is>
          <t>KFM2020660205810</t>
        </is>
      </c>
      <c r="C304" t="inlineStr">
        <is>
          <t>الحريق</t>
        </is>
      </c>
      <c r="D304" t="inlineStr">
        <is>
          <t>كلا الفترتين</t>
        </is>
      </c>
      <c r="E304" t="n">
        <v>1247</v>
      </c>
      <c r="F304" t="b">
        <v>0</v>
      </c>
      <c r="G304">
        <f>HYPERLINK("https://www.google.com/maps/search/?api=1&amp;query=23.63202967,46.51006722", "View Map")</f>
        <v/>
      </c>
    </row>
    <row r="305">
      <c r="A305" t="inlineStr">
        <is>
          <t>ﻤﺴﺎﺠﺩﺍﻟﺨـﺭﺝ .</t>
        </is>
      </c>
      <c r="B305" t="inlineStr">
        <is>
          <t>SMR2320761026409</t>
        </is>
      </c>
      <c r="C305" t="inlineStr">
        <is>
          <t>الخرج</t>
        </is>
      </c>
      <c r="D305" t="inlineStr">
        <is>
          <t>كلا الفترتين</t>
        </is>
      </c>
      <c r="E305" t="n">
        <v>1245</v>
      </c>
      <c r="F305" t="b">
        <v>0</v>
      </c>
      <c r="G305">
        <f>HYPERLINK("https://www.google.com/maps/search/?api=1&amp;query=24.1634387,47.25978021", "View Map")</f>
        <v/>
      </c>
    </row>
    <row r="306">
      <c r="A306" t="inlineStr">
        <is>
          <t xml:space="preserve">   اوقاف الدلم/ مسجد راشد بن عون .</t>
        </is>
      </c>
      <c r="B306" t="inlineStr">
        <is>
          <t>KFM2020660169688</t>
        </is>
      </c>
      <c r="C306" t="inlineStr">
        <is>
          <t>الدلم</t>
        </is>
      </c>
      <c r="D306" t="inlineStr">
        <is>
          <t>كلا الفترتين</t>
        </is>
      </c>
      <c r="E306" t="n">
        <v>1243</v>
      </c>
      <c r="F306" t="b">
        <v>0</v>
      </c>
      <c r="G306">
        <f>HYPERLINK("https://www.google.com/maps/search/?api=1&amp;query=23.98890129,47.16907234", "View Map")</f>
        <v/>
      </c>
    </row>
    <row r="307">
      <c r="A307" t="inlineStr">
        <is>
          <t>ﻤﺴﺎﺠﺩﺍﻟﺨـﺭﺝ .</t>
        </is>
      </c>
      <c r="B307" t="inlineStr">
        <is>
          <t>SMR2220661003239</t>
        </is>
      </c>
      <c r="C307" t="inlineStr">
        <is>
          <t>الخرج</t>
        </is>
      </c>
      <c r="D307" t="inlineStr">
        <is>
          <t>كلا الفترتين</t>
        </is>
      </c>
      <c r="E307" t="n">
        <v>1243</v>
      </c>
      <c r="F307" t="b">
        <v>1</v>
      </c>
      <c r="G307">
        <f>HYPERLINK("https://www.google.com/maps/search/?api=1&amp;query=24.09442,47.27492", "View Map")</f>
        <v/>
      </c>
    </row>
    <row r="308">
      <c r="A308" t="inlineStr">
        <is>
          <t xml:space="preserve">   مسجد ال صهيب ـ اوقاف الدواسر .</t>
        </is>
      </c>
      <c r="B308" t="inlineStr">
        <is>
          <t>KFM2020760212284</t>
        </is>
      </c>
      <c r="C308" t="inlineStr">
        <is>
          <t>وادي الدواسر</t>
        </is>
      </c>
      <c r="D308" t="inlineStr">
        <is>
          <t>كلا الفترتين</t>
        </is>
      </c>
      <c r="E308" t="n">
        <v>1234</v>
      </c>
      <c r="F308" t="b">
        <v>0</v>
      </c>
      <c r="G308">
        <f>HYPERLINK("https://www.google.com/maps/search/?api=1&amp;query=20.45023993,44.84125794", "View Map")</f>
        <v/>
      </c>
    </row>
    <row r="309">
      <c r="A309" t="inlineStr">
        <is>
          <t xml:space="preserve">      اوقاف الدواسر/مسجد العباسيه .</t>
        </is>
      </c>
      <c r="B309" t="inlineStr">
        <is>
          <t>MMF2020800310624</t>
        </is>
      </c>
      <c r="C309" t="inlineStr">
        <is>
          <t>وادي الدواسر</t>
        </is>
      </c>
      <c r="D309" t="inlineStr">
        <is>
          <t>كلا الفترتين</t>
        </is>
      </c>
      <c r="E309" t="n">
        <v>1232</v>
      </c>
      <c r="F309" t="b">
        <v>0</v>
      </c>
      <c r="G309">
        <f>HYPERLINK("https://www.google.com/maps/search/?api=1&amp;query=20.42129243,44.83081796", "View Map")</f>
        <v/>
      </c>
    </row>
    <row r="310">
      <c r="A310" t="inlineStr">
        <is>
          <t>ﻤﺴﺎﺠﺩﺍﻟﺨـﺭﺝ .</t>
        </is>
      </c>
      <c r="B310" t="inlineStr">
        <is>
          <t>DZG2020890011540</t>
        </is>
      </c>
      <c r="C310" t="inlineStr">
        <is>
          <t>الدلم</t>
        </is>
      </c>
      <c r="D310" t="inlineStr">
        <is>
          <t>كلا الفترتين</t>
        </is>
      </c>
      <c r="E310" t="n">
        <v>1230</v>
      </c>
      <c r="F310" t="b">
        <v>0</v>
      </c>
      <c r="G310">
        <f>HYPERLINK("https://www.google.com/maps/search/?api=1&amp;query=23.93624867,46.81826947", "View Map")</f>
        <v/>
      </c>
    </row>
    <row r="311">
      <c r="A311" t="inlineStr">
        <is>
          <t xml:space="preserve">   مسجد عمر بن الخطاب .</t>
        </is>
      </c>
      <c r="B311" t="inlineStr">
        <is>
          <t>KFM2020760211455</t>
        </is>
      </c>
      <c r="C311" t="inlineStr">
        <is>
          <t>وادي الدواسر</t>
        </is>
      </c>
      <c r="D311" t="inlineStr">
        <is>
          <t>كلا الفترتين</t>
        </is>
      </c>
      <c r="E311" t="n">
        <v>1230</v>
      </c>
      <c r="F311" t="b">
        <v>0</v>
      </c>
      <c r="G311">
        <f>HYPERLINK("https://www.google.com/maps/search/?api=1&amp;query=20.44190688,44.85356486", "View Map")</f>
        <v/>
      </c>
    </row>
    <row r="312">
      <c r="A312" t="inlineStr">
        <is>
          <t xml:space="preserve">      مسجد السليمانيه بالصحنه .</t>
        </is>
      </c>
      <c r="B312" t="inlineStr">
        <is>
          <t>KFM2020760006601</t>
        </is>
      </c>
      <c r="C312" t="inlineStr">
        <is>
          <t>الدلم</t>
        </is>
      </c>
      <c r="D312" t="inlineStr">
        <is>
          <t>كلا الفترتين</t>
        </is>
      </c>
      <c r="E312" t="n">
        <v>1229</v>
      </c>
      <c r="F312" t="b">
        <v>0</v>
      </c>
      <c r="G312">
        <f>HYPERLINK("https://www.google.com/maps/search/?api=1&amp;query=23.96230265,47.11384862", "View Map")</f>
        <v/>
      </c>
    </row>
    <row r="313">
      <c r="A313" t="inlineStr">
        <is>
          <t xml:space="preserve">   اوقاف الخرج --مسجد حمد بن ظبان .</t>
        </is>
      </c>
      <c r="B313" t="inlineStr">
        <is>
          <t>KFM2020660212871</t>
        </is>
      </c>
      <c r="C313" t="inlineStr">
        <is>
          <t>الخرج</t>
        </is>
      </c>
      <c r="D313" t="inlineStr">
        <is>
          <t>كلا الفترتين</t>
        </is>
      </c>
      <c r="E313" t="n">
        <v>1221</v>
      </c>
      <c r="F313" t="b">
        <v>0</v>
      </c>
      <c r="G313">
        <f>HYPERLINK("https://www.google.com/maps/search/?api=1&amp;query=24.10082,47.26054", "View Map")</f>
        <v/>
      </c>
    </row>
    <row r="314">
      <c r="A314" t="inlineStr">
        <is>
          <t xml:space="preserve">   مسجدمعاذبن جبل .</t>
        </is>
      </c>
      <c r="B314" t="inlineStr">
        <is>
          <t>KFM2120660290391</t>
        </is>
      </c>
      <c r="C314" t="inlineStr">
        <is>
          <t>حوطة بني تميم</t>
        </is>
      </c>
      <c r="D314" t="inlineStr">
        <is>
          <t>كلا الفترتين</t>
        </is>
      </c>
      <c r="E314" t="n">
        <v>1220</v>
      </c>
      <c r="F314" t="b">
        <v>0</v>
      </c>
      <c r="G314">
        <f>HYPERLINK("https://www.google.com/maps/search/?api=1&amp;query=23.48706965,46.87760113", "View Map")</f>
        <v/>
      </c>
    </row>
    <row r="315">
      <c r="A315" t="inlineStr">
        <is>
          <t xml:space="preserve">   مسجدعمر بن الخطاب/اوقاف الدواسر .</t>
        </is>
      </c>
      <c r="B315" t="inlineStr">
        <is>
          <t>MMF2420601015880</t>
        </is>
      </c>
      <c r="C315" t="inlineStr">
        <is>
          <t>وادي الدواسر</t>
        </is>
      </c>
      <c r="D315" t="inlineStr">
        <is>
          <t>مساءا</t>
        </is>
      </c>
      <c r="E315" t="n">
        <v>1218</v>
      </c>
      <c r="F315" t="b">
        <v>1</v>
      </c>
      <c r="G315">
        <f>HYPERLINK("https://www.google.com/maps/search/?api=1&amp;query=20.47506535,44.77360534", "View Map")</f>
        <v/>
      </c>
    </row>
    <row r="316">
      <c r="A316" t="inlineStr">
        <is>
          <t>ﺍﻭﻗﺎﻑ ﺍﻟﺩﻟﻡ / ﺍﻟﻤﺴــــــﺎﺠـﺩ .</t>
        </is>
      </c>
      <c r="B316" t="inlineStr">
        <is>
          <t>KFM2020660170465</t>
        </is>
      </c>
      <c r="C316" t="inlineStr">
        <is>
          <t>الدلم</t>
        </is>
      </c>
      <c r="D316" t="inlineStr">
        <is>
          <t>كلا الفترتين</t>
        </is>
      </c>
      <c r="E316" t="n">
        <v>1218</v>
      </c>
      <c r="F316" t="b">
        <v>0</v>
      </c>
      <c r="G316">
        <f>HYPERLINK("https://www.google.com/maps/search/?api=1&amp;query=23.95941997,47.11521836", "View Map")</f>
        <v/>
      </c>
    </row>
    <row r="317">
      <c r="A317" t="inlineStr">
        <is>
          <t xml:space="preserve">   مسجد مخطط ال محمد/اوقاف السليل .</t>
        </is>
      </c>
      <c r="B317" t="inlineStr">
        <is>
          <t>AES2020896045938</t>
        </is>
      </c>
      <c r="C317" t="inlineStr">
        <is>
          <t>السليل</t>
        </is>
      </c>
      <c r="D317" t="inlineStr">
        <is>
          <t>كلا الفترتين</t>
        </is>
      </c>
      <c r="E317" t="n">
        <v>1217</v>
      </c>
      <c r="F317" t="b">
        <v>0</v>
      </c>
      <c r="G317">
        <f>HYPERLINK("https://www.google.com/maps/search/?api=1&amp;query=20.45912802,45.58403891", "View Map")</f>
        <v/>
      </c>
    </row>
    <row r="318">
      <c r="A318" t="inlineStr">
        <is>
          <t xml:space="preserve">    الموسسه العامه للصناعات الحربيه .</t>
        </is>
      </c>
      <c r="B318" t="inlineStr">
        <is>
          <t>KFM2020760053071</t>
        </is>
      </c>
      <c r="C318" t="inlineStr">
        <is>
          <t>الخرج</t>
        </is>
      </c>
      <c r="D318" t="inlineStr">
        <is>
          <t>كلا الفترتين</t>
        </is>
      </c>
      <c r="E318" t="n">
        <v>1216</v>
      </c>
      <c r="F318" t="b">
        <v>0</v>
      </c>
      <c r="G318">
        <f>HYPERLINK("https://www.google.com/maps/search/?api=1&amp;query=24.13352099,47.28804134", "View Map")</f>
        <v/>
      </c>
    </row>
    <row r="319">
      <c r="A319" t="inlineStr">
        <is>
          <t xml:space="preserve">   ادارةالاوقاف (مسجدخزان بالبديع ) .</t>
        </is>
      </c>
      <c r="B319" t="inlineStr">
        <is>
          <t>KFM2020766027681</t>
        </is>
      </c>
      <c r="C319" t="inlineStr">
        <is>
          <t>الأفلاج</t>
        </is>
      </c>
      <c r="D319" t="inlineStr">
        <is>
          <t>كلا الفترتين</t>
        </is>
      </c>
      <c r="E319" t="n">
        <v>1216</v>
      </c>
      <c r="F319" t="b">
        <v>0</v>
      </c>
      <c r="G319">
        <f>HYPERLINK("https://www.google.com/maps/search/?api=1&amp;query=22.02357558,46.5583337", "View Map")</f>
        <v/>
      </c>
    </row>
    <row r="320">
      <c r="A320" t="inlineStr">
        <is>
          <t xml:space="preserve">   اوقاف الخرج / مسجد حبيب بن زيد .</t>
        </is>
      </c>
      <c r="B320" t="inlineStr">
        <is>
          <t>KFM2120660249791</t>
        </is>
      </c>
      <c r="C320" t="inlineStr">
        <is>
          <t>الخرج</t>
        </is>
      </c>
      <c r="D320" t="inlineStr">
        <is>
          <t>كلا الفترتين</t>
        </is>
      </c>
      <c r="E320" t="n">
        <v>1215</v>
      </c>
      <c r="F320" t="b">
        <v>0</v>
      </c>
      <c r="G320">
        <f>HYPERLINK("https://www.google.com/maps/search/?api=1&amp;query=24.14651854,47.36520797", "View Map")</f>
        <v/>
      </c>
    </row>
    <row r="321">
      <c r="A321" t="inlineStr">
        <is>
          <t xml:space="preserve">   مسجدالقاضي ابن شريح بالسلاميه .</t>
        </is>
      </c>
      <c r="B321" t="inlineStr">
        <is>
          <t>KFM2020760204219</t>
        </is>
      </c>
      <c r="C321" t="inlineStr">
        <is>
          <t>حوطة بني تميم</t>
        </is>
      </c>
      <c r="D321" t="inlineStr">
        <is>
          <t>كلا الفترتين</t>
        </is>
      </c>
      <c r="E321" t="n">
        <v>1208</v>
      </c>
      <c r="F321" t="b">
        <v>0</v>
      </c>
      <c r="G321">
        <f>HYPERLINK("https://www.google.com/maps/search/?api=1&amp;query=23.4945539,46.88803601", "View Map")</f>
        <v/>
      </c>
    </row>
    <row r="322">
      <c r="A322" t="inlineStr">
        <is>
          <t>ﻤﺴﺎﺠﺩ ﺍﻟﺨﻤﺎﺴﻴﻥ .</t>
        </is>
      </c>
      <c r="B322" t="inlineStr">
        <is>
          <t>KFM2020660195472</t>
        </is>
      </c>
      <c r="C322" t="inlineStr">
        <is>
          <t>وادي الدواسر</t>
        </is>
      </c>
      <c r="D322" t="inlineStr">
        <is>
          <t>كلا الفترتين</t>
        </is>
      </c>
      <c r="E322" t="n">
        <v>1206</v>
      </c>
      <c r="F322" t="b">
        <v>0</v>
      </c>
      <c r="G322">
        <f>HYPERLINK("https://www.google.com/maps/search/?api=1&amp;query=20.38343937,44.78796761", "View Map")</f>
        <v/>
      </c>
    </row>
    <row r="323">
      <c r="A323" t="inlineStr">
        <is>
          <t xml:space="preserve">   مسجد ابى ايوب الانصارى .</t>
        </is>
      </c>
      <c r="B323" t="inlineStr">
        <is>
          <t>KFM2020660212211</t>
        </is>
      </c>
      <c r="C323" t="inlineStr">
        <is>
          <t>الخرج</t>
        </is>
      </c>
      <c r="D323" t="inlineStr">
        <is>
          <t>كلا الفترتين</t>
        </is>
      </c>
      <c r="E323" t="n">
        <v>1201</v>
      </c>
      <c r="F323" t="b">
        <v>0</v>
      </c>
      <c r="G323">
        <f>HYPERLINK("https://www.google.com/maps/search/?api=1&amp;query=24.16451285,47.3495151", "View Map")</f>
        <v/>
      </c>
    </row>
    <row r="324">
      <c r="A324" t="inlineStr">
        <is>
          <t xml:space="preserve">   مسجد الفرقان .</t>
        </is>
      </c>
      <c r="B324" t="inlineStr">
        <is>
          <t>MMF2020800321255</t>
        </is>
      </c>
      <c r="C324" t="inlineStr">
        <is>
          <t>وادي الدواسر</t>
        </is>
      </c>
      <c r="D324" t="inlineStr">
        <is>
          <t>كلا الفترتين</t>
        </is>
      </c>
      <c r="E324" t="n">
        <v>1201</v>
      </c>
      <c r="F324" t="b">
        <v>0</v>
      </c>
      <c r="G324">
        <f>HYPERLINK("https://www.google.com/maps/search/?api=1&amp;query=20.46249339,44.81624768", "View Map")</f>
        <v/>
      </c>
    </row>
    <row r="325">
      <c r="A325" t="inlineStr">
        <is>
          <t xml:space="preserve">    اوقاف الدواسر/مسجد عبيد ال يوسف .</t>
        </is>
      </c>
      <c r="B325" t="inlineStr">
        <is>
          <t>KFM2020760210211</t>
        </is>
      </c>
      <c r="C325" t="inlineStr">
        <is>
          <t>وادي الدواسر</t>
        </is>
      </c>
      <c r="D325" t="inlineStr">
        <is>
          <t>كلا الفترتين</t>
        </is>
      </c>
      <c r="E325" t="n">
        <v>1199</v>
      </c>
      <c r="F325" t="b">
        <v>0</v>
      </c>
      <c r="G325">
        <f>HYPERLINK("https://www.google.com/maps/search/?api=1&amp;query=20.46775522,44.79768128", "View Map")</f>
        <v/>
      </c>
    </row>
    <row r="326">
      <c r="A326" t="inlineStr">
        <is>
          <t xml:space="preserve">   ادراةاوقاف(مسجدغرب مستوصف لبديع) .</t>
        </is>
      </c>
      <c r="B326" t="inlineStr">
        <is>
          <t>KFM2020660211804</t>
        </is>
      </c>
      <c r="C326" t="inlineStr">
        <is>
          <t>الأفلاج</t>
        </is>
      </c>
      <c r="D326" t="inlineStr">
        <is>
          <t>صباحا</t>
        </is>
      </c>
      <c r="E326" t="n">
        <v>1194</v>
      </c>
      <c r="F326" t="b">
        <v>0</v>
      </c>
      <c r="G326">
        <f>HYPERLINK("https://www.google.com/maps/search/?api=1&amp;query=22.02817005,46.56042771", "View Map")</f>
        <v/>
      </c>
    </row>
    <row r="327">
      <c r="A327" t="inlineStr">
        <is>
          <t xml:space="preserve">   ادارةاوقافمسجد      بالبديع .</t>
        </is>
      </c>
      <c r="B327" t="inlineStr">
        <is>
          <t>AES2020896439030</t>
        </is>
      </c>
      <c r="C327" t="inlineStr">
        <is>
          <t>الأفلاج</t>
        </is>
      </c>
      <c r="D327" t="inlineStr">
        <is>
          <t>كلا الفترتين</t>
        </is>
      </c>
      <c r="E327" t="n">
        <v>1193</v>
      </c>
      <c r="F327" t="b">
        <v>0</v>
      </c>
      <c r="G327">
        <f>HYPERLINK("https://www.google.com/maps/search/?api=1&amp;query=22.02968794,46.56459496", "View Map")</f>
        <v/>
      </c>
    </row>
    <row r="328">
      <c r="A328" t="inlineStr">
        <is>
          <t>ﺍﻟﻤﺴﺎﺠﺩﻭﺍﻟﺩﻋﻭﻩ ﺍﻻﺭﺸﺎﺩ ﺒﺎﻻﻓﻼﺝ .</t>
        </is>
      </c>
      <c r="B328" t="inlineStr">
        <is>
          <t>KFM2020660170141</t>
        </is>
      </c>
      <c r="C328" t="inlineStr">
        <is>
          <t>الأفلاج</t>
        </is>
      </c>
      <c r="D328" t="inlineStr">
        <is>
          <t>كلا الفترتين</t>
        </is>
      </c>
      <c r="E328" t="n">
        <v>1191</v>
      </c>
      <c r="F328" t="b">
        <v>0</v>
      </c>
      <c r="G328">
        <f>HYPERLINK("https://www.google.com/maps/search/?api=1&amp;query=22.32944272,46.71955435", "View Map")</f>
        <v/>
      </c>
    </row>
    <row r="329">
      <c r="A329" t="inlineStr">
        <is>
          <t xml:space="preserve">   مسجدالشليش / 1درةالا وقافوالمساجد .</t>
        </is>
      </c>
      <c r="B329" t="inlineStr">
        <is>
          <t>AES2120896559026</t>
        </is>
      </c>
      <c r="C329" t="inlineStr">
        <is>
          <t>الأفلاج</t>
        </is>
      </c>
      <c r="D329" t="inlineStr">
        <is>
          <t>كلا الفترتين</t>
        </is>
      </c>
      <c r="E329" t="n">
        <v>1189</v>
      </c>
      <c r="F329" t="b">
        <v>0</v>
      </c>
      <c r="G329">
        <f>HYPERLINK("https://www.google.com/maps/search/?api=1&amp;query=22.075193,46.59952712", "View Map")</f>
        <v/>
      </c>
    </row>
    <row r="330">
      <c r="A330" t="inlineStr">
        <is>
          <t>ﻤﺴﺎﺠﺩﺍﻟﺨـﺭﺝ .</t>
        </is>
      </c>
      <c r="B330" t="inlineStr">
        <is>
          <t>KFM2120660257162</t>
        </is>
      </c>
      <c r="C330" t="inlineStr">
        <is>
          <t>الخرج</t>
        </is>
      </c>
      <c r="D330" t="inlineStr">
        <is>
          <t>كلا الفترتين</t>
        </is>
      </c>
      <c r="E330" t="n">
        <v>1189</v>
      </c>
      <c r="F330" t="b">
        <v>0</v>
      </c>
      <c r="G330">
        <f>HYPERLINK("https://www.google.com/maps/search/?api=1&amp;query=24.14482656,47.37125849", "View Map")</f>
        <v/>
      </c>
    </row>
    <row r="331">
      <c r="A331" t="inlineStr">
        <is>
          <t>ﻤﺴﺎﺠﺩﺍﻟﺨـﺭﺝ .</t>
        </is>
      </c>
      <c r="B331" t="inlineStr">
        <is>
          <t>KFM2020760229979</t>
        </is>
      </c>
      <c r="C331" t="inlineStr">
        <is>
          <t>الخرج</t>
        </is>
      </c>
      <c r="D331" t="inlineStr">
        <is>
          <t>كلا الفترتين</t>
        </is>
      </c>
      <c r="E331" t="n">
        <v>1189</v>
      </c>
      <c r="F331" t="b">
        <v>0</v>
      </c>
      <c r="G331">
        <f>HYPERLINK("https://www.google.com/maps/search/?api=1&amp;query=24.19701756,47.3049415", "View Map")</f>
        <v/>
      </c>
    </row>
    <row r="332">
      <c r="A332" t="inlineStr">
        <is>
          <t xml:space="preserve">   جامع السهباء .</t>
        </is>
      </c>
      <c r="B332" t="inlineStr">
        <is>
          <t>KFM2020660230893</t>
        </is>
      </c>
      <c r="C332" t="inlineStr">
        <is>
          <t>الخرج</t>
        </is>
      </c>
      <c r="D332" t="inlineStr">
        <is>
          <t>كلا الفترتين</t>
        </is>
      </c>
      <c r="E332" t="n">
        <v>1189</v>
      </c>
      <c r="F332" t="b">
        <v>1</v>
      </c>
      <c r="G332">
        <f>HYPERLINK("https://www.google.com/maps/search/?api=1&amp;query=24.19140582,47.37868133", "View Map")</f>
        <v/>
      </c>
    </row>
    <row r="333">
      <c r="A333" t="inlineStr">
        <is>
          <t xml:space="preserve">    ادارةاوقاف مسجدالأنصار بالأحمر .</t>
        </is>
      </c>
      <c r="B333" t="inlineStr">
        <is>
          <t>AES2120896543627</t>
        </is>
      </c>
      <c r="C333" t="inlineStr">
        <is>
          <t>الأفلاج</t>
        </is>
      </c>
      <c r="D333" t="inlineStr">
        <is>
          <t>كلا الفترتين</t>
        </is>
      </c>
      <c r="E333" t="n">
        <v>1187</v>
      </c>
      <c r="F333" t="b">
        <v>0</v>
      </c>
      <c r="G333">
        <f>HYPERLINK("https://www.google.com/maps/search/?api=1&amp;query=22.43631998,46.18400359", "View Map")</f>
        <v/>
      </c>
    </row>
    <row r="334">
      <c r="A334" t="inlineStr">
        <is>
          <t xml:space="preserve">   مسجد الرفيعة بحي العزيزية .</t>
        </is>
      </c>
      <c r="B334" t="inlineStr">
        <is>
          <t>KFM2120660264221</t>
        </is>
      </c>
      <c r="C334" t="inlineStr">
        <is>
          <t>الخرج</t>
        </is>
      </c>
      <c r="D334" t="inlineStr">
        <is>
          <t>كلا الفترتين</t>
        </is>
      </c>
      <c r="E334" t="n">
        <v>1186</v>
      </c>
      <c r="F334" t="b">
        <v>0</v>
      </c>
      <c r="G334">
        <f>HYPERLINK("https://www.google.com/maps/search/?api=1&amp;query=24.14845387,47.29407342", "View Map")</f>
        <v/>
      </c>
    </row>
    <row r="335">
      <c r="A335" t="inlineStr">
        <is>
          <t xml:space="preserve">      مسجد حى المساعره .</t>
        </is>
      </c>
      <c r="B335" t="inlineStr">
        <is>
          <t>KFM2020660203839</t>
        </is>
      </c>
      <c r="C335" t="inlineStr">
        <is>
          <t>الخرج</t>
        </is>
      </c>
      <c r="D335" t="inlineStr">
        <is>
          <t>كلا الفترتين</t>
        </is>
      </c>
      <c r="E335" t="n">
        <v>1185</v>
      </c>
      <c r="F335" t="b">
        <v>0</v>
      </c>
      <c r="G335">
        <f>HYPERLINK("https://www.google.com/maps/search/?api=1&amp;query=24.1951985,47.26233441", "View Map")</f>
        <v/>
      </c>
    </row>
    <row r="336">
      <c r="A336" t="inlineStr">
        <is>
          <t xml:space="preserve">   مسجد الحنو .</t>
        </is>
      </c>
      <c r="B336" t="inlineStr">
        <is>
          <t>AES2120896565461</t>
        </is>
      </c>
      <c r="C336" t="inlineStr">
        <is>
          <t>وادي الدواسر</t>
        </is>
      </c>
      <c r="D336" t="inlineStr">
        <is>
          <t>كلا الفترتين</t>
        </is>
      </c>
      <c r="E336" t="n">
        <v>1182</v>
      </c>
      <c r="F336" t="b">
        <v>0</v>
      </c>
      <c r="G336">
        <f>HYPERLINK("https://www.google.com/maps/search/?api=1&amp;query=21.51459893,43.92254326", "View Map")</f>
        <v/>
      </c>
    </row>
    <row r="337">
      <c r="A337" t="inlineStr">
        <is>
          <t xml:space="preserve">   مسجدال فهيدالجماعين .</t>
        </is>
      </c>
      <c r="B337" t="inlineStr">
        <is>
          <t>AES2320896626266</t>
        </is>
      </c>
      <c r="C337" t="inlineStr">
        <is>
          <t>السليل</t>
        </is>
      </c>
      <c r="D337" t="inlineStr">
        <is>
          <t>كلا الفترتين</t>
        </is>
      </c>
      <c r="E337" t="n">
        <v>1182</v>
      </c>
      <c r="F337" t="b">
        <v>0</v>
      </c>
      <c r="G337">
        <f>HYPERLINK("https://www.google.com/maps/search/?api=1&amp;query=20.55834359,45.7333506", "View Map")</f>
        <v/>
      </c>
    </row>
    <row r="338">
      <c r="A338" t="inlineStr">
        <is>
          <t xml:space="preserve">   اوقاف الخرج / مسجدحسين بن علي .</t>
        </is>
      </c>
      <c r="B338" t="inlineStr">
        <is>
          <t>KFM2120660270832</t>
        </is>
      </c>
      <c r="C338" t="inlineStr">
        <is>
          <t>الخرج</t>
        </is>
      </c>
      <c r="D338" t="inlineStr">
        <is>
          <t>كلا الفترتين</t>
        </is>
      </c>
      <c r="E338" t="n">
        <v>1181</v>
      </c>
      <c r="F338" t="b">
        <v>0</v>
      </c>
      <c r="G338">
        <f>HYPERLINK("https://www.google.com/maps/search/?api=1&amp;query=24.17433325,47.31805519", "View Map")</f>
        <v/>
      </c>
    </row>
    <row r="339">
      <c r="A339" t="inlineStr">
        <is>
          <t xml:space="preserve">      اوقاف الدواسر/مسجد مبارك عبيد .</t>
        </is>
      </c>
      <c r="B339" t="inlineStr">
        <is>
          <t>MMF2020800326418</t>
        </is>
      </c>
      <c r="C339" t="inlineStr">
        <is>
          <t>وادي الدواسر</t>
        </is>
      </c>
      <c r="D339" t="inlineStr">
        <is>
          <t>كلا الفترتين</t>
        </is>
      </c>
      <c r="E339" t="n">
        <v>1178</v>
      </c>
      <c r="F339" t="b">
        <v>0</v>
      </c>
      <c r="G339">
        <f>HYPERLINK("https://www.google.com/maps/search/?api=1&amp;query=20.4396909,44.8558737", "View Map")</f>
        <v/>
      </c>
    </row>
    <row r="340">
      <c r="A340" t="inlineStr">
        <is>
          <t xml:space="preserve">   مسجد/ هادي محمد شتين الدوسري .</t>
        </is>
      </c>
      <c r="B340" t="inlineStr">
        <is>
          <t>KFM2020660230779</t>
        </is>
      </c>
      <c r="C340" t="inlineStr">
        <is>
          <t>الخرج</t>
        </is>
      </c>
      <c r="D340" t="inlineStr">
        <is>
          <t>كلا الفترتين</t>
        </is>
      </c>
      <c r="E340" t="n">
        <v>1170</v>
      </c>
      <c r="F340" t="b">
        <v>0</v>
      </c>
      <c r="G340">
        <f>HYPERLINK("https://www.google.com/maps/search/?api=1&amp;query=24.14423241,47.36692128", "View Map")</f>
        <v/>
      </c>
    </row>
    <row r="341">
      <c r="A341" t="inlineStr">
        <is>
          <t xml:space="preserve">   مسجد      النقيه    بالافلاج .</t>
        </is>
      </c>
      <c r="B341" t="inlineStr">
        <is>
          <t>KFM2020660223686</t>
        </is>
      </c>
      <c r="C341" t="inlineStr">
        <is>
          <t>الأفلاج</t>
        </is>
      </c>
      <c r="D341" t="inlineStr">
        <is>
          <t>كلا الفترتين</t>
        </is>
      </c>
      <c r="E341" t="n">
        <v>1164</v>
      </c>
      <c r="F341" t="b">
        <v>0</v>
      </c>
      <c r="G341">
        <f>HYPERLINK("https://www.google.com/maps/search/?api=1&amp;query=21.9913553,45.96692315", "View Map")</f>
        <v/>
      </c>
    </row>
    <row r="342">
      <c r="A342" t="inlineStr">
        <is>
          <t xml:space="preserve">   مسجدعبدالله بن كعب الانصاري .</t>
        </is>
      </c>
      <c r="B342" t="inlineStr">
        <is>
          <t>AES2020896433116</t>
        </is>
      </c>
      <c r="C342" t="inlineStr">
        <is>
          <t>حوطة بني تميم</t>
        </is>
      </c>
      <c r="D342" t="inlineStr">
        <is>
          <t>كلا الفترتين</t>
        </is>
      </c>
      <c r="E342" t="n">
        <v>1161</v>
      </c>
      <c r="F342" t="b">
        <v>0</v>
      </c>
      <c r="G342">
        <f>HYPERLINK("https://www.google.com/maps/search/?api=1&amp;query=23.43075733,46.78867726", "View Map")</f>
        <v/>
      </c>
    </row>
    <row r="343">
      <c r="A343" t="inlineStr">
        <is>
          <t>مسجد / راشد بن عبود .</t>
        </is>
      </c>
      <c r="B343" t="inlineStr">
        <is>
          <t>KFM2020766054606</t>
        </is>
      </c>
      <c r="C343" t="inlineStr">
        <is>
          <t>الحريق</t>
        </is>
      </c>
      <c r="D343" t="inlineStr">
        <is>
          <t>كلا الفترتين</t>
        </is>
      </c>
      <c r="E343" t="n">
        <v>1161</v>
      </c>
      <c r="F343" t="b">
        <v>0</v>
      </c>
      <c r="G343">
        <f>HYPERLINK("https://www.google.com/maps/search/?api=1&amp;query=23.62905167,46.50162761", "View Map")</f>
        <v/>
      </c>
    </row>
    <row r="344">
      <c r="A344" t="inlineStr">
        <is>
          <t xml:space="preserve">   مسجد دغيم الشمري .</t>
        </is>
      </c>
      <c r="B344" t="inlineStr">
        <is>
          <t>KFM2020660211780</t>
        </is>
      </c>
      <c r="C344" t="inlineStr">
        <is>
          <t>الخرج</t>
        </is>
      </c>
      <c r="D344" t="inlineStr">
        <is>
          <t>كلا الفترتين</t>
        </is>
      </c>
      <c r="E344" t="n">
        <v>1160</v>
      </c>
      <c r="F344" t="b">
        <v>1</v>
      </c>
      <c r="G344">
        <f>HYPERLINK("https://www.google.com/maps/search/?api=1&amp;query=24.10812208,47.28429742", "View Map")</f>
        <v/>
      </c>
    </row>
    <row r="345">
      <c r="A345" t="inlineStr">
        <is>
          <t>ﺍﻟﻤﺴﺎﺠﺩﻭﺍﻟﺩﻋﻭﻩ ﺍﻻﺭﺸﺎﺩ ﺒﺎﻻﻓﻼﺝ .</t>
        </is>
      </c>
      <c r="B345" t="inlineStr">
        <is>
          <t>KFM2020660170145</t>
        </is>
      </c>
      <c r="C345" t="inlineStr">
        <is>
          <t>الأفلاج</t>
        </is>
      </c>
      <c r="D345" t="inlineStr">
        <is>
          <t>كلا الفترتين</t>
        </is>
      </c>
      <c r="E345" t="n">
        <v>1157</v>
      </c>
      <c r="F345" t="b">
        <v>0</v>
      </c>
      <c r="G345">
        <f>HYPERLINK("https://www.google.com/maps/search/?api=1&amp;query=22.32286141,46.71604193", "View Map")</f>
        <v/>
      </c>
    </row>
    <row r="346">
      <c r="A346" t="inlineStr">
        <is>
          <t xml:space="preserve">      اوقاف الدواسر/مسجد مباركحمدجا .</t>
        </is>
      </c>
      <c r="B346" t="inlineStr">
        <is>
          <t>KFM2020660174600</t>
        </is>
      </c>
      <c r="C346" t="inlineStr">
        <is>
          <t>وادي الدواسر</t>
        </is>
      </c>
      <c r="D346" t="inlineStr">
        <is>
          <t>كلا الفترتين</t>
        </is>
      </c>
      <c r="E346" t="n">
        <v>1153</v>
      </c>
      <c r="F346" t="b">
        <v>1</v>
      </c>
      <c r="G346">
        <f>HYPERLINK("https://www.google.com/maps/search/?api=1&amp;query=20.44575708,44.86397", "View Map")</f>
        <v/>
      </c>
    </row>
    <row r="347">
      <c r="A347" t="inlineStr">
        <is>
          <t>ﻤﺴﺎﺠﺩ ﺍﻟﺤﻭﻁﻩ .</t>
        </is>
      </c>
      <c r="B347" t="inlineStr">
        <is>
          <t>SMR2220661004233</t>
        </is>
      </c>
      <c r="C347" t="inlineStr">
        <is>
          <t>حوطة بني تميم</t>
        </is>
      </c>
      <c r="D347" t="inlineStr">
        <is>
          <t>كلا الفترتين</t>
        </is>
      </c>
      <c r="E347" t="n">
        <v>1137</v>
      </c>
      <c r="F347" t="b">
        <v>0</v>
      </c>
      <c r="G347">
        <f>HYPERLINK("https://www.google.com/maps/search/?api=1&amp;query=23.49321103,46.86290518", "View Map")</f>
        <v/>
      </c>
    </row>
    <row r="348">
      <c r="A348" t="inlineStr">
        <is>
          <t xml:space="preserve">      مسجدحضرم بن قريش العاصمى .</t>
        </is>
      </c>
      <c r="B348" t="inlineStr">
        <is>
          <t>KFM2020660212651</t>
        </is>
      </c>
      <c r="C348" t="inlineStr">
        <is>
          <t>الخرج</t>
        </is>
      </c>
      <c r="D348" t="inlineStr">
        <is>
          <t>كلا الفترتين</t>
        </is>
      </c>
      <c r="E348" t="n">
        <v>1136</v>
      </c>
      <c r="F348" t="b">
        <v>0</v>
      </c>
      <c r="G348">
        <f>HYPERLINK("https://www.google.com/maps/search/?api=1&amp;query=24.17075583,47.22260385", "View Map")</f>
        <v/>
      </c>
    </row>
    <row r="349">
      <c r="A349" t="inlineStr">
        <is>
          <t xml:space="preserve">   الموسسه العامه للصناعات الحربيه .</t>
        </is>
      </c>
      <c r="B349" t="inlineStr">
        <is>
          <t>KFM2020760018048</t>
        </is>
      </c>
      <c r="C349" t="inlineStr">
        <is>
          <t>الخرج</t>
        </is>
      </c>
      <c r="D349" t="inlineStr">
        <is>
          <t>كلا الفترتين</t>
        </is>
      </c>
      <c r="E349" t="n">
        <v>1131</v>
      </c>
      <c r="F349" t="b">
        <v>0</v>
      </c>
      <c r="G349">
        <f>HYPERLINK("https://www.google.com/maps/search/?api=1&amp;query=24.13352099,47.28804134", "View Map")</f>
        <v/>
      </c>
    </row>
    <row r="350">
      <c r="A350" t="inlineStr">
        <is>
          <t>ﻤﺴﺎﺠﺩ ﺍﻟﺤﻭﻁﻩ .</t>
        </is>
      </c>
      <c r="B350" t="inlineStr">
        <is>
          <t>KFM2120660270869</t>
        </is>
      </c>
      <c r="C350" t="inlineStr">
        <is>
          <t>حوطة بني تميم</t>
        </is>
      </c>
      <c r="D350" t="inlineStr">
        <is>
          <t>كلا الفترتين</t>
        </is>
      </c>
      <c r="E350" t="n">
        <v>1124</v>
      </c>
      <c r="F350" t="b">
        <v>0</v>
      </c>
      <c r="G350">
        <f>HYPERLINK("https://www.google.com/maps/search/?api=1&amp;query=23.43246151,46.79009905", "View Map")</f>
        <v/>
      </c>
    </row>
    <row r="351">
      <c r="A351" t="inlineStr">
        <is>
          <t xml:space="preserve">   اوقاف الخرج/ مسجدالامام الاوزاعي .</t>
        </is>
      </c>
      <c r="B351" t="inlineStr">
        <is>
          <t>KFM2120660257160</t>
        </is>
      </c>
      <c r="C351" t="inlineStr">
        <is>
          <t>الخرج</t>
        </is>
      </c>
      <c r="D351" t="inlineStr">
        <is>
          <t>كلا الفترتين</t>
        </is>
      </c>
      <c r="E351" t="n">
        <v>1124</v>
      </c>
      <c r="F351" t="b">
        <v>1</v>
      </c>
      <c r="G351">
        <f>HYPERLINK("https://www.google.com/maps/search/?api=1&amp;query=24.14812705,47.36014304", "View Map")</f>
        <v/>
      </c>
    </row>
    <row r="352">
      <c r="A352" t="inlineStr">
        <is>
          <t xml:space="preserve">   مسجد سعدبن معاذ .</t>
        </is>
      </c>
      <c r="B352" t="inlineStr">
        <is>
          <t>KFM2020760166241</t>
        </is>
      </c>
      <c r="C352" t="inlineStr">
        <is>
          <t>وادي الدواسر</t>
        </is>
      </c>
      <c r="D352" t="inlineStr">
        <is>
          <t>كلا الفترتين</t>
        </is>
      </c>
      <c r="E352" t="n">
        <v>1121</v>
      </c>
      <c r="F352" t="b">
        <v>0</v>
      </c>
      <c r="G352">
        <f>HYPERLINK("https://www.google.com/maps/search/?api=1&amp;query=20.46012959,44.8325353", "View Map")</f>
        <v/>
      </c>
    </row>
    <row r="353">
      <c r="A353" t="inlineStr">
        <is>
          <t xml:space="preserve">   مسجد العتبان .</t>
        </is>
      </c>
      <c r="B353" t="inlineStr">
        <is>
          <t>KFM2020660229237</t>
        </is>
      </c>
      <c r="C353" t="inlineStr">
        <is>
          <t>الخرج</t>
        </is>
      </c>
      <c r="D353" t="inlineStr">
        <is>
          <t>كلا الفترتين</t>
        </is>
      </c>
      <c r="E353" t="n">
        <v>1120</v>
      </c>
      <c r="F353" t="b">
        <v>0</v>
      </c>
      <c r="G353">
        <f>HYPERLINK("https://www.google.com/maps/search/?api=1&amp;query=24.1477051,47.29705276", "View Map")</f>
        <v/>
      </c>
    </row>
    <row r="354">
      <c r="A354" t="inlineStr">
        <is>
          <t xml:space="preserve">   مسجد بن كثير .</t>
        </is>
      </c>
      <c r="B354" t="inlineStr">
        <is>
          <t>KFM2020660170159</t>
        </is>
      </c>
      <c r="C354" t="inlineStr">
        <is>
          <t>الخرج</t>
        </is>
      </c>
      <c r="D354" t="inlineStr">
        <is>
          <t>كلا الفترتين</t>
        </is>
      </c>
      <c r="E354" t="n">
        <v>1114</v>
      </c>
      <c r="F354" t="b">
        <v>0</v>
      </c>
      <c r="G354">
        <f>HYPERLINK("https://www.google.com/maps/search/?api=1&amp;query=24.13410563,47.27773153", "View Map")</f>
        <v/>
      </c>
    </row>
    <row r="355">
      <c r="A355" t="inlineStr">
        <is>
          <t xml:space="preserve">      مسجد عبد الله بن حكيم .</t>
        </is>
      </c>
      <c r="B355" t="inlineStr">
        <is>
          <t>KFM2020660230165</t>
        </is>
      </c>
      <c r="C355" t="inlineStr">
        <is>
          <t>الخرج</t>
        </is>
      </c>
      <c r="D355" t="inlineStr">
        <is>
          <t>كلا الفترتين</t>
        </is>
      </c>
      <c r="E355" t="n">
        <v>1113</v>
      </c>
      <c r="F355" t="b">
        <v>0</v>
      </c>
      <c r="G355">
        <f>HYPERLINK("https://www.google.com/maps/search/?api=1&amp;query=24.15557526,47.37570382", "View Map")</f>
        <v/>
      </c>
    </row>
    <row r="356">
      <c r="A356" t="inlineStr">
        <is>
          <t xml:space="preserve">   اوقاف ومساجد/ مسجد الفاروق .</t>
        </is>
      </c>
      <c r="B356" t="inlineStr">
        <is>
          <t>KFM2020766165924</t>
        </is>
      </c>
      <c r="C356" t="inlineStr">
        <is>
          <t>السليل</t>
        </is>
      </c>
      <c r="D356" t="inlineStr">
        <is>
          <t>كلا الفترتين</t>
        </is>
      </c>
      <c r="E356" t="n">
        <v>1111</v>
      </c>
      <c r="F356" t="b">
        <v>0</v>
      </c>
      <c r="G356">
        <f>HYPERLINK("https://www.google.com/maps/search/?api=1&amp;query=20.47047306,45.58039175", "View Map")</f>
        <v/>
      </c>
    </row>
    <row r="357">
      <c r="A357" t="inlineStr">
        <is>
          <t xml:space="preserve">   مسجدبلال بن رباح .</t>
        </is>
      </c>
      <c r="B357" t="inlineStr">
        <is>
          <t>KFM2020660205874</t>
        </is>
      </c>
      <c r="C357" t="inlineStr">
        <is>
          <t>حوطة بني تميم</t>
        </is>
      </c>
      <c r="D357" t="inlineStr">
        <is>
          <t>كلا الفترتين</t>
        </is>
      </c>
      <c r="E357" t="n">
        <v>1109</v>
      </c>
      <c r="F357" t="b">
        <v>0</v>
      </c>
      <c r="G357">
        <f>HYPERLINK("https://www.google.com/maps/search/?api=1&amp;query=23.49069524,46.87436373", "View Map")</f>
        <v/>
      </c>
    </row>
    <row r="358">
      <c r="A358" t="inlineStr">
        <is>
          <t>ﻤﺴﺎﺠﺩﺍﻟﺨـﺭﺝ .</t>
        </is>
      </c>
      <c r="B358" t="inlineStr">
        <is>
          <t>KFM2120660256744</t>
        </is>
      </c>
      <c r="C358" t="inlineStr">
        <is>
          <t>الدلم</t>
        </is>
      </c>
      <c r="D358" t="inlineStr">
        <is>
          <t>كلا الفترتين</t>
        </is>
      </c>
      <c r="E358" t="n">
        <v>1107</v>
      </c>
      <c r="F358" t="b">
        <v>1</v>
      </c>
      <c r="G358">
        <f>HYPERLINK("https://www.google.com/maps/search/?api=1&amp;query=24.09777746,47.16895294", "View Map")</f>
        <v/>
      </c>
    </row>
    <row r="359">
      <c r="A359" t="inlineStr">
        <is>
          <t xml:space="preserve">   مسجد الناصريه .</t>
        </is>
      </c>
      <c r="B359" t="inlineStr">
        <is>
          <t>KFM2020660206184</t>
        </is>
      </c>
      <c r="C359" t="inlineStr">
        <is>
          <t>وادي الدواسر</t>
        </is>
      </c>
      <c r="D359" t="inlineStr">
        <is>
          <t>كلا الفترتين</t>
        </is>
      </c>
      <c r="E359" t="n">
        <v>1106</v>
      </c>
      <c r="F359" t="b">
        <v>0</v>
      </c>
      <c r="G359">
        <f>HYPERLINK("https://www.google.com/maps/search/?api=1&amp;query=20.52925643,44.6718017", "View Map")</f>
        <v/>
      </c>
    </row>
    <row r="360">
      <c r="A360" t="inlineStr">
        <is>
          <t>ﻤﺴﺎﺠﺩ ﺍﻟﺨﻤﺎﺴﻴﻥ .</t>
        </is>
      </c>
      <c r="B360" t="inlineStr">
        <is>
          <t>ECC2020820004630</t>
        </is>
      </c>
      <c r="C360" t="inlineStr">
        <is>
          <t>وادي الدواسر</t>
        </is>
      </c>
      <c r="D360" t="inlineStr">
        <is>
          <t>كلا الفترتين</t>
        </is>
      </c>
      <c r="E360" t="n">
        <v>1102</v>
      </c>
      <c r="F360" t="b">
        <v>0</v>
      </c>
      <c r="G360">
        <f>HYPERLINK("https://www.google.com/maps/search/?api=1&amp;query=20.48623521,44.79165297", "View Map")</f>
        <v/>
      </c>
    </row>
    <row r="361">
      <c r="A361" t="inlineStr">
        <is>
          <t xml:space="preserve">   جامع ماوان .</t>
        </is>
      </c>
      <c r="B361" t="inlineStr">
        <is>
          <t>KFM2120660249856</t>
        </is>
      </c>
      <c r="C361" t="inlineStr">
        <is>
          <t>الدلم</t>
        </is>
      </c>
      <c r="D361" t="inlineStr">
        <is>
          <t>كلا الفترتين</t>
        </is>
      </c>
      <c r="E361" t="n">
        <v>1100</v>
      </c>
      <c r="F361" t="b">
        <v>0</v>
      </c>
      <c r="G361">
        <f>HYPERLINK("https://www.google.com/maps/search/?api=1&amp;query=23.9163845,46.84086612", "View Map")</f>
        <v/>
      </c>
    </row>
    <row r="362">
      <c r="A362" t="inlineStr">
        <is>
          <t xml:space="preserve">   مسجد عبدالرحمن النفيعي .</t>
        </is>
      </c>
      <c r="B362" t="inlineStr">
        <is>
          <t>KFM2020660230217</t>
        </is>
      </c>
      <c r="C362" t="inlineStr">
        <is>
          <t>الخرج</t>
        </is>
      </c>
      <c r="D362" t="inlineStr">
        <is>
          <t>كلا الفترتين</t>
        </is>
      </c>
      <c r="E362" t="n">
        <v>1099</v>
      </c>
      <c r="F362" t="b">
        <v>0</v>
      </c>
      <c r="G362">
        <f>HYPERLINK("https://www.google.com/maps/search/?api=1&amp;query=24.15109138,47.36192047", "View Map")</f>
        <v/>
      </c>
    </row>
    <row r="363">
      <c r="A363" t="inlineStr">
        <is>
          <t xml:space="preserve">    فاهد حسين الدوسرى/مسجد الرقاعين .</t>
        </is>
      </c>
      <c r="B363" t="inlineStr">
        <is>
          <t>MMF2020800092698</t>
        </is>
      </c>
      <c r="C363" t="inlineStr">
        <is>
          <t>الخرج</t>
        </is>
      </c>
      <c r="D363" t="inlineStr">
        <is>
          <t>كلا الفترتين</t>
        </is>
      </c>
      <c r="E363" t="n">
        <v>1096</v>
      </c>
      <c r="F363" t="b">
        <v>0</v>
      </c>
      <c r="G363">
        <f>HYPERLINK("https://www.google.com/maps/search/?api=1&amp;query=24.19323192,47.2867596", "View Map")</f>
        <v/>
      </c>
    </row>
    <row r="364">
      <c r="A364" t="inlineStr">
        <is>
          <t xml:space="preserve">    الموسسه العامه للصناعات الحربيه .</t>
        </is>
      </c>
      <c r="B364" t="inlineStr">
        <is>
          <t>KFM2020760018052</t>
        </is>
      </c>
      <c r="C364" t="inlineStr">
        <is>
          <t>الخرج</t>
        </is>
      </c>
      <c r="D364" t="inlineStr">
        <is>
          <t>كلا الفترتين</t>
        </is>
      </c>
      <c r="E364" t="n">
        <v>1096</v>
      </c>
      <c r="F364" t="b">
        <v>0</v>
      </c>
      <c r="G364">
        <f>HYPERLINK("https://www.google.com/maps/search/?api=1&amp;query=24.13352099,47.28804134", "View Map")</f>
        <v/>
      </c>
    </row>
    <row r="365">
      <c r="A365" t="inlineStr">
        <is>
          <t xml:space="preserve">   مسجد ال دعيكان .</t>
        </is>
      </c>
      <c r="B365" t="inlineStr">
        <is>
          <t>KFM2120660247591</t>
        </is>
      </c>
      <c r="C365" t="inlineStr">
        <is>
          <t>وادي الدواسر</t>
        </is>
      </c>
      <c r="D365" t="inlineStr">
        <is>
          <t>كلا الفترتين</t>
        </is>
      </c>
      <c r="E365" t="n">
        <v>1091</v>
      </c>
      <c r="F365" t="b">
        <v>0</v>
      </c>
      <c r="G365">
        <f>HYPERLINK("https://www.google.com/maps/search/?api=1&amp;query=20.45943944,44.83862587", "View Map")</f>
        <v/>
      </c>
    </row>
    <row r="366">
      <c r="A366" t="inlineStr">
        <is>
          <t xml:space="preserve">   مسجد ال صفيان/اوقاف السليل .</t>
        </is>
      </c>
      <c r="B366" t="inlineStr">
        <is>
          <t>KFM2120660263527</t>
        </is>
      </c>
      <c r="C366" t="inlineStr">
        <is>
          <t>السليل</t>
        </is>
      </c>
      <c r="D366" t="inlineStr">
        <is>
          <t>كلا الفترتين</t>
        </is>
      </c>
      <c r="E366" t="n">
        <v>1089</v>
      </c>
      <c r="F366" t="b">
        <v>1</v>
      </c>
      <c r="G366">
        <f>HYPERLINK("https://www.google.com/maps/search/?api=1&amp;query=20.45125413,45.58634638", "View Map")</f>
        <v/>
      </c>
    </row>
    <row r="367">
      <c r="A367" t="inlineStr">
        <is>
          <t>ﻤﺴﺎﺠﺩ ﺍﻟﺨﻤﺎﺴﻴﻥ .</t>
        </is>
      </c>
      <c r="B367" t="inlineStr">
        <is>
          <t>DZG2020850080836</t>
        </is>
      </c>
      <c r="C367" t="inlineStr">
        <is>
          <t>وادي الدواسر</t>
        </is>
      </c>
      <c r="D367" t="inlineStr">
        <is>
          <t>كلا الفترتين</t>
        </is>
      </c>
      <c r="E367" t="n">
        <v>1088</v>
      </c>
      <c r="F367" t="b">
        <v>0</v>
      </c>
      <c r="G367">
        <f>HYPERLINK("https://www.google.com/maps/search/?api=1&amp;query=20.4503241,44.8405842", "View Map")</f>
        <v/>
      </c>
    </row>
    <row r="368">
      <c r="A368" t="inlineStr">
        <is>
          <t xml:space="preserve">   أوقاف     ومساجد    مسجد المعيوف .</t>
        </is>
      </c>
      <c r="B368" t="inlineStr">
        <is>
          <t>KFM2120660271508</t>
        </is>
      </c>
      <c r="C368" t="inlineStr">
        <is>
          <t>السليل</t>
        </is>
      </c>
      <c r="D368" t="inlineStr">
        <is>
          <t>كلا الفترتين</t>
        </is>
      </c>
      <c r="E368" t="n">
        <v>1087</v>
      </c>
      <c r="F368" t="b">
        <v>0</v>
      </c>
      <c r="G368">
        <f>HYPERLINK("https://www.google.com/maps/search/?api=1&amp;query=20.46139988,45.57659715", "View Map")</f>
        <v/>
      </c>
    </row>
    <row r="369">
      <c r="A369" t="inlineStr">
        <is>
          <t xml:space="preserve">   اوقاف الخرج / مسجد  بن عايش .</t>
        </is>
      </c>
      <c r="B369" t="inlineStr">
        <is>
          <t>KFM2020660193146</t>
        </is>
      </c>
      <c r="C369" t="inlineStr">
        <is>
          <t>الخرج</t>
        </is>
      </c>
      <c r="D369" t="inlineStr">
        <is>
          <t>كلا الفترتين</t>
        </is>
      </c>
      <c r="E369" t="n">
        <v>1084</v>
      </c>
      <c r="F369" t="b">
        <v>0</v>
      </c>
      <c r="G369">
        <f>HYPERLINK("https://www.google.com/maps/search/?api=1&amp;query=24.12441,47.27047", "View Map")</f>
        <v/>
      </c>
    </row>
    <row r="370">
      <c r="A370" t="inlineStr">
        <is>
          <t xml:space="preserve">   مسجد ال هذال /اوقاف الدواسر .</t>
        </is>
      </c>
      <c r="B370" t="inlineStr">
        <is>
          <t>MMF2020800307915</t>
        </is>
      </c>
      <c r="C370" t="inlineStr">
        <is>
          <t>وادي الدواسر</t>
        </is>
      </c>
      <c r="D370" t="inlineStr">
        <is>
          <t>كلا الفترتين</t>
        </is>
      </c>
      <c r="E370" t="n">
        <v>1080</v>
      </c>
      <c r="F370" t="b">
        <v>0</v>
      </c>
      <c r="G370">
        <f>HYPERLINK("https://www.google.com/maps/search/?api=1&amp;query=20.46241885,44.84129387", "View Map")</f>
        <v/>
      </c>
    </row>
    <row r="371">
      <c r="A371" t="inlineStr">
        <is>
          <t>ﻤﺴﺎﺠﺩﺍﻟﺨـﺭﺝ .</t>
        </is>
      </c>
      <c r="B371" t="inlineStr">
        <is>
          <t>SMR2320661029101</t>
        </is>
      </c>
      <c r="C371" t="inlineStr">
        <is>
          <t>الخرج</t>
        </is>
      </c>
      <c r="D371" t="inlineStr">
        <is>
          <t>كلا الفترتين</t>
        </is>
      </c>
      <c r="E371" t="n">
        <v>1076</v>
      </c>
      <c r="F371" t="b">
        <v>0</v>
      </c>
      <c r="G371">
        <f>HYPERLINK("https://www.google.com/maps/search/?api=1&amp;query=24.10724635,47.26312493", "View Map")</f>
        <v/>
      </c>
    </row>
    <row r="372">
      <c r="A372" t="inlineStr">
        <is>
          <t xml:space="preserve">   جامع/ ثابت بن قيس  بن شماس .</t>
        </is>
      </c>
      <c r="B372" t="inlineStr">
        <is>
          <t>KFM2020660210983</t>
        </is>
      </c>
      <c r="C372" t="inlineStr">
        <is>
          <t>الخرج</t>
        </is>
      </c>
      <c r="D372" t="inlineStr">
        <is>
          <t>كلا الفترتين</t>
        </is>
      </c>
      <c r="E372" t="n">
        <v>1071</v>
      </c>
      <c r="F372" t="b">
        <v>0</v>
      </c>
      <c r="G372">
        <f>HYPERLINK("https://www.google.com/maps/search/?api=1&amp;query=24.10605295,47.26321264", "View Map")</f>
        <v/>
      </c>
    </row>
    <row r="373">
      <c r="A373" t="inlineStr">
        <is>
          <t xml:space="preserve">   مسجد السعودية .</t>
        </is>
      </c>
      <c r="B373" t="inlineStr">
        <is>
          <t>KFM2120660264315</t>
        </is>
      </c>
      <c r="C373" t="inlineStr">
        <is>
          <t>الخرج</t>
        </is>
      </c>
      <c r="D373" t="inlineStr">
        <is>
          <t>كلا الفترتين</t>
        </is>
      </c>
      <c r="E373" t="n">
        <v>1070</v>
      </c>
      <c r="F373" t="b">
        <v>0</v>
      </c>
      <c r="G373">
        <f>HYPERLINK("https://www.google.com/maps/search/?api=1&amp;query=24.14508221,47.35307324", "View Map")</f>
        <v/>
      </c>
    </row>
    <row r="374">
      <c r="A374" t="inlineStr">
        <is>
          <t xml:space="preserve">   ادارة     أوقاف     مسجد محم مبا .</t>
        </is>
      </c>
      <c r="B374" t="inlineStr">
        <is>
          <t>KFM2020660174679</t>
        </is>
      </c>
      <c r="C374" t="inlineStr">
        <is>
          <t>وادي الدواسر</t>
        </is>
      </c>
      <c r="D374" t="inlineStr">
        <is>
          <t>كلا الفترتين</t>
        </is>
      </c>
      <c r="E374" t="n">
        <v>1069</v>
      </c>
      <c r="F374" t="b">
        <v>0</v>
      </c>
      <c r="G374">
        <f>HYPERLINK("https://www.google.com/maps/search/?api=1&amp;query=20.47760957,44.78047792", "View Map")</f>
        <v/>
      </c>
    </row>
    <row r="375">
      <c r="A375" t="inlineStr">
        <is>
          <t xml:space="preserve">      مسجد الشعيبى .</t>
        </is>
      </c>
      <c r="B375" t="inlineStr">
        <is>
          <t>KFM2020660204239</t>
        </is>
      </c>
      <c r="C375" t="inlineStr">
        <is>
          <t>الخرج</t>
        </is>
      </c>
      <c r="D375" t="inlineStr">
        <is>
          <t>كلا الفترتين</t>
        </is>
      </c>
      <c r="E375" t="n">
        <v>1068</v>
      </c>
      <c r="F375" t="b">
        <v>1</v>
      </c>
      <c r="G375">
        <f>HYPERLINK("https://www.google.com/maps/search/?api=1&amp;query=24.15395984,47.30523611", "View Map")</f>
        <v/>
      </c>
    </row>
    <row r="376">
      <c r="A376" t="inlineStr">
        <is>
          <t>ﺍﻟﻤﺴﺎﺠﺩﻭﺍﻟﺩﻋﻭﻩ ﺍﻻﺭﺸﺎﺩ ﺒﺎﻻﻓﻼﺝ .</t>
        </is>
      </c>
      <c r="B376" t="inlineStr">
        <is>
          <t>KFM2020660223689</t>
        </is>
      </c>
      <c r="C376" t="inlineStr">
        <is>
          <t>الأفلاج</t>
        </is>
      </c>
      <c r="D376" t="inlineStr">
        <is>
          <t>كلا الفترتين</t>
        </is>
      </c>
      <c r="E376" t="n">
        <v>1067</v>
      </c>
      <c r="F376" t="b">
        <v>0</v>
      </c>
      <c r="G376">
        <f>HYPERLINK("https://www.google.com/maps/search/?api=1&amp;query=21.99632161,45.97248855", "View Map")</f>
        <v/>
      </c>
    </row>
    <row r="377">
      <c r="A377" t="inlineStr">
        <is>
          <t xml:space="preserve">      مسجد اهل البئر .</t>
        </is>
      </c>
      <c r="B377" t="inlineStr">
        <is>
          <t>KFM2020660212460</t>
        </is>
      </c>
      <c r="C377" t="inlineStr">
        <is>
          <t>الخرج</t>
        </is>
      </c>
      <c r="D377" t="inlineStr">
        <is>
          <t>كلا الفترتين</t>
        </is>
      </c>
      <c r="E377" t="n">
        <v>1066</v>
      </c>
      <c r="F377" t="b">
        <v>0</v>
      </c>
      <c r="G377">
        <f>HYPERLINK("https://www.google.com/maps/search/?api=1&amp;query=24.15955528,47.31240072", "View Map")</f>
        <v/>
      </c>
    </row>
    <row r="378">
      <c r="A378" t="inlineStr">
        <is>
          <t xml:space="preserve">   مسجد      عامر      العامر .</t>
        </is>
      </c>
      <c r="B378" t="inlineStr">
        <is>
          <t>KFM2020760021992</t>
        </is>
      </c>
      <c r="C378" t="inlineStr">
        <is>
          <t>وادي الدواسر</t>
        </is>
      </c>
      <c r="D378" t="inlineStr">
        <is>
          <t>كلا الفترتين</t>
        </is>
      </c>
      <c r="E378" t="n">
        <v>1065</v>
      </c>
      <c r="F378" t="b">
        <v>0</v>
      </c>
      <c r="G378">
        <f>HYPERLINK("https://www.google.com/maps/search/?api=1&amp;query=20.38793457,44.73442008", "View Map")</f>
        <v/>
      </c>
    </row>
    <row r="379">
      <c r="A379" t="inlineStr">
        <is>
          <t xml:space="preserve">   الاوقاف    مسجد      الصديق .</t>
        </is>
      </c>
      <c r="B379" t="inlineStr">
        <is>
          <t>SMR2220661004421</t>
        </is>
      </c>
      <c r="C379" t="inlineStr">
        <is>
          <t>الحريق</t>
        </is>
      </c>
      <c r="D379" t="inlineStr">
        <is>
          <t>كلا الفترتين</t>
        </is>
      </c>
      <c r="E379" t="n">
        <v>1062</v>
      </c>
      <c r="F379" t="b">
        <v>0</v>
      </c>
      <c r="G379">
        <f>HYPERLINK("https://www.google.com/maps/search/?api=1&amp;query=23.63769166,46.5003744", "View Map")</f>
        <v/>
      </c>
    </row>
    <row r="380">
      <c r="A380" t="inlineStr">
        <is>
          <t xml:space="preserve">   مسجد شيخة بنت عبدالرحمن(م103ب) .</t>
        </is>
      </c>
      <c r="B380" t="inlineStr">
        <is>
          <t>KFM2020660205802</t>
        </is>
      </c>
      <c r="C380" t="inlineStr">
        <is>
          <t>الحريق</t>
        </is>
      </c>
      <c r="D380" t="inlineStr">
        <is>
          <t>كلا الفترتين</t>
        </is>
      </c>
      <c r="E380" t="n">
        <v>1060</v>
      </c>
      <c r="F380" t="b">
        <v>0</v>
      </c>
      <c r="G380">
        <f>HYPERLINK("https://www.google.com/maps/search/?api=1&amp;query=23.64032506,46.50089542", "View Map")</f>
        <v/>
      </c>
    </row>
    <row r="381">
      <c r="A381" t="inlineStr">
        <is>
          <t xml:space="preserve">   مسجد سرحان محمد فنيسان القحطاني .</t>
        </is>
      </c>
      <c r="B381" t="inlineStr">
        <is>
          <t>KFM2020760155757</t>
        </is>
      </c>
      <c r="C381" t="inlineStr">
        <is>
          <t>الدلم</t>
        </is>
      </c>
      <c r="D381" t="inlineStr">
        <is>
          <t>كلا الفترتين</t>
        </is>
      </c>
      <c r="E381" t="n">
        <v>1056</v>
      </c>
      <c r="F381" t="b">
        <v>0</v>
      </c>
      <c r="G381">
        <f>HYPERLINK("https://www.google.com/maps/search/?api=1&amp;query=24.18040743,47.13783689", "View Map")</f>
        <v/>
      </c>
    </row>
    <row r="382">
      <c r="A382" t="inlineStr">
        <is>
          <t xml:space="preserve">   مسجدالخالدية- الاوقاف .</t>
        </is>
      </c>
      <c r="B382" t="inlineStr">
        <is>
          <t>KFM2020660174599</t>
        </is>
      </c>
      <c r="C382" t="inlineStr">
        <is>
          <t>وادي الدواسر</t>
        </is>
      </c>
      <c r="D382" t="inlineStr">
        <is>
          <t>كلا الفترتين</t>
        </is>
      </c>
      <c r="E382" t="n">
        <v>1054</v>
      </c>
      <c r="F382" t="b">
        <v>0</v>
      </c>
      <c r="G382">
        <f>HYPERLINK("https://www.google.com/maps/search/?api=1&amp;query=20.44554512,44.86089673", "View Map")</f>
        <v/>
      </c>
    </row>
    <row r="383">
      <c r="A383" t="inlineStr">
        <is>
          <t>مسجد/ سليمان الهزاع .</t>
        </is>
      </c>
      <c r="B383" t="inlineStr">
        <is>
          <t>SMR2420761039995</t>
        </is>
      </c>
      <c r="C383" t="inlineStr">
        <is>
          <t>الحريق</t>
        </is>
      </c>
      <c r="D383" t="inlineStr">
        <is>
          <t>صباحا</t>
        </is>
      </c>
      <c r="E383" t="n">
        <v>1053</v>
      </c>
      <c r="F383" t="b">
        <v>0</v>
      </c>
      <c r="G383">
        <f>HYPERLINK("https://www.google.com/maps/search/?api=1&amp;query=23.62779385,46.50253246", "View Map")</f>
        <v/>
      </c>
    </row>
    <row r="384">
      <c r="A384" t="inlineStr">
        <is>
          <t xml:space="preserve">   ادارةالا وقاف(مسجد شرق الخزان ..) .</t>
        </is>
      </c>
      <c r="B384" t="inlineStr">
        <is>
          <t>KFM2020660223633</t>
        </is>
      </c>
      <c r="C384" t="inlineStr">
        <is>
          <t>الأفلاج</t>
        </is>
      </c>
      <c r="D384" t="inlineStr">
        <is>
          <t>صباحا</t>
        </is>
      </c>
      <c r="E384" t="n">
        <v>1053</v>
      </c>
      <c r="F384" t="b">
        <v>0</v>
      </c>
      <c r="G384">
        <f>HYPERLINK("https://www.google.com/maps/search/?api=1&amp;query=21.99418848,45.95933308", "View Map")</f>
        <v/>
      </c>
    </row>
    <row r="385">
      <c r="A385" t="inlineStr">
        <is>
          <t>مسجدالمخطط الزراعي الجنوبي مركز الخماسين .</t>
        </is>
      </c>
      <c r="B385" t="inlineStr">
        <is>
          <t>KFM2020760013083</t>
        </is>
      </c>
      <c r="C385" t="inlineStr">
        <is>
          <t>وادي الدواسر</t>
        </is>
      </c>
      <c r="D385" t="inlineStr">
        <is>
          <t>كلا الفترتين</t>
        </is>
      </c>
      <c r="E385" t="n">
        <v>1051</v>
      </c>
      <c r="F385" t="b">
        <v>0</v>
      </c>
      <c r="G385">
        <f>HYPERLINK("https://www.google.com/maps/search/?api=1&amp;query=20.41289126,44.7095047", "View Map")</f>
        <v/>
      </c>
    </row>
    <row r="386">
      <c r="A386" t="inlineStr">
        <is>
          <t xml:space="preserve">   جامع      فهاد      أوقاف و مساج .</t>
        </is>
      </c>
      <c r="B386" t="inlineStr">
        <is>
          <t>KFM2020766165862</t>
        </is>
      </c>
      <c r="C386" t="inlineStr">
        <is>
          <t>السليل</t>
        </is>
      </c>
      <c r="D386" t="inlineStr">
        <is>
          <t>كلا الفترتين</t>
        </is>
      </c>
      <c r="E386" t="n">
        <v>1050</v>
      </c>
      <c r="F386" t="b">
        <v>0</v>
      </c>
      <c r="G386">
        <f>HYPERLINK("https://www.google.com/maps/search/?api=1&amp;query=20.46166137,45.58968033", "View Map")</f>
        <v/>
      </c>
    </row>
    <row r="387">
      <c r="A387" t="inlineStr">
        <is>
          <t xml:space="preserve">   مسجد مهدي ال رشيد .</t>
        </is>
      </c>
      <c r="B387" t="inlineStr">
        <is>
          <t>KFM2020660169669</t>
        </is>
      </c>
      <c r="C387" t="inlineStr">
        <is>
          <t>الخرج</t>
        </is>
      </c>
      <c r="D387" t="inlineStr">
        <is>
          <t>كلا الفترتين</t>
        </is>
      </c>
      <c r="E387" t="n">
        <v>1046</v>
      </c>
      <c r="F387" t="b">
        <v>0</v>
      </c>
      <c r="G387">
        <f>HYPERLINK("https://www.google.com/maps/search/?api=1&amp;query=24.13346,47.24654", "View Map")</f>
        <v/>
      </c>
    </row>
    <row r="388">
      <c r="A388" t="inlineStr">
        <is>
          <t xml:space="preserve">   مسجد/ سمره بن جندب .</t>
        </is>
      </c>
      <c r="B388" t="inlineStr">
        <is>
          <t>KFM2020660230167</t>
        </is>
      </c>
      <c r="C388" t="inlineStr">
        <is>
          <t>الخرج</t>
        </is>
      </c>
      <c r="D388" t="inlineStr">
        <is>
          <t>كلا الفترتين</t>
        </is>
      </c>
      <c r="E388" t="n">
        <v>1045</v>
      </c>
      <c r="F388" t="b">
        <v>1</v>
      </c>
      <c r="G388">
        <f>HYPERLINK("https://www.google.com/maps/search/?api=1&amp;query=24.14974367,47.37155679", "View Map")</f>
        <v/>
      </c>
    </row>
    <row r="389">
      <c r="A389" t="inlineStr">
        <is>
          <t>ﻤﺴﺎﺠﺩﺍﻟﺨـﺭﺝ .</t>
        </is>
      </c>
      <c r="B389" t="inlineStr">
        <is>
          <t>KFM2020660211778</t>
        </is>
      </c>
      <c r="C389" t="inlineStr">
        <is>
          <t>الخرج</t>
        </is>
      </c>
      <c r="D389" t="inlineStr">
        <is>
          <t>كلا الفترتين</t>
        </is>
      </c>
      <c r="E389" t="n">
        <v>1042</v>
      </c>
      <c r="F389" t="b">
        <v>1</v>
      </c>
      <c r="G389">
        <f>HYPERLINK("https://www.google.com/maps/search/?api=1&amp;query=24.09418362,47.29642547", "View Map")</f>
        <v/>
      </c>
    </row>
    <row r="390">
      <c r="A390" t="inlineStr">
        <is>
          <t xml:space="preserve">   أوقاف     و مساجد   مسجد آل تني .</t>
        </is>
      </c>
      <c r="B390" t="inlineStr">
        <is>
          <t>LYE2020810242992</t>
        </is>
      </c>
      <c r="C390" t="inlineStr">
        <is>
          <t>السليل</t>
        </is>
      </c>
      <c r="D390" t="inlineStr">
        <is>
          <t>كلا الفترتين</t>
        </is>
      </c>
      <c r="E390" t="n">
        <v>1036</v>
      </c>
      <c r="F390" t="b">
        <v>0</v>
      </c>
      <c r="G390">
        <f>HYPERLINK("https://www.google.com/maps/search/?api=1&amp;query=20.39941084,45.22171465", "View Map")</f>
        <v/>
      </c>
    </row>
    <row r="391">
      <c r="A391" t="inlineStr">
        <is>
          <t>ﺍﻭﻗﺎﻑ ﺍﻟﺩﻟﻡ / ﺍﻟﻤﺴــــــﺎﺠـﺩ .</t>
        </is>
      </c>
      <c r="B391" t="inlineStr">
        <is>
          <t>KFM2020660170164</t>
        </is>
      </c>
      <c r="C391" t="inlineStr">
        <is>
          <t>الدلم</t>
        </is>
      </c>
      <c r="D391" t="inlineStr">
        <is>
          <t>كلا الفترتين</t>
        </is>
      </c>
      <c r="E391" t="n">
        <v>1035</v>
      </c>
      <c r="F391" t="b">
        <v>0</v>
      </c>
      <c r="G391">
        <f>HYPERLINK("https://www.google.com/maps/search/?api=1&amp;query=23.99382088,47.11645642", "View Map")</f>
        <v/>
      </c>
    </row>
    <row r="392">
      <c r="A392" t="inlineStr">
        <is>
          <t xml:space="preserve">   ادارة الاوقاف - جامع الراشدية .</t>
        </is>
      </c>
      <c r="B392" t="inlineStr">
        <is>
          <t>KFM2120660246032</t>
        </is>
      </c>
      <c r="C392" t="inlineStr">
        <is>
          <t>الخرج</t>
        </is>
      </c>
      <c r="D392" t="inlineStr">
        <is>
          <t>كلا الفترتين</t>
        </is>
      </c>
      <c r="E392" t="n">
        <v>1034</v>
      </c>
      <c r="F392" t="b">
        <v>0</v>
      </c>
      <c r="G392">
        <f>HYPERLINK("https://www.google.com/maps/search/?api=1&amp;query=24.13346,47.24654", "View Map")</f>
        <v/>
      </c>
    </row>
    <row r="393">
      <c r="A393" t="inlineStr">
        <is>
          <t xml:space="preserve">   مسجدسهيل بن عمرو بليلى حي الدوئر .</t>
        </is>
      </c>
      <c r="B393" t="inlineStr">
        <is>
          <t>KFM2120660252678</t>
        </is>
      </c>
      <c r="C393" t="inlineStr">
        <is>
          <t>الأفلاج</t>
        </is>
      </c>
      <c r="D393" t="inlineStr">
        <is>
          <t>كلا الفترتين</t>
        </is>
      </c>
      <c r="E393" t="n">
        <v>1032</v>
      </c>
      <c r="F393" t="b">
        <v>0</v>
      </c>
      <c r="G393">
        <f>HYPERLINK("https://www.google.com/maps/search/?api=1&amp;query=22.29076697,46.71336212", "View Map")</f>
        <v/>
      </c>
    </row>
    <row r="394">
      <c r="A394" t="inlineStr">
        <is>
          <t xml:space="preserve">      ادارة الأوقاف والمساجد بالحريق .</t>
        </is>
      </c>
      <c r="B394" t="inlineStr">
        <is>
          <t>SMR2420768001826</t>
        </is>
      </c>
      <c r="C394" t="inlineStr">
        <is>
          <t>الحريق</t>
        </is>
      </c>
      <c r="D394" t="inlineStr">
        <is>
          <t>صباحا</t>
        </is>
      </c>
      <c r="E394" t="n">
        <v>1032</v>
      </c>
      <c r="F394" t="b">
        <v>0</v>
      </c>
      <c r="G394">
        <f>HYPERLINK("https://www.google.com/maps/search/?api=1&amp;query=23.63233971,46.50878673", "View Map")</f>
        <v/>
      </c>
    </row>
    <row r="395">
      <c r="A395" t="inlineStr">
        <is>
          <t>ﻤﺴﺎﺠﺩﺍﻟﺨـﺭﺝ .</t>
        </is>
      </c>
      <c r="B395" t="inlineStr">
        <is>
          <t>SMR2320761024338</t>
        </is>
      </c>
      <c r="C395" t="inlineStr">
        <is>
          <t>الخرج</t>
        </is>
      </c>
      <c r="D395" t="inlineStr">
        <is>
          <t>كلا الفترتين</t>
        </is>
      </c>
      <c r="E395" t="n">
        <v>1029</v>
      </c>
      <c r="F395" t="b">
        <v>0</v>
      </c>
      <c r="G395">
        <f>HYPERLINK("https://www.google.com/maps/search/?api=1&amp;query=24.15644239,47.28409537", "View Map")</f>
        <v/>
      </c>
    </row>
    <row r="396">
      <c r="A396" t="inlineStr">
        <is>
          <t xml:space="preserve">   مسجدالجماعين/ اوقـاف الدواسر .</t>
        </is>
      </c>
      <c r="B396" t="inlineStr">
        <is>
          <t>KFM2120660273329</t>
        </is>
      </c>
      <c r="C396" t="inlineStr">
        <is>
          <t>السليل</t>
        </is>
      </c>
      <c r="D396" t="inlineStr">
        <is>
          <t>كلا الفترتين</t>
        </is>
      </c>
      <c r="E396" t="n">
        <v>1026</v>
      </c>
      <c r="F396" t="b">
        <v>0</v>
      </c>
      <c r="G396">
        <f>HYPERLINK("https://www.google.com/maps/search/?api=1&amp;query=20.42604757,45.243802", "View Map")</f>
        <v/>
      </c>
    </row>
    <row r="397">
      <c r="A397" t="inlineStr">
        <is>
          <t xml:space="preserve">   مسجد عبدالله الحمد .</t>
        </is>
      </c>
      <c r="B397" t="inlineStr">
        <is>
          <t>KFM2020760014670</t>
        </is>
      </c>
      <c r="C397" t="inlineStr">
        <is>
          <t>الدلم</t>
        </is>
      </c>
      <c r="D397" t="inlineStr">
        <is>
          <t>كلا الفترتين</t>
        </is>
      </c>
      <c r="E397" t="n">
        <v>1023</v>
      </c>
      <c r="F397" t="b">
        <v>0</v>
      </c>
      <c r="G397">
        <f>HYPERLINK("https://www.google.com/maps/search/?api=1&amp;query=23.99106189,47.12034669", "View Map")</f>
        <v/>
      </c>
    </row>
    <row r="398">
      <c r="A398" t="inlineStr">
        <is>
          <t>ﺍﻭﻗﺎﻑ ﺍﻟﺩﻟﻡ / ﺍﻟﻤﺴــــــﺎﺠـﺩ .</t>
        </is>
      </c>
      <c r="B398" t="inlineStr">
        <is>
          <t>KFM2020660223896</t>
        </is>
      </c>
      <c r="C398" t="inlineStr">
        <is>
          <t>الدلم</t>
        </is>
      </c>
      <c r="D398" t="inlineStr">
        <is>
          <t>كلا الفترتين</t>
        </is>
      </c>
      <c r="E398" t="n">
        <v>1017</v>
      </c>
      <c r="F398" t="b">
        <v>0</v>
      </c>
      <c r="G398">
        <f>HYPERLINK("https://www.google.com/maps/search/?api=1&amp;query=24.00146067,47.101394", "View Map")</f>
        <v/>
      </c>
    </row>
    <row r="399">
      <c r="A399" t="inlineStr">
        <is>
          <t xml:space="preserve">   ادارة     الاوقاف    المقداد بن ع .</t>
        </is>
      </c>
      <c r="B399" t="inlineStr">
        <is>
          <t>KFM2020660176126</t>
        </is>
      </c>
      <c r="C399" t="inlineStr">
        <is>
          <t>الأفلاج</t>
        </is>
      </c>
      <c r="D399" t="inlineStr">
        <is>
          <t>صباحا</t>
        </is>
      </c>
      <c r="E399" t="n">
        <v>1017</v>
      </c>
      <c r="F399" t="b">
        <v>0</v>
      </c>
      <c r="G399">
        <f>HYPERLINK("https://www.google.com/maps/search/?api=1&amp;query=22.30248169,46.70596099", "View Map")</f>
        <v/>
      </c>
    </row>
    <row r="400">
      <c r="A400" t="inlineStr">
        <is>
          <t>ﻤﺴﺎﺠﺩ ﻭﺤﺩﺓ ﺍﻟﺤﺭﻴﻕ .</t>
        </is>
      </c>
      <c r="B400" t="inlineStr">
        <is>
          <t>SMR2320761033531</t>
        </is>
      </c>
      <c r="C400" t="inlineStr">
        <is>
          <t>الحريق</t>
        </is>
      </c>
      <c r="D400" t="inlineStr">
        <is>
          <t>كلا الفترتين</t>
        </is>
      </c>
      <c r="E400" t="n">
        <v>1014</v>
      </c>
      <c r="F400" t="b">
        <v>0</v>
      </c>
      <c r="G400">
        <f>HYPERLINK("https://www.google.com/maps/search/?api=1&amp;query=23.64016014,46.49008692", "View Map")</f>
        <v/>
      </c>
    </row>
    <row r="401">
      <c r="A401" t="inlineStr">
        <is>
          <t xml:space="preserve">      مسجد عبدالله ابراهيم العجمى .</t>
        </is>
      </c>
      <c r="B401" t="inlineStr">
        <is>
          <t>KFM2020760022184</t>
        </is>
      </c>
      <c r="C401" t="inlineStr">
        <is>
          <t>الخرج</t>
        </is>
      </c>
      <c r="D401" t="inlineStr">
        <is>
          <t>كلا الفترتين</t>
        </is>
      </c>
      <c r="E401" t="n">
        <v>1014</v>
      </c>
      <c r="F401" t="b">
        <v>0</v>
      </c>
      <c r="G401">
        <f>HYPERLINK("https://www.google.com/maps/search/?api=1&amp;query=24.13984213,47.34107527", "View Map")</f>
        <v/>
      </c>
    </row>
    <row r="402">
      <c r="A402" t="inlineStr">
        <is>
          <t>ﻤﺴﺎﺠﺩﺍﻟﺨـﺭﺝ .</t>
        </is>
      </c>
      <c r="B402" t="inlineStr">
        <is>
          <t>KFM2020660230142</t>
        </is>
      </c>
      <c r="C402" t="inlineStr">
        <is>
          <t>الخرج</t>
        </is>
      </c>
      <c r="D402" t="inlineStr">
        <is>
          <t>كلا الفترتين</t>
        </is>
      </c>
      <c r="E402" t="n">
        <v>1012</v>
      </c>
      <c r="F402" t="b">
        <v>0</v>
      </c>
      <c r="G402">
        <f>HYPERLINK("https://www.google.com/maps/search/?api=1&amp;query=24.16766464,47.30466869", "View Map")</f>
        <v/>
      </c>
    </row>
    <row r="403">
      <c r="A403" t="inlineStr">
        <is>
          <t>ﻤﺴﺎﺠﺩ ﺍﻟﺨﻤﺎﺴﻴﻥ .</t>
        </is>
      </c>
      <c r="B403" t="inlineStr">
        <is>
          <t>ECC2320831067324</t>
        </is>
      </c>
      <c r="C403" t="inlineStr">
        <is>
          <t>وادي الدواسر</t>
        </is>
      </c>
      <c r="D403" t="inlineStr">
        <is>
          <t>صباحا</t>
        </is>
      </c>
      <c r="E403" t="n">
        <v>1012</v>
      </c>
      <c r="F403" t="b">
        <v>1</v>
      </c>
      <c r="G403">
        <f>HYPERLINK("https://www.google.com/maps/search/?api=1&amp;query=20.41526815,45.12309383", "View Map")</f>
        <v/>
      </c>
    </row>
    <row r="404">
      <c r="A404" t="inlineStr">
        <is>
          <t xml:space="preserve">   أوقاف الاوقاف-مسجدأم آثله .</t>
        </is>
      </c>
      <c r="B404" t="inlineStr">
        <is>
          <t>AES2020896461009</t>
        </is>
      </c>
      <c r="C404" t="inlineStr">
        <is>
          <t>الأفلاج</t>
        </is>
      </c>
      <c r="D404" t="inlineStr">
        <is>
          <t>كلا الفترتين</t>
        </is>
      </c>
      <c r="E404" t="n">
        <v>1011</v>
      </c>
      <c r="F404" t="b">
        <v>0</v>
      </c>
      <c r="G404">
        <f>HYPERLINK("https://www.google.com/maps/search/?api=1&amp;query=22.55867186,45.41692532", "View Map")</f>
        <v/>
      </c>
    </row>
    <row r="405">
      <c r="A405" t="inlineStr">
        <is>
          <t xml:space="preserve">   مسجد جامع بالبدع .</t>
        </is>
      </c>
      <c r="B405" t="inlineStr">
        <is>
          <t>KFM2020760019055</t>
        </is>
      </c>
      <c r="C405" t="inlineStr">
        <is>
          <t>الخرج</t>
        </is>
      </c>
      <c r="D405" t="inlineStr">
        <is>
          <t>كلا الفترتين</t>
        </is>
      </c>
      <c r="E405" t="n">
        <v>1011</v>
      </c>
      <c r="F405" t="b">
        <v>0</v>
      </c>
      <c r="G405">
        <f>HYPERLINK("https://www.google.com/maps/search/?api=1&amp;query=24.20460489,47.26899991", "View Map")</f>
        <v/>
      </c>
    </row>
    <row r="406">
      <c r="A406" t="inlineStr">
        <is>
          <t xml:space="preserve">   مسجد البراء بن مالك .</t>
        </is>
      </c>
      <c r="B406" t="inlineStr">
        <is>
          <t>KFM2120660271428</t>
        </is>
      </c>
      <c r="C406" t="inlineStr">
        <is>
          <t>السليل</t>
        </is>
      </c>
      <c r="D406" t="inlineStr">
        <is>
          <t>كلا الفترتين</t>
        </is>
      </c>
      <c r="E406" t="n">
        <v>1009</v>
      </c>
      <c r="F406" t="b">
        <v>0</v>
      </c>
      <c r="G406">
        <f>HYPERLINK("https://www.google.com/maps/search/?api=1&amp;query=20.44945717,45.58450984", "View Map")</f>
        <v/>
      </c>
    </row>
    <row r="407">
      <c r="A407" t="inlineStr">
        <is>
          <t xml:space="preserve">      مسجد حله الوسيطى .</t>
        </is>
      </c>
      <c r="B407" t="inlineStr">
        <is>
          <t>KFM2020660223634</t>
        </is>
      </c>
      <c r="C407" t="inlineStr">
        <is>
          <t>الأفلاج</t>
        </is>
      </c>
      <c r="D407" t="inlineStr">
        <is>
          <t>كلا الفترتين</t>
        </is>
      </c>
      <c r="E407" t="n">
        <v>1007</v>
      </c>
      <c r="F407" t="b">
        <v>0</v>
      </c>
      <c r="G407">
        <f>HYPERLINK("https://www.google.com/maps/search/?api=1&amp;query=21.98018917,45.9596398", "View Map")</f>
        <v/>
      </c>
    </row>
    <row r="408">
      <c r="A408" t="inlineStr">
        <is>
          <t xml:space="preserve">   مسجدجامعحراضه .</t>
        </is>
      </c>
      <c r="B408" t="inlineStr">
        <is>
          <t>MMF2420701008287</t>
        </is>
      </c>
      <c r="C408" t="inlineStr">
        <is>
          <t>الأفلاج</t>
        </is>
      </c>
      <c r="D408" t="inlineStr">
        <is>
          <t>كلا الفترتين</t>
        </is>
      </c>
      <c r="E408" t="n">
        <v>1001</v>
      </c>
      <c r="F408" t="b">
        <v>1</v>
      </c>
      <c r="G408">
        <f>HYPERLINK("https://www.google.com/maps/search/?api=1&amp;query=22.74584708,46.30852893", "View Map")</f>
        <v/>
      </c>
    </row>
    <row r="409">
      <c r="A409" t="inlineStr">
        <is>
          <t>مسجد / مبارك تركي القحطاني .</t>
        </is>
      </c>
      <c r="B409" t="inlineStr">
        <is>
          <t>KFM2020660212554</t>
        </is>
      </c>
      <c r="C409" t="inlineStr">
        <is>
          <t>الخرج</t>
        </is>
      </c>
      <c r="D409" t="inlineStr">
        <is>
          <t>كلا الفترتين</t>
        </is>
      </c>
      <c r="E409" t="n">
        <v>1001</v>
      </c>
      <c r="F409" t="b">
        <v>0</v>
      </c>
      <c r="G409">
        <f>HYPERLINK("https://www.google.com/maps/search/?api=1&amp;query=24.17231,47.21997", "View Map")</f>
        <v/>
      </c>
    </row>
    <row r="410">
      <c r="A410" t="inlineStr">
        <is>
          <t xml:space="preserve">    مسجد /عبدالله بن عمـــر .</t>
        </is>
      </c>
      <c r="B410" t="inlineStr">
        <is>
          <t>KFM2020660205909</t>
        </is>
      </c>
      <c r="C410" t="inlineStr">
        <is>
          <t>الدلم</t>
        </is>
      </c>
      <c r="D410" t="inlineStr">
        <is>
          <t>كلا الفترتين</t>
        </is>
      </c>
      <c r="E410" t="n">
        <v>1000</v>
      </c>
      <c r="F410" t="b">
        <v>0</v>
      </c>
      <c r="G410">
        <f>HYPERLINK("https://www.google.com/maps/search/?api=1&amp;query=24.10523691,47.15312737", "View Map")</f>
        <v/>
      </c>
    </row>
    <row r="411">
      <c r="A411" t="inlineStr">
        <is>
          <t xml:space="preserve">      مسجد عبدالله على فليج .</t>
        </is>
      </c>
      <c r="B411" t="inlineStr">
        <is>
          <t>KFM2020760018418</t>
        </is>
      </c>
      <c r="C411" t="inlineStr">
        <is>
          <t>الدلم</t>
        </is>
      </c>
      <c r="D411" t="inlineStr">
        <is>
          <t>كلا الفترتين</t>
        </is>
      </c>
      <c r="E411" t="n">
        <v>998</v>
      </c>
      <c r="F411" t="b">
        <v>0</v>
      </c>
      <c r="G411">
        <f>HYPERLINK("https://www.google.com/maps/search/?api=1&amp;query=23.99239392,47.1329204", "View Map")</f>
        <v/>
      </c>
    </row>
    <row r="412">
      <c r="A412" t="inlineStr">
        <is>
          <t>ﻤﺴﺎﺠﺩﺍﻟﺨـﺭﺝ .</t>
        </is>
      </c>
      <c r="B412" t="inlineStr">
        <is>
          <t>SMR2220761016943</t>
        </is>
      </c>
      <c r="C412" t="inlineStr">
        <is>
          <t>الخرج</t>
        </is>
      </c>
      <c r="D412" t="inlineStr">
        <is>
          <t>كلا الفترتين</t>
        </is>
      </c>
      <c r="E412" t="n">
        <v>995</v>
      </c>
      <c r="F412" t="b">
        <v>0</v>
      </c>
      <c r="G412">
        <f>HYPERLINK("https://www.google.com/maps/search/?api=1&amp;query=24.08044102,47.26647476", "View Map")</f>
        <v/>
      </c>
    </row>
    <row r="413">
      <c r="A413" t="inlineStr">
        <is>
          <t xml:space="preserve">   مسجد العيد بالسلاميه .</t>
        </is>
      </c>
      <c r="B413" t="inlineStr">
        <is>
          <t>LYE2020810588057</t>
        </is>
      </c>
      <c r="C413" t="inlineStr">
        <is>
          <t>حوطة بني تميم</t>
        </is>
      </c>
      <c r="D413" t="inlineStr">
        <is>
          <t>كلا الفترتين</t>
        </is>
      </c>
      <c r="E413" t="n">
        <v>993</v>
      </c>
      <c r="F413" t="b">
        <v>0</v>
      </c>
      <c r="G413">
        <f>HYPERLINK("https://www.google.com/maps/search/?api=1&amp;query=23.47405972,46.87126977", "View Map")</f>
        <v/>
      </c>
    </row>
    <row r="414">
      <c r="A414" t="inlineStr">
        <is>
          <t xml:space="preserve">   اوقاف الخرج / مسجدابوجعفرالمنصور .</t>
        </is>
      </c>
      <c r="B414" t="inlineStr">
        <is>
          <t>KFM2120660249872</t>
        </is>
      </c>
      <c r="C414" t="inlineStr">
        <is>
          <t>الدلم</t>
        </is>
      </c>
      <c r="D414" t="inlineStr">
        <is>
          <t>كلا الفترتين</t>
        </is>
      </c>
      <c r="E414" t="n">
        <v>993</v>
      </c>
      <c r="F414" t="b">
        <v>0</v>
      </c>
      <c r="G414">
        <f>HYPERLINK("https://www.google.com/maps/search/?api=1&amp;query=24.09510307,47.1771339", "View Map")</f>
        <v/>
      </c>
    </row>
    <row r="415">
      <c r="A415" t="inlineStr">
        <is>
          <t>ﻤﺴﺎﺠﺩ ﺍﻟﺨﻤﺎﺴﻴﻥ .</t>
        </is>
      </c>
      <c r="B415" t="inlineStr">
        <is>
          <t>KFM2020660193329</t>
        </is>
      </c>
      <c r="C415" t="inlineStr">
        <is>
          <t>وادي الدواسر</t>
        </is>
      </c>
      <c r="D415" t="inlineStr">
        <is>
          <t>كلا الفترتين</t>
        </is>
      </c>
      <c r="E415" t="n">
        <v>989</v>
      </c>
      <c r="F415" t="b">
        <v>0</v>
      </c>
      <c r="G415">
        <f>HYPERLINK("https://www.google.com/maps/search/?api=1&amp;query=20.44932248,44.81553019", "View Map")</f>
        <v/>
      </c>
    </row>
    <row r="416">
      <c r="A416" t="inlineStr">
        <is>
          <t xml:space="preserve">   اوقاف الخرج / مسجد عبدالعزيزالشد .</t>
        </is>
      </c>
      <c r="B416" t="inlineStr">
        <is>
          <t>KFM2120660260570</t>
        </is>
      </c>
      <c r="C416" t="inlineStr">
        <is>
          <t>الخرج</t>
        </is>
      </c>
      <c r="D416" t="inlineStr">
        <is>
          <t>كلا الفترتين</t>
        </is>
      </c>
      <c r="E416" t="n">
        <v>989</v>
      </c>
      <c r="F416" t="b">
        <v>1</v>
      </c>
      <c r="G416">
        <f>HYPERLINK("https://www.google.com/maps/search/?api=1&amp;query=24.12779657,47.35800702", "View Map")</f>
        <v/>
      </c>
    </row>
    <row r="417">
      <c r="A417" t="inlineStr">
        <is>
          <t>ﻤﺴﺎﺠﺩﺍﻟﺨـﺭﺝ .</t>
        </is>
      </c>
      <c r="B417" t="inlineStr">
        <is>
          <t>SMR2120765018238</t>
        </is>
      </c>
      <c r="C417" t="inlineStr">
        <is>
          <t>الخرج</t>
        </is>
      </c>
      <c r="D417" t="inlineStr">
        <is>
          <t>كلا الفترتين</t>
        </is>
      </c>
      <c r="E417" t="n">
        <v>987</v>
      </c>
      <c r="F417" t="b">
        <v>0</v>
      </c>
      <c r="G417">
        <f>HYPERLINK("https://www.google.com/maps/search/?api=1&amp;query=24.09385926,47.24024689", "View Map")</f>
        <v/>
      </c>
    </row>
    <row r="418">
      <c r="A418" t="inlineStr">
        <is>
          <t xml:space="preserve">      مسجد حى السلمانيه .</t>
        </is>
      </c>
      <c r="B418" t="inlineStr">
        <is>
          <t>KFM2020760013899</t>
        </is>
      </c>
      <c r="C418" t="inlineStr">
        <is>
          <t>الدلم</t>
        </is>
      </c>
      <c r="D418" t="inlineStr">
        <is>
          <t>كلا الفترتين</t>
        </is>
      </c>
      <c r="E418" t="n">
        <v>985</v>
      </c>
      <c r="F418" t="b">
        <v>0</v>
      </c>
      <c r="G418">
        <f>HYPERLINK("https://www.google.com/maps/search/?api=1&amp;query=23.96402408,47.11624809", "View Map")</f>
        <v/>
      </c>
    </row>
    <row r="419">
      <c r="A419" t="inlineStr">
        <is>
          <t>مساجد الخماسين .</t>
        </is>
      </c>
      <c r="B419" t="inlineStr">
        <is>
          <t>KFM2020660205986</t>
        </is>
      </c>
      <c r="C419" t="inlineStr">
        <is>
          <t>وادي الدواسر</t>
        </is>
      </c>
      <c r="D419" t="inlineStr">
        <is>
          <t>كلا الفترتين</t>
        </is>
      </c>
      <c r="E419" t="n">
        <v>984</v>
      </c>
      <c r="F419" t="b">
        <v>0</v>
      </c>
      <c r="G419">
        <f>HYPERLINK("https://www.google.com/maps/search/?api=1&amp;query=20.4748142,44.76824779", "View Map")</f>
        <v/>
      </c>
    </row>
    <row r="420">
      <c r="A420" t="inlineStr">
        <is>
          <t xml:space="preserve">       مسجد بهجه .</t>
        </is>
      </c>
      <c r="B420" t="inlineStr">
        <is>
          <t>KFM2020660230746</t>
        </is>
      </c>
      <c r="C420" t="inlineStr">
        <is>
          <t>حوطة بني تميم</t>
        </is>
      </c>
      <c r="D420" t="inlineStr">
        <is>
          <t>كلا الفترتين</t>
        </is>
      </c>
      <c r="E420" t="n">
        <v>984</v>
      </c>
      <c r="F420" t="b">
        <v>0</v>
      </c>
      <c r="G420">
        <f>HYPERLINK("https://www.google.com/maps/search/?api=1&amp;query=23.4854988,46.85071248", "View Map")</f>
        <v/>
      </c>
    </row>
    <row r="421">
      <c r="A421" t="inlineStr">
        <is>
          <t xml:space="preserve">   مسجد عبدالله بن عمر .</t>
        </is>
      </c>
      <c r="B421" t="inlineStr">
        <is>
          <t>KFM2020660208013</t>
        </is>
      </c>
      <c r="C421" t="inlineStr">
        <is>
          <t>الخرج</t>
        </is>
      </c>
      <c r="D421" t="inlineStr">
        <is>
          <t>صباحا</t>
        </is>
      </c>
      <c r="E421" t="n">
        <v>982</v>
      </c>
      <c r="F421" t="b">
        <v>0</v>
      </c>
      <c r="G421">
        <f>HYPERLINK("https://www.google.com/maps/search/?api=1&amp;query=24.16037205,47.31689823", "View Map")</f>
        <v/>
      </c>
    </row>
    <row r="422">
      <c r="A422" t="inlineStr">
        <is>
          <t xml:space="preserve">   مسجد / محمد العتيبي .</t>
        </is>
      </c>
      <c r="B422" t="inlineStr">
        <is>
          <t>KFM2120660260625</t>
        </is>
      </c>
      <c r="C422" t="inlineStr">
        <is>
          <t>الخرج</t>
        </is>
      </c>
      <c r="D422" t="inlineStr">
        <is>
          <t>كلا الفترتين</t>
        </is>
      </c>
      <c r="E422" t="n">
        <v>979</v>
      </c>
      <c r="F422" t="b">
        <v>0</v>
      </c>
      <c r="G422">
        <f>HYPERLINK("https://www.google.com/maps/search/?api=1&amp;query=24.14940783,47.31633843", "View Map")</f>
        <v/>
      </c>
    </row>
    <row r="423">
      <c r="A423" t="inlineStr">
        <is>
          <t xml:space="preserve">      مسجد  الفيصليه .</t>
        </is>
      </c>
      <c r="B423" t="inlineStr">
        <is>
          <t>KFM2020660230766</t>
        </is>
      </c>
      <c r="C423" t="inlineStr">
        <is>
          <t>الخرج</t>
        </is>
      </c>
      <c r="D423" t="inlineStr">
        <is>
          <t>كلا الفترتين</t>
        </is>
      </c>
      <c r="E423" t="n">
        <v>979</v>
      </c>
      <c r="F423" t="b">
        <v>0</v>
      </c>
      <c r="G423">
        <f>HYPERLINK("https://www.google.com/maps/search/?api=1&amp;query=24.16500943,47.35244317", "View Map")</f>
        <v/>
      </c>
    </row>
    <row r="424">
      <c r="A424" t="inlineStr">
        <is>
          <t xml:space="preserve">      مسجد البره .</t>
        </is>
      </c>
      <c r="B424" t="inlineStr">
        <is>
          <t>KFM2020760076369</t>
        </is>
      </c>
      <c r="C424" t="inlineStr">
        <is>
          <t>الخرج</t>
        </is>
      </c>
      <c r="D424" t="inlineStr">
        <is>
          <t>كلا الفترتين</t>
        </is>
      </c>
      <c r="E424" t="n">
        <v>978</v>
      </c>
      <c r="F424" t="b">
        <v>0</v>
      </c>
      <c r="G424">
        <f>HYPERLINK("https://www.google.com/maps/search/?api=1&amp;query=24.23869314,47.24295775", "View Map")</f>
        <v/>
      </c>
    </row>
    <row r="425">
      <c r="A425" t="inlineStr">
        <is>
          <t xml:space="preserve">   مسجد/ نادر حصين نادر .</t>
        </is>
      </c>
      <c r="B425" t="inlineStr">
        <is>
          <t>AEC2020830311389</t>
        </is>
      </c>
      <c r="C425" t="inlineStr">
        <is>
          <t>وادي الدواسر</t>
        </is>
      </c>
      <c r="D425" t="inlineStr">
        <is>
          <t>كلا الفترتين</t>
        </is>
      </c>
      <c r="E425" t="n">
        <v>976</v>
      </c>
      <c r="F425" t="b">
        <v>0</v>
      </c>
      <c r="G425">
        <f>HYPERLINK("https://www.google.com/maps/search/?api=1&amp;query=20.39730908,44.81552465", "View Map")</f>
        <v/>
      </c>
    </row>
    <row r="426">
      <c r="A426" t="inlineStr">
        <is>
          <t xml:space="preserve">   مسجد  جامع  العجلية .</t>
        </is>
      </c>
      <c r="B426" t="inlineStr">
        <is>
          <t>KFM2120655005158</t>
        </is>
      </c>
      <c r="C426" t="inlineStr">
        <is>
          <t>الأفلاج</t>
        </is>
      </c>
      <c r="D426" t="inlineStr">
        <is>
          <t>كلا الفترتين</t>
        </is>
      </c>
      <c r="E426" t="n">
        <v>975</v>
      </c>
      <c r="F426" t="b">
        <v>0</v>
      </c>
      <c r="G426">
        <f>HYPERLINK("https://www.google.com/maps/search/?api=1&amp;query=21.373412,46.08027915", "View Map")</f>
        <v/>
      </c>
    </row>
    <row r="427">
      <c r="A427" t="inlineStr">
        <is>
          <t xml:space="preserve">   مسجد الأبرار .</t>
        </is>
      </c>
      <c r="B427" t="inlineStr">
        <is>
          <t>KFM2020660137753</t>
        </is>
      </c>
      <c r="C427" t="inlineStr">
        <is>
          <t>الخرج</t>
        </is>
      </c>
      <c r="D427" t="inlineStr">
        <is>
          <t>كلا الفترتين</t>
        </is>
      </c>
      <c r="E427" t="n">
        <v>972</v>
      </c>
      <c r="F427" t="b">
        <v>1</v>
      </c>
      <c r="G427">
        <f>HYPERLINK("https://www.google.com/maps/search/?api=1&amp;query=24.12756351,47.26491257", "View Map")</f>
        <v/>
      </c>
    </row>
    <row r="428">
      <c r="A428" t="inlineStr">
        <is>
          <t>ﻤﺴﺎﺠﺩ ﺍﻟﺨﻤﺎﺴﻴﻥ .</t>
        </is>
      </c>
      <c r="B428" t="inlineStr">
        <is>
          <t>KFM2120660249125</t>
        </is>
      </c>
      <c r="C428" t="inlineStr">
        <is>
          <t>وادي الدواسر</t>
        </is>
      </c>
      <c r="D428" t="inlineStr">
        <is>
          <t>كلا الفترتين</t>
        </is>
      </c>
      <c r="E428" t="n">
        <v>966</v>
      </c>
      <c r="F428" t="b">
        <v>0</v>
      </c>
      <c r="G428">
        <f>HYPERLINK("https://www.google.com/maps/search/?api=1&amp;query=20.47805559,44.76451486", "View Map")</f>
        <v/>
      </c>
    </row>
    <row r="429">
      <c r="A429" t="inlineStr">
        <is>
          <t xml:space="preserve">     مسجدبن كثير .</t>
        </is>
      </c>
      <c r="B429" t="inlineStr">
        <is>
          <t>AES2020896068385</t>
        </is>
      </c>
      <c r="C429" t="inlineStr">
        <is>
          <t>حوطة بني تميم</t>
        </is>
      </c>
      <c r="D429" t="inlineStr">
        <is>
          <t>كلا الفترتين</t>
        </is>
      </c>
      <c r="E429" t="n">
        <v>965</v>
      </c>
      <c r="F429" t="b">
        <v>0</v>
      </c>
      <c r="G429">
        <f>HYPERLINK("https://www.google.com/maps/search/?api=1&amp;query=23.50392948,46.88761608", "View Map")</f>
        <v/>
      </c>
    </row>
    <row r="430">
      <c r="A430" t="inlineStr">
        <is>
          <t xml:space="preserve">      مسجد العيد .</t>
        </is>
      </c>
      <c r="B430" t="inlineStr">
        <is>
          <t>ECC2020811040760</t>
        </is>
      </c>
      <c r="C430" t="inlineStr">
        <is>
          <t>حوطة بني تميم</t>
        </is>
      </c>
      <c r="D430" t="inlineStr">
        <is>
          <t>كلا الفترتين</t>
        </is>
      </c>
      <c r="E430" t="n">
        <v>960</v>
      </c>
      <c r="F430" t="b">
        <v>0</v>
      </c>
      <c r="G430">
        <f>HYPERLINK("https://www.google.com/maps/search/?api=1&amp;query=23.48331354,46.8494754", "View Map")</f>
        <v/>
      </c>
    </row>
    <row r="431">
      <c r="A431" t="inlineStr">
        <is>
          <t xml:space="preserve">   مسجد هجرس عبدالله   الصخابره .</t>
        </is>
      </c>
      <c r="B431" t="inlineStr">
        <is>
          <t>LYE2020810267783</t>
        </is>
      </c>
      <c r="C431" t="inlineStr">
        <is>
          <t>الأفلاج</t>
        </is>
      </c>
      <c r="D431" t="inlineStr">
        <is>
          <t>كلا الفترتين</t>
        </is>
      </c>
      <c r="E431" t="n">
        <v>960</v>
      </c>
      <c r="F431" t="b">
        <v>0</v>
      </c>
      <c r="G431">
        <f>HYPERLINK("https://www.google.com/maps/search/?api=1&amp;query=22.00665238,46.60878821", "View Map")</f>
        <v/>
      </c>
    </row>
    <row r="432">
      <c r="A432" t="inlineStr">
        <is>
          <t xml:space="preserve">   مسجدعبدالرحمن بن ابي بكر-المفيجر .</t>
        </is>
      </c>
      <c r="B432" t="inlineStr">
        <is>
          <t>AES2020896436512</t>
        </is>
      </c>
      <c r="C432" t="inlineStr">
        <is>
          <t>الحريق</t>
        </is>
      </c>
      <c r="D432" t="inlineStr">
        <is>
          <t>كلا الفترتين</t>
        </is>
      </c>
      <c r="E432" t="n">
        <v>956</v>
      </c>
      <c r="F432" t="b">
        <v>0</v>
      </c>
      <c r="G432">
        <f>HYPERLINK("https://www.google.com/maps/search/?api=1&amp;query=23.60807872,46.55580045", "View Map")</f>
        <v/>
      </c>
    </row>
    <row r="433">
      <c r="A433" t="inlineStr">
        <is>
          <t xml:space="preserve">   اوقاف الخرج/ مسجد علي الوابل .</t>
        </is>
      </c>
      <c r="B433" t="inlineStr">
        <is>
          <t>KFM2020660230136</t>
        </is>
      </c>
      <c r="C433" t="inlineStr">
        <is>
          <t>الخرج</t>
        </is>
      </c>
      <c r="D433" t="inlineStr">
        <is>
          <t>كلا الفترتين</t>
        </is>
      </c>
      <c r="E433" t="n">
        <v>954</v>
      </c>
      <c r="F433" t="b">
        <v>0</v>
      </c>
      <c r="G433">
        <f>HYPERLINK("https://www.google.com/maps/search/?api=1&amp;query=24.17173734,47.30653452", "View Map")</f>
        <v/>
      </c>
    </row>
    <row r="434">
      <c r="A434" t="inlineStr">
        <is>
          <t xml:space="preserve">    مسجد سلمان الفارسي  بزياد .</t>
        </is>
      </c>
      <c r="B434" t="inlineStr">
        <is>
          <t>KFM2020766166046</t>
        </is>
      </c>
      <c r="C434" t="inlineStr">
        <is>
          <t>حوطة بني تميم</t>
        </is>
      </c>
      <c r="D434" t="inlineStr">
        <is>
          <t>كلا الفترتين</t>
        </is>
      </c>
      <c r="E434" t="n">
        <v>953</v>
      </c>
      <c r="F434" t="b">
        <v>0</v>
      </c>
      <c r="G434">
        <f>HYPERLINK("https://www.google.com/maps/search/?api=1&amp;query=23.4983842,46.83149301", "View Map")</f>
        <v/>
      </c>
    </row>
    <row r="435">
      <c r="A435" t="inlineStr">
        <is>
          <t xml:space="preserve">      مسجد البريقعيه .</t>
        </is>
      </c>
      <c r="B435" t="inlineStr">
        <is>
          <t>KFM2020766141954</t>
        </is>
      </c>
      <c r="C435" t="inlineStr">
        <is>
          <t>الحريق</t>
        </is>
      </c>
      <c r="D435" t="inlineStr">
        <is>
          <t>كلا الفترتين</t>
        </is>
      </c>
      <c r="E435" t="n">
        <v>952</v>
      </c>
      <c r="F435" t="b">
        <v>0</v>
      </c>
      <c r="G435">
        <f>HYPERLINK("https://www.google.com/maps/search/?api=1&amp;query=23.61621101,46.63609187", "View Map")</f>
        <v/>
      </c>
    </row>
    <row r="436">
      <c r="A436" t="inlineStr">
        <is>
          <t xml:space="preserve">      مسجد الناصر الشرقى .</t>
        </is>
      </c>
      <c r="B436" t="inlineStr">
        <is>
          <t>KFM2020660169737</t>
        </is>
      </c>
      <c r="C436" t="inlineStr">
        <is>
          <t>الدلم</t>
        </is>
      </c>
      <c r="D436" t="inlineStr">
        <is>
          <t>كلا الفترتين</t>
        </is>
      </c>
      <c r="E436" t="n">
        <v>952</v>
      </c>
      <c r="F436" t="b">
        <v>0</v>
      </c>
      <c r="G436">
        <f>HYPERLINK("https://www.google.com/maps/search/?api=1&amp;query=23.98908146,47.16605428", "View Map")</f>
        <v/>
      </c>
    </row>
    <row r="437">
      <c r="A437" t="inlineStr">
        <is>
          <t xml:space="preserve">   الاوقاف والمساجد/ فهدبن جماهر .</t>
        </is>
      </c>
      <c r="B437" t="inlineStr">
        <is>
          <t>MMF2020800309306</t>
        </is>
      </c>
      <c r="C437" t="inlineStr">
        <is>
          <t>وادي الدواسر</t>
        </is>
      </c>
      <c r="D437" t="inlineStr">
        <is>
          <t>كلا الفترتين</t>
        </is>
      </c>
      <c r="E437" t="n">
        <v>951</v>
      </c>
      <c r="F437" t="b">
        <v>0</v>
      </c>
      <c r="G437">
        <f>HYPERLINK("https://www.google.com/maps/search/?api=1&amp;query=20.47022873,44.84651266", "View Map")</f>
        <v/>
      </c>
    </row>
    <row r="438">
      <c r="A438" t="inlineStr">
        <is>
          <t xml:space="preserve">   مسجد / حي المشعليه .</t>
        </is>
      </c>
      <c r="B438" t="inlineStr">
        <is>
          <t>KFM2120660256188</t>
        </is>
      </c>
      <c r="C438" t="inlineStr">
        <is>
          <t>وادي الدواسر</t>
        </is>
      </c>
      <c r="D438" t="inlineStr">
        <is>
          <t>كلا الفترتين</t>
        </is>
      </c>
      <c r="E438" t="n">
        <v>950</v>
      </c>
      <c r="F438" t="b">
        <v>0</v>
      </c>
      <c r="G438">
        <f>HYPERLINK("https://www.google.com/maps/search/?api=1&amp;query=20.47265128,45.05310618", "View Map")</f>
        <v/>
      </c>
    </row>
    <row r="439">
      <c r="A439" t="inlineStr">
        <is>
          <t xml:space="preserve">   مسجد طلحه بن عبيدالله .</t>
        </is>
      </c>
      <c r="B439" t="inlineStr">
        <is>
          <t>KFM2120660246008</t>
        </is>
      </c>
      <c r="C439" t="inlineStr">
        <is>
          <t>الخرج</t>
        </is>
      </c>
      <c r="D439" t="inlineStr">
        <is>
          <t>كلا الفترتين</t>
        </is>
      </c>
      <c r="E439" t="n">
        <v>950</v>
      </c>
      <c r="F439" t="b">
        <v>0</v>
      </c>
      <c r="G439">
        <f>HYPERLINK("https://www.google.com/maps/search/?api=1&amp;query=24.15109138,47.36192047", "View Map")</f>
        <v/>
      </c>
    </row>
    <row r="440">
      <c r="A440" t="inlineStr">
        <is>
          <t xml:space="preserve">   مسجد/     الخزان    د .</t>
        </is>
      </c>
      <c r="B440" t="inlineStr">
        <is>
          <t>MMF2020800321801</t>
        </is>
      </c>
      <c r="C440" t="inlineStr">
        <is>
          <t>وادي الدواسر</t>
        </is>
      </c>
      <c r="D440" t="inlineStr">
        <is>
          <t>كلا الفترتين</t>
        </is>
      </c>
      <c r="E440" t="n">
        <v>947</v>
      </c>
      <c r="F440" t="b">
        <v>0</v>
      </c>
      <c r="G440">
        <f>HYPERLINK("https://www.google.com/maps/search/?api=1&amp;query=20.45686512,44.81636819", "View Map")</f>
        <v/>
      </c>
    </row>
    <row r="441">
      <c r="A441" t="inlineStr">
        <is>
          <t xml:space="preserve">   مسجد      الخالدية  بالافلاج .</t>
        </is>
      </c>
      <c r="B441" t="inlineStr">
        <is>
          <t>ASH2420800002596</t>
        </is>
      </c>
      <c r="C441" t="inlineStr">
        <is>
          <t>الأفلاج</t>
        </is>
      </c>
      <c r="D441" t="inlineStr">
        <is>
          <t>مساءا</t>
        </is>
      </c>
      <c r="E441" t="n">
        <v>947</v>
      </c>
      <c r="F441" t="b">
        <v>0</v>
      </c>
      <c r="G441">
        <f>HYPERLINK("https://www.google.com/maps/search/?api=1&amp;query=22.31705264,46.7260851", "View Map")</f>
        <v/>
      </c>
    </row>
    <row r="442">
      <c r="A442" t="inlineStr">
        <is>
          <t xml:space="preserve">   مسجد حاره جازع /اوقاف الدواسر .</t>
        </is>
      </c>
      <c r="B442" t="inlineStr">
        <is>
          <t>MMF2020800299643</t>
        </is>
      </c>
      <c r="C442" t="inlineStr">
        <is>
          <t>وادي الدواسر</t>
        </is>
      </c>
      <c r="D442" t="inlineStr">
        <is>
          <t>كلا الفترتين</t>
        </is>
      </c>
      <c r="E442" t="n">
        <v>947</v>
      </c>
      <c r="F442" t="b">
        <v>0</v>
      </c>
      <c r="G442">
        <f>HYPERLINK("https://www.google.com/maps/search/?api=1&amp;query=20.4369,44.8533", "View Map")</f>
        <v/>
      </c>
    </row>
    <row r="443">
      <c r="A443" t="inlineStr">
        <is>
          <t xml:space="preserve">   مسجدعبدالله الختلان .</t>
        </is>
      </c>
      <c r="B443" t="inlineStr">
        <is>
          <t>ECC2020811031357</t>
        </is>
      </c>
      <c r="C443" t="inlineStr">
        <is>
          <t>الخرج</t>
        </is>
      </c>
      <c r="D443" t="inlineStr">
        <is>
          <t>كلا الفترتين</t>
        </is>
      </c>
      <c r="E443" t="n">
        <v>937</v>
      </c>
      <c r="F443" t="b">
        <v>0</v>
      </c>
      <c r="G443">
        <f>HYPERLINK("https://www.google.com/maps/search/?api=1&amp;query=24.22441099,47.21505509", "View Map")</f>
        <v/>
      </c>
    </row>
    <row r="444">
      <c r="A444" t="inlineStr">
        <is>
          <t xml:space="preserve">   ادارة الاوقاف(مسجدجنوب ش الغروب.) .</t>
        </is>
      </c>
      <c r="B444" t="inlineStr">
        <is>
          <t>KFM2020660176156</t>
        </is>
      </c>
      <c r="C444" t="inlineStr">
        <is>
          <t>الأفلاج</t>
        </is>
      </c>
      <c r="D444" t="inlineStr">
        <is>
          <t>صباحا</t>
        </is>
      </c>
      <c r="E444" t="n">
        <v>934</v>
      </c>
      <c r="F444" t="b">
        <v>0</v>
      </c>
      <c r="G444">
        <f>HYPERLINK("https://www.google.com/maps/search/?api=1&amp;query=22.30887227,46.70650745", "View Map")</f>
        <v/>
      </c>
    </row>
    <row r="445">
      <c r="A445" t="inlineStr">
        <is>
          <t>مسجد الإحسان بحي الزاهر .</t>
        </is>
      </c>
      <c r="B445" t="inlineStr">
        <is>
          <t>ECC2020811051322</t>
        </is>
      </c>
      <c r="C445" t="inlineStr">
        <is>
          <t>الخرج</t>
        </is>
      </c>
      <c r="D445" t="inlineStr">
        <is>
          <t>كلا الفترتين</t>
        </is>
      </c>
      <c r="E445" t="n">
        <v>934</v>
      </c>
      <c r="F445" t="b">
        <v>0</v>
      </c>
      <c r="G445">
        <f>HYPERLINK("https://www.google.com/maps/search/?api=1&amp;query=24.13270181,47.35760442", "View Map")</f>
        <v/>
      </c>
    </row>
    <row r="446">
      <c r="A446" t="inlineStr">
        <is>
          <t xml:space="preserve">   مســـجد الحــزم .</t>
        </is>
      </c>
      <c r="B446" t="inlineStr">
        <is>
          <t>KFM2020660177906</t>
        </is>
      </c>
      <c r="C446" t="inlineStr">
        <is>
          <t>الخرج</t>
        </is>
      </c>
      <c r="D446" t="inlineStr">
        <is>
          <t>كلا الفترتين</t>
        </is>
      </c>
      <c r="E446" t="n">
        <v>930</v>
      </c>
      <c r="F446" t="b">
        <v>0</v>
      </c>
      <c r="G446">
        <f>HYPERLINK("https://www.google.com/maps/search/?api=1&amp;query=24.14864453,47.30744799", "View Map")</f>
        <v/>
      </c>
    </row>
    <row r="447">
      <c r="A447" t="inlineStr">
        <is>
          <t>ﺍﻟﻤﺴﺎﺠﺩﻭﺍﻟﺩﻋﻭﻩ ﺍﻻﺭﺸﺎﺩ ﺒﺎﻻﻓﻼﺝ .</t>
        </is>
      </c>
      <c r="B447" t="inlineStr">
        <is>
          <t>KFM2020760178863</t>
        </is>
      </c>
      <c r="C447" t="inlineStr">
        <is>
          <t>الأفلاج</t>
        </is>
      </c>
      <c r="D447" t="inlineStr">
        <is>
          <t>كلا الفترتين</t>
        </is>
      </c>
      <c r="E447" t="n">
        <v>929</v>
      </c>
      <c r="F447" t="b">
        <v>0</v>
      </c>
      <c r="G447">
        <f>HYPERLINK("https://www.google.com/maps/search/?api=1&amp;query=22.27756152,46.72174519", "View Map")</f>
        <v/>
      </c>
    </row>
    <row r="448">
      <c r="A448" t="inlineStr">
        <is>
          <t xml:space="preserve">    مسجدحفص بن سليمان .</t>
        </is>
      </c>
      <c r="B448" t="inlineStr">
        <is>
          <t>KFM2020660212653</t>
        </is>
      </c>
      <c r="C448" t="inlineStr">
        <is>
          <t>الخرج</t>
        </is>
      </c>
      <c r="D448" t="inlineStr">
        <is>
          <t>كلا الفترتين</t>
        </is>
      </c>
      <c r="E448" t="n">
        <v>927</v>
      </c>
      <c r="F448" t="b">
        <v>0</v>
      </c>
      <c r="G448">
        <f>HYPERLINK("https://www.google.com/maps/search/?api=1&amp;query=24.17037,47.22622", "View Map")</f>
        <v/>
      </c>
    </row>
    <row r="449">
      <c r="A449" t="inlineStr">
        <is>
          <t xml:space="preserve">   مسجد الامام محمد بن سعود .</t>
        </is>
      </c>
      <c r="B449" t="inlineStr">
        <is>
          <t>KFM2120660257179</t>
        </is>
      </c>
      <c r="C449" t="inlineStr">
        <is>
          <t>الخرج</t>
        </is>
      </c>
      <c r="D449" t="inlineStr">
        <is>
          <t>كلا الفترتين</t>
        </is>
      </c>
      <c r="E449" t="n">
        <v>926</v>
      </c>
      <c r="F449" t="b">
        <v>0</v>
      </c>
      <c r="G449">
        <f>HYPERLINK("https://www.google.com/maps/search/?api=1&amp;query=24.13844227,47.34505128", "View Map")</f>
        <v/>
      </c>
    </row>
    <row r="450">
      <c r="A450" t="inlineStr">
        <is>
          <t xml:space="preserve">      الحج و الاقاف /مسجد العاصميه .</t>
        </is>
      </c>
      <c r="B450" t="inlineStr">
        <is>
          <t>SMR2320661023149</t>
        </is>
      </c>
      <c r="C450" t="inlineStr">
        <is>
          <t>الخرج</t>
        </is>
      </c>
      <c r="D450" t="inlineStr">
        <is>
          <t>كلا الفترتين</t>
        </is>
      </c>
      <c r="E450" t="n">
        <v>924</v>
      </c>
      <c r="F450" t="b">
        <v>0</v>
      </c>
      <c r="G450">
        <f>HYPERLINK("https://www.google.com/maps/search/?api=1&amp;query=24.171653,47.3509764", "View Map")</f>
        <v/>
      </c>
    </row>
    <row r="451">
      <c r="A451" t="inlineStr">
        <is>
          <t xml:space="preserve">   مصلى عيد القويز الاوقاف والمساجد .</t>
        </is>
      </c>
      <c r="B451" t="inlineStr">
        <is>
          <t>MMF2020800326429</t>
        </is>
      </c>
      <c r="C451" t="inlineStr">
        <is>
          <t>وادي الدواسر</t>
        </is>
      </c>
      <c r="D451" t="inlineStr">
        <is>
          <t>مساءا</t>
        </is>
      </c>
      <c r="E451" t="n">
        <v>923</v>
      </c>
      <c r="F451" t="b">
        <v>0</v>
      </c>
      <c r="G451">
        <f>HYPERLINK("https://www.google.com/maps/search/?api=1&amp;query=20.45105638,44.85152568", "View Map")</f>
        <v/>
      </c>
    </row>
    <row r="452">
      <c r="A452" t="inlineStr">
        <is>
          <t>ﻤﺴﺎﺠﺩ ﺍﻟﺨﻤﺎﺴﻴﻥ .</t>
        </is>
      </c>
      <c r="B452" t="inlineStr">
        <is>
          <t>MMF2020800321872</t>
        </is>
      </c>
      <c r="C452" t="inlineStr">
        <is>
          <t>وادي الدواسر</t>
        </is>
      </c>
      <c r="D452" t="inlineStr">
        <is>
          <t>كلا الفترتين</t>
        </is>
      </c>
      <c r="E452" t="n">
        <v>922</v>
      </c>
      <c r="F452" t="b">
        <v>0</v>
      </c>
      <c r="G452">
        <f>HYPERLINK("https://www.google.com/maps/search/?api=1&amp;query=20.4503241,44.8405842", "View Map")</f>
        <v/>
      </c>
    </row>
    <row r="453">
      <c r="A453" t="inlineStr">
        <is>
          <t xml:space="preserve">   جامع الزقروط .</t>
        </is>
      </c>
      <c r="B453" t="inlineStr">
        <is>
          <t>KFM2120660257209</t>
        </is>
      </c>
      <c r="C453" t="inlineStr">
        <is>
          <t>حوطة بني تميم</t>
        </is>
      </c>
      <c r="D453" t="inlineStr">
        <is>
          <t>كلا الفترتين</t>
        </is>
      </c>
      <c r="E453" t="n">
        <v>921</v>
      </c>
      <c r="F453" t="b">
        <v>0</v>
      </c>
      <c r="G453">
        <f>HYPERLINK("https://www.google.com/maps/search/?api=1&amp;query=23.20447309,46.39494812", "View Map")</f>
        <v/>
      </c>
    </row>
    <row r="454">
      <c r="A454" t="inlineStr">
        <is>
          <t xml:space="preserve">   مسجدالتوحيد .</t>
        </is>
      </c>
      <c r="B454" t="inlineStr">
        <is>
          <t>KFM2020760211449</t>
        </is>
      </c>
      <c r="C454" t="inlineStr">
        <is>
          <t>وادي الدواسر</t>
        </is>
      </c>
      <c r="D454" t="inlineStr">
        <is>
          <t>كلا الفترتين</t>
        </is>
      </c>
      <c r="E454" t="n">
        <v>921</v>
      </c>
      <c r="F454" t="b">
        <v>0</v>
      </c>
      <c r="G454">
        <f>HYPERLINK("https://www.google.com/maps/search/?api=1&amp;query=20.43578221,44.78181215", "View Map")</f>
        <v/>
      </c>
    </row>
    <row r="455">
      <c r="A455" t="inlineStr">
        <is>
          <t xml:space="preserve"> مسجد الشهداء .</t>
        </is>
      </c>
      <c r="B455" t="inlineStr">
        <is>
          <t>KFM2120660272831</t>
        </is>
      </c>
      <c r="C455" t="inlineStr">
        <is>
          <t>الخرج</t>
        </is>
      </c>
      <c r="D455" t="inlineStr">
        <is>
          <t>كلا الفترتين</t>
        </is>
      </c>
      <c r="E455" t="n">
        <v>915</v>
      </c>
      <c r="F455" t="b">
        <v>1</v>
      </c>
      <c r="G455">
        <f>HYPERLINK("https://www.google.com/maps/search/?api=1&amp;query=24.11564,47.30104", "View Map")</f>
        <v/>
      </c>
    </row>
    <row r="456">
      <c r="A456" t="inlineStr">
        <is>
          <t>ﻤﺴﺎﺠﺩﺍﻟﺨـﺭﺝ .</t>
        </is>
      </c>
      <c r="B456" t="inlineStr">
        <is>
          <t>KFM2020760089983</t>
        </is>
      </c>
      <c r="C456" t="inlineStr">
        <is>
          <t>الخرج</t>
        </is>
      </c>
      <c r="D456" t="inlineStr">
        <is>
          <t>كلا الفترتين</t>
        </is>
      </c>
      <c r="E456" t="n">
        <v>915</v>
      </c>
      <c r="F456" t="b">
        <v>0</v>
      </c>
      <c r="G456">
        <f>HYPERLINK("https://www.google.com/maps/search/?api=1&amp;query=24.12567787,47.25666604", "View Map")</f>
        <v/>
      </c>
    </row>
    <row r="457">
      <c r="A457" t="inlineStr">
        <is>
          <t xml:space="preserve">      مسجد بدر حمود العماج .</t>
        </is>
      </c>
      <c r="B457" t="inlineStr">
        <is>
          <t>KFM2020660200921</t>
        </is>
      </c>
      <c r="C457" t="inlineStr">
        <is>
          <t>الخرج</t>
        </is>
      </c>
      <c r="D457" t="inlineStr">
        <is>
          <t>كلا الفترتين</t>
        </is>
      </c>
      <c r="E457" t="n">
        <v>914</v>
      </c>
      <c r="F457" t="b">
        <v>0</v>
      </c>
      <c r="G457">
        <f>HYPERLINK("https://www.google.com/maps/search/?api=1&amp;query=24.30191579,47.17265259", "View Map")</f>
        <v/>
      </c>
    </row>
    <row r="458">
      <c r="A458" t="inlineStr">
        <is>
          <t xml:space="preserve">   مسجد حي مشرف .</t>
        </is>
      </c>
      <c r="B458" t="inlineStr">
        <is>
          <t>KFM2020760200724</t>
        </is>
      </c>
      <c r="C458" t="inlineStr">
        <is>
          <t>الخرج</t>
        </is>
      </c>
      <c r="D458" t="inlineStr">
        <is>
          <t>كلا الفترتين</t>
        </is>
      </c>
      <c r="E458" t="n">
        <v>911</v>
      </c>
      <c r="F458" t="b">
        <v>0</v>
      </c>
      <c r="G458">
        <f>HYPERLINK("https://www.google.com/maps/search/?api=1&amp;query=24.10897225,47.27751586", "View Map")</f>
        <v/>
      </c>
    </row>
    <row r="459">
      <c r="A459" t="inlineStr">
        <is>
          <t xml:space="preserve">   مسجد / عبدالرحمن القاسم .</t>
        </is>
      </c>
      <c r="B459" t="inlineStr">
        <is>
          <t>KFM2020660233577</t>
        </is>
      </c>
      <c r="C459" t="inlineStr">
        <is>
          <t>الخرج</t>
        </is>
      </c>
      <c r="D459" t="inlineStr">
        <is>
          <t>كلا الفترتين</t>
        </is>
      </c>
      <c r="E459" t="n">
        <v>906</v>
      </c>
      <c r="F459" t="b">
        <v>1</v>
      </c>
      <c r="G459">
        <f>HYPERLINK("https://www.google.com/maps/search/?api=1&amp;query=24.16184041,47.2302534", "View Map")</f>
        <v/>
      </c>
    </row>
    <row r="460">
      <c r="A460" t="inlineStr">
        <is>
          <t xml:space="preserve">   اوقاف الدلم / مسجدهجرة العقيمي .</t>
        </is>
      </c>
      <c r="B460" t="inlineStr">
        <is>
          <t>KFM2020760183432</t>
        </is>
      </c>
      <c r="C460" t="inlineStr">
        <is>
          <t>الدلم</t>
        </is>
      </c>
      <c r="D460" t="inlineStr">
        <is>
          <t>كلا الفترتين</t>
        </is>
      </c>
      <c r="E460" t="n">
        <v>905</v>
      </c>
      <c r="F460" t="b">
        <v>0</v>
      </c>
      <c r="G460">
        <f>HYPERLINK("https://www.google.com/maps/search/?api=1&amp;query=23.6498131,47.1044016", "View Map")</f>
        <v/>
      </c>
    </row>
    <row r="461">
      <c r="A461" t="inlineStr">
        <is>
          <t xml:space="preserve">      مسجد السعوديه .</t>
        </is>
      </c>
      <c r="B461" t="inlineStr">
        <is>
          <t>MMF2020800255055</t>
        </is>
      </c>
      <c r="C461" t="inlineStr">
        <is>
          <t>الدلم</t>
        </is>
      </c>
      <c r="D461" t="inlineStr">
        <is>
          <t>كلا الفترتين</t>
        </is>
      </c>
      <c r="E461" t="n">
        <v>903</v>
      </c>
      <c r="F461" t="b">
        <v>0</v>
      </c>
      <c r="G461">
        <f>HYPERLINK("https://www.google.com/maps/search/?api=1&amp;query=23.9864387,47.13158391", "View Map")</f>
        <v/>
      </c>
    </row>
    <row r="462">
      <c r="A462" t="inlineStr">
        <is>
          <t>ﻤﺴﺎﺠﺩﺍﻟﺨـﺭﺝ .</t>
        </is>
      </c>
      <c r="B462" t="inlineStr">
        <is>
          <t>KFM2020760206444</t>
        </is>
      </c>
      <c r="C462" t="inlineStr">
        <is>
          <t>الخرج</t>
        </is>
      </c>
      <c r="D462" t="inlineStr">
        <is>
          <t>كلا الفترتين</t>
        </is>
      </c>
      <c r="E462" t="n">
        <v>901</v>
      </c>
      <c r="F462" t="b">
        <v>0</v>
      </c>
      <c r="G462">
        <f>HYPERLINK("https://www.google.com/maps/search/?api=1&amp;query=24.09488066,47.29145779", "View Map")</f>
        <v/>
      </c>
    </row>
    <row r="463">
      <c r="A463" t="inlineStr">
        <is>
          <t xml:space="preserve">   اوقاف الدلم / مسجد لطيفه الشلهوب .</t>
        </is>
      </c>
      <c r="B463" t="inlineStr">
        <is>
          <t>KFM2020760006713</t>
        </is>
      </c>
      <c r="C463" t="inlineStr">
        <is>
          <t>الدلم</t>
        </is>
      </c>
      <c r="D463" t="inlineStr">
        <is>
          <t>كلا الفترتين</t>
        </is>
      </c>
      <c r="E463" t="n">
        <v>900</v>
      </c>
      <c r="F463" t="b">
        <v>0</v>
      </c>
      <c r="G463">
        <f>HYPERLINK("https://www.google.com/maps/search/?api=1&amp;query=24.01605005,47.16734655", "View Map")</f>
        <v/>
      </c>
    </row>
    <row r="464">
      <c r="A464" t="inlineStr">
        <is>
          <t xml:space="preserve">   جامع ال وديان الاوقاف والمساجد .</t>
        </is>
      </c>
      <c r="B464" t="inlineStr">
        <is>
          <t>KFM2020660206197</t>
        </is>
      </c>
      <c r="C464" t="inlineStr">
        <is>
          <t>وادي الدواسر</t>
        </is>
      </c>
      <c r="D464" t="inlineStr">
        <is>
          <t>مساءا</t>
        </is>
      </c>
      <c r="E464" t="n">
        <v>897</v>
      </c>
      <c r="F464" t="b">
        <v>1</v>
      </c>
      <c r="G464">
        <f>HYPERLINK("https://www.google.com/maps/search/?api=1&amp;query=20.43862471,44.77779391", "View Map")</f>
        <v/>
      </c>
    </row>
    <row r="465">
      <c r="A465" t="inlineStr">
        <is>
          <t xml:space="preserve">      مسجد الوسطى بالسهباء .</t>
        </is>
      </c>
      <c r="B465" t="inlineStr">
        <is>
          <t>MMF2020800218808</t>
        </is>
      </c>
      <c r="C465" t="inlineStr">
        <is>
          <t>الخرج</t>
        </is>
      </c>
      <c r="D465" t="inlineStr">
        <is>
          <t>كلا الفترتين</t>
        </is>
      </c>
      <c r="E465" t="n">
        <v>894</v>
      </c>
      <c r="F465" t="b">
        <v>0</v>
      </c>
      <c r="G465">
        <f>HYPERLINK("https://www.google.com/maps/search/?api=1&amp;query=24.1894728,47.37754597", "View Map")</f>
        <v/>
      </c>
    </row>
    <row r="466">
      <c r="A466" t="inlineStr">
        <is>
          <t xml:space="preserve">   مسجد       مبارك     ال عريمه .</t>
        </is>
      </c>
      <c r="B466" t="inlineStr">
        <is>
          <t>MMF2020800259429</t>
        </is>
      </c>
      <c r="C466" t="inlineStr">
        <is>
          <t>وادي الدواسر</t>
        </is>
      </c>
      <c r="D466" t="inlineStr">
        <is>
          <t>كلا الفترتين</t>
        </is>
      </c>
      <c r="E466" t="n">
        <v>893</v>
      </c>
      <c r="F466" t="b">
        <v>0</v>
      </c>
      <c r="G466">
        <f>HYPERLINK("https://www.google.com/maps/search/?api=1&amp;query=20.46896653,44.76785049", "View Map")</f>
        <v/>
      </c>
    </row>
    <row r="467">
      <c r="A467" t="inlineStr">
        <is>
          <t xml:space="preserve">    الموسسه العامه للصناعات الحربيه .</t>
        </is>
      </c>
      <c r="B467" t="inlineStr">
        <is>
          <t>KFM2020760006879</t>
        </is>
      </c>
      <c r="C467" t="inlineStr">
        <is>
          <t>الخرج</t>
        </is>
      </c>
      <c r="D467" t="inlineStr">
        <is>
          <t>كلا الفترتين</t>
        </is>
      </c>
      <c r="E467" t="n">
        <v>884</v>
      </c>
      <c r="F467" t="b">
        <v>0</v>
      </c>
      <c r="G467">
        <f>HYPERLINK("https://www.google.com/maps/search/?api=1&amp;query=24.13352099,47.28804134", "View Map")</f>
        <v/>
      </c>
    </row>
    <row r="468">
      <c r="A468" t="inlineStr">
        <is>
          <t xml:space="preserve">   أوقاف     السليل    آل براك .</t>
        </is>
      </c>
      <c r="B468" t="inlineStr">
        <is>
          <t>AES2020896264087</t>
        </is>
      </c>
      <c r="C468" t="inlineStr">
        <is>
          <t>السليل</t>
        </is>
      </c>
      <c r="D468" t="inlineStr">
        <is>
          <t>كلا الفترتين</t>
        </is>
      </c>
      <c r="E468" t="n">
        <v>882</v>
      </c>
      <c r="F468" t="b">
        <v>0</v>
      </c>
      <c r="G468">
        <f>HYPERLINK("https://www.google.com/maps/search/?api=1&amp;query=20.47237504,45.53404767", "View Map")</f>
        <v/>
      </c>
    </row>
    <row r="469">
      <c r="A469" t="inlineStr">
        <is>
          <t xml:space="preserve">     مسجدالعيدبالفرعة .</t>
        </is>
      </c>
      <c r="B469" t="inlineStr">
        <is>
          <t>SMR2020850082007</t>
        </is>
      </c>
      <c r="C469" t="inlineStr">
        <is>
          <t>حوطة بني تميم</t>
        </is>
      </c>
      <c r="D469" t="inlineStr">
        <is>
          <t>كلا الفترتين</t>
        </is>
      </c>
      <c r="E469" t="n">
        <v>882</v>
      </c>
      <c r="F469" t="b">
        <v>0</v>
      </c>
      <c r="G469">
        <f>HYPERLINK("https://www.google.com/maps/search/?api=1&amp;query=23.50653084,46.79086261", "View Map")</f>
        <v/>
      </c>
    </row>
    <row r="470">
      <c r="A470" t="inlineStr">
        <is>
          <t xml:space="preserve">   مسجدحي الفيصليه .</t>
        </is>
      </c>
      <c r="B470" t="inlineStr">
        <is>
          <t>KFM2120660257285</t>
        </is>
      </c>
      <c r="C470" t="inlineStr">
        <is>
          <t>الخرج</t>
        </is>
      </c>
      <c r="D470" t="inlineStr">
        <is>
          <t>كلا الفترتين</t>
        </is>
      </c>
      <c r="E470" t="n">
        <v>878</v>
      </c>
      <c r="F470" t="b">
        <v>0</v>
      </c>
      <c r="G470">
        <f>HYPERLINK("https://www.google.com/maps/search/?api=1&amp;query=24.15854041,47.35769802", "View Map")</f>
        <v/>
      </c>
    </row>
    <row r="471">
      <c r="A471" t="inlineStr">
        <is>
          <t xml:space="preserve">   مسجدجامع حىال جعشان .</t>
        </is>
      </c>
      <c r="B471" t="inlineStr">
        <is>
          <t>KFM2120660273373</t>
        </is>
      </c>
      <c r="C471" t="inlineStr">
        <is>
          <t>حوطة بني تميم</t>
        </is>
      </c>
      <c r="D471" t="inlineStr">
        <is>
          <t>مساءا</t>
        </is>
      </c>
      <c r="E471" t="n">
        <v>877</v>
      </c>
      <c r="F471" t="b">
        <v>0</v>
      </c>
      <c r="G471">
        <f>HYPERLINK("https://www.google.com/maps/search/?api=1&amp;query=22.99686073,46.10232192", "View Map")</f>
        <v/>
      </c>
    </row>
    <row r="472">
      <c r="A472" t="inlineStr">
        <is>
          <t xml:space="preserve">   اوقاف الخرج/مسجدالنابيه .</t>
        </is>
      </c>
      <c r="B472" t="inlineStr">
        <is>
          <t>KFM2020660210920</t>
        </is>
      </c>
      <c r="C472" t="inlineStr">
        <is>
          <t>الخرج</t>
        </is>
      </c>
      <c r="D472" t="inlineStr">
        <is>
          <t>مساءا</t>
        </is>
      </c>
      <c r="E472" t="n">
        <v>875</v>
      </c>
      <c r="F472" t="b">
        <v>0</v>
      </c>
      <c r="G472">
        <f>HYPERLINK("https://www.google.com/maps/search/?api=1&amp;query=24.17730881,47.33378147", "View Map")</f>
        <v/>
      </c>
    </row>
    <row r="473">
      <c r="A473" t="inlineStr">
        <is>
          <t xml:space="preserve">   الاوقاف والمساجد-جامع نعام الكبير .</t>
        </is>
      </c>
      <c r="B473" t="inlineStr">
        <is>
          <t>KFM2020660177712</t>
        </is>
      </c>
      <c r="C473" t="inlineStr">
        <is>
          <t>الحريق</t>
        </is>
      </c>
      <c r="D473" t="inlineStr">
        <is>
          <t>كلا الفترتين</t>
        </is>
      </c>
      <c r="E473" t="n">
        <v>874</v>
      </c>
      <c r="F473" t="b">
        <v>0</v>
      </c>
      <c r="G473">
        <f>HYPERLINK("https://www.google.com/maps/search/?api=1&amp;query=23.61644148,46.64273042", "View Map")</f>
        <v/>
      </c>
    </row>
    <row r="474">
      <c r="A474" t="inlineStr">
        <is>
          <t>ﻤﺴﺎﺠﺩﺍﻟﺨـﺭﺝ .</t>
        </is>
      </c>
      <c r="B474" t="inlineStr">
        <is>
          <t>KFM2020760211473</t>
        </is>
      </c>
      <c r="C474" t="inlineStr">
        <is>
          <t>الخرج</t>
        </is>
      </c>
      <c r="D474" t="inlineStr">
        <is>
          <t>كلا الفترتين</t>
        </is>
      </c>
      <c r="E474" t="n">
        <v>871</v>
      </c>
      <c r="F474" t="b">
        <v>0</v>
      </c>
      <c r="G474">
        <f>HYPERLINK("https://www.google.com/maps/search/?api=1&amp;query=24.0945035,47.27503035", "View Map")</f>
        <v/>
      </c>
    </row>
    <row r="475">
      <c r="A475" t="inlineStr">
        <is>
          <t xml:space="preserve">   اوقاف الدلم مسجدعبدالرحمن اليحي .</t>
        </is>
      </c>
      <c r="B475" t="inlineStr">
        <is>
          <t>MMF2020800255128</t>
        </is>
      </c>
      <c r="C475" t="inlineStr">
        <is>
          <t>الدلم</t>
        </is>
      </c>
      <c r="D475" t="inlineStr">
        <is>
          <t>كلا الفترتين</t>
        </is>
      </c>
      <c r="E475" t="n">
        <v>867</v>
      </c>
      <c r="F475" t="b">
        <v>0</v>
      </c>
      <c r="G475">
        <f>HYPERLINK("https://www.google.com/maps/search/?api=1&amp;query=23.98599482,47.11506515", "View Map")</f>
        <v/>
      </c>
    </row>
    <row r="476">
      <c r="A476" t="inlineStr">
        <is>
          <t>ﺍﻟﻤﺴﺎﺠﺩﻭﺍﻟﺩﻋﻭﻩ ﺍﻻﺭﺸﺎﺩ ﺒﺎﻻﻓﻼﺝ .</t>
        </is>
      </c>
      <c r="B476" t="inlineStr">
        <is>
          <t>MMF2420701008075</t>
        </is>
      </c>
      <c r="C476" t="inlineStr">
        <is>
          <t>الأفلاج</t>
        </is>
      </c>
      <c r="D476" t="inlineStr">
        <is>
          <t>صباحا</t>
        </is>
      </c>
      <c r="E476" t="n">
        <v>865</v>
      </c>
      <c r="F476" t="b">
        <v>0</v>
      </c>
      <c r="G476">
        <f>HYPERLINK("https://www.google.com/maps/search/?api=1&amp;query=22.22975525,46.77830154", "View Map")</f>
        <v/>
      </c>
    </row>
    <row r="477">
      <c r="A477" t="inlineStr">
        <is>
          <t>ﻤﺴﺎﺠﺩﺍﻟﺨـﺭﺝ .</t>
        </is>
      </c>
      <c r="B477" t="inlineStr">
        <is>
          <t>SMR2320761031123</t>
        </is>
      </c>
      <c r="C477" t="inlineStr">
        <is>
          <t>الخرج</t>
        </is>
      </c>
      <c r="D477" t="inlineStr">
        <is>
          <t>كلا الفترتين</t>
        </is>
      </c>
      <c r="E477" t="n">
        <v>863</v>
      </c>
      <c r="F477" t="b">
        <v>0</v>
      </c>
      <c r="G477">
        <f>HYPERLINK("https://www.google.com/maps/search/?api=1&amp;query=24.10724635,47.26312493", "View Map")</f>
        <v/>
      </c>
    </row>
    <row r="478">
      <c r="A478" t="inlineStr">
        <is>
          <t xml:space="preserve">   اوقاف الخرج /مسجد الشوكاني .</t>
        </is>
      </c>
      <c r="B478" t="inlineStr">
        <is>
          <t>KFM2020660231486</t>
        </is>
      </c>
      <c r="C478" t="inlineStr">
        <is>
          <t>الخرج</t>
        </is>
      </c>
      <c r="D478" t="inlineStr">
        <is>
          <t>كلا الفترتين</t>
        </is>
      </c>
      <c r="E478" t="n">
        <v>855</v>
      </c>
      <c r="F478" t="b">
        <v>1</v>
      </c>
      <c r="G478">
        <f>HYPERLINK("https://www.google.com/maps/search/?api=1&amp;query=24.17094571,47.34012958", "View Map")</f>
        <v/>
      </c>
    </row>
    <row r="479">
      <c r="A479" t="inlineStr">
        <is>
          <t xml:space="preserve">       جامع البصري .</t>
        </is>
      </c>
      <c r="B479" t="inlineStr">
        <is>
          <t>KFM2020660210948</t>
        </is>
      </c>
      <c r="C479" t="inlineStr">
        <is>
          <t>الخرج</t>
        </is>
      </c>
      <c r="D479" t="inlineStr">
        <is>
          <t>كلا الفترتين</t>
        </is>
      </c>
      <c r="E479" t="n">
        <v>847</v>
      </c>
      <c r="F479" t="b">
        <v>1</v>
      </c>
      <c r="G479">
        <f>HYPERLINK("https://www.google.com/maps/search/?api=1&amp;query=24.11432,47.28085", "View Map")</f>
        <v/>
      </c>
    </row>
    <row r="480">
      <c r="A480" t="inlineStr">
        <is>
          <t>ﻤﺴﺎﺠﺩﺍﻟﺨـﺭﺝ .</t>
        </is>
      </c>
      <c r="B480" t="inlineStr">
        <is>
          <t>DZG2020890026735</t>
        </is>
      </c>
      <c r="C480" t="inlineStr">
        <is>
          <t>الخرج</t>
        </is>
      </c>
      <c r="D480" t="inlineStr">
        <is>
          <t>كلا الفترتين</t>
        </is>
      </c>
      <c r="E480" t="n">
        <v>845</v>
      </c>
      <c r="F480" t="b">
        <v>0</v>
      </c>
      <c r="G480">
        <f>HYPERLINK("https://www.google.com/maps/search/?api=1&amp;query=24.09442,47.27492", "View Map")</f>
        <v/>
      </c>
    </row>
    <row r="481">
      <c r="A481" t="inlineStr">
        <is>
          <t>ﻤﺴﺎﺠﺩﺍﻟﺨـﺭﺝ .</t>
        </is>
      </c>
      <c r="B481" t="inlineStr">
        <is>
          <t>SMR2020765004996</t>
        </is>
      </c>
      <c r="C481" t="inlineStr">
        <is>
          <t>الخرج</t>
        </is>
      </c>
      <c r="D481" t="inlineStr">
        <is>
          <t>كلا الفترتين</t>
        </is>
      </c>
      <c r="E481" t="n">
        <v>842</v>
      </c>
      <c r="F481" t="b">
        <v>0</v>
      </c>
      <c r="G481">
        <f>HYPERLINK("https://www.google.com/maps/search/?api=1&amp;query=24.0945035,47.27503035", "View Map")</f>
        <v/>
      </c>
    </row>
    <row r="482">
      <c r="A482" t="inlineStr">
        <is>
          <t xml:space="preserve">   مسجد / سعيد بن المسيب .</t>
        </is>
      </c>
      <c r="B482" t="inlineStr">
        <is>
          <t>KFM2120660270820</t>
        </is>
      </c>
      <c r="C482" t="inlineStr">
        <is>
          <t>الخرج</t>
        </is>
      </c>
      <c r="D482" t="inlineStr">
        <is>
          <t>كلا الفترتين</t>
        </is>
      </c>
      <c r="E482" t="n">
        <v>839</v>
      </c>
      <c r="F482" t="b">
        <v>1</v>
      </c>
      <c r="G482">
        <f>HYPERLINK("https://www.google.com/maps/search/?api=1&amp;query=24.15432739,47.31032128", "View Map")</f>
        <v/>
      </c>
    </row>
    <row r="483">
      <c r="A483" t="inlineStr">
        <is>
          <t xml:space="preserve">      مسجد القبيلى .</t>
        </is>
      </c>
      <c r="B483" t="inlineStr">
        <is>
          <t>KFM2020766167378</t>
        </is>
      </c>
      <c r="C483" t="inlineStr">
        <is>
          <t>حوطة بني تميم</t>
        </is>
      </c>
      <c r="D483" t="inlineStr">
        <is>
          <t>كلا الفترتين</t>
        </is>
      </c>
      <c r="E483" t="n">
        <v>832</v>
      </c>
      <c r="F483" t="b">
        <v>1</v>
      </c>
      <c r="G483">
        <f>HYPERLINK("https://www.google.com/maps/search/?api=1&amp;query=23.48690881,46.84985787", "View Map")</f>
        <v/>
      </c>
    </row>
    <row r="484">
      <c r="A484" t="inlineStr">
        <is>
          <t>ﻤﺴﺎﺠﺩﺍﻟﺨـﺭﺝ .</t>
        </is>
      </c>
      <c r="B484" t="inlineStr">
        <is>
          <t>DZG2020890012868</t>
        </is>
      </c>
      <c r="C484" t="inlineStr">
        <is>
          <t>الخرج</t>
        </is>
      </c>
      <c r="D484" t="inlineStr">
        <is>
          <t>كلا الفترتين</t>
        </is>
      </c>
      <c r="E484" t="n">
        <v>827</v>
      </c>
      <c r="F484" t="b">
        <v>0</v>
      </c>
      <c r="G484">
        <f>HYPERLINK("https://www.google.com/maps/search/?api=1&amp;query=24.13816298,47.37775885", "View Map")</f>
        <v/>
      </c>
    </row>
    <row r="485">
      <c r="A485" t="inlineStr">
        <is>
          <t xml:space="preserve">     جامع العين .</t>
        </is>
      </c>
      <c r="B485" t="inlineStr">
        <is>
          <t>KFM2020760073467</t>
        </is>
      </c>
      <c r="C485" t="inlineStr">
        <is>
          <t>الدلم</t>
        </is>
      </c>
      <c r="D485" t="inlineStr">
        <is>
          <t>كلا الفترتين</t>
        </is>
      </c>
      <c r="E485" t="n">
        <v>823</v>
      </c>
      <c r="F485" t="b">
        <v>0</v>
      </c>
      <c r="G485">
        <f>HYPERLINK("https://www.google.com/maps/search/?api=1&amp;query=24.07704939,46.87847575", "View Map")</f>
        <v/>
      </c>
    </row>
    <row r="486">
      <c r="A486" t="inlineStr">
        <is>
          <t xml:space="preserve">   مسجدالقعقاع ابن عمر بالسلاميه .</t>
        </is>
      </c>
      <c r="B486" t="inlineStr">
        <is>
          <t>KFM2020660205835</t>
        </is>
      </c>
      <c r="C486" t="inlineStr">
        <is>
          <t>حوطة بني تميم</t>
        </is>
      </c>
      <c r="D486" t="inlineStr">
        <is>
          <t>مساءا</t>
        </is>
      </c>
      <c r="E486" t="n">
        <v>823</v>
      </c>
      <c r="F486" t="b">
        <v>0</v>
      </c>
      <c r="G486">
        <f>HYPERLINK("https://www.google.com/maps/search/?api=1&amp;query=23.47713917,46.87367622", "View Map")</f>
        <v/>
      </c>
    </row>
    <row r="487">
      <c r="A487" t="inlineStr">
        <is>
          <t xml:space="preserve">   مسجد-عبدالرحمن الجدوع .</t>
        </is>
      </c>
      <c r="B487" t="inlineStr">
        <is>
          <t>KFM2120660249837</t>
        </is>
      </c>
      <c r="C487" t="inlineStr">
        <is>
          <t>الدلم</t>
        </is>
      </c>
      <c r="D487" t="inlineStr">
        <is>
          <t>مساءا</t>
        </is>
      </c>
      <c r="E487" t="n">
        <v>820</v>
      </c>
      <c r="F487" t="b">
        <v>0</v>
      </c>
      <c r="G487">
        <f>HYPERLINK("https://www.google.com/maps/search/?api=1&amp;query=23.99650315,47.11416247", "View Map")</f>
        <v/>
      </c>
    </row>
    <row r="488">
      <c r="A488" t="inlineStr">
        <is>
          <t xml:space="preserve">      المسجد الجامع بالمحماصى .</t>
        </is>
      </c>
      <c r="B488" t="inlineStr">
        <is>
          <t>KFM2020660207916</t>
        </is>
      </c>
      <c r="C488" t="inlineStr">
        <is>
          <t>الدلم</t>
        </is>
      </c>
      <c r="D488" t="inlineStr">
        <is>
          <t>كلا الفترتين</t>
        </is>
      </c>
      <c r="E488" t="n">
        <v>820</v>
      </c>
      <c r="F488" t="b">
        <v>0</v>
      </c>
      <c r="G488">
        <f>HYPERLINK("https://www.google.com/maps/search/?api=1&amp;query=23.96171152,47.13813179", "View Map")</f>
        <v/>
      </c>
    </row>
    <row r="489">
      <c r="A489" t="inlineStr">
        <is>
          <t xml:space="preserve">      جامع الوداعين بالهدار .</t>
        </is>
      </c>
      <c r="B489" t="inlineStr">
        <is>
          <t>SMR2220661016890</t>
        </is>
      </c>
      <c r="C489" t="inlineStr">
        <is>
          <t>الأفلاج</t>
        </is>
      </c>
      <c r="D489" t="inlineStr">
        <is>
          <t>صباحا</t>
        </is>
      </c>
      <c r="E489" t="n">
        <v>819</v>
      </c>
      <c r="F489" t="b">
        <v>0</v>
      </c>
      <c r="G489">
        <f>HYPERLINK("https://www.google.com/maps/search/?api=1&amp;query=21.97356996,45.94796866", "View Map")</f>
        <v/>
      </c>
    </row>
    <row r="490">
      <c r="A490" t="inlineStr">
        <is>
          <t>ﻤﺴﺎﺠﺩﺍﻟﺨـﺭﺝ .</t>
        </is>
      </c>
      <c r="B490" t="inlineStr">
        <is>
          <t>KFM2120660266813</t>
        </is>
      </c>
      <c r="C490" t="inlineStr">
        <is>
          <t>الخرج</t>
        </is>
      </c>
      <c r="D490" t="inlineStr">
        <is>
          <t>كلا الفترتين</t>
        </is>
      </c>
      <c r="E490" t="n">
        <v>817</v>
      </c>
      <c r="F490" t="b">
        <v>0</v>
      </c>
      <c r="G490">
        <f>HYPERLINK("https://www.google.com/maps/search/?api=1&amp;query=24.0945035,47.27503035", "View Map")</f>
        <v/>
      </c>
    </row>
    <row r="491">
      <c r="A491" t="inlineStr">
        <is>
          <t>مسجد /محمد بن ناصر .</t>
        </is>
      </c>
      <c r="B491" t="inlineStr">
        <is>
          <t>SMR2420661037252</t>
        </is>
      </c>
      <c r="C491" t="inlineStr">
        <is>
          <t>وادي الدواسر</t>
        </is>
      </c>
      <c r="D491" t="inlineStr">
        <is>
          <t>صباحا</t>
        </is>
      </c>
      <c r="E491" t="n">
        <v>816</v>
      </c>
      <c r="F491" t="b">
        <v>0</v>
      </c>
      <c r="G491">
        <f>HYPERLINK("https://www.google.com/maps/search/?api=1&amp;query=20.46119847,44.81774903", "View Map")</f>
        <v/>
      </c>
    </row>
    <row r="492">
      <c r="A492" t="inlineStr">
        <is>
          <t xml:space="preserve">    مسجد ال بن علي .</t>
        </is>
      </c>
      <c r="B492" t="inlineStr">
        <is>
          <t>KFM2020660172291</t>
        </is>
      </c>
      <c r="C492" t="inlineStr">
        <is>
          <t>حوطة بني تميم</t>
        </is>
      </c>
      <c r="D492" t="inlineStr">
        <is>
          <t>مساءا</t>
        </is>
      </c>
      <c r="E492" t="n">
        <v>816</v>
      </c>
      <c r="F492" t="b">
        <v>0</v>
      </c>
      <c r="G492">
        <f>HYPERLINK("https://www.google.com/maps/search/?api=1&amp;query=23.44062939,46.78399949", "View Map")</f>
        <v/>
      </c>
    </row>
    <row r="493">
      <c r="A493" t="inlineStr">
        <is>
          <t>ﻤﺴﺎﺠﺩﺍﻟﺨـﺭﺝ .</t>
        </is>
      </c>
      <c r="B493" t="inlineStr">
        <is>
          <t>KFM2120660245976</t>
        </is>
      </c>
      <c r="C493" t="inlineStr">
        <is>
          <t>الخرج</t>
        </is>
      </c>
      <c r="D493" t="inlineStr">
        <is>
          <t>كلا الفترتين</t>
        </is>
      </c>
      <c r="E493" t="n">
        <v>811</v>
      </c>
      <c r="F493" t="b">
        <v>0</v>
      </c>
      <c r="G493">
        <f>HYPERLINK("https://www.google.com/maps/search/?api=1&amp;query=24.15926797,47.37668168", "View Map")</f>
        <v/>
      </c>
    </row>
    <row r="494">
      <c r="A494" t="inlineStr">
        <is>
          <t xml:space="preserve">   مسجد/عباد بن بشر .</t>
        </is>
      </c>
      <c r="B494" t="inlineStr">
        <is>
          <t>KFM2020660211773</t>
        </is>
      </c>
      <c r="C494" t="inlineStr">
        <is>
          <t>الخرج</t>
        </is>
      </c>
      <c r="D494" t="inlineStr">
        <is>
          <t>كلا الفترتين</t>
        </is>
      </c>
      <c r="E494" t="n">
        <v>806</v>
      </c>
      <c r="F494" t="b">
        <v>0</v>
      </c>
      <c r="G494">
        <f>HYPERLINK("https://www.google.com/maps/search/?api=1&amp;query=24.11119,47.28556", "View Map")</f>
        <v/>
      </c>
    </row>
    <row r="495">
      <c r="A495" t="inlineStr">
        <is>
          <t>ﻤﺴﺎﺠﺩﺍﻟﺨـﺭﺝ .</t>
        </is>
      </c>
      <c r="B495" t="inlineStr">
        <is>
          <t>KFM2020660212921</t>
        </is>
      </c>
      <c r="C495" t="inlineStr">
        <is>
          <t>الخرج</t>
        </is>
      </c>
      <c r="D495" t="inlineStr">
        <is>
          <t>مساءا</t>
        </is>
      </c>
      <c r="E495" t="n">
        <v>797</v>
      </c>
      <c r="F495" t="b">
        <v>1</v>
      </c>
      <c r="G495">
        <f>HYPERLINK("https://www.google.com/maps/search/?api=1&amp;query=24.23245208,47.22206191", "View Map")</f>
        <v/>
      </c>
    </row>
    <row r="496">
      <c r="A496" t="inlineStr">
        <is>
          <t xml:space="preserve">   ادارة     الاوقاف    الغانميه .</t>
        </is>
      </c>
      <c r="B496" t="inlineStr">
        <is>
          <t>AES2020896468149</t>
        </is>
      </c>
      <c r="C496" t="inlineStr">
        <is>
          <t>الأفلاج</t>
        </is>
      </c>
      <c r="D496" t="inlineStr">
        <is>
          <t>مساءا</t>
        </is>
      </c>
      <c r="E496" t="n">
        <v>793</v>
      </c>
      <c r="F496" t="b">
        <v>0</v>
      </c>
      <c r="G496">
        <f>HYPERLINK("https://www.google.com/maps/search/?api=1&amp;query=22.26030828,46.78470532", "View Map")</f>
        <v/>
      </c>
    </row>
    <row r="497">
      <c r="A497" t="inlineStr">
        <is>
          <t xml:space="preserve">   مسجد بن القيم .</t>
        </is>
      </c>
      <c r="B497" t="inlineStr">
        <is>
          <t>KFM2120660249820</t>
        </is>
      </c>
      <c r="C497" t="inlineStr">
        <is>
          <t>الدلم</t>
        </is>
      </c>
      <c r="D497" t="inlineStr">
        <is>
          <t>كلا الفترتين</t>
        </is>
      </c>
      <c r="E497" t="n">
        <v>792</v>
      </c>
      <c r="F497" t="b">
        <v>0</v>
      </c>
      <c r="G497">
        <f>HYPERLINK("https://www.google.com/maps/search/?api=1&amp;query=24.01519589,47.13417083", "View Map")</f>
        <v/>
      </c>
    </row>
    <row r="498">
      <c r="A498" t="inlineStr">
        <is>
          <t xml:space="preserve">   مسجد      سعيد      رزقان .</t>
        </is>
      </c>
      <c r="B498" t="inlineStr">
        <is>
          <t>MMF2020800310800</t>
        </is>
      </c>
      <c r="C498" t="inlineStr">
        <is>
          <t>وادي الدواسر</t>
        </is>
      </c>
      <c r="D498" t="inlineStr">
        <is>
          <t>مساءا</t>
        </is>
      </c>
      <c r="E498" t="n">
        <v>777</v>
      </c>
      <c r="F498" t="b">
        <v>0</v>
      </c>
      <c r="G498">
        <f>HYPERLINK("https://www.google.com/maps/search/?api=1&amp;query=20.43206224,44.89612837", "View Map")</f>
        <v/>
      </c>
    </row>
    <row r="499">
      <c r="A499" t="inlineStr">
        <is>
          <t>ﻤﺴﺎﺠﺩﺍﻟﺨـﺭﺝ .</t>
        </is>
      </c>
      <c r="B499" t="inlineStr">
        <is>
          <t>KFM2020760206461</t>
        </is>
      </c>
      <c r="C499" t="inlineStr">
        <is>
          <t>الخرج</t>
        </is>
      </c>
      <c r="D499" t="inlineStr">
        <is>
          <t>كلا الفترتين</t>
        </is>
      </c>
      <c r="E499" t="n">
        <v>775</v>
      </c>
      <c r="F499" t="b">
        <v>0</v>
      </c>
      <c r="G499">
        <f>HYPERLINK("https://www.google.com/maps/search/?api=1&amp;query=24.09367526,47.26533839", "View Map")</f>
        <v/>
      </c>
    </row>
    <row r="500">
      <c r="A500" t="inlineStr">
        <is>
          <t xml:space="preserve">   ادارةاوقافمسجد      الهواملة .</t>
        </is>
      </c>
      <c r="B500" t="inlineStr">
        <is>
          <t>KFM2020766133693</t>
        </is>
      </c>
      <c r="C500" t="inlineStr">
        <is>
          <t>الأفلاج</t>
        </is>
      </c>
      <c r="D500" t="inlineStr">
        <is>
          <t>صباحا</t>
        </is>
      </c>
      <c r="E500" t="n">
        <v>761</v>
      </c>
      <c r="F500" t="b">
        <v>0</v>
      </c>
      <c r="G500">
        <f>HYPERLINK("https://www.google.com/maps/search/?api=1&amp;query=22.29153773,46.77608533", "View Map")</f>
        <v/>
      </c>
    </row>
    <row r="501">
      <c r="A501" t="inlineStr">
        <is>
          <t xml:space="preserve">   مسجد بن جرمان .</t>
        </is>
      </c>
      <c r="B501" t="inlineStr">
        <is>
          <t>KFM2020660208685</t>
        </is>
      </c>
      <c r="C501" t="inlineStr">
        <is>
          <t>الخرج</t>
        </is>
      </c>
      <c r="D501" t="inlineStr">
        <is>
          <t>كلا الفترتين</t>
        </is>
      </c>
      <c r="E501" t="n">
        <v>760</v>
      </c>
      <c r="F501" t="b">
        <v>0</v>
      </c>
      <c r="G501">
        <f>HYPERLINK("https://www.google.com/maps/search/?api=1&amp;query=24.16798549,47.22101496", "View Map")</f>
        <v/>
      </c>
    </row>
    <row r="502">
      <c r="A502" t="inlineStr">
        <is>
          <t xml:space="preserve">   مسجد خديجه بنت خويلد بالسلاميه .</t>
        </is>
      </c>
      <c r="B502" t="inlineStr">
        <is>
          <t>KFM2120660249905</t>
        </is>
      </c>
      <c r="C502" t="inlineStr">
        <is>
          <t>حوطة بني تميم</t>
        </is>
      </c>
      <c r="D502" t="inlineStr">
        <is>
          <t>مساءا</t>
        </is>
      </c>
      <c r="E502" t="n">
        <v>753</v>
      </c>
      <c r="F502" t="b">
        <v>0</v>
      </c>
      <c r="G502">
        <f>HYPERLINK("https://www.google.com/maps/search/?api=1&amp;query=23.49597424,46.8650224", "View Map")</f>
        <v/>
      </c>
    </row>
    <row r="503">
      <c r="A503" t="inlineStr">
        <is>
          <t xml:space="preserve">   مسجد      منير      الركان .</t>
        </is>
      </c>
      <c r="B503" t="inlineStr">
        <is>
          <t>KFM2020660212707</t>
        </is>
      </c>
      <c r="C503" t="inlineStr">
        <is>
          <t>وادي الدواسر</t>
        </is>
      </c>
      <c r="D503" t="inlineStr">
        <is>
          <t>صباحا</t>
        </is>
      </c>
      <c r="E503" t="n">
        <v>749</v>
      </c>
      <c r="F503" t="b">
        <v>0</v>
      </c>
      <c r="G503">
        <f>HYPERLINK("https://www.google.com/maps/search/?api=1&amp;query=20.46178858,44.73882496", "View Map")</f>
        <v/>
      </c>
    </row>
    <row r="504">
      <c r="A504" t="inlineStr">
        <is>
          <t xml:space="preserve">   مسجد الأمام الحسن بن علي .</t>
        </is>
      </c>
      <c r="B504" t="inlineStr">
        <is>
          <t>KFM2120660245963</t>
        </is>
      </c>
      <c r="C504" t="inlineStr">
        <is>
          <t>الخرج</t>
        </is>
      </c>
      <c r="D504" t="inlineStr">
        <is>
          <t>مساءا</t>
        </is>
      </c>
      <c r="E504" t="n">
        <v>738</v>
      </c>
      <c r="F504" t="b">
        <v>0</v>
      </c>
      <c r="G504">
        <f>HYPERLINK("https://www.google.com/maps/search/?api=1&amp;query=24.12326834,47.26834107", "View Map")</f>
        <v/>
      </c>
    </row>
    <row r="505">
      <c r="A505" t="inlineStr">
        <is>
          <t>ﻤﺴﺎﺠﺩﺍﻟﺨـﺭﺝ .</t>
        </is>
      </c>
      <c r="B505" t="inlineStr">
        <is>
          <t>KFM2020660211010</t>
        </is>
      </c>
      <c r="C505" t="inlineStr">
        <is>
          <t>الخرج</t>
        </is>
      </c>
      <c r="D505" t="inlineStr">
        <is>
          <t>كلا الفترتين</t>
        </is>
      </c>
      <c r="E505" t="n">
        <v>735</v>
      </c>
      <c r="F505" t="b">
        <v>0</v>
      </c>
      <c r="G505">
        <f>HYPERLINK("https://www.google.com/maps/search/?api=1&amp;query=24.13928563,47.27856597", "View Map")</f>
        <v/>
      </c>
    </row>
    <row r="506">
      <c r="A506" t="inlineStr">
        <is>
          <t xml:space="preserve">     مسجد حي الفيصليه -صهيب الرومي- .</t>
        </is>
      </c>
      <c r="B506" t="inlineStr">
        <is>
          <t>KFM2020660229287</t>
        </is>
      </c>
      <c r="C506" t="inlineStr">
        <is>
          <t>الخرج</t>
        </is>
      </c>
      <c r="D506" t="inlineStr">
        <is>
          <t>صباحا</t>
        </is>
      </c>
      <c r="E506" t="n">
        <v>733</v>
      </c>
      <c r="F506" t="b">
        <v>0</v>
      </c>
      <c r="G506">
        <f>HYPERLINK("https://www.google.com/maps/search/?api=1&amp;query=24.16016664,47.35824496", "View Map")</f>
        <v/>
      </c>
    </row>
    <row r="507">
      <c r="A507" t="inlineStr">
        <is>
          <t xml:space="preserve">   اوقاف الخرج --مسجد ابن سارحه .</t>
        </is>
      </c>
      <c r="B507" t="inlineStr">
        <is>
          <t>KFM2020760011832</t>
        </is>
      </c>
      <c r="C507" t="inlineStr">
        <is>
          <t>الخرج</t>
        </is>
      </c>
      <c r="D507" t="inlineStr">
        <is>
          <t>كلا الفترتين</t>
        </is>
      </c>
      <c r="E507" t="n">
        <v>731</v>
      </c>
      <c r="F507" t="b">
        <v>0</v>
      </c>
      <c r="G507">
        <f>HYPERLINK("https://www.google.com/maps/search/?api=1&amp;query=24.15109138,47.36192047", "View Map")</f>
        <v/>
      </c>
    </row>
    <row r="508">
      <c r="A508" t="inlineStr">
        <is>
          <t xml:space="preserve">      مسجد/حسين محمدالحسن .</t>
        </is>
      </c>
      <c r="B508" t="inlineStr">
        <is>
          <t>SMR2220661000522</t>
        </is>
      </c>
      <c r="C508" t="inlineStr">
        <is>
          <t>الخرج</t>
        </is>
      </c>
      <c r="D508" t="inlineStr">
        <is>
          <t>كلا الفترتين</t>
        </is>
      </c>
      <c r="E508" t="n">
        <v>726</v>
      </c>
      <c r="F508" t="b">
        <v>1</v>
      </c>
      <c r="G508">
        <f>HYPERLINK("https://www.google.com/maps/search/?api=1&amp;query=24.15717094,47.32261224", "View Map")</f>
        <v/>
      </c>
    </row>
    <row r="509">
      <c r="A509" t="inlineStr">
        <is>
          <t xml:space="preserve"> اوقاف الخرج/مسجدعثمان بن ابي العاص .</t>
        </is>
      </c>
      <c r="B509" t="inlineStr">
        <is>
          <t>KFM2120660249786</t>
        </is>
      </c>
      <c r="C509" t="inlineStr">
        <is>
          <t>الخرج</t>
        </is>
      </c>
      <c r="D509" t="inlineStr">
        <is>
          <t>كلا الفترتين</t>
        </is>
      </c>
      <c r="E509" t="n">
        <v>724</v>
      </c>
      <c r="F509" t="b">
        <v>0</v>
      </c>
      <c r="G509">
        <f>HYPERLINK("https://www.google.com/maps/search/?api=1&amp;query=24.13978532,47.3646524", "View Map")</f>
        <v/>
      </c>
    </row>
    <row r="510">
      <c r="A510" t="inlineStr">
        <is>
          <t xml:space="preserve">      اوقاف الدواسر/جامع الخماسين .</t>
        </is>
      </c>
      <c r="B510" t="inlineStr">
        <is>
          <t>KFM2020660177858</t>
        </is>
      </c>
      <c r="C510" t="inlineStr">
        <is>
          <t>وادي الدواسر</t>
        </is>
      </c>
      <c r="D510" t="inlineStr">
        <is>
          <t>مساءا</t>
        </is>
      </c>
      <c r="E510" t="n">
        <v>720</v>
      </c>
      <c r="F510" t="b">
        <v>0</v>
      </c>
      <c r="G510">
        <f>HYPERLINK("https://www.google.com/maps/search/?api=1&amp;query=20.47413393,44.78735902", "View Map")</f>
        <v/>
      </c>
    </row>
    <row r="511">
      <c r="A511" t="inlineStr">
        <is>
          <t xml:space="preserve">   ادارة     الأوقاف    مسجد الجوهرة .</t>
        </is>
      </c>
      <c r="B511" t="inlineStr">
        <is>
          <t>KFM2020660206255</t>
        </is>
      </c>
      <c r="C511" t="inlineStr">
        <is>
          <t>وادي الدواسر</t>
        </is>
      </c>
      <c r="D511" t="inlineStr">
        <is>
          <t>صباحا</t>
        </is>
      </c>
      <c r="E511" t="n">
        <v>720</v>
      </c>
      <c r="F511" t="b">
        <v>0</v>
      </c>
      <c r="G511">
        <f>HYPERLINK("https://www.google.com/maps/search/?api=1&amp;query=20.45112597,44.76774079", "View Map")</f>
        <v/>
      </c>
    </row>
    <row r="512">
      <c r="A512" t="inlineStr">
        <is>
          <t>ﻤﺴﺎﺠﺩ ﺍﻟﺨﻤﺎﺴﻴﻥ .</t>
        </is>
      </c>
      <c r="B512" t="inlineStr">
        <is>
          <t>SMR2220661019351</t>
        </is>
      </c>
      <c r="C512" t="inlineStr">
        <is>
          <t>وادي الدواسر</t>
        </is>
      </c>
      <c r="D512" t="inlineStr">
        <is>
          <t>مساءا</t>
        </is>
      </c>
      <c r="E512" t="n">
        <v>718</v>
      </c>
      <c r="F512" t="b">
        <v>1</v>
      </c>
      <c r="G512">
        <f>HYPERLINK("https://www.google.com/maps/search/?api=1&amp;query=20.43509642,44.87205832", "View Map")</f>
        <v/>
      </c>
    </row>
    <row r="513">
      <c r="A513" t="inlineStr">
        <is>
          <t xml:space="preserve">    مسجد على بن ابى طالب .</t>
        </is>
      </c>
      <c r="B513" t="inlineStr">
        <is>
          <t>KFM2020660170108</t>
        </is>
      </c>
      <c r="C513" t="inlineStr">
        <is>
          <t>الأفلاج</t>
        </is>
      </c>
      <c r="D513" t="inlineStr">
        <is>
          <t>صباحا</t>
        </is>
      </c>
      <c r="E513" t="n">
        <v>717</v>
      </c>
      <c r="F513" t="b">
        <v>0</v>
      </c>
      <c r="G513">
        <f>HYPERLINK("https://www.google.com/maps/search/?api=1&amp;query=22.29620549,46.71709825", "View Map")</f>
        <v/>
      </c>
    </row>
    <row r="514">
      <c r="A514" t="inlineStr">
        <is>
          <t xml:space="preserve">   مسجد المبرز/اوقاف السليل .</t>
        </is>
      </c>
      <c r="B514" t="inlineStr">
        <is>
          <t>ECC2020820004682</t>
        </is>
      </c>
      <c r="C514" t="inlineStr">
        <is>
          <t>السليل</t>
        </is>
      </c>
      <c r="D514" t="inlineStr">
        <is>
          <t>صباحا</t>
        </is>
      </c>
      <c r="E514" t="n">
        <v>715</v>
      </c>
      <c r="F514" t="b">
        <v>0</v>
      </c>
      <c r="G514">
        <f>HYPERLINK("https://www.google.com/maps/search/?api=1&amp;query=20.46636605,45.57404965", "View Map")</f>
        <v/>
      </c>
    </row>
    <row r="515">
      <c r="A515" t="inlineStr">
        <is>
          <t>ﻤﺴﺎﺠﺩﺍﻟﺨـﺭﺝ .</t>
        </is>
      </c>
      <c r="B515" t="inlineStr">
        <is>
          <t>SMR2120765018773</t>
        </is>
      </c>
      <c r="C515" t="inlineStr">
        <is>
          <t>الخرج</t>
        </is>
      </c>
      <c r="D515" t="inlineStr">
        <is>
          <t>كلا الفترتين</t>
        </is>
      </c>
      <c r="E515" t="n">
        <v>713</v>
      </c>
      <c r="F515" t="b">
        <v>0</v>
      </c>
      <c r="G515">
        <f>HYPERLINK("https://www.google.com/maps/search/?api=1&amp;query=24.15223722,47.29734301", "View Map")</f>
        <v/>
      </c>
    </row>
    <row r="516">
      <c r="A516" t="inlineStr">
        <is>
          <t xml:space="preserve">   مسجد / جامع الحسن البصري .</t>
        </is>
      </c>
      <c r="B516" t="inlineStr">
        <is>
          <t>KFM2020660228474</t>
        </is>
      </c>
      <c r="C516" t="inlineStr">
        <is>
          <t>الخرج</t>
        </is>
      </c>
      <c r="D516" t="inlineStr">
        <is>
          <t>مساءا</t>
        </is>
      </c>
      <c r="E516" t="n">
        <v>707</v>
      </c>
      <c r="F516" t="b">
        <v>0</v>
      </c>
      <c r="G516">
        <f>HYPERLINK("https://www.google.com/maps/search/?api=1&amp;query=24.15857421,47.32944498", "View Map")</f>
        <v/>
      </c>
    </row>
    <row r="517">
      <c r="A517" t="inlineStr">
        <is>
          <t xml:space="preserve">   مسجد/ عبدالعزيز السعيدان .</t>
        </is>
      </c>
      <c r="B517" t="inlineStr">
        <is>
          <t>KFM2020660223921</t>
        </is>
      </c>
      <c r="C517" t="inlineStr">
        <is>
          <t>الدلم</t>
        </is>
      </c>
      <c r="D517" t="inlineStr">
        <is>
          <t>كلا الفترتين</t>
        </is>
      </c>
      <c r="E517" t="n">
        <v>707</v>
      </c>
      <c r="F517" t="b">
        <v>0</v>
      </c>
      <c r="G517">
        <f>HYPERLINK("https://www.google.com/maps/search/?api=1&amp;query=23.99017149,47.12274875", "View Map")</f>
        <v/>
      </c>
    </row>
    <row r="518">
      <c r="A518" t="inlineStr">
        <is>
          <t>ﻤﺴﺎﺠﺩﺍﻟﺨـﺭﺝ .</t>
        </is>
      </c>
      <c r="B518" t="inlineStr">
        <is>
          <t>KFM2120660292681</t>
        </is>
      </c>
      <c r="C518" t="inlineStr">
        <is>
          <t>الخرج</t>
        </is>
      </c>
      <c r="D518" t="inlineStr">
        <is>
          <t>كلا الفترتين</t>
        </is>
      </c>
      <c r="E518" t="n">
        <v>706</v>
      </c>
      <c r="F518" t="b">
        <v>0</v>
      </c>
      <c r="G518">
        <f>HYPERLINK("https://www.google.com/maps/search/?api=1&amp;query=24.0945035,47.27503035", "View Map")</f>
        <v/>
      </c>
    </row>
    <row r="519">
      <c r="A519" t="inlineStr">
        <is>
          <t xml:space="preserve">   الاوقاف/مسجد الجريوى .</t>
        </is>
      </c>
      <c r="B519" t="inlineStr">
        <is>
          <t>KFM2020660174634</t>
        </is>
      </c>
      <c r="C519" t="inlineStr">
        <is>
          <t>الخرج</t>
        </is>
      </c>
      <c r="D519" t="inlineStr">
        <is>
          <t>كلا الفترتين</t>
        </is>
      </c>
      <c r="E519" t="n">
        <v>704</v>
      </c>
      <c r="F519" t="b">
        <v>0</v>
      </c>
      <c r="G519">
        <f>HYPERLINK("https://www.google.com/maps/search/?api=1&amp;query=24.1256862,47.27311222", "View Map")</f>
        <v/>
      </c>
    </row>
    <row r="520">
      <c r="A520" t="inlineStr">
        <is>
          <t xml:space="preserve">   ادارةالاوقاف(مسجدحي الملك فهد367 .</t>
        </is>
      </c>
      <c r="B520" t="inlineStr">
        <is>
          <t>KFM2020766114052</t>
        </is>
      </c>
      <c r="C520" t="inlineStr">
        <is>
          <t>الأفلاج</t>
        </is>
      </c>
      <c r="D520" t="inlineStr">
        <is>
          <t>صباحا</t>
        </is>
      </c>
      <c r="E520" t="n">
        <v>696</v>
      </c>
      <c r="F520" t="b">
        <v>0</v>
      </c>
      <c r="G520">
        <f>HYPERLINK("https://www.google.com/maps/search/?api=1&amp;query=22.29261946,46.70152718", "View Map")</f>
        <v/>
      </c>
    </row>
    <row r="521">
      <c r="A521" t="inlineStr">
        <is>
          <t>ﻤﺴﺎﺠﺩﺍﻟﺨـﺭﺝ .</t>
        </is>
      </c>
      <c r="B521" t="inlineStr">
        <is>
          <t>KFM2020660177696</t>
        </is>
      </c>
      <c r="C521" t="inlineStr">
        <is>
          <t>الخرج</t>
        </is>
      </c>
      <c r="D521" t="inlineStr">
        <is>
          <t>كلا الفترتين</t>
        </is>
      </c>
      <c r="E521" t="n">
        <v>696</v>
      </c>
      <c r="F521" t="b">
        <v>0</v>
      </c>
      <c r="G521">
        <f>HYPERLINK("https://www.google.com/maps/search/?api=1&amp;query=24.11072902,47.26231676", "View Map")</f>
        <v/>
      </c>
    </row>
    <row r="522">
      <c r="A522" t="inlineStr">
        <is>
          <t xml:space="preserve">   مسجدعلي عبدالرحمن ال جميل/م384 .</t>
        </is>
      </c>
      <c r="B522" t="inlineStr">
        <is>
          <t>KFM2020660200901</t>
        </is>
      </c>
      <c r="C522" t="inlineStr">
        <is>
          <t>حوطة بني تميم</t>
        </is>
      </c>
      <c r="D522" t="inlineStr">
        <is>
          <t>صباحا</t>
        </is>
      </c>
      <c r="E522" t="n">
        <v>691</v>
      </c>
      <c r="F522" t="b">
        <v>0</v>
      </c>
      <c r="G522">
        <f>HYPERLINK("https://www.google.com/maps/search/?api=1&amp;query=23.49176337,46.86072997", "View Map")</f>
        <v/>
      </c>
    </row>
    <row r="523">
      <c r="A523" t="inlineStr">
        <is>
          <t>ﻤﺴﺎﺠﺩﺍﻟﺨـﺭﺝ .</t>
        </is>
      </c>
      <c r="B523" t="inlineStr">
        <is>
          <t>KFM2020660207986</t>
        </is>
      </c>
      <c r="C523" t="inlineStr">
        <is>
          <t>الخرج</t>
        </is>
      </c>
      <c r="D523" t="inlineStr">
        <is>
          <t>كلا الفترتين</t>
        </is>
      </c>
      <c r="E523" t="n">
        <v>690</v>
      </c>
      <c r="F523" t="b">
        <v>1</v>
      </c>
      <c r="G523">
        <f>HYPERLINK("https://www.google.com/maps/search/?api=1&amp;query=24.10752162,47.27322458", "View Map")</f>
        <v/>
      </c>
    </row>
    <row r="524">
      <c r="A524" t="inlineStr">
        <is>
          <t xml:space="preserve">   مسجدالبديعهبالبديع .</t>
        </is>
      </c>
      <c r="B524" t="inlineStr">
        <is>
          <t>KFM2020766167875</t>
        </is>
      </c>
      <c r="C524" t="inlineStr">
        <is>
          <t>الأفلاج</t>
        </is>
      </c>
      <c r="D524" t="inlineStr">
        <is>
          <t>مساءا</t>
        </is>
      </c>
      <c r="E524" t="n">
        <v>687</v>
      </c>
      <c r="F524" t="b">
        <v>0</v>
      </c>
      <c r="G524">
        <f>HYPERLINK("https://www.google.com/maps/search/?api=1&amp;query=22.04672455,46.58495079", "View Map")</f>
        <v/>
      </c>
    </row>
    <row r="525">
      <c r="A525" t="inlineStr">
        <is>
          <t xml:space="preserve">      مسجد/عباده بن الصامت .</t>
        </is>
      </c>
      <c r="B525" t="inlineStr">
        <is>
          <t>KFM2020660228569</t>
        </is>
      </c>
      <c r="C525" t="inlineStr">
        <is>
          <t>الخرج</t>
        </is>
      </c>
      <c r="D525" t="inlineStr">
        <is>
          <t>كلا الفترتين</t>
        </is>
      </c>
      <c r="E525" t="n">
        <v>684</v>
      </c>
      <c r="F525" t="b">
        <v>0</v>
      </c>
      <c r="G525">
        <f>HYPERLINK("https://www.google.com/maps/search/?api=1&amp;query=24.16022481,47.34308782", "View Map")</f>
        <v/>
      </c>
    </row>
    <row r="526">
      <c r="A526" t="inlineStr">
        <is>
          <t xml:space="preserve">   مسجد حى السعوديه .</t>
        </is>
      </c>
      <c r="B526" t="inlineStr">
        <is>
          <t>KFM2120660260519</t>
        </is>
      </c>
      <c r="C526" t="inlineStr">
        <is>
          <t>الخرج</t>
        </is>
      </c>
      <c r="D526" t="inlineStr">
        <is>
          <t>كلا الفترتين</t>
        </is>
      </c>
      <c r="E526" t="n">
        <v>684</v>
      </c>
      <c r="F526" t="b">
        <v>0</v>
      </c>
      <c r="G526">
        <f>HYPERLINK("https://www.google.com/maps/search/?api=1&amp;query=24.15136039,47.32975642", "View Map")</f>
        <v/>
      </c>
    </row>
    <row r="527">
      <c r="A527" t="inlineStr">
        <is>
          <t xml:space="preserve">   مسجد      المقابلة  بالخرج .</t>
        </is>
      </c>
      <c r="B527" t="inlineStr">
        <is>
          <t>KFM2020660228349</t>
        </is>
      </c>
      <c r="C527" t="inlineStr">
        <is>
          <t>الخرج</t>
        </is>
      </c>
      <c r="D527" t="inlineStr">
        <is>
          <t>كلا الفترتين</t>
        </is>
      </c>
      <c r="E527" t="n">
        <v>683</v>
      </c>
      <c r="F527" t="b">
        <v>0</v>
      </c>
      <c r="G527">
        <f>HYPERLINK("https://www.google.com/maps/search/?api=1&amp;query=24.1553715,47.32559433", "View Map")</f>
        <v/>
      </c>
    </row>
    <row r="528">
      <c r="A528" t="inlineStr">
        <is>
          <t>مسجد شجاع مبارك .</t>
        </is>
      </c>
      <c r="B528" t="inlineStr">
        <is>
          <t>KFM2120660256277</t>
        </is>
      </c>
      <c r="C528" t="inlineStr">
        <is>
          <t>وادي الدواسر</t>
        </is>
      </c>
      <c r="D528" t="inlineStr">
        <is>
          <t>صباحا</t>
        </is>
      </c>
      <c r="E528" t="n">
        <v>682</v>
      </c>
      <c r="F528" t="b">
        <v>0</v>
      </c>
      <c r="G528">
        <f>HYPERLINK("https://www.google.com/maps/search/?api=1&amp;query=20.43981078,44.9235643", "View Map")</f>
        <v/>
      </c>
    </row>
    <row r="529">
      <c r="A529" t="inlineStr">
        <is>
          <t xml:space="preserve">   ادارة     الأوقاف    مسجد محمد فه .</t>
        </is>
      </c>
      <c r="B529" t="inlineStr">
        <is>
          <t>AEC2020830311360</t>
        </is>
      </c>
      <c r="C529" t="inlineStr">
        <is>
          <t>وادي الدواسر</t>
        </is>
      </c>
      <c r="D529" t="inlineStr">
        <is>
          <t>مساءا</t>
        </is>
      </c>
      <c r="E529" t="n">
        <v>680</v>
      </c>
      <c r="F529" t="b">
        <v>0</v>
      </c>
      <c r="G529">
        <f>HYPERLINK("https://www.google.com/maps/search/?api=1&amp;query=20.39190812,45.16392887", "View Map")</f>
        <v/>
      </c>
    </row>
    <row r="530">
      <c r="A530" t="inlineStr">
        <is>
          <t>مسجد ام نايف عبدالله ابالحسن .</t>
        </is>
      </c>
      <c r="B530" t="inlineStr">
        <is>
          <t>KFM2020660170515</t>
        </is>
      </c>
      <c r="C530" t="inlineStr">
        <is>
          <t>الدلم</t>
        </is>
      </c>
      <c r="D530" t="inlineStr">
        <is>
          <t>مساءا</t>
        </is>
      </c>
      <c r="E530" t="n">
        <v>678</v>
      </c>
      <c r="F530" t="b">
        <v>1</v>
      </c>
      <c r="G530">
        <f>HYPERLINK("https://www.google.com/maps/search/?api=1&amp;query=23.98965598,47.11856822", "View Map")</f>
        <v/>
      </c>
    </row>
    <row r="531">
      <c r="A531" t="inlineStr">
        <is>
          <t xml:space="preserve">   مسجد / علي ال منيف .</t>
        </is>
      </c>
      <c r="B531" t="inlineStr">
        <is>
          <t>KFM2120660274622</t>
        </is>
      </c>
      <c r="C531" t="inlineStr">
        <is>
          <t>الدلم</t>
        </is>
      </c>
      <c r="D531" t="inlineStr">
        <is>
          <t>مساءا</t>
        </is>
      </c>
      <c r="E531" t="n">
        <v>676</v>
      </c>
      <c r="F531" t="b">
        <v>0</v>
      </c>
      <c r="G531">
        <f>HYPERLINK("https://www.google.com/maps/search/?api=1&amp;query=23.99555109,47.15098823", "View Map")</f>
        <v/>
      </c>
    </row>
    <row r="532">
      <c r="A532" t="inlineStr">
        <is>
          <t>ﻤﺴﺎﺠﺩﺍﻟﺨـﺭﺝ .</t>
        </is>
      </c>
      <c r="B532" t="inlineStr">
        <is>
          <t>KFM2120660245978</t>
        </is>
      </c>
      <c r="C532" t="inlineStr">
        <is>
          <t>الخرج</t>
        </is>
      </c>
      <c r="D532" t="inlineStr">
        <is>
          <t>كلا الفترتين</t>
        </is>
      </c>
      <c r="E532" t="n">
        <v>675</v>
      </c>
      <c r="F532" t="b">
        <v>0</v>
      </c>
      <c r="G532">
        <f>HYPERLINK("https://www.google.com/maps/search/?api=1&amp;query=24.172587,47.37090102", "View Map")</f>
        <v/>
      </c>
    </row>
    <row r="533">
      <c r="A533" t="inlineStr">
        <is>
          <t xml:space="preserve">   ادارةاوقاف(مسجد جنوب الخزان جديد .</t>
        </is>
      </c>
      <c r="B533" t="inlineStr">
        <is>
          <t>KFM2020660165159</t>
        </is>
      </c>
      <c r="C533" t="inlineStr">
        <is>
          <t>الأفلاج</t>
        </is>
      </c>
      <c r="D533" t="inlineStr">
        <is>
          <t>صباحا</t>
        </is>
      </c>
      <c r="E533" t="n">
        <v>672</v>
      </c>
      <c r="F533" t="b">
        <v>1</v>
      </c>
      <c r="G533">
        <f>HYPERLINK("https://www.google.com/maps/search/?api=1&amp;query=22.30408799,46.71432615", "View Map")</f>
        <v/>
      </c>
    </row>
    <row r="534">
      <c r="A534" t="inlineStr">
        <is>
          <t xml:space="preserve">      مسجد/محسن بن ماضى العرجانى .</t>
        </is>
      </c>
      <c r="B534" t="inlineStr">
        <is>
          <t>MMF2020800219042</t>
        </is>
      </c>
      <c r="C534" t="inlineStr">
        <is>
          <t>الخرج</t>
        </is>
      </c>
      <c r="D534" t="inlineStr">
        <is>
          <t>كلا الفترتين</t>
        </is>
      </c>
      <c r="E534" t="n">
        <v>671</v>
      </c>
      <c r="F534" t="b">
        <v>0</v>
      </c>
      <c r="G534">
        <f>HYPERLINK("https://www.google.com/maps/search/?api=1&amp;query=24.19910699,47.30005467", "View Map")</f>
        <v/>
      </c>
    </row>
    <row r="535">
      <c r="A535" t="inlineStr">
        <is>
          <t>ﻤﺴﺎﺠﺩﺍﻟﺨـﺭﺝ .</t>
        </is>
      </c>
      <c r="B535" t="inlineStr">
        <is>
          <t>KFM2020760178760</t>
        </is>
      </c>
      <c r="C535" t="inlineStr">
        <is>
          <t>الخرج</t>
        </is>
      </c>
      <c r="D535" t="inlineStr">
        <is>
          <t>كلا الفترتين</t>
        </is>
      </c>
      <c r="E535" t="n">
        <v>671</v>
      </c>
      <c r="F535" t="b">
        <v>0</v>
      </c>
      <c r="G535">
        <f>HYPERLINK("https://www.google.com/maps/search/?api=1&amp;query=24.10503441,47.28804432", "View Map")</f>
        <v/>
      </c>
    </row>
    <row r="536">
      <c r="A536" t="inlineStr">
        <is>
          <t xml:space="preserve">   مسجد حي القطار .</t>
        </is>
      </c>
      <c r="B536" t="inlineStr">
        <is>
          <t>KFM2120660274744</t>
        </is>
      </c>
      <c r="C536" t="inlineStr">
        <is>
          <t>الخرج</t>
        </is>
      </c>
      <c r="D536" t="inlineStr">
        <is>
          <t>كلا الفترتين</t>
        </is>
      </c>
      <c r="E536" t="n">
        <v>669</v>
      </c>
      <c r="F536" t="b">
        <v>0</v>
      </c>
      <c r="G536">
        <f>HYPERLINK("https://www.google.com/maps/search/?api=1&amp;query=24.24858731,47.35971213", "View Map")</f>
        <v/>
      </c>
    </row>
    <row r="537">
      <c r="A537" t="inlineStr">
        <is>
          <t xml:space="preserve">   مسجد/ منيره عبدالله القعود .</t>
        </is>
      </c>
      <c r="B537" t="inlineStr">
        <is>
          <t>KFM2020660210976</t>
        </is>
      </c>
      <c r="C537" t="inlineStr">
        <is>
          <t>الخرج</t>
        </is>
      </c>
      <c r="D537" t="inlineStr">
        <is>
          <t>كلا الفترتين</t>
        </is>
      </c>
      <c r="E537" t="n">
        <v>669</v>
      </c>
      <c r="F537" t="b">
        <v>1</v>
      </c>
      <c r="G537">
        <f>HYPERLINK("https://www.google.com/maps/search/?api=1&amp;query=24.10705342,47.29107782", "View Map")</f>
        <v/>
      </c>
    </row>
    <row r="538">
      <c r="A538" t="inlineStr">
        <is>
          <t xml:space="preserve">      مسجد الشحيتان .</t>
        </is>
      </c>
      <c r="B538" t="inlineStr">
        <is>
          <t>KFM2120660246009</t>
        </is>
      </c>
      <c r="C538" t="inlineStr">
        <is>
          <t>الخرج</t>
        </is>
      </c>
      <c r="D538" t="inlineStr">
        <is>
          <t>صباحا</t>
        </is>
      </c>
      <c r="E538" t="n">
        <v>666</v>
      </c>
      <c r="F538" t="b">
        <v>0</v>
      </c>
      <c r="G538">
        <f>HYPERLINK("https://www.google.com/maps/search/?api=1&amp;query=24.16174611,47.33567287", "View Map")</f>
        <v/>
      </c>
    </row>
    <row r="539">
      <c r="A539" t="inlineStr">
        <is>
          <t xml:space="preserve">   اوقاف السليل / مسجد رقم 8 .</t>
        </is>
      </c>
      <c r="B539" t="inlineStr">
        <is>
          <t>KFM2020766165863</t>
        </is>
      </c>
      <c r="C539" t="inlineStr">
        <is>
          <t>السليل</t>
        </is>
      </c>
      <c r="D539" t="inlineStr">
        <is>
          <t>صباحا</t>
        </is>
      </c>
      <c r="E539" t="n">
        <v>664</v>
      </c>
      <c r="F539" t="b">
        <v>0</v>
      </c>
      <c r="G539">
        <f>HYPERLINK("https://www.google.com/maps/search/?api=1&amp;query=20.4618748,45.59190344", "View Map")</f>
        <v/>
      </c>
    </row>
    <row r="540">
      <c r="A540" t="inlineStr">
        <is>
          <t xml:space="preserve">   مسجد السريع .</t>
        </is>
      </c>
      <c r="B540" t="inlineStr">
        <is>
          <t>KFM2020766165867</t>
        </is>
      </c>
      <c r="C540" t="inlineStr">
        <is>
          <t>السليل</t>
        </is>
      </c>
      <c r="D540" t="inlineStr">
        <is>
          <t>صباحا</t>
        </is>
      </c>
      <c r="E540" t="n">
        <v>664</v>
      </c>
      <c r="F540" t="b">
        <v>0</v>
      </c>
      <c r="G540">
        <f>HYPERLINK("https://www.google.com/maps/search/?api=1&amp;query=20.46439667,45.59393835", "View Map")</f>
        <v/>
      </c>
    </row>
    <row r="541">
      <c r="A541" t="inlineStr">
        <is>
          <t>ﺍﻟﻤﺴﺎﺠﺩﻭﺍﻟﺩﻋﻭﻩ ﺍﻻﺭﺸﺎﺩ ﺒﺎﻻﻓﻼﺝ .</t>
        </is>
      </c>
      <c r="B541" t="inlineStr">
        <is>
          <t>ECC2020811063262</t>
        </is>
      </c>
      <c r="C541" t="inlineStr">
        <is>
          <t>الأفلاج</t>
        </is>
      </c>
      <c r="D541" t="inlineStr">
        <is>
          <t>مساءا</t>
        </is>
      </c>
      <c r="E541" t="n">
        <v>664</v>
      </c>
      <c r="F541" t="b">
        <v>0</v>
      </c>
      <c r="G541">
        <f>HYPERLINK("https://www.google.com/maps/search/?api=1&amp;query=22.43369286,46.18849436", "View Map")</f>
        <v/>
      </c>
    </row>
    <row r="542">
      <c r="A542" t="inlineStr">
        <is>
          <t>ﻤﺴﺎﺠﺩﺍﻟﺨـﺭﺝ .</t>
        </is>
      </c>
      <c r="B542" t="inlineStr">
        <is>
          <t>DZG2020890014998</t>
        </is>
      </c>
      <c r="C542" t="inlineStr">
        <is>
          <t>الخرج</t>
        </is>
      </c>
      <c r="D542" t="inlineStr">
        <is>
          <t>كلا الفترتين</t>
        </is>
      </c>
      <c r="E542" t="n">
        <v>661</v>
      </c>
      <c r="F542" t="b">
        <v>1</v>
      </c>
      <c r="G542">
        <f>HYPERLINK("https://www.google.com/maps/search/?api=1&amp;query=24.09442,47.27492", "View Map")</f>
        <v/>
      </c>
    </row>
    <row r="543">
      <c r="A543" t="inlineStr">
        <is>
          <t>ﻤﺴﺎﺠﺩﺍﻟﺨـﺭﺝ .</t>
        </is>
      </c>
      <c r="B543" t="inlineStr">
        <is>
          <t>SMR2220661016885</t>
        </is>
      </c>
      <c r="C543" t="inlineStr">
        <is>
          <t>الخرج</t>
        </is>
      </c>
      <c r="D543" t="inlineStr">
        <is>
          <t>كلا الفترتين</t>
        </is>
      </c>
      <c r="E543" t="n">
        <v>659</v>
      </c>
      <c r="F543" t="b">
        <v>0</v>
      </c>
      <c r="G543">
        <f>HYPERLINK("https://www.google.com/maps/search/?api=1&amp;query=24.16624328,47.25730586", "View Map")</f>
        <v/>
      </c>
    </row>
    <row r="544">
      <c r="A544" t="inlineStr">
        <is>
          <t xml:space="preserve">   جامع العفجه .</t>
        </is>
      </c>
      <c r="B544" t="inlineStr">
        <is>
          <t>KFM2120660272879</t>
        </is>
      </c>
      <c r="C544" t="inlineStr">
        <is>
          <t>الخرج</t>
        </is>
      </c>
      <c r="D544" t="inlineStr">
        <is>
          <t>كلا الفترتين</t>
        </is>
      </c>
      <c r="E544" t="n">
        <v>658</v>
      </c>
      <c r="F544" t="b">
        <v>0</v>
      </c>
      <c r="G544">
        <f>HYPERLINK("https://www.google.com/maps/search/?api=1&amp;query=24.22438749,47.20591254", "View Map")</f>
        <v/>
      </c>
    </row>
    <row r="545">
      <c r="A545" t="inlineStr">
        <is>
          <t xml:space="preserve">     مســــجد البــدع .</t>
        </is>
      </c>
      <c r="B545" t="inlineStr">
        <is>
          <t>KFM2020660231701</t>
        </is>
      </c>
      <c r="C545" t="inlineStr">
        <is>
          <t>الخرج</t>
        </is>
      </c>
      <c r="D545" t="inlineStr">
        <is>
          <t>كلا الفترتين</t>
        </is>
      </c>
      <c r="E545" t="n">
        <v>656</v>
      </c>
      <c r="F545" t="b">
        <v>0</v>
      </c>
      <c r="G545">
        <f>HYPERLINK("https://www.google.com/maps/search/?api=1&amp;query=24.2074,47.25553", "View Map")</f>
        <v/>
      </c>
    </row>
    <row r="546">
      <c r="A546" t="inlineStr">
        <is>
          <t xml:space="preserve">   اوقاف الخرج/مسجد عقبة بن عامر .</t>
        </is>
      </c>
      <c r="B546" t="inlineStr">
        <is>
          <t>KFM2020660230780</t>
        </is>
      </c>
      <c r="C546" t="inlineStr">
        <is>
          <t>الخرج</t>
        </is>
      </c>
      <c r="D546" t="inlineStr">
        <is>
          <t>كلا الفترتين</t>
        </is>
      </c>
      <c r="E546" t="n">
        <v>652</v>
      </c>
      <c r="F546" t="b">
        <v>0</v>
      </c>
      <c r="G546">
        <f>HYPERLINK("https://www.google.com/maps/search/?api=1&amp;query=24.14735591,47.36999387", "View Map")</f>
        <v/>
      </c>
    </row>
    <row r="547">
      <c r="A547" t="inlineStr">
        <is>
          <t>ﻤﺴﺎﺠﺩﺍﻟﺨـﺭﺝ .</t>
        </is>
      </c>
      <c r="B547" t="inlineStr">
        <is>
          <t>KFM2120660273252</t>
        </is>
      </c>
      <c r="C547" t="inlineStr">
        <is>
          <t>الخرج</t>
        </is>
      </c>
      <c r="D547" t="inlineStr">
        <is>
          <t>كلا الفترتين</t>
        </is>
      </c>
      <c r="E547" t="n">
        <v>652</v>
      </c>
      <c r="F547" t="b">
        <v>0</v>
      </c>
      <c r="G547">
        <f>HYPERLINK("https://www.google.com/maps/search/?api=1&amp;query=24.0945035,47.27503035", "View Map")</f>
        <v/>
      </c>
    </row>
    <row r="548">
      <c r="A548" t="inlineStr">
        <is>
          <t>ﻤﺴﺎﺠﺩ ﺍﻟﺨﻤﺎﺴﻴﻥ .</t>
        </is>
      </c>
      <c r="B548" t="inlineStr">
        <is>
          <t>MMF2020800321321</t>
        </is>
      </c>
      <c r="C548" t="inlineStr">
        <is>
          <t>وادي الدواسر</t>
        </is>
      </c>
      <c r="D548" t="inlineStr">
        <is>
          <t>صباحا</t>
        </is>
      </c>
      <c r="E548" t="n">
        <v>643</v>
      </c>
      <c r="F548" t="b">
        <v>1</v>
      </c>
      <c r="G548">
        <f>HYPERLINK("https://www.google.com/maps/search/?api=1&amp;query=20.4503241,44.8405842", "View Map")</f>
        <v/>
      </c>
    </row>
    <row r="549">
      <c r="A549" t="inlineStr">
        <is>
          <t xml:space="preserve">     مسجد / فالح فهيد عايض .</t>
        </is>
      </c>
      <c r="B549" t="inlineStr">
        <is>
          <t>LYE2020810266527</t>
        </is>
      </c>
      <c r="C549" t="inlineStr">
        <is>
          <t>السليل</t>
        </is>
      </c>
      <c r="D549" t="inlineStr">
        <is>
          <t>مساءا</t>
        </is>
      </c>
      <c r="E549" t="n">
        <v>637</v>
      </c>
      <c r="F549" t="b">
        <v>0</v>
      </c>
      <c r="G549">
        <f>HYPERLINK("https://www.google.com/maps/search/?api=1&amp;query=20.58834208,45.70959718", "View Map")</f>
        <v/>
      </c>
    </row>
    <row r="550">
      <c r="A550" t="inlineStr">
        <is>
          <t xml:space="preserve">        مسجد ال فقشان اوقاف الدواسر .</t>
        </is>
      </c>
      <c r="B550" t="inlineStr">
        <is>
          <t>MMF2020800319447</t>
        </is>
      </c>
      <c r="C550" t="inlineStr">
        <is>
          <t>وادي الدواسر</t>
        </is>
      </c>
      <c r="D550" t="inlineStr">
        <is>
          <t>مساءا</t>
        </is>
      </c>
      <c r="E550" t="n">
        <v>625</v>
      </c>
      <c r="F550" t="b">
        <v>0</v>
      </c>
      <c r="G550">
        <f>HYPERLINK("https://www.google.com/maps/search/?api=1&amp;query=20.4570323,44.83484397", "View Map")</f>
        <v/>
      </c>
    </row>
    <row r="551">
      <c r="A551" t="inlineStr">
        <is>
          <t xml:space="preserve">   اوقاف الخرج /مسجد الحكم بن هشام .</t>
        </is>
      </c>
      <c r="B551" t="inlineStr">
        <is>
          <t>KFM2020660230216</t>
        </is>
      </c>
      <c r="C551" t="inlineStr">
        <is>
          <t>الخرج</t>
        </is>
      </c>
      <c r="D551" t="inlineStr">
        <is>
          <t>كلا الفترتين</t>
        </is>
      </c>
      <c r="E551" t="n">
        <v>625</v>
      </c>
      <c r="F551" t="b">
        <v>0</v>
      </c>
      <c r="G551">
        <f>HYPERLINK("https://www.google.com/maps/search/?api=1&amp;query=24.14195455,47.35611666", "View Map")</f>
        <v/>
      </c>
    </row>
    <row r="552">
      <c r="A552" t="inlineStr">
        <is>
          <t xml:space="preserve">   جامع الرفيعة الشمالي .</t>
        </is>
      </c>
      <c r="B552" t="inlineStr">
        <is>
          <t>KFM2020660203833</t>
        </is>
      </c>
      <c r="C552" t="inlineStr">
        <is>
          <t>الخرج</t>
        </is>
      </c>
      <c r="D552" t="inlineStr">
        <is>
          <t>كلا الفترتين</t>
        </is>
      </c>
      <c r="E552" t="n">
        <v>624</v>
      </c>
      <c r="F552" t="b">
        <v>0</v>
      </c>
      <c r="G552">
        <f>HYPERLINK("https://www.google.com/maps/search/?api=1&amp;query=24.19345316,47.26475986", "View Map")</f>
        <v/>
      </c>
    </row>
    <row r="553">
      <c r="A553" t="inlineStr">
        <is>
          <t xml:space="preserve">   المسجد الاوسط بالدلم .</t>
        </is>
      </c>
      <c r="B553" t="inlineStr">
        <is>
          <t>KFM2120660257155</t>
        </is>
      </c>
      <c r="C553" t="inlineStr">
        <is>
          <t>الدلم</t>
        </is>
      </c>
      <c r="D553" t="inlineStr">
        <is>
          <t>مساءا</t>
        </is>
      </c>
      <c r="E553" t="n">
        <v>622</v>
      </c>
      <c r="F553" t="b">
        <v>0</v>
      </c>
      <c r="G553">
        <f>HYPERLINK("https://www.google.com/maps/search/?api=1&amp;query=23.99597167,47.15871177", "View Map")</f>
        <v/>
      </c>
    </row>
    <row r="554">
      <c r="A554" t="inlineStr">
        <is>
          <t>ﻤﺴﺎﺠﺩ ﺍﻟﺴﻟﻴﻝ .</t>
        </is>
      </c>
      <c r="B554" t="inlineStr">
        <is>
          <t>AES2020896348511</t>
        </is>
      </c>
      <c r="C554" t="inlineStr">
        <is>
          <t>السليل</t>
        </is>
      </c>
      <c r="D554" t="inlineStr">
        <is>
          <t>مساءا</t>
        </is>
      </c>
      <c r="E554" t="n">
        <v>619</v>
      </c>
      <c r="F554" t="b">
        <v>0</v>
      </c>
      <c r="G554">
        <f>HYPERLINK("https://www.google.com/maps/search/?api=1&amp;query=20.48493929,45.5530111", "View Map")</f>
        <v/>
      </c>
    </row>
    <row r="555">
      <c r="A555" t="inlineStr">
        <is>
          <t>ﻤﺴﺎﺠﺩﺍﻟﺨـﺭﺝ .</t>
        </is>
      </c>
      <c r="B555" t="inlineStr">
        <is>
          <t>KFM2020660230187</t>
        </is>
      </c>
      <c r="C555" t="inlineStr">
        <is>
          <t>الخرج</t>
        </is>
      </c>
      <c r="D555" t="inlineStr">
        <is>
          <t>كلا الفترتين</t>
        </is>
      </c>
      <c r="E555" t="n">
        <v>608</v>
      </c>
      <c r="F555" t="b">
        <v>0</v>
      </c>
      <c r="G555">
        <f>HYPERLINK("https://www.google.com/maps/search/?api=1&amp;query=24.16326893,47.31232745", "View Map")</f>
        <v/>
      </c>
    </row>
    <row r="556">
      <c r="A556" t="inlineStr">
        <is>
          <t>ﻤﺴﺎﺠﺩﺍﻟﺨـﺭﺝ .</t>
        </is>
      </c>
      <c r="B556" t="inlineStr">
        <is>
          <t>AEC2020830270981</t>
        </is>
      </c>
      <c r="C556" t="inlineStr">
        <is>
          <t>الخرج</t>
        </is>
      </c>
      <c r="D556" t="inlineStr">
        <is>
          <t>كلا الفترتين</t>
        </is>
      </c>
      <c r="E556" t="n">
        <v>608</v>
      </c>
      <c r="F556" t="b">
        <v>0</v>
      </c>
      <c r="G556">
        <f>HYPERLINK("https://www.google.com/maps/search/?api=1&amp;query=24.14955868,47.373937", "View Map")</f>
        <v/>
      </c>
    </row>
    <row r="557">
      <c r="A557" t="inlineStr">
        <is>
          <t xml:space="preserve">      مسجد عبدالله الزهرانى .</t>
        </is>
      </c>
      <c r="B557" t="inlineStr">
        <is>
          <t>KFM2020660228565</t>
        </is>
      </c>
      <c r="C557" t="inlineStr">
        <is>
          <t>الخرج</t>
        </is>
      </c>
      <c r="D557" t="inlineStr">
        <is>
          <t>كلا الفترتين</t>
        </is>
      </c>
      <c r="E557" t="n">
        <v>607</v>
      </c>
      <c r="F557" t="b">
        <v>0</v>
      </c>
      <c r="G557">
        <f>HYPERLINK("https://www.google.com/maps/search/?api=1&amp;query=24.15643066,47.34191796", "View Map")</f>
        <v/>
      </c>
    </row>
    <row r="558">
      <c r="A558" t="inlineStr">
        <is>
          <t xml:space="preserve">   مسجد      ابوهريرة  بالافلاج .</t>
        </is>
      </c>
      <c r="B558" t="inlineStr">
        <is>
          <t>KFM2120660252706</t>
        </is>
      </c>
      <c r="C558" t="inlineStr">
        <is>
          <t>الأفلاج</t>
        </is>
      </c>
      <c r="D558" t="inlineStr">
        <is>
          <t>صباحا</t>
        </is>
      </c>
      <c r="E558" t="n">
        <v>606</v>
      </c>
      <c r="F558" t="b">
        <v>0</v>
      </c>
      <c r="G558">
        <f>HYPERLINK("https://www.google.com/maps/search/?api=1&amp;query=22.2887865,46.72974124", "View Map")</f>
        <v/>
      </c>
    </row>
    <row r="559">
      <c r="A559" t="inlineStr">
        <is>
          <t xml:space="preserve">      مسجد العيون /عبداللهالسحيبانى .</t>
        </is>
      </c>
      <c r="B559" t="inlineStr">
        <is>
          <t>MMF2020800218822</t>
        </is>
      </c>
      <c r="C559" t="inlineStr">
        <is>
          <t>الخرج</t>
        </is>
      </c>
      <c r="D559" t="inlineStr">
        <is>
          <t>مساءا</t>
        </is>
      </c>
      <c r="E559" t="n">
        <v>600</v>
      </c>
      <c r="F559" t="b">
        <v>0</v>
      </c>
      <c r="G559">
        <f>HYPERLINK("https://www.google.com/maps/search/?api=1&amp;query=24.18650434,47.27695", "View Map")</f>
        <v/>
      </c>
    </row>
    <row r="560">
      <c r="A560" t="inlineStr">
        <is>
          <t xml:space="preserve">   مسـجد الامـام النسائي /مشرف .</t>
        </is>
      </c>
      <c r="B560" t="inlineStr">
        <is>
          <t>KFM2120660245956</t>
        </is>
      </c>
      <c r="C560" t="inlineStr">
        <is>
          <t>الخرج</t>
        </is>
      </c>
      <c r="D560" t="inlineStr">
        <is>
          <t>كلا الفترتين</t>
        </is>
      </c>
      <c r="E560" t="n">
        <v>599</v>
      </c>
      <c r="F560" t="b">
        <v>0</v>
      </c>
      <c r="G560">
        <f>HYPERLINK("https://www.google.com/maps/search/?api=1&amp;query=24.11484298,47.27191886", "View Map")</f>
        <v/>
      </c>
    </row>
    <row r="561">
      <c r="A561" t="inlineStr">
        <is>
          <t>ﻤﺴﺎﺠﺩ ﺍﻟﺨﻤﺎﺴﻴﻥ .</t>
        </is>
      </c>
      <c r="B561" t="inlineStr">
        <is>
          <t>MMF2020800321325</t>
        </is>
      </c>
      <c r="C561" t="inlineStr">
        <is>
          <t>وادي الدواسر</t>
        </is>
      </c>
      <c r="D561" t="inlineStr">
        <is>
          <t>مساءا</t>
        </is>
      </c>
      <c r="E561" t="n">
        <v>596</v>
      </c>
      <c r="F561" t="b">
        <v>0</v>
      </c>
      <c r="G561">
        <f>HYPERLINK("https://www.google.com/maps/search/?api=1&amp;query=20.4503241,44.8405842", "View Map")</f>
        <v/>
      </c>
    </row>
    <row r="562">
      <c r="A562" t="inlineStr">
        <is>
          <t>ﺍﻭﻗﺎﻑ ﺍﻟﺩﻟﻡ / ﺍﻟﻤﺴــــــﺎﺠـﺩ .</t>
        </is>
      </c>
      <c r="B562" t="inlineStr">
        <is>
          <t>SMR2120765021076</t>
        </is>
      </c>
      <c r="C562" t="inlineStr">
        <is>
          <t>الخرج</t>
        </is>
      </c>
      <c r="D562" t="inlineStr">
        <is>
          <t>كلا الفترتين</t>
        </is>
      </c>
      <c r="E562" t="n">
        <v>595</v>
      </c>
      <c r="F562" t="b">
        <v>0</v>
      </c>
      <c r="G562">
        <f>HYPERLINK("https://www.google.com/maps/search/?api=1&amp;query=24.15223722,47.29734301", "View Map")</f>
        <v/>
      </c>
    </row>
    <row r="563">
      <c r="A563" t="inlineStr">
        <is>
          <t xml:space="preserve">   جامع ال سالم .</t>
        </is>
      </c>
      <c r="B563" t="inlineStr">
        <is>
          <t>KFM2020660212979</t>
        </is>
      </c>
      <c r="C563" t="inlineStr">
        <is>
          <t>الدلم</t>
        </is>
      </c>
      <c r="D563" t="inlineStr">
        <is>
          <t>مساءا</t>
        </is>
      </c>
      <c r="E563" t="n">
        <v>592</v>
      </c>
      <c r="F563" t="b">
        <v>0</v>
      </c>
      <c r="G563">
        <f>HYPERLINK("https://www.google.com/maps/search/?api=1&amp;query=23.93470198,47.16072685", "View Map")</f>
        <v/>
      </c>
    </row>
    <row r="564">
      <c r="A564" t="inlineStr">
        <is>
          <t xml:space="preserve">   مسجدطرفه بنت فيصل .</t>
        </is>
      </c>
      <c r="B564" t="inlineStr">
        <is>
          <t>KFM2020660230863</t>
        </is>
      </c>
      <c r="C564" t="inlineStr">
        <is>
          <t>حوطة بني تميم</t>
        </is>
      </c>
      <c r="D564" t="inlineStr">
        <is>
          <t>صباحا</t>
        </is>
      </c>
      <c r="E564" t="n">
        <v>591</v>
      </c>
      <c r="F564" t="b">
        <v>0</v>
      </c>
      <c r="G564">
        <f>HYPERLINK("https://www.google.com/maps/search/?api=1&amp;query=23.48422851,46.85184988", "View Map")</f>
        <v/>
      </c>
    </row>
    <row r="565">
      <c r="A565" t="inlineStr">
        <is>
          <t xml:space="preserve">   مسجد       مبارك     ال عريمه .</t>
        </is>
      </c>
      <c r="B565" t="inlineStr">
        <is>
          <t>MMF2020800259425</t>
        </is>
      </c>
      <c r="C565" t="inlineStr">
        <is>
          <t>وادي الدواسر</t>
        </is>
      </c>
      <c r="D565" t="inlineStr">
        <is>
          <t>مساءا</t>
        </is>
      </c>
      <c r="E565" t="n">
        <v>589</v>
      </c>
      <c r="F565" t="b">
        <v>0</v>
      </c>
      <c r="G565">
        <f>HYPERLINK("https://www.google.com/maps/search/?api=1&amp;query=20.46895612,44.76784465", "View Map")</f>
        <v/>
      </c>
    </row>
    <row r="566">
      <c r="A566" t="inlineStr">
        <is>
          <t xml:space="preserve">   مسجد عيد مفوز الشمرى .</t>
        </is>
      </c>
      <c r="B566" t="inlineStr">
        <is>
          <t>KFM2020660177798</t>
        </is>
      </c>
      <c r="C566" t="inlineStr">
        <is>
          <t>الخرج</t>
        </is>
      </c>
      <c r="D566" t="inlineStr">
        <is>
          <t>صباحا</t>
        </is>
      </c>
      <c r="E566" t="n">
        <v>589</v>
      </c>
      <c r="F566" t="b">
        <v>0</v>
      </c>
      <c r="G566">
        <f>HYPERLINK("https://www.google.com/maps/search/?api=1&amp;query=24.13637389,47.28939391", "View Map")</f>
        <v/>
      </c>
    </row>
    <row r="567">
      <c r="A567" t="inlineStr">
        <is>
          <t>ﻤﺴﺎﺠﺩﺍﻟﺨـﺭﺝ .</t>
        </is>
      </c>
      <c r="B567" t="inlineStr">
        <is>
          <t>KFM2120660283124</t>
        </is>
      </c>
      <c r="C567" t="inlineStr">
        <is>
          <t>الخرج</t>
        </is>
      </c>
      <c r="D567" t="inlineStr">
        <is>
          <t>مساءا</t>
        </is>
      </c>
      <c r="E567" t="n">
        <v>583</v>
      </c>
      <c r="F567" t="b">
        <v>0</v>
      </c>
      <c r="G567">
        <f>HYPERLINK("https://www.google.com/maps/search/?api=1&amp;query=23.99141281,47.33102664", "View Map")</f>
        <v/>
      </c>
    </row>
    <row r="568">
      <c r="A568" t="inlineStr">
        <is>
          <t xml:space="preserve">      مسجد الجميعه .</t>
        </is>
      </c>
      <c r="B568" t="inlineStr">
        <is>
          <t>MMF2420701007992</t>
        </is>
      </c>
      <c r="C568" t="inlineStr">
        <is>
          <t>الخرج</t>
        </is>
      </c>
      <c r="D568" t="inlineStr">
        <is>
          <t>كلا الفترتين</t>
        </is>
      </c>
      <c r="E568" t="n">
        <v>582</v>
      </c>
      <c r="F568" t="b">
        <v>0</v>
      </c>
      <c r="G568">
        <f>HYPERLINK("https://www.google.com/maps/search/?api=1&amp;query=24.12786959,47.27723517", "View Map")</f>
        <v/>
      </c>
    </row>
    <row r="569">
      <c r="A569" t="inlineStr">
        <is>
          <t xml:space="preserve">   مسجد الشيخ محمدبن عثيمين .</t>
        </is>
      </c>
      <c r="B569" t="inlineStr">
        <is>
          <t>KFM2120660283202</t>
        </is>
      </c>
      <c r="C569" t="inlineStr">
        <is>
          <t>وادي الدواسر</t>
        </is>
      </c>
      <c r="D569" t="inlineStr">
        <is>
          <t>مساءا</t>
        </is>
      </c>
      <c r="E569" t="n">
        <v>581</v>
      </c>
      <c r="F569" t="b">
        <v>0</v>
      </c>
      <c r="G569">
        <f>HYPERLINK("https://www.google.com/maps/search/?api=1&amp;query=20.46216607,44.78301561", "View Map")</f>
        <v/>
      </c>
    </row>
    <row r="570">
      <c r="A570" t="inlineStr">
        <is>
          <t>مسجد حسان بن ثابت .</t>
        </is>
      </c>
      <c r="B570" t="inlineStr">
        <is>
          <t>MMF2020800299734</t>
        </is>
      </c>
      <c r="C570" t="inlineStr">
        <is>
          <t>وادي الدواسر</t>
        </is>
      </c>
      <c r="D570" t="inlineStr">
        <is>
          <t>مساءا</t>
        </is>
      </c>
      <c r="E570" t="n">
        <v>581</v>
      </c>
      <c r="F570" t="b">
        <v>0</v>
      </c>
      <c r="G570">
        <f>HYPERLINK("https://www.google.com/maps/search/?api=1&amp;query=20.44153651,44.84647715", "View Map")</f>
        <v/>
      </c>
    </row>
    <row r="571">
      <c r="A571" t="inlineStr">
        <is>
          <t>ﻤﺴﺎﺠﺩ ﺍﻟﺴﻟﻴﻝ .</t>
        </is>
      </c>
      <c r="B571" t="inlineStr">
        <is>
          <t>KFM2020760220615</t>
        </is>
      </c>
      <c r="C571" t="inlineStr">
        <is>
          <t>السليل</t>
        </is>
      </c>
      <c r="D571" t="inlineStr">
        <is>
          <t>صباحا</t>
        </is>
      </c>
      <c r="E571" t="n">
        <v>580</v>
      </c>
      <c r="F571" t="b">
        <v>0</v>
      </c>
      <c r="G571">
        <f>HYPERLINK("https://www.google.com/maps/search/?api=1&amp;query=20.44863091,45.59821595", "View Map")</f>
        <v/>
      </c>
    </row>
    <row r="572">
      <c r="A572" t="inlineStr">
        <is>
          <t xml:space="preserve">   مسجد/ابوطــلحه الا نصاري .</t>
        </is>
      </c>
      <c r="B572" t="inlineStr">
        <is>
          <t>KFM2120660292724</t>
        </is>
      </c>
      <c r="C572" t="inlineStr">
        <is>
          <t>الخرج</t>
        </is>
      </c>
      <c r="D572" t="inlineStr">
        <is>
          <t>صباحا</t>
        </is>
      </c>
      <c r="E572" t="n">
        <v>580</v>
      </c>
      <c r="F572" t="b">
        <v>0</v>
      </c>
      <c r="G572">
        <f>HYPERLINK("https://www.google.com/maps/search/?api=1&amp;query=24.15263076,47.36839676", "View Map")</f>
        <v/>
      </c>
    </row>
    <row r="573">
      <c r="A573" t="inlineStr">
        <is>
          <t xml:space="preserve">   مسجدالشيخ صالح ال ع ال الشيخ .</t>
        </is>
      </c>
      <c r="B573" t="inlineStr">
        <is>
          <t>KFM2120660292713</t>
        </is>
      </c>
      <c r="C573" t="inlineStr">
        <is>
          <t>وادي الدواسر</t>
        </is>
      </c>
      <c r="D573" t="inlineStr">
        <is>
          <t>مساءا</t>
        </is>
      </c>
      <c r="E573" t="n">
        <v>578</v>
      </c>
      <c r="F573" t="b">
        <v>1</v>
      </c>
      <c r="G573">
        <f>HYPERLINK("https://www.google.com/maps/search/?api=1&amp;query=20.44883153,44.70033684", "View Map")</f>
        <v/>
      </c>
    </row>
    <row r="574">
      <c r="A574" t="inlineStr">
        <is>
          <t>ﻤﺴﺎﺠﺩ ﺍﻟﺴﻟﻴﻝ .</t>
        </is>
      </c>
      <c r="B574" t="inlineStr">
        <is>
          <t>KFM2120660271430</t>
        </is>
      </c>
      <c r="C574" t="inlineStr">
        <is>
          <t>السليل</t>
        </is>
      </c>
      <c r="D574" t="inlineStr">
        <is>
          <t>مساءا</t>
        </is>
      </c>
      <c r="E574" t="n">
        <v>577</v>
      </c>
      <c r="F574" t="b">
        <v>0</v>
      </c>
      <c r="G574">
        <f>HYPERLINK("https://www.google.com/maps/search/?api=1&amp;query=20.46061723,45.59354143", "View Map")</f>
        <v/>
      </c>
    </row>
    <row r="575">
      <c r="A575" t="inlineStr">
        <is>
          <t xml:space="preserve">   مسجد حي الورود-والدة عمر الحارثي .</t>
        </is>
      </c>
      <c r="B575" t="inlineStr">
        <is>
          <t>KFM2120660272974</t>
        </is>
      </c>
      <c r="C575" t="inlineStr">
        <is>
          <t>الخرج</t>
        </is>
      </c>
      <c r="D575" t="inlineStr">
        <is>
          <t>كلا الفترتين</t>
        </is>
      </c>
      <c r="E575" t="n">
        <v>577</v>
      </c>
      <c r="F575" t="b">
        <v>0</v>
      </c>
      <c r="G575">
        <f>HYPERLINK("https://www.google.com/maps/search/?api=1&amp;query=24.16884382,47.30097531", "View Map")</f>
        <v/>
      </c>
    </row>
    <row r="576">
      <c r="A576" t="inlineStr">
        <is>
          <t xml:space="preserve">   مسجد العيدبالحلوة .</t>
        </is>
      </c>
      <c r="B576" t="inlineStr">
        <is>
          <t>AES2020896436414</t>
        </is>
      </c>
      <c r="C576" t="inlineStr">
        <is>
          <t>حوطة بني تميم</t>
        </is>
      </c>
      <c r="D576" t="inlineStr">
        <is>
          <t>مساءا</t>
        </is>
      </c>
      <c r="E576" t="n">
        <v>576</v>
      </c>
      <c r="F576" t="b">
        <v>0</v>
      </c>
      <c r="G576">
        <f>HYPERLINK("https://www.google.com/maps/search/?api=1&amp;query=23.43561004,46.78499662", "View Map")</f>
        <v/>
      </c>
    </row>
    <row r="577">
      <c r="A577" t="inlineStr">
        <is>
          <t xml:space="preserve">   ادارة     الأوقاف    مسجد آل مرقا .</t>
        </is>
      </c>
      <c r="B577" t="inlineStr">
        <is>
          <t>KFM2020766165908</t>
        </is>
      </c>
      <c r="C577" t="inlineStr">
        <is>
          <t>السليل</t>
        </is>
      </c>
      <c r="D577" t="inlineStr">
        <is>
          <t>مساءا</t>
        </is>
      </c>
      <c r="E577" t="n">
        <v>575</v>
      </c>
      <c r="F577" t="b">
        <v>0</v>
      </c>
      <c r="G577">
        <f>HYPERLINK("https://www.google.com/maps/search/?api=1&amp;query=20.46481889,45.56784072", "View Map")</f>
        <v/>
      </c>
    </row>
    <row r="578">
      <c r="A578" t="inlineStr">
        <is>
          <t xml:space="preserve">   مسجد      سعد       الحطيم .</t>
        </is>
      </c>
      <c r="B578" t="inlineStr">
        <is>
          <t>KFM2020660177650</t>
        </is>
      </c>
      <c r="C578" t="inlineStr">
        <is>
          <t>الخرج</t>
        </is>
      </c>
      <c r="D578" t="inlineStr">
        <is>
          <t>صباحا</t>
        </is>
      </c>
      <c r="E578" t="n">
        <v>573</v>
      </c>
      <c r="F578" t="b">
        <v>0</v>
      </c>
      <c r="G578">
        <f>HYPERLINK("https://www.google.com/maps/search/?api=1&amp;query=24.21638332,47.32697028", "View Map")</f>
        <v/>
      </c>
    </row>
    <row r="579">
      <c r="A579" t="inlineStr">
        <is>
          <t xml:space="preserve">   مسجد ال مرهان .</t>
        </is>
      </c>
      <c r="B579" t="inlineStr">
        <is>
          <t>KFM2020760015068</t>
        </is>
      </c>
      <c r="C579" t="inlineStr">
        <is>
          <t>الخرج</t>
        </is>
      </c>
      <c r="D579" t="inlineStr">
        <is>
          <t>مساءا</t>
        </is>
      </c>
      <c r="E579" t="n">
        <v>570</v>
      </c>
      <c r="F579" t="b">
        <v>0</v>
      </c>
      <c r="G579">
        <f>HYPERLINK("https://www.google.com/maps/search/?api=1&amp;query=24.08398279,47.223657", "View Map")</f>
        <v/>
      </c>
    </row>
    <row r="580">
      <c r="A580" t="inlineStr">
        <is>
          <t xml:space="preserve">   مسجد الحروب بالعزيزيه .</t>
        </is>
      </c>
      <c r="B580" t="inlineStr">
        <is>
          <t>KFM2120660274683</t>
        </is>
      </c>
      <c r="C580" t="inlineStr">
        <is>
          <t>الخرج</t>
        </is>
      </c>
      <c r="D580" t="inlineStr">
        <is>
          <t>كلا الفترتين</t>
        </is>
      </c>
      <c r="E580" t="n">
        <v>570</v>
      </c>
      <c r="F580" t="b">
        <v>0</v>
      </c>
      <c r="G580">
        <f>HYPERLINK("https://www.google.com/maps/search/?api=1&amp;query=24.14565997,47.3011425", "View Map")</f>
        <v/>
      </c>
    </row>
    <row r="581">
      <c r="A581" t="inlineStr">
        <is>
          <t xml:space="preserve">   مسجدجامع النهيتية .</t>
        </is>
      </c>
      <c r="B581" t="inlineStr">
        <is>
          <t>KFM2120660273368</t>
        </is>
      </c>
      <c r="C581" t="inlineStr">
        <is>
          <t>حوطة بني تميم</t>
        </is>
      </c>
      <c r="D581" t="inlineStr">
        <is>
          <t>صباحا</t>
        </is>
      </c>
      <c r="E581" t="n">
        <v>570</v>
      </c>
      <c r="F581" t="b">
        <v>0</v>
      </c>
      <c r="G581">
        <f>HYPERLINK("https://www.google.com/maps/search/?api=1&amp;query=22.85962119,46.03347503", "View Map")</f>
        <v/>
      </c>
    </row>
    <row r="582">
      <c r="A582" t="inlineStr">
        <is>
          <t>ﻤﺴﺎﺠﺩﺍﻟﺨـﺭﺝ .</t>
        </is>
      </c>
      <c r="B582" t="inlineStr">
        <is>
          <t>ECC2420841012282</t>
        </is>
      </c>
      <c r="C582" t="inlineStr">
        <is>
          <t>الخرج</t>
        </is>
      </c>
      <c r="D582" t="inlineStr">
        <is>
          <t>كلا الفترتين</t>
        </is>
      </c>
      <c r="E582" t="n">
        <v>568</v>
      </c>
      <c r="F582" t="b">
        <v>1</v>
      </c>
      <c r="G582">
        <f>HYPERLINK("https://www.google.com/maps/search/?api=1&amp;query=24.15939421,47.26748192", "View Map")</f>
        <v/>
      </c>
    </row>
    <row r="583">
      <c r="A583" t="inlineStr">
        <is>
          <t xml:space="preserve">   مسجد / محطه مبارك عبدالله المطلق .</t>
        </is>
      </c>
      <c r="B583" t="inlineStr">
        <is>
          <t>KFM2120660271491</t>
        </is>
      </c>
      <c r="C583" t="inlineStr">
        <is>
          <t>السليل</t>
        </is>
      </c>
      <c r="D583" t="inlineStr">
        <is>
          <t>مساءا</t>
        </is>
      </c>
      <c r="E583" t="n">
        <v>564</v>
      </c>
      <c r="F583" t="b">
        <v>0</v>
      </c>
      <c r="G583">
        <f>HYPERLINK("https://www.google.com/maps/search/?api=1&amp;query=20.51100161,45.60534941", "View Map")</f>
        <v/>
      </c>
    </row>
    <row r="584">
      <c r="A584" t="inlineStr">
        <is>
          <t xml:space="preserve">   جامع الفاروق .</t>
        </is>
      </c>
      <c r="B584" t="inlineStr">
        <is>
          <t>KFM2120660260563</t>
        </is>
      </c>
      <c r="C584" t="inlineStr">
        <is>
          <t>الخرج</t>
        </is>
      </c>
      <c r="D584" t="inlineStr">
        <is>
          <t>صباحا</t>
        </is>
      </c>
      <c r="E584" t="n">
        <v>563</v>
      </c>
      <c r="F584" t="b">
        <v>0</v>
      </c>
      <c r="G584">
        <f>HYPERLINK("https://www.google.com/maps/search/?api=1&amp;query=24.14954887,47.32866748", "View Map")</f>
        <v/>
      </c>
    </row>
    <row r="585">
      <c r="A585" t="inlineStr">
        <is>
          <t xml:space="preserve">   ادارة     الا وقاف   عمربن الخطاب .</t>
        </is>
      </c>
      <c r="B585" t="inlineStr">
        <is>
          <t>KFM2020660166900</t>
        </is>
      </c>
      <c r="C585" t="inlineStr">
        <is>
          <t>الأفلاج</t>
        </is>
      </c>
      <c r="D585" t="inlineStr">
        <is>
          <t>صباحا</t>
        </is>
      </c>
      <c r="E585" t="n">
        <v>560</v>
      </c>
      <c r="F585" t="b">
        <v>0</v>
      </c>
      <c r="G585">
        <f>HYPERLINK("https://www.google.com/maps/search/?api=1&amp;query=22.29974971,46.727558", "View Map")</f>
        <v/>
      </c>
    </row>
    <row r="586">
      <c r="A586" t="inlineStr">
        <is>
          <t xml:space="preserve">   مسجد الا مام المنذري .</t>
        </is>
      </c>
      <c r="B586" t="inlineStr">
        <is>
          <t>KFM2120660257161</t>
        </is>
      </c>
      <c r="C586" t="inlineStr">
        <is>
          <t>الخرج</t>
        </is>
      </c>
      <c r="D586" t="inlineStr">
        <is>
          <t>صباحا</t>
        </is>
      </c>
      <c r="E586" t="n">
        <v>560</v>
      </c>
      <c r="F586" t="b">
        <v>0</v>
      </c>
      <c r="G586">
        <f>HYPERLINK("https://www.google.com/maps/search/?api=1&amp;query=24.15622105,47.37319424", "View Map")</f>
        <v/>
      </c>
    </row>
    <row r="587">
      <c r="A587" t="inlineStr">
        <is>
          <t>ﻤﺴﺎﺠﺩ ﺍﻟﺨﻤﺎﺴﻴﻥ .</t>
        </is>
      </c>
      <c r="B587" t="inlineStr">
        <is>
          <t>MMF2020800321870</t>
        </is>
      </c>
      <c r="C587" t="inlineStr">
        <is>
          <t>وادي الدواسر</t>
        </is>
      </c>
      <c r="D587" t="inlineStr">
        <is>
          <t>مساءا</t>
        </is>
      </c>
      <c r="E587" t="n">
        <v>557</v>
      </c>
      <c r="F587" t="b">
        <v>0</v>
      </c>
      <c r="G587">
        <f>HYPERLINK("https://www.google.com/maps/search/?api=1&amp;query=20.4503241,44.8405842", "View Map")</f>
        <v/>
      </c>
    </row>
    <row r="588">
      <c r="A588" t="inlineStr">
        <is>
          <t>ﻤﺴﺎﺠﺩ ﺍﻟﺨﻤﺎﺴﻴﻥ .</t>
        </is>
      </c>
      <c r="B588" t="inlineStr">
        <is>
          <t>AEC2020830311412</t>
        </is>
      </c>
      <c r="C588" t="inlineStr">
        <is>
          <t>وادي الدواسر</t>
        </is>
      </c>
      <c r="D588" t="inlineStr">
        <is>
          <t>مساءا</t>
        </is>
      </c>
      <c r="E588" t="n">
        <v>556</v>
      </c>
      <c r="F588" t="b">
        <v>0</v>
      </c>
      <c r="G588">
        <f>HYPERLINK("https://www.google.com/maps/search/?api=1&amp;query=20.43821067,45.13318892", "View Map")</f>
        <v/>
      </c>
    </row>
    <row r="589">
      <c r="A589" t="inlineStr">
        <is>
          <t xml:space="preserve">   جامع الا مام القرطبي .</t>
        </is>
      </c>
      <c r="B589" t="inlineStr">
        <is>
          <t>KFM2020660207924</t>
        </is>
      </c>
      <c r="C589" t="inlineStr">
        <is>
          <t>الخرج</t>
        </is>
      </c>
      <c r="D589" t="inlineStr">
        <is>
          <t>مساءا</t>
        </is>
      </c>
      <c r="E589" t="n">
        <v>556</v>
      </c>
      <c r="F589" t="b">
        <v>0</v>
      </c>
      <c r="G589">
        <f>HYPERLINK("https://www.google.com/maps/search/?api=1&amp;query=24.15973508,47.32334967", "View Map")</f>
        <v/>
      </c>
    </row>
    <row r="590">
      <c r="A590" t="inlineStr">
        <is>
          <t xml:space="preserve">   مسجد/عبدالعزيز الحميد/حي النزهه .</t>
        </is>
      </c>
      <c r="B590" t="inlineStr">
        <is>
          <t>KFM2020660212218</t>
        </is>
      </c>
      <c r="C590" t="inlineStr">
        <is>
          <t>الخرج</t>
        </is>
      </c>
      <c r="D590" t="inlineStr">
        <is>
          <t>كلا الفترتين</t>
        </is>
      </c>
      <c r="E590" t="n">
        <v>555</v>
      </c>
      <c r="F590" t="b">
        <v>0</v>
      </c>
      <c r="G590">
        <f>HYPERLINK("https://www.google.com/maps/search/?api=1&amp;query=24.16278977,47.34621904", "View Map")</f>
        <v/>
      </c>
    </row>
    <row r="591">
      <c r="A591" t="inlineStr">
        <is>
          <t xml:space="preserve">   مسجد النتيقه الجديد .</t>
        </is>
      </c>
      <c r="B591" t="inlineStr">
        <is>
          <t>KFM2020660230861</t>
        </is>
      </c>
      <c r="C591" t="inlineStr">
        <is>
          <t>حوطة بني تميم</t>
        </is>
      </c>
      <c r="D591" t="inlineStr">
        <is>
          <t>صباحا</t>
        </is>
      </c>
      <c r="E591" t="n">
        <v>555</v>
      </c>
      <c r="F591" t="b">
        <v>0</v>
      </c>
      <c r="G591">
        <f>HYPERLINK("https://www.google.com/maps/search/?api=1&amp;query=23.48109461,46.85404673", "View Map")</f>
        <v/>
      </c>
    </row>
    <row r="592">
      <c r="A592" t="inlineStr">
        <is>
          <t xml:space="preserve">   مسجد/ والدة الامير سعد ابن خالد .</t>
        </is>
      </c>
      <c r="B592" t="inlineStr">
        <is>
          <t>KFM2020660231498</t>
        </is>
      </c>
      <c r="C592" t="inlineStr">
        <is>
          <t>الخرج</t>
        </is>
      </c>
      <c r="D592" t="inlineStr">
        <is>
          <t>كلا الفترتين</t>
        </is>
      </c>
      <c r="E592" t="n">
        <v>554</v>
      </c>
      <c r="F592" t="b">
        <v>0</v>
      </c>
      <c r="G592">
        <f>HYPERLINK("https://www.google.com/maps/search/?api=1&amp;query=24.18873325,47.39304827", "View Map")</f>
        <v/>
      </c>
    </row>
    <row r="593">
      <c r="A593" t="inlineStr">
        <is>
          <t xml:space="preserve">   مسجد سعد بن معاذ .</t>
        </is>
      </c>
      <c r="B593" t="inlineStr">
        <is>
          <t>KFM2020660228455</t>
        </is>
      </c>
      <c r="C593" t="inlineStr">
        <is>
          <t>الخرج</t>
        </is>
      </c>
      <c r="D593" t="inlineStr">
        <is>
          <t>كلا الفترتين</t>
        </is>
      </c>
      <c r="E593" t="n">
        <v>552</v>
      </c>
      <c r="F593" t="b">
        <v>0</v>
      </c>
      <c r="G593">
        <f>HYPERLINK("https://www.google.com/maps/search/?api=1&amp;query=24.15359366,47.32684448", "View Map")</f>
        <v/>
      </c>
    </row>
    <row r="594">
      <c r="A594" t="inlineStr">
        <is>
          <t xml:space="preserve">  مسجد عبدالله بن عباس /اوقاف السليل .</t>
        </is>
      </c>
      <c r="B594" t="inlineStr">
        <is>
          <t>KFM2120660271518</t>
        </is>
      </c>
      <c r="C594" t="inlineStr">
        <is>
          <t>السليل</t>
        </is>
      </c>
      <c r="D594" t="inlineStr">
        <is>
          <t>صباحا</t>
        </is>
      </c>
      <c r="E594" t="n">
        <v>551</v>
      </c>
      <c r="F594" t="b">
        <v>1</v>
      </c>
      <c r="G594">
        <f>HYPERLINK("https://www.google.com/maps/search/?api=1&amp;query=20.46351658,45.58946507", "View Map")</f>
        <v/>
      </c>
    </row>
    <row r="595">
      <c r="A595" t="inlineStr">
        <is>
          <t>ﻤﺴﺎﺠﺩ ﺍﻟﺨﻤﺎﺴﻴﻥ .</t>
        </is>
      </c>
      <c r="B595" t="inlineStr">
        <is>
          <t>SMR2220661004608</t>
        </is>
      </c>
      <c r="C595" t="inlineStr">
        <is>
          <t>وادي الدواسر</t>
        </is>
      </c>
      <c r="D595" t="inlineStr">
        <is>
          <t>مساءا</t>
        </is>
      </c>
      <c r="E595" t="n">
        <v>550</v>
      </c>
      <c r="F595" t="b">
        <v>0</v>
      </c>
      <c r="G595">
        <f>HYPERLINK("https://www.google.com/maps/search/?api=1&amp;query=20.43164125,44.73759013", "View Map")</f>
        <v/>
      </c>
    </row>
    <row r="596">
      <c r="A596" t="inlineStr">
        <is>
          <t xml:space="preserve">   مسجد شمال غرب الصحنة .</t>
        </is>
      </c>
      <c r="B596" t="inlineStr">
        <is>
          <t>KFM2020660223891</t>
        </is>
      </c>
      <c r="C596" t="inlineStr">
        <is>
          <t>الدلم</t>
        </is>
      </c>
      <c r="D596" t="inlineStr">
        <is>
          <t>مساءا</t>
        </is>
      </c>
      <c r="E596" t="n">
        <v>547</v>
      </c>
      <c r="F596" t="b">
        <v>0</v>
      </c>
      <c r="G596">
        <f>HYPERLINK("https://www.google.com/maps/search/?api=1&amp;query=23.9933,47.12672", "View Map")</f>
        <v/>
      </c>
    </row>
    <row r="597">
      <c r="A597" t="inlineStr">
        <is>
          <t xml:space="preserve">   اوقاف     الدواسر   مقابل .</t>
        </is>
      </c>
      <c r="B597" t="inlineStr">
        <is>
          <t>KFM2020660174605</t>
        </is>
      </c>
      <c r="C597" t="inlineStr">
        <is>
          <t>وادي الدواسر</t>
        </is>
      </c>
      <c r="D597" t="inlineStr">
        <is>
          <t>مساءا</t>
        </is>
      </c>
      <c r="E597" t="n">
        <v>545</v>
      </c>
      <c r="F597" t="b">
        <v>0</v>
      </c>
      <c r="G597">
        <f>HYPERLINK("https://www.google.com/maps/search/?api=1&amp;query=20.46082216,44.81689011", "View Map")</f>
        <v/>
      </c>
    </row>
    <row r="598">
      <c r="A598" t="inlineStr">
        <is>
          <t>ﻤﺴﺎﺠﺩ ﺍﻟﺨﻤﺎﺴﻴﻥ .</t>
        </is>
      </c>
      <c r="B598" t="inlineStr">
        <is>
          <t>ECC2320831068405</t>
        </is>
      </c>
      <c r="C598" t="inlineStr">
        <is>
          <t>وادي الدواسر</t>
        </is>
      </c>
      <c r="D598" t="inlineStr">
        <is>
          <t>مساءا</t>
        </is>
      </c>
      <c r="E598" t="n">
        <v>544</v>
      </c>
      <c r="F598" t="b">
        <v>0</v>
      </c>
      <c r="G598">
        <f>HYPERLINK("https://www.google.com/maps/search/?api=1&amp;query=20.45399594,44.77589743", "View Map")</f>
        <v/>
      </c>
    </row>
    <row r="599">
      <c r="A599" t="inlineStr">
        <is>
          <t xml:space="preserve">   مسجدالعيدبالعطيان .</t>
        </is>
      </c>
      <c r="B599" t="inlineStr">
        <is>
          <t>ECC2020811029060</t>
        </is>
      </c>
      <c r="C599" t="inlineStr">
        <is>
          <t>حوطة بني تميم</t>
        </is>
      </c>
      <c r="D599" t="inlineStr">
        <is>
          <t>مساءا</t>
        </is>
      </c>
      <c r="E599" t="n">
        <v>541</v>
      </c>
      <c r="F599" t="b">
        <v>0</v>
      </c>
      <c r="G599">
        <f>HYPERLINK("https://www.google.com/maps/search/?api=1&amp;query=23.47322778,46.82676071", "View Map")</f>
        <v/>
      </c>
    </row>
    <row r="600">
      <c r="A600" t="inlineStr">
        <is>
          <t xml:space="preserve">   مسجد عائشة بنت أبي بكر .</t>
        </is>
      </c>
      <c r="B600" t="inlineStr">
        <is>
          <t>KFM2020660223959</t>
        </is>
      </c>
      <c r="C600" t="inlineStr">
        <is>
          <t>الدلم</t>
        </is>
      </c>
      <c r="D600" t="inlineStr">
        <is>
          <t>مساءا</t>
        </is>
      </c>
      <c r="E600" t="n">
        <v>536</v>
      </c>
      <c r="F600" t="b">
        <v>1</v>
      </c>
      <c r="G600">
        <f>HYPERLINK("https://www.google.com/maps/search/?api=1&amp;query=24.00022086,47.11608889", "View Map")</f>
        <v/>
      </c>
    </row>
    <row r="601">
      <c r="A601" t="inlineStr">
        <is>
          <t xml:space="preserve">   مسجد سعيدبن جبير .</t>
        </is>
      </c>
      <c r="B601" t="inlineStr">
        <is>
          <t>KFM2120660290403</t>
        </is>
      </c>
      <c r="C601" t="inlineStr">
        <is>
          <t>حوطة بني تميم</t>
        </is>
      </c>
      <c r="D601" t="inlineStr">
        <is>
          <t>صباحا</t>
        </is>
      </c>
      <c r="E601" t="n">
        <v>534</v>
      </c>
      <c r="F601" t="b">
        <v>0</v>
      </c>
      <c r="G601">
        <f>HYPERLINK("https://www.google.com/maps/search/?api=1&amp;query=23.49982028,46.88758414", "View Map")</f>
        <v/>
      </c>
    </row>
    <row r="602">
      <c r="A602" t="inlineStr">
        <is>
          <t>ﻤﺴﺎﺠﺩ ﺍﻟﺨﻤﺎﺴﻴﻥ .</t>
        </is>
      </c>
      <c r="B602" t="inlineStr">
        <is>
          <t>KFM2020660174588</t>
        </is>
      </c>
      <c r="C602" t="inlineStr">
        <is>
          <t>وادي الدواسر</t>
        </is>
      </c>
      <c r="D602" t="inlineStr">
        <is>
          <t>مساءا</t>
        </is>
      </c>
      <c r="E602" t="n">
        <v>533</v>
      </c>
      <c r="F602" t="b">
        <v>0</v>
      </c>
      <c r="G602">
        <f>HYPERLINK("https://www.google.com/maps/search/?api=1&amp;query=20.45524446,44.72362748", "View Map")</f>
        <v/>
      </c>
    </row>
    <row r="603">
      <c r="A603" t="inlineStr">
        <is>
          <t>ﻤﺴﺎﺠﺩ ﺍﻟﺨﻤﺎﺴﻴﻥ .</t>
        </is>
      </c>
      <c r="B603" t="inlineStr">
        <is>
          <t>KFM2020660223578</t>
        </is>
      </c>
      <c r="C603" t="inlineStr">
        <is>
          <t>وادي الدواسر</t>
        </is>
      </c>
      <c r="D603" t="inlineStr">
        <is>
          <t>مساءا</t>
        </is>
      </c>
      <c r="E603" t="n">
        <v>533</v>
      </c>
      <c r="F603" t="b">
        <v>0</v>
      </c>
      <c r="G603">
        <f>HYPERLINK("https://www.google.com/maps/search/?api=1&amp;query=20.42855621,44.88673964", "View Map")</f>
        <v/>
      </c>
    </row>
    <row r="604">
      <c r="A604" t="inlineStr">
        <is>
          <t xml:space="preserve">      مسجد الشيابين .</t>
        </is>
      </c>
      <c r="B604" t="inlineStr">
        <is>
          <t>KFM2120660270804</t>
        </is>
      </c>
      <c r="C604" t="inlineStr">
        <is>
          <t>الخرج</t>
        </is>
      </c>
      <c r="D604" t="inlineStr">
        <is>
          <t>كلا الفترتين</t>
        </is>
      </c>
      <c r="E604" t="n">
        <v>532</v>
      </c>
      <c r="F604" t="b">
        <v>0</v>
      </c>
      <c r="G604">
        <f>HYPERLINK("https://www.google.com/maps/search/?api=1&amp;query=24.14689316,47.30165313", "View Map")</f>
        <v/>
      </c>
    </row>
    <row r="605">
      <c r="A605" t="inlineStr">
        <is>
          <t xml:space="preserve">   مسجد / محمد بن عبدالوهاب .</t>
        </is>
      </c>
      <c r="B605" t="inlineStr">
        <is>
          <t>KFM2020660174659</t>
        </is>
      </c>
      <c r="C605" t="inlineStr">
        <is>
          <t>وادي الدواسر</t>
        </is>
      </c>
      <c r="D605" t="inlineStr">
        <is>
          <t>مساءا</t>
        </is>
      </c>
      <c r="E605" t="n">
        <v>531</v>
      </c>
      <c r="F605" t="b">
        <v>0</v>
      </c>
      <c r="G605">
        <f>HYPERLINK("https://www.google.com/maps/search/?api=1&amp;query=20.44769901,44.85665624", "View Map")</f>
        <v/>
      </c>
    </row>
    <row r="606">
      <c r="A606" t="inlineStr">
        <is>
          <t xml:space="preserve">   مسجد مناحي بن سحمي المصارير با .</t>
        </is>
      </c>
      <c r="B606" t="inlineStr">
        <is>
          <t>MMF2020800092656</t>
        </is>
      </c>
      <c r="C606" t="inlineStr">
        <is>
          <t>الخرج</t>
        </is>
      </c>
      <c r="D606" t="inlineStr">
        <is>
          <t>كلا الفترتين</t>
        </is>
      </c>
      <c r="E606" t="n">
        <v>529</v>
      </c>
      <c r="F606" t="b">
        <v>0</v>
      </c>
      <c r="G606">
        <f>HYPERLINK("https://www.google.com/maps/search/?api=1&amp;query=24.19486954,47.28440174", "View Map")</f>
        <v/>
      </c>
    </row>
    <row r="607">
      <c r="A607" t="inlineStr">
        <is>
          <t xml:space="preserve">   الاوقاف والمساجد/جامع الشرافا .</t>
        </is>
      </c>
      <c r="B607" t="inlineStr">
        <is>
          <t>KFM2020660174699</t>
        </is>
      </c>
      <c r="C607" t="inlineStr">
        <is>
          <t>وادي الدواسر</t>
        </is>
      </c>
      <c r="D607" t="inlineStr">
        <is>
          <t>مساءا</t>
        </is>
      </c>
      <c r="E607" t="n">
        <v>526</v>
      </c>
      <c r="F607" t="b">
        <v>0</v>
      </c>
      <c r="G607">
        <f>HYPERLINK("https://www.google.com/maps/search/?api=1&amp;query=20.43608919,44.89881443", "View Map")</f>
        <v/>
      </c>
    </row>
    <row r="608">
      <c r="A608" t="inlineStr">
        <is>
          <t xml:space="preserve">      مسجد حى الدوائر .</t>
        </is>
      </c>
      <c r="B608" t="inlineStr">
        <is>
          <t>KFM2020660170237</t>
        </is>
      </c>
      <c r="C608" t="inlineStr">
        <is>
          <t>الأفلاج</t>
        </is>
      </c>
      <c r="D608" t="inlineStr">
        <is>
          <t>مساءا</t>
        </is>
      </c>
      <c r="E608" t="n">
        <v>526</v>
      </c>
      <c r="F608" t="b">
        <v>0</v>
      </c>
      <c r="G608">
        <f>HYPERLINK("https://www.google.com/maps/search/?api=1&amp;query=22.28931011,46.71558238", "View Map")</f>
        <v/>
      </c>
    </row>
    <row r="609">
      <c r="A609" t="inlineStr">
        <is>
          <t xml:space="preserve">   ادارة     الأوقاف    مسجد آل جنبا .</t>
        </is>
      </c>
      <c r="B609" t="inlineStr">
        <is>
          <t>ECC2020820004726</t>
        </is>
      </c>
      <c r="C609" t="inlineStr">
        <is>
          <t>السليل</t>
        </is>
      </c>
      <c r="D609" t="inlineStr">
        <is>
          <t>مساءا</t>
        </is>
      </c>
      <c r="E609" t="n">
        <v>525</v>
      </c>
      <c r="F609" t="b">
        <v>0</v>
      </c>
      <c r="G609">
        <f>HYPERLINK("https://www.google.com/maps/search/?api=1&amp;query=20.46847848,45.57421134", "View Map")</f>
        <v/>
      </c>
    </row>
    <row r="610">
      <c r="A610" t="inlineStr">
        <is>
          <t>ﻤﺴﺎﺠﺩﺍﻟﺨـﺭﺝ .</t>
        </is>
      </c>
      <c r="B610" t="inlineStr">
        <is>
          <t>MMF2420801309220</t>
        </is>
      </c>
      <c r="C610" t="inlineStr">
        <is>
          <t>الخرج</t>
        </is>
      </c>
      <c r="D610" t="inlineStr">
        <is>
          <t>كلا الفترتين</t>
        </is>
      </c>
      <c r="E610" t="n">
        <v>522</v>
      </c>
      <c r="F610" t="b">
        <v>0</v>
      </c>
      <c r="G610">
        <f>HYPERLINK("https://www.google.com/maps/search/?api=1&amp;query=24.16779894,47.37025955", "View Map")</f>
        <v/>
      </c>
    </row>
    <row r="611">
      <c r="A611" t="inlineStr">
        <is>
          <t xml:space="preserve">      اوقاف الدواسر/مسجد جريد .</t>
        </is>
      </c>
      <c r="B611" t="inlineStr">
        <is>
          <t>KFM2020760159551</t>
        </is>
      </c>
      <c r="C611" t="inlineStr">
        <is>
          <t>وادي الدواسر</t>
        </is>
      </c>
      <c r="D611" t="inlineStr">
        <is>
          <t>مساءا</t>
        </is>
      </c>
      <c r="E611" t="n">
        <v>522</v>
      </c>
      <c r="F611" t="b">
        <v>0</v>
      </c>
      <c r="G611">
        <f>HYPERLINK("https://www.google.com/maps/search/?api=1&amp;query=20.45901861,44.85256773", "View Map")</f>
        <v/>
      </c>
    </row>
    <row r="612">
      <c r="A612" t="inlineStr">
        <is>
          <t xml:space="preserve">   مسجدابن القيم بليلي .</t>
        </is>
      </c>
      <c r="B612" t="inlineStr">
        <is>
          <t>KFM2020660169745</t>
        </is>
      </c>
      <c r="C612" t="inlineStr">
        <is>
          <t>الأفلاج</t>
        </is>
      </c>
      <c r="D612" t="inlineStr">
        <is>
          <t>صباحا</t>
        </is>
      </c>
      <c r="E612" t="n">
        <v>521</v>
      </c>
      <c r="F612" t="b">
        <v>0</v>
      </c>
      <c r="G612">
        <f>HYPERLINK("https://www.google.com/maps/search/?api=1&amp;query=22.29464793,46.71337978", "View Map")</f>
        <v/>
      </c>
    </row>
    <row r="613">
      <c r="A613" t="inlineStr">
        <is>
          <t xml:space="preserve">   مسجد جامع الجفيدريه بليلى .</t>
        </is>
      </c>
      <c r="B613" t="inlineStr">
        <is>
          <t>KFM2020660165120</t>
        </is>
      </c>
      <c r="C613" t="inlineStr">
        <is>
          <t>الأفلاج</t>
        </is>
      </c>
      <c r="D613" t="inlineStr">
        <is>
          <t>مساءا</t>
        </is>
      </c>
      <c r="E613" t="n">
        <v>515</v>
      </c>
      <c r="F613" t="b">
        <v>0</v>
      </c>
      <c r="G613">
        <f>HYPERLINK("https://www.google.com/maps/search/?api=1&amp;query=22.2836513,46.73014606", "View Map")</f>
        <v/>
      </c>
    </row>
    <row r="614">
      <c r="A614" t="inlineStr">
        <is>
          <t xml:space="preserve">    مسجد جامع الفحيل بالهدار .</t>
        </is>
      </c>
      <c r="B614" t="inlineStr">
        <is>
          <t>KFM2020660232806</t>
        </is>
      </c>
      <c r="C614" t="inlineStr">
        <is>
          <t>الأفلاج</t>
        </is>
      </c>
      <c r="D614" t="inlineStr">
        <is>
          <t>مساءا</t>
        </is>
      </c>
      <c r="E614" t="n">
        <v>514</v>
      </c>
      <c r="F614" t="b">
        <v>0</v>
      </c>
      <c r="G614">
        <f>HYPERLINK("https://www.google.com/maps/search/?api=1&amp;query=21.9886083,45.98371956", "View Map")</f>
        <v/>
      </c>
    </row>
    <row r="615">
      <c r="A615" t="inlineStr">
        <is>
          <t xml:space="preserve"> جامع الفاروق بالهدار .</t>
        </is>
      </c>
      <c r="B615" t="inlineStr">
        <is>
          <t>KFM2020660223644</t>
        </is>
      </c>
      <c r="C615" t="inlineStr">
        <is>
          <t>الأفلاج</t>
        </is>
      </c>
      <c r="D615" t="inlineStr">
        <is>
          <t>مساءا</t>
        </is>
      </c>
      <c r="E615" t="n">
        <v>513</v>
      </c>
      <c r="F615" t="b">
        <v>0</v>
      </c>
      <c r="G615">
        <f>HYPERLINK("https://www.google.com/maps/search/?api=1&amp;query=21.98946181,45.94315169", "View Map")</f>
        <v/>
      </c>
    </row>
    <row r="616">
      <c r="A616" t="inlineStr">
        <is>
          <t>مسجد عبدالله عبدالعزيز العجالي .</t>
        </is>
      </c>
      <c r="B616" t="inlineStr">
        <is>
          <t>KFM2020660165157</t>
        </is>
      </c>
      <c r="C616" t="inlineStr">
        <is>
          <t>الأفلاج</t>
        </is>
      </c>
      <c r="D616" t="inlineStr">
        <is>
          <t>صباحا</t>
        </is>
      </c>
      <c r="E616" t="n">
        <v>512</v>
      </c>
      <c r="F616" t="b">
        <v>0</v>
      </c>
      <c r="G616">
        <f>HYPERLINK("https://www.google.com/maps/search/?api=1&amp;query=22.30433732,46.71154137", "View Map")</f>
        <v/>
      </c>
    </row>
    <row r="617">
      <c r="A617" t="inlineStr">
        <is>
          <t xml:space="preserve">      مسجد قصر ابن حسن .</t>
        </is>
      </c>
      <c r="B617" t="inlineStr">
        <is>
          <t>ECC2020811055039</t>
        </is>
      </c>
      <c r="C617" t="inlineStr">
        <is>
          <t>حوطة بني تميم</t>
        </is>
      </c>
      <c r="D617" t="inlineStr">
        <is>
          <t>مساءا</t>
        </is>
      </c>
      <c r="E617" t="n">
        <v>511</v>
      </c>
      <c r="F617" t="b">
        <v>0</v>
      </c>
      <c r="G617">
        <f>HYPERLINK("https://www.google.com/maps/search/?api=1&amp;query=23.49691436,46.80542875", "View Map")</f>
        <v/>
      </c>
    </row>
    <row r="618">
      <c r="A618" t="inlineStr">
        <is>
          <t xml:space="preserve">      اوقاف الدواسر/ جامع ال عريمه .</t>
        </is>
      </c>
      <c r="B618" t="inlineStr">
        <is>
          <t>KFM2120660295416</t>
        </is>
      </c>
      <c r="C618" t="inlineStr">
        <is>
          <t>وادي الدواسر</t>
        </is>
      </c>
      <c r="D618" t="inlineStr">
        <is>
          <t>مساءا</t>
        </is>
      </c>
      <c r="E618" t="n">
        <v>510</v>
      </c>
      <c r="F618" t="b">
        <v>0</v>
      </c>
      <c r="G618">
        <f>HYPERLINK("https://www.google.com/maps/search/?api=1&amp;query=20.4823895,44.77227631", "View Map")</f>
        <v/>
      </c>
    </row>
    <row r="619">
      <c r="A619" t="inlineStr">
        <is>
          <t xml:space="preserve">   مسجدزيدبن الخطاب/اوقاف السليل .</t>
        </is>
      </c>
      <c r="B619" t="inlineStr">
        <is>
          <t>AES2020896054392</t>
        </is>
      </c>
      <c r="C619" t="inlineStr">
        <is>
          <t>السليل</t>
        </is>
      </c>
      <c r="D619" t="inlineStr">
        <is>
          <t>صباحا</t>
        </is>
      </c>
      <c r="E619" t="n">
        <v>507</v>
      </c>
      <c r="F619" t="b">
        <v>0</v>
      </c>
      <c r="G619">
        <f>HYPERLINK("https://www.google.com/maps/search/?api=1&amp;query=20.47348051,45.57987388", "View Map")</f>
        <v/>
      </c>
    </row>
    <row r="620">
      <c r="A620" t="inlineStr">
        <is>
          <t xml:space="preserve">   ادارة     الاوقاف    محمد نفل .</t>
        </is>
      </c>
      <c r="B620" t="inlineStr">
        <is>
          <t>AES2120896536073</t>
        </is>
      </c>
      <c r="C620" t="inlineStr">
        <is>
          <t>الأفلاج</t>
        </is>
      </c>
      <c r="D620" t="inlineStr">
        <is>
          <t>مساءا</t>
        </is>
      </c>
      <c r="E620" t="n">
        <v>505</v>
      </c>
      <c r="F620" t="b">
        <v>0</v>
      </c>
      <c r="G620">
        <f>HYPERLINK("https://www.google.com/maps/search/?api=1&amp;query=22.03607507,46.56512681", "View Map")</f>
        <v/>
      </c>
    </row>
    <row r="621">
      <c r="A621" t="inlineStr">
        <is>
          <t>ﺍﻟﺩﻋﻭﺓ ﻭﺍﻼﺭﺸﺎﺩ .</t>
        </is>
      </c>
      <c r="B621" t="inlineStr">
        <is>
          <t>SMR2420761036159</t>
        </is>
      </c>
      <c r="C621" t="inlineStr">
        <is>
          <t>الأفلاج</t>
        </is>
      </c>
      <c r="D621" t="inlineStr">
        <is>
          <t>مساءا</t>
        </is>
      </c>
      <c r="E621" t="n">
        <v>503</v>
      </c>
      <c r="F621" t="b">
        <v>0</v>
      </c>
      <c r="G621">
        <f>HYPERLINK("https://www.google.com/maps/search/?api=1&amp;query=21.99171928,45.94410003", "View Map")</f>
        <v/>
      </c>
    </row>
    <row r="622">
      <c r="A622" t="inlineStr">
        <is>
          <t>ﻤﺴﺎﺠﺩﺍﻟﺨـﺭﺝ .</t>
        </is>
      </c>
      <c r="B622" t="inlineStr">
        <is>
          <t>MMF2420801441462</t>
        </is>
      </c>
      <c r="C622" t="inlineStr">
        <is>
          <t>الخرج</t>
        </is>
      </c>
      <c r="D622" t="inlineStr">
        <is>
          <t>مساءا</t>
        </is>
      </c>
      <c r="E622" t="n">
        <v>500</v>
      </c>
      <c r="F622" t="b">
        <v>0</v>
      </c>
      <c r="G622">
        <f>HYPERLINK("https://www.google.com/maps/search/?api=1&amp;query=24.0945035,47.27503035", "View Map")</f>
        <v/>
      </c>
    </row>
    <row r="623">
      <c r="A623" t="inlineStr">
        <is>
          <t xml:space="preserve">   مسجد ابوموسى الاشعري .</t>
        </is>
      </c>
      <c r="B623" t="inlineStr">
        <is>
          <t>ECC2020811051230</t>
        </is>
      </c>
      <c r="C623" t="inlineStr">
        <is>
          <t>الأفلاج</t>
        </is>
      </c>
      <c r="D623" t="inlineStr">
        <is>
          <t>مساءا</t>
        </is>
      </c>
      <c r="E623" t="n">
        <v>498</v>
      </c>
      <c r="F623" t="b">
        <v>0</v>
      </c>
      <c r="G623">
        <f>HYPERLINK("https://www.google.com/maps/search/?api=1&amp;query=22.22798746,46.77950454", "View Map")</f>
        <v/>
      </c>
    </row>
    <row r="624">
      <c r="A624" t="inlineStr">
        <is>
          <t xml:space="preserve">   مسجد      ابراهيم-  السليل .</t>
        </is>
      </c>
      <c r="B624" t="inlineStr">
        <is>
          <t>AES2020896402475</t>
        </is>
      </c>
      <c r="C624" t="inlineStr">
        <is>
          <t>السليل</t>
        </is>
      </c>
      <c r="D624" t="inlineStr">
        <is>
          <t>صباحا</t>
        </is>
      </c>
      <c r="E624" t="n">
        <v>497</v>
      </c>
      <c r="F624" t="b">
        <v>0</v>
      </c>
      <c r="G624">
        <f>HYPERLINK("https://www.google.com/maps/search/?api=1&amp;query=20.40826705,45.43541265", "View Map")</f>
        <v/>
      </c>
    </row>
    <row r="625">
      <c r="A625" t="inlineStr">
        <is>
          <t xml:space="preserve">      مسجد/حى الرفاع بالسليمانيه .</t>
        </is>
      </c>
      <c r="B625" t="inlineStr">
        <is>
          <t>KFM2020760009769</t>
        </is>
      </c>
      <c r="C625" t="inlineStr">
        <is>
          <t>الدلم</t>
        </is>
      </c>
      <c r="D625" t="inlineStr">
        <is>
          <t>مساءا</t>
        </is>
      </c>
      <c r="E625" t="n">
        <v>497</v>
      </c>
      <c r="F625" t="b">
        <v>0</v>
      </c>
      <c r="G625">
        <f>HYPERLINK("https://www.google.com/maps/search/?api=1&amp;query=23.96287687,47.11985186", "View Map")</f>
        <v/>
      </c>
    </row>
    <row r="626">
      <c r="A626" t="inlineStr">
        <is>
          <t xml:space="preserve">    الاوقاف والمساجد(مسجدالعجلانيه) .</t>
        </is>
      </c>
      <c r="B626" t="inlineStr">
        <is>
          <t>KFM2020766096122</t>
        </is>
      </c>
      <c r="C626" t="inlineStr">
        <is>
          <t>الأفلاج</t>
        </is>
      </c>
      <c r="D626" t="inlineStr">
        <is>
          <t>مساءا</t>
        </is>
      </c>
      <c r="E626" t="n">
        <v>497</v>
      </c>
      <c r="F626" t="b">
        <v>0</v>
      </c>
      <c r="G626">
        <f>HYPERLINK("https://www.google.com/maps/search/?api=1&amp;query=22.28950176,46.72999823", "View Map")</f>
        <v/>
      </c>
    </row>
    <row r="627">
      <c r="A627" t="inlineStr">
        <is>
          <t xml:space="preserve">   اوقاف الدواسر/مسجدفيحانبالنوي .</t>
        </is>
      </c>
      <c r="B627" t="inlineStr">
        <is>
          <t>MMF2420801315746</t>
        </is>
      </c>
      <c r="C627" t="inlineStr">
        <is>
          <t>وادي الدواسر</t>
        </is>
      </c>
      <c r="D627" t="inlineStr">
        <is>
          <t>مساءا</t>
        </is>
      </c>
      <c r="E627" t="n">
        <v>494</v>
      </c>
      <c r="F627" t="b">
        <v>0</v>
      </c>
      <c r="G627">
        <f>HYPERLINK("https://www.google.com/maps/search/?api=1&amp;query=20.4475283,44.85060654", "View Map")</f>
        <v/>
      </c>
    </row>
    <row r="628">
      <c r="A628" t="inlineStr">
        <is>
          <t xml:space="preserve">   اوقاف الدلم/ جامع ال سعيدان .</t>
        </is>
      </c>
      <c r="B628" t="inlineStr">
        <is>
          <t>SMR2220661016836</t>
        </is>
      </c>
      <c r="C628" t="inlineStr">
        <is>
          <t>الدلم</t>
        </is>
      </c>
      <c r="D628" t="inlineStr">
        <is>
          <t>مساءا</t>
        </is>
      </c>
      <c r="E628" t="n">
        <v>492</v>
      </c>
      <c r="F628" t="b">
        <v>1</v>
      </c>
      <c r="G628">
        <f>HYPERLINK("https://www.google.com/maps/search/?api=1&amp;query=23.99279259,47.11241641", "View Map")</f>
        <v/>
      </c>
    </row>
    <row r="629">
      <c r="A629" t="inlineStr">
        <is>
          <t xml:space="preserve">   مسجد ربيعه بن كعب .</t>
        </is>
      </c>
      <c r="B629" t="inlineStr">
        <is>
          <t>KFM2020760011541</t>
        </is>
      </c>
      <c r="C629" t="inlineStr">
        <is>
          <t>الخرج</t>
        </is>
      </c>
      <c r="D629" t="inlineStr">
        <is>
          <t>صباحا</t>
        </is>
      </c>
      <c r="E629" t="n">
        <v>492</v>
      </c>
      <c r="F629" t="b">
        <v>0</v>
      </c>
      <c r="G629">
        <f>HYPERLINK("https://www.google.com/maps/search/?api=1&amp;query=24.15509051,47.36365601", "View Map")</f>
        <v/>
      </c>
    </row>
    <row r="630">
      <c r="A630" t="inlineStr">
        <is>
          <t xml:space="preserve">   مسـجـدالقينيه .</t>
        </is>
      </c>
      <c r="B630" t="inlineStr">
        <is>
          <t>AES2020896433102</t>
        </is>
      </c>
      <c r="C630" t="inlineStr">
        <is>
          <t>حوطة بني تميم</t>
        </is>
      </c>
      <c r="D630" t="inlineStr">
        <is>
          <t>مساءا</t>
        </is>
      </c>
      <c r="E630" t="n">
        <v>491</v>
      </c>
      <c r="F630" t="b">
        <v>0</v>
      </c>
      <c r="G630">
        <f>HYPERLINK("https://www.google.com/maps/search/?api=1&amp;query=23.50398394,46.83624157", "View Map")</f>
        <v/>
      </c>
    </row>
    <row r="631">
      <c r="A631" t="inlineStr">
        <is>
          <t xml:space="preserve">   مسجد ال حميضان رقم 2 .</t>
        </is>
      </c>
      <c r="B631" t="inlineStr">
        <is>
          <t>KFM2020760208595</t>
        </is>
      </c>
      <c r="C631" t="inlineStr">
        <is>
          <t>وادي الدواسر</t>
        </is>
      </c>
      <c r="D631" t="inlineStr">
        <is>
          <t>صباحا</t>
        </is>
      </c>
      <c r="E631" t="n">
        <v>489</v>
      </c>
      <c r="F631" t="b">
        <v>0</v>
      </c>
      <c r="G631">
        <f>HYPERLINK("https://www.google.com/maps/search/?api=1&amp;query=20.49430296,44.74074386", "View Map")</f>
        <v/>
      </c>
    </row>
    <row r="632">
      <c r="A632" t="inlineStr">
        <is>
          <t xml:space="preserve">   اوقاف الدواسر / مسجد تميم خميس .</t>
        </is>
      </c>
      <c r="B632" t="inlineStr">
        <is>
          <t>MMF2020800321989</t>
        </is>
      </c>
      <c r="C632" t="inlineStr">
        <is>
          <t>وادي الدواسر</t>
        </is>
      </c>
      <c r="D632" t="inlineStr">
        <is>
          <t>مساءا</t>
        </is>
      </c>
      <c r="E632" t="n">
        <v>489</v>
      </c>
      <c r="F632" t="b">
        <v>0</v>
      </c>
      <c r="G632">
        <f>HYPERLINK("https://www.google.com/maps/search/?api=1&amp;query=20.4339185,44.9061702", "View Map")</f>
        <v/>
      </c>
    </row>
    <row r="633">
      <c r="A633" t="inlineStr">
        <is>
          <t xml:space="preserve">      مسجد/عبدالله بن الزبير .</t>
        </is>
      </c>
      <c r="B633" t="inlineStr">
        <is>
          <t>AES2020896348349</t>
        </is>
      </c>
      <c r="C633" t="inlineStr">
        <is>
          <t>الأفلاج</t>
        </is>
      </c>
      <c r="D633" t="inlineStr">
        <is>
          <t>مساءا</t>
        </is>
      </c>
      <c r="E633" t="n">
        <v>487</v>
      </c>
      <c r="F633" t="b">
        <v>0</v>
      </c>
      <c r="G633">
        <f>HYPERLINK("https://www.google.com/maps/search/?api=1&amp;query=22.28938834,46.71701265", "View Map")</f>
        <v/>
      </c>
    </row>
    <row r="634">
      <c r="A634" t="inlineStr">
        <is>
          <t>دارةالاوقاف(مسجدحي الملك فهد117) .</t>
        </is>
      </c>
      <c r="B634" t="inlineStr">
        <is>
          <t>KFM2020766111069</t>
        </is>
      </c>
      <c r="C634" t="inlineStr">
        <is>
          <t>الأفلاج</t>
        </is>
      </c>
      <c r="D634" t="inlineStr">
        <is>
          <t>صباحا</t>
        </is>
      </c>
      <c r="E634" t="n">
        <v>485</v>
      </c>
      <c r="F634" t="b">
        <v>0</v>
      </c>
      <c r="G634">
        <f>HYPERLINK("https://www.google.com/maps/search/?api=1&amp;query=22.29222761,46.70179465", "View Map")</f>
        <v/>
      </c>
    </row>
    <row r="635">
      <c r="A635" t="inlineStr">
        <is>
          <t xml:space="preserve">   مسـجدعمربن عبدالعزيز .</t>
        </is>
      </c>
      <c r="B635" t="inlineStr">
        <is>
          <t>KFM2020766166009</t>
        </is>
      </c>
      <c r="C635" t="inlineStr">
        <is>
          <t>حوطة بني تميم</t>
        </is>
      </c>
      <c r="D635" t="inlineStr">
        <is>
          <t>مساءا</t>
        </is>
      </c>
      <c r="E635" t="n">
        <v>485</v>
      </c>
      <c r="F635" t="b">
        <v>0</v>
      </c>
      <c r="G635">
        <f>HYPERLINK("https://www.google.com/maps/search/?api=1&amp;query=23.49221266,46.87637439", "View Map")</f>
        <v/>
      </c>
    </row>
    <row r="636">
      <c r="A636" t="inlineStr">
        <is>
          <t xml:space="preserve">   مسجدسلمان الفارسي .</t>
        </is>
      </c>
      <c r="B636" t="inlineStr">
        <is>
          <t>KFM2020760204228</t>
        </is>
      </c>
      <c r="C636" t="inlineStr">
        <is>
          <t>وادي الدواسر</t>
        </is>
      </c>
      <c r="D636" t="inlineStr">
        <is>
          <t>مساءا</t>
        </is>
      </c>
      <c r="E636" t="n">
        <v>484</v>
      </c>
      <c r="F636" t="b">
        <v>0</v>
      </c>
      <c r="G636">
        <f>HYPERLINK("https://www.google.com/maps/search/?api=1&amp;query=20.44629279,45.14405034", "View Map")</f>
        <v/>
      </c>
    </row>
    <row r="637">
      <c r="A637" t="inlineStr">
        <is>
          <t xml:space="preserve">   مسجد-الشيخ/تركي متعب قويد .</t>
        </is>
      </c>
      <c r="B637" t="inlineStr">
        <is>
          <t>KFM2020660206114</t>
        </is>
      </c>
      <c r="C637" t="inlineStr">
        <is>
          <t>وادي الدواسر</t>
        </is>
      </c>
      <c r="D637" t="inlineStr">
        <is>
          <t>مساءا</t>
        </is>
      </c>
      <c r="E637" t="n">
        <v>483</v>
      </c>
      <c r="F637" t="b">
        <v>0</v>
      </c>
      <c r="G637">
        <f>HYPERLINK("https://www.google.com/maps/search/?api=1&amp;query=20.44784107,44.84590223", "View Map")</f>
        <v/>
      </c>
    </row>
    <row r="638">
      <c r="A638" t="inlineStr">
        <is>
          <t>ﺍﻟﻤﺴﺎﺠﺩﻭﺍﻟﺩﻋﻭﻩ ﺍﻻﺭﺸﺎﺩ ﺒﺎﻻﻓﻼﺝ .</t>
        </is>
      </c>
      <c r="B638" t="inlineStr">
        <is>
          <t>KFM2020766114059</t>
        </is>
      </c>
      <c r="C638" t="inlineStr">
        <is>
          <t>الأفلاج</t>
        </is>
      </c>
      <c r="D638" t="inlineStr">
        <is>
          <t>مساءا</t>
        </is>
      </c>
      <c r="E638" t="n">
        <v>482</v>
      </c>
      <c r="F638" t="b">
        <v>0</v>
      </c>
      <c r="G638">
        <f>HYPERLINK("https://www.google.com/maps/search/?api=1&amp;query=22.292718,46.70621437", "View Map")</f>
        <v/>
      </c>
    </row>
    <row r="639">
      <c r="A639" t="inlineStr">
        <is>
          <t xml:space="preserve">   مسجد جامع أبوسرحة .</t>
        </is>
      </c>
      <c r="B639" t="inlineStr">
        <is>
          <t>LYE2020810589893</t>
        </is>
      </c>
      <c r="C639" t="inlineStr">
        <is>
          <t>وادي الدواسر</t>
        </is>
      </c>
      <c r="D639" t="inlineStr">
        <is>
          <t>مساءا</t>
        </is>
      </c>
      <c r="E639" t="n">
        <v>482</v>
      </c>
      <c r="F639" t="b">
        <v>0</v>
      </c>
      <c r="G639">
        <f>HYPERLINK("https://www.google.com/maps/search/?api=1&amp;query=21.58537837,43.95638325", "View Map")</f>
        <v/>
      </c>
    </row>
    <row r="640">
      <c r="A640" t="inlineStr">
        <is>
          <t xml:space="preserve">   جامع العز بن        عبدالسلام .</t>
        </is>
      </c>
      <c r="B640" t="inlineStr">
        <is>
          <t>KFM2120660246007</t>
        </is>
      </c>
      <c r="C640" t="inlineStr">
        <is>
          <t>الخرج</t>
        </is>
      </c>
      <c r="D640" t="inlineStr">
        <is>
          <t>مساءا</t>
        </is>
      </c>
      <c r="E640" t="n">
        <v>477</v>
      </c>
      <c r="F640" t="b">
        <v>0</v>
      </c>
      <c r="G640">
        <f>HYPERLINK("https://www.google.com/maps/search/?api=1&amp;query=24.14956047,47.31914954", "View Map")</f>
        <v/>
      </c>
    </row>
    <row r="641">
      <c r="A641" t="inlineStr">
        <is>
          <t xml:space="preserve">      اوقاف الدواسر/ مسجد ال شايع .</t>
        </is>
      </c>
      <c r="B641" t="inlineStr">
        <is>
          <t>KFM2020760052812</t>
        </is>
      </c>
      <c r="C641" t="inlineStr">
        <is>
          <t>وادي الدواسر</t>
        </is>
      </c>
      <c r="D641" t="inlineStr">
        <is>
          <t>مساءا</t>
        </is>
      </c>
      <c r="E641" t="n">
        <v>477</v>
      </c>
      <c r="F641" t="b">
        <v>0</v>
      </c>
      <c r="G641">
        <f>HYPERLINK("https://www.google.com/maps/search/?api=1&amp;query=20.46342039,44.79513843", "View Map")</f>
        <v/>
      </c>
    </row>
    <row r="642">
      <c r="A642" t="inlineStr">
        <is>
          <t>ﻤﺴﺎﺠﺩ ﺍﻟﺨﻤﺎﺴﻴﻥ .</t>
        </is>
      </c>
      <c r="B642" t="inlineStr">
        <is>
          <t>KFM2020660212706</t>
        </is>
      </c>
      <c r="C642" t="inlineStr">
        <is>
          <t>وادي الدواسر</t>
        </is>
      </c>
      <c r="D642" t="inlineStr">
        <is>
          <t>صباحا</t>
        </is>
      </c>
      <c r="E642" t="n">
        <v>477</v>
      </c>
      <c r="F642" t="b">
        <v>0</v>
      </c>
      <c r="G642">
        <f>HYPERLINK("https://www.google.com/maps/search/?api=1&amp;query=20.45147964,44.77945128", "View Map")</f>
        <v/>
      </c>
    </row>
    <row r="643">
      <c r="A643" t="inlineStr">
        <is>
          <t xml:space="preserve">   مسجد عبدالله بن رواحه .</t>
        </is>
      </c>
      <c r="B643" t="inlineStr">
        <is>
          <t>KFM2020660200903</t>
        </is>
      </c>
      <c r="C643" t="inlineStr">
        <is>
          <t>حوطة بني تميم</t>
        </is>
      </c>
      <c r="D643" t="inlineStr">
        <is>
          <t>مساءا</t>
        </is>
      </c>
      <c r="E643" t="n">
        <v>476</v>
      </c>
      <c r="F643" t="b">
        <v>0</v>
      </c>
      <c r="G643">
        <f>HYPERLINK("https://www.google.com/maps/search/?api=1&amp;query=23.492366,46.86622193", "View Map")</f>
        <v/>
      </c>
    </row>
    <row r="644">
      <c r="A644" t="inlineStr">
        <is>
          <t xml:space="preserve">   اوقاف الدواسر/ جامع ال عويمر .</t>
        </is>
      </c>
      <c r="B644" t="inlineStr">
        <is>
          <t>KFM2020660223582</t>
        </is>
      </c>
      <c r="C644" t="inlineStr">
        <is>
          <t>وادي الدواسر</t>
        </is>
      </c>
      <c r="D644" t="inlineStr">
        <is>
          <t>صباحا</t>
        </is>
      </c>
      <c r="E644" t="n">
        <v>475</v>
      </c>
      <c r="F644" t="b">
        <v>0</v>
      </c>
      <c r="G644">
        <f>HYPERLINK("https://www.google.com/maps/search/?api=1&amp;query=20.48035636,44.76708574", "View Map")</f>
        <v/>
      </c>
    </row>
    <row r="645">
      <c r="A645" t="inlineStr">
        <is>
          <t>ﻤﺴﺎﺠﺩ ﺍﻟﺨﻤﺎﺴﻴﻥ .</t>
        </is>
      </c>
      <c r="B645" t="inlineStr">
        <is>
          <t>MMF2020800291997</t>
        </is>
      </c>
      <c r="C645" t="inlineStr">
        <is>
          <t>وادي الدواسر</t>
        </is>
      </c>
      <c r="D645" t="inlineStr">
        <is>
          <t>مساءا</t>
        </is>
      </c>
      <c r="E645" t="n">
        <v>475</v>
      </c>
      <c r="F645" t="b">
        <v>0</v>
      </c>
      <c r="G645">
        <f>HYPERLINK("https://www.google.com/maps/search/?api=1&amp;query=20.48888519,44.69203228", "View Map")</f>
        <v/>
      </c>
    </row>
    <row r="646">
      <c r="A646" t="inlineStr">
        <is>
          <t xml:space="preserve">    مسجد الخبيب .</t>
        </is>
      </c>
      <c r="B646" t="inlineStr">
        <is>
          <t>KFM2020760015274</t>
        </is>
      </c>
      <c r="C646" t="inlineStr">
        <is>
          <t>الدلم</t>
        </is>
      </c>
      <c r="D646" t="inlineStr">
        <is>
          <t>مساءا</t>
        </is>
      </c>
      <c r="E646" t="n">
        <v>475</v>
      </c>
      <c r="F646" t="b">
        <v>0</v>
      </c>
      <c r="G646">
        <f>HYPERLINK("https://www.google.com/maps/search/?api=1&amp;query=23.92232841,46.95468926", "View Map")</f>
        <v/>
      </c>
    </row>
    <row r="647">
      <c r="A647" t="inlineStr">
        <is>
          <t xml:space="preserve">      اوقاف الدواسر/ مسجد المخطط 4 .</t>
        </is>
      </c>
      <c r="B647" t="inlineStr">
        <is>
          <t>KFM2120660263536</t>
        </is>
      </c>
      <c r="C647" t="inlineStr">
        <is>
          <t>وادي الدواسر</t>
        </is>
      </c>
      <c r="D647" t="inlineStr">
        <is>
          <t>مساءا</t>
        </is>
      </c>
      <c r="E647" t="n">
        <v>472</v>
      </c>
      <c r="F647" t="b">
        <v>0</v>
      </c>
      <c r="G647">
        <f>HYPERLINK("https://www.google.com/maps/search/?api=1&amp;query=20.46249565,44.77946251", "View Map")</f>
        <v/>
      </c>
    </row>
    <row r="648">
      <c r="A648" t="inlineStr">
        <is>
          <t xml:space="preserve">      مسجد/ فرج بن ناهض .</t>
        </is>
      </c>
      <c r="B648" t="inlineStr">
        <is>
          <t>KFM2020660207863</t>
        </is>
      </c>
      <c r="C648" t="inlineStr">
        <is>
          <t>الخرج</t>
        </is>
      </c>
      <c r="D648" t="inlineStr">
        <is>
          <t>مساءا</t>
        </is>
      </c>
      <c r="E648" t="n">
        <v>472</v>
      </c>
      <c r="F648" t="b">
        <v>0</v>
      </c>
      <c r="G648">
        <f>HYPERLINK("https://www.google.com/maps/search/?api=1&amp;query=24.18638962,47.29297594", "View Map")</f>
        <v/>
      </c>
    </row>
    <row r="649">
      <c r="A649" t="inlineStr">
        <is>
          <t xml:space="preserve">   مسجد النايفه .</t>
        </is>
      </c>
      <c r="B649" t="inlineStr">
        <is>
          <t>KFM2120660257184</t>
        </is>
      </c>
      <c r="C649" t="inlineStr">
        <is>
          <t>الخرج</t>
        </is>
      </c>
      <c r="D649" t="inlineStr">
        <is>
          <t>صباحا</t>
        </is>
      </c>
      <c r="E649" t="n">
        <v>472</v>
      </c>
      <c r="F649" t="b">
        <v>0</v>
      </c>
      <c r="G649">
        <f>HYPERLINK("https://www.google.com/maps/search/?api=1&amp;query=24.14282795,47.34988422", "View Map")</f>
        <v/>
      </c>
    </row>
    <row r="650">
      <c r="A650" t="inlineStr">
        <is>
          <t xml:space="preserve">   مسجد الجامع بالسلمانيه .</t>
        </is>
      </c>
      <c r="B650" t="inlineStr">
        <is>
          <t>KFM2020660170470</t>
        </is>
      </c>
      <c r="C650" t="inlineStr">
        <is>
          <t>الدلم</t>
        </is>
      </c>
      <c r="D650" t="inlineStr">
        <is>
          <t>صباحا</t>
        </is>
      </c>
      <c r="E650" t="n">
        <v>472</v>
      </c>
      <c r="F650" t="b">
        <v>0</v>
      </c>
      <c r="G650">
        <f>HYPERLINK("https://www.google.com/maps/search/?api=1&amp;query=23.96061345,47.11643589", "View Map")</f>
        <v/>
      </c>
    </row>
    <row r="651">
      <c r="A651" t="inlineStr">
        <is>
          <t xml:space="preserve">    مسجد جامع ال حنيش /اوقاف السليل .</t>
        </is>
      </c>
      <c r="B651" t="inlineStr">
        <is>
          <t>KFM2120660271463</t>
        </is>
      </c>
      <c r="C651" t="inlineStr">
        <is>
          <t>السليل</t>
        </is>
      </c>
      <c r="D651" t="inlineStr">
        <is>
          <t>صباحا</t>
        </is>
      </c>
      <c r="E651" t="n">
        <v>471</v>
      </c>
      <c r="F651" t="b">
        <v>1</v>
      </c>
      <c r="G651">
        <f>HYPERLINK("https://www.google.com/maps/search/?api=1&amp;query=20.45358144,45.57432812", "View Map")</f>
        <v/>
      </c>
    </row>
    <row r="652">
      <c r="A652" t="inlineStr">
        <is>
          <t>مساجد الخماسين .</t>
        </is>
      </c>
      <c r="B652" t="inlineStr">
        <is>
          <t>KFM2020760210206</t>
        </is>
      </c>
      <c r="C652" t="inlineStr">
        <is>
          <t>وادي الدواسر</t>
        </is>
      </c>
      <c r="D652" t="inlineStr">
        <is>
          <t>مساءا</t>
        </is>
      </c>
      <c r="E652" t="n">
        <v>470</v>
      </c>
      <c r="F652" t="b">
        <v>0</v>
      </c>
      <c r="G652">
        <f>HYPERLINK("https://www.google.com/maps/search/?api=1&amp;query=20.48979473,44.7724919", "View Map")</f>
        <v/>
      </c>
    </row>
    <row r="653">
      <c r="A653" t="inlineStr">
        <is>
          <t xml:space="preserve">      مسجد الشبانات .</t>
        </is>
      </c>
      <c r="B653" t="inlineStr">
        <is>
          <t>AES2120896542053</t>
        </is>
      </c>
      <c r="C653" t="inlineStr">
        <is>
          <t>الحريق</t>
        </is>
      </c>
      <c r="D653" t="inlineStr">
        <is>
          <t>صباحا</t>
        </is>
      </c>
      <c r="E653" t="n">
        <v>467</v>
      </c>
      <c r="F653" t="b">
        <v>0</v>
      </c>
      <c r="G653">
        <f>HYPERLINK("https://www.google.com/maps/search/?api=1&amp;query=23.62101772,46.52938998", "View Map")</f>
        <v/>
      </c>
    </row>
    <row r="654">
      <c r="A654" t="inlineStr">
        <is>
          <t xml:space="preserve">   مسجد      عدي       اوقاف السليل .</t>
        </is>
      </c>
      <c r="B654" t="inlineStr">
        <is>
          <t>KFM2020766165936</t>
        </is>
      </c>
      <c r="C654" t="inlineStr">
        <is>
          <t>السليل</t>
        </is>
      </c>
      <c r="D654" t="inlineStr">
        <is>
          <t>صباحا</t>
        </is>
      </c>
      <c r="E654" t="n">
        <v>464</v>
      </c>
      <c r="F654" t="b">
        <v>0</v>
      </c>
      <c r="G654">
        <f>HYPERLINK("https://www.google.com/maps/search/?api=1&amp;query=20.47938523,45.59162069", "View Map")</f>
        <v/>
      </c>
    </row>
    <row r="655">
      <c r="A655" t="inlineStr">
        <is>
          <t xml:space="preserve">   مسجد / عبدالعزيز الخنين .</t>
        </is>
      </c>
      <c r="B655" t="inlineStr">
        <is>
          <t>KFM2120660249819</t>
        </is>
      </c>
      <c r="C655" t="inlineStr">
        <is>
          <t>الدلم</t>
        </is>
      </c>
      <c r="D655" t="inlineStr">
        <is>
          <t>مساءا</t>
        </is>
      </c>
      <c r="E655" t="n">
        <v>464</v>
      </c>
      <c r="F655" t="b">
        <v>1</v>
      </c>
      <c r="G655">
        <f>HYPERLINK("https://www.google.com/maps/search/?api=1&amp;query=24.00250207,47.12028381", "View Map")</f>
        <v/>
      </c>
    </row>
    <row r="656">
      <c r="A656" t="inlineStr">
        <is>
          <t>مساجد الحوطه .</t>
        </is>
      </c>
      <c r="B656" t="inlineStr">
        <is>
          <t>ECC2020811028922</t>
        </is>
      </c>
      <c r="C656" t="inlineStr">
        <is>
          <t>حوطة بني تميم</t>
        </is>
      </c>
      <c r="D656" t="inlineStr">
        <is>
          <t>مساءا</t>
        </is>
      </c>
      <c r="E656" t="n">
        <v>463</v>
      </c>
      <c r="F656" t="b">
        <v>0</v>
      </c>
      <c r="G656">
        <f>HYPERLINK("https://www.google.com/maps/search/?api=1&amp;query=23.43246151,46.79009905", "View Map")</f>
        <v/>
      </c>
    </row>
    <row r="657">
      <c r="A657" t="inlineStr">
        <is>
          <t xml:space="preserve">   مسجدجامع الصفيانى .</t>
        </is>
      </c>
      <c r="B657" t="inlineStr">
        <is>
          <t>KFM2020660234498</t>
        </is>
      </c>
      <c r="C657" t="inlineStr">
        <is>
          <t>حوطة بني تميم</t>
        </is>
      </c>
      <c r="D657" t="inlineStr">
        <is>
          <t>صباحا</t>
        </is>
      </c>
      <c r="E657" t="n">
        <v>460</v>
      </c>
      <c r="F657" t="b">
        <v>0</v>
      </c>
      <c r="G657">
        <f>HYPERLINK("https://www.google.com/maps/search/?api=1&amp;query=23.44207731,46.79425624", "View Map")</f>
        <v/>
      </c>
    </row>
    <row r="658">
      <c r="A658" t="inlineStr">
        <is>
          <t xml:space="preserve">      مسجد العزيزيه .</t>
        </is>
      </c>
      <c r="B658" t="inlineStr">
        <is>
          <t>KFM2020760200687</t>
        </is>
      </c>
      <c r="C658" t="inlineStr">
        <is>
          <t>حوطة بني تميم</t>
        </is>
      </c>
      <c r="D658" t="inlineStr">
        <is>
          <t>صباحا</t>
        </is>
      </c>
      <c r="E658" t="n">
        <v>459</v>
      </c>
      <c r="F658" t="b">
        <v>0</v>
      </c>
      <c r="G658">
        <f>HYPERLINK("https://www.google.com/maps/search/?api=1&amp;query=23.49321066,46.85493617", "View Map")</f>
        <v/>
      </c>
    </row>
    <row r="659">
      <c r="A659" t="inlineStr">
        <is>
          <t>ﻤﺴﺎﺠﺩﺍﻟﺨـﺭﺝ .</t>
        </is>
      </c>
      <c r="B659" t="inlineStr">
        <is>
          <t>SMR2120765018822</t>
        </is>
      </c>
      <c r="C659" t="inlineStr">
        <is>
          <t>الدلم</t>
        </is>
      </c>
      <c r="D659" t="inlineStr">
        <is>
          <t>مساءا</t>
        </is>
      </c>
      <c r="E659" t="n">
        <v>459</v>
      </c>
      <c r="F659" t="b">
        <v>0</v>
      </c>
      <c r="G659">
        <f>HYPERLINK("https://www.google.com/maps/search/?api=1&amp;query=23.62063024,47.08950687", "View Map")</f>
        <v/>
      </c>
    </row>
    <row r="660">
      <c r="A660" t="inlineStr">
        <is>
          <t xml:space="preserve">   الاوقاف والمساجد/مسجدماجدعلى .</t>
        </is>
      </c>
      <c r="B660" t="inlineStr">
        <is>
          <t>MMF2020800299678</t>
        </is>
      </c>
      <c r="C660" t="inlineStr">
        <is>
          <t>وادي الدواسر</t>
        </is>
      </c>
      <c r="D660" t="inlineStr">
        <is>
          <t>صباحا</t>
        </is>
      </c>
      <c r="E660" t="n">
        <v>456</v>
      </c>
      <c r="F660" t="b">
        <v>0</v>
      </c>
      <c r="G660">
        <f>HYPERLINK("https://www.google.com/maps/search/?api=1&amp;query=20.44178903,44.86138918", "View Map")</f>
        <v/>
      </c>
    </row>
    <row r="661">
      <c r="A661" t="inlineStr">
        <is>
          <t xml:space="preserve">   مسجد / آل وافي .</t>
        </is>
      </c>
      <c r="B661" t="inlineStr">
        <is>
          <t>KFM2120660247559</t>
        </is>
      </c>
      <c r="C661" t="inlineStr">
        <is>
          <t>وادي الدواسر</t>
        </is>
      </c>
      <c r="D661" t="inlineStr">
        <is>
          <t>مساءا</t>
        </is>
      </c>
      <c r="E661" t="n">
        <v>455</v>
      </c>
      <c r="F661" t="b">
        <v>1</v>
      </c>
      <c r="G661">
        <f>HYPERLINK("https://www.google.com/maps/search/?api=1&amp;query=20.45192629,44.70467169", "View Map")</f>
        <v/>
      </c>
    </row>
    <row r="662">
      <c r="A662" t="inlineStr">
        <is>
          <t xml:space="preserve">   مسجدعدي بن حاتم والسكن الخاص .</t>
        </is>
      </c>
      <c r="B662" t="inlineStr">
        <is>
          <t>KFM2120660264210</t>
        </is>
      </c>
      <c r="C662" t="inlineStr">
        <is>
          <t>الخرج</t>
        </is>
      </c>
      <c r="D662" t="inlineStr">
        <is>
          <t>صباحا</t>
        </is>
      </c>
      <c r="E662" t="n">
        <v>455</v>
      </c>
      <c r="F662" t="b">
        <v>0</v>
      </c>
      <c r="G662">
        <f>HYPERLINK("https://www.google.com/maps/search/?api=1&amp;query=24.12010915,47.27391282", "View Map")</f>
        <v/>
      </c>
    </row>
    <row r="663">
      <c r="A663" t="inlineStr">
        <is>
          <t xml:space="preserve">   مسجد ابوموسى الاشعرى .</t>
        </is>
      </c>
      <c r="B663" t="inlineStr">
        <is>
          <t>KFM2120660264208</t>
        </is>
      </c>
      <c r="C663" t="inlineStr">
        <is>
          <t>الخرج</t>
        </is>
      </c>
      <c r="D663" t="inlineStr">
        <is>
          <t>صباحا</t>
        </is>
      </c>
      <c r="E663" t="n">
        <v>454</v>
      </c>
      <c r="F663" t="b">
        <v>0</v>
      </c>
      <c r="G663">
        <f>HYPERLINK("https://www.google.com/maps/search/?api=1&amp;query=24.12409555,47.27948325", "View Map")</f>
        <v/>
      </c>
    </row>
    <row r="664">
      <c r="A664" t="inlineStr">
        <is>
          <t xml:space="preserve">   مسجد الحاره الشرقيه .</t>
        </is>
      </c>
      <c r="B664" t="inlineStr">
        <is>
          <t>KFM2120660270767</t>
        </is>
      </c>
      <c r="C664" t="inlineStr">
        <is>
          <t>وادي الدواسر</t>
        </is>
      </c>
      <c r="D664" t="inlineStr">
        <is>
          <t>مساءا</t>
        </is>
      </c>
      <c r="E664" t="n">
        <v>454</v>
      </c>
      <c r="F664" t="b">
        <v>0</v>
      </c>
      <c r="G664">
        <f>HYPERLINK("https://www.google.com/maps/search/?api=1&amp;query=20.43206656,44.9037717", "View Map")</f>
        <v/>
      </c>
    </row>
    <row r="665">
      <c r="A665" t="inlineStr">
        <is>
          <t xml:space="preserve">    مسجد الجامع بالسيح الجنوبى .</t>
        </is>
      </c>
      <c r="B665" t="inlineStr">
        <is>
          <t>KFM2020766054571</t>
        </is>
      </c>
      <c r="C665" t="inlineStr">
        <is>
          <t>الأفلاج</t>
        </is>
      </c>
      <c r="D665" t="inlineStr">
        <is>
          <t>صباحا</t>
        </is>
      </c>
      <c r="E665" t="n">
        <v>454</v>
      </c>
      <c r="F665" t="b">
        <v>0</v>
      </c>
      <c r="G665">
        <f>HYPERLINK("https://www.google.com/maps/search/?api=1&amp;query=22.22274896,46.76939288", "View Map")</f>
        <v/>
      </c>
    </row>
    <row r="666">
      <c r="A666" t="inlineStr">
        <is>
          <t xml:space="preserve">    مسـجد ال حسـن ببرك .</t>
        </is>
      </c>
      <c r="B666" t="inlineStr">
        <is>
          <t>AES2020896419587</t>
        </is>
      </c>
      <c r="C666" t="inlineStr">
        <is>
          <t>حوطة بني تميم</t>
        </is>
      </c>
      <c r="D666" t="inlineStr">
        <is>
          <t>مساءا</t>
        </is>
      </c>
      <c r="E666" t="n">
        <v>452</v>
      </c>
      <c r="F666" t="b">
        <v>0</v>
      </c>
      <c r="G666">
        <f>HYPERLINK("https://www.google.com/maps/search/?api=1&amp;query=23.21855787,46.39507388", "View Map")</f>
        <v/>
      </c>
    </row>
    <row r="667">
      <c r="A667" t="inlineStr">
        <is>
          <t xml:space="preserve">   مسـجدالحصينيه/الحجالاوقافـ .</t>
        </is>
      </c>
      <c r="B667" t="inlineStr">
        <is>
          <t>KFM2020766120416</t>
        </is>
      </c>
      <c r="C667" t="inlineStr">
        <is>
          <t>الأفلاج</t>
        </is>
      </c>
      <c r="D667" t="inlineStr">
        <is>
          <t>مساءا</t>
        </is>
      </c>
      <c r="E667" t="n">
        <v>451</v>
      </c>
      <c r="F667" t="b">
        <v>0</v>
      </c>
      <c r="G667">
        <f>HYPERLINK("https://www.google.com/maps/search/?api=1&amp;query=22.28731527,46.73122346", "View Map")</f>
        <v/>
      </c>
    </row>
    <row r="668">
      <c r="A668" t="inlineStr">
        <is>
          <t xml:space="preserve">    مسجد ال سيف ببرك .</t>
        </is>
      </c>
      <c r="B668" t="inlineStr">
        <is>
          <t>SMR2020856046668</t>
        </is>
      </c>
      <c r="C668" t="inlineStr">
        <is>
          <t>حوطة بني تميم</t>
        </is>
      </c>
      <c r="D668" t="inlineStr">
        <is>
          <t>مساءا</t>
        </is>
      </c>
      <c r="E668" t="n">
        <v>449</v>
      </c>
      <c r="F668" t="b">
        <v>0</v>
      </c>
      <c r="G668">
        <f>HYPERLINK("https://www.google.com/maps/search/?api=1&amp;query=23.20714816,46.40182023", "View Map")</f>
        <v/>
      </c>
    </row>
    <row r="669">
      <c r="A669" t="inlineStr">
        <is>
          <t xml:space="preserve">      اوقاف الدواسر/مسجد مران قويد .</t>
        </is>
      </c>
      <c r="B669" t="inlineStr">
        <is>
          <t>KFM2020660174657</t>
        </is>
      </c>
      <c r="C669" t="inlineStr">
        <is>
          <t>وادي الدواسر</t>
        </is>
      </c>
      <c r="D669" t="inlineStr">
        <is>
          <t>صباحا</t>
        </is>
      </c>
      <c r="E669" t="n">
        <v>448</v>
      </c>
      <c r="F669" t="b">
        <v>0</v>
      </c>
      <c r="G669">
        <f>HYPERLINK("https://www.google.com/maps/search/?api=1&amp;query=20.45249567,44.85268451", "View Map")</f>
        <v/>
      </c>
    </row>
    <row r="670">
      <c r="A670" t="inlineStr">
        <is>
          <t xml:space="preserve">   مسجد      المضحي       السليل .</t>
        </is>
      </c>
      <c r="B670" t="inlineStr">
        <is>
          <t>AES2020896072313</t>
        </is>
      </c>
      <c r="C670" t="inlineStr">
        <is>
          <t>السليل</t>
        </is>
      </c>
      <c r="D670" t="inlineStr">
        <is>
          <t>مساءا</t>
        </is>
      </c>
      <c r="E670" t="n">
        <v>447</v>
      </c>
      <c r="F670" t="b">
        <v>0</v>
      </c>
      <c r="G670">
        <f>HYPERLINK("https://www.google.com/maps/search/?api=1&amp;query=20.46733334,45.57539495", "View Map")</f>
        <v/>
      </c>
    </row>
    <row r="671">
      <c r="A671" t="inlineStr">
        <is>
          <t>ﺍﻭﻗﺎﻑ ﺍﻟﺩﻟﻡ / ﺍﻟﻤﺴــــــﺎﺠـﺩ .</t>
        </is>
      </c>
      <c r="B671" t="inlineStr">
        <is>
          <t>SMR2220661002003</t>
        </is>
      </c>
      <c r="C671" t="inlineStr">
        <is>
          <t>الدلم</t>
        </is>
      </c>
      <c r="D671" t="inlineStr">
        <is>
          <t>مساءا</t>
        </is>
      </c>
      <c r="E671" t="n">
        <v>446</v>
      </c>
      <c r="F671" t="b">
        <v>0</v>
      </c>
      <c r="G671">
        <f>HYPERLINK("https://www.google.com/maps/search/?api=1&amp;query=23.96111,47.17606", "View Map")</f>
        <v/>
      </c>
    </row>
    <row r="672">
      <c r="A672" t="inlineStr">
        <is>
          <t>ﻤﺴﺎﺠﺩ ﺍﻟﺨﻤﺎﺴﻴﻥ .</t>
        </is>
      </c>
      <c r="B672" t="inlineStr">
        <is>
          <t>KFM2020760212347</t>
        </is>
      </c>
      <c r="C672" t="inlineStr">
        <is>
          <t>وادي الدواسر</t>
        </is>
      </c>
      <c r="D672" t="inlineStr">
        <is>
          <t>مساءا</t>
        </is>
      </c>
      <c r="E672" t="n">
        <v>445</v>
      </c>
      <c r="F672" t="b">
        <v>0</v>
      </c>
      <c r="G672">
        <f>HYPERLINK("https://www.google.com/maps/search/?api=1&amp;query=20.40553075,45.1855193", "View Map")</f>
        <v/>
      </c>
    </row>
    <row r="673">
      <c r="A673" t="inlineStr">
        <is>
          <t xml:space="preserve">      مسجد ال بشر .</t>
        </is>
      </c>
      <c r="B673" t="inlineStr">
        <is>
          <t>KFM2020766167980</t>
        </is>
      </c>
      <c r="C673" t="inlineStr">
        <is>
          <t>الأفلاج</t>
        </is>
      </c>
      <c r="D673" t="inlineStr">
        <is>
          <t>مساءا</t>
        </is>
      </c>
      <c r="E673" t="n">
        <v>445</v>
      </c>
      <c r="F673" t="b">
        <v>0</v>
      </c>
      <c r="G673">
        <f>HYPERLINK("https://www.google.com/maps/search/?api=1&amp;query=22.21004735,46.68377823", "View Map")</f>
        <v/>
      </c>
    </row>
    <row r="674">
      <c r="A674" t="inlineStr">
        <is>
          <t xml:space="preserve">   مسجدالشيخ عبدالله ابن فالح بليلى .</t>
        </is>
      </c>
      <c r="B674" t="inlineStr">
        <is>
          <t>KFM2020660169749</t>
        </is>
      </c>
      <c r="C674" t="inlineStr">
        <is>
          <t>الأفلاج</t>
        </is>
      </c>
      <c r="D674" t="inlineStr">
        <is>
          <t>صباحا</t>
        </is>
      </c>
      <c r="E674" t="n">
        <v>444</v>
      </c>
      <c r="F674" t="b">
        <v>0</v>
      </c>
      <c r="G674">
        <f>HYPERLINK("https://www.google.com/maps/search/?api=1&amp;query=22.30692294,46.70372905", "View Map")</f>
        <v/>
      </c>
    </row>
    <row r="675">
      <c r="A675" t="inlineStr">
        <is>
          <t>مساجد السليل .</t>
        </is>
      </c>
      <c r="B675" t="inlineStr">
        <is>
          <t>AES2020896467691</t>
        </is>
      </c>
      <c r="C675" t="inlineStr">
        <is>
          <t>السليل</t>
        </is>
      </c>
      <c r="D675" t="inlineStr">
        <is>
          <t>مساءا</t>
        </is>
      </c>
      <c r="E675" t="n">
        <v>438</v>
      </c>
      <c r="F675" t="b">
        <v>0</v>
      </c>
      <c r="G675">
        <f>HYPERLINK("https://www.google.com/maps/search/?api=1&amp;query=20.47856052,45.57966412", "View Map")</f>
        <v/>
      </c>
    </row>
    <row r="676">
      <c r="A676" t="inlineStr">
        <is>
          <t>مسجد المطران/عيد حضرم الحربى / مخلوع .</t>
        </is>
      </c>
      <c r="B676" t="inlineStr">
        <is>
          <t>SMR2220661004338</t>
        </is>
      </c>
      <c r="C676" t="inlineStr">
        <is>
          <t>الخرج</t>
        </is>
      </c>
      <c r="D676" t="inlineStr">
        <is>
          <t>مساءا</t>
        </is>
      </c>
      <c r="E676" t="n">
        <v>437</v>
      </c>
      <c r="F676" t="b">
        <v>1</v>
      </c>
      <c r="G676">
        <f>HYPERLINK("https://www.google.com/maps/search/?api=1&amp;query=24.1753,47.2878", "View Map")</f>
        <v/>
      </c>
    </row>
    <row r="677">
      <c r="A677" t="inlineStr">
        <is>
          <t xml:space="preserve">   مسجد      الحزم     الثالث .</t>
        </is>
      </c>
      <c r="B677" t="inlineStr">
        <is>
          <t>KFM2020660232733</t>
        </is>
      </c>
      <c r="C677" t="inlineStr">
        <is>
          <t>حوطة بني تميم</t>
        </is>
      </c>
      <c r="D677" t="inlineStr">
        <is>
          <t>صباحا</t>
        </is>
      </c>
      <c r="E677" t="n">
        <v>437</v>
      </c>
      <c r="F677" t="b">
        <v>1</v>
      </c>
      <c r="G677">
        <f>HYPERLINK("https://www.google.com/maps/search/?api=1&amp;query=23.45332115,46.80601719", "View Map")</f>
        <v/>
      </c>
    </row>
    <row r="678">
      <c r="A678" t="inlineStr">
        <is>
          <t xml:space="preserve">   مسجد      ال سالم   بالنايفية .</t>
        </is>
      </c>
      <c r="B678" t="inlineStr">
        <is>
          <t>AEC2020720003329</t>
        </is>
      </c>
      <c r="C678" t="inlineStr">
        <is>
          <t>الأفلاج</t>
        </is>
      </c>
      <c r="D678" t="inlineStr">
        <is>
          <t>مساءا</t>
        </is>
      </c>
      <c r="E678" t="n">
        <v>436</v>
      </c>
      <c r="F678" t="b">
        <v>0</v>
      </c>
      <c r="G678">
        <f>HYPERLINK("https://www.google.com/maps/search/?api=1&amp;query=22.41563592,46.60517186", "View Map")</f>
        <v/>
      </c>
    </row>
    <row r="679">
      <c r="A679" t="inlineStr">
        <is>
          <t xml:space="preserve">   مسجد حديقه البلديه .</t>
        </is>
      </c>
      <c r="B679" t="inlineStr">
        <is>
          <t>KFM2120660246100</t>
        </is>
      </c>
      <c r="C679" t="inlineStr">
        <is>
          <t>الخرج</t>
        </is>
      </c>
      <c r="D679" t="inlineStr">
        <is>
          <t>صباحا</t>
        </is>
      </c>
      <c r="E679" t="n">
        <v>435</v>
      </c>
      <c r="F679" t="b">
        <v>0</v>
      </c>
      <c r="G679">
        <f>HYPERLINK("https://www.google.com/maps/search/?api=1&amp;query=24.15499071,47.31498239", "View Map")</f>
        <v/>
      </c>
    </row>
    <row r="680">
      <c r="A680" t="inlineStr">
        <is>
          <t xml:space="preserve">   ادارةاوقافمسجد      دواس الخضران .</t>
        </is>
      </c>
      <c r="B680" t="inlineStr">
        <is>
          <t>MMF2020800294180</t>
        </is>
      </c>
      <c r="C680" t="inlineStr">
        <is>
          <t>الأفلاج</t>
        </is>
      </c>
      <c r="D680" t="inlineStr">
        <is>
          <t>مساءا</t>
        </is>
      </c>
      <c r="E680" t="n">
        <v>434</v>
      </c>
      <c r="F680" t="b">
        <v>0</v>
      </c>
      <c r="G680">
        <f>HYPERLINK("https://www.google.com/maps/search/?api=1&amp;query=21.37208505,46.08338573", "View Map")</f>
        <v/>
      </c>
    </row>
    <row r="681">
      <c r="A681" t="inlineStr">
        <is>
          <t xml:space="preserve">      مسجد/عبدالعزيزالشملان .</t>
        </is>
      </c>
      <c r="B681" t="inlineStr">
        <is>
          <t>KFM2020660223918</t>
        </is>
      </c>
      <c r="C681" t="inlineStr">
        <is>
          <t>الخرج</t>
        </is>
      </c>
      <c r="D681" t="inlineStr">
        <is>
          <t>مساءا</t>
        </is>
      </c>
      <c r="E681" t="n">
        <v>434</v>
      </c>
      <c r="F681" t="b">
        <v>0</v>
      </c>
      <c r="G681">
        <f>HYPERLINK("https://www.google.com/maps/search/?api=1&amp;query=24.17340486,47.29755905", "View Map")</f>
        <v/>
      </c>
    </row>
    <row r="682">
      <c r="A682" t="inlineStr">
        <is>
          <t xml:space="preserve">   المسجد    الجامع    زميقه .</t>
        </is>
      </c>
      <c r="B682" t="inlineStr">
        <is>
          <t>KFM2020660207980</t>
        </is>
      </c>
      <c r="C682" t="inlineStr">
        <is>
          <t>الدلم</t>
        </is>
      </c>
      <c r="D682" t="inlineStr">
        <is>
          <t>مساءا</t>
        </is>
      </c>
      <c r="E682" t="n">
        <v>432</v>
      </c>
      <c r="F682" t="b">
        <v>0</v>
      </c>
      <c r="G682">
        <f>HYPERLINK("https://www.google.com/maps/search/?api=1&amp;query=23.95785994,47.16422041", "View Map")</f>
        <v/>
      </c>
    </row>
    <row r="683">
      <c r="A683" t="inlineStr">
        <is>
          <t xml:space="preserve">   مسجد بن دمشق .</t>
        </is>
      </c>
      <c r="B683" t="inlineStr">
        <is>
          <t>KFM2020660207927</t>
        </is>
      </c>
      <c r="C683" t="inlineStr">
        <is>
          <t>الخرج</t>
        </is>
      </c>
      <c r="D683" t="inlineStr">
        <is>
          <t>صباحا</t>
        </is>
      </c>
      <c r="E683" t="n">
        <v>430</v>
      </c>
      <c r="F683" t="b">
        <v>0</v>
      </c>
      <c r="G683">
        <f>HYPERLINK("https://www.google.com/maps/search/?api=1&amp;query=24.15499071,47.31498239", "View Map")</f>
        <v/>
      </c>
    </row>
    <row r="684">
      <c r="A684" t="inlineStr">
        <is>
          <t xml:space="preserve">   اوقاف الخرج /مسجد رياض الصالحين .</t>
        </is>
      </c>
      <c r="B684" t="inlineStr">
        <is>
          <t>KFM2120660249939</t>
        </is>
      </c>
      <c r="C684" t="inlineStr">
        <is>
          <t>الخرج</t>
        </is>
      </c>
      <c r="D684" t="inlineStr">
        <is>
          <t>مساءا</t>
        </is>
      </c>
      <c r="E684" t="n">
        <v>430</v>
      </c>
      <c r="F684" t="b">
        <v>0</v>
      </c>
      <c r="G684">
        <f>HYPERLINK("https://www.google.com/maps/search/?api=1&amp;query=24.13546,47.28174", "View Map")</f>
        <v/>
      </c>
    </row>
    <row r="685">
      <c r="A685" t="inlineStr">
        <is>
          <t xml:space="preserve">   مسجد الخالدية .</t>
        </is>
      </c>
      <c r="B685" t="inlineStr">
        <is>
          <t>SMR2220661011067</t>
        </is>
      </c>
      <c r="C685" t="inlineStr">
        <is>
          <t>السليل</t>
        </is>
      </c>
      <c r="D685" t="inlineStr">
        <is>
          <t>مساءا</t>
        </is>
      </c>
      <c r="E685" t="n">
        <v>430</v>
      </c>
      <c r="F685" t="b">
        <v>0</v>
      </c>
      <c r="G685">
        <f>HYPERLINK("https://www.google.com/maps/search/?api=1&amp;query=20.47674277,45.28411839", "View Map")</f>
        <v/>
      </c>
    </row>
    <row r="686">
      <c r="A686" t="inlineStr">
        <is>
          <t>ﻤﺴﺎﺠﺩ ﻭﺤﺩﺓ ﺍﻟﺤﺭﻴﻕ .</t>
        </is>
      </c>
      <c r="B686" t="inlineStr">
        <is>
          <t>KFM2020660205806</t>
        </is>
      </c>
      <c r="C686" t="inlineStr">
        <is>
          <t>الحريق</t>
        </is>
      </c>
      <c r="D686" t="inlineStr">
        <is>
          <t>صباحا</t>
        </is>
      </c>
      <c r="E686" t="n">
        <v>425</v>
      </c>
      <c r="F686" t="b">
        <v>0</v>
      </c>
      <c r="G686">
        <f>HYPERLINK("https://www.google.com/maps/search/?api=1&amp;query=23.60732967,46.51164826", "View Map")</f>
        <v/>
      </c>
    </row>
    <row r="687">
      <c r="A687" t="inlineStr">
        <is>
          <t xml:space="preserve">   مسجد/المنيفيه .</t>
        </is>
      </c>
      <c r="B687" t="inlineStr">
        <is>
          <t>KFM2020660169633</t>
        </is>
      </c>
      <c r="C687" t="inlineStr">
        <is>
          <t>الخرج</t>
        </is>
      </c>
      <c r="D687" t="inlineStr">
        <is>
          <t>مساءا</t>
        </is>
      </c>
      <c r="E687" t="n">
        <v>424</v>
      </c>
      <c r="F687" t="b">
        <v>0</v>
      </c>
      <c r="G687">
        <f>HYPERLINK("https://www.google.com/maps/search/?api=1&amp;query=24.17498801,47.29561457", "View Map")</f>
        <v/>
      </c>
    </row>
    <row r="688">
      <c r="A688" t="inlineStr">
        <is>
          <t xml:space="preserve">   مسجد عبدالرحمن الحقباني /الدلم .</t>
        </is>
      </c>
      <c r="B688" t="inlineStr">
        <is>
          <t>KFM2020760022909</t>
        </is>
      </c>
      <c r="C688" t="inlineStr">
        <is>
          <t>الدلم</t>
        </is>
      </c>
      <c r="D688" t="inlineStr">
        <is>
          <t>مساءا</t>
        </is>
      </c>
      <c r="E688" t="n">
        <v>423</v>
      </c>
      <c r="F688" t="b">
        <v>0</v>
      </c>
      <c r="G688">
        <f>HYPERLINK("https://www.google.com/maps/search/?api=1&amp;query=23.97615696,47.12199061", "View Map")</f>
        <v/>
      </c>
    </row>
    <row r="689">
      <c r="A689" t="inlineStr">
        <is>
          <t xml:space="preserve">   اوقاف     الدواسر   ال مجدل .</t>
        </is>
      </c>
      <c r="B689" t="inlineStr">
        <is>
          <t>KFM2020760210271</t>
        </is>
      </c>
      <c r="C689" t="inlineStr">
        <is>
          <t>وادي الدواسر</t>
        </is>
      </c>
      <c r="D689" t="inlineStr">
        <is>
          <t>صباحا</t>
        </is>
      </c>
      <c r="E689" t="n">
        <v>421</v>
      </c>
      <c r="F689" t="b">
        <v>0</v>
      </c>
      <c r="G689">
        <f>HYPERLINK("https://www.google.com/maps/search/?api=1&amp;query=20.46789512,44.80063286", "View Map")</f>
        <v/>
      </c>
    </row>
    <row r="690">
      <c r="A690" t="inlineStr">
        <is>
          <t>مسجد الشيخ سلايمان السليمان .</t>
        </is>
      </c>
      <c r="B690" t="inlineStr">
        <is>
          <t>MMF2020800147754</t>
        </is>
      </c>
      <c r="C690" t="inlineStr">
        <is>
          <t>الخرج</t>
        </is>
      </c>
      <c r="D690" t="inlineStr">
        <is>
          <t>صباحا</t>
        </is>
      </c>
      <c r="E690" t="n">
        <v>420</v>
      </c>
      <c r="F690" t="b">
        <v>0</v>
      </c>
      <c r="G690">
        <f>HYPERLINK("https://www.google.com/maps/search/?api=1&amp;query=24.14243745,47.38363163", "View Map")</f>
        <v/>
      </c>
    </row>
    <row r="691">
      <c r="A691" t="inlineStr">
        <is>
          <t xml:space="preserve">   مسجد/ عمر بن الخطاب .</t>
        </is>
      </c>
      <c r="B691" t="inlineStr">
        <is>
          <t>KFM2020660212816</t>
        </is>
      </c>
      <c r="C691" t="inlineStr">
        <is>
          <t>وادي الدواسر</t>
        </is>
      </c>
      <c r="D691" t="inlineStr">
        <is>
          <t>صباحا</t>
        </is>
      </c>
      <c r="E691" t="n">
        <v>419</v>
      </c>
      <c r="F691" t="b">
        <v>0</v>
      </c>
      <c r="G691">
        <f>HYPERLINK("https://www.google.com/maps/search/?api=1&amp;query=20.44011236,44.78395986", "View Map")</f>
        <v/>
      </c>
    </row>
    <row r="692">
      <c r="A692" t="inlineStr">
        <is>
          <t xml:space="preserve">   مسجد حي المنيفيه الجديد .</t>
        </is>
      </c>
      <c r="B692" t="inlineStr">
        <is>
          <t>KFM2020760229883</t>
        </is>
      </c>
      <c r="C692" t="inlineStr">
        <is>
          <t>الخرج</t>
        </is>
      </c>
      <c r="D692" t="inlineStr">
        <is>
          <t>مساءا</t>
        </is>
      </c>
      <c r="E692" t="n">
        <v>418</v>
      </c>
      <c r="F692" t="b">
        <v>1</v>
      </c>
      <c r="G692">
        <f>HYPERLINK("https://www.google.com/maps/search/?api=1&amp;query=24.17014976,47.29544756", "View Map")</f>
        <v/>
      </c>
    </row>
    <row r="693">
      <c r="A693" t="inlineStr">
        <is>
          <t xml:space="preserve">   اوقاف السليل / مسجدالحزم الجنوبي .</t>
        </is>
      </c>
      <c r="B693" t="inlineStr">
        <is>
          <t>KFM2020766165799</t>
        </is>
      </c>
      <c r="C693" t="inlineStr">
        <is>
          <t>السليل</t>
        </is>
      </c>
      <c r="D693" t="inlineStr">
        <is>
          <t>صباحا</t>
        </is>
      </c>
      <c r="E693" t="n">
        <v>417</v>
      </c>
      <c r="F693" t="b">
        <v>0</v>
      </c>
      <c r="G693">
        <f>HYPERLINK("https://www.google.com/maps/search/?api=1&amp;query=20.46035683,45.57943954", "View Map")</f>
        <v/>
      </c>
    </row>
    <row r="694">
      <c r="A694" t="inlineStr">
        <is>
          <t xml:space="preserve">      مسجد المبعوثه .</t>
        </is>
      </c>
      <c r="B694" t="inlineStr">
        <is>
          <t>ECC2020811054380</t>
        </is>
      </c>
      <c r="C694" t="inlineStr">
        <is>
          <t>الأفلاج</t>
        </is>
      </c>
      <c r="D694" t="inlineStr">
        <is>
          <t>صباحا</t>
        </is>
      </c>
      <c r="E694" t="n">
        <v>415</v>
      </c>
      <c r="F694" t="b">
        <v>0</v>
      </c>
      <c r="G694">
        <f>HYPERLINK("https://www.google.com/maps/search/?api=1&amp;query=22.28640925,46.7325889", "View Map")</f>
        <v/>
      </c>
    </row>
    <row r="695">
      <c r="A695" t="inlineStr">
        <is>
          <t xml:space="preserve">   جامع عمر بن عبدالعزيز .</t>
        </is>
      </c>
      <c r="B695" t="inlineStr">
        <is>
          <t>KFM2020660223863</t>
        </is>
      </c>
      <c r="C695" t="inlineStr">
        <is>
          <t>الخرج</t>
        </is>
      </c>
      <c r="D695" t="inlineStr">
        <is>
          <t>مساءا</t>
        </is>
      </c>
      <c r="E695" t="n">
        <v>411</v>
      </c>
      <c r="F695" t="b">
        <v>0</v>
      </c>
      <c r="G695">
        <f>HYPERLINK("https://www.google.com/maps/search/?api=1&amp;query=24.15222181,47.33764018", "View Map")</f>
        <v/>
      </c>
    </row>
    <row r="696">
      <c r="A696" t="inlineStr">
        <is>
          <t xml:space="preserve">      المسجد الجامع بالبدع .</t>
        </is>
      </c>
      <c r="B696" t="inlineStr">
        <is>
          <t>KFM2020660176065</t>
        </is>
      </c>
      <c r="C696" t="inlineStr">
        <is>
          <t>الخرج</t>
        </is>
      </c>
      <c r="D696" t="inlineStr">
        <is>
          <t>صباحا</t>
        </is>
      </c>
      <c r="E696" t="n">
        <v>410</v>
      </c>
      <c r="F696" t="b">
        <v>0</v>
      </c>
      <c r="G696">
        <f>HYPERLINK("https://www.google.com/maps/search/?api=1&amp;query=24.2082673,47.263619", "View Map")</f>
        <v/>
      </c>
    </row>
    <row r="697">
      <c r="A697" t="inlineStr">
        <is>
          <t xml:space="preserve">   جامع الا مام مالك بن انس .</t>
        </is>
      </c>
      <c r="B697" t="inlineStr">
        <is>
          <t>KFM2020660172281</t>
        </is>
      </c>
      <c r="C697" t="inlineStr">
        <is>
          <t>الخرج</t>
        </is>
      </c>
      <c r="D697" t="inlineStr">
        <is>
          <t>مساءا</t>
        </is>
      </c>
      <c r="E697" t="n">
        <v>409</v>
      </c>
      <c r="F697" t="b">
        <v>0</v>
      </c>
      <c r="G697">
        <f>HYPERLINK("https://www.google.com/maps/search/?api=1&amp;query=24.14872173,47.33392115", "View Map")</f>
        <v/>
      </c>
    </row>
    <row r="698">
      <c r="A698" t="inlineStr">
        <is>
          <t xml:space="preserve">     مسجد الترمذي .</t>
        </is>
      </c>
      <c r="B698" t="inlineStr">
        <is>
          <t>KFM2020660193294</t>
        </is>
      </c>
      <c r="C698" t="inlineStr">
        <is>
          <t>حوطة بني تميم</t>
        </is>
      </c>
      <c r="D698" t="inlineStr">
        <is>
          <t>صباحا</t>
        </is>
      </c>
      <c r="E698" t="n">
        <v>408</v>
      </c>
      <c r="F698" t="b">
        <v>0</v>
      </c>
      <c r="G698">
        <f>HYPERLINK("https://www.google.com/maps/search/?api=1&amp;query=23.43296608,46.78970342", "View Map")</f>
        <v/>
      </c>
    </row>
    <row r="699">
      <c r="A699" t="inlineStr">
        <is>
          <t xml:space="preserve">   مسجد حنضله بن الربيع .</t>
        </is>
      </c>
      <c r="B699" t="inlineStr">
        <is>
          <t>KFM2120660249790</t>
        </is>
      </c>
      <c r="C699" t="inlineStr">
        <is>
          <t>الخرج</t>
        </is>
      </c>
      <c r="D699" t="inlineStr">
        <is>
          <t>مساءا</t>
        </is>
      </c>
      <c r="E699" t="n">
        <v>408</v>
      </c>
      <c r="F699" t="b">
        <v>0</v>
      </c>
      <c r="G699">
        <f>HYPERLINK("https://www.google.com/maps/search/?api=1&amp;query=24.15467045,47.3694341", "View Map")</f>
        <v/>
      </c>
    </row>
    <row r="700">
      <c r="A700" t="inlineStr">
        <is>
          <t>ﻤﺴﺎﺠﺩ ﺍﻟﺴﻟﻴﻝ .</t>
        </is>
      </c>
      <c r="B700" t="inlineStr">
        <is>
          <t>KFM2020766133992</t>
        </is>
      </c>
      <c r="C700" t="inlineStr">
        <is>
          <t>السليل</t>
        </is>
      </c>
      <c r="D700" t="inlineStr">
        <is>
          <t>صباحا</t>
        </is>
      </c>
      <c r="E700" t="n">
        <v>408</v>
      </c>
      <c r="F700" t="b">
        <v>0</v>
      </c>
      <c r="G700">
        <f>HYPERLINK("https://www.google.com/maps/search/?api=1&amp;query=20.46774629,45.59039", "View Map")</f>
        <v/>
      </c>
    </row>
    <row r="701">
      <c r="A701" t="inlineStr">
        <is>
          <t xml:space="preserve">      مسجد اسـامةبن زيـد .</t>
        </is>
      </c>
      <c r="B701" t="inlineStr">
        <is>
          <t>KFM2120660270810</t>
        </is>
      </c>
      <c r="C701" t="inlineStr">
        <is>
          <t>الدلم</t>
        </is>
      </c>
      <c r="D701" t="inlineStr">
        <is>
          <t>صباحا</t>
        </is>
      </c>
      <c r="E701" t="n">
        <v>406</v>
      </c>
      <c r="F701" t="b">
        <v>1</v>
      </c>
      <c r="G701">
        <f>HYPERLINK("https://www.google.com/maps/search/?api=1&amp;query=23.98233346,47.13183531", "View Map")</f>
        <v/>
      </c>
    </row>
    <row r="702">
      <c r="A702" t="inlineStr">
        <is>
          <t xml:space="preserve">   اوقاف السليل / مسجد رقم 13 .</t>
        </is>
      </c>
      <c r="B702" t="inlineStr">
        <is>
          <t>KFM2020766165864</t>
        </is>
      </c>
      <c r="C702" t="inlineStr">
        <is>
          <t>السليل</t>
        </is>
      </c>
      <c r="D702" t="inlineStr">
        <is>
          <t>صباحا</t>
        </is>
      </c>
      <c r="E702" t="n">
        <v>404</v>
      </c>
      <c r="F702" t="b">
        <v>0</v>
      </c>
      <c r="G702">
        <f>HYPERLINK("https://www.google.com/maps/search/?api=1&amp;query=20.46406002,45.58425451", "View Map")</f>
        <v/>
      </c>
    </row>
    <row r="703">
      <c r="A703" t="inlineStr">
        <is>
          <t xml:space="preserve">      اوقاف الدواسر/مسجد ال حقطان .</t>
        </is>
      </c>
      <c r="B703" t="inlineStr">
        <is>
          <t>KFM2020660176058</t>
        </is>
      </c>
      <c r="C703" t="inlineStr">
        <is>
          <t>وادي الدواسر</t>
        </is>
      </c>
      <c r="D703" t="inlineStr">
        <is>
          <t>صباحا</t>
        </is>
      </c>
      <c r="E703" t="n">
        <v>403</v>
      </c>
      <c r="F703" t="b">
        <v>0</v>
      </c>
      <c r="G703">
        <f>HYPERLINK("https://www.google.com/maps/search/?api=1&amp;query=20.46973288,44.79948005", "View Map")</f>
        <v/>
      </c>
    </row>
    <row r="704">
      <c r="A704" t="inlineStr">
        <is>
          <t>ﺍﻟﻤﺴﺎﺠﺩﻭﺍﻟﺩﻋﻭﻩ ﺍﻻﺭﺸﺎﺩ ﺒﺎﻻﻓﻼﺝ .</t>
        </is>
      </c>
      <c r="B704" t="inlineStr">
        <is>
          <t>KFM2020766134708</t>
        </is>
      </c>
      <c r="C704" t="inlineStr">
        <is>
          <t>الأفلاج</t>
        </is>
      </c>
      <c r="D704" t="inlineStr">
        <is>
          <t>صباحا</t>
        </is>
      </c>
      <c r="E704" t="n">
        <v>403</v>
      </c>
      <c r="F704" t="b">
        <v>0</v>
      </c>
      <c r="G704">
        <f>HYPERLINK("https://www.google.com/maps/search/?api=1&amp;query=22.3210249,46.72271642", "View Map")</f>
        <v/>
      </c>
    </row>
    <row r="705">
      <c r="A705" t="inlineStr">
        <is>
          <t xml:space="preserve">      مسجد المامون .</t>
        </is>
      </c>
      <c r="B705" t="inlineStr">
        <is>
          <t>KFM2020760061215</t>
        </is>
      </c>
      <c r="C705" t="inlineStr">
        <is>
          <t>الدلم</t>
        </is>
      </c>
      <c r="D705" t="inlineStr">
        <is>
          <t>صباحا</t>
        </is>
      </c>
      <c r="E705" t="n">
        <v>403</v>
      </c>
      <c r="F705" t="b">
        <v>0</v>
      </c>
      <c r="G705">
        <f>HYPERLINK("https://www.google.com/maps/search/?api=1&amp;query=23.99223007,47.12995641", "View Map")</f>
        <v/>
      </c>
    </row>
    <row r="706">
      <c r="A706" t="inlineStr">
        <is>
          <t xml:space="preserve">   مسجد المقداد بن الاسود .</t>
        </is>
      </c>
      <c r="B706" t="inlineStr">
        <is>
          <t>KFM2020660210989</t>
        </is>
      </c>
      <c r="C706" t="inlineStr">
        <is>
          <t>الخرج</t>
        </is>
      </c>
      <c r="D706" t="inlineStr">
        <is>
          <t>مساءا</t>
        </is>
      </c>
      <c r="E706" t="n">
        <v>402</v>
      </c>
      <c r="F706" t="b">
        <v>0</v>
      </c>
      <c r="G706">
        <f>HYPERLINK("https://www.google.com/maps/search/?api=1&amp;query=24.10445023,47.26546055", "View Map")</f>
        <v/>
      </c>
    </row>
    <row r="707">
      <c r="A707" t="inlineStr">
        <is>
          <t xml:space="preserve">   ادارةاوقافمسجد      الفرقان .</t>
        </is>
      </c>
      <c r="B707" t="inlineStr">
        <is>
          <t>KFM2020660171031</t>
        </is>
      </c>
      <c r="C707" t="inlineStr">
        <is>
          <t>الأفلاج</t>
        </is>
      </c>
      <c r="D707" t="inlineStr">
        <is>
          <t>صباحا</t>
        </is>
      </c>
      <c r="E707" t="n">
        <v>402</v>
      </c>
      <c r="F707" t="b">
        <v>0</v>
      </c>
      <c r="G707">
        <f>HYPERLINK("https://www.google.com/maps/search/?api=1&amp;query=22.29313359,46.72641748", "View Map")</f>
        <v/>
      </c>
    </row>
    <row r="708">
      <c r="A708" t="inlineStr">
        <is>
          <t xml:space="preserve">   ادارةالاوقاف(مسجدالحله الجديده..) .</t>
        </is>
      </c>
      <c r="B708" t="inlineStr">
        <is>
          <t>AES2020896438780</t>
        </is>
      </c>
      <c r="C708" t="inlineStr">
        <is>
          <t>الأفلاج</t>
        </is>
      </c>
      <c r="D708" t="inlineStr">
        <is>
          <t>صباحا</t>
        </is>
      </c>
      <c r="E708" t="n">
        <v>402</v>
      </c>
      <c r="F708" t="b">
        <v>0</v>
      </c>
      <c r="G708">
        <f>HYPERLINK("https://www.google.com/maps/search/?api=1&amp;query=22.22316475,46.77134222", "View Map")</f>
        <v/>
      </c>
    </row>
    <row r="709">
      <c r="A709" t="inlineStr">
        <is>
          <t xml:space="preserve">   مسجد معاذ بن جبل .</t>
        </is>
      </c>
      <c r="B709" t="inlineStr">
        <is>
          <t>KFM2020660228473</t>
        </is>
      </c>
      <c r="C709" t="inlineStr">
        <is>
          <t>الخرج</t>
        </is>
      </c>
      <c r="D709" t="inlineStr">
        <is>
          <t>صباحا</t>
        </is>
      </c>
      <c r="E709" t="n">
        <v>398</v>
      </c>
      <c r="F709" t="b">
        <v>0</v>
      </c>
      <c r="G709">
        <f>HYPERLINK("https://www.google.com/maps/search/?api=1&amp;query=24.15986369,47.33357004", "View Map")</f>
        <v/>
      </c>
    </row>
    <row r="710">
      <c r="A710" t="inlineStr">
        <is>
          <t>ﻤﺴﺎﺠﺩﺍﻟﺨـﺭﺝ .</t>
        </is>
      </c>
      <c r="B710" t="inlineStr">
        <is>
          <t>KFM2020760161038</t>
        </is>
      </c>
      <c r="C710" t="inlineStr">
        <is>
          <t>الخرج</t>
        </is>
      </c>
      <c r="D710" t="inlineStr">
        <is>
          <t>مساءا</t>
        </is>
      </c>
      <c r="E710" t="n">
        <v>398</v>
      </c>
      <c r="F710" t="b">
        <v>0</v>
      </c>
      <c r="G710">
        <f>HYPERLINK("https://www.google.com/maps/search/?api=1&amp;query=24.18956234,47.40389924", "View Map")</f>
        <v/>
      </c>
    </row>
    <row r="711">
      <c r="A711" t="inlineStr">
        <is>
          <t>مسجد ابن القيم اوقاف الدواسر .</t>
        </is>
      </c>
      <c r="B711" t="inlineStr">
        <is>
          <t>MMF2020800092458</t>
        </is>
      </c>
      <c r="C711" t="inlineStr">
        <is>
          <t>وادي الدواسر</t>
        </is>
      </c>
      <c r="D711" t="inlineStr">
        <is>
          <t>صباحا</t>
        </is>
      </c>
      <c r="E711" t="n">
        <v>397</v>
      </c>
      <c r="F711" t="b">
        <v>0</v>
      </c>
      <c r="G711">
        <f>HYPERLINK("https://www.google.com/maps/search/?api=1&amp;query=20.46401179,44.77955688", "View Map")</f>
        <v/>
      </c>
    </row>
    <row r="712">
      <c r="A712" t="inlineStr">
        <is>
          <t xml:space="preserve">      مسجد الحزيمية .</t>
        </is>
      </c>
      <c r="B712" t="inlineStr">
        <is>
          <t>KFM2020766054638</t>
        </is>
      </c>
      <c r="C712" t="inlineStr">
        <is>
          <t>الحريق</t>
        </is>
      </c>
      <c r="D712" t="inlineStr">
        <is>
          <t>صباحا</t>
        </is>
      </c>
      <c r="E712" t="n">
        <v>397</v>
      </c>
      <c r="F712" t="b">
        <v>0</v>
      </c>
      <c r="G712">
        <f>HYPERLINK("https://www.google.com/maps/search/?api=1&amp;query=23.62309179,46.51544813", "View Map")</f>
        <v/>
      </c>
    </row>
    <row r="713">
      <c r="A713" t="inlineStr">
        <is>
          <t xml:space="preserve">   الاوقاف مسجدالنعمان بن مقرن مزني .</t>
        </is>
      </c>
      <c r="B713" t="inlineStr">
        <is>
          <t>KFM2120655001634</t>
        </is>
      </c>
      <c r="C713" t="inlineStr">
        <is>
          <t>الخرج</t>
        </is>
      </c>
      <c r="D713" t="inlineStr">
        <is>
          <t>مساءا</t>
        </is>
      </c>
      <c r="E713" t="n">
        <v>397</v>
      </c>
      <c r="F713" t="b">
        <v>0</v>
      </c>
      <c r="G713">
        <f>HYPERLINK("https://www.google.com/maps/search/?api=1&amp;query=24.12186473,47.27395562", "View Map")</f>
        <v/>
      </c>
    </row>
    <row r="714">
      <c r="A714" t="inlineStr">
        <is>
          <t xml:space="preserve">      مسجد حى الشكره .</t>
        </is>
      </c>
      <c r="B714" t="inlineStr">
        <is>
          <t>KFM2020660228457</t>
        </is>
      </c>
      <c r="C714" t="inlineStr">
        <is>
          <t>الخرج</t>
        </is>
      </c>
      <c r="D714" t="inlineStr">
        <is>
          <t>مساءا</t>
        </is>
      </c>
      <c r="E714" t="n">
        <v>397</v>
      </c>
      <c r="F714" t="b">
        <v>0</v>
      </c>
      <c r="G714">
        <f>HYPERLINK("https://www.google.com/maps/search/?api=1&amp;query=24.15396657,47.32782008", "View Map")</f>
        <v/>
      </c>
    </row>
    <row r="715">
      <c r="A715" t="inlineStr">
        <is>
          <t xml:space="preserve">      مسجد السليمانيه .</t>
        </is>
      </c>
      <c r="B715" t="inlineStr">
        <is>
          <t>KFM2020660229216</t>
        </is>
      </c>
      <c r="C715" t="inlineStr">
        <is>
          <t>الخرج</t>
        </is>
      </c>
      <c r="D715" t="inlineStr">
        <is>
          <t>مساءا</t>
        </is>
      </c>
      <c r="E715" t="n">
        <v>396</v>
      </c>
      <c r="F715" t="b">
        <v>1</v>
      </c>
      <c r="G715">
        <f>HYPERLINK("https://www.google.com/maps/search/?api=1&amp;query=24.15082311,47.30488547", "View Map")</f>
        <v/>
      </c>
    </row>
    <row r="716">
      <c r="A716" t="inlineStr">
        <is>
          <t>ﻤﺴﺎﺠﺩﺍﻟﺨـﺭﺝ .</t>
        </is>
      </c>
      <c r="B716" t="inlineStr">
        <is>
          <t>MMF2420801308689</t>
        </is>
      </c>
      <c r="C716" t="inlineStr">
        <is>
          <t>الخرج</t>
        </is>
      </c>
      <c r="D716" t="inlineStr">
        <is>
          <t>مساءا</t>
        </is>
      </c>
      <c r="E716" t="n">
        <v>396</v>
      </c>
      <c r="F716" t="b">
        <v>0</v>
      </c>
      <c r="G716">
        <f>HYPERLINK("https://www.google.com/maps/search/?api=1&amp;query=24.15623898,47.27918326", "View Map")</f>
        <v/>
      </c>
    </row>
    <row r="717">
      <c r="A717" t="inlineStr">
        <is>
          <t>ﻤﺴﺎﺠﺩﺍﻟﺨـﺭﺝ .</t>
        </is>
      </c>
      <c r="B717" t="inlineStr">
        <is>
          <t>KFM2020660230203</t>
        </is>
      </c>
      <c r="C717" t="inlineStr">
        <is>
          <t>الخرج</t>
        </is>
      </c>
      <c r="D717" t="inlineStr">
        <is>
          <t>مساءا</t>
        </is>
      </c>
      <c r="E717" t="n">
        <v>393</v>
      </c>
      <c r="F717" t="b">
        <v>1</v>
      </c>
      <c r="G717">
        <f>HYPERLINK("https://www.google.com/maps/search/?api=1&amp;query=24.16656676,47.25437701", "View Map")</f>
        <v/>
      </c>
    </row>
    <row r="718">
      <c r="A718" t="inlineStr">
        <is>
          <t xml:space="preserve">      مسجد مقبوله .</t>
        </is>
      </c>
      <c r="B718" t="inlineStr">
        <is>
          <t>KFM2020660212542</t>
        </is>
      </c>
      <c r="C718" t="inlineStr">
        <is>
          <t>الخرج</t>
        </is>
      </c>
      <c r="D718" t="inlineStr">
        <is>
          <t>صباحا</t>
        </is>
      </c>
      <c r="E718" t="n">
        <v>392</v>
      </c>
      <c r="F718" t="b">
        <v>0</v>
      </c>
      <c r="G718">
        <f>HYPERLINK("https://www.google.com/maps/search/?api=1&amp;query=24.1879591,47.29645055", "View Map")</f>
        <v/>
      </c>
    </row>
    <row r="719">
      <c r="A719" t="inlineStr">
        <is>
          <t xml:space="preserve">   ادارةاوقافمسجد      الوليد .</t>
        </is>
      </c>
      <c r="B719" t="inlineStr">
        <is>
          <t>KFM2120660252680</t>
        </is>
      </c>
      <c r="C719" t="inlineStr">
        <is>
          <t>الأفلاج</t>
        </is>
      </c>
      <c r="D719" t="inlineStr">
        <is>
          <t>صباحا</t>
        </is>
      </c>
      <c r="E719" t="n">
        <v>391</v>
      </c>
      <c r="F719" t="b">
        <v>0</v>
      </c>
      <c r="G719">
        <f>HYPERLINK("https://www.google.com/maps/search/?api=1&amp;query=22.29974664,46.71725139", "View Map")</f>
        <v/>
      </c>
    </row>
    <row r="720">
      <c r="A720" t="inlineStr">
        <is>
          <t xml:space="preserve">   مسجد/ عبدالله بن أبي أوفى .</t>
        </is>
      </c>
      <c r="B720" t="inlineStr">
        <is>
          <t>KFM2020660230250</t>
        </is>
      </c>
      <c r="C720" t="inlineStr">
        <is>
          <t>الخرج</t>
        </is>
      </c>
      <c r="D720" t="inlineStr">
        <is>
          <t>مساءا</t>
        </is>
      </c>
      <c r="E720" t="n">
        <v>385</v>
      </c>
      <c r="F720" t="b">
        <v>0</v>
      </c>
      <c r="G720">
        <f>HYPERLINK("https://www.google.com/maps/search/?api=1&amp;query=24.17103224,47.31241487", "View Map")</f>
        <v/>
      </c>
    </row>
    <row r="721">
      <c r="A721" t="inlineStr">
        <is>
          <t xml:space="preserve">    مسجد ابن تيميه بالحلوة .</t>
        </is>
      </c>
      <c r="B721" t="inlineStr">
        <is>
          <t>AES2020896436442</t>
        </is>
      </c>
      <c r="C721" t="inlineStr">
        <is>
          <t>حوطة بني تميم</t>
        </is>
      </c>
      <c r="D721" t="inlineStr">
        <is>
          <t>صباحا</t>
        </is>
      </c>
      <c r="E721" t="n">
        <v>384</v>
      </c>
      <c r="F721" t="b">
        <v>0</v>
      </c>
      <c r="G721">
        <f>HYPERLINK("https://www.google.com/maps/search/?api=1&amp;query=23.4357584,46.78426898", "View Map")</f>
        <v/>
      </c>
    </row>
    <row r="722">
      <c r="A722" t="inlineStr">
        <is>
          <t>ﻤﺴﺎﺠﺩﺍﻟﺨـﺭﺝ .</t>
        </is>
      </c>
      <c r="B722" t="inlineStr">
        <is>
          <t>KFM2020660212432</t>
        </is>
      </c>
      <c r="C722" t="inlineStr">
        <is>
          <t>الخرج</t>
        </is>
      </c>
      <c r="D722" t="inlineStr">
        <is>
          <t>مساءا</t>
        </is>
      </c>
      <c r="E722" t="n">
        <v>383</v>
      </c>
      <c r="F722" t="b">
        <v>0</v>
      </c>
      <c r="G722">
        <f>HYPERLINK("https://www.google.com/maps/search/?api=1&amp;query=24.0945035,47.27503035", "View Map")</f>
        <v/>
      </c>
    </row>
    <row r="723">
      <c r="A723" t="inlineStr">
        <is>
          <t>ﻤﺴﺎﺠﺩﺍﻟﺨـﺭﺝ .</t>
        </is>
      </c>
      <c r="B723" t="inlineStr">
        <is>
          <t>SMR2320661023150</t>
        </is>
      </c>
      <c r="C723" t="inlineStr">
        <is>
          <t>الخرج</t>
        </is>
      </c>
      <c r="D723" t="inlineStr">
        <is>
          <t>مساءا</t>
        </is>
      </c>
      <c r="E723" t="n">
        <v>382</v>
      </c>
      <c r="F723" t="b">
        <v>0</v>
      </c>
      <c r="G723">
        <f>HYPERLINK("https://www.google.com/maps/search/?api=1&amp;query=24.14509747,47.27958431", "View Map")</f>
        <v/>
      </c>
    </row>
    <row r="724">
      <c r="A724" t="inlineStr">
        <is>
          <t xml:space="preserve">   مسجدحى الخزان بالصحنه .</t>
        </is>
      </c>
      <c r="B724" t="inlineStr">
        <is>
          <t>MMF2020800255067</t>
        </is>
      </c>
      <c r="C724" t="inlineStr">
        <is>
          <t>الدلم</t>
        </is>
      </c>
      <c r="D724" t="inlineStr">
        <is>
          <t>صباحا</t>
        </is>
      </c>
      <c r="E724" t="n">
        <v>379</v>
      </c>
      <c r="F724" t="b">
        <v>0</v>
      </c>
      <c r="G724">
        <f>HYPERLINK("https://www.google.com/maps/search/?api=1&amp;query=23.97470413,47.13241107", "View Map")</f>
        <v/>
      </c>
    </row>
    <row r="725">
      <c r="A725" t="inlineStr">
        <is>
          <t xml:space="preserve">   مسجد       مبارك     ال عريمه .</t>
        </is>
      </c>
      <c r="B725" t="inlineStr">
        <is>
          <t>MMF2020800299429</t>
        </is>
      </c>
      <c r="C725" t="inlineStr">
        <is>
          <t>وادي الدواسر</t>
        </is>
      </c>
      <c r="D725" t="inlineStr">
        <is>
          <t>صباحا</t>
        </is>
      </c>
      <c r="E725" t="n">
        <v>377</v>
      </c>
      <c r="F725" t="b">
        <v>0</v>
      </c>
      <c r="G725">
        <f>HYPERLINK("https://www.google.com/maps/search/?api=1&amp;query=20.46896653,44.76785049", "View Map")</f>
        <v/>
      </c>
    </row>
    <row r="726">
      <c r="A726" t="inlineStr">
        <is>
          <t xml:space="preserve">   مسجد العقيفي .</t>
        </is>
      </c>
      <c r="B726" t="inlineStr">
        <is>
          <t>KFM2020660170482</t>
        </is>
      </c>
      <c r="C726" t="inlineStr">
        <is>
          <t>الدلم</t>
        </is>
      </c>
      <c r="D726" t="inlineStr">
        <is>
          <t>مساءا</t>
        </is>
      </c>
      <c r="E726" t="n">
        <v>375</v>
      </c>
      <c r="F726" t="b">
        <v>0</v>
      </c>
      <c r="G726">
        <f>HYPERLINK("https://www.google.com/maps/search/?api=1&amp;query=24.01716573,47.13844193", "View Map")</f>
        <v/>
      </c>
    </row>
    <row r="727">
      <c r="A727" t="inlineStr">
        <is>
          <t xml:space="preserve">   مسجد جامع الفوارالا وقاف والمساجد .</t>
        </is>
      </c>
      <c r="B727" t="inlineStr">
        <is>
          <t>KFM2020660174596</t>
        </is>
      </c>
      <c r="C727" t="inlineStr">
        <is>
          <t>وادي الدواسر</t>
        </is>
      </c>
      <c r="D727" t="inlineStr">
        <is>
          <t>صباحا</t>
        </is>
      </c>
      <c r="E727" t="n">
        <v>373</v>
      </c>
      <c r="F727" t="b">
        <v>0</v>
      </c>
      <c r="G727">
        <f>HYPERLINK("https://www.google.com/maps/search/?api=1&amp;query=20.44784165,44.85402588", "View Map")</f>
        <v/>
      </c>
    </row>
    <row r="728">
      <c r="A728" t="inlineStr">
        <is>
          <t>ﻤﺴﺎﺠﺩ ﺍﻟﺨﻤﺎﺴﻴﻥ .</t>
        </is>
      </c>
      <c r="B728" t="inlineStr">
        <is>
          <t>SMR2320661029271</t>
        </is>
      </c>
      <c r="C728" t="inlineStr">
        <is>
          <t>وادي الدواسر</t>
        </is>
      </c>
      <c r="D728" t="inlineStr">
        <is>
          <t>صباحا</t>
        </is>
      </c>
      <c r="E728" t="n">
        <v>373</v>
      </c>
      <c r="F728" t="b">
        <v>0</v>
      </c>
      <c r="G728">
        <f>HYPERLINK("https://www.google.com/maps/search/?api=1&amp;query=20.45370631,44.7593871", "View Map")</f>
        <v/>
      </c>
    </row>
    <row r="729">
      <c r="A729" t="inlineStr">
        <is>
          <t xml:space="preserve">   مسجد شايع العبدالله .</t>
        </is>
      </c>
      <c r="B729" t="inlineStr">
        <is>
          <t>KFM2020660230898</t>
        </is>
      </c>
      <c r="C729" t="inlineStr">
        <is>
          <t>الخرج</t>
        </is>
      </c>
      <c r="D729" t="inlineStr">
        <is>
          <t>مساءا</t>
        </is>
      </c>
      <c r="E729" t="n">
        <v>367</v>
      </c>
      <c r="F729" t="b">
        <v>0</v>
      </c>
      <c r="G729">
        <f>HYPERLINK("https://www.google.com/maps/search/?api=1&amp;query=24.19322372,47.38136118", "View Map")</f>
        <v/>
      </c>
    </row>
    <row r="730">
      <c r="A730" t="inlineStr">
        <is>
          <t>ﻤﺴﺎﺠﺩﺍﻟﺨـﺭﺝ .</t>
        </is>
      </c>
      <c r="B730" t="inlineStr">
        <is>
          <t>KFM2020760155705</t>
        </is>
      </c>
      <c r="C730" t="inlineStr">
        <is>
          <t>الخرج</t>
        </is>
      </c>
      <c r="D730" t="inlineStr">
        <is>
          <t>مساءا</t>
        </is>
      </c>
      <c r="E730" t="n">
        <v>367</v>
      </c>
      <c r="F730" t="b">
        <v>0</v>
      </c>
      <c r="G730">
        <f>HYPERLINK("https://www.google.com/maps/search/?api=1&amp;query=24.18479466,47.28570028", "View Map")</f>
        <v/>
      </c>
    </row>
    <row r="731">
      <c r="A731" t="inlineStr">
        <is>
          <t xml:space="preserve">   مسجد حله العبتان .</t>
        </is>
      </c>
      <c r="B731" t="inlineStr">
        <is>
          <t>KFM2020660204237</t>
        </is>
      </c>
      <c r="C731" t="inlineStr">
        <is>
          <t>الخرج</t>
        </is>
      </c>
      <c r="D731" t="inlineStr">
        <is>
          <t>مساءا</t>
        </is>
      </c>
      <c r="E731" t="n">
        <v>367</v>
      </c>
      <c r="F731" t="b">
        <v>1</v>
      </c>
      <c r="G731">
        <f>HYPERLINK("https://www.google.com/maps/search/?api=1&amp;query=24.15481778,47.30828879", "View Map")</f>
        <v/>
      </c>
    </row>
    <row r="732">
      <c r="A732" t="inlineStr">
        <is>
          <t xml:space="preserve">   مسجد جامع ال صويان الحج والاوقاف .</t>
        </is>
      </c>
      <c r="B732" t="inlineStr">
        <is>
          <t>KFM2020660174664</t>
        </is>
      </c>
      <c r="C732" t="inlineStr">
        <is>
          <t>وادي الدواسر</t>
        </is>
      </c>
      <c r="D732" t="inlineStr">
        <is>
          <t>صباحا</t>
        </is>
      </c>
      <c r="E732" t="n">
        <v>367</v>
      </c>
      <c r="F732" t="b">
        <v>0</v>
      </c>
      <c r="G732">
        <f>HYPERLINK("https://www.google.com/maps/search/?api=1&amp;query=20.45416838,44.84432456", "View Map")</f>
        <v/>
      </c>
    </row>
    <row r="733">
      <c r="A733" t="inlineStr">
        <is>
          <t xml:space="preserve">   مسجد /ابن نهيد الحج والاوقاف .</t>
        </is>
      </c>
      <c r="B733" t="inlineStr">
        <is>
          <t>KFM2020760208659</t>
        </is>
      </c>
      <c r="C733" t="inlineStr">
        <is>
          <t>وادي الدواسر</t>
        </is>
      </c>
      <c r="D733" t="inlineStr">
        <is>
          <t>صباحا</t>
        </is>
      </c>
      <c r="E733" t="n">
        <v>364</v>
      </c>
      <c r="F733" t="b">
        <v>0</v>
      </c>
      <c r="G733">
        <f>HYPERLINK("https://www.google.com/maps/search/?api=1&amp;query=20.46151258,44.81594873", "View Map")</f>
        <v/>
      </c>
    </row>
    <row r="734">
      <c r="A734" t="inlineStr">
        <is>
          <t xml:space="preserve">   جامع العزيزيةادارةالاوقاف بالخرج .</t>
        </is>
      </c>
      <c r="B734" t="inlineStr">
        <is>
          <t>KFM2020660229240</t>
        </is>
      </c>
      <c r="C734" t="inlineStr">
        <is>
          <t>الخرج</t>
        </is>
      </c>
      <c r="D734" t="inlineStr">
        <is>
          <t>صباحا</t>
        </is>
      </c>
      <c r="E734" t="n">
        <v>364</v>
      </c>
      <c r="F734" t="b">
        <v>0</v>
      </c>
      <c r="G734">
        <f>HYPERLINK("https://www.google.com/maps/search/?api=1&amp;query=24.1477051,47.29705276", "View Map")</f>
        <v/>
      </c>
    </row>
    <row r="735">
      <c r="A735" t="inlineStr">
        <is>
          <t xml:space="preserve">      مسجد / ال روق .</t>
        </is>
      </c>
      <c r="B735" t="inlineStr">
        <is>
          <t>KFM2020760160981</t>
        </is>
      </c>
      <c r="C735" t="inlineStr">
        <is>
          <t>الخرج</t>
        </is>
      </c>
      <c r="D735" t="inlineStr">
        <is>
          <t>مساءا</t>
        </is>
      </c>
      <c r="E735" t="n">
        <v>363</v>
      </c>
      <c r="F735" t="b">
        <v>0</v>
      </c>
      <c r="G735">
        <f>HYPERLINK("https://www.google.com/maps/search/?api=1&amp;query=24.16462939,47.23568308", "View Map")</f>
        <v/>
      </c>
    </row>
    <row r="736">
      <c r="A736" t="inlineStr">
        <is>
          <t>ﻤﺴﺎﺠﺩﺍﻟﺨـﺭﺝ .</t>
        </is>
      </c>
      <c r="B736" t="inlineStr">
        <is>
          <t>KFM2020660230857</t>
        </is>
      </c>
      <c r="C736" t="inlineStr">
        <is>
          <t>الخرج</t>
        </is>
      </c>
      <c r="D736" t="inlineStr">
        <is>
          <t>مساءا</t>
        </is>
      </c>
      <c r="E736" t="n">
        <v>363</v>
      </c>
      <c r="F736" t="b">
        <v>1</v>
      </c>
      <c r="G736">
        <f>HYPERLINK("https://www.google.com/maps/search/?api=1&amp;query=24.17282968,47.34624853", "View Map")</f>
        <v/>
      </c>
    </row>
    <row r="737">
      <c r="A737" t="inlineStr">
        <is>
          <t>ﻤﺴﺎﺠﺩ ﺍﻟﺨﻤﺎﺴﻴﻥ .</t>
        </is>
      </c>
      <c r="B737" t="inlineStr">
        <is>
          <t>KFM2020760211304</t>
        </is>
      </c>
      <c r="C737" t="inlineStr">
        <is>
          <t>وادي الدواسر</t>
        </is>
      </c>
      <c r="D737" t="inlineStr">
        <is>
          <t>صباحا</t>
        </is>
      </c>
      <c r="E737" t="n">
        <v>363</v>
      </c>
      <c r="F737" t="b">
        <v>0</v>
      </c>
      <c r="G737">
        <f>HYPERLINK("https://www.google.com/maps/search/?api=1&amp;query=20.43647789,44.86493452", "View Map")</f>
        <v/>
      </c>
    </row>
    <row r="738">
      <c r="A738" t="inlineStr">
        <is>
          <t>ﻤﺴﺎﺠﺩﺍﻟﺨـﺭﺝ .</t>
        </is>
      </c>
      <c r="B738" t="inlineStr">
        <is>
          <t>KFM2120660295413</t>
        </is>
      </c>
      <c r="C738" t="inlineStr">
        <is>
          <t>الخرج</t>
        </is>
      </c>
      <c r="D738" t="inlineStr">
        <is>
          <t>صباحا</t>
        </is>
      </c>
      <c r="E738" t="n">
        <v>361</v>
      </c>
      <c r="F738" t="b">
        <v>0</v>
      </c>
      <c r="G738">
        <f>HYPERLINK("https://www.google.com/maps/search/?api=1&amp;query=24.0945035,47.27503035", "View Map")</f>
        <v/>
      </c>
    </row>
    <row r="739">
      <c r="A739" t="inlineStr">
        <is>
          <t>ﻤﺴﺎﺠﺩﺍﻟﺨـﺭﺝ .</t>
        </is>
      </c>
      <c r="B739" t="inlineStr">
        <is>
          <t>KFM2120660273245</t>
        </is>
      </c>
      <c r="C739" t="inlineStr">
        <is>
          <t>الخرج</t>
        </is>
      </c>
      <c r="D739" t="inlineStr">
        <is>
          <t>مساءا</t>
        </is>
      </c>
      <c r="E739" t="n">
        <v>361</v>
      </c>
      <c r="F739" t="b">
        <v>0</v>
      </c>
      <c r="G739">
        <f>HYPERLINK("https://www.google.com/maps/search/?api=1&amp;query=24.14157071,47.36937217", "View Map")</f>
        <v/>
      </c>
    </row>
    <row r="740">
      <c r="A740" t="inlineStr">
        <is>
          <t xml:space="preserve">   مسجد / سوق الابل .</t>
        </is>
      </c>
      <c r="B740" t="inlineStr">
        <is>
          <t>KFM2020660205999</t>
        </is>
      </c>
      <c r="C740" t="inlineStr">
        <is>
          <t>وادي الدواسر</t>
        </is>
      </c>
      <c r="D740" t="inlineStr">
        <is>
          <t>صباحا</t>
        </is>
      </c>
      <c r="E740" t="n">
        <v>361</v>
      </c>
      <c r="F740" t="b">
        <v>0</v>
      </c>
      <c r="G740">
        <f>HYPERLINK("https://www.google.com/maps/search/?api=1&amp;query=20.43053484,44.77776548", "View Map")</f>
        <v/>
      </c>
    </row>
    <row r="741">
      <c r="A741" t="inlineStr">
        <is>
          <t xml:space="preserve">   مسجد الزاهر .</t>
        </is>
      </c>
      <c r="B741" t="inlineStr">
        <is>
          <t>KFM2020660230223</t>
        </is>
      </c>
      <c r="C741" t="inlineStr">
        <is>
          <t>الخرج</t>
        </is>
      </c>
      <c r="D741" t="inlineStr">
        <is>
          <t>صباحا</t>
        </is>
      </c>
      <c r="E741" t="n">
        <v>357</v>
      </c>
      <c r="F741" t="b">
        <v>0</v>
      </c>
      <c r="G741">
        <f>HYPERLINK("https://www.google.com/maps/search/?api=1&amp;query=24.12779657,47.35800702", "View Map")</f>
        <v/>
      </c>
    </row>
    <row r="742">
      <c r="A742" t="inlineStr">
        <is>
          <t xml:space="preserve">   مسجد /عمير بن زيد .</t>
        </is>
      </c>
      <c r="B742" t="inlineStr">
        <is>
          <t>KFM2020660230214</t>
        </is>
      </c>
      <c r="C742" t="inlineStr">
        <is>
          <t>الخرج</t>
        </is>
      </c>
      <c r="D742" t="inlineStr">
        <is>
          <t>مساءا</t>
        </is>
      </c>
      <c r="E742" t="n">
        <v>355</v>
      </c>
      <c r="F742" t="b">
        <v>0</v>
      </c>
      <c r="G742">
        <f>HYPERLINK("https://www.google.com/maps/search/?api=1&amp;query=24.1371347,47.35865942", "View Map")</f>
        <v/>
      </c>
    </row>
    <row r="743">
      <c r="A743" t="inlineStr">
        <is>
          <t xml:space="preserve">   مسجد/ عبدالعزيز الجريوي .</t>
        </is>
      </c>
      <c r="B743" t="inlineStr">
        <is>
          <t>KFM2020660196017</t>
        </is>
      </c>
      <c r="C743" t="inlineStr">
        <is>
          <t>الخرج</t>
        </is>
      </c>
      <c r="D743" t="inlineStr">
        <is>
          <t>مساءا</t>
        </is>
      </c>
      <c r="E743" t="n">
        <v>350</v>
      </c>
      <c r="F743" t="b">
        <v>0</v>
      </c>
      <c r="G743">
        <f>HYPERLINK("https://www.google.com/maps/search/?api=1&amp;query=24.13478606,47.2754049", "View Map")</f>
        <v/>
      </c>
    </row>
    <row r="744">
      <c r="A744" t="inlineStr">
        <is>
          <t xml:space="preserve">      المسجد الجامع بالناصفه .</t>
        </is>
      </c>
      <c r="B744" t="inlineStr">
        <is>
          <t>KFM2020660212450</t>
        </is>
      </c>
      <c r="C744" t="inlineStr">
        <is>
          <t>الخرج</t>
        </is>
      </c>
      <c r="D744" t="inlineStr">
        <is>
          <t>مساءا</t>
        </is>
      </c>
      <c r="E744" t="n">
        <v>350</v>
      </c>
      <c r="F744" t="b">
        <v>0</v>
      </c>
      <c r="G744">
        <f>HYPERLINK("https://www.google.com/maps/search/?api=1&amp;query=24.19052819,47.27971791", "View Map")</f>
        <v/>
      </c>
    </row>
    <row r="745">
      <c r="A745" t="inlineStr">
        <is>
          <t>مسجد فهد ناصر التويم بحي عويسه .</t>
        </is>
      </c>
      <c r="B745" t="inlineStr">
        <is>
          <t>KFM2020660211819</t>
        </is>
      </c>
      <c r="C745" t="inlineStr">
        <is>
          <t>الدلم</t>
        </is>
      </c>
      <c r="D745" t="inlineStr">
        <is>
          <t>مساءا</t>
        </is>
      </c>
      <c r="E745" t="n">
        <v>349</v>
      </c>
      <c r="F745" t="b">
        <v>0</v>
      </c>
      <c r="G745">
        <f>HYPERLINK("https://www.google.com/maps/search/?api=1&amp;query=24.02051376,47.17092184", "View Map")</f>
        <v/>
      </c>
    </row>
    <row r="746">
      <c r="A746" t="inlineStr">
        <is>
          <t xml:space="preserve">      مسجد راشد السماوى .</t>
        </is>
      </c>
      <c r="B746" t="inlineStr">
        <is>
          <t>MMF2020800255172</t>
        </is>
      </c>
      <c r="C746" t="inlineStr">
        <is>
          <t>الدلم</t>
        </is>
      </c>
      <c r="D746" t="inlineStr">
        <is>
          <t>صباحا</t>
        </is>
      </c>
      <c r="E746" t="n">
        <v>347</v>
      </c>
      <c r="F746" t="b">
        <v>0</v>
      </c>
      <c r="G746">
        <f>HYPERLINK("https://www.google.com/maps/search/?api=1&amp;query=24.02249393,47.13873849", "View Map")</f>
        <v/>
      </c>
    </row>
    <row r="747">
      <c r="A747" t="inlineStr">
        <is>
          <t xml:space="preserve">   اوقاف الخرج /مسجد المستديره .</t>
        </is>
      </c>
      <c r="B747" t="inlineStr">
        <is>
          <t>KFM2020660176078</t>
        </is>
      </c>
      <c r="C747" t="inlineStr">
        <is>
          <t>الخرج</t>
        </is>
      </c>
      <c r="D747" t="inlineStr">
        <is>
          <t>مساءا</t>
        </is>
      </c>
      <c r="E747" t="n">
        <v>347</v>
      </c>
      <c r="F747" t="b">
        <v>0</v>
      </c>
      <c r="G747">
        <f>HYPERLINK("https://www.google.com/maps/search/?api=1&amp;query=24.11664514,47.28694906", "View Map")</f>
        <v/>
      </c>
    </row>
    <row r="748">
      <c r="A748" t="inlineStr">
        <is>
          <t>وقاف الخرج /مسجد سلمان العثمان .</t>
        </is>
      </c>
      <c r="B748" t="inlineStr">
        <is>
          <t>MMF2020800219155</t>
        </is>
      </c>
      <c r="C748" t="inlineStr">
        <is>
          <t>الدلم</t>
        </is>
      </c>
      <c r="D748" t="inlineStr">
        <is>
          <t>مساءا</t>
        </is>
      </c>
      <c r="E748" t="n">
        <v>347</v>
      </c>
      <c r="F748" t="b">
        <v>0</v>
      </c>
      <c r="G748">
        <f>HYPERLINK("https://www.google.com/maps/search/?api=1&amp;query=24.07880036,47.14894328", "View Map")</f>
        <v/>
      </c>
    </row>
    <row r="749">
      <c r="A749" t="inlineStr">
        <is>
          <t xml:space="preserve">      مسجد العايد .</t>
        </is>
      </c>
      <c r="B749" t="inlineStr">
        <is>
          <t>KFM2020660212481</t>
        </is>
      </c>
      <c r="C749" t="inlineStr">
        <is>
          <t>الخرج</t>
        </is>
      </c>
      <c r="D749" t="inlineStr">
        <is>
          <t>مساءا</t>
        </is>
      </c>
      <c r="E749" t="n">
        <v>346</v>
      </c>
      <c r="F749" t="b">
        <v>0</v>
      </c>
      <c r="G749">
        <f>HYPERLINK("https://www.google.com/maps/search/?api=1&amp;query=24.16457846,47.32083615", "View Map")</f>
        <v/>
      </c>
    </row>
    <row r="750">
      <c r="A750" t="inlineStr">
        <is>
          <t xml:space="preserve">   مسجد       فهد       الهدلاء .</t>
        </is>
      </c>
      <c r="B750" t="inlineStr">
        <is>
          <t>MMF2020800259525</t>
        </is>
      </c>
      <c r="C750" t="inlineStr">
        <is>
          <t>وادي الدواسر</t>
        </is>
      </c>
      <c r="D750" t="inlineStr">
        <is>
          <t>صباحا</t>
        </is>
      </c>
      <c r="E750" t="n">
        <v>345</v>
      </c>
      <c r="F750" t="b">
        <v>0</v>
      </c>
      <c r="G750">
        <f>HYPERLINK("https://www.google.com/maps/search/?api=1&amp;query=20.41236864,44.77495698", "View Map")</f>
        <v/>
      </c>
    </row>
    <row r="751">
      <c r="A751" t="inlineStr">
        <is>
          <t>ﻤﺴﺎﺠﺩﺍﻟﺨـﺭﺝ .</t>
        </is>
      </c>
      <c r="B751" t="inlineStr">
        <is>
          <t>KFM2120660245972</t>
        </is>
      </c>
      <c r="C751" t="inlineStr">
        <is>
          <t>الخرج</t>
        </is>
      </c>
      <c r="D751" t="inlineStr">
        <is>
          <t>مساءا</t>
        </is>
      </c>
      <c r="E751" t="n">
        <v>340</v>
      </c>
      <c r="F751" t="b">
        <v>0</v>
      </c>
      <c r="G751">
        <f>HYPERLINK("https://www.google.com/maps/search/?api=1&amp;query=24.09546764,47.23758891", "View Map")</f>
        <v/>
      </c>
    </row>
    <row r="752">
      <c r="A752" t="inlineStr">
        <is>
          <t xml:space="preserve">   مسجد / عمر بن الخطاب .</t>
        </is>
      </c>
      <c r="B752" t="inlineStr">
        <is>
          <t>MMF2020800299680</t>
        </is>
      </c>
      <c r="C752" t="inlineStr">
        <is>
          <t>وادي الدواسر</t>
        </is>
      </c>
      <c r="D752" t="inlineStr">
        <is>
          <t>صباحا</t>
        </is>
      </c>
      <c r="E752" t="n">
        <v>335</v>
      </c>
      <c r="F752" t="b">
        <v>0</v>
      </c>
      <c r="G752">
        <f>HYPERLINK("https://www.google.com/maps/search/?api=1&amp;query=20.43311038,44.86226953", "View Map")</f>
        <v/>
      </c>
    </row>
    <row r="753">
      <c r="A753" t="inlineStr">
        <is>
          <t xml:space="preserve">   مسجد الامام مالك .</t>
        </is>
      </c>
      <c r="B753" t="inlineStr">
        <is>
          <t>KFM2120660264316</t>
        </is>
      </c>
      <c r="C753" t="inlineStr">
        <is>
          <t>الخرج</t>
        </is>
      </c>
      <c r="D753" t="inlineStr">
        <is>
          <t>صباحا</t>
        </is>
      </c>
      <c r="E753" t="n">
        <v>335</v>
      </c>
      <c r="F753" t="b">
        <v>0</v>
      </c>
      <c r="G753">
        <f>HYPERLINK("https://www.google.com/maps/search/?api=1&amp;query=24.14706819,47.35255476", "View Map")</f>
        <v/>
      </c>
    </row>
    <row r="754">
      <c r="A754" t="inlineStr">
        <is>
          <t xml:space="preserve">   مسجد عبداللهمسعود/اوقاف الخرج .</t>
        </is>
      </c>
      <c r="B754" t="inlineStr">
        <is>
          <t>KFM2020660223974</t>
        </is>
      </c>
      <c r="C754" t="inlineStr">
        <is>
          <t>الخرج</t>
        </is>
      </c>
      <c r="D754" t="inlineStr">
        <is>
          <t>صباحا</t>
        </is>
      </c>
      <c r="E754" t="n">
        <v>335</v>
      </c>
      <c r="F754" t="b">
        <v>0</v>
      </c>
      <c r="G754">
        <f>HYPERLINK("https://www.google.com/maps/search/?api=1&amp;query=24.15619718,47.33334623", "View Map")</f>
        <v/>
      </c>
    </row>
    <row r="755">
      <c r="A755" t="inlineStr">
        <is>
          <t xml:space="preserve">   مسجد حي العثمان الغربي .</t>
        </is>
      </c>
      <c r="B755" t="inlineStr">
        <is>
          <t>KFM2020660199745</t>
        </is>
      </c>
      <c r="C755" t="inlineStr">
        <is>
          <t>الدلم</t>
        </is>
      </c>
      <c r="D755" t="inlineStr">
        <is>
          <t>مساءا</t>
        </is>
      </c>
      <c r="E755" t="n">
        <v>330</v>
      </c>
      <c r="F755" t="b">
        <v>0</v>
      </c>
      <c r="G755">
        <f>HYPERLINK("https://www.google.com/maps/search/?api=1&amp;query=24.06035,47.17172", "View Map")</f>
        <v/>
      </c>
    </row>
    <row r="756">
      <c r="A756" t="inlineStr">
        <is>
          <t xml:space="preserve">   مسجد/حى العمور .</t>
        </is>
      </c>
      <c r="B756" t="inlineStr">
        <is>
          <t>KFM2020660177656</t>
        </is>
      </c>
      <c r="C756" t="inlineStr">
        <is>
          <t>الخرج</t>
        </is>
      </c>
      <c r="D756" t="inlineStr">
        <is>
          <t>مساءا</t>
        </is>
      </c>
      <c r="E756" t="n">
        <v>329</v>
      </c>
      <c r="F756" t="b">
        <v>0</v>
      </c>
      <c r="G756">
        <f>HYPERLINK("https://www.google.com/maps/search/?api=1&amp;query=24.19180169,47.27529658", "View Map")</f>
        <v/>
      </c>
    </row>
    <row r="757">
      <c r="A757" t="inlineStr">
        <is>
          <t>ﻤﺴﺎﺠﺩﺍﻟﺨـﺭﺝ .</t>
        </is>
      </c>
      <c r="B757" t="inlineStr">
        <is>
          <t>KFM2020760206373</t>
        </is>
      </c>
      <c r="C757" t="inlineStr">
        <is>
          <t>الخرج</t>
        </is>
      </c>
      <c r="D757" t="inlineStr">
        <is>
          <t>صباحا</t>
        </is>
      </c>
      <c r="E757" t="n">
        <v>323</v>
      </c>
      <c r="F757" t="b">
        <v>0</v>
      </c>
      <c r="G757">
        <f>HYPERLINK("https://www.google.com/maps/search/?api=1&amp;query=24.1650608,47.31684525", "View Map")</f>
        <v/>
      </c>
    </row>
    <row r="758">
      <c r="A758" t="inlineStr">
        <is>
          <t xml:space="preserve">   مسجد/ احمد عبدالعزيز الخطيفي .</t>
        </is>
      </c>
      <c r="B758" t="inlineStr">
        <is>
          <t>KFM2020660195419</t>
        </is>
      </c>
      <c r="C758" t="inlineStr">
        <is>
          <t>الخرج</t>
        </is>
      </c>
      <c r="D758" t="inlineStr">
        <is>
          <t>صباحا</t>
        </is>
      </c>
      <c r="E758" t="n">
        <v>323</v>
      </c>
      <c r="F758" t="b">
        <v>0</v>
      </c>
      <c r="G758">
        <f>HYPERLINK("https://www.google.com/maps/search/?api=1&amp;query=24.12599,47.22558", "View Map")</f>
        <v/>
      </c>
    </row>
    <row r="759">
      <c r="A759" t="inlineStr">
        <is>
          <t xml:space="preserve">   مسجد اسامه بن زيد .</t>
        </is>
      </c>
      <c r="B759" t="inlineStr">
        <is>
          <t>KFM2020660169701</t>
        </is>
      </c>
      <c r="C759" t="inlineStr">
        <is>
          <t>الخرج</t>
        </is>
      </c>
      <c r="D759" t="inlineStr">
        <is>
          <t>مساءا</t>
        </is>
      </c>
      <c r="E759" t="n">
        <v>323</v>
      </c>
      <c r="F759" t="b">
        <v>0</v>
      </c>
      <c r="G759">
        <f>HYPERLINK("https://www.google.com/maps/search/?api=1&amp;query=24.17457708,47.29195324", "View Map")</f>
        <v/>
      </c>
    </row>
    <row r="760">
      <c r="A760" t="inlineStr">
        <is>
          <t xml:space="preserve">   مســجد مليـحه .</t>
        </is>
      </c>
      <c r="B760" t="inlineStr">
        <is>
          <t>KFM2020660212376</t>
        </is>
      </c>
      <c r="C760" t="inlineStr">
        <is>
          <t>الدلم</t>
        </is>
      </c>
      <c r="D760" t="inlineStr">
        <is>
          <t>مساءا</t>
        </is>
      </c>
      <c r="E760" t="n">
        <v>323</v>
      </c>
      <c r="F760" t="b">
        <v>1</v>
      </c>
      <c r="G760">
        <f>HYPERLINK("https://www.google.com/maps/search/?api=1&amp;query=24.07251705,47.1769359", "View Map")</f>
        <v/>
      </c>
    </row>
    <row r="761">
      <c r="A761" t="inlineStr">
        <is>
          <t xml:space="preserve">   مسجد العباس .</t>
        </is>
      </c>
      <c r="B761" t="inlineStr">
        <is>
          <t>MMF2020800219023</t>
        </is>
      </c>
      <c r="C761" t="inlineStr">
        <is>
          <t>الدلم</t>
        </is>
      </c>
      <c r="D761" t="inlineStr">
        <is>
          <t>مساءا</t>
        </is>
      </c>
      <c r="E761" t="n">
        <v>320</v>
      </c>
      <c r="F761" t="b">
        <v>0</v>
      </c>
      <c r="G761">
        <f>HYPERLINK("https://www.google.com/maps/search/?api=1&amp;query=24.02042264,47.13575054", "View Map")</f>
        <v/>
      </c>
    </row>
    <row r="762">
      <c r="A762" t="inlineStr">
        <is>
          <t>ﻤﺴﺎﺠﺩﺍﻟﺨـﺭﺝ .</t>
        </is>
      </c>
      <c r="B762" t="inlineStr">
        <is>
          <t>KFM2120660260601</t>
        </is>
      </c>
      <c r="C762" t="inlineStr">
        <is>
          <t>الخرج</t>
        </is>
      </c>
      <c r="D762" t="inlineStr">
        <is>
          <t>مساءا</t>
        </is>
      </c>
      <c r="E762" t="n">
        <v>320</v>
      </c>
      <c r="F762" t="b">
        <v>0</v>
      </c>
      <c r="G762">
        <f>HYPERLINK("https://www.google.com/maps/search/?api=1&amp;query=24.0945035,47.27503035", "View Map")</f>
        <v/>
      </c>
    </row>
    <row r="763">
      <c r="A763" t="inlineStr">
        <is>
          <t>ﻤﺴﺎﺠﺩﺍﻟﺨـﺭﺝ .</t>
        </is>
      </c>
      <c r="B763" t="inlineStr">
        <is>
          <t>KFM2020660195873</t>
        </is>
      </c>
      <c r="C763" t="inlineStr">
        <is>
          <t>الخرج</t>
        </is>
      </c>
      <c r="D763" t="inlineStr">
        <is>
          <t>مساءا</t>
        </is>
      </c>
      <c r="E763" t="n">
        <v>318</v>
      </c>
      <c r="F763" t="b">
        <v>0</v>
      </c>
      <c r="G763">
        <f>HYPERLINK("https://www.google.com/maps/search/?api=1&amp;query=24.13827832,47.26908974", "View Map")</f>
        <v/>
      </c>
    </row>
    <row r="764">
      <c r="A764" t="inlineStr">
        <is>
          <t>ﻤﺴﺎﺠﺩﺍﻟﺨـﺭﺝ .</t>
        </is>
      </c>
      <c r="B764" t="inlineStr">
        <is>
          <t>KFM2020760087372</t>
        </is>
      </c>
      <c r="C764" t="inlineStr">
        <is>
          <t>الخرج</t>
        </is>
      </c>
      <c r="D764" t="inlineStr">
        <is>
          <t>مساءا</t>
        </is>
      </c>
      <c r="E764" t="n">
        <v>315</v>
      </c>
      <c r="F764" t="b">
        <v>0</v>
      </c>
      <c r="G764">
        <f>HYPERLINK("https://www.google.com/maps/search/?api=1&amp;query=24.19379252,47.29725278", "View Map")</f>
        <v/>
      </c>
    </row>
    <row r="765">
      <c r="A765" t="inlineStr">
        <is>
          <t xml:space="preserve">      مسجد الخضرانى بالبدع .</t>
        </is>
      </c>
      <c r="B765" t="inlineStr">
        <is>
          <t>KFM2020760007220</t>
        </is>
      </c>
      <c r="C765" t="inlineStr">
        <is>
          <t>الخرج</t>
        </is>
      </c>
      <c r="D765" t="inlineStr">
        <is>
          <t>مساءا</t>
        </is>
      </c>
      <c r="E765" t="n">
        <v>312</v>
      </c>
      <c r="F765" t="b">
        <v>0</v>
      </c>
      <c r="G765">
        <f>HYPERLINK("https://www.google.com/maps/search/?api=1&amp;query=24.21638332,47.32697028", "View Map")</f>
        <v/>
      </c>
    </row>
    <row r="766">
      <c r="A766" t="inlineStr">
        <is>
          <t xml:space="preserve">   مسجد جابر عبداللة .</t>
        </is>
      </c>
      <c r="B766" t="inlineStr">
        <is>
          <t>KFM2120660246065</t>
        </is>
      </c>
      <c r="C766" t="inlineStr">
        <is>
          <t>الخرج</t>
        </is>
      </c>
      <c r="D766" t="inlineStr">
        <is>
          <t>مساءا</t>
        </is>
      </c>
      <c r="E766" t="n">
        <v>310</v>
      </c>
      <c r="F766" t="b">
        <v>0</v>
      </c>
      <c r="G766">
        <f>HYPERLINK("https://www.google.com/maps/search/?api=1&amp;query=24.11815144,47.27439878", "View Map")</f>
        <v/>
      </c>
    </row>
    <row r="767">
      <c r="A767" t="inlineStr">
        <is>
          <t>ﻤﺴﺎﺠﺩﺍﻟﺨـﺭﺝ .</t>
        </is>
      </c>
      <c r="B767" t="inlineStr">
        <is>
          <t>SMR2220661003050</t>
        </is>
      </c>
      <c r="C767" t="inlineStr">
        <is>
          <t>الخرج</t>
        </is>
      </c>
      <c r="D767" t="inlineStr">
        <is>
          <t>مساءا</t>
        </is>
      </c>
      <c r="E767" t="n">
        <v>309</v>
      </c>
      <c r="F767" t="b">
        <v>0</v>
      </c>
      <c r="G767">
        <f>HYPERLINK("https://www.google.com/maps/search/?api=1&amp;query=24.0945035,47.27503035", "View Map")</f>
        <v/>
      </c>
    </row>
    <row r="768">
      <c r="A768" t="inlineStr">
        <is>
          <t xml:space="preserve">      مسجد الفيصليه الجنوبى .</t>
        </is>
      </c>
      <c r="B768" t="inlineStr">
        <is>
          <t>KFM2020760011762</t>
        </is>
      </c>
      <c r="C768" t="inlineStr">
        <is>
          <t>الخرج</t>
        </is>
      </c>
      <c r="D768" t="inlineStr">
        <is>
          <t>مساءا</t>
        </is>
      </c>
      <c r="E768" t="n">
        <v>309</v>
      </c>
      <c r="F768" t="b">
        <v>0</v>
      </c>
      <c r="G768">
        <f>HYPERLINK("https://www.google.com/maps/search/?api=1&amp;query=24.16502351,47.36020408", "View Map")</f>
        <v/>
      </c>
    </row>
    <row r="769">
      <c r="A769" t="inlineStr">
        <is>
          <t>ﺍﻭﻗﺎﻑ ﺍﻟﺩﻟﻡ / ﺍﻟﻤﺴــــــﺎﺠـﺩ .</t>
        </is>
      </c>
      <c r="B769" t="inlineStr">
        <is>
          <t>KFM2020760149003</t>
        </is>
      </c>
      <c r="C769" t="inlineStr">
        <is>
          <t>الدلم</t>
        </is>
      </c>
      <c r="D769" t="inlineStr">
        <is>
          <t>مساءا</t>
        </is>
      </c>
      <c r="E769" t="n">
        <v>308</v>
      </c>
      <c r="F769" t="b">
        <v>0</v>
      </c>
      <c r="G769">
        <f>HYPERLINK("https://www.google.com/maps/search/?api=1&amp;query=24.00010263,47.11130975", "View Map")</f>
        <v/>
      </c>
    </row>
    <row r="770">
      <c r="A770" t="inlineStr">
        <is>
          <t xml:space="preserve">      مسجد/سليم امان .</t>
        </is>
      </c>
      <c r="B770" t="inlineStr">
        <is>
          <t>KFM2120660260622</t>
        </is>
      </c>
      <c r="C770" t="inlineStr">
        <is>
          <t>الخرج</t>
        </is>
      </c>
      <c r="D770" t="inlineStr">
        <is>
          <t>صباحا</t>
        </is>
      </c>
      <c r="E770" t="n">
        <v>307</v>
      </c>
      <c r="F770" t="b">
        <v>0</v>
      </c>
      <c r="G770">
        <f>HYPERLINK("https://www.google.com/maps/search/?api=1&amp;query=24.15109138,47.36192047", "View Map")</f>
        <v/>
      </c>
    </row>
    <row r="771">
      <c r="A771" t="inlineStr">
        <is>
          <t xml:space="preserve">      مسجد/جعفر بن ابى طالب .</t>
        </is>
      </c>
      <c r="B771" t="inlineStr">
        <is>
          <t>KFM2020660170485</t>
        </is>
      </c>
      <c r="C771" t="inlineStr">
        <is>
          <t>الدلم</t>
        </is>
      </c>
      <c r="D771" t="inlineStr">
        <is>
          <t>صباحا</t>
        </is>
      </c>
      <c r="E771" t="n">
        <v>307</v>
      </c>
      <c r="F771" t="b">
        <v>0</v>
      </c>
      <c r="G771">
        <f>HYPERLINK("https://www.google.com/maps/search/?api=1&amp;query=24.01221902,47.13818089", "View Map")</f>
        <v/>
      </c>
    </row>
    <row r="772">
      <c r="A772" t="inlineStr">
        <is>
          <t xml:space="preserve">   مسجدابوامامه الباهلي .</t>
        </is>
      </c>
      <c r="B772" t="inlineStr">
        <is>
          <t>KFM2020660195402</t>
        </is>
      </c>
      <c r="C772" t="inlineStr">
        <is>
          <t>الخرج</t>
        </is>
      </c>
      <c r="D772" t="inlineStr">
        <is>
          <t>مساءا</t>
        </is>
      </c>
      <c r="E772" t="n">
        <v>307</v>
      </c>
      <c r="F772" t="b">
        <v>0</v>
      </c>
      <c r="G772">
        <f>HYPERLINK("https://www.google.com/maps/search/?api=1&amp;query=24.1268909,47.28494747", "View Map")</f>
        <v/>
      </c>
    </row>
    <row r="773">
      <c r="A773" t="inlineStr">
        <is>
          <t xml:space="preserve">   اوقاف الخرج / مسجد عمر الحارثي .</t>
        </is>
      </c>
      <c r="B773" t="inlineStr">
        <is>
          <t>KFM2120660270849</t>
        </is>
      </c>
      <c r="C773" t="inlineStr">
        <is>
          <t>الخرج</t>
        </is>
      </c>
      <c r="D773" t="inlineStr">
        <is>
          <t>مساءا</t>
        </is>
      </c>
      <c r="E773" t="n">
        <v>304</v>
      </c>
      <c r="F773" t="b">
        <v>0</v>
      </c>
      <c r="G773">
        <f>HYPERLINK("https://www.google.com/maps/search/?api=1&amp;query=24.24673242,47.362814", "View Map")</f>
        <v/>
      </c>
    </row>
    <row r="774">
      <c r="A774" t="inlineStr">
        <is>
          <t xml:space="preserve">   مسجد الجوهره العسكر .</t>
        </is>
      </c>
      <c r="B774" t="inlineStr">
        <is>
          <t>KFM2020660210973</t>
        </is>
      </c>
      <c r="C774" t="inlineStr">
        <is>
          <t>الخرج</t>
        </is>
      </c>
      <c r="D774" t="inlineStr">
        <is>
          <t>مساءا</t>
        </is>
      </c>
      <c r="E774" t="n">
        <v>303</v>
      </c>
      <c r="F774" t="b">
        <v>0</v>
      </c>
      <c r="G774">
        <f>HYPERLINK("https://www.google.com/maps/search/?api=1&amp;query=24.10293965,47.29125915", "View Map")</f>
        <v/>
      </c>
    </row>
    <row r="775">
      <c r="A775" t="inlineStr">
        <is>
          <t xml:space="preserve">   اوقاف الخرج/مسجد الامام البخارى .</t>
        </is>
      </c>
      <c r="B775" t="inlineStr">
        <is>
          <t>MMF2020800148369</t>
        </is>
      </c>
      <c r="C775" t="inlineStr">
        <is>
          <t>الخرج</t>
        </is>
      </c>
      <c r="D775" t="inlineStr">
        <is>
          <t>مساءا</t>
        </is>
      </c>
      <c r="E775" t="n">
        <v>302</v>
      </c>
      <c r="F775" t="b">
        <v>0</v>
      </c>
      <c r="G775">
        <f>HYPERLINK("https://www.google.com/maps/search/?api=1&amp;query=24.12679044,47.27874883", "View Map")</f>
        <v/>
      </c>
    </row>
    <row r="776">
      <c r="A776" t="inlineStr">
        <is>
          <t>ﻤﺴﺎﺠﺩﺍﻟﺨـﺭﺝ .</t>
        </is>
      </c>
      <c r="B776" t="inlineStr">
        <is>
          <t>SMR2220661016811</t>
        </is>
      </c>
      <c r="C776" t="inlineStr">
        <is>
          <t>الخرج</t>
        </is>
      </c>
      <c r="D776" t="inlineStr">
        <is>
          <t>مساءا</t>
        </is>
      </c>
      <c r="E776" t="n">
        <v>302</v>
      </c>
      <c r="F776" t="b">
        <v>0</v>
      </c>
      <c r="G776">
        <f>HYPERLINK("https://www.google.com/maps/search/?api=1&amp;query=24.30868245,47.16369003", "View Map")</f>
        <v/>
      </c>
    </row>
    <row r="777">
      <c r="A777" t="inlineStr">
        <is>
          <t xml:space="preserve">   مسجد-مسفر الدوسري باليرموك .</t>
        </is>
      </c>
      <c r="B777" t="inlineStr">
        <is>
          <t>KFM2020660232669</t>
        </is>
      </c>
      <c r="C777" t="inlineStr">
        <is>
          <t>الخرج</t>
        </is>
      </c>
      <c r="D777" t="inlineStr">
        <is>
          <t>مساءا</t>
        </is>
      </c>
      <c r="E777" t="n">
        <v>301</v>
      </c>
      <c r="F777" t="b">
        <v>0</v>
      </c>
      <c r="G777">
        <f>HYPERLINK("https://www.google.com/maps/search/?api=1&amp;query=24.1466684,47.38622608", "View Map")</f>
        <v/>
      </c>
    </row>
    <row r="778">
      <c r="A778" t="inlineStr">
        <is>
          <t xml:space="preserve">   مسجد/خالد مطلق شافى .</t>
        </is>
      </c>
      <c r="B778" t="inlineStr">
        <is>
          <t>KFM2020760182301</t>
        </is>
      </c>
      <c r="C778" t="inlineStr">
        <is>
          <t>الخرج</t>
        </is>
      </c>
      <c r="D778" t="inlineStr">
        <is>
          <t>مساءا</t>
        </is>
      </c>
      <c r="E778" t="n">
        <v>301</v>
      </c>
      <c r="F778" t="b">
        <v>0</v>
      </c>
      <c r="G778">
        <f>HYPERLINK("https://www.google.com/maps/search/?api=1&amp;query=24.16774923,47.22555632", "View Map")</f>
        <v/>
      </c>
    </row>
    <row r="779">
      <c r="A779" t="inlineStr">
        <is>
          <t xml:space="preserve">   اوقاف الخرج/ مسجدعروةبن الزبير .</t>
        </is>
      </c>
      <c r="B779" t="inlineStr">
        <is>
          <t>KFM2020660223949</t>
        </is>
      </c>
      <c r="C779" t="inlineStr">
        <is>
          <t>الخرج</t>
        </is>
      </c>
      <c r="D779" t="inlineStr">
        <is>
          <t>مساءا</t>
        </is>
      </c>
      <c r="E779" t="n">
        <v>301</v>
      </c>
      <c r="F779" t="b">
        <v>0</v>
      </c>
      <c r="G779">
        <f>HYPERLINK("https://www.google.com/maps/search/?api=1&amp;query=24.17326,47.22405", "View Map")</f>
        <v/>
      </c>
    </row>
    <row r="780">
      <c r="A780" t="inlineStr">
        <is>
          <t xml:space="preserve">   مسجد المنتزة الجديد .</t>
        </is>
      </c>
      <c r="B780" t="inlineStr">
        <is>
          <t>KFM2020660207871</t>
        </is>
      </c>
      <c r="C780" t="inlineStr">
        <is>
          <t>الخرج</t>
        </is>
      </c>
      <c r="D780" t="inlineStr">
        <is>
          <t>مساءا</t>
        </is>
      </c>
      <c r="E780" t="n">
        <v>300</v>
      </c>
      <c r="F780" t="b">
        <v>0</v>
      </c>
      <c r="G780">
        <f>HYPERLINK("https://www.google.com/maps/search/?api=1&amp;query=24.16547531,47.32762396", "View Map")</f>
        <v/>
      </c>
    </row>
    <row r="781">
      <c r="A781" t="inlineStr">
        <is>
          <t xml:space="preserve">   اوقاف الخرج /مسجدال عينين .</t>
        </is>
      </c>
      <c r="B781" t="inlineStr">
        <is>
          <t>KFM2020660230247</t>
        </is>
      </c>
      <c r="C781" t="inlineStr">
        <is>
          <t>الخرج</t>
        </is>
      </c>
      <c r="D781" t="inlineStr">
        <is>
          <t>مساءا</t>
        </is>
      </c>
      <c r="E781" t="n">
        <v>298</v>
      </c>
      <c r="F781" t="b">
        <v>0</v>
      </c>
      <c r="G781">
        <f>HYPERLINK("https://www.google.com/maps/search/?api=1&amp;query=24.13643662,47.36255456", "View Map")</f>
        <v/>
      </c>
    </row>
    <row r="782">
      <c r="A782" t="inlineStr">
        <is>
          <t xml:space="preserve">      مسجد فرزان .</t>
        </is>
      </c>
      <c r="B782" t="inlineStr">
        <is>
          <t>KFM2020760087642</t>
        </is>
      </c>
      <c r="C782" t="inlineStr">
        <is>
          <t>الخرج</t>
        </is>
      </c>
      <c r="D782" t="inlineStr">
        <is>
          <t>صباحا</t>
        </is>
      </c>
      <c r="E782" t="n">
        <v>297</v>
      </c>
      <c r="F782" t="b">
        <v>0</v>
      </c>
      <c r="G782">
        <f>HYPERLINK("https://www.google.com/maps/search/?api=1&amp;query=24.19609984,47.27357233", "View Map")</f>
        <v/>
      </c>
    </row>
    <row r="783">
      <c r="A783" t="inlineStr">
        <is>
          <t xml:space="preserve">   اوقاف الخرج / مسجد الامام مسلم .</t>
        </is>
      </c>
      <c r="B783" t="inlineStr">
        <is>
          <t>SMR2220661004693</t>
        </is>
      </c>
      <c r="C783" t="inlineStr">
        <is>
          <t>الخرج</t>
        </is>
      </c>
      <c r="D783" t="inlineStr">
        <is>
          <t>مساءا</t>
        </is>
      </c>
      <c r="E783" t="n">
        <v>295</v>
      </c>
      <c r="F783" t="b">
        <v>0</v>
      </c>
      <c r="G783">
        <f>HYPERLINK("https://www.google.com/maps/search/?api=1&amp;query=24.14661508,47.35671141", "View Map")</f>
        <v/>
      </c>
    </row>
    <row r="784">
      <c r="A784" t="inlineStr">
        <is>
          <t>مسجد ابراهيم الدخيني بحي السعي .</t>
        </is>
      </c>
      <c r="B784" t="inlineStr">
        <is>
          <t>KFM2020660224002</t>
        </is>
      </c>
      <c r="C784" t="inlineStr">
        <is>
          <t>الدلم</t>
        </is>
      </c>
      <c r="D784" t="inlineStr">
        <is>
          <t>صباحا</t>
        </is>
      </c>
      <c r="E784" t="n">
        <v>294</v>
      </c>
      <c r="F784" t="b">
        <v>0</v>
      </c>
      <c r="G784">
        <f>HYPERLINK("https://www.google.com/maps/search/?api=1&amp;query=24.01173015,47.12913811", "View Map")</f>
        <v/>
      </c>
    </row>
    <row r="785">
      <c r="A785" t="inlineStr">
        <is>
          <t xml:space="preserve">      مسجد الرفايع بسويدان .</t>
        </is>
      </c>
      <c r="B785" t="inlineStr">
        <is>
          <t>AES2120896543548</t>
        </is>
      </c>
      <c r="C785" t="inlineStr">
        <is>
          <t>الأفلاج</t>
        </is>
      </c>
      <c r="D785" t="inlineStr">
        <is>
          <t>صباحا</t>
        </is>
      </c>
      <c r="E785" t="n">
        <v>293</v>
      </c>
      <c r="F785" t="b">
        <v>0</v>
      </c>
      <c r="G785">
        <f>HYPERLINK("https://www.google.com/maps/search/?api=1&amp;query=22.0892738,46.7010221", "View Map")</f>
        <v/>
      </c>
    </row>
    <row r="786">
      <c r="A786" t="inlineStr">
        <is>
          <t>مسجد الشعيبة .</t>
        </is>
      </c>
      <c r="B786" t="inlineStr">
        <is>
          <t>KFM2020660108272</t>
        </is>
      </c>
      <c r="C786" t="inlineStr">
        <is>
          <t>الخرج</t>
        </is>
      </c>
      <c r="D786" t="inlineStr">
        <is>
          <t>مساءا</t>
        </is>
      </c>
      <c r="E786" t="n">
        <v>292</v>
      </c>
      <c r="F786" t="b">
        <v>0</v>
      </c>
      <c r="G786">
        <f>HYPERLINK("https://www.google.com/maps/search/?api=1&amp;query=24.11030665,47.28935773", "View Map")</f>
        <v/>
      </c>
    </row>
    <row r="787">
      <c r="A787" t="inlineStr">
        <is>
          <t xml:space="preserve">      مسجد سعيدان العتيبى .</t>
        </is>
      </c>
      <c r="B787" t="inlineStr">
        <is>
          <t>KFM2020660229236</t>
        </is>
      </c>
      <c r="C787" t="inlineStr">
        <is>
          <t>الخرج</t>
        </is>
      </c>
      <c r="D787" t="inlineStr">
        <is>
          <t>صباحا</t>
        </is>
      </c>
      <c r="E787" t="n">
        <v>292</v>
      </c>
      <c r="F787" t="b">
        <v>0</v>
      </c>
      <c r="G787">
        <f>HYPERLINK("https://www.google.com/maps/search/?api=1&amp;query=24.14462773,47.29537555", "View Map")</f>
        <v/>
      </c>
    </row>
    <row r="788">
      <c r="A788" t="inlineStr">
        <is>
          <t xml:space="preserve">   اوقاف الدلم / مسجد الخزامي .</t>
        </is>
      </c>
      <c r="B788" t="inlineStr">
        <is>
          <t>KFM2120660249823</t>
        </is>
      </c>
      <c r="C788" t="inlineStr">
        <is>
          <t>الدلم</t>
        </is>
      </c>
      <c r="D788" t="inlineStr">
        <is>
          <t>صباحا</t>
        </is>
      </c>
      <c r="E788" t="n">
        <v>288</v>
      </c>
      <c r="F788" t="b">
        <v>0</v>
      </c>
      <c r="G788">
        <f>HYPERLINK("https://www.google.com/maps/search/?api=1&amp;query=24.00328167,47.11321407", "View Map")</f>
        <v/>
      </c>
    </row>
    <row r="789">
      <c r="A789" t="inlineStr">
        <is>
          <t xml:space="preserve">   اوقاف الخرج -مسجدالقاسم بن محمد .</t>
        </is>
      </c>
      <c r="B789" t="inlineStr">
        <is>
          <t>KFM2020660230190</t>
        </is>
      </c>
      <c r="C789" t="inlineStr">
        <is>
          <t>الخرج</t>
        </is>
      </c>
      <c r="D789" t="inlineStr">
        <is>
          <t>صباحا</t>
        </is>
      </c>
      <c r="E789" t="n">
        <v>287</v>
      </c>
      <c r="F789" t="b">
        <v>0</v>
      </c>
      <c r="G789">
        <f>HYPERLINK("https://www.google.com/maps/search/?api=1&amp;query=24.15267235,47.35944117", "View Map")</f>
        <v/>
      </c>
    </row>
    <row r="790">
      <c r="A790" t="inlineStr">
        <is>
          <t>ﻤﺴﺎﺠﺩﺍﻟﺨـﺭﺝ .</t>
        </is>
      </c>
      <c r="B790" t="inlineStr">
        <is>
          <t>KFM2020760211499</t>
        </is>
      </c>
      <c r="C790" t="inlineStr">
        <is>
          <t>الخرج</t>
        </is>
      </c>
      <c r="D790" t="inlineStr">
        <is>
          <t>صباحا</t>
        </is>
      </c>
      <c r="E790" t="n">
        <v>284</v>
      </c>
      <c r="F790" t="b">
        <v>0</v>
      </c>
      <c r="G790">
        <f>HYPERLINK("https://www.google.com/maps/search/?api=1&amp;query=24.16525587,47.31101517", "View Map")</f>
        <v/>
      </c>
    </row>
    <row r="791">
      <c r="A791" t="inlineStr">
        <is>
          <t xml:space="preserve">    مسجد/عبادة بن الصامت .</t>
        </is>
      </c>
      <c r="B791" t="inlineStr">
        <is>
          <t>KFM2020660223934</t>
        </is>
      </c>
      <c r="C791" t="inlineStr">
        <is>
          <t>الخرج</t>
        </is>
      </c>
      <c r="D791" t="inlineStr">
        <is>
          <t>صباحا</t>
        </is>
      </c>
      <c r="E791" t="n">
        <v>278</v>
      </c>
      <c r="F791" t="b">
        <v>0</v>
      </c>
      <c r="G791">
        <f>HYPERLINK("https://www.google.com/maps/search/?api=1&amp;query=24.15643066,47.34191796", "View Map")</f>
        <v/>
      </c>
    </row>
    <row r="792">
      <c r="A792" t="inlineStr">
        <is>
          <t xml:space="preserve">   مسجد/القادسيه .</t>
        </is>
      </c>
      <c r="B792" t="inlineStr">
        <is>
          <t>KFM2020660230215</t>
        </is>
      </c>
      <c r="C792" t="inlineStr">
        <is>
          <t>الخرج</t>
        </is>
      </c>
      <c r="D792" t="inlineStr">
        <is>
          <t>صباحا</t>
        </is>
      </c>
      <c r="E792" t="n">
        <v>278</v>
      </c>
      <c r="F792" t="b">
        <v>0</v>
      </c>
      <c r="G792">
        <f>HYPERLINK("https://www.google.com/maps/search/?api=1&amp;query=24.13936721,47.36139719", "View Map")</f>
        <v/>
      </c>
    </row>
    <row r="793">
      <c r="A793" t="inlineStr">
        <is>
          <t xml:space="preserve">   مسجد الامام النووي .</t>
        </is>
      </c>
      <c r="B793" t="inlineStr">
        <is>
          <t>KFM2120660270799</t>
        </is>
      </c>
      <c r="C793" t="inlineStr">
        <is>
          <t>الخرج</t>
        </is>
      </c>
      <c r="D793" t="inlineStr">
        <is>
          <t>صباحا</t>
        </is>
      </c>
      <c r="E793" t="n">
        <v>272</v>
      </c>
      <c r="F793" t="b">
        <v>0</v>
      </c>
      <c r="G793">
        <f>HYPERLINK("https://www.google.com/maps/search/?api=1&amp;query=24.12783355,47.2716166", "View Map")</f>
        <v/>
      </c>
    </row>
    <row r="794">
      <c r="A794" t="inlineStr">
        <is>
          <t xml:space="preserve">      مسجد المحمدى الجامع .</t>
        </is>
      </c>
      <c r="B794" t="inlineStr">
        <is>
          <t>KFM2120660257219</t>
        </is>
      </c>
      <c r="C794" t="inlineStr">
        <is>
          <t>الدلم</t>
        </is>
      </c>
      <c r="D794" t="inlineStr">
        <is>
          <t>صباحا</t>
        </is>
      </c>
      <c r="E794" t="n">
        <v>271</v>
      </c>
      <c r="F794" t="b">
        <v>0</v>
      </c>
      <c r="G794">
        <f>HYPERLINK("https://www.google.com/maps/search/?api=1&amp;query=24.02968773,47.15379807", "View Map")</f>
        <v/>
      </c>
    </row>
    <row r="795">
      <c r="A795" t="inlineStr">
        <is>
          <t xml:space="preserve">      مسجد ابى ذر الغفارى .</t>
        </is>
      </c>
      <c r="B795" t="inlineStr">
        <is>
          <t>KFM2020760011835</t>
        </is>
      </c>
      <c r="C795" t="inlineStr">
        <is>
          <t>الخرج</t>
        </is>
      </c>
      <c r="D795" t="inlineStr">
        <is>
          <t>صباحا</t>
        </is>
      </c>
      <c r="E795" t="n">
        <v>269</v>
      </c>
      <c r="F795" t="b">
        <v>0</v>
      </c>
      <c r="G795">
        <f>HYPERLINK("https://www.google.com/maps/search/?api=1&amp;query=24.14393459,47.35432189", "View Map")</f>
        <v/>
      </c>
    </row>
    <row r="796">
      <c r="A796" t="inlineStr">
        <is>
          <t xml:space="preserve">   اوقاق     الدلم     ال سويلم .</t>
        </is>
      </c>
      <c r="B796" t="inlineStr">
        <is>
          <t>KFM2020660170484</t>
        </is>
      </c>
      <c r="C796" t="inlineStr">
        <is>
          <t>الدلم</t>
        </is>
      </c>
      <c r="D796" t="inlineStr">
        <is>
          <t>صباحا</t>
        </is>
      </c>
      <c r="E796" t="n">
        <v>267</v>
      </c>
      <c r="F796" t="b">
        <v>0</v>
      </c>
      <c r="G796">
        <f>HYPERLINK("https://www.google.com/maps/search/?api=1&amp;query=24.01944769,47.13761625", "View Map")</f>
        <v/>
      </c>
    </row>
    <row r="797">
      <c r="A797" t="inlineStr">
        <is>
          <t>وقاف الخرج /مسجدعبطاءالدوسري .</t>
        </is>
      </c>
      <c r="B797" t="inlineStr">
        <is>
          <t>KFM2020760185834</t>
        </is>
      </c>
      <c r="C797" t="inlineStr">
        <is>
          <t>الخرج</t>
        </is>
      </c>
      <c r="D797" t="inlineStr">
        <is>
          <t>صباحا</t>
        </is>
      </c>
      <c r="E797" t="n">
        <v>262</v>
      </c>
      <c r="F797" t="b">
        <v>0</v>
      </c>
      <c r="G797">
        <f>HYPERLINK("https://www.google.com/maps/search/?api=1&amp;query=24.15357513,47.3861784", "View Map")</f>
        <v/>
      </c>
    </row>
    <row r="798">
      <c r="A798" t="inlineStr">
        <is>
          <t>مسجد محمد سعد الضفيان بحي الروابي .</t>
        </is>
      </c>
      <c r="B798" t="inlineStr">
        <is>
          <t>KFM2020760007421</t>
        </is>
      </c>
      <c r="C798" t="inlineStr">
        <is>
          <t>الخرج</t>
        </is>
      </c>
      <c r="D798" t="inlineStr">
        <is>
          <t>صباحا</t>
        </is>
      </c>
      <c r="E798" t="n">
        <v>260</v>
      </c>
      <c r="F798" t="b">
        <v>0</v>
      </c>
      <c r="G798">
        <f>HYPERLINK("https://www.google.com/maps/search/?api=1&amp;query=24.11298,47.30281", "View Map")</f>
        <v/>
      </c>
    </row>
    <row r="799">
      <c r="A799" t="inlineStr">
        <is>
          <t xml:space="preserve">      مسجد العقم .</t>
        </is>
      </c>
      <c r="B799" t="inlineStr">
        <is>
          <t>KFM2020660177861</t>
        </is>
      </c>
      <c r="C799" t="inlineStr">
        <is>
          <t>الخرج</t>
        </is>
      </c>
      <c r="D799" t="inlineStr">
        <is>
          <t>صباحا</t>
        </is>
      </c>
      <c r="E799" t="n">
        <v>258</v>
      </c>
      <c r="F799" t="b">
        <v>0</v>
      </c>
      <c r="G799">
        <f>HYPERLINK("https://www.google.com/maps/search/?api=1&amp;query=24.14708809,47.30519887", "View Map")</f>
        <v/>
      </c>
    </row>
    <row r="800">
      <c r="A800" t="inlineStr">
        <is>
          <t xml:space="preserve">   مسجدالأمام احمد بن حنبل .</t>
        </is>
      </c>
      <c r="B800" t="inlineStr">
        <is>
          <t>KFM2120660264344</t>
        </is>
      </c>
      <c r="C800" t="inlineStr">
        <is>
          <t>الخرج</t>
        </is>
      </c>
      <c r="D800" t="inlineStr">
        <is>
          <t>صباحا</t>
        </is>
      </c>
      <c r="E800" t="n">
        <v>257</v>
      </c>
      <c r="F800" t="b">
        <v>0</v>
      </c>
      <c r="G800">
        <f>HYPERLINK("https://www.google.com/maps/search/?api=1&amp;query=24.14891846,47.35473512", "View Map")</f>
        <v/>
      </c>
    </row>
    <row r="801">
      <c r="A801" t="inlineStr">
        <is>
          <t xml:space="preserve">   مسجد جامع حي القطار .</t>
        </is>
      </c>
      <c r="B801" t="inlineStr">
        <is>
          <t>KFM2120660270830</t>
        </is>
      </c>
      <c r="C801" t="inlineStr">
        <is>
          <t>الخرج</t>
        </is>
      </c>
      <c r="D801" t="inlineStr">
        <is>
          <t>صباحا</t>
        </is>
      </c>
      <c r="E801" t="n">
        <v>257</v>
      </c>
      <c r="F801" t="b">
        <v>0</v>
      </c>
      <c r="G801">
        <f>HYPERLINK("https://www.google.com/maps/search/?api=1&amp;query=24.24741207,47.35649741", "View Map")</f>
        <v/>
      </c>
    </row>
    <row r="802">
      <c r="A802" t="inlineStr">
        <is>
          <t xml:space="preserve">   الاوقاف مسجد سعيد بن جبير .</t>
        </is>
      </c>
      <c r="B802" t="inlineStr">
        <is>
          <t>KFM2120660257183</t>
        </is>
      </c>
      <c r="C802" t="inlineStr">
        <is>
          <t>الخرج</t>
        </is>
      </c>
      <c r="D802" t="inlineStr">
        <is>
          <t>صباحا</t>
        </is>
      </c>
      <c r="E802" t="n">
        <v>257</v>
      </c>
      <c r="F802" t="b">
        <v>0</v>
      </c>
      <c r="G802">
        <f>HYPERLINK("https://www.google.com/maps/search/?api=1&amp;query=24.14186078,47.34108338", "View Map")</f>
        <v/>
      </c>
    </row>
    <row r="803">
      <c r="A803" t="inlineStr">
        <is>
          <t>ﻤﺴﺎﺠﺩﺍﻟﺨـﺭﺝ .</t>
        </is>
      </c>
      <c r="B803" t="inlineStr">
        <is>
          <t>KFM2020760089981</t>
        </is>
      </c>
      <c r="C803" t="inlineStr">
        <is>
          <t>الخرج</t>
        </is>
      </c>
      <c r="D803" t="inlineStr">
        <is>
          <t>صباحا</t>
        </is>
      </c>
      <c r="E803" t="n">
        <v>253</v>
      </c>
      <c r="F803" t="b">
        <v>0</v>
      </c>
      <c r="G803">
        <f>HYPERLINK("https://www.google.com/maps/search/?api=1&amp;query=24.0945035,47.27503035", "View Map")</f>
        <v/>
      </c>
    </row>
    <row r="804">
      <c r="A804" t="inlineStr">
        <is>
          <t xml:space="preserve">   مسجد الاميره جواهر بنت سلطان .</t>
        </is>
      </c>
      <c r="B804" t="inlineStr">
        <is>
          <t>KFM2020660230131</t>
        </is>
      </c>
      <c r="C804" t="inlineStr">
        <is>
          <t>الخرج</t>
        </is>
      </c>
      <c r="D804" t="inlineStr">
        <is>
          <t>صباحا</t>
        </is>
      </c>
      <c r="E804" t="n">
        <v>247</v>
      </c>
      <c r="F804" t="b">
        <v>0</v>
      </c>
      <c r="G804">
        <f>HYPERLINK("https://www.google.com/maps/search/?api=1&amp;query=24.17098937,47.30769457", "View Map")</f>
        <v/>
      </c>
    </row>
    <row r="805">
      <c r="A805" t="inlineStr">
        <is>
          <t xml:space="preserve">      مسجد احمد على الاسمرى .</t>
        </is>
      </c>
      <c r="B805" t="inlineStr">
        <is>
          <t>KFM2120660274741</t>
        </is>
      </c>
      <c r="C805" t="inlineStr">
        <is>
          <t>الخرج</t>
        </is>
      </c>
      <c r="D805" t="inlineStr">
        <is>
          <t>صباحا</t>
        </is>
      </c>
      <c r="E805" t="n">
        <v>243</v>
      </c>
      <c r="F805" t="b">
        <v>0</v>
      </c>
      <c r="G805">
        <f>HYPERLINK("https://www.google.com/maps/search/?api=1&amp;query=24.24817058,47.36449848", "View Map")</f>
        <v/>
      </c>
    </row>
    <row r="806">
      <c r="A806" t="inlineStr">
        <is>
          <t>ﻤﺴﺎﺠﺩﺍﻟﺨـﺭﺝ .</t>
        </is>
      </c>
      <c r="B806" t="inlineStr">
        <is>
          <t>KFM2020760087393</t>
        </is>
      </c>
      <c r="C806" t="inlineStr">
        <is>
          <t>الخرج</t>
        </is>
      </c>
      <c r="D806" t="inlineStr">
        <is>
          <t>صباحا</t>
        </is>
      </c>
      <c r="E806" t="n">
        <v>238</v>
      </c>
      <c r="F806" t="b">
        <v>0</v>
      </c>
      <c r="G806">
        <f>HYPERLINK("https://www.google.com/maps/search/?api=1&amp;query=24.15052609,47.28324262", "View Map")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20" customWidth="1" min="4" max="4"/>
    <col width="24" customWidth="1" min="5" max="5"/>
    <col width="13" customWidth="1" min="6" max="6"/>
    <col width="99" customWidth="1" min="7" max="7"/>
  </cols>
  <sheetData>
    <row r="1">
      <c r="A1" s="1" t="inlineStr">
        <is>
          <t>اسم المسجد</t>
        </is>
      </c>
      <c r="B1" s="1" t="inlineStr">
        <is>
          <t>رقم العداد</t>
        </is>
      </c>
      <c r="C1" s="1" t="inlineStr">
        <is>
          <t>المحافظة</t>
        </is>
      </c>
      <c r="D1" s="1" t="inlineStr">
        <is>
          <t>الفترة صباحا/مساءا</t>
        </is>
      </c>
      <c r="E1" s="1" t="inlineStr">
        <is>
          <t>قيمة الفاتورة الإجمالي</t>
        </is>
      </c>
      <c r="F1" s="1" t="inlineStr">
        <is>
          <t>مخالف سابقا</t>
        </is>
      </c>
      <c r="G1" s="1" t="inlineStr">
        <is>
          <t>الموقع</t>
        </is>
      </c>
    </row>
    <row r="2">
      <c r="A2" t="inlineStr">
        <is>
          <t xml:space="preserve">   جامع الامام فيصل بن تركي .</t>
        </is>
      </c>
      <c r="B2" t="inlineStr">
        <is>
          <t>KFM2020560001048</t>
        </is>
      </c>
      <c r="C2" t="inlineStr">
        <is>
          <t>الزلفي</t>
        </is>
      </c>
      <c r="D2" t="inlineStr">
        <is>
          <t>كلا الفترتين</t>
        </is>
      </c>
      <c r="E2" t="n">
        <v>44176</v>
      </c>
      <c r="F2" t="b">
        <v>0</v>
      </c>
      <c r="G2">
        <f>HYPERLINK("https://www.google.com/maps/search/?api=1&amp;query=26.30596794,44.80295377", "View Map")</f>
        <v/>
      </c>
    </row>
    <row r="3">
      <c r="A3" t="inlineStr">
        <is>
          <t xml:space="preserve">      مسجدعبدالله العذل .</t>
        </is>
      </c>
      <c r="B3" t="inlineStr">
        <is>
          <t>KFM2020660150363</t>
        </is>
      </c>
      <c r="C3" t="inlineStr">
        <is>
          <t>الزلفي</t>
        </is>
      </c>
      <c r="D3" t="inlineStr">
        <is>
          <t>كلا الفترتين</t>
        </is>
      </c>
      <c r="E3" t="n">
        <v>18778</v>
      </c>
      <c r="F3" t="b">
        <v>1</v>
      </c>
      <c r="G3">
        <f>HYPERLINK("https://www.google.com/maps/search/?api=1&amp;query=26.29313403,44.82522687", "View Map")</f>
        <v/>
      </c>
    </row>
    <row r="4">
      <c r="A4" t="inlineStr">
        <is>
          <t xml:space="preserve">   مسجد الجامع تمير .</t>
        </is>
      </c>
      <c r="B4" t="inlineStr">
        <is>
          <t>KFM2020660195717</t>
        </is>
      </c>
      <c r="C4" t="inlineStr">
        <is>
          <t>المجمعة</t>
        </is>
      </c>
      <c r="D4" t="inlineStr">
        <is>
          <t>كلا الفترتين</t>
        </is>
      </c>
      <c r="E4" t="n">
        <v>10936</v>
      </c>
      <c r="F4" t="b">
        <v>0</v>
      </c>
      <c r="G4">
        <f>HYPERLINK("https://www.google.com/maps/search/?api=1&amp;query=25.70874679,45.86746664", "View Map")</f>
        <v/>
      </c>
    </row>
    <row r="5">
      <c r="A5" t="inlineStr">
        <is>
          <t xml:space="preserve">   جامع الأمير بندر بن محمد .</t>
        </is>
      </c>
      <c r="B5" t="inlineStr">
        <is>
          <t>KFM2020660150049</t>
        </is>
      </c>
      <c r="C5" t="inlineStr">
        <is>
          <t>المجمعة</t>
        </is>
      </c>
      <c r="D5" t="inlineStr">
        <is>
          <t>كلا الفترتين</t>
        </is>
      </c>
      <c r="E5" t="n">
        <v>9503</v>
      </c>
      <c r="F5" t="b">
        <v>1</v>
      </c>
      <c r="G5">
        <f>HYPERLINK("https://www.google.com/maps/search/?api=1&amp;query=25.70312563,45.59412699", "View Map")</f>
        <v/>
      </c>
    </row>
    <row r="6">
      <c r="A6" t="inlineStr">
        <is>
          <t xml:space="preserve">   جامع الملك عبدالعزيز .</t>
        </is>
      </c>
      <c r="B6" t="inlineStr">
        <is>
          <t>KFM2020660188225</t>
        </is>
      </c>
      <c r="C6" t="inlineStr">
        <is>
          <t>الزلفي</t>
        </is>
      </c>
      <c r="D6" t="inlineStr">
        <is>
          <t>كلا الفترتين</t>
        </is>
      </c>
      <c r="E6" t="n">
        <v>8807</v>
      </c>
      <c r="F6" t="b">
        <v>1</v>
      </c>
      <c r="G6">
        <f>HYPERLINK("https://www.google.com/maps/search/?api=1&amp;query=26.29771037,44.80181185", "View Map")</f>
        <v/>
      </c>
    </row>
    <row r="7">
      <c r="A7" t="inlineStr">
        <is>
          <t>ﻓﺭﻉ ﺍﻻﻭﻗﺎﻑ ﻭﺍﻟﻤﺴﺎﺠﺩ .</t>
        </is>
      </c>
      <c r="B7" t="inlineStr">
        <is>
          <t>KFM2120660284428</t>
        </is>
      </c>
      <c r="C7" t="inlineStr">
        <is>
          <t>ثادق</t>
        </is>
      </c>
      <c r="D7" t="inlineStr">
        <is>
          <t>كلا الفترتين</t>
        </is>
      </c>
      <c r="E7" t="n">
        <v>8513</v>
      </c>
      <c r="F7" t="b">
        <v>1</v>
      </c>
      <c r="G7">
        <f>HYPERLINK("https://www.google.com/maps/search/?api=1&amp;query=25.18074702,45.80168178", "View Map")</f>
        <v/>
      </c>
    </row>
    <row r="8">
      <c r="A8" t="inlineStr">
        <is>
          <t xml:space="preserve">   مسجد  سعيد بن جبير .</t>
        </is>
      </c>
      <c r="B8" t="inlineStr">
        <is>
          <t>KFM2020660207130</t>
        </is>
      </c>
      <c r="C8" t="inlineStr">
        <is>
          <t>الزلفي</t>
        </is>
      </c>
      <c r="D8" t="inlineStr">
        <is>
          <t>كلا الفترتين</t>
        </is>
      </c>
      <c r="E8" t="n">
        <v>8478</v>
      </c>
      <c r="F8" t="b">
        <v>1</v>
      </c>
      <c r="G8">
        <f>HYPERLINK("https://www.google.com/maps/search/?api=1&amp;query=26.30417011,44.80322836", "View Map")</f>
        <v/>
      </c>
    </row>
    <row r="9">
      <c r="A9" t="inlineStr">
        <is>
          <t>ﻤﻜﺘﺏ ﺍﻻﻭﻗﺎﻑ ﻭﺍﻟﻤﺴﺎﺠﺩ .</t>
        </is>
      </c>
      <c r="B9" t="inlineStr">
        <is>
          <t>SMR2220661006693</t>
        </is>
      </c>
      <c r="C9" t="inlineStr">
        <is>
          <t>المجمعة</t>
        </is>
      </c>
      <c r="D9" t="inlineStr">
        <is>
          <t>كلا الفترتين</t>
        </is>
      </c>
      <c r="E9" t="n">
        <v>8250</v>
      </c>
      <c r="F9" t="b">
        <v>0</v>
      </c>
      <c r="G9">
        <f>HYPERLINK("https://www.google.com/maps/search/?api=1&amp;query=25.69664192,45.88027634", "View Map")</f>
        <v/>
      </c>
    </row>
    <row r="10">
      <c r="A10" t="inlineStr">
        <is>
          <t xml:space="preserve">   جامع اشيقر .</t>
        </is>
      </c>
      <c r="B10" t="inlineStr">
        <is>
          <t>KFM2020660173745</t>
        </is>
      </c>
      <c r="C10" t="inlineStr">
        <is>
          <t>شقراء</t>
        </is>
      </c>
      <c r="D10" t="inlineStr">
        <is>
          <t>كلا الفترتين</t>
        </is>
      </c>
      <c r="E10" t="n">
        <v>7471</v>
      </c>
      <c r="F10" t="b">
        <v>1</v>
      </c>
      <c r="G10">
        <f>HYPERLINK("https://www.google.com/maps/search/?api=1&amp;query=25.33811005,45.18448705", "View Map")</f>
        <v/>
      </c>
    </row>
    <row r="11">
      <c r="A11" t="inlineStr">
        <is>
          <t xml:space="preserve">   مسجد /عبدالله الفرهود .</t>
        </is>
      </c>
      <c r="B11" t="inlineStr">
        <is>
          <t>KFM2020660188288</t>
        </is>
      </c>
      <c r="C11" t="inlineStr">
        <is>
          <t>الزلفي</t>
        </is>
      </c>
      <c r="D11" t="inlineStr">
        <is>
          <t>كلا الفترتين</t>
        </is>
      </c>
      <c r="E11" t="n">
        <v>6868</v>
      </c>
      <c r="F11" t="b">
        <v>0</v>
      </c>
      <c r="G11">
        <f>HYPERLINK("https://www.google.com/maps/search/?api=1&amp;query=26.33741856,44.78205274", "View Map")</f>
        <v/>
      </c>
    </row>
    <row r="12">
      <c r="A12" t="inlineStr">
        <is>
          <t xml:space="preserve">   مسجد      الجردة بعودةسدير .</t>
        </is>
      </c>
      <c r="B12" t="inlineStr">
        <is>
          <t>KFM2020660210582</t>
        </is>
      </c>
      <c r="C12" t="inlineStr">
        <is>
          <t>المجمعة</t>
        </is>
      </c>
      <c r="D12" t="inlineStr">
        <is>
          <t>كلا الفترتين</t>
        </is>
      </c>
      <c r="E12" t="n">
        <v>6713</v>
      </c>
      <c r="F12" t="b">
        <v>1</v>
      </c>
      <c r="G12">
        <f>HYPERLINK("https://www.google.com/maps/search/?api=1&amp;query=25.55667534,45.68171065", "View Map")</f>
        <v/>
      </c>
    </row>
    <row r="13">
      <c r="A13" t="inlineStr">
        <is>
          <t>ﺍﺩﺍﺭﻩ ﺍﻻﻭﻗﺎﻑ ﻭﺍﻟﻤﺴﺎﺠﺩ .</t>
        </is>
      </c>
      <c r="B13" t="inlineStr">
        <is>
          <t>SMR2220661018602</t>
        </is>
      </c>
      <c r="C13" t="inlineStr">
        <is>
          <t>ثادق</t>
        </is>
      </c>
      <c r="D13" t="inlineStr">
        <is>
          <t>كلا الفترتين</t>
        </is>
      </c>
      <c r="E13" t="n">
        <v>6410</v>
      </c>
      <c r="F13" t="b">
        <v>1</v>
      </c>
      <c r="G13">
        <f>HYPERLINK("https://www.google.com/maps/search/?api=1&amp;query=25.16284177,45.79747487", "View Map")</f>
        <v/>
      </c>
    </row>
    <row r="14">
      <c r="A14" t="inlineStr">
        <is>
          <t>ﺍﻭﻗﺎﻑ ﻭﻤﺴﺎﺠﺩ ( ) .</t>
        </is>
      </c>
      <c r="B14" t="inlineStr">
        <is>
          <t>KFM2120660280283</t>
        </is>
      </c>
      <c r="C14" t="inlineStr">
        <is>
          <t>الزلفي</t>
        </is>
      </c>
      <c r="D14" t="inlineStr">
        <is>
          <t>كلا الفترتين</t>
        </is>
      </c>
      <c r="E14" t="n">
        <v>6330</v>
      </c>
      <c r="F14" t="b">
        <v>1</v>
      </c>
      <c r="G14">
        <f>HYPERLINK("https://www.google.com/maps/search/?api=1&amp;query=26.2750392,44.83346738", "View Map")</f>
        <v/>
      </c>
    </row>
    <row r="15">
      <c r="A15" t="inlineStr">
        <is>
          <t>ﻓﺭﻉ ﺍﻻﻭﻗﺎﻑ ﺒﺤﻭﻁﻩ ﺴﺩﻴﺭ .</t>
        </is>
      </c>
      <c r="B15" t="inlineStr">
        <is>
          <t>KFM2120660270194</t>
        </is>
      </c>
      <c r="C15" t="inlineStr">
        <is>
          <t>المجمعة</t>
        </is>
      </c>
      <c r="D15" t="inlineStr">
        <is>
          <t>كلا الفترتين</t>
        </is>
      </c>
      <c r="E15" t="n">
        <v>6191</v>
      </c>
      <c r="F15" t="b">
        <v>1</v>
      </c>
      <c r="G15">
        <f>HYPERLINK("https://www.google.com/maps/search/?api=1&amp;query=25.70480561,45.45324623", "View Map")</f>
        <v/>
      </c>
    </row>
    <row r="16">
      <c r="A16" t="inlineStr">
        <is>
          <t>ﺃﻭﻗﺎﻑ ﻭﻤﺴﺎﺠﺩ ﺍﻟﻭﺸﻡ .</t>
        </is>
      </c>
      <c r="B16" t="inlineStr">
        <is>
          <t>KFM2020660177051</t>
        </is>
      </c>
      <c r="C16" t="inlineStr">
        <is>
          <t>شقراء</t>
        </is>
      </c>
      <c r="D16" t="inlineStr">
        <is>
          <t>كلا الفترتين</t>
        </is>
      </c>
      <c r="E16" t="n">
        <v>6010</v>
      </c>
      <c r="F16" t="b">
        <v>0</v>
      </c>
      <c r="G16">
        <f>HYPERLINK("https://www.google.com/maps/search/?api=1&amp;query=25.21797302,45.26699082", "View Map")</f>
        <v/>
      </c>
    </row>
    <row r="17">
      <c r="A17" t="inlineStr">
        <is>
          <t>ﺃﻭﻗﺎﻑ ﻭﻤﺴﺎﺠﺩ ﺍﻟﻭﺸﻡ .</t>
        </is>
      </c>
      <c r="B17" t="inlineStr">
        <is>
          <t>SMR2220661018797</t>
        </is>
      </c>
      <c r="C17" t="inlineStr">
        <is>
          <t>شقراء</t>
        </is>
      </c>
      <c r="D17" t="inlineStr">
        <is>
          <t>كلا الفترتين</t>
        </is>
      </c>
      <c r="E17" t="n">
        <v>5780</v>
      </c>
      <c r="F17" t="b">
        <v>1</v>
      </c>
      <c r="G17">
        <f>HYPERLINK("https://www.google.com/maps/search/?api=1&amp;query=25.30138419,45.53439916", "View Map")</f>
        <v/>
      </c>
    </row>
    <row r="18">
      <c r="A18" t="inlineStr">
        <is>
          <t xml:space="preserve">   مكتب اوقافومساجد    مسجد الجوهره .</t>
        </is>
      </c>
      <c r="B18" t="inlineStr">
        <is>
          <t>KFM2120660279067</t>
        </is>
      </c>
      <c r="C18" t="inlineStr">
        <is>
          <t>المجمعة</t>
        </is>
      </c>
      <c r="D18" t="inlineStr">
        <is>
          <t>كلا الفترتين</t>
        </is>
      </c>
      <c r="E18" t="n">
        <v>5726</v>
      </c>
      <c r="F18" t="b">
        <v>0</v>
      </c>
      <c r="G18">
        <f>HYPERLINK("https://www.google.com/maps/search/?api=1&amp;query=25.62758335,45.5764935", "View Map")</f>
        <v/>
      </c>
    </row>
    <row r="19">
      <c r="A19" t="inlineStr">
        <is>
          <t>جامع منيره التويجري .</t>
        </is>
      </c>
      <c r="B19" t="inlineStr">
        <is>
          <t>KFM2020660210009</t>
        </is>
      </c>
      <c r="C19" t="inlineStr">
        <is>
          <t>المجمعة</t>
        </is>
      </c>
      <c r="D19" t="inlineStr">
        <is>
          <t>كلا الفترتين</t>
        </is>
      </c>
      <c r="E19" t="n">
        <v>5290</v>
      </c>
      <c r="F19" t="b">
        <v>1</v>
      </c>
      <c r="G19">
        <f>HYPERLINK("https://www.google.com/maps/search/?api=1&amp;query=25.90012722,45.36758724", "View Map")</f>
        <v/>
      </c>
    </row>
    <row r="20">
      <c r="A20" t="inlineStr">
        <is>
          <t>ﻤﻜﺘﺏ ﺍﻻﻭﻗﺎﻑ ﻭﺍﻟﻤﺴﺎﺠﺩ .</t>
        </is>
      </c>
      <c r="B20" t="inlineStr">
        <is>
          <t>KFM2020660195778</t>
        </is>
      </c>
      <c r="C20" t="inlineStr">
        <is>
          <t>المجمعة</t>
        </is>
      </c>
      <c r="D20" t="inlineStr">
        <is>
          <t>كلا الفترتين</t>
        </is>
      </c>
      <c r="E20" t="n">
        <v>5236</v>
      </c>
      <c r="F20" t="b">
        <v>0</v>
      </c>
      <c r="G20">
        <f>HYPERLINK("https://www.google.com/maps/search/?api=1&amp;query=25.69980448,45.88108272", "View Map")</f>
        <v/>
      </c>
    </row>
    <row r="21">
      <c r="A21" t="inlineStr">
        <is>
          <t xml:space="preserve">   جامع الشيخ/سعود تراحيب الديحاني .</t>
        </is>
      </c>
      <c r="B21" t="inlineStr">
        <is>
          <t>KFM2020660188300</t>
        </is>
      </c>
      <c r="C21" t="inlineStr">
        <is>
          <t>المجمعة</t>
        </is>
      </c>
      <c r="D21" t="inlineStr">
        <is>
          <t>كلا الفترتين</t>
        </is>
      </c>
      <c r="E21" t="n">
        <v>5203</v>
      </c>
      <c r="F21" t="b">
        <v>0</v>
      </c>
      <c r="G21">
        <f>HYPERLINK("https://www.google.com/maps/search/?api=1&amp;query=26.49741951,45.34644563", "View Map")</f>
        <v/>
      </c>
    </row>
    <row r="22">
      <c r="A22" t="inlineStr">
        <is>
          <t xml:space="preserve">      مسجد الجامع بحريملاء .</t>
        </is>
      </c>
      <c r="B22" t="inlineStr">
        <is>
          <t>KFM2020660208834</t>
        </is>
      </c>
      <c r="C22" t="inlineStr">
        <is>
          <t>حريملاء</t>
        </is>
      </c>
      <c r="D22" t="inlineStr">
        <is>
          <t>كلا الفترتين</t>
        </is>
      </c>
      <c r="E22" t="n">
        <v>5195</v>
      </c>
      <c r="F22" t="b">
        <v>1</v>
      </c>
      <c r="G22">
        <f>HYPERLINK("https://www.google.com/maps/search/?api=1&amp;query=25.12535448,46.12211564", "View Map")</f>
        <v/>
      </c>
    </row>
    <row r="23">
      <c r="A23" t="inlineStr">
        <is>
          <t xml:space="preserve">   ادارة     الا وقاف   (المسجدالجام .</t>
        </is>
      </c>
      <c r="B23" t="inlineStr">
        <is>
          <t>KFM2120660242986</t>
        </is>
      </c>
      <c r="C23" t="inlineStr">
        <is>
          <t>المجمعة</t>
        </is>
      </c>
      <c r="D23" t="inlineStr">
        <is>
          <t>كلا الفترتين</t>
        </is>
      </c>
      <c r="E23" t="n">
        <v>5193</v>
      </c>
      <c r="F23" t="b">
        <v>1</v>
      </c>
      <c r="G23">
        <f>HYPERLINK("https://www.google.com/maps/search/?api=1&amp;query=25.9142345,45.38042345", "View Map")</f>
        <v/>
      </c>
    </row>
    <row r="24">
      <c r="A24" t="inlineStr">
        <is>
          <t xml:space="preserve">   اوقاف الزلفي مسجد علي الطيار .</t>
        </is>
      </c>
      <c r="B24" t="inlineStr">
        <is>
          <t>KFM2020660134426</t>
        </is>
      </c>
      <c r="C24" t="inlineStr">
        <is>
          <t>الزلفي</t>
        </is>
      </c>
      <c r="D24" t="inlineStr">
        <is>
          <t>كلا الفترتين</t>
        </is>
      </c>
      <c r="E24" t="n">
        <v>5162</v>
      </c>
      <c r="F24" t="b">
        <v>0</v>
      </c>
      <c r="G24">
        <f>HYPERLINK("https://www.google.com/maps/search/?api=1&amp;query=26.34080743,44.78830225", "View Map")</f>
        <v/>
      </c>
    </row>
    <row r="25">
      <c r="A25" t="inlineStr">
        <is>
          <t xml:space="preserve"> جامع/الشيخ عبدالعزيز ابراهيم المهنا .</t>
        </is>
      </c>
      <c r="B25" t="inlineStr">
        <is>
          <t>KFM2020660200674</t>
        </is>
      </c>
      <c r="C25" t="inlineStr">
        <is>
          <t>شقراء</t>
        </is>
      </c>
      <c r="D25" t="inlineStr">
        <is>
          <t>كلا الفترتين</t>
        </is>
      </c>
      <c r="E25" t="n">
        <v>5102</v>
      </c>
      <c r="F25" t="b">
        <v>1</v>
      </c>
      <c r="G25">
        <f>HYPERLINK("https://www.google.com/maps/search/?api=1&amp;query=25.2430541,45.25760012", "View Map")</f>
        <v/>
      </c>
    </row>
    <row r="26">
      <c r="A26" t="inlineStr">
        <is>
          <t>ﺍﻭﻗﺎﻑ ﻭﻤﺴﺎﺠﺩ ( ) .</t>
        </is>
      </c>
      <c r="B26" t="inlineStr">
        <is>
          <t>KFM2120660272078</t>
        </is>
      </c>
      <c r="C26" t="inlineStr">
        <is>
          <t>الزلفي</t>
        </is>
      </c>
      <c r="D26" t="inlineStr">
        <is>
          <t>كلا الفترتين</t>
        </is>
      </c>
      <c r="E26" t="n">
        <v>5084</v>
      </c>
      <c r="F26" t="b">
        <v>0</v>
      </c>
      <c r="G26">
        <f>HYPERLINK("https://www.google.com/maps/search/?api=1&amp;query=26.23762735,44.80722975", "View Map")</f>
        <v/>
      </c>
    </row>
    <row r="27">
      <c r="A27" t="inlineStr">
        <is>
          <t xml:space="preserve">   مسجد الذييب .</t>
        </is>
      </c>
      <c r="B27" t="inlineStr">
        <is>
          <t>KFM2120655003328</t>
        </is>
      </c>
      <c r="C27" t="inlineStr">
        <is>
          <t>الزلفي</t>
        </is>
      </c>
      <c r="D27" t="inlineStr">
        <is>
          <t>كلا الفترتين</t>
        </is>
      </c>
      <c r="E27" t="n">
        <v>4996</v>
      </c>
      <c r="F27" t="b">
        <v>1</v>
      </c>
      <c r="G27">
        <f>HYPERLINK("https://www.google.com/maps/search/?api=1&amp;query=26.29568917,44.80257633", "View Map")</f>
        <v/>
      </c>
    </row>
    <row r="28">
      <c r="A28" t="inlineStr">
        <is>
          <t>ﺍﻭﻗﺎﻑ ﻭﻤﺴﺎﺠﺩ ( ) .</t>
        </is>
      </c>
      <c r="B28" t="inlineStr">
        <is>
          <t>KFM2120660281568</t>
        </is>
      </c>
      <c r="C28" t="inlineStr">
        <is>
          <t>الزلفي</t>
        </is>
      </c>
      <c r="D28" t="inlineStr">
        <is>
          <t>كلا الفترتين</t>
        </is>
      </c>
      <c r="E28" t="n">
        <v>4794</v>
      </c>
      <c r="F28" t="b">
        <v>1</v>
      </c>
      <c r="G28">
        <f>HYPERLINK("https://www.google.com/maps/search/?api=1&amp;query=26.33586435,44.80312445", "View Map")</f>
        <v/>
      </c>
    </row>
    <row r="29">
      <c r="A29" t="inlineStr">
        <is>
          <t>مسجد حبيس عبدالله الحبيس .</t>
        </is>
      </c>
      <c r="B29" t="inlineStr">
        <is>
          <t>KFM2120660280300</t>
        </is>
      </c>
      <c r="C29" t="inlineStr">
        <is>
          <t>الزلفي</t>
        </is>
      </c>
      <c r="D29" t="inlineStr">
        <is>
          <t>كلا الفترتين</t>
        </is>
      </c>
      <c r="E29" t="n">
        <v>4322</v>
      </c>
      <c r="F29" t="b">
        <v>1</v>
      </c>
      <c r="G29">
        <f>HYPERLINK("https://www.google.com/maps/search/?api=1&amp;query=26.29920334,44.80223512", "View Map")</f>
        <v/>
      </c>
    </row>
    <row r="30">
      <c r="A30" t="inlineStr">
        <is>
          <t>الجامع الكبير بالمجمعة .</t>
        </is>
      </c>
      <c r="B30" t="inlineStr">
        <is>
          <t>KFM2020660225265</t>
        </is>
      </c>
      <c r="C30" t="inlineStr">
        <is>
          <t>المجمعة</t>
        </is>
      </c>
      <c r="D30" t="inlineStr">
        <is>
          <t>كلا الفترتين</t>
        </is>
      </c>
      <c r="E30" t="n">
        <v>4291</v>
      </c>
      <c r="F30" t="b">
        <v>1</v>
      </c>
      <c r="G30">
        <f>HYPERLINK("https://www.google.com/maps/search/?api=1&amp;query=25.90137549,45.33808059", "View Map")</f>
        <v/>
      </c>
    </row>
    <row r="31">
      <c r="A31" t="inlineStr">
        <is>
          <t xml:space="preserve">   مسجدالمديد .</t>
        </is>
      </c>
      <c r="B31" t="inlineStr">
        <is>
          <t>KFM2020660199257</t>
        </is>
      </c>
      <c r="C31" t="inlineStr">
        <is>
          <t>الزلفي</t>
        </is>
      </c>
      <c r="D31" t="inlineStr">
        <is>
          <t>كلا الفترتين</t>
        </is>
      </c>
      <c r="E31" t="n">
        <v>4142</v>
      </c>
      <c r="F31" t="b">
        <v>1</v>
      </c>
      <c r="G31">
        <f>HYPERLINK("https://www.google.com/maps/search/?api=1&amp;query=26.30829519,44.81851259", "View Map")</f>
        <v/>
      </c>
    </row>
    <row r="32">
      <c r="A32" t="inlineStr">
        <is>
          <t xml:space="preserve">   مسجد الحىرقم 8 المطار .</t>
        </is>
      </c>
      <c r="B32" t="inlineStr">
        <is>
          <t>KFM2020660201591</t>
        </is>
      </c>
      <c r="C32" t="inlineStr">
        <is>
          <t>الزلفي</t>
        </is>
      </c>
      <c r="D32" t="inlineStr">
        <is>
          <t>كلا الفترتين</t>
        </is>
      </c>
      <c r="E32" t="n">
        <v>4075</v>
      </c>
      <c r="F32" t="b">
        <v>1</v>
      </c>
      <c r="G32">
        <f>HYPERLINK("https://www.google.com/maps/search/?api=1&amp;query=26.29793091,44.81972532", "View Map")</f>
        <v/>
      </c>
    </row>
    <row r="33">
      <c r="A33" t="inlineStr">
        <is>
          <t xml:space="preserve">   مسجد      الشيخ     جماز .</t>
        </is>
      </c>
      <c r="B33" t="inlineStr">
        <is>
          <t>KFM2020660168508</t>
        </is>
      </c>
      <c r="C33" t="inlineStr">
        <is>
          <t>حريملاء</t>
        </is>
      </c>
      <c r="D33" t="inlineStr">
        <is>
          <t>كلا الفترتين</t>
        </is>
      </c>
      <c r="E33" t="n">
        <v>4069</v>
      </c>
      <c r="F33" t="b">
        <v>1</v>
      </c>
      <c r="G33">
        <f>HYPERLINK("https://www.google.com/maps/search/?api=1&amp;query=25.11112499,46.0953707", "View Map")</f>
        <v/>
      </c>
    </row>
    <row r="34">
      <c r="A34" t="inlineStr">
        <is>
          <t>جامع خادم الحرمين الشريفين بالغاط .</t>
        </is>
      </c>
      <c r="B34" t="inlineStr">
        <is>
          <t>KFM2120660273867</t>
        </is>
      </c>
      <c r="C34" t="inlineStr">
        <is>
          <t>الغاط</t>
        </is>
      </c>
      <c r="D34" t="inlineStr">
        <is>
          <t>كلا الفترتين</t>
        </is>
      </c>
      <c r="E34" t="n">
        <v>4058</v>
      </c>
      <c r="F34" t="b">
        <v>1</v>
      </c>
      <c r="G34">
        <f>HYPERLINK("https://www.google.com/maps/search/?api=1&amp;query=26.01802025,44.92578941", "View Map")</f>
        <v/>
      </c>
    </row>
    <row r="35">
      <c r="A35" t="inlineStr">
        <is>
          <t xml:space="preserve">   مسجد الدويش .</t>
        </is>
      </c>
      <c r="B35" t="inlineStr">
        <is>
          <t>KFM2120660262696</t>
        </is>
      </c>
      <c r="C35" t="inlineStr">
        <is>
          <t>الزلفي</t>
        </is>
      </c>
      <c r="D35" t="inlineStr">
        <is>
          <t>كلا الفترتين</t>
        </is>
      </c>
      <c r="E35" t="n">
        <v>4012</v>
      </c>
      <c r="F35" t="b">
        <v>0</v>
      </c>
      <c r="G35">
        <f>HYPERLINK("https://www.google.com/maps/search/?api=1&amp;query=26.30506907,44.80998338", "View Map")</f>
        <v/>
      </c>
    </row>
    <row r="36">
      <c r="A36" t="inlineStr">
        <is>
          <t xml:space="preserve">   مسجد/ابراهيم المحارب .</t>
        </is>
      </c>
      <c r="B36" t="inlineStr">
        <is>
          <t>KFM2020760020374</t>
        </is>
      </c>
      <c r="C36" t="inlineStr">
        <is>
          <t>المجمعة</t>
        </is>
      </c>
      <c r="D36" t="inlineStr">
        <is>
          <t>كلا الفترتين</t>
        </is>
      </c>
      <c r="E36" t="n">
        <v>3960</v>
      </c>
      <c r="F36" t="b">
        <v>1</v>
      </c>
      <c r="G36">
        <f>HYPERLINK("https://www.google.com/maps/search/?api=1&amp;query=25.90665398,45.36986552", "View Map")</f>
        <v/>
      </c>
    </row>
    <row r="37">
      <c r="A37" t="inlineStr">
        <is>
          <t xml:space="preserve">   اوقاف  تمير  مسجد الثلاثين .</t>
        </is>
      </c>
      <c r="B37" t="inlineStr">
        <is>
          <t>KFM2020660209951</t>
        </is>
      </c>
      <c r="C37" t="inlineStr">
        <is>
          <t>المجمعة</t>
        </is>
      </c>
      <c r="D37" t="inlineStr">
        <is>
          <t>كلا الفترتين</t>
        </is>
      </c>
      <c r="E37" t="n">
        <v>3922</v>
      </c>
      <c r="F37" t="b">
        <v>1</v>
      </c>
      <c r="G37">
        <f>HYPERLINK("https://www.google.com/maps/search/?api=1&amp;query=25.69811975,45.88575973", "View Map")</f>
        <v/>
      </c>
    </row>
    <row r="38">
      <c r="A38" t="inlineStr">
        <is>
          <t xml:space="preserve">   اوقاف     تمبر      مبايض .</t>
        </is>
      </c>
      <c r="B38" t="inlineStr">
        <is>
          <t>KFM2020660195734</t>
        </is>
      </c>
      <c r="C38" t="inlineStr">
        <is>
          <t>المجمعة</t>
        </is>
      </c>
      <c r="D38" t="inlineStr">
        <is>
          <t>كلا الفترتين</t>
        </is>
      </c>
      <c r="E38" t="n">
        <v>3840</v>
      </c>
      <c r="F38" t="b">
        <v>0</v>
      </c>
      <c r="G38">
        <f>HYPERLINK("https://www.google.com/maps/search/?api=1&amp;query=25.82694678,45.80144844", "View Map")</f>
        <v/>
      </c>
    </row>
    <row r="39">
      <c r="A39" t="inlineStr">
        <is>
          <t xml:space="preserve">   مسجدالجامع بالمخطط الجديد .</t>
        </is>
      </c>
      <c r="B39" t="inlineStr">
        <is>
          <t>KFM2120660273515</t>
        </is>
      </c>
      <c r="C39" t="inlineStr">
        <is>
          <t>المجمعة</t>
        </is>
      </c>
      <c r="D39" t="inlineStr">
        <is>
          <t>كلا الفترتين</t>
        </is>
      </c>
      <c r="E39" t="n">
        <v>3836</v>
      </c>
      <c r="F39" t="b">
        <v>1</v>
      </c>
      <c r="G39">
        <f>HYPERLINK("https://www.google.com/maps/search/?api=1&amp;query=25.5886303,45.6929573", "View Map")</f>
        <v/>
      </c>
    </row>
    <row r="40">
      <c r="A40" t="inlineStr">
        <is>
          <t>مسجد عبدالله الثابت / 182 .</t>
        </is>
      </c>
      <c r="B40" t="inlineStr">
        <is>
          <t>KFM2020660212247</t>
        </is>
      </c>
      <c r="C40" t="inlineStr">
        <is>
          <t>المجمعة</t>
        </is>
      </c>
      <c r="D40" t="inlineStr">
        <is>
          <t>كلا الفترتين</t>
        </is>
      </c>
      <c r="E40" t="n">
        <v>3817</v>
      </c>
      <c r="F40" t="b">
        <v>0</v>
      </c>
      <c r="G40">
        <f>HYPERLINK("https://www.google.com/maps/search/?api=1&amp;query=25.90609461,45.39241928", "View Map")</f>
        <v/>
      </c>
    </row>
    <row r="41">
      <c r="A41" t="inlineStr">
        <is>
          <t xml:space="preserve">   جامع الملك فهد بمرات-مخطط1056 .</t>
        </is>
      </c>
      <c r="B41" t="inlineStr">
        <is>
          <t>KFM2120660242945</t>
        </is>
      </c>
      <c r="C41" t="inlineStr">
        <is>
          <t>مرات</t>
        </is>
      </c>
      <c r="D41" t="inlineStr">
        <is>
          <t>كلا الفترتين</t>
        </is>
      </c>
      <c r="E41" t="n">
        <v>3666</v>
      </c>
      <c r="F41" t="b">
        <v>1</v>
      </c>
      <c r="G41">
        <f>HYPERLINK("https://www.google.com/maps/search/?api=1&amp;query=25.07028395,45.45310802", "View Map")</f>
        <v/>
      </c>
    </row>
    <row r="42">
      <c r="A42" t="inlineStr">
        <is>
          <t xml:space="preserve">   ادارة     الأوقاف    والدعوه .</t>
        </is>
      </c>
      <c r="B42" t="inlineStr">
        <is>
          <t>ECC2320831052495</t>
        </is>
      </c>
      <c r="C42" t="inlineStr">
        <is>
          <t>ثادق</t>
        </is>
      </c>
      <c r="D42" t="inlineStr">
        <is>
          <t>كلا الفترتين</t>
        </is>
      </c>
      <c r="E42" t="n">
        <v>3552</v>
      </c>
      <c r="F42" t="b">
        <v>1</v>
      </c>
      <c r="G42">
        <f>HYPERLINK("https://www.google.com/maps/search/?api=1&amp;query=25.21291199,45.74798068", "View Map")</f>
        <v/>
      </c>
    </row>
    <row r="43">
      <c r="A43" t="inlineStr">
        <is>
          <t xml:space="preserve">   جامع عمربن عبدالعزيز .</t>
        </is>
      </c>
      <c r="B43" t="inlineStr">
        <is>
          <t>KFM2020660188222</t>
        </is>
      </c>
      <c r="C43" t="inlineStr">
        <is>
          <t>الزلفي</t>
        </is>
      </c>
      <c r="D43" t="inlineStr">
        <is>
          <t>كلا الفترتين</t>
        </is>
      </c>
      <c r="E43" t="n">
        <v>3526</v>
      </c>
      <c r="F43" t="b">
        <v>1</v>
      </c>
      <c r="G43">
        <f>HYPERLINK("https://www.google.com/maps/search/?api=1&amp;query=26.30147921,44.79722731", "View Map")</f>
        <v/>
      </c>
    </row>
    <row r="44">
      <c r="A44" t="inlineStr">
        <is>
          <t xml:space="preserve">   مسجدمحمدالبابطين حي الشفاء .</t>
        </is>
      </c>
      <c r="B44" t="inlineStr">
        <is>
          <t>KFM2120660279213</t>
        </is>
      </c>
      <c r="C44" t="inlineStr">
        <is>
          <t>المجمعة</t>
        </is>
      </c>
      <c r="D44" t="inlineStr">
        <is>
          <t>كلا الفترتين</t>
        </is>
      </c>
      <c r="E44" t="n">
        <v>3465</v>
      </c>
      <c r="F44" t="b">
        <v>1</v>
      </c>
      <c r="G44">
        <f>HYPERLINK("https://www.google.com/maps/search/?api=1&amp;query=25.6197703,45.55420143", "View Map")</f>
        <v/>
      </c>
    </row>
    <row r="45">
      <c r="A45" t="inlineStr">
        <is>
          <t>مسجد رقم 14 مخطط 113 بالقصب .</t>
        </is>
      </c>
      <c r="B45" t="inlineStr">
        <is>
          <t>KFM2120660243062</t>
        </is>
      </c>
      <c r="C45" t="inlineStr">
        <is>
          <t>شقراء</t>
        </is>
      </c>
      <c r="D45" t="inlineStr">
        <is>
          <t>كلا الفترتين</t>
        </is>
      </c>
      <c r="E45" t="n">
        <v>3465</v>
      </c>
      <c r="F45" t="b">
        <v>1</v>
      </c>
      <c r="G45">
        <f>HYPERLINK("https://www.google.com/maps/search/?api=1&amp;query=25.29597092,45.53238578", "View Map")</f>
        <v/>
      </c>
    </row>
    <row r="46">
      <c r="A46" t="inlineStr">
        <is>
          <t xml:space="preserve">   مسجدبريدةبن الحصيب .</t>
        </is>
      </c>
      <c r="B46" t="inlineStr">
        <is>
          <t>KFM2020660201603</t>
        </is>
      </c>
      <c r="C46" t="inlineStr">
        <is>
          <t>الزلفي</t>
        </is>
      </c>
      <c r="D46" t="inlineStr">
        <is>
          <t>كلا الفترتين</t>
        </is>
      </c>
      <c r="E46" t="n">
        <v>3457</v>
      </c>
      <c r="F46" t="b">
        <v>1</v>
      </c>
      <c r="G46">
        <f>HYPERLINK("https://www.google.com/maps/search/?api=1&amp;query=26.29833162,44.82278156", "View Map")</f>
        <v/>
      </c>
    </row>
    <row r="47">
      <c r="A47" t="inlineStr">
        <is>
          <t xml:space="preserve">   مسجد الرشيد .</t>
        </is>
      </c>
      <c r="B47" t="inlineStr">
        <is>
          <t>KFM2020660201531</t>
        </is>
      </c>
      <c r="C47" t="inlineStr">
        <is>
          <t>الزلفي</t>
        </is>
      </c>
      <c r="D47" t="inlineStr">
        <is>
          <t>كلا الفترتين</t>
        </is>
      </c>
      <c r="E47" t="n">
        <v>3392</v>
      </c>
      <c r="F47" t="b">
        <v>1</v>
      </c>
      <c r="G47">
        <f>HYPERLINK("https://www.google.com/maps/search/?api=1&amp;query=26.29497184,44.82990714", "View Map")</f>
        <v/>
      </c>
    </row>
    <row r="48">
      <c r="A48" t="inlineStr">
        <is>
          <t xml:space="preserve">      اوقاف الزلفى مسجد م  /سمنان .</t>
        </is>
      </c>
      <c r="B48" t="inlineStr">
        <is>
          <t>KFM2020660228168</t>
        </is>
      </c>
      <c r="C48" t="inlineStr">
        <is>
          <t>الزلفي</t>
        </is>
      </c>
      <c r="D48" t="inlineStr">
        <is>
          <t>كلا الفترتين</t>
        </is>
      </c>
      <c r="E48" t="n">
        <v>3364</v>
      </c>
      <c r="F48" t="b">
        <v>1</v>
      </c>
      <c r="G48">
        <f>HYPERLINK("https://www.google.com/maps/search/?api=1&amp;query=26.29557123,44.81939294", "View Map")</f>
        <v/>
      </c>
    </row>
    <row r="49">
      <c r="A49" t="inlineStr">
        <is>
          <t>مسجد مهنا المدالله .</t>
        </is>
      </c>
      <c r="B49" t="inlineStr">
        <is>
          <t>KFM2020660207111</t>
        </is>
      </c>
      <c r="C49" t="inlineStr">
        <is>
          <t>الزلفي</t>
        </is>
      </c>
      <c r="D49" t="inlineStr">
        <is>
          <t>كلا الفترتين</t>
        </is>
      </c>
      <c r="E49" t="n">
        <v>3348</v>
      </c>
      <c r="F49" t="b">
        <v>1</v>
      </c>
      <c r="G49">
        <f>HYPERLINK("https://www.google.com/maps/search/?api=1&amp;query=26.27690958,44.83010086", "View Map")</f>
        <v/>
      </c>
    </row>
    <row r="50">
      <c r="A50" t="inlineStr">
        <is>
          <t>ﺍﺩﺍﺭﻩ ﺍﻻﻭﻗﺎﻑ ﻭﺍﻟﻤﺴﺎﺠﺩ .</t>
        </is>
      </c>
      <c r="B50" t="inlineStr">
        <is>
          <t>KFM2120660240920</t>
        </is>
      </c>
      <c r="C50" t="inlineStr">
        <is>
          <t>حريملاء</t>
        </is>
      </c>
      <c r="D50" t="inlineStr">
        <is>
          <t>كلا الفترتين</t>
        </is>
      </c>
      <c r="E50" t="n">
        <v>3337</v>
      </c>
      <c r="F50" t="b">
        <v>1</v>
      </c>
      <c r="G50">
        <f>HYPERLINK("https://www.google.com/maps/search/?api=1&amp;query=25.17266616,46.33868616", "View Map")</f>
        <v/>
      </c>
    </row>
    <row r="51">
      <c r="A51" t="inlineStr">
        <is>
          <t>ﻤﻜﺘﺏ ﺍﻭﻗﺎﻑ ﺍﻟﻤﺠﻤﻌﻩ (ﺍﻟﻤﺴﺎﺠﺩ) .</t>
        </is>
      </c>
      <c r="B51" t="inlineStr">
        <is>
          <t>KFM2120655001336</t>
        </is>
      </c>
      <c r="C51" t="inlineStr">
        <is>
          <t>المجمعة</t>
        </is>
      </c>
      <c r="D51" t="inlineStr">
        <is>
          <t>كلا الفترتين</t>
        </is>
      </c>
      <c r="E51" t="n">
        <v>3280</v>
      </c>
      <c r="F51" t="b">
        <v>1</v>
      </c>
      <c r="G51">
        <f>HYPERLINK("https://www.google.com/maps/search/?api=1&amp;query=25.91560952,45.39291536", "View Map")</f>
        <v/>
      </c>
    </row>
    <row r="52">
      <c r="A52" t="inlineStr">
        <is>
          <t xml:space="preserve">   جامع ابي بكر الصديق .</t>
        </is>
      </c>
      <c r="B52" t="inlineStr">
        <is>
          <t>KFM2020660188304</t>
        </is>
      </c>
      <c r="C52" t="inlineStr">
        <is>
          <t>المجمعة</t>
        </is>
      </c>
      <c r="D52" t="inlineStr">
        <is>
          <t>كلا الفترتين</t>
        </is>
      </c>
      <c r="E52" t="n">
        <v>3244</v>
      </c>
      <c r="F52" t="b">
        <v>0</v>
      </c>
      <c r="G52">
        <f>HYPERLINK("https://www.google.com/maps/search/?api=1&amp;query=26.5090677,45.34735978", "View Map")</f>
        <v/>
      </c>
    </row>
    <row r="53">
      <c r="A53" t="inlineStr">
        <is>
          <t xml:space="preserve">   مسجد نموذجيه جلاجل .</t>
        </is>
      </c>
      <c r="B53" t="inlineStr">
        <is>
          <t>KFM2020660211663</t>
        </is>
      </c>
      <c r="C53" t="inlineStr">
        <is>
          <t>المجمعة</t>
        </is>
      </c>
      <c r="D53" t="inlineStr">
        <is>
          <t>كلا الفترتين</t>
        </is>
      </c>
      <c r="E53" t="n">
        <v>3162</v>
      </c>
      <c r="F53" t="b">
        <v>1</v>
      </c>
      <c r="G53">
        <f>HYPERLINK("https://www.google.com/maps/search/?api=1&amp;query=25.67925646,45.44917603", "View Map")</f>
        <v/>
      </c>
    </row>
    <row r="54">
      <c r="A54" t="inlineStr">
        <is>
          <t>ﻓﺭﻉ ﺍﻻﻭﻗﺎﻑ ﻭﺍﻟﻤﺴﺎﺠﺩ .</t>
        </is>
      </c>
      <c r="B54" t="inlineStr">
        <is>
          <t>ECC2020811090526</t>
        </is>
      </c>
      <c r="C54" t="inlineStr">
        <is>
          <t>حريملاء</t>
        </is>
      </c>
      <c r="D54" t="inlineStr">
        <is>
          <t>كلا الفترتين</t>
        </is>
      </c>
      <c r="E54" t="n">
        <v>3154</v>
      </c>
      <c r="F54" t="b">
        <v>1</v>
      </c>
      <c r="G54">
        <f>HYPERLINK("https://www.google.com/maps/search/?api=1&amp;query=25.00487819,45.83415925", "View Map")</f>
        <v/>
      </c>
    </row>
    <row r="55">
      <c r="A55" t="inlineStr">
        <is>
          <t xml:space="preserve">    مسجد  الشفا بحوطة سـدير .</t>
        </is>
      </c>
      <c r="B55" t="inlineStr">
        <is>
          <t>KFM2020660210675</t>
        </is>
      </c>
      <c r="C55" t="inlineStr">
        <is>
          <t>المجمعة</t>
        </is>
      </c>
      <c r="D55" t="inlineStr">
        <is>
          <t>كلا الفترتين</t>
        </is>
      </c>
      <c r="E55" t="n">
        <v>3118</v>
      </c>
      <c r="F55" t="b">
        <v>0</v>
      </c>
      <c r="G55">
        <f>HYPERLINK("https://www.google.com/maps/search/?api=1&amp;query=25.59450086,45.6134579", "View Map")</f>
        <v/>
      </c>
    </row>
    <row r="56">
      <c r="A56" t="inlineStr">
        <is>
          <t>ﺃﻭﻗﺎﻑ ﻭﻤﺴﺎﺠﺩ ﺭﻤﺎﺡ .</t>
        </is>
      </c>
      <c r="B56" t="inlineStr">
        <is>
          <t>KFM2020660199681</t>
        </is>
      </c>
      <c r="C56" t="inlineStr">
        <is>
          <t>رماح</t>
        </is>
      </c>
      <c r="D56" t="inlineStr">
        <is>
          <t>كلا الفترتين</t>
        </is>
      </c>
      <c r="E56" t="n">
        <v>3100</v>
      </c>
      <c r="F56" t="b">
        <v>1</v>
      </c>
      <c r="G56">
        <f>HYPERLINK("https://www.google.com/maps/search/?api=1&amp;query=25.542916,47.17302172", "View Map")</f>
        <v/>
      </c>
    </row>
    <row r="57">
      <c r="A57" t="inlineStr">
        <is>
          <t xml:space="preserve">    مسجد الفاروق  بتمير / م المانع .</t>
        </is>
      </c>
      <c r="B57" t="inlineStr">
        <is>
          <t>KFM2020660195833</t>
        </is>
      </c>
      <c r="C57" t="inlineStr">
        <is>
          <t>المجمعة</t>
        </is>
      </c>
      <c r="D57" t="inlineStr">
        <is>
          <t>كلا الفترتين</t>
        </is>
      </c>
      <c r="E57" t="n">
        <v>3063</v>
      </c>
      <c r="F57" t="b">
        <v>0</v>
      </c>
      <c r="G57">
        <f>HYPERLINK("https://www.google.com/maps/search/?api=1&amp;query=25.69664192,45.88027634", "View Map")</f>
        <v/>
      </c>
    </row>
    <row r="58">
      <c r="A58" t="inlineStr">
        <is>
          <t xml:space="preserve">   مسجد / الداود .</t>
        </is>
      </c>
      <c r="B58" t="inlineStr">
        <is>
          <t>KFM2120660284482</t>
        </is>
      </c>
      <c r="C58" t="inlineStr">
        <is>
          <t>ثادق</t>
        </is>
      </c>
      <c r="D58" t="inlineStr">
        <is>
          <t>كلا الفترتين</t>
        </is>
      </c>
      <c r="E58" t="n">
        <v>3004</v>
      </c>
      <c r="F58" t="b">
        <v>1</v>
      </c>
      <c r="G58">
        <f>HYPERLINK("https://www.google.com/maps/search/?api=1&amp;query=25.29098964,45.7875043", "View Map")</f>
        <v/>
      </c>
    </row>
    <row r="59">
      <c r="A59" t="inlineStr">
        <is>
          <t>ﺍﻭﻗﺎﻑ ﻭﻤﺴﺎﺠﺩ ( ) .</t>
        </is>
      </c>
      <c r="B59" t="inlineStr">
        <is>
          <t>KFM2020766158162</t>
        </is>
      </c>
      <c r="C59" t="inlineStr">
        <is>
          <t>الزلفي</t>
        </is>
      </c>
      <c r="D59" t="inlineStr">
        <is>
          <t>كلا الفترتين</t>
        </is>
      </c>
      <c r="E59" t="n">
        <v>2996</v>
      </c>
      <c r="F59" t="b">
        <v>1</v>
      </c>
      <c r="G59">
        <f>HYPERLINK("https://www.google.com/maps/search/?api=1&amp;query=26.28896711,44.82354316", "View Map")</f>
        <v/>
      </c>
    </row>
    <row r="60">
      <c r="A60" t="inlineStr">
        <is>
          <t>ﺍﻭﻗﺎﻑ ﻭﻤﺴﺎﺠﺩ ( ) .</t>
        </is>
      </c>
      <c r="B60" t="inlineStr">
        <is>
          <t>KFM2020660210556</t>
        </is>
      </c>
      <c r="C60" t="inlineStr">
        <is>
          <t>الزلفي</t>
        </is>
      </c>
      <c r="D60" t="inlineStr">
        <is>
          <t>كلا الفترتين</t>
        </is>
      </c>
      <c r="E60" t="n">
        <v>2970</v>
      </c>
      <c r="F60" t="b">
        <v>1</v>
      </c>
      <c r="G60">
        <f>HYPERLINK("https://www.google.com/maps/search/?api=1&amp;query=26.31284717,44.88297222", "View Map")</f>
        <v/>
      </c>
    </row>
    <row r="61">
      <c r="A61" t="inlineStr">
        <is>
          <t xml:space="preserve">   اوقاف الزلفي / مسجد النسائي .</t>
        </is>
      </c>
      <c r="B61" t="inlineStr">
        <is>
          <t>KFM2020660201608</t>
        </is>
      </c>
      <c r="C61" t="inlineStr">
        <is>
          <t>الزلفي</t>
        </is>
      </c>
      <c r="D61" t="inlineStr">
        <is>
          <t>كلا الفترتين</t>
        </is>
      </c>
      <c r="E61" t="n">
        <v>2962</v>
      </c>
      <c r="F61" t="b">
        <v>0</v>
      </c>
      <c r="G61">
        <f>HYPERLINK("https://www.google.com/maps/search/?api=1&amp;query=26.30462311,44.82894203", "View Map")</f>
        <v/>
      </c>
    </row>
    <row r="62">
      <c r="A62" t="inlineStr">
        <is>
          <t xml:space="preserve">   مسجدالدخل المحدودرقم 3 .</t>
        </is>
      </c>
      <c r="B62" t="inlineStr">
        <is>
          <t>KFM2020660210646</t>
        </is>
      </c>
      <c r="C62" t="inlineStr">
        <is>
          <t>المجمعة</t>
        </is>
      </c>
      <c r="D62" t="inlineStr">
        <is>
          <t>كلا الفترتين</t>
        </is>
      </c>
      <c r="E62" t="n">
        <v>2914</v>
      </c>
      <c r="F62" t="b">
        <v>0</v>
      </c>
      <c r="G62">
        <f>HYPERLINK("https://www.google.com/maps/search/?api=1&amp;query=25.60234615,45.61944636", "View Map")</f>
        <v/>
      </c>
    </row>
    <row r="63">
      <c r="A63" t="inlineStr">
        <is>
          <t xml:space="preserve">   مسجد الحى رقم 2 المطار .</t>
        </is>
      </c>
      <c r="B63" t="inlineStr">
        <is>
          <t>KFM2020660160320</t>
        </is>
      </c>
      <c r="C63" t="inlineStr">
        <is>
          <t>الزلفي</t>
        </is>
      </c>
      <c r="D63" t="inlineStr">
        <is>
          <t>كلا الفترتين</t>
        </is>
      </c>
      <c r="E63" t="n">
        <v>2908</v>
      </c>
      <c r="F63" t="b">
        <v>0</v>
      </c>
      <c r="G63">
        <f>HYPERLINK("https://www.google.com/maps/search/?api=1&amp;query=26.29956574,44.82622912", "View Map")</f>
        <v/>
      </c>
    </row>
    <row r="64">
      <c r="A64" t="inlineStr">
        <is>
          <t>مسجد محمد الموسى .</t>
        </is>
      </c>
      <c r="B64" t="inlineStr">
        <is>
          <t>KFM2020766159154</t>
        </is>
      </c>
      <c r="C64" t="inlineStr">
        <is>
          <t>الزلفي</t>
        </is>
      </c>
      <c r="D64" t="inlineStr">
        <is>
          <t>كلا الفترتين</t>
        </is>
      </c>
      <c r="E64" t="n">
        <v>2902</v>
      </c>
      <c r="F64" t="b">
        <v>1</v>
      </c>
      <c r="G64">
        <f>HYPERLINK("https://www.google.com/maps/search/?api=1&amp;query=26.31033251,44.89312666", "View Map")</f>
        <v/>
      </c>
    </row>
    <row r="65">
      <c r="A65" t="inlineStr">
        <is>
          <t xml:space="preserve">   اوقاف الزلفي (مسجدالرايه) .</t>
        </is>
      </c>
      <c r="B65" t="inlineStr">
        <is>
          <t>KFM2020660201468</t>
        </is>
      </c>
      <c r="C65" t="inlineStr">
        <is>
          <t>الزلفي</t>
        </is>
      </c>
      <c r="D65" t="inlineStr">
        <is>
          <t>كلا الفترتين</t>
        </is>
      </c>
      <c r="E65" t="n">
        <v>2880</v>
      </c>
      <c r="F65" t="b">
        <v>1</v>
      </c>
      <c r="G65">
        <f>HYPERLINK("https://www.google.com/maps/search/?api=1&amp;query=26.3180466,44.79630624", "View Map")</f>
        <v/>
      </c>
    </row>
    <row r="66">
      <c r="A66" t="inlineStr">
        <is>
          <t xml:space="preserve">   مسجد الاحنف بن قيس .</t>
        </is>
      </c>
      <c r="B66" t="inlineStr">
        <is>
          <t>KFM2020660192429</t>
        </is>
      </c>
      <c r="C66" t="inlineStr">
        <is>
          <t>الزلفي</t>
        </is>
      </c>
      <c r="D66" t="inlineStr">
        <is>
          <t>كلا الفترتين</t>
        </is>
      </c>
      <c r="E66" t="n">
        <v>2862</v>
      </c>
      <c r="F66" t="b">
        <v>0</v>
      </c>
      <c r="G66">
        <f>HYPERLINK("https://www.google.com/maps/search/?api=1&amp;query=26.30718392,44.81526069", "View Map")</f>
        <v/>
      </c>
    </row>
    <row r="67">
      <c r="A67" t="inlineStr">
        <is>
          <t xml:space="preserve">   مسجدحفـرالعتـش .</t>
        </is>
      </c>
      <c r="B67" t="inlineStr">
        <is>
          <t>KFM2020760158831</t>
        </is>
      </c>
      <c r="C67" t="inlineStr">
        <is>
          <t>رماح</t>
        </is>
      </c>
      <c r="D67" t="inlineStr">
        <is>
          <t>كلا الفترتين</t>
        </is>
      </c>
      <c r="E67" t="n">
        <v>2854</v>
      </c>
      <c r="F67" t="b">
        <v>0</v>
      </c>
      <c r="G67">
        <f>HYPERLINK("https://www.google.com/maps/search/?api=1&amp;query=25.95428463,46.49811963", "View Map")</f>
        <v/>
      </c>
    </row>
    <row r="68">
      <c r="A68" t="inlineStr">
        <is>
          <t xml:space="preserve">   جامع حي الزهره .</t>
        </is>
      </c>
      <c r="B68" t="inlineStr">
        <is>
          <t>KFM2020660228075</t>
        </is>
      </c>
      <c r="C68" t="inlineStr">
        <is>
          <t>الزلفي</t>
        </is>
      </c>
      <c r="D68" t="inlineStr">
        <is>
          <t>كلا الفترتين</t>
        </is>
      </c>
      <c r="E68" t="n">
        <v>2732</v>
      </c>
      <c r="F68" t="b">
        <v>1</v>
      </c>
      <c r="G68">
        <f>HYPERLINK("https://www.google.com/maps/search/?api=1&amp;query=26.31361791,44.79530911", "View Map")</f>
        <v/>
      </c>
    </row>
    <row r="69">
      <c r="A69" t="inlineStr">
        <is>
          <t xml:space="preserve">   مسجدالماضي بحرمه .</t>
        </is>
      </c>
      <c r="B69" t="inlineStr">
        <is>
          <t>KFM2120660242973</t>
        </is>
      </c>
      <c r="C69" t="inlineStr">
        <is>
          <t>المجمعة</t>
        </is>
      </c>
      <c r="D69" t="inlineStr">
        <is>
          <t>كلا الفترتين</t>
        </is>
      </c>
      <c r="E69" t="n">
        <v>2697</v>
      </c>
      <c r="F69" t="b">
        <v>0</v>
      </c>
      <c r="G69">
        <f>HYPERLINK("https://www.google.com/maps/search/?api=1&amp;query=25.90891683,45.36534775", "View Map")</f>
        <v/>
      </c>
    </row>
    <row r="70">
      <c r="A70" t="inlineStr">
        <is>
          <t xml:space="preserve">   اوقاف الزلفي مسجدالسلام .</t>
        </is>
      </c>
      <c r="B70" t="inlineStr">
        <is>
          <t>KFM2020660228126</t>
        </is>
      </c>
      <c r="C70" t="inlineStr">
        <is>
          <t>الزلفي</t>
        </is>
      </c>
      <c r="D70" t="inlineStr">
        <is>
          <t>كلا الفترتين</t>
        </is>
      </c>
      <c r="E70" t="n">
        <v>2682</v>
      </c>
      <c r="F70" t="b">
        <v>0</v>
      </c>
      <c r="G70">
        <f>HYPERLINK("https://www.google.com/maps/search/?api=1&amp;query=26.2966343,44.82333655", "View Map")</f>
        <v/>
      </c>
    </row>
    <row r="71">
      <c r="A71" t="inlineStr">
        <is>
          <t xml:space="preserve">   مسجدرقم(8)بحي التاهيل الشامل .</t>
        </is>
      </c>
      <c r="B71" t="inlineStr">
        <is>
          <t>KFM2020660200682</t>
        </is>
      </c>
      <c r="C71" t="inlineStr">
        <is>
          <t>شقراء</t>
        </is>
      </c>
      <c r="D71" t="inlineStr">
        <is>
          <t>كلا الفترتين</t>
        </is>
      </c>
      <c r="E71" t="n">
        <v>2673</v>
      </c>
      <c r="F71" t="b">
        <v>1</v>
      </c>
      <c r="G71">
        <f>HYPERLINK("https://www.google.com/maps/search/?api=1&amp;query=25.21629447,45.24448472", "View Map")</f>
        <v/>
      </c>
    </row>
    <row r="72">
      <c r="A72" t="inlineStr">
        <is>
          <t xml:space="preserve">   جامع بلدة غسله بالقرائن .</t>
        </is>
      </c>
      <c r="B72" t="inlineStr">
        <is>
          <t>KFM2120660270118</t>
        </is>
      </c>
      <c r="C72" t="inlineStr">
        <is>
          <t>شقراء</t>
        </is>
      </c>
      <c r="D72" t="inlineStr">
        <is>
          <t>كلا الفترتين</t>
        </is>
      </c>
      <c r="E72" t="n">
        <v>2631</v>
      </c>
      <c r="F72" t="b">
        <v>1</v>
      </c>
      <c r="G72">
        <f>HYPERLINK("https://www.google.com/maps/search/?api=1&amp;query=25.22149373,45.28953409", "View Map")</f>
        <v/>
      </c>
    </row>
    <row r="73">
      <c r="A73" t="inlineStr">
        <is>
          <t xml:space="preserve">   مسجد المنطقه الصناعيه .</t>
        </is>
      </c>
      <c r="B73" t="inlineStr">
        <is>
          <t>KFM2020660201584</t>
        </is>
      </c>
      <c r="C73" t="inlineStr">
        <is>
          <t>الزلفي</t>
        </is>
      </c>
      <c r="D73" t="inlineStr">
        <is>
          <t>كلا الفترتين</t>
        </is>
      </c>
      <c r="E73" t="n">
        <v>2576</v>
      </c>
      <c r="F73" t="b">
        <v>0</v>
      </c>
      <c r="G73">
        <f>HYPERLINK("https://www.google.com/maps/search/?api=1&amp;query=26.30351179,44.81387729", "View Map")</f>
        <v/>
      </c>
    </row>
    <row r="74">
      <c r="A74" t="inlineStr">
        <is>
          <t xml:space="preserve">   مسجد      هجره      غالب ماجد .</t>
        </is>
      </c>
      <c r="B74" t="inlineStr">
        <is>
          <t>KFM2120660267491</t>
        </is>
      </c>
      <c r="C74" t="inlineStr">
        <is>
          <t>مرات</t>
        </is>
      </c>
      <c r="D74" t="inlineStr">
        <is>
          <t>كلا الفترتين</t>
        </is>
      </c>
      <c r="E74" t="n">
        <v>2563</v>
      </c>
      <c r="F74" t="b">
        <v>1</v>
      </c>
      <c r="G74">
        <f>HYPERLINK("https://www.google.com/maps/search/?api=1&amp;query=24.45302377,45.37580045", "View Map")</f>
        <v/>
      </c>
    </row>
    <row r="75">
      <c r="A75" t="inlineStr">
        <is>
          <t>ﻓﺭﻉ ﺍﻻﻭﻗﺎﻑ ﺒﺤﻭﻁﻩ ﺴﺩﻴﺭ .</t>
        </is>
      </c>
      <c r="B75" t="inlineStr">
        <is>
          <t>SMR2420761037999</t>
        </is>
      </c>
      <c r="C75" t="inlineStr">
        <is>
          <t>المجمعة</t>
        </is>
      </c>
      <c r="D75" t="inlineStr">
        <is>
          <t>كلا الفترتين</t>
        </is>
      </c>
      <c r="E75" t="n">
        <v>2551</v>
      </c>
      <c r="F75" t="b">
        <v>0</v>
      </c>
      <c r="G75">
        <f>HYPERLINK("https://www.google.com/maps/search/?api=1&amp;query=25.70068353,45.46803088", "View Map")</f>
        <v/>
      </c>
    </row>
    <row r="76">
      <c r="A76" t="inlineStr">
        <is>
          <t xml:space="preserve">   جامع علقه(عثمان بن مضعون) .</t>
        </is>
      </c>
      <c r="B76" t="inlineStr">
        <is>
          <t>KFM2020660209929</t>
        </is>
      </c>
      <c r="C76" t="inlineStr">
        <is>
          <t>الزلفي</t>
        </is>
      </c>
      <c r="D76" t="inlineStr">
        <is>
          <t>كلا الفترتين</t>
        </is>
      </c>
      <c r="E76" t="n">
        <v>2543</v>
      </c>
      <c r="F76" t="b">
        <v>0</v>
      </c>
      <c r="G76">
        <f>HYPERLINK("https://www.google.com/maps/search/?api=1&amp;query=26.32825168,44.7907369", "View Map")</f>
        <v/>
      </c>
    </row>
    <row r="77">
      <c r="A77" t="inlineStr">
        <is>
          <t>ﻓﺭﻉ ﺍﻻﻭﻗﺎﻑ ﻭﺍﻟﻤﺴﺎﺠﺩ .</t>
        </is>
      </c>
      <c r="B77" t="inlineStr">
        <is>
          <t>SMR2320661030362</t>
        </is>
      </c>
      <c r="C77" t="inlineStr">
        <is>
          <t>ثادق</t>
        </is>
      </c>
      <c r="D77" t="inlineStr">
        <is>
          <t>كلا الفترتين</t>
        </is>
      </c>
      <c r="E77" t="n">
        <v>2527</v>
      </c>
      <c r="F77" t="b">
        <v>1</v>
      </c>
      <c r="G77">
        <f>HYPERLINK("https://www.google.com/maps/search/?api=1&amp;query=25.21279172,45.86798379", "View Map")</f>
        <v/>
      </c>
    </row>
    <row r="78">
      <c r="A78" t="inlineStr">
        <is>
          <t xml:space="preserve">   اوقاف الزلفي مسجدمحمدالمقحم .</t>
        </is>
      </c>
      <c r="B78" t="inlineStr">
        <is>
          <t>KFM2020766158115</t>
        </is>
      </c>
      <c r="C78" t="inlineStr">
        <is>
          <t>الزلفي</t>
        </is>
      </c>
      <c r="D78" t="inlineStr">
        <is>
          <t>كلا الفترتين</t>
        </is>
      </c>
      <c r="E78" t="n">
        <v>2520</v>
      </c>
      <c r="F78" t="b">
        <v>0</v>
      </c>
      <c r="G78">
        <f>HYPERLINK("https://www.google.com/maps/search/?api=1&amp;query=26.28250759,44.83357734", "View Map")</f>
        <v/>
      </c>
    </row>
    <row r="79">
      <c r="A79" t="inlineStr">
        <is>
          <t xml:space="preserve">      اوقاف الزلفى مسجد حى رقم 11 .</t>
        </is>
      </c>
      <c r="B79" t="inlineStr">
        <is>
          <t>KFM2020760145495</t>
        </is>
      </c>
      <c r="C79" t="inlineStr">
        <is>
          <t>الزلفي</t>
        </is>
      </c>
      <c r="D79" t="inlineStr">
        <is>
          <t>كلا الفترتين</t>
        </is>
      </c>
      <c r="E79" t="n">
        <v>2482</v>
      </c>
      <c r="F79" t="b">
        <v>0</v>
      </c>
      <c r="G79">
        <f>HYPERLINK("https://www.google.com/maps/search/?api=1&amp;query=26.30339905,44.81865632", "View Map")</f>
        <v/>
      </c>
    </row>
    <row r="80">
      <c r="A80" t="inlineStr">
        <is>
          <t>ﺍﺩﺍﺭﻩ ﺍﻻﻭﻗﺎﻑ ﻭﺍﻟﻤﺴﺎﺠﺩ .</t>
        </is>
      </c>
      <c r="B80" t="inlineStr">
        <is>
          <t>SMR2420868000834</t>
        </is>
      </c>
      <c r="C80" t="inlineStr">
        <is>
          <t>حريملاء</t>
        </is>
      </c>
      <c r="D80" t="inlineStr">
        <is>
          <t>كلا الفترتين</t>
        </is>
      </c>
      <c r="E80" t="n">
        <v>2474</v>
      </c>
      <c r="F80" t="b">
        <v>1</v>
      </c>
      <c r="G80">
        <f>HYPERLINK("https://www.google.com/maps/search/?api=1&amp;query=25.08864854,46.26075928", "View Map")</f>
        <v/>
      </c>
    </row>
    <row r="81">
      <c r="A81" t="inlineStr">
        <is>
          <t>ﺍﻭﻗﺎﻑ ﻭﻤﺴﺎﺠﺩ ( ) .</t>
        </is>
      </c>
      <c r="B81" t="inlineStr">
        <is>
          <t>KFM2020660150131</t>
        </is>
      </c>
      <c r="C81" t="inlineStr">
        <is>
          <t>الزلفي</t>
        </is>
      </c>
      <c r="D81" t="inlineStr">
        <is>
          <t>كلا الفترتين</t>
        </is>
      </c>
      <c r="E81" t="n">
        <v>2465</v>
      </c>
      <c r="F81" t="b">
        <v>0</v>
      </c>
      <c r="G81">
        <f>HYPERLINK("https://www.google.com/maps/search/?api=1&amp;query=26.32287771,44.80793044", "View Map")</f>
        <v/>
      </c>
    </row>
    <row r="82">
      <c r="A82" t="inlineStr">
        <is>
          <t xml:space="preserve">   مسجد الوقف الثانى .</t>
        </is>
      </c>
      <c r="B82" t="inlineStr">
        <is>
          <t>KFM2020660200662</t>
        </is>
      </c>
      <c r="C82" t="inlineStr">
        <is>
          <t>شقراء</t>
        </is>
      </c>
      <c r="D82" t="inlineStr">
        <is>
          <t>كلا الفترتين</t>
        </is>
      </c>
      <c r="E82" t="n">
        <v>2455</v>
      </c>
      <c r="F82" t="b">
        <v>1</v>
      </c>
      <c r="G82">
        <f>HYPERLINK("https://www.google.com/maps/search/?api=1&amp;query=25.22128746,45.27561947", "View Map")</f>
        <v/>
      </c>
    </row>
    <row r="83">
      <c r="A83" t="inlineStr">
        <is>
          <t xml:space="preserve">    مسجد الشافعى بعودة سدير/الزامل .</t>
        </is>
      </c>
      <c r="B83" t="inlineStr">
        <is>
          <t>KFM2020660210590</t>
        </is>
      </c>
      <c r="C83" t="inlineStr">
        <is>
          <t>المجمعة</t>
        </is>
      </c>
      <c r="D83" t="inlineStr">
        <is>
          <t>كلا الفترتين</t>
        </is>
      </c>
      <c r="E83" t="n">
        <v>2450</v>
      </c>
      <c r="F83" t="b">
        <v>1</v>
      </c>
      <c r="G83">
        <f>HYPERLINK("https://www.google.com/maps/search/?api=1&amp;query=25.55412988,45.68961791", "View Map")</f>
        <v/>
      </c>
    </row>
    <row r="84">
      <c r="A84" t="inlineStr">
        <is>
          <t>وقاف ومساجد الزلفي مسجدمحمدالمنصور .</t>
        </is>
      </c>
      <c r="B84" t="inlineStr">
        <is>
          <t>KFM2120660280279</t>
        </is>
      </c>
      <c r="C84" t="inlineStr">
        <is>
          <t>الزلفي</t>
        </is>
      </c>
      <c r="D84" t="inlineStr">
        <is>
          <t>كلا الفترتين</t>
        </is>
      </c>
      <c r="E84" t="n">
        <v>2448</v>
      </c>
      <c r="F84" t="b">
        <v>1</v>
      </c>
      <c r="G84">
        <f>HYPERLINK("https://www.google.com/maps/search/?api=1&amp;query=26.33404486,44.81111048", "View Map")</f>
        <v/>
      </c>
    </row>
    <row r="85">
      <c r="A85" t="inlineStr">
        <is>
          <t xml:space="preserve">   الاوقاف والمساجدمسجدالدريبي السلام .</t>
        </is>
      </c>
      <c r="B85" t="inlineStr">
        <is>
          <t>KFM2020660150136</t>
        </is>
      </c>
      <c r="C85" t="inlineStr">
        <is>
          <t>الزلفي</t>
        </is>
      </c>
      <c r="D85" t="inlineStr">
        <is>
          <t>كلا الفترتين</t>
        </is>
      </c>
      <c r="E85" t="n">
        <v>2434</v>
      </c>
      <c r="F85" t="b">
        <v>1</v>
      </c>
      <c r="G85">
        <f>HYPERLINK("https://www.google.com/maps/search/?api=1&amp;query=26.32463034,44.82753967", "View Map")</f>
        <v/>
      </c>
    </row>
    <row r="86">
      <c r="A86" t="inlineStr">
        <is>
          <t>ﺃﻭﻗﺎﻑ ﻭﻤﺴﺎﺠﺩ ﺍﻟﻭﺸﻡ .</t>
        </is>
      </c>
      <c r="B86" t="inlineStr">
        <is>
          <t>KFM2020760144578</t>
        </is>
      </c>
      <c r="C86" t="inlineStr">
        <is>
          <t>شقراء</t>
        </is>
      </c>
      <c r="D86" t="inlineStr">
        <is>
          <t>كلا الفترتين</t>
        </is>
      </c>
      <c r="E86" t="n">
        <v>2432</v>
      </c>
      <c r="F86" t="b">
        <v>0</v>
      </c>
      <c r="G86">
        <f>HYPERLINK("https://www.google.com/maps/search/?api=1&amp;query=25.24233958,45.24204342", "View Map")</f>
        <v/>
      </c>
    </row>
    <row r="87">
      <c r="A87" t="inlineStr">
        <is>
          <t xml:space="preserve">            مسجد  حمد  الدهش رقم3 .</t>
        </is>
      </c>
      <c r="B87" t="inlineStr">
        <is>
          <t>KFM2120660241095</t>
        </is>
      </c>
      <c r="C87" t="inlineStr">
        <is>
          <t>المجمعة</t>
        </is>
      </c>
      <c r="D87" t="inlineStr">
        <is>
          <t>كلا الفترتين</t>
        </is>
      </c>
      <c r="E87" t="n">
        <v>2420</v>
      </c>
      <c r="F87" t="b">
        <v>0</v>
      </c>
      <c r="G87">
        <f>HYPERLINK("https://www.google.com/maps/search/?api=1&amp;query=25.90144723,45.37425095", "View Map")</f>
        <v/>
      </c>
    </row>
    <row r="88">
      <c r="A88" t="inlineStr">
        <is>
          <t xml:space="preserve">   مسجد حى المستشفي بتمير .</t>
        </is>
      </c>
      <c r="B88" t="inlineStr">
        <is>
          <t>KFM2020766154357</t>
        </is>
      </c>
      <c r="C88" t="inlineStr">
        <is>
          <t>المجمعة</t>
        </is>
      </c>
      <c r="D88" t="inlineStr">
        <is>
          <t>كلا الفترتين</t>
        </is>
      </c>
      <c r="E88" t="n">
        <v>2380</v>
      </c>
      <c r="F88" t="b">
        <v>1</v>
      </c>
      <c r="G88">
        <f>HYPERLINK("https://www.google.com/maps/search/?api=1&amp;query=25.69664192,45.88027634", "View Map")</f>
        <v/>
      </c>
    </row>
    <row r="89">
      <c r="A89" t="inlineStr">
        <is>
          <t xml:space="preserve">   مسجد سمنان .</t>
        </is>
      </c>
      <c r="B89" t="inlineStr">
        <is>
          <t>KFM2020660134532</t>
        </is>
      </c>
      <c r="C89" t="inlineStr">
        <is>
          <t>الزلفي</t>
        </is>
      </c>
      <c r="D89" t="inlineStr">
        <is>
          <t>كلا الفترتين</t>
        </is>
      </c>
      <c r="E89" t="n">
        <v>2369</v>
      </c>
      <c r="F89" t="b">
        <v>0</v>
      </c>
      <c r="G89">
        <f>HYPERLINK("https://www.google.com/maps/search/?api=1&amp;query=26.28043756,44.85890983", "View Map")</f>
        <v/>
      </c>
    </row>
    <row r="90">
      <c r="A90" t="inlineStr">
        <is>
          <t xml:space="preserve">    مسجد  مخطط عشيره .</t>
        </is>
      </c>
      <c r="B90" t="inlineStr">
        <is>
          <t>KFM2020660210659</t>
        </is>
      </c>
      <c r="C90" t="inlineStr">
        <is>
          <t>المجمعة</t>
        </is>
      </c>
      <c r="D90" t="inlineStr">
        <is>
          <t>كلا الفترتين</t>
        </is>
      </c>
      <c r="E90" t="n">
        <v>2349</v>
      </c>
      <c r="F90" t="b">
        <v>1</v>
      </c>
      <c r="G90">
        <f>HYPERLINK("https://www.google.com/maps/search/?api=1&amp;query=25.5925548,45.79608624", "View Map")</f>
        <v/>
      </c>
    </row>
    <row r="91">
      <c r="A91" t="inlineStr">
        <is>
          <t xml:space="preserve">   مسجد الجامع القديم بروضة سدير .</t>
        </is>
      </c>
      <c r="B91" t="inlineStr">
        <is>
          <t>KFM2020660211590</t>
        </is>
      </c>
      <c r="C91" t="inlineStr">
        <is>
          <t>المجمعة</t>
        </is>
      </c>
      <c r="D91" t="inlineStr">
        <is>
          <t>كلا الفترتين</t>
        </is>
      </c>
      <c r="E91" t="n">
        <v>2347</v>
      </c>
      <c r="F91" t="b">
        <v>0</v>
      </c>
      <c r="G91">
        <f>HYPERLINK("https://www.google.com/maps/search/?api=1&amp;query=25.61247508,45.56077342", "View Map")</f>
        <v/>
      </c>
    </row>
    <row r="92">
      <c r="A92" t="inlineStr">
        <is>
          <t>ﻓﺭﻉ ﺍﻻﻭﻗﺎﻑ ﺒﺤﻭﻁﻩ ﺴﺩﻴﺭ .</t>
        </is>
      </c>
      <c r="B92" t="inlineStr">
        <is>
          <t>KFM2120660284072</t>
        </is>
      </c>
      <c r="C92" t="inlineStr">
        <is>
          <t>المجمعة</t>
        </is>
      </c>
      <c r="D92" t="inlineStr">
        <is>
          <t>كلا الفترتين</t>
        </is>
      </c>
      <c r="E92" t="n">
        <v>2328</v>
      </c>
      <c r="F92" t="b">
        <v>0</v>
      </c>
      <c r="G92">
        <f>HYPERLINK("https://www.google.com/maps/search/?api=1&amp;query=25.70290708,45.45487016", "View Map")</f>
        <v/>
      </c>
    </row>
    <row r="93">
      <c r="A93" t="inlineStr">
        <is>
          <t xml:space="preserve">      مسجد الغزى .</t>
        </is>
      </c>
      <c r="B93" t="inlineStr">
        <is>
          <t>KFM2020660204033</t>
        </is>
      </c>
      <c r="C93" t="inlineStr">
        <is>
          <t>الزلفي</t>
        </is>
      </c>
      <c r="D93" t="inlineStr">
        <is>
          <t>كلا الفترتين</t>
        </is>
      </c>
      <c r="E93" t="n">
        <v>2321</v>
      </c>
      <c r="F93" t="b">
        <v>1</v>
      </c>
      <c r="G93">
        <f>HYPERLINK("https://www.google.com/maps/search/?api=1&amp;query=26.31126466,44.82186711", "View Map")</f>
        <v/>
      </c>
    </row>
    <row r="94">
      <c r="A94" t="inlineStr">
        <is>
          <t xml:space="preserve">   مسجد/احمد بن حنبل .</t>
        </is>
      </c>
      <c r="B94" t="inlineStr">
        <is>
          <t>KFM2020660228164</t>
        </is>
      </c>
      <c r="C94" t="inlineStr">
        <is>
          <t>الزلفي</t>
        </is>
      </c>
      <c r="D94" t="inlineStr">
        <is>
          <t>كلا الفترتين</t>
        </is>
      </c>
      <c r="E94" t="n">
        <v>2317</v>
      </c>
      <c r="F94" t="b">
        <v>1</v>
      </c>
      <c r="G94">
        <f>HYPERLINK("https://www.google.com/maps/search/?api=1&amp;query=26.30356816,44.83177173", "View Map")</f>
        <v/>
      </c>
    </row>
    <row r="95">
      <c r="A95" t="inlineStr">
        <is>
          <t>ﺍﺩﺍﺭﻩ ﺍﻻﻭﻗﺎﻑ ﻭﺍﻟﻤﺴﺎﺠﺩ .</t>
        </is>
      </c>
      <c r="B95" t="inlineStr">
        <is>
          <t>AEC2020830325430</t>
        </is>
      </c>
      <c r="C95" t="inlineStr">
        <is>
          <t>حريملاء</t>
        </is>
      </c>
      <c r="D95" t="inlineStr">
        <is>
          <t>كلا الفترتين</t>
        </is>
      </c>
      <c r="E95" t="n">
        <v>2308</v>
      </c>
      <c r="F95" t="b">
        <v>0</v>
      </c>
      <c r="G95">
        <f>HYPERLINK("https://www.google.com/maps/search/?api=1&amp;query=25.18007248,46.33793078", "View Map")</f>
        <v/>
      </c>
    </row>
    <row r="96">
      <c r="A96" t="inlineStr">
        <is>
          <t xml:space="preserve">   وزارة الحجوالأوقاف   م بن جرالله .</t>
        </is>
      </c>
      <c r="B96" t="inlineStr">
        <is>
          <t>KFM2120660250913</t>
        </is>
      </c>
      <c r="C96" t="inlineStr">
        <is>
          <t>ثادق</t>
        </is>
      </c>
      <c r="D96" t="inlineStr">
        <is>
          <t>كلا الفترتين</t>
        </is>
      </c>
      <c r="E96" t="n">
        <v>2306</v>
      </c>
      <c r="F96" t="b">
        <v>1</v>
      </c>
      <c r="G96">
        <f>HYPERLINK("https://www.google.com/maps/search/?api=1&amp;query=25.28549154,45.86457047", "View Map")</f>
        <v/>
      </c>
    </row>
    <row r="97">
      <c r="A97" t="inlineStr">
        <is>
          <t xml:space="preserve">   مسجد      الجامع    سدير .</t>
        </is>
      </c>
      <c r="B97" t="inlineStr">
        <is>
          <t>KFM2020660210598</t>
        </is>
      </c>
      <c r="C97" t="inlineStr">
        <is>
          <t>المجمعة</t>
        </is>
      </c>
      <c r="D97" t="inlineStr">
        <is>
          <t>كلا الفترتين</t>
        </is>
      </c>
      <c r="E97" t="n">
        <v>2288</v>
      </c>
      <c r="F97" t="b">
        <v>0</v>
      </c>
      <c r="G97">
        <f>HYPERLINK("https://www.google.com/maps/search/?api=1&amp;query=25.59043713,45.61216448", "View Map")</f>
        <v/>
      </c>
    </row>
    <row r="98">
      <c r="A98" t="inlineStr">
        <is>
          <t>جامع ناصر السهو ( عشيرة ) .</t>
        </is>
      </c>
      <c r="B98" t="inlineStr">
        <is>
          <t>KFM2020660150034</t>
        </is>
      </c>
      <c r="C98" t="inlineStr">
        <is>
          <t>المجمعة</t>
        </is>
      </c>
      <c r="D98" t="inlineStr">
        <is>
          <t>كلا الفترتين</t>
        </is>
      </c>
      <c r="E98" t="n">
        <v>2287</v>
      </c>
      <c r="F98" t="b">
        <v>1</v>
      </c>
      <c r="G98">
        <f>HYPERLINK("https://www.google.com/maps/search/?api=1&amp;query=25.59876062,45.8003712", "View Map")</f>
        <v/>
      </c>
    </row>
    <row r="99">
      <c r="A99" t="inlineStr">
        <is>
          <t xml:space="preserve">   مسجدالعصيمي .</t>
        </is>
      </c>
      <c r="B99" t="inlineStr">
        <is>
          <t>KFM2120660262436</t>
        </is>
      </c>
      <c r="C99" t="inlineStr">
        <is>
          <t>الزلفي</t>
        </is>
      </c>
      <c r="D99" t="inlineStr">
        <is>
          <t>كلا الفترتين</t>
        </is>
      </c>
      <c r="E99" t="n">
        <v>2281</v>
      </c>
      <c r="F99" t="b">
        <v>1</v>
      </c>
      <c r="G99">
        <f>HYPERLINK("https://www.google.com/maps/search/?api=1&amp;query=26.29322262,44.80613686", "View Map")</f>
        <v/>
      </c>
    </row>
    <row r="100">
      <c r="A100" t="inlineStr">
        <is>
          <t xml:space="preserve">   مسجد ابو عتيق .</t>
        </is>
      </c>
      <c r="B100" t="inlineStr">
        <is>
          <t>KFM2020660188229</t>
        </is>
      </c>
      <c r="C100" t="inlineStr">
        <is>
          <t>الزلفي</t>
        </is>
      </c>
      <c r="D100" t="inlineStr">
        <is>
          <t>كلا الفترتين</t>
        </is>
      </c>
      <c r="E100" t="n">
        <v>2281</v>
      </c>
      <c r="F100" t="b">
        <v>1</v>
      </c>
      <c r="G100">
        <f>HYPERLINK("https://www.google.com/maps/search/?api=1&amp;query=26.29795131,44.80020247", "View Map")</f>
        <v/>
      </c>
    </row>
    <row r="101">
      <c r="A101" t="inlineStr">
        <is>
          <t xml:space="preserve">   مسجدالغربي بحريملاء .</t>
        </is>
      </c>
      <c r="B101" t="inlineStr">
        <is>
          <t>KFM2020760207758</t>
        </is>
      </c>
      <c r="C101" t="inlineStr">
        <is>
          <t>حريملاء</t>
        </is>
      </c>
      <c r="D101" t="inlineStr">
        <is>
          <t>كلا الفترتين</t>
        </is>
      </c>
      <c r="E101" t="n">
        <v>2277</v>
      </c>
      <c r="F101" t="b">
        <v>0</v>
      </c>
      <c r="G101">
        <f>HYPERLINK("https://www.google.com/maps/search/?api=1&amp;query=25.10456961,46.08982338", "View Map")</f>
        <v/>
      </c>
    </row>
    <row r="102">
      <c r="A102" t="inlineStr">
        <is>
          <t xml:space="preserve">   مسجد صلا ح الدين .</t>
        </is>
      </c>
      <c r="B102" t="inlineStr">
        <is>
          <t>KFM2020660160385</t>
        </is>
      </c>
      <c r="C102" t="inlineStr">
        <is>
          <t>الزلفي</t>
        </is>
      </c>
      <c r="D102" t="inlineStr">
        <is>
          <t>كلا الفترتين</t>
        </is>
      </c>
      <c r="E102" t="n">
        <v>2242</v>
      </c>
      <c r="F102" t="b">
        <v>1</v>
      </c>
      <c r="G102">
        <f>HYPERLINK("https://www.google.com/maps/search/?api=1&amp;query=26.3075785,44.80468752", "View Map")</f>
        <v/>
      </c>
    </row>
    <row r="103">
      <c r="A103" t="inlineStr">
        <is>
          <t xml:space="preserve">   مسجد      الشيخ     الصالح بالحز .</t>
        </is>
      </c>
      <c r="B103" t="inlineStr">
        <is>
          <t>KFM2020660191220</t>
        </is>
      </c>
      <c r="C103" t="inlineStr">
        <is>
          <t>حريملاء</t>
        </is>
      </c>
      <c r="D103" t="inlineStr">
        <is>
          <t>كلا الفترتين</t>
        </is>
      </c>
      <c r="E103" t="n">
        <v>2225</v>
      </c>
      <c r="F103" t="b">
        <v>1</v>
      </c>
      <c r="G103">
        <f>HYPERLINK("https://www.google.com/maps/search/?api=1&amp;query=25.11293994,46.10214085", "View Map")</f>
        <v/>
      </c>
    </row>
    <row r="104">
      <c r="A104" t="inlineStr">
        <is>
          <t xml:space="preserve">  FRI. MOSQUE  ا   المسجد الجامع بملهم .</t>
        </is>
      </c>
      <c r="B104" t="inlineStr">
        <is>
          <t>KFM2120660244139</t>
        </is>
      </c>
      <c r="C104" t="inlineStr">
        <is>
          <t>حريملاء</t>
        </is>
      </c>
      <c r="D104" t="inlineStr">
        <is>
          <t>كلا الفترتين</t>
        </is>
      </c>
      <c r="E104" t="n">
        <v>2224</v>
      </c>
      <c r="F104" t="b">
        <v>0</v>
      </c>
      <c r="G104">
        <f>HYPERLINK("https://www.google.com/maps/search/?api=1&amp;query=25.16750577,46.32772719", "View Map")</f>
        <v/>
      </c>
    </row>
    <row r="105">
      <c r="A105" t="inlineStr">
        <is>
          <t xml:space="preserve">      مسجد بن عمار بالحزم .</t>
        </is>
      </c>
      <c r="B105" t="inlineStr">
        <is>
          <t>KFM2020760160112</t>
        </is>
      </c>
      <c r="C105" t="inlineStr">
        <is>
          <t>حريملاء</t>
        </is>
      </c>
      <c r="D105" t="inlineStr">
        <is>
          <t>كلا الفترتين</t>
        </is>
      </c>
      <c r="E105" t="n">
        <v>2199</v>
      </c>
      <c r="F105" t="b">
        <v>1</v>
      </c>
      <c r="G105">
        <f>HYPERLINK("https://www.google.com/maps/search/?api=1&amp;query=25.10840808,46.1022231", "View Map")</f>
        <v/>
      </c>
    </row>
    <row r="106">
      <c r="A106" t="inlineStr">
        <is>
          <t xml:space="preserve">   مسجد العليويه .</t>
        </is>
      </c>
      <c r="B106" t="inlineStr">
        <is>
          <t>KFM2020660153954</t>
        </is>
      </c>
      <c r="C106" t="inlineStr">
        <is>
          <t>الزلفي</t>
        </is>
      </c>
      <c r="D106" t="inlineStr">
        <is>
          <t>كلا الفترتين</t>
        </is>
      </c>
      <c r="E106" t="n">
        <v>2193</v>
      </c>
      <c r="F106" t="b">
        <v>1</v>
      </c>
      <c r="G106">
        <f>HYPERLINK("https://www.google.com/maps/search/?api=1&amp;query=26.29669067,44.79880356", "View Map")</f>
        <v/>
      </c>
    </row>
    <row r="107">
      <c r="A107" t="inlineStr">
        <is>
          <t>ﺍﻭﻗﺎﻑ ﻭﻤﺴﺎﺠﺩ ( ) .</t>
        </is>
      </c>
      <c r="B107" t="inlineStr">
        <is>
          <t>KFM2120660284386</t>
        </is>
      </c>
      <c r="C107" t="inlineStr">
        <is>
          <t>الزلفي</t>
        </is>
      </c>
      <c r="D107" t="inlineStr">
        <is>
          <t>كلا الفترتين</t>
        </is>
      </c>
      <c r="E107" t="n">
        <v>2185</v>
      </c>
      <c r="F107" t="b">
        <v>0</v>
      </c>
      <c r="G107">
        <f>HYPERLINK("https://www.google.com/maps/search/?api=1&amp;query=26.29491889,44.81955464", "View Map")</f>
        <v/>
      </c>
    </row>
    <row r="108">
      <c r="A108" t="inlineStr">
        <is>
          <t xml:space="preserve">   مسجدجعفربن ابي طالب .</t>
        </is>
      </c>
      <c r="B108" t="inlineStr">
        <is>
          <t>KFM2020766161997</t>
        </is>
      </c>
      <c r="C108" t="inlineStr">
        <is>
          <t>الزلفي</t>
        </is>
      </c>
      <c r="D108" t="inlineStr">
        <is>
          <t>كلا الفترتين</t>
        </is>
      </c>
      <c r="E108" t="n">
        <v>2160</v>
      </c>
      <c r="F108" t="b">
        <v>1</v>
      </c>
      <c r="G108">
        <f>HYPERLINK("https://www.google.com/maps/search/?api=1&amp;query=26.30122471,44.83176274", "View Map")</f>
        <v/>
      </c>
    </row>
    <row r="109">
      <c r="A109" t="inlineStr">
        <is>
          <t xml:space="preserve">      مسجد المخطط الشمالى .</t>
        </is>
      </c>
      <c r="B109" t="inlineStr">
        <is>
          <t>KFM2120660279084</t>
        </is>
      </c>
      <c r="C109" t="inlineStr">
        <is>
          <t>المجمعة</t>
        </is>
      </c>
      <c r="D109" t="inlineStr">
        <is>
          <t>كلا الفترتين</t>
        </is>
      </c>
      <c r="E109" t="n">
        <v>2156</v>
      </c>
      <c r="F109" t="b">
        <v>0</v>
      </c>
      <c r="G109">
        <f>HYPERLINK("https://www.google.com/maps/search/?api=1&amp;query=25.61805656,45.55171753", "View Map")</f>
        <v/>
      </c>
    </row>
    <row r="110">
      <c r="A110" t="inlineStr">
        <is>
          <t xml:space="preserve">         مسجد سوق الخضار .</t>
        </is>
      </c>
      <c r="B110" t="inlineStr">
        <is>
          <t>KFM2020760057807</t>
        </is>
      </c>
      <c r="C110" t="inlineStr">
        <is>
          <t>المجمعة</t>
        </is>
      </c>
      <c r="D110" t="inlineStr">
        <is>
          <t>كلا الفترتين</t>
        </is>
      </c>
      <c r="E110" t="n">
        <v>2151</v>
      </c>
      <c r="F110" t="b">
        <v>0</v>
      </c>
      <c r="G110">
        <f>HYPERLINK("https://www.google.com/maps/search/?api=1&amp;query=25.677163,45.45241771", "View Map")</f>
        <v/>
      </c>
    </row>
    <row r="111">
      <c r="A111" t="inlineStr">
        <is>
          <t xml:space="preserve">   مسجد      محمد      الداود .</t>
        </is>
      </c>
      <c r="B111" t="inlineStr">
        <is>
          <t>KFM2120660236129</t>
        </is>
      </c>
      <c r="C111" t="inlineStr">
        <is>
          <t>الزلفي</t>
        </is>
      </c>
      <c r="D111" t="inlineStr">
        <is>
          <t>كلا الفترتين</t>
        </is>
      </c>
      <c r="E111" t="n">
        <v>2142</v>
      </c>
      <c r="F111" t="b">
        <v>1</v>
      </c>
      <c r="G111">
        <f>HYPERLINK("https://www.google.com/maps/search/?api=1&amp;query=26.31571149,44.8013907", "View Map")</f>
        <v/>
      </c>
    </row>
    <row r="112">
      <c r="A112" t="inlineStr">
        <is>
          <t xml:space="preserve">     مسجد جامع الشعيبه بجلاجل .</t>
        </is>
      </c>
      <c r="B112" t="inlineStr">
        <is>
          <t>KFM2120660270197</t>
        </is>
      </c>
      <c r="C112" t="inlineStr">
        <is>
          <t>المجمعة</t>
        </is>
      </c>
      <c r="D112" t="inlineStr">
        <is>
          <t>كلا الفترتين</t>
        </is>
      </c>
      <c r="E112" t="n">
        <v>2123</v>
      </c>
      <c r="F112" t="b">
        <v>1</v>
      </c>
      <c r="G112">
        <f>HYPERLINK("https://www.google.com/maps/search/?api=1&amp;query=25.67378258,45.45701651", "View Map")</f>
        <v/>
      </c>
    </row>
    <row r="113">
      <c r="A113" t="inlineStr">
        <is>
          <t xml:space="preserve">    مسجدحىرقم18مطارشمالىبنيدرالعتيبى .</t>
        </is>
      </c>
      <c r="B113" t="inlineStr">
        <is>
          <t>KFM2020660150138</t>
        </is>
      </c>
      <c r="C113" t="inlineStr">
        <is>
          <t>الزلفي</t>
        </is>
      </c>
      <c r="D113" t="inlineStr">
        <is>
          <t>كلا الفترتين</t>
        </is>
      </c>
      <c r="E113" t="n">
        <v>2119</v>
      </c>
      <c r="F113" t="b">
        <v>1</v>
      </c>
      <c r="G113">
        <f>HYPERLINK("https://www.google.com/maps/search/?api=1&amp;query=26.31639593,44.81199981", "View Map")</f>
        <v/>
      </c>
    </row>
    <row r="114">
      <c r="A114" t="inlineStr">
        <is>
          <t xml:space="preserve">   مسجد الطرفيه .</t>
        </is>
      </c>
      <c r="B114" t="inlineStr">
        <is>
          <t>ECC2020811047005</t>
        </is>
      </c>
      <c r="C114" t="inlineStr">
        <is>
          <t>حريملاء</t>
        </is>
      </c>
      <c r="D114" t="inlineStr">
        <is>
          <t>كلا الفترتين</t>
        </is>
      </c>
      <c r="E114" t="n">
        <v>2118</v>
      </c>
      <c r="F114" t="b">
        <v>0</v>
      </c>
      <c r="G114">
        <f>HYPERLINK("https://www.google.com/maps/search/?api=1&amp;query=25.12851443,46.15759525", "View Map")</f>
        <v/>
      </c>
    </row>
    <row r="115">
      <c r="A115" t="inlineStr">
        <is>
          <t xml:space="preserve">   اوقاف     حوطة      مسجد حى المد .</t>
        </is>
      </c>
      <c r="B115" t="inlineStr">
        <is>
          <t>KFM2020660150036</t>
        </is>
      </c>
      <c r="C115" t="inlineStr">
        <is>
          <t>المجمعة</t>
        </is>
      </c>
      <c r="D115" t="inlineStr">
        <is>
          <t>كلا الفترتين</t>
        </is>
      </c>
      <c r="E115" t="n">
        <v>2106</v>
      </c>
      <c r="F115" t="b">
        <v>0</v>
      </c>
      <c r="G115">
        <f>HYPERLINK("https://www.google.com/maps/search/?api=1&amp;query=25.59169963,45.62010949", "View Map")</f>
        <v/>
      </c>
    </row>
    <row r="116">
      <c r="A116" t="inlineStr">
        <is>
          <t>مسجد أم المؤمنين خديجة بنت خويلد .</t>
        </is>
      </c>
      <c r="B116" t="inlineStr">
        <is>
          <t>KFM2020760131783</t>
        </is>
      </c>
      <c r="C116" t="inlineStr">
        <is>
          <t>المجمعة</t>
        </is>
      </c>
      <c r="D116" t="inlineStr">
        <is>
          <t>كلا الفترتين</t>
        </is>
      </c>
      <c r="E116" t="n">
        <v>2093</v>
      </c>
      <c r="F116" t="b">
        <v>0</v>
      </c>
      <c r="G116">
        <f>HYPERLINK("https://www.google.com/maps/search/?api=1&amp;query=25.94374896,45.36098204", "View Map")</f>
        <v/>
      </c>
    </row>
    <row r="117">
      <c r="A117" t="inlineStr">
        <is>
          <t xml:space="preserve">   مسجد/ زياد شحيبان .</t>
        </is>
      </c>
      <c r="B117" t="inlineStr">
        <is>
          <t>AES2120896571837</t>
        </is>
      </c>
      <c r="C117" t="inlineStr">
        <is>
          <t>المجمعة</t>
        </is>
      </c>
      <c r="D117" t="inlineStr">
        <is>
          <t>كلا الفترتين</t>
        </is>
      </c>
      <c r="E117" t="n">
        <v>2086</v>
      </c>
      <c r="F117" t="b">
        <v>0</v>
      </c>
      <c r="G117">
        <f>HYPERLINK("https://www.google.com/maps/search/?api=1&amp;query=26.46725887,45.35336951", "View Map")</f>
        <v/>
      </c>
    </row>
    <row r="118">
      <c r="A118" t="inlineStr">
        <is>
          <t xml:space="preserve">   مسجد/الاوزاعي .</t>
        </is>
      </c>
      <c r="B118" t="inlineStr">
        <is>
          <t>KFM2020660210459</t>
        </is>
      </c>
      <c r="C118" t="inlineStr">
        <is>
          <t>الزلفي</t>
        </is>
      </c>
      <c r="D118" t="inlineStr">
        <is>
          <t>كلا الفترتين</t>
        </is>
      </c>
      <c r="E118" t="n">
        <v>2085</v>
      </c>
      <c r="F118" t="b">
        <v>1</v>
      </c>
      <c r="G118">
        <f>HYPERLINK("https://www.google.com/maps/search/?api=1&amp;query=26.29270412,44.81956362", "View Map")</f>
        <v/>
      </c>
    </row>
    <row r="119">
      <c r="A119" t="inlineStr">
        <is>
          <t xml:space="preserve">   اوقاف الزلفي (مسجدالفضل العباس ) .</t>
        </is>
      </c>
      <c r="B119" t="inlineStr">
        <is>
          <t>AES2120896549574</t>
        </is>
      </c>
      <c r="C119" t="inlineStr">
        <is>
          <t>الزلفي</t>
        </is>
      </c>
      <c r="D119" t="inlineStr">
        <is>
          <t>كلا الفترتين</t>
        </is>
      </c>
      <c r="E119" t="n">
        <v>2083</v>
      </c>
      <c r="F119" t="b">
        <v>0</v>
      </c>
      <c r="G119">
        <f>HYPERLINK("https://www.google.com/maps/search/?api=1&amp;query=26.31676632,44.81740767", "View Map")</f>
        <v/>
      </c>
    </row>
    <row r="120">
      <c r="A120" t="inlineStr">
        <is>
          <t>ﺍﺩﺍﺭﻩ ﺍﻻﻭﻗﺎﻑ ﻭﺍﻟﻤﺴﺎﺠﺩ .</t>
        </is>
      </c>
      <c r="B120" t="inlineStr">
        <is>
          <t>KFM2020660190654</t>
        </is>
      </c>
      <c r="C120" t="inlineStr">
        <is>
          <t>حريملاء</t>
        </is>
      </c>
      <c r="D120" t="inlineStr">
        <is>
          <t>كلا الفترتين</t>
        </is>
      </c>
      <c r="E120" t="n">
        <v>2081</v>
      </c>
      <c r="F120" t="b">
        <v>1</v>
      </c>
      <c r="G120">
        <f>HYPERLINK("https://www.google.com/maps/search/?api=1&amp;query=25.12644658,46.08275716", "View Map")</f>
        <v/>
      </c>
    </row>
    <row r="121">
      <c r="A121" t="inlineStr">
        <is>
          <t xml:space="preserve">   مسجد  عبدالله العواد .</t>
        </is>
      </c>
      <c r="B121" t="inlineStr">
        <is>
          <t>KFM2120660251088</t>
        </is>
      </c>
      <c r="C121" t="inlineStr">
        <is>
          <t>الزلفي</t>
        </is>
      </c>
      <c r="D121" t="inlineStr">
        <is>
          <t>كلا الفترتين</t>
        </is>
      </c>
      <c r="E121" t="n">
        <v>2081</v>
      </c>
      <c r="F121" t="b">
        <v>0</v>
      </c>
      <c r="G121">
        <f>HYPERLINK("https://www.google.com/maps/search/?api=1&amp;query=26.29511218,44.81476662", "View Map")</f>
        <v/>
      </c>
    </row>
    <row r="122">
      <c r="A122" t="inlineStr">
        <is>
          <t xml:space="preserve">   مسجد المعتق .</t>
        </is>
      </c>
      <c r="B122" t="inlineStr">
        <is>
          <t>KFM2020766073457</t>
        </is>
      </c>
      <c r="C122" t="inlineStr">
        <is>
          <t>الزلفي</t>
        </is>
      </c>
      <c r="D122" t="inlineStr">
        <is>
          <t>كلا الفترتين</t>
        </is>
      </c>
      <c r="E122" t="n">
        <v>2069</v>
      </c>
      <c r="F122" t="b">
        <v>1</v>
      </c>
      <c r="G122">
        <f>HYPERLINK("https://www.google.com/maps/search/?api=1&amp;query=26.29904227,44.80084273", "View Map")</f>
        <v/>
      </c>
    </row>
    <row r="123">
      <c r="A123" t="inlineStr">
        <is>
          <t xml:space="preserve">     مسجد الظهره .</t>
        </is>
      </c>
      <c r="B123" t="inlineStr">
        <is>
          <t>KFM2020760184511</t>
        </is>
      </c>
      <c r="C123" t="inlineStr">
        <is>
          <t>حريملاء</t>
        </is>
      </c>
      <c r="D123" t="inlineStr">
        <is>
          <t>كلا الفترتين</t>
        </is>
      </c>
      <c r="E123" t="n">
        <v>2066</v>
      </c>
      <c r="F123" t="b">
        <v>1</v>
      </c>
      <c r="G123">
        <f>HYPERLINK("https://www.google.com/maps/search/?api=1&amp;query=25.10960103,46.09413001", "View Map")</f>
        <v/>
      </c>
    </row>
    <row r="124">
      <c r="A124" t="inlineStr">
        <is>
          <t>مسجد حبيب المطيري / 138 .</t>
        </is>
      </c>
      <c r="B124" t="inlineStr">
        <is>
          <t>KFM2020760135750</t>
        </is>
      </c>
      <c r="C124" t="inlineStr">
        <is>
          <t>المجمعة</t>
        </is>
      </c>
      <c r="D124" t="inlineStr">
        <is>
          <t>كلا الفترتين</t>
        </is>
      </c>
      <c r="E124" t="n">
        <v>2051</v>
      </c>
      <c r="F124" t="b">
        <v>0</v>
      </c>
      <c r="G124">
        <f>HYPERLINK("https://www.google.com/maps/search/?api=1&amp;query=25.91682055,45.37405376", "View Map")</f>
        <v/>
      </c>
    </row>
    <row r="125">
      <c r="A125" t="inlineStr">
        <is>
          <t xml:space="preserve">   مسجد معقره .</t>
        </is>
      </c>
      <c r="B125" t="inlineStr">
        <is>
          <t>KFM2020660060891</t>
        </is>
      </c>
      <c r="C125" t="inlineStr">
        <is>
          <t>الزلفي</t>
        </is>
      </c>
      <c r="D125" t="inlineStr">
        <is>
          <t>كلا الفترتين</t>
        </is>
      </c>
      <c r="E125" t="n">
        <v>2044</v>
      </c>
      <c r="F125" t="b">
        <v>0</v>
      </c>
      <c r="G125">
        <f>HYPERLINK("https://www.google.com/maps/search/?api=1&amp;query=26.38812117,44.72207058", "View Map")</f>
        <v/>
      </c>
    </row>
    <row r="126">
      <c r="A126" t="inlineStr">
        <is>
          <t xml:space="preserve">   مسجدرقم(3)في مخطط   بحريملاء .</t>
        </is>
      </c>
      <c r="B126" t="inlineStr">
        <is>
          <t>KFM2020760184567</t>
        </is>
      </c>
      <c r="C126" t="inlineStr">
        <is>
          <t>حريملاء</t>
        </is>
      </c>
      <c r="D126" t="inlineStr">
        <is>
          <t>كلا الفترتين</t>
        </is>
      </c>
      <c r="E126" t="n">
        <v>2043</v>
      </c>
      <c r="F126" t="b">
        <v>0</v>
      </c>
      <c r="G126">
        <f>HYPERLINK("https://www.google.com/maps/search/?api=1&amp;query=25.10823824,46.08976949", "View Map")</f>
        <v/>
      </c>
    </row>
    <row r="127">
      <c r="A127" t="inlineStr">
        <is>
          <t xml:space="preserve">       مسجد  رقم (58)  (1328) .</t>
        </is>
      </c>
      <c r="B127" t="inlineStr">
        <is>
          <t>ECC2020810847244</t>
        </is>
      </c>
      <c r="C127" t="inlineStr">
        <is>
          <t>المجمعة</t>
        </is>
      </c>
      <c r="D127" t="inlineStr">
        <is>
          <t>كلا الفترتين</t>
        </is>
      </c>
      <c r="E127" t="n">
        <v>2030</v>
      </c>
      <c r="F127" t="b">
        <v>0</v>
      </c>
      <c r="G127">
        <f>HYPERLINK("https://www.google.com/maps/search/?api=1&amp;query=25.92300578,45.38856551", "View Map")</f>
        <v/>
      </c>
    </row>
    <row r="128">
      <c r="A128" t="inlineStr">
        <is>
          <t>مسجد طارق بن زياد .</t>
        </is>
      </c>
      <c r="B128" t="inlineStr">
        <is>
          <t>KFM2020760005539</t>
        </is>
      </c>
      <c r="C128" t="inlineStr">
        <is>
          <t>المجمعة</t>
        </is>
      </c>
      <c r="D128" t="inlineStr">
        <is>
          <t>كلا الفترتين</t>
        </is>
      </c>
      <c r="E128" t="n">
        <v>2026</v>
      </c>
      <c r="F128" t="b">
        <v>0</v>
      </c>
      <c r="G128">
        <f>HYPERLINK("https://www.google.com/maps/search/?api=1&amp;query=25.90815276,45.36064766", "View Map")</f>
        <v/>
      </c>
    </row>
    <row r="129">
      <c r="A129" t="inlineStr">
        <is>
          <t xml:space="preserve">   مسجد      رقم (10 ) رقم(408 ) .</t>
        </is>
      </c>
      <c r="B129" t="inlineStr">
        <is>
          <t>KFM2020660208916</t>
        </is>
      </c>
      <c r="C129" t="inlineStr">
        <is>
          <t>حريملاء</t>
        </is>
      </c>
      <c r="D129" t="inlineStr">
        <is>
          <t>كلا الفترتين</t>
        </is>
      </c>
      <c r="E129" t="n">
        <v>2022</v>
      </c>
      <c r="F129" t="b">
        <v>0</v>
      </c>
      <c r="G129">
        <f>HYPERLINK("https://www.google.com/maps/search/?api=1&amp;query=25.16733503,46.33427591", "View Map")</f>
        <v/>
      </c>
    </row>
    <row r="130">
      <c r="A130" t="inlineStr">
        <is>
          <t xml:space="preserve">   مسجد صالح بن صالح الصالح 74 .</t>
        </is>
      </c>
      <c r="B130" t="inlineStr">
        <is>
          <t>KFM2020760227449</t>
        </is>
      </c>
      <c r="C130" t="inlineStr">
        <is>
          <t>المجمعة</t>
        </is>
      </c>
      <c r="D130" t="inlineStr">
        <is>
          <t>كلا الفترتين</t>
        </is>
      </c>
      <c r="E130" t="n">
        <v>2020</v>
      </c>
      <c r="F130" t="b">
        <v>0</v>
      </c>
      <c r="G130">
        <f>HYPERLINK("https://www.google.com/maps/search/?api=1&amp;query=25.91657669,45.35381858", "View Map")</f>
        <v/>
      </c>
    </row>
    <row r="131">
      <c r="A131" t="inlineStr">
        <is>
          <t>ﻤﻜﺘﺏ ﺍﻭﻗﺎﻑ ﺍﻟﻤﺠﻤﻌﻩ (ﺍﻟﻤﺴﺎﺠﺩ) .</t>
        </is>
      </c>
      <c r="B131" t="inlineStr">
        <is>
          <t>SMR2220661018311</t>
        </is>
      </c>
      <c r="C131" t="inlineStr">
        <is>
          <t>المجمعة</t>
        </is>
      </c>
      <c r="D131" t="inlineStr">
        <is>
          <t>كلا الفترتين</t>
        </is>
      </c>
      <c r="E131" t="n">
        <v>2011</v>
      </c>
      <c r="F131" t="b">
        <v>1</v>
      </c>
      <c r="G131">
        <f>HYPERLINK("https://www.google.com/maps/search/?api=1&amp;query=25.91078974,45.39940848", "View Map")</f>
        <v/>
      </c>
    </row>
    <row r="132">
      <c r="A132" t="inlineStr">
        <is>
          <t>جامع(الخريف)مسجد أحمد بن حنبل سابقا مرات .</t>
        </is>
      </c>
      <c r="B132" t="inlineStr">
        <is>
          <t>KFM2120660268897</t>
        </is>
      </c>
      <c r="C132" t="inlineStr">
        <is>
          <t>مرات</t>
        </is>
      </c>
      <c r="D132" t="inlineStr">
        <is>
          <t>كلا الفترتين</t>
        </is>
      </c>
      <c r="E132" t="n">
        <v>2011</v>
      </c>
      <c r="F132" t="b">
        <v>0</v>
      </c>
      <c r="G132">
        <f>HYPERLINK("https://www.google.com/maps/search/?api=1&amp;query=25.06959309,45.46355554", "View Map")</f>
        <v/>
      </c>
    </row>
    <row r="133">
      <c r="A133" t="inlineStr">
        <is>
          <t xml:space="preserve">      مسجد الدخل المحدود رقم 1 .</t>
        </is>
      </c>
      <c r="B133" t="inlineStr">
        <is>
          <t>KFM2020766128823</t>
        </is>
      </c>
      <c r="C133" t="inlineStr">
        <is>
          <t>المجمعة</t>
        </is>
      </c>
      <c r="D133" t="inlineStr">
        <is>
          <t>كلا الفترتين</t>
        </is>
      </c>
      <c r="E133" t="n">
        <v>2003</v>
      </c>
      <c r="F133" t="b">
        <v>0</v>
      </c>
      <c r="G133">
        <f>HYPERLINK("https://www.google.com/maps/search/?api=1&amp;query=25.60418032,45.61574046", "View Map")</f>
        <v/>
      </c>
    </row>
    <row r="134">
      <c r="A134" t="inlineStr">
        <is>
          <t xml:space="preserve">   جامع الرويضة .</t>
        </is>
      </c>
      <c r="B134" t="inlineStr">
        <is>
          <t>KFM2020760004931</t>
        </is>
      </c>
      <c r="C134" t="inlineStr">
        <is>
          <t>المجمعة</t>
        </is>
      </c>
      <c r="D134" t="inlineStr">
        <is>
          <t>كلا الفترتين</t>
        </is>
      </c>
      <c r="E134" t="n">
        <v>1999</v>
      </c>
      <c r="F134" t="b">
        <v>0</v>
      </c>
      <c r="G134">
        <f>HYPERLINK("https://www.google.com/maps/search/?api=1&amp;query=25.87491233,45.14135158", "View Map")</f>
        <v/>
      </c>
    </row>
    <row r="135">
      <c r="A135" t="inlineStr">
        <is>
          <t>ﺃﻭﻗﺎﻑ ﻭﻤﺴﺎﺠﺩ ﺍﻟﻭﺸﻡ .</t>
        </is>
      </c>
      <c r="B135" t="inlineStr">
        <is>
          <t>KFM2020660177617</t>
        </is>
      </c>
      <c r="C135" t="inlineStr">
        <is>
          <t>شقراء</t>
        </is>
      </c>
      <c r="D135" t="inlineStr">
        <is>
          <t>كلا الفترتين</t>
        </is>
      </c>
      <c r="E135" t="n">
        <v>1989</v>
      </c>
      <c r="F135" t="b">
        <v>1</v>
      </c>
      <c r="G135">
        <f>HYPERLINK("https://www.google.com/maps/search/?api=1&amp;query=25.23727226,45.26997706", "View Map")</f>
        <v/>
      </c>
    </row>
    <row r="136">
      <c r="A136" t="inlineStr">
        <is>
          <t xml:space="preserve">   جامع حي السبعين بالروضه .</t>
        </is>
      </c>
      <c r="B136" t="inlineStr">
        <is>
          <t>KFM2020660211553</t>
        </is>
      </c>
      <c r="C136" t="inlineStr">
        <is>
          <t>المجمعة</t>
        </is>
      </c>
      <c r="D136" t="inlineStr">
        <is>
          <t>كلا الفترتين</t>
        </is>
      </c>
      <c r="E136" t="n">
        <v>1989</v>
      </c>
      <c r="F136" t="b">
        <v>0</v>
      </c>
      <c r="G136">
        <f>HYPERLINK("https://www.google.com/maps/search/?api=1&amp;query=25.61805656,45.55171753", "View Map")</f>
        <v/>
      </c>
    </row>
    <row r="137">
      <c r="A137" t="inlineStr">
        <is>
          <t xml:space="preserve">   مسجد/محمد بن ابراهيم .</t>
        </is>
      </c>
      <c r="B137" t="inlineStr">
        <is>
          <t>KFM2020660160383</t>
        </is>
      </c>
      <c r="C137" t="inlineStr">
        <is>
          <t>الزلفي</t>
        </is>
      </c>
      <c r="D137" t="inlineStr">
        <is>
          <t>كلا الفترتين</t>
        </is>
      </c>
      <c r="E137" t="n">
        <v>1983</v>
      </c>
      <c r="F137" t="b">
        <v>0</v>
      </c>
      <c r="G137">
        <f>HYPERLINK("https://www.google.com/maps/search/?api=1&amp;query=26.29073093,44.83169088", "View Map")</f>
        <v/>
      </c>
    </row>
    <row r="138">
      <c r="A138" t="inlineStr">
        <is>
          <t xml:space="preserve">   مسجد      النايفه   ملهم صلبوخ .</t>
        </is>
      </c>
      <c r="B138" t="inlineStr">
        <is>
          <t>SMR2320661022934</t>
        </is>
      </c>
      <c r="C138" t="inlineStr">
        <is>
          <t>حريملاء</t>
        </is>
      </c>
      <c r="D138" t="inlineStr">
        <is>
          <t>كلا الفترتين</t>
        </is>
      </c>
      <c r="E138" t="n">
        <v>1969</v>
      </c>
      <c r="F138" t="b">
        <v>0</v>
      </c>
      <c r="G138">
        <f>HYPERLINK("https://www.google.com/maps/search/?api=1&amp;query=25.11742741,46.36196024", "View Map")</f>
        <v/>
      </c>
    </row>
    <row r="139">
      <c r="A139" t="inlineStr">
        <is>
          <t xml:space="preserve">      مـسـجـد العيد بثادق .</t>
        </is>
      </c>
      <c r="B139" t="inlineStr">
        <is>
          <t>ECC2020811085216</t>
        </is>
      </c>
      <c r="C139" t="inlineStr">
        <is>
          <t>ثادق</t>
        </is>
      </c>
      <c r="D139" t="inlineStr">
        <is>
          <t>مساءا</t>
        </is>
      </c>
      <c r="E139" t="n">
        <v>1965</v>
      </c>
      <c r="F139" t="b">
        <v>1</v>
      </c>
      <c r="G139">
        <f>HYPERLINK("https://www.google.com/maps/search/?api=1&amp;query=25.28436705,45.86242288", "View Map")</f>
        <v/>
      </c>
    </row>
    <row r="140">
      <c r="A140" t="inlineStr">
        <is>
          <t xml:space="preserve">      مسجدسلطان .</t>
        </is>
      </c>
      <c r="B140" t="inlineStr">
        <is>
          <t>AES2120896548001</t>
        </is>
      </c>
      <c r="C140" t="inlineStr">
        <is>
          <t>المجمعة</t>
        </is>
      </c>
      <c r="D140" t="inlineStr">
        <is>
          <t>كلا الفترتين</t>
        </is>
      </c>
      <c r="E140" t="n">
        <v>1964</v>
      </c>
      <c r="F140" t="b">
        <v>0</v>
      </c>
      <c r="G140">
        <f>HYPERLINK("https://www.google.com/maps/search/?api=1&amp;query=25.69840994,45.88300229", "View Map")</f>
        <v/>
      </c>
    </row>
    <row r="141">
      <c r="A141" t="inlineStr">
        <is>
          <t xml:space="preserve">   اوقاف الزلفي(مسجدالعبدالقادر) .</t>
        </is>
      </c>
      <c r="B141" t="inlineStr">
        <is>
          <t>KFM2020660210572</t>
        </is>
      </c>
      <c r="C141" t="inlineStr">
        <is>
          <t>الزلفي</t>
        </is>
      </c>
      <c r="D141" t="inlineStr">
        <is>
          <t>كلا الفترتين</t>
        </is>
      </c>
      <c r="E141" t="n">
        <v>1958</v>
      </c>
      <c r="F141" t="b">
        <v>0</v>
      </c>
      <c r="G141">
        <f>HYPERLINK("https://www.google.com/maps/search/?api=1&amp;query=26.31781309,44.82913966", "View Map")</f>
        <v/>
      </c>
    </row>
    <row r="142">
      <c r="A142" t="inlineStr">
        <is>
          <t xml:space="preserve">   مـسـجـدمـخـطـط الـجنـيفي .</t>
        </is>
      </c>
      <c r="B142" t="inlineStr">
        <is>
          <t>KFM2020766067733</t>
        </is>
      </c>
      <c r="C142" t="inlineStr">
        <is>
          <t>المجمعة</t>
        </is>
      </c>
      <c r="D142" t="inlineStr">
        <is>
          <t>كلا الفترتين</t>
        </is>
      </c>
      <c r="E142" t="n">
        <v>1951</v>
      </c>
      <c r="F142" t="b">
        <v>0</v>
      </c>
      <c r="G142">
        <f>HYPERLINK("https://www.google.com/maps/search/?api=1&amp;query=25.57531292,45.66060232", "View Map")</f>
        <v/>
      </c>
    </row>
    <row r="143">
      <c r="A143" t="inlineStr">
        <is>
          <t xml:space="preserve">   المسجد الجامع بمخطط القرينة 406 .</t>
        </is>
      </c>
      <c r="B143" t="inlineStr">
        <is>
          <t>KFM2120660244129</t>
        </is>
      </c>
      <c r="C143" t="inlineStr">
        <is>
          <t>حريملاء</t>
        </is>
      </c>
      <c r="D143" t="inlineStr">
        <is>
          <t>كلا الفترتين</t>
        </is>
      </c>
      <c r="E143" t="n">
        <v>1949</v>
      </c>
      <c r="F143" t="b">
        <v>0</v>
      </c>
      <c r="G143">
        <f>HYPERLINK("https://www.google.com/maps/search/?api=1&amp;query=25.10369069,46.19247544", "View Map")</f>
        <v/>
      </c>
    </row>
    <row r="144">
      <c r="A144" t="inlineStr">
        <is>
          <t xml:space="preserve">      مسجد الحى رقم 2 المطار .</t>
        </is>
      </c>
      <c r="B144" t="inlineStr">
        <is>
          <t>KFM2020766162067</t>
        </is>
      </c>
      <c r="C144" t="inlineStr">
        <is>
          <t>الزلفي</t>
        </is>
      </c>
      <c r="D144" t="inlineStr">
        <is>
          <t>كلا الفترتين</t>
        </is>
      </c>
      <c r="E144" t="n">
        <v>1948</v>
      </c>
      <c r="F144" t="b">
        <v>1</v>
      </c>
      <c r="G144">
        <f>HYPERLINK("https://www.google.com/maps/search/?api=1&amp;query=26.29852686,44.82937323", "View Map")</f>
        <v/>
      </c>
    </row>
    <row r="145">
      <c r="A145" t="inlineStr">
        <is>
          <t xml:space="preserve">   مسجد/دشنة .</t>
        </is>
      </c>
      <c r="B145" t="inlineStr">
        <is>
          <t>KFM2020766154310</t>
        </is>
      </c>
      <c r="C145" t="inlineStr">
        <is>
          <t>المجمعة</t>
        </is>
      </c>
      <c r="D145" t="inlineStr">
        <is>
          <t>كلا الفترتين</t>
        </is>
      </c>
      <c r="E145" t="n">
        <v>1942</v>
      </c>
      <c r="F145" t="b">
        <v>0</v>
      </c>
      <c r="G145">
        <f>HYPERLINK("https://www.google.com/maps/search/?api=1&amp;query=26.5125484,45.35437563", "View Map")</f>
        <v/>
      </c>
    </row>
    <row r="146">
      <c r="A146" t="inlineStr">
        <is>
          <t>ﺍﻭﻗﺎﻑ ﺍﻻﺭﻁﺎﻭﻴﺓ .</t>
        </is>
      </c>
      <c r="B146" t="inlineStr">
        <is>
          <t>KFM2020766162049</t>
        </is>
      </c>
      <c r="C146" t="inlineStr">
        <is>
          <t>المجمعة</t>
        </is>
      </c>
      <c r="D146" t="inlineStr">
        <is>
          <t>كلا الفترتين</t>
        </is>
      </c>
      <c r="E146" t="n">
        <v>1919</v>
      </c>
      <c r="F146" t="b">
        <v>0</v>
      </c>
      <c r="G146">
        <f>HYPERLINK("https://www.google.com/maps/search/?api=1&amp;query=26.4010734,45.10056563", "View Map")</f>
        <v/>
      </c>
    </row>
    <row r="147">
      <c r="A147" t="inlineStr">
        <is>
          <t xml:space="preserve">   مسجدعاصم بن قيس حي اليرموك .</t>
        </is>
      </c>
      <c r="B147" t="inlineStr">
        <is>
          <t>KFM2020660228152</t>
        </is>
      </c>
      <c r="C147" t="inlineStr">
        <is>
          <t>الزلفي</t>
        </is>
      </c>
      <c r="D147" t="inlineStr">
        <is>
          <t>كلا الفترتين</t>
        </is>
      </c>
      <c r="E147" t="n">
        <v>1913</v>
      </c>
      <c r="F147" t="b">
        <v>0</v>
      </c>
      <c r="G147">
        <f>HYPERLINK("https://www.google.com/maps/search/?api=1&amp;query=26.31689516,44.81432644", "View Map")</f>
        <v/>
      </c>
    </row>
    <row r="148">
      <c r="A148" t="inlineStr">
        <is>
          <t>ﻓﺭﻉ ﺍﻻﻭﻗﺎﻑ ﺒﺤﻭﻁﻩ ﺴﺩﻴﺭ .</t>
        </is>
      </c>
      <c r="B148" t="inlineStr">
        <is>
          <t>KFM2020766128578</t>
        </is>
      </c>
      <c r="C148" t="inlineStr">
        <is>
          <t>المجمعة</t>
        </is>
      </c>
      <c r="D148" t="inlineStr">
        <is>
          <t>كلا الفترتين</t>
        </is>
      </c>
      <c r="E148" t="n">
        <v>1910</v>
      </c>
      <c r="F148" t="b">
        <v>0</v>
      </c>
      <c r="G148">
        <f>HYPERLINK("https://www.google.com/maps/search/?api=1&amp;query=25.60686121,45.62536746", "View Map")</f>
        <v/>
      </c>
    </row>
    <row r="149">
      <c r="A149" t="inlineStr">
        <is>
          <t xml:space="preserve">   مسجدالاميرمساعدالاحمد .</t>
        </is>
      </c>
      <c r="B149" t="inlineStr">
        <is>
          <t>KFM2120660289705</t>
        </is>
      </c>
      <c r="C149" t="inlineStr">
        <is>
          <t>الغاط</t>
        </is>
      </c>
      <c r="D149" t="inlineStr">
        <is>
          <t>كلا الفترتين</t>
        </is>
      </c>
      <c r="E149" t="n">
        <v>1903</v>
      </c>
      <c r="F149" t="b">
        <v>0</v>
      </c>
      <c r="G149">
        <f>HYPERLINK("https://www.google.com/maps/search/?api=1&amp;query=26.02870003,44.9567723", "View Map")</f>
        <v/>
      </c>
    </row>
    <row r="150">
      <c r="A150" t="inlineStr">
        <is>
          <t xml:space="preserve">   اوقاف الزلفي(مسجدهارون الرشيد) .</t>
        </is>
      </c>
      <c r="B150" t="inlineStr">
        <is>
          <t>KFM2020660207116</t>
        </is>
      </c>
      <c r="C150" t="inlineStr">
        <is>
          <t>الزلفي</t>
        </is>
      </c>
      <c r="D150" t="inlineStr">
        <is>
          <t>كلا الفترتين</t>
        </is>
      </c>
      <c r="E150" t="n">
        <v>1900</v>
      </c>
      <c r="F150" t="b">
        <v>0</v>
      </c>
      <c r="G150">
        <f>HYPERLINK("https://www.google.com/maps/search/?api=1&amp;query=26.28126719,44.83399955", "View Map")</f>
        <v/>
      </c>
    </row>
    <row r="151">
      <c r="A151" t="inlineStr">
        <is>
          <t xml:space="preserve">   مسجد      محمد      العسكر .</t>
        </is>
      </c>
      <c r="B151" t="inlineStr">
        <is>
          <t>KFM2020760210599</t>
        </is>
      </c>
      <c r="C151" t="inlineStr">
        <is>
          <t>حريملاء</t>
        </is>
      </c>
      <c r="D151" t="inlineStr">
        <is>
          <t>كلا الفترتين</t>
        </is>
      </c>
      <c r="E151" t="n">
        <v>1896</v>
      </c>
      <c r="F151" t="b">
        <v>0</v>
      </c>
      <c r="G151">
        <f>HYPERLINK("https://www.google.com/maps/search/?api=1&amp;query=25.12975876,46.11103557", "View Map")</f>
        <v/>
      </c>
    </row>
    <row r="152">
      <c r="A152" t="inlineStr">
        <is>
          <t xml:space="preserve">   مسجد تركى الشمالى .</t>
        </is>
      </c>
      <c r="B152" t="inlineStr">
        <is>
          <t>KFM2020760210477</t>
        </is>
      </c>
      <c r="C152" t="inlineStr">
        <is>
          <t>حريملاء</t>
        </is>
      </c>
      <c r="D152" t="inlineStr">
        <is>
          <t>كلا الفترتين</t>
        </is>
      </c>
      <c r="E152" t="n">
        <v>1874</v>
      </c>
      <c r="F152" t="b">
        <v>0</v>
      </c>
      <c r="G152">
        <f>HYPERLINK("https://www.google.com/maps/search/?api=1&amp;query=25.12030799,46.08747276", "View Map")</f>
        <v/>
      </c>
    </row>
    <row r="153">
      <c r="A153" t="inlineStr">
        <is>
          <t xml:space="preserve">   ادارة الأوقاف ثادق .</t>
        </is>
      </c>
      <c r="B153" t="inlineStr">
        <is>
          <t>KFM2020766152765</t>
        </is>
      </c>
      <c r="C153" t="inlineStr">
        <is>
          <t>ثادق</t>
        </is>
      </c>
      <c r="D153" t="inlineStr">
        <is>
          <t>كلا الفترتين</t>
        </is>
      </c>
      <c r="E153" t="n">
        <v>1874</v>
      </c>
      <c r="F153" t="b">
        <v>0</v>
      </c>
      <c r="G153">
        <f>HYPERLINK("https://www.google.com/maps/search/?api=1&amp;query=25.41745454,46.09906737", "View Map")</f>
        <v/>
      </c>
    </row>
    <row r="154">
      <c r="A154" t="inlineStr">
        <is>
          <t xml:space="preserve">      مسجد الكليبى .</t>
        </is>
      </c>
      <c r="B154" t="inlineStr">
        <is>
          <t>KFM2120660271715</t>
        </is>
      </c>
      <c r="C154" t="inlineStr">
        <is>
          <t>المجمعة</t>
        </is>
      </c>
      <c r="D154" t="inlineStr">
        <is>
          <t>كلا الفترتين</t>
        </is>
      </c>
      <c r="E154" t="n">
        <v>1873</v>
      </c>
      <c r="F154" t="b">
        <v>0</v>
      </c>
      <c r="G154">
        <f>HYPERLINK("https://www.google.com/maps/search/?api=1&amp;query=25.65106497,45.55093975", "View Map")</f>
        <v/>
      </c>
    </row>
    <row r="155">
      <c r="A155" t="inlineStr">
        <is>
          <t xml:space="preserve">   جامع رماح .</t>
        </is>
      </c>
      <c r="B155" t="inlineStr">
        <is>
          <t>KFM2020660199584</t>
        </is>
      </c>
      <c r="C155" t="inlineStr">
        <is>
          <t>رماح</t>
        </is>
      </c>
      <c r="D155" t="inlineStr">
        <is>
          <t>كلا الفترتين</t>
        </is>
      </c>
      <c r="E155" t="n">
        <v>1863</v>
      </c>
      <c r="F155" t="b">
        <v>1</v>
      </c>
      <c r="G155">
        <f>HYPERLINK("https://www.google.com/maps/search/?api=1&amp;query=25.57397179,47.15612234", "View Map")</f>
        <v/>
      </c>
    </row>
    <row r="156">
      <c r="A156" t="inlineStr">
        <is>
          <t xml:space="preserve">   اوقاف الزلفي(مسجدماجدالمنيع) .</t>
        </is>
      </c>
      <c r="B156" t="inlineStr">
        <is>
          <t>KFM2020766158139</t>
        </is>
      </c>
      <c r="C156" t="inlineStr">
        <is>
          <t>الزلفي</t>
        </is>
      </c>
      <c r="D156" t="inlineStr">
        <is>
          <t>كلا الفترتين</t>
        </is>
      </c>
      <c r="E156" t="n">
        <v>1862</v>
      </c>
      <c r="F156" t="b">
        <v>1</v>
      </c>
      <c r="G156">
        <f>HYPERLINK("https://www.google.com/maps/search/?api=1&amp;query=26.26407745,44.80352869", "View Map")</f>
        <v/>
      </c>
    </row>
    <row r="157">
      <c r="A157" t="inlineStr">
        <is>
          <t>ﺃﻭﻗﺎﻑ ﻭﻤﺴﺎﺠﺩ ﺭﻤﺎﺡ .</t>
        </is>
      </c>
      <c r="B157" t="inlineStr">
        <is>
          <t>KFM2120660244056</t>
        </is>
      </c>
      <c r="C157" t="inlineStr">
        <is>
          <t>رماح</t>
        </is>
      </c>
      <c r="D157" t="inlineStr">
        <is>
          <t>كلا الفترتين</t>
        </is>
      </c>
      <c r="E157" t="n">
        <v>1861</v>
      </c>
      <c r="F157" t="b">
        <v>1</v>
      </c>
      <c r="G157">
        <f>HYPERLINK("https://www.google.com/maps/search/?api=1&amp;query=25.56065672,47.17776235", "View Map")</f>
        <v/>
      </c>
    </row>
    <row r="158">
      <c r="A158" t="inlineStr">
        <is>
          <t xml:space="preserve">   مسجد      الجامع    الصفرات .</t>
        </is>
      </c>
      <c r="B158" t="inlineStr">
        <is>
          <t>KFM2120660284478</t>
        </is>
      </c>
      <c r="C158" t="inlineStr">
        <is>
          <t>ثادق</t>
        </is>
      </c>
      <c r="D158" t="inlineStr">
        <is>
          <t>كلا الفترتين</t>
        </is>
      </c>
      <c r="E158" t="n">
        <v>1860</v>
      </c>
      <c r="F158" t="b">
        <v>0</v>
      </c>
      <c r="G158">
        <f>HYPERLINK("https://www.google.com/maps/search/?api=1&amp;query=25.41378054,46.04784435", "View Map")</f>
        <v/>
      </c>
    </row>
    <row r="159">
      <c r="A159" t="inlineStr">
        <is>
          <t xml:space="preserve">   مسجد حى المراجيم بتمير .</t>
        </is>
      </c>
      <c r="B159" t="inlineStr">
        <is>
          <t>KFM2020660195713</t>
        </is>
      </c>
      <c r="C159" t="inlineStr">
        <is>
          <t>المجمعة</t>
        </is>
      </c>
      <c r="D159" t="inlineStr">
        <is>
          <t>كلا الفترتين</t>
        </is>
      </c>
      <c r="E159" t="n">
        <v>1858</v>
      </c>
      <c r="F159" t="b">
        <v>0</v>
      </c>
      <c r="G159">
        <f>HYPERLINK("https://www.google.com/maps/search/?api=1&amp;query=25.7037787,45.86701311", "View Map")</f>
        <v/>
      </c>
    </row>
    <row r="160">
      <c r="A160" t="inlineStr">
        <is>
          <t xml:space="preserve">   اوقاف الزلفى مسجدالدريبى .</t>
        </is>
      </c>
      <c r="B160" t="inlineStr">
        <is>
          <t>KFM2020660192478</t>
        </is>
      </c>
      <c r="C160" t="inlineStr">
        <is>
          <t>الزلفي</t>
        </is>
      </c>
      <c r="D160" t="inlineStr">
        <is>
          <t>كلا الفترتين</t>
        </is>
      </c>
      <c r="E160" t="n">
        <v>1855</v>
      </c>
      <c r="F160" t="b">
        <v>0</v>
      </c>
      <c r="G160">
        <f>HYPERLINK("https://www.google.com/maps/search/?api=1&amp;query=26.31630654,44.81876132", "View Map")</f>
        <v/>
      </c>
    </row>
    <row r="161">
      <c r="A161" t="inlineStr">
        <is>
          <t>ﺍﻭﻗﺎﻑ ﻭﻤﺴﺎﺠﺩ ( ) .</t>
        </is>
      </c>
      <c r="B161" t="inlineStr">
        <is>
          <t>AES2120896563834</t>
        </is>
      </c>
      <c r="C161" t="inlineStr">
        <is>
          <t>الزلفي</t>
        </is>
      </c>
      <c r="D161" t="inlineStr">
        <is>
          <t>كلا الفترتين</t>
        </is>
      </c>
      <c r="E161" t="n">
        <v>1851</v>
      </c>
      <c r="F161" t="b">
        <v>0</v>
      </c>
      <c r="G161">
        <f>HYPERLINK("https://www.google.com/maps/search/?api=1&amp;query=26.31277241,44.79297349", "View Map")</f>
        <v/>
      </c>
    </row>
    <row r="162">
      <c r="A162" t="inlineStr">
        <is>
          <t xml:space="preserve">   جامع امالجماجم .</t>
        </is>
      </c>
      <c r="B162" t="inlineStr">
        <is>
          <t>KFM2020660199355</t>
        </is>
      </c>
      <c r="C162" t="inlineStr">
        <is>
          <t>المجمعة</t>
        </is>
      </c>
      <c r="D162" t="inlineStr">
        <is>
          <t>كلا الفترتين</t>
        </is>
      </c>
      <c r="E162" t="n">
        <v>1847</v>
      </c>
      <c r="F162" t="b">
        <v>0</v>
      </c>
      <c r="G162">
        <f>HYPERLINK("https://www.google.com/maps/search/?api=1&amp;query=26.88146375,45.31585587", "View Map")</f>
        <v/>
      </c>
    </row>
    <row r="163">
      <c r="A163" t="inlineStr">
        <is>
          <t>ﺍﻭﻗﺎﻑ ﺍﻻﺭﻁﺎﻭﻴﺓ .</t>
        </is>
      </c>
      <c r="B163" t="inlineStr">
        <is>
          <t>SMR2220621001360</t>
        </is>
      </c>
      <c r="C163" t="inlineStr">
        <is>
          <t>المجمعة</t>
        </is>
      </c>
      <c r="D163" t="inlineStr">
        <is>
          <t>كلا الفترتين</t>
        </is>
      </c>
      <c r="E163" t="n">
        <v>1839</v>
      </c>
      <c r="F163" t="b">
        <v>0</v>
      </c>
      <c r="G163">
        <f>HYPERLINK("https://www.google.com/maps/search/?api=1&amp;query=26.5090677,45.34735978", "View Map")</f>
        <v/>
      </c>
    </row>
    <row r="164">
      <c r="A164" t="inlineStr">
        <is>
          <t xml:space="preserve">   اوقاف الغاط /مسجداحمدالعامر .</t>
        </is>
      </c>
      <c r="B164" t="inlineStr">
        <is>
          <t>AES2020896467018</t>
        </is>
      </c>
      <c r="C164" t="inlineStr">
        <is>
          <t>الغاط</t>
        </is>
      </c>
      <c r="D164" t="inlineStr">
        <is>
          <t>كلا الفترتين</t>
        </is>
      </c>
      <c r="E164" t="n">
        <v>1836</v>
      </c>
      <c r="F164" t="b">
        <v>0</v>
      </c>
      <c r="G164">
        <f>HYPERLINK("https://www.google.com/maps/search/?api=1&amp;query=26.0293579,44.93463854", "View Map")</f>
        <v/>
      </c>
    </row>
    <row r="165">
      <c r="A165" t="inlineStr">
        <is>
          <t xml:space="preserve">                 مسجد الشعب .</t>
        </is>
      </c>
      <c r="B165" t="inlineStr">
        <is>
          <t>KFM2020660195732</t>
        </is>
      </c>
      <c r="C165" t="inlineStr">
        <is>
          <t>المجمعة</t>
        </is>
      </c>
      <c r="D165" t="inlineStr">
        <is>
          <t>كلا الفترتين</t>
        </is>
      </c>
      <c r="E165" t="n">
        <v>1830</v>
      </c>
      <c r="F165" t="b">
        <v>0</v>
      </c>
      <c r="G165">
        <f>HYPERLINK("https://www.google.com/maps/search/?api=1&amp;query=25.91394047,45.90513273", "View Map")</f>
        <v/>
      </c>
    </row>
    <row r="166">
      <c r="A166" t="inlineStr">
        <is>
          <t xml:space="preserve">   مسجد.الحى رقم 7 .</t>
        </is>
      </c>
      <c r="B166" t="inlineStr">
        <is>
          <t>KFM2020766113475</t>
        </is>
      </c>
      <c r="C166" t="inlineStr">
        <is>
          <t>الزلفي</t>
        </is>
      </c>
      <c r="D166" t="inlineStr">
        <is>
          <t>كلا الفترتين</t>
        </is>
      </c>
      <c r="E166" t="n">
        <v>1823</v>
      </c>
      <c r="F166" t="b">
        <v>0</v>
      </c>
      <c r="G166">
        <f>HYPERLINK("https://www.google.com/maps/search/?api=1&amp;query=26.3004516,44.82262688", "View Map")</f>
        <v/>
      </c>
    </row>
    <row r="167">
      <c r="A167" t="inlineStr">
        <is>
          <t xml:space="preserve">     مسجدالعزيزية الشمالى بتمير .</t>
        </is>
      </c>
      <c r="B167" t="inlineStr">
        <is>
          <t>KFM2020660195749</t>
        </is>
      </c>
      <c r="C167" t="inlineStr">
        <is>
          <t>المجمعة</t>
        </is>
      </c>
      <c r="D167" t="inlineStr">
        <is>
          <t>كلا الفترتين</t>
        </is>
      </c>
      <c r="E167" t="n">
        <v>1820</v>
      </c>
      <c r="F167" t="b">
        <v>1</v>
      </c>
      <c r="G167">
        <f>HYPERLINK("https://www.google.com/maps/search/?api=1&amp;query=25.71420621,45.85951628", "View Map")</f>
        <v/>
      </c>
    </row>
    <row r="168">
      <c r="A168" t="inlineStr">
        <is>
          <t xml:space="preserve">   مسجدفهدعبدالله الجخيدب .</t>
        </is>
      </c>
      <c r="B168" t="inlineStr">
        <is>
          <t>KFM2020660188266</t>
        </is>
      </c>
      <c r="C168" t="inlineStr">
        <is>
          <t>المجمعة</t>
        </is>
      </c>
      <c r="D168" t="inlineStr">
        <is>
          <t>كلا الفترتين</t>
        </is>
      </c>
      <c r="E168" t="n">
        <v>1805</v>
      </c>
      <c r="F168" t="b">
        <v>0</v>
      </c>
      <c r="G168">
        <f>HYPERLINK("https://www.google.com/maps/search/?api=1&amp;query=26.49673567,45.35158187", "View Map")</f>
        <v/>
      </c>
    </row>
    <row r="169">
      <c r="A169" t="inlineStr">
        <is>
          <t xml:space="preserve">   مسجدطارق بن عبدالله المحارب .</t>
        </is>
      </c>
      <c r="B169" t="inlineStr">
        <is>
          <t>KFM2020660207117</t>
        </is>
      </c>
      <c r="C169" t="inlineStr">
        <is>
          <t>الزلفي</t>
        </is>
      </c>
      <c r="D169" t="inlineStr">
        <is>
          <t>كلا الفترتين</t>
        </is>
      </c>
      <c r="E169" t="n">
        <v>1803</v>
      </c>
      <c r="F169" t="b">
        <v>1</v>
      </c>
      <c r="G169">
        <f>HYPERLINK("https://www.google.com/maps/search/?api=1&amp;query=26.2776909,44.82753168", "View Map")</f>
        <v/>
      </c>
    </row>
    <row r="170">
      <c r="A170" t="inlineStr">
        <is>
          <t xml:space="preserve">   اوقاف الزلفي(مسجدالعزبن عبدالسلام .</t>
        </is>
      </c>
      <c r="B170" t="inlineStr">
        <is>
          <t>KFM2020766158119</t>
        </is>
      </c>
      <c r="C170" t="inlineStr">
        <is>
          <t>الزلفي</t>
        </is>
      </c>
      <c r="D170" t="inlineStr">
        <is>
          <t>كلا الفترتين</t>
        </is>
      </c>
      <c r="E170" t="n">
        <v>1798</v>
      </c>
      <c r="F170" t="b">
        <v>0</v>
      </c>
      <c r="G170">
        <f>HYPERLINK("https://www.google.com/maps/search/?api=1&amp;query=26.2940491,44.81174828", "View Map")</f>
        <v/>
      </c>
    </row>
    <row r="171">
      <c r="A171" t="inlineStr">
        <is>
          <t>وقاف الا رطاوية .</t>
        </is>
      </c>
      <c r="B171" t="inlineStr">
        <is>
          <t>AES2120896593178</t>
        </is>
      </c>
      <c r="C171" t="inlineStr">
        <is>
          <t>المجمعة</t>
        </is>
      </c>
      <c r="D171" t="inlineStr">
        <is>
          <t>كلا الفترتين</t>
        </is>
      </c>
      <c r="E171" t="n">
        <v>1791</v>
      </c>
      <c r="F171" t="b">
        <v>0</v>
      </c>
      <c r="G171">
        <f>HYPERLINK("https://www.google.com/maps/search/?api=1&amp;query=26.49364844,45.35771736", "View Map")</f>
        <v/>
      </c>
    </row>
    <row r="172">
      <c r="A172" t="inlineStr">
        <is>
          <t xml:space="preserve">   وزارة الحج والاوقاف / فرع ثادق .</t>
        </is>
      </c>
      <c r="B172" t="inlineStr">
        <is>
          <t>KFM2120660275824</t>
        </is>
      </c>
      <c r="C172" t="inlineStr">
        <is>
          <t>ثادق</t>
        </is>
      </c>
      <c r="D172" t="inlineStr">
        <is>
          <t>كلا الفترتين</t>
        </is>
      </c>
      <c r="E172" t="n">
        <v>1788</v>
      </c>
      <c r="F172" t="b">
        <v>0</v>
      </c>
      <c r="G172">
        <f>HYPERLINK("https://www.google.com/maps/search/?api=1&amp;query=25.29884089,45.95920193", "View Map")</f>
        <v/>
      </c>
    </row>
    <row r="173">
      <c r="A173" t="inlineStr">
        <is>
          <t xml:space="preserve">   الجامع الا وسط .</t>
        </is>
      </c>
      <c r="B173" t="inlineStr">
        <is>
          <t>KFM2020660207357</t>
        </is>
      </c>
      <c r="C173" t="inlineStr">
        <is>
          <t>الزلفي</t>
        </is>
      </c>
      <c r="D173" t="inlineStr">
        <is>
          <t>كلا الفترتين</t>
        </is>
      </c>
      <c r="E173" t="n">
        <v>1784</v>
      </c>
      <c r="F173" t="b">
        <v>1</v>
      </c>
      <c r="G173">
        <f>HYPERLINK("https://www.google.com/maps/search/?api=1&amp;query=26.29433903,44.80953842", "View Map")</f>
        <v/>
      </c>
    </row>
    <row r="174">
      <c r="A174" t="inlineStr">
        <is>
          <t>ادارة الاوقاف والمساجد (مسجد) .</t>
        </is>
      </c>
      <c r="B174" t="inlineStr">
        <is>
          <t>SMR2420761038486</t>
        </is>
      </c>
      <c r="C174" t="inlineStr">
        <is>
          <t>حريملاء</t>
        </is>
      </c>
      <c r="D174" t="inlineStr">
        <is>
          <t>كلا الفترتين</t>
        </is>
      </c>
      <c r="E174" t="n">
        <v>1783</v>
      </c>
      <c r="F174" t="b">
        <v>0</v>
      </c>
      <c r="G174">
        <f>HYPERLINK("https://www.google.com/maps/search/?api=1&amp;query=25.13990005,46.11862634", "View Map")</f>
        <v/>
      </c>
    </row>
    <row r="175">
      <c r="A175" t="inlineStr">
        <is>
          <t xml:space="preserve">   مسجد الشيخ حمد عبدالعزيز العيسى .</t>
        </is>
      </c>
      <c r="B175" t="inlineStr">
        <is>
          <t>AES2120896547636</t>
        </is>
      </c>
      <c r="C175" t="inlineStr">
        <is>
          <t>شقراء</t>
        </is>
      </c>
      <c r="D175" t="inlineStr">
        <is>
          <t>كلا الفترتين</t>
        </is>
      </c>
      <c r="E175" t="n">
        <v>1780</v>
      </c>
      <c r="F175" t="b">
        <v>0</v>
      </c>
      <c r="G175">
        <f>HYPERLINK("https://www.google.com/maps/search/?api=1&amp;query=25.21873258,45.27205401", "View Map")</f>
        <v/>
      </c>
    </row>
    <row r="176">
      <c r="A176" t="inlineStr">
        <is>
          <t>ﻤﻜﺘﺏ ﺍﻻﻭﻗﺎﻑ ﻭﺍﻟﻤﺴﺎﺠﺩ .</t>
        </is>
      </c>
      <c r="B176" t="inlineStr">
        <is>
          <t>SMR2420861009384</t>
        </is>
      </c>
      <c r="C176" t="inlineStr">
        <is>
          <t>المجمعة</t>
        </is>
      </c>
      <c r="D176" t="inlineStr">
        <is>
          <t>كلا الفترتين</t>
        </is>
      </c>
      <c r="E176" t="n">
        <v>1777</v>
      </c>
      <c r="F176" t="b">
        <v>0</v>
      </c>
      <c r="G176">
        <f>HYPERLINK("https://www.google.com/maps/search/?api=1&amp;query=25.72968147,45.87214448", "View Map")</f>
        <v/>
      </c>
    </row>
    <row r="177">
      <c r="A177" t="inlineStr">
        <is>
          <t xml:space="preserve">   مـسـجـدالحميضى بالمخطط 366 .</t>
        </is>
      </c>
      <c r="B177" t="inlineStr">
        <is>
          <t>KFM2020760212547</t>
        </is>
      </c>
      <c r="C177" t="inlineStr">
        <is>
          <t>شقراء</t>
        </is>
      </c>
      <c r="D177" t="inlineStr">
        <is>
          <t>كلا الفترتين</t>
        </is>
      </c>
      <c r="E177" t="n">
        <v>1775</v>
      </c>
      <c r="F177" t="b">
        <v>1</v>
      </c>
      <c r="G177">
        <f>HYPERLINK("https://www.google.com/maps/search/?api=1&amp;query=25.29422746,45.51875417", "View Map")</f>
        <v/>
      </c>
    </row>
    <row r="178">
      <c r="A178" t="inlineStr">
        <is>
          <t xml:space="preserve">   مسجد/عبداللهعبدالعزيزالسديري .</t>
        </is>
      </c>
      <c r="B178" t="inlineStr">
        <is>
          <t>KFM2120660284170</t>
        </is>
      </c>
      <c r="C178" t="inlineStr">
        <is>
          <t>الغاط</t>
        </is>
      </c>
      <c r="D178" t="inlineStr">
        <is>
          <t>كلا الفترتين</t>
        </is>
      </c>
      <c r="E178" t="n">
        <v>1774</v>
      </c>
      <c r="F178" t="b">
        <v>0</v>
      </c>
      <c r="G178">
        <f>HYPERLINK("https://www.google.com/maps/search/?api=1&amp;query=26.03175122,44.95006188", "View Map")</f>
        <v/>
      </c>
    </row>
    <row r="179">
      <c r="A179" t="inlineStr">
        <is>
          <t xml:space="preserve">   مسجد      مخطط      رقم 682 .</t>
        </is>
      </c>
      <c r="B179" t="inlineStr">
        <is>
          <t>KFM2020760202773</t>
        </is>
      </c>
      <c r="C179" t="inlineStr">
        <is>
          <t>حريملاء</t>
        </is>
      </c>
      <c r="D179" t="inlineStr">
        <is>
          <t>كلا الفترتين</t>
        </is>
      </c>
      <c r="E179" t="n">
        <v>1774</v>
      </c>
      <c r="F179" t="b">
        <v>0</v>
      </c>
      <c r="G179">
        <f>HYPERLINK("https://www.google.com/maps/search/?api=1&amp;query=25.17499245,46.32814718", "View Map")</f>
        <v/>
      </c>
    </row>
    <row r="180">
      <c r="A180" t="inlineStr">
        <is>
          <t>وقاف الزلفي مسجد صالح الوزان .</t>
        </is>
      </c>
      <c r="B180" t="inlineStr">
        <is>
          <t>AES2120896574585</t>
        </is>
      </c>
      <c r="C180" t="inlineStr">
        <is>
          <t>الزلفي</t>
        </is>
      </c>
      <c r="D180" t="inlineStr">
        <is>
          <t>كلا الفترتين</t>
        </is>
      </c>
      <c r="E180" t="n">
        <v>1770</v>
      </c>
      <c r="F180" t="b">
        <v>0</v>
      </c>
      <c r="G180">
        <f>HYPERLINK("https://www.google.com/maps/search/?api=1&amp;query=26.31386753,44.87653478", "View Map")</f>
        <v/>
      </c>
    </row>
    <row r="181">
      <c r="A181" t="inlineStr">
        <is>
          <t xml:space="preserve">   مسجد الجنوبيه .</t>
        </is>
      </c>
      <c r="B181" t="inlineStr">
        <is>
          <t>KFM2020660210700</t>
        </is>
      </c>
      <c r="C181" t="inlineStr">
        <is>
          <t>المجمعة</t>
        </is>
      </c>
      <c r="D181" t="inlineStr">
        <is>
          <t>كلا الفترتين</t>
        </is>
      </c>
      <c r="E181" t="n">
        <v>1762</v>
      </c>
      <c r="F181" t="b">
        <v>0</v>
      </c>
      <c r="G181">
        <f>HYPERLINK("https://www.google.com/maps/search/?api=1&amp;query=25.58244467,45.61083001", "View Map")</f>
        <v/>
      </c>
    </row>
    <row r="182">
      <c r="A182" t="inlineStr">
        <is>
          <t>مسجد صالح الطواله .</t>
        </is>
      </c>
      <c r="B182" t="inlineStr">
        <is>
          <t>KFM2020766128605</t>
        </is>
      </c>
      <c r="C182" t="inlineStr">
        <is>
          <t>الزلفي</t>
        </is>
      </c>
      <c r="D182" t="inlineStr">
        <is>
          <t>كلا الفترتين</t>
        </is>
      </c>
      <c r="E182" t="n">
        <v>1750</v>
      </c>
      <c r="F182" t="b">
        <v>0</v>
      </c>
      <c r="G182">
        <f>HYPERLINK("https://www.google.com/maps/search/?api=1&amp;query=26.33553422,44.79362185", "View Map")</f>
        <v/>
      </c>
    </row>
    <row r="183">
      <c r="A183" t="inlineStr">
        <is>
          <t>وقاف الزلفي .</t>
        </is>
      </c>
      <c r="B183" t="inlineStr">
        <is>
          <t>AES2020896433466</t>
        </is>
      </c>
      <c r="C183" t="inlineStr">
        <is>
          <t>الزلفي</t>
        </is>
      </c>
      <c r="D183" t="inlineStr">
        <is>
          <t>كلا الفترتين</t>
        </is>
      </c>
      <c r="E183" t="n">
        <v>1739</v>
      </c>
      <c r="F183" t="b">
        <v>0</v>
      </c>
      <c r="G183">
        <f>HYPERLINK("https://www.google.com/maps/search/?api=1&amp;query=26.32287771,44.80793044", "View Map")</f>
        <v/>
      </c>
    </row>
    <row r="184">
      <c r="A184" t="inlineStr">
        <is>
          <t>ﻤﻜﺘﺏ ﺍﻻﻭﻗﺎﻑ ﻭﺍﻟﻤﺴﺎﺠﺩ .</t>
        </is>
      </c>
      <c r="B184" t="inlineStr">
        <is>
          <t>AES2120896552211</t>
        </is>
      </c>
      <c r="C184" t="inlineStr">
        <is>
          <t>المجمعة</t>
        </is>
      </c>
      <c r="D184" t="inlineStr">
        <is>
          <t>كلا الفترتين</t>
        </is>
      </c>
      <c r="E184" t="n">
        <v>1729</v>
      </c>
      <c r="F184" t="b">
        <v>0</v>
      </c>
      <c r="G184">
        <f>HYPERLINK("https://www.google.com/maps/search/?api=1&amp;query=25.69664192,45.88027634", "View Map")</f>
        <v/>
      </c>
    </row>
    <row r="185">
      <c r="A185" t="inlineStr">
        <is>
          <t xml:space="preserve">    مسجد رقم /2 حصه عثمان العثمان .</t>
        </is>
      </c>
      <c r="B185" t="inlineStr">
        <is>
          <t>KFM2120660271743</t>
        </is>
      </c>
      <c r="C185" t="inlineStr">
        <is>
          <t>المجمعة</t>
        </is>
      </c>
      <c r="D185" t="inlineStr">
        <is>
          <t>كلا الفترتين</t>
        </is>
      </c>
      <c r="E185" t="n">
        <v>1727</v>
      </c>
      <c r="F185" t="b">
        <v>0</v>
      </c>
      <c r="G185">
        <f>HYPERLINK("https://www.google.com/maps/search/?api=1&amp;query=25.69707417,45.87855716", "View Map")</f>
        <v/>
      </c>
    </row>
    <row r="186">
      <c r="A186" t="inlineStr">
        <is>
          <t xml:space="preserve">      مسجد الدخل المحدود رقم(2) .</t>
        </is>
      </c>
      <c r="B186" t="inlineStr">
        <is>
          <t>KFM2020766128739</t>
        </is>
      </c>
      <c r="C186" t="inlineStr">
        <is>
          <t>المجمعة</t>
        </is>
      </c>
      <c r="D186" t="inlineStr">
        <is>
          <t>كلا الفترتين</t>
        </is>
      </c>
      <c r="E186" t="n">
        <v>1724</v>
      </c>
      <c r="F186" t="b">
        <v>0</v>
      </c>
      <c r="G186">
        <f>HYPERLINK("https://www.google.com/maps/search/?api=1&amp;query=25.60174848,45.62442469", "View Map")</f>
        <v/>
      </c>
    </row>
    <row r="187">
      <c r="A187" t="inlineStr">
        <is>
          <t xml:space="preserve">    مسجدالعزيزية/ عبدالرحمن الريس .</t>
        </is>
      </c>
      <c r="B187" t="inlineStr">
        <is>
          <t>KFM2020660195703</t>
        </is>
      </c>
      <c r="C187" t="inlineStr">
        <is>
          <t>المجمعة</t>
        </is>
      </c>
      <c r="D187" t="inlineStr">
        <is>
          <t>كلا الفترتين</t>
        </is>
      </c>
      <c r="E187" t="n">
        <v>1721</v>
      </c>
      <c r="F187" t="b">
        <v>0</v>
      </c>
      <c r="G187">
        <f>HYPERLINK("https://www.google.com/maps/search/?api=1&amp;query=25.69664192,45.88027634", "View Map")</f>
        <v/>
      </c>
    </row>
    <row r="188">
      <c r="A188" t="inlineStr">
        <is>
          <t xml:space="preserve">   مسجد رقم 3 بمخطط 113 بالقصب .</t>
        </is>
      </c>
      <c r="B188" t="inlineStr">
        <is>
          <t>KFM2020766156326</t>
        </is>
      </c>
      <c r="C188" t="inlineStr">
        <is>
          <t>شقراء</t>
        </is>
      </c>
      <c r="D188" t="inlineStr">
        <is>
          <t>كلا الفترتين</t>
        </is>
      </c>
      <c r="E188" t="n">
        <v>1719</v>
      </c>
      <c r="F188" t="b">
        <v>0</v>
      </c>
      <c r="G188">
        <f>HYPERLINK("https://www.google.com/maps/search/?api=1&amp;query=25.29043174,45.52422908", "View Map")</f>
        <v/>
      </c>
    </row>
    <row r="189">
      <c r="A189" t="inlineStr">
        <is>
          <t xml:space="preserve">   مسجد/ابن ماجه .</t>
        </is>
      </c>
      <c r="B189" t="inlineStr">
        <is>
          <t>KFM2120660280278</t>
        </is>
      </c>
      <c r="C189" t="inlineStr">
        <is>
          <t>الزلفي</t>
        </is>
      </c>
      <c r="D189" t="inlineStr">
        <is>
          <t>كلا الفترتين</t>
        </is>
      </c>
      <c r="E189" t="n">
        <v>1713</v>
      </c>
      <c r="F189" t="b">
        <v>0</v>
      </c>
      <c r="G189">
        <f>HYPERLINK("https://www.google.com/maps/search/?api=1&amp;query=26.29654289,44.80482589", "View Map")</f>
        <v/>
      </c>
    </row>
    <row r="190">
      <c r="A190" t="inlineStr">
        <is>
          <t xml:space="preserve">   المسجد الجامع بالحسى .</t>
        </is>
      </c>
      <c r="B190" t="inlineStr">
        <is>
          <t>KFM2120660275816</t>
        </is>
      </c>
      <c r="C190" t="inlineStr">
        <is>
          <t>ثادق</t>
        </is>
      </c>
      <c r="D190" t="inlineStr">
        <is>
          <t>كلا الفترتين</t>
        </is>
      </c>
      <c r="E190" t="n">
        <v>1713</v>
      </c>
      <c r="F190" t="b">
        <v>0</v>
      </c>
      <c r="G190">
        <f>HYPERLINK("https://www.google.com/maps/search/?api=1&amp;query=25.41914458,46.10101351", "View Map")</f>
        <v/>
      </c>
    </row>
    <row r="191">
      <c r="A191" t="inlineStr">
        <is>
          <t xml:space="preserve">   جامع اليوسف بحي القدس .</t>
        </is>
      </c>
      <c r="B191" t="inlineStr">
        <is>
          <t>KFM2120660241080</t>
        </is>
      </c>
      <c r="C191" t="inlineStr">
        <is>
          <t>المجمعة</t>
        </is>
      </c>
      <c r="D191" t="inlineStr">
        <is>
          <t>كلا الفترتين</t>
        </is>
      </c>
      <c r="E191" t="n">
        <v>1710</v>
      </c>
      <c r="F191" t="b">
        <v>0</v>
      </c>
      <c r="G191">
        <f>HYPERLINK("https://www.google.com/maps/search/?api=1&amp;query=25.91527794,45.36735315", "View Map")</f>
        <v/>
      </c>
    </row>
    <row r="192">
      <c r="A192" t="inlineStr">
        <is>
          <t>مكتب الا وقاف والمساجد .</t>
        </is>
      </c>
      <c r="B192" t="inlineStr">
        <is>
          <t>KFM2020766034221</t>
        </is>
      </c>
      <c r="C192" t="inlineStr">
        <is>
          <t>المجمعة</t>
        </is>
      </c>
      <c r="D192" t="inlineStr">
        <is>
          <t>كلا الفترتين</t>
        </is>
      </c>
      <c r="E192" t="n">
        <v>1708</v>
      </c>
      <c r="F192" t="b">
        <v>0</v>
      </c>
      <c r="G192">
        <f>HYPERLINK("https://www.google.com/maps/search/?api=1&amp;query=25.72948213,45.86614814", "View Map")</f>
        <v/>
      </c>
    </row>
    <row r="193">
      <c r="A193" t="inlineStr">
        <is>
          <t xml:space="preserve">   الاوقاف    مسجد      الغانم .</t>
        </is>
      </c>
      <c r="B193" t="inlineStr">
        <is>
          <t>SMR2020856119351</t>
        </is>
      </c>
      <c r="C193" t="inlineStr">
        <is>
          <t>المجمعة</t>
        </is>
      </c>
      <c r="D193" t="inlineStr">
        <is>
          <t>كلا الفترتين</t>
        </is>
      </c>
      <c r="E193" t="n">
        <v>1706</v>
      </c>
      <c r="F193" t="b">
        <v>1</v>
      </c>
      <c r="G193">
        <f>HYPERLINK("https://www.google.com/maps/search/?api=1&amp;query=25.70170109,45.45054606", "View Map")</f>
        <v/>
      </c>
    </row>
    <row r="194">
      <c r="A194" t="inlineStr">
        <is>
          <t xml:space="preserve">   اوقاف الزلفي مسجد الترمذى .</t>
        </is>
      </c>
      <c r="B194" t="inlineStr">
        <is>
          <t>KFM2020766054653</t>
        </is>
      </c>
      <c r="C194" t="inlineStr">
        <is>
          <t>الزلفي</t>
        </is>
      </c>
      <c r="D194" t="inlineStr">
        <is>
          <t>كلا الفترتين</t>
        </is>
      </c>
      <c r="E194" t="n">
        <v>1699</v>
      </c>
      <c r="F194" t="b">
        <v>1</v>
      </c>
      <c r="G194">
        <f>HYPERLINK("https://www.google.com/maps/search/?api=1&amp;query=26.29294404,44.83806913", "View Map")</f>
        <v/>
      </c>
    </row>
    <row r="195">
      <c r="A195" t="inlineStr">
        <is>
          <t>مسجد الشيخ محمد بن عثيمين .</t>
        </is>
      </c>
      <c r="B195" t="inlineStr">
        <is>
          <t>KFM2020660195850</t>
        </is>
      </c>
      <c r="C195" t="inlineStr">
        <is>
          <t>المجمعة</t>
        </is>
      </c>
      <c r="D195" t="inlineStr">
        <is>
          <t>كلا الفترتين</t>
        </is>
      </c>
      <c r="E195" t="n">
        <v>1697</v>
      </c>
      <c r="F195" t="b">
        <v>1</v>
      </c>
      <c r="G195">
        <f>HYPERLINK("https://www.google.com/maps/search/?api=1&amp;query=25.90891683,45.36534775", "View Map")</f>
        <v/>
      </c>
    </row>
    <row r="196">
      <c r="A196" t="inlineStr">
        <is>
          <t xml:space="preserve">   مسجد      الصناعية  الصناعية .</t>
        </is>
      </c>
      <c r="B196" t="inlineStr">
        <is>
          <t>KFM2020660150429</t>
        </is>
      </c>
      <c r="C196" t="inlineStr">
        <is>
          <t>المجمعة</t>
        </is>
      </c>
      <c r="D196" t="inlineStr">
        <is>
          <t>كلا الفترتين</t>
        </is>
      </c>
      <c r="E196" t="n">
        <v>1697</v>
      </c>
      <c r="F196" t="b">
        <v>1</v>
      </c>
      <c r="G196">
        <f>HYPERLINK("https://www.google.com/maps/search/?api=1&amp;query=25.74443176,45.84126251", "View Map")</f>
        <v/>
      </c>
    </row>
    <row r="197">
      <c r="A197" t="inlineStr">
        <is>
          <t>ﻤﻜﺘﺏ ﺒﻟﺩﻴﺓ ﺍﻟﻗﺼﺏ .</t>
        </is>
      </c>
      <c r="B197" t="inlineStr">
        <is>
          <t>KFM2020766132738</t>
        </is>
      </c>
      <c r="C197" t="inlineStr">
        <is>
          <t>شقراء</t>
        </is>
      </c>
      <c r="D197" t="inlineStr">
        <is>
          <t>كلا الفترتين</t>
        </is>
      </c>
      <c r="E197" t="n">
        <v>1693</v>
      </c>
      <c r="F197" t="b">
        <v>1</v>
      </c>
      <c r="G197">
        <f>HYPERLINK("https://www.google.com/maps/search/?api=1&amp;query=25.29876206,45.51607859", "View Map")</f>
        <v/>
      </c>
    </row>
    <row r="198">
      <c r="A198" t="inlineStr">
        <is>
          <t xml:space="preserve">   جامع عثمان بن عفان بحي الجزيرة .</t>
        </is>
      </c>
      <c r="B198" t="inlineStr">
        <is>
          <t>KFM2020660200573</t>
        </is>
      </c>
      <c r="C198" t="inlineStr">
        <is>
          <t>المجمعة</t>
        </is>
      </c>
      <c r="D198" t="inlineStr">
        <is>
          <t>كلا الفترتين</t>
        </is>
      </c>
      <c r="E198" t="n">
        <v>1691</v>
      </c>
      <c r="F198" t="b">
        <v>1</v>
      </c>
      <c r="G198">
        <f>HYPERLINK("https://www.google.com/maps/search/?api=1&amp;query=25.90511935,45.36353574", "View Map")</f>
        <v/>
      </c>
    </row>
    <row r="199">
      <c r="A199" t="inlineStr">
        <is>
          <t xml:space="preserve">   مسجد المنخاس .</t>
        </is>
      </c>
      <c r="B199" t="inlineStr">
        <is>
          <t>KFM2020660138161</t>
        </is>
      </c>
      <c r="C199" t="inlineStr">
        <is>
          <t>الزلفي</t>
        </is>
      </c>
      <c r="D199" t="inlineStr">
        <is>
          <t>كلا الفترتين</t>
        </is>
      </c>
      <c r="E199" t="n">
        <v>1691</v>
      </c>
      <c r="F199" t="b">
        <v>1</v>
      </c>
      <c r="G199">
        <f>HYPERLINK("https://www.google.com/maps/search/?api=1&amp;query=26.29408877,44.78909298", "View Map")</f>
        <v/>
      </c>
    </row>
    <row r="200">
      <c r="A200" t="inlineStr">
        <is>
          <t>ﺍﺩﺍﺭﻩ ﺍﻻﻭﻗﺎﻑ ﻭﺍﻟﻤﺴﺎﺠﺩ .</t>
        </is>
      </c>
      <c r="B200" t="inlineStr">
        <is>
          <t>ECC2020811047117</t>
        </is>
      </c>
      <c r="C200" t="inlineStr">
        <is>
          <t>حريملاء</t>
        </is>
      </c>
      <c r="D200" t="inlineStr">
        <is>
          <t>كلا الفترتين</t>
        </is>
      </c>
      <c r="E200" t="n">
        <v>1686</v>
      </c>
      <c r="F200" t="b">
        <v>1</v>
      </c>
      <c r="G200">
        <f>HYPERLINK("https://www.google.com/maps/search/?api=1&amp;query=25.10445454,46.09299079", "View Map")</f>
        <v/>
      </c>
    </row>
    <row r="201">
      <c r="A201" t="inlineStr">
        <is>
          <t xml:space="preserve">      مسجد الجامع بهلم .</t>
        </is>
      </c>
      <c r="B201" t="inlineStr">
        <is>
          <t>KFM2120660244169</t>
        </is>
      </c>
      <c r="C201" t="inlineStr">
        <is>
          <t>حريملاء</t>
        </is>
      </c>
      <c r="D201" t="inlineStr">
        <is>
          <t>كلا الفترتين</t>
        </is>
      </c>
      <c r="E201" t="n">
        <v>1684</v>
      </c>
      <c r="F201" t="b">
        <v>1</v>
      </c>
      <c r="G201">
        <f>HYPERLINK("https://www.google.com/maps/search/?api=1&amp;query=25.14251227,46.26969448", "View Map")</f>
        <v/>
      </c>
    </row>
    <row r="202">
      <c r="A202" t="inlineStr">
        <is>
          <t xml:space="preserve">   مسجدعبدالله ناصر الوهيب .</t>
        </is>
      </c>
      <c r="B202" t="inlineStr">
        <is>
          <t>SMR2120765009973</t>
        </is>
      </c>
      <c r="C202" t="inlineStr">
        <is>
          <t>الغاط</t>
        </is>
      </c>
      <c r="D202" t="inlineStr">
        <is>
          <t>كلا الفترتين</t>
        </is>
      </c>
      <c r="E202" t="n">
        <v>1683</v>
      </c>
      <c r="F202" t="b">
        <v>1</v>
      </c>
      <c r="G202">
        <f>HYPERLINK("https://www.google.com/maps/search/?api=1&amp;query=26.02570527,44.95580212", "View Map")</f>
        <v/>
      </c>
    </row>
    <row r="203">
      <c r="A203" t="inlineStr">
        <is>
          <t xml:space="preserve">   مسجدرقم (1)بالخالديه .</t>
        </is>
      </c>
      <c r="B203" t="inlineStr">
        <is>
          <t>ECC2320831015097</t>
        </is>
      </c>
      <c r="C203" t="inlineStr">
        <is>
          <t>المجمعة</t>
        </is>
      </c>
      <c r="D203" t="inlineStr">
        <is>
          <t>كلا الفترتين</t>
        </is>
      </c>
      <c r="E203" t="n">
        <v>1680</v>
      </c>
      <c r="F203" t="b">
        <v>0</v>
      </c>
      <c r="G203">
        <f>HYPERLINK("https://www.google.com/maps/search/?api=1&amp;query=25.69688476,45.89049019", "View Map")</f>
        <v/>
      </c>
    </row>
    <row r="204">
      <c r="A204" t="inlineStr">
        <is>
          <t xml:space="preserve">   مسجد/ القشعمى .</t>
        </is>
      </c>
      <c r="B204" t="inlineStr">
        <is>
          <t>KFM2020660160314</t>
        </is>
      </c>
      <c r="C204" t="inlineStr">
        <is>
          <t>الزلفي</t>
        </is>
      </c>
      <c r="D204" t="inlineStr">
        <is>
          <t>كلا الفترتين</t>
        </is>
      </c>
      <c r="E204" t="n">
        <v>1662</v>
      </c>
      <c r="F204" t="b">
        <v>1</v>
      </c>
      <c r="G204">
        <f>HYPERLINK("https://www.google.com/maps/search/?api=1&amp;query=26.30174817,44.82904085", "View Map")</f>
        <v/>
      </c>
    </row>
    <row r="205">
      <c r="A205" t="inlineStr">
        <is>
          <t xml:space="preserve">      مـسـجـد شارع الخزان (الاوقاف) .</t>
        </is>
      </c>
      <c r="B205" t="inlineStr">
        <is>
          <t>KFM2020760203118</t>
        </is>
      </c>
      <c r="C205" t="inlineStr">
        <is>
          <t>حريملاء</t>
        </is>
      </c>
      <c r="D205" t="inlineStr">
        <is>
          <t>كلا الفترتين</t>
        </is>
      </c>
      <c r="E205" t="n">
        <v>1659</v>
      </c>
      <c r="F205" t="b">
        <v>0</v>
      </c>
      <c r="G205">
        <f>HYPERLINK("https://www.google.com/maps/search/?api=1&amp;query=25.11202627,46.09503588", "View Map")</f>
        <v/>
      </c>
    </row>
    <row r="206">
      <c r="A206" t="inlineStr">
        <is>
          <t xml:space="preserve">   مسجد القصب رقم 5 .</t>
        </is>
      </c>
      <c r="B206" t="inlineStr">
        <is>
          <t>KFM2020766132867</t>
        </is>
      </c>
      <c r="C206" t="inlineStr">
        <is>
          <t>شقراء</t>
        </is>
      </c>
      <c r="D206" t="inlineStr">
        <is>
          <t>كلا الفترتين</t>
        </is>
      </c>
      <c r="E206" t="n">
        <v>1658</v>
      </c>
      <c r="F206" t="b">
        <v>0</v>
      </c>
      <c r="G206">
        <f>HYPERLINK("https://www.google.com/maps/search/?api=1&amp;query=25.29960131,45.52492078", "View Map")</f>
        <v/>
      </c>
    </row>
    <row r="207">
      <c r="A207" t="inlineStr">
        <is>
          <t xml:space="preserve">   مسجد المتوسطه .</t>
        </is>
      </c>
      <c r="B207" t="inlineStr">
        <is>
          <t>KFM2020766158194</t>
        </is>
      </c>
      <c r="C207" t="inlineStr">
        <is>
          <t>الزلفي</t>
        </is>
      </c>
      <c r="D207" t="inlineStr">
        <is>
          <t>كلا الفترتين</t>
        </is>
      </c>
      <c r="E207" t="n">
        <v>1655</v>
      </c>
      <c r="F207" t="b">
        <v>0</v>
      </c>
      <c r="G207">
        <f>HYPERLINK("https://www.google.com/maps/search/?api=1&amp;query=26.29963822,44.81325745", "View Map")</f>
        <v/>
      </c>
    </row>
    <row r="208">
      <c r="A208" t="inlineStr">
        <is>
          <t xml:space="preserve">      الـمـسـجـد  الشرقى .</t>
        </is>
      </c>
      <c r="B208" t="inlineStr">
        <is>
          <t>KFM2020760002700</t>
        </is>
      </c>
      <c r="C208" t="inlineStr">
        <is>
          <t>المجمعة</t>
        </is>
      </c>
      <c r="D208" t="inlineStr">
        <is>
          <t>كلا الفترتين</t>
        </is>
      </c>
      <c r="E208" t="n">
        <v>1654</v>
      </c>
      <c r="F208" t="b">
        <v>0</v>
      </c>
      <c r="G208">
        <f>HYPERLINK("https://www.google.com/maps/search/?api=1&amp;query=25.58793191,45.69619133", "View Map")</f>
        <v/>
      </c>
    </row>
    <row r="209">
      <c r="A209" t="inlineStr">
        <is>
          <t xml:space="preserve">            مسجد  رقم5 مخطط(913) .</t>
        </is>
      </c>
      <c r="B209" t="inlineStr">
        <is>
          <t>ECC2020810859092</t>
        </is>
      </c>
      <c r="C209" t="inlineStr">
        <is>
          <t>المجمعة</t>
        </is>
      </c>
      <c r="D209" t="inlineStr">
        <is>
          <t>كلا الفترتين</t>
        </is>
      </c>
      <c r="E209" t="n">
        <v>1650</v>
      </c>
      <c r="F209" t="b">
        <v>0</v>
      </c>
      <c r="G209">
        <f>HYPERLINK("https://www.google.com/maps/search/?api=1&amp;query=25.91211118,45.39332884", "View Map")</f>
        <v/>
      </c>
    </row>
    <row r="210">
      <c r="A210" t="inlineStr">
        <is>
          <t xml:space="preserve">   مسجدالشيخ محمدالحسينان .</t>
        </is>
      </c>
      <c r="B210" t="inlineStr">
        <is>
          <t>KFM2020760207750</t>
        </is>
      </c>
      <c r="C210" t="inlineStr">
        <is>
          <t>حريملاء</t>
        </is>
      </c>
      <c r="D210" t="inlineStr">
        <is>
          <t>كلا الفترتين</t>
        </is>
      </c>
      <c r="E210" t="n">
        <v>1637</v>
      </c>
      <c r="F210" t="b">
        <v>1</v>
      </c>
      <c r="G210">
        <f>HYPERLINK("https://www.google.com/maps/search/?api=1&amp;query=25.10589456,46.09221587", "View Map")</f>
        <v/>
      </c>
    </row>
    <row r="211">
      <c r="A211" t="inlineStr">
        <is>
          <t xml:space="preserve">     مسجد ادارة التعليم .</t>
        </is>
      </c>
      <c r="B211" t="inlineStr">
        <is>
          <t>KFM2020660160325</t>
        </is>
      </c>
      <c r="C211" t="inlineStr">
        <is>
          <t>الزلفي</t>
        </is>
      </c>
      <c r="D211" t="inlineStr">
        <is>
          <t>كلا الفترتين</t>
        </is>
      </c>
      <c r="E211" t="n">
        <v>1628</v>
      </c>
      <c r="F211" t="b">
        <v>0</v>
      </c>
      <c r="G211">
        <f>HYPERLINK("https://www.google.com/maps/search/?api=1&amp;query=26.30608873,44.83163698", "View Map")</f>
        <v/>
      </c>
    </row>
    <row r="212">
      <c r="A212" t="inlineStr">
        <is>
          <t xml:space="preserve">   مسجد  ابو ايوب الانصاري .</t>
        </is>
      </c>
      <c r="B212" t="inlineStr">
        <is>
          <t>KFM2020660192427</t>
        </is>
      </c>
      <c r="C212" t="inlineStr">
        <is>
          <t>الزلفي</t>
        </is>
      </c>
      <c r="D212" t="inlineStr">
        <is>
          <t>كلا الفترتين</t>
        </is>
      </c>
      <c r="E212" t="n">
        <v>1628</v>
      </c>
      <c r="F212" t="b">
        <v>0</v>
      </c>
      <c r="G212">
        <f>HYPERLINK("https://www.google.com/maps/search/?api=1&amp;query=26.307408,44.81225835", "View Map")</f>
        <v/>
      </c>
    </row>
    <row r="213">
      <c r="A213" t="inlineStr">
        <is>
          <t xml:space="preserve">   الاوقاف مسجدالامام تركي بن عبدالله .</t>
        </is>
      </c>
      <c r="B213" t="inlineStr">
        <is>
          <t>KFM2020660201587</t>
        </is>
      </c>
      <c r="C213" t="inlineStr">
        <is>
          <t>الزلفي</t>
        </is>
      </c>
      <c r="D213" t="inlineStr">
        <is>
          <t>كلا الفترتين</t>
        </is>
      </c>
      <c r="E213" t="n">
        <v>1628</v>
      </c>
      <c r="F213" t="b">
        <v>1</v>
      </c>
      <c r="G213">
        <f>HYPERLINK("https://www.google.com/maps/search/?api=1&amp;query=26.30360038,44.81267354", "View Map")</f>
        <v/>
      </c>
    </row>
    <row r="214">
      <c r="A214" t="inlineStr">
        <is>
          <t xml:space="preserve">   مسجد العصيمي .</t>
        </is>
      </c>
      <c r="B214" t="inlineStr">
        <is>
          <t>KFM2020766054657</t>
        </is>
      </c>
      <c r="C214" t="inlineStr">
        <is>
          <t>الزلفي</t>
        </is>
      </c>
      <c r="D214" t="inlineStr">
        <is>
          <t>كلا الفترتين</t>
        </is>
      </c>
      <c r="E214" t="n">
        <v>1627</v>
      </c>
      <c r="F214" t="b">
        <v>1</v>
      </c>
      <c r="G214">
        <f>HYPERLINK("https://www.google.com/maps/search/?api=1&amp;query=26.29031212,44.8347721", "View Map")</f>
        <v/>
      </c>
    </row>
    <row r="215">
      <c r="A215" t="inlineStr">
        <is>
          <t xml:space="preserve">   وزارةالحج /   مخطط 111 .</t>
        </is>
      </c>
      <c r="B215" t="inlineStr">
        <is>
          <t>KFM2120660272168</t>
        </is>
      </c>
      <c r="C215" t="inlineStr">
        <is>
          <t>ثادق</t>
        </is>
      </c>
      <c r="D215" t="inlineStr">
        <is>
          <t>كلا الفترتين</t>
        </is>
      </c>
      <c r="E215" t="n">
        <v>1626</v>
      </c>
      <c r="F215" t="b">
        <v>0</v>
      </c>
      <c r="G215">
        <f>HYPERLINK("https://www.google.com/maps/search/?api=1&amp;query=25.27649333,45.86269631", "View Map")</f>
        <v/>
      </c>
    </row>
    <row r="216">
      <c r="A216" t="inlineStr">
        <is>
          <t xml:space="preserve">   جامع عبدالله الناصر السديري بالغاط .</t>
        </is>
      </c>
      <c r="B216" t="inlineStr">
        <is>
          <t>KFM2120660289656</t>
        </is>
      </c>
      <c r="C216" t="inlineStr">
        <is>
          <t>الغاط</t>
        </is>
      </c>
      <c r="D216" t="inlineStr">
        <is>
          <t>كلا الفترتين</t>
        </is>
      </c>
      <c r="E216" t="n">
        <v>1618</v>
      </c>
      <c r="F216" t="b">
        <v>0</v>
      </c>
      <c r="G216">
        <f>HYPERLINK("https://www.google.com/maps/search/?api=1&amp;query=26.02902076,44.9471743", "View Map")</f>
        <v/>
      </c>
    </row>
    <row r="217">
      <c r="A217" t="inlineStr">
        <is>
          <t xml:space="preserve">   جامع العب الكبير .</t>
        </is>
      </c>
      <c r="B217" t="inlineStr">
        <is>
          <t>KFM2020660153706</t>
        </is>
      </c>
      <c r="C217" t="inlineStr">
        <is>
          <t>شقراء</t>
        </is>
      </c>
      <c r="D217" t="inlineStr">
        <is>
          <t>كلا الفترتين</t>
        </is>
      </c>
      <c r="E217" t="n">
        <v>1618</v>
      </c>
      <c r="F217" t="b">
        <v>0</v>
      </c>
      <c r="G217">
        <f>HYPERLINK("https://www.google.com/maps/search/?api=1&amp;query=25.44723793,45.29628393", "View Map")</f>
        <v/>
      </c>
    </row>
    <row r="218">
      <c r="A218" t="inlineStr">
        <is>
          <t xml:space="preserve">  اوقاف تمير/مسجدالخالديةرقم 3م 375 .</t>
        </is>
      </c>
      <c r="B218" t="inlineStr">
        <is>
          <t>AES2120896547488</t>
        </is>
      </c>
      <c r="C218" t="inlineStr">
        <is>
          <t>المجمعة</t>
        </is>
      </c>
      <c r="D218" t="inlineStr">
        <is>
          <t>كلا الفترتين</t>
        </is>
      </c>
      <c r="E218" t="n">
        <v>1615</v>
      </c>
      <c r="F218" t="b">
        <v>0</v>
      </c>
      <c r="G218">
        <f>HYPERLINK("https://www.google.com/maps/search/?api=1&amp;query=25.69590528,45.88815379", "View Map")</f>
        <v/>
      </c>
    </row>
    <row r="219">
      <c r="A219" t="inlineStr">
        <is>
          <t xml:space="preserve">   اوقاف الزلفي مسجدابن حجرالعسقلاني .</t>
        </is>
      </c>
      <c r="B219" t="inlineStr">
        <is>
          <t>KFM2020660210460</t>
        </is>
      </c>
      <c r="C219" t="inlineStr">
        <is>
          <t>الزلفي</t>
        </is>
      </c>
      <c r="D219" t="inlineStr">
        <is>
          <t>كلا الفترتين</t>
        </is>
      </c>
      <c r="E219" t="n">
        <v>1611</v>
      </c>
      <c r="F219" t="b">
        <v>1</v>
      </c>
      <c r="G219">
        <f>HYPERLINK("https://www.google.com/maps/search/?api=1&amp;query=26.29023158,44.81705732", "View Map")</f>
        <v/>
      </c>
    </row>
    <row r="220">
      <c r="A220" t="inlineStr">
        <is>
          <t xml:space="preserve">      دخيلالله ميريك / مسجد .</t>
        </is>
      </c>
      <c r="B220" t="inlineStr">
        <is>
          <t>AES2020896369564</t>
        </is>
      </c>
      <c r="C220" t="inlineStr">
        <is>
          <t>المجمعة</t>
        </is>
      </c>
      <c r="D220" t="inlineStr">
        <is>
          <t>كلا الفترتين</t>
        </is>
      </c>
      <c r="E220" t="n">
        <v>1610</v>
      </c>
      <c r="F220" t="b">
        <v>0</v>
      </c>
      <c r="G220">
        <f>HYPERLINK("https://www.google.com/maps/search/?api=1&amp;query=26.5090677,45.34735978", "View Map")</f>
        <v/>
      </c>
    </row>
    <row r="221">
      <c r="A221" t="inlineStr">
        <is>
          <t xml:space="preserve">   مسجد عبدالرحمن بن حسان .</t>
        </is>
      </c>
      <c r="B221" t="inlineStr">
        <is>
          <t>KFM2020660160322</t>
        </is>
      </c>
      <c r="C221" t="inlineStr">
        <is>
          <t>الزلفي</t>
        </is>
      </c>
      <c r="D221" t="inlineStr">
        <is>
          <t>كلا الفترتين</t>
        </is>
      </c>
      <c r="E221" t="n">
        <v>1604</v>
      </c>
      <c r="F221" t="b">
        <v>1</v>
      </c>
      <c r="G221">
        <f>HYPERLINK("https://www.google.com/maps/search/?api=1&amp;query=26.30819051,44.80069002", "View Map")</f>
        <v/>
      </c>
    </row>
    <row r="222">
      <c r="A222" t="inlineStr">
        <is>
          <t>مسجد والدة سليمان محمد السليم .</t>
        </is>
      </c>
      <c r="B222" t="inlineStr">
        <is>
          <t>SMR2320661020719</t>
        </is>
      </c>
      <c r="C222" t="inlineStr">
        <is>
          <t>مرات</t>
        </is>
      </c>
      <c r="D222" t="inlineStr">
        <is>
          <t>كلا الفترتين</t>
        </is>
      </c>
      <c r="E222" t="n">
        <v>1599</v>
      </c>
      <c r="F222" t="b">
        <v>0</v>
      </c>
      <c r="G222">
        <f>HYPERLINK("https://www.google.com/maps/search/?api=1&amp;query=25.07266508,45.46108788", "View Map")</f>
        <v/>
      </c>
    </row>
    <row r="223">
      <c r="A223" t="inlineStr">
        <is>
          <t xml:space="preserve">      مـسـجـد 409ا باالحوطه .</t>
        </is>
      </c>
      <c r="B223" t="inlineStr">
        <is>
          <t>KFM2020766146146</t>
        </is>
      </c>
      <c r="C223" t="inlineStr">
        <is>
          <t>المجمعة</t>
        </is>
      </c>
      <c r="D223" t="inlineStr">
        <is>
          <t>كلا الفترتين</t>
        </is>
      </c>
      <c r="E223" t="n">
        <v>1594</v>
      </c>
      <c r="F223" t="b">
        <v>0</v>
      </c>
      <c r="G223">
        <f>HYPERLINK("https://www.google.com/maps/search/?api=1&amp;query=25.60174848,45.62442469", "View Map")</f>
        <v/>
      </c>
    </row>
    <row r="224">
      <c r="A224" t="inlineStr">
        <is>
          <t xml:space="preserve">   الاوقاف مسجدعبدالرحمن الداخل .</t>
        </is>
      </c>
      <c r="B224" t="inlineStr">
        <is>
          <t>KFM2120660236133</t>
        </is>
      </c>
      <c r="C224" t="inlineStr">
        <is>
          <t>الزلفي</t>
        </is>
      </c>
      <c r="D224" t="inlineStr">
        <is>
          <t>كلا الفترتين</t>
        </is>
      </c>
      <c r="E224" t="n">
        <v>1594</v>
      </c>
      <c r="F224" t="b">
        <v>1</v>
      </c>
      <c r="G224">
        <f>HYPERLINK("https://www.google.com/maps/search/?api=1&amp;query=26.30604042,44.80007916", "View Map")</f>
        <v/>
      </c>
    </row>
    <row r="225">
      <c r="A225" t="inlineStr">
        <is>
          <t>ﺃﻭﻗﺎﻑ ﻭﻤﺴﺎﺠﺩ ﺭﻤﺎﺡ .</t>
        </is>
      </c>
      <c r="B225" t="inlineStr">
        <is>
          <t>SMR2320761031335</t>
        </is>
      </c>
      <c r="C225" t="inlineStr">
        <is>
          <t>رماح</t>
        </is>
      </c>
      <c r="D225" t="inlineStr">
        <is>
          <t>كلا الفترتين</t>
        </is>
      </c>
      <c r="E225" t="n">
        <v>1592</v>
      </c>
      <c r="F225" t="b">
        <v>0</v>
      </c>
      <c r="G225">
        <f>HYPERLINK("https://www.google.com/maps/search/?api=1&amp;query=25.55198712,47.17972003", "View Map")</f>
        <v/>
      </c>
    </row>
    <row r="226">
      <c r="A226" t="inlineStr">
        <is>
          <t xml:space="preserve">      جــــامــــع مخطط رغبه .</t>
        </is>
      </c>
      <c r="B226" t="inlineStr">
        <is>
          <t>KFM2120660275718</t>
        </is>
      </c>
      <c r="C226" t="inlineStr">
        <is>
          <t>ثادق</t>
        </is>
      </c>
      <c r="D226" t="inlineStr">
        <is>
          <t>كلا الفترتين</t>
        </is>
      </c>
      <c r="E226" t="n">
        <v>1591</v>
      </c>
      <c r="F226" t="b">
        <v>1</v>
      </c>
      <c r="G226">
        <f>HYPERLINK("https://www.google.com/maps/search/?api=1&amp;query=25.17208609,45.80203158", "View Map")</f>
        <v/>
      </c>
    </row>
    <row r="227">
      <c r="A227" t="inlineStr">
        <is>
          <t>ﺃﻭﻗﺎﻑ ﻭﻤﺴﺎﺠﺩ ﺍﻟﻭﺸﻡ .</t>
        </is>
      </c>
      <c r="B227" t="inlineStr">
        <is>
          <t>KFM2020766062468</t>
        </is>
      </c>
      <c r="C227" t="inlineStr">
        <is>
          <t>شقراء</t>
        </is>
      </c>
      <c r="D227" t="inlineStr">
        <is>
          <t>كلا الفترتين</t>
        </is>
      </c>
      <c r="E227" t="n">
        <v>1588</v>
      </c>
      <c r="F227" t="b">
        <v>0</v>
      </c>
      <c r="G227">
        <f>HYPERLINK("https://www.google.com/maps/search/?api=1&amp;query=25.21279976,45.26649344", "View Map")</f>
        <v/>
      </c>
    </row>
    <row r="228">
      <c r="A228" t="inlineStr">
        <is>
          <t xml:space="preserve">   ادارةالا وقاف  والدعوه والارشاد .</t>
        </is>
      </c>
      <c r="B228" t="inlineStr">
        <is>
          <t>KFM2020766158632</t>
        </is>
      </c>
      <c r="C228" t="inlineStr">
        <is>
          <t>ثادق</t>
        </is>
      </c>
      <c r="D228" t="inlineStr">
        <is>
          <t>كلا الفترتين</t>
        </is>
      </c>
      <c r="E228" t="n">
        <v>1586</v>
      </c>
      <c r="F228" t="b">
        <v>0</v>
      </c>
      <c r="G228">
        <f>HYPERLINK("https://www.google.com/maps/search/?api=1&amp;query=25.28071726,45.86699026", "View Map")</f>
        <v/>
      </c>
    </row>
    <row r="229">
      <c r="A229" t="inlineStr">
        <is>
          <t xml:space="preserve">   اوقاف مرات مسجدحي واسط جنوب لبخه .</t>
        </is>
      </c>
      <c r="B229" t="inlineStr">
        <is>
          <t>KFM2020766122226</t>
        </is>
      </c>
      <c r="C229" t="inlineStr">
        <is>
          <t>مرات</t>
        </is>
      </c>
      <c r="D229" t="inlineStr">
        <is>
          <t>كلا الفترتين</t>
        </is>
      </c>
      <c r="E229" t="n">
        <v>1577</v>
      </c>
      <c r="F229" t="b">
        <v>0</v>
      </c>
      <c r="G229">
        <f>HYPERLINK("https://www.google.com/maps/search/?api=1&amp;query=24.44878782,45.44294053", "View Map")</f>
        <v/>
      </c>
    </row>
    <row r="230">
      <c r="A230" t="inlineStr">
        <is>
          <t xml:space="preserve">   أوقاف الزلفي مسجدالرحماء .</t>
        </is>
      </c>
      <c r="B230" t="inlineStr">
        <is>
          <t>KFM2020766133308</t>
        </is>
      </c>
      <c r="C230" t="inlineStr">
        <is>
          <t>الزلفي</t>
        </is>
      </c>
      <c r="D230" t="inlineStr">
        <is>
          <t>كلا الفترتين</t>
        </is>
      </c>
      <c r="E230" t="n">
        <v>1575</v>
      </c>
      <c r="F230" t="b">
        <v>1</v>
      </c>
      <c r="G230">
        <f>HYPERLINK("https://www.google.com/maps/search/?api=1&amp;query=26.30942257,44.82849288", "View Map")</f>
        <v/>
      </c>
    </row>
    <row r="231">
      <c r="A231" t="inlineStr">
        <is>
          <t>ﻓﺭﻉ ﺍﻻﻭﻗﺎﻑ ﺒﺤﻭﻁﻩ ﺴﺩﻴﺭ .</t>
        </is>
      </c>
      <c r="B231" t="inlineStr">
        <is>
          <t>SMR2420761037752</t>
        </is>
      </c>
      <c r="C231" t="inlineStr">
        <is>
          <t>المجمعة</t>
        </is>
      </c>
      <c r="D231" t="inlineStr">
        <is>
          <t>كلا الفترتين</t>
        </is>
      </c>
      <c r="E231" t="n">
        <v>1574</v>
      </c>
      <c r="F231" t="b">
        <v>0</v>
      </c>
      <c r="G231">
        <f>HYPERLINK("https://www.google.com/maps/search/?api=1&amp;query=25.70534008,45.47195997", "View Map")</f>
        <v/>
      </c>
    </row>
    <row r="232">
      <c r="A232" t="inlineStr">
        <is>
          <t xml:space="preserve">   مسجد/الملك عبدالعزيز بالسحيمي .</t>
        </is>
      </c>
      <c r="B232" t="inlineStr">
        <is>
          <t>KFM2020660209900</t>
        </is>
      </c>
      <c r="C232" t="inlineStr">
        <is>
          <t>المجمعة</t>
        </is>
      </c>
      <c r="D232" t="inlineStr">
        <is>
          <t>كلا الفترتين</t>
        </is>
      </c>
      <c r="E232" t="n">
        <v>1564</v>
      </c>
      <c r="F232" t="b">
        <v>0</v>
      </c>
      <c r="G232">
        <f>HYPERLINK("https://www.google.com/maps/search/?api=1&amp;query=26.63710087,45.27251216", "View Map")</f>
        <v/>
      </c>
    </row>
    <row r="233">
      <c r="A233" t="inlineStr">
        <is>
          <t xml:space="preserve">   مسجد ناصر المحرج .</t>
        </is>
      </c>
      <c r="B233" t="inlineStr">
        <is>
          <t>KFM2020660210499</t>
        </is>
      </c>
      <c r="C233" t="inlineStr">
        <is>
          <t>المجمعة</t>
        </is>
      </c>
      <c r="D233" t="inlineStr">
        <is>
          <t>كلا الفترتين</t>
        </is>
      </c>
      <c r="E233" t="n">
        <v>1564</v>
      </c>
      <c r="F233" t="b">
        <v>0</v>
      </c>
      <c r="G233">
        <f>HYPERLINK("https://www.google.com/maps/search/?api=1&amp;query=25.89825886,45.3602935", "View Map")</f>
        <v/>
      </c>
    </row>
    <row r="234">
      <c r="A234" t="inlineStr">
        <is>
          <t xml:space="preserve">   مسجدمحمداحمدالمسعر .</t>
        </is>
      </c>
      <c r="B234" t="inlineStr">
        <is>
          <t>AES2020896435313</t>
        </is>
      </c>
      <c r="C234" t="inlineStr">
        <is>
          <t>الزلفي</t>
        </is>
      </c>
      <c r="D234" t="inlineStr">
        <is>
          <t>كلا الفترتين</t>
        </is>
      </c>
      <c r="E234" t="n">
        <v>1563</v>
      </c>
      <c r="F234" t="b">
        <v>0</v>
      </c>
      <c r="G234">
        <f>HYPERLINK("https://www.google.com/maps/search/?api=1&amp;query=26.28943424,44.84078183", "View Map")</f>
        <v/>
      </c>
    </row>
    <row r="235">
      <c r="A235" t="inlineStr">
        <is>
          <t xml:space="preserve">   مسجد عبدالله الفجر .</t>
        </is>
      </c>
      <c r="B235" t="inlineStr">
        <is>
          <t>KFM2020766040440</t>
        </is>
      </c>
      <c r="C235" t="inlineStr">
        <is>
          <t>الغاط</t>
        </is>
      </c>
      <c r="D235" t="inlineStr">
        <is>
          <t>كلا الفترتين</t>
        </is>
      </c>
      <c r="E235" t="n">
        <v>1559</v>
      </c>
      <c r="F235" t="b">
        <v>1</v>
      </c>
      <c r="G235">
        <f>HYPERLINK("https://www.google.com/maps/search/?api=1&amp;query=26.03556668,44.93329609", "View Map")</f>
        <v/>
      </c>
    </row>
    <row r="236">
      <c r="A236" t="inlineStr">
        <is>
          <t xml:space="preserve">   مسجد/الحي الجنوبيه .</t>
        </is>
      </c>
      <c r="B236" t="inlineStr">
        <is>
          <t>KFM2020766161946</t>
        </is>
      </c>
      <c r="C236" t="inlineStr">
        <is>
          <t>المجمعة</t>
        </is>
      </c>
      <c r="D236" t="inlineStr">
        <is>
          <t>كلا الفترتين</t>
        </is>
      </c>
      <c r="E236" t="n">
        <v>1556</v>
      </c>
      <c r="F236" t="b">
        <v>0</v>
      </c>
      <c r="G236">
        <f>HYPERLINK("https://www.google.com/maps/search/?api=1&amp;query=26.86940434,45.2427869", "View Map")</f>
        <v/>
      </c>
    </row>
    <row r="237">
      <c r="A237" t="inlineStr">
        <is>
          <t xml:space="preserve">   مسجد الهيئه .</t>
        </is>
      </c>
      <c r="B237" t="inlineStr">
        <is>
          <t>KFM2020766161972</t>
        </is>
      </c>
      <c r="C237" t="inlineStr">
        <is>
          <t>الزلفي</t>
        </is>
      </c>
      <c r="D237" t="inlineStr">
        <is>
          <t>كلا الفترتين</t>
        </is>
      </c>
      <c r="E237" t="n">
        <v>1548</v>
      </c>
      <c r="F237" t="b">
        <v>1</v>
      </c>
      <c r="G237">
        <f>HYPERLINK("https://www.google.com/maps/search/?api=1&amp;query=26.30088647,44.81922226", "View Map")</f>
        <v/>
      </c>
    </row>
    <row r="238">
      <c r="A238" t="inlineStr">
        <is>
          <t>ﺃﻭﻗﺎﻑ ﻭﻤﺴﺎﺠﺩ ﺭﻤﺎﺡ .</t>
        </is>
      </c>
      <c r="B238" t="inlineStr">
        <is>
          <t>GTR2320890757131</t>
        </is>
      </c>
      <c r="C238" t="inlineStr">
        <is>
          <t>رماح</t>
        </is>
      </c>
      <c r="D238" t="inlineStr">
        <is>
          <t>كلا الفترتين</t>
        </is>
      </c>
      <c r="E238" t="n">
        <v>1546</v>
      </c>
      <c r="F238" t="b">
        <v>1</v>
      </c>
      <c r="G238">
        <f>HYPERLINK("https://www.google.com/maps/search/?api=1&amp;query=25.55042611,47.16719384", "View Map")</f>
        <v/>
      </c>
    </row>
    <row r="239">
      <c r="A239" t="inlineStr">
        <is>
          <t xml:space="preserve">   مسجد شرق العوده .</t>
        </is>
      </c>
      <c r="B239" t="inlineStr">
        <is>
          <t>KFM2020766145762</t>
        </is>
      </c>
      <c r="C239" t="inlineStr">
        <is>
          <t>المجمعة</t>
        </is>
      </c>
      <c r="D239" t="inlineStr">
        <is>
          <t>كلا الفترتين</t>
        </is>
      </c>
      <c r="E239" t="n">
        <v>1543</v>
      </c>
      <c r="F239" t="b">
        <v>0</v>
      </c>
      <c r="G239">
        <f>HYPERLINK("https://www.google.com/maps/search/?api=1&amp;query=25.55638288,45.68421005", "View Map")</f>
        <v/>
      </c>
    </row>
    <row r="240">
      <c r="A240" t="inlineStr">
        <is>
          <t xml:space="preserve">   اوقاف الزلفى مسجد حمود الشايع .</t>
        </is>
      </c>
      <c r="B240" t="inlineStr">
        <is>
          <t>KFM2020660188228</t>
        </is>
      </c>
      <c r="C240" t="inlineStr">
        <is>
          <t>الزلفي</t>
        </is>
      </c>
      <c r="D240" t="inlineStr">
        <is>
          <t>كلا الفترتين</t>
        </is>
      </c>
      <c r="E240" t="n">
        <v>1541</v>
      </c>
      <c r="F240" t="b">
        <v>1</v>
      </c>
      <c r="G240">
        <f>HYPERLINK("https://www.google.com/maps/search/?api=1&amp;query=26.29900201,44.79862389", "View Map")</f>
        <v/>
      </c>
    </row>
    <row r="241">
      <c r="A241" t="inlineStr">
        <is>
          <t xml:space="preserve">      مسجد الداخله .</t>
        </is>
      </c>
      <c r="B241" t="inlineStr">
        <is>
          <t>KFM2020660211623</t>
        </is>
      </c>
      <c r="C241" t="inlineStr">
        <is>
          <t>المجمعة</t>
        </is>
      </c>
      <c r="D241" t="inlineStr">
        <is>
          <t>كلا الفترتين</t>
        </is>
      </c>
      <c r="E241" t="n">
        <v>1532</v>
      </c>
      <c r="F241" t="b">
        <v>1</v>
      </c>
      <c r="G241">
        <f>HYPERLINK("https://www.google.com/maps/search/?api=1&amp;query=25.62337307,45.57722311", "View Map")</f>
        <v/>
      </c>
    </row>
    <row r="242">
      <c r="A242" t="inlineStr">
        <is>
          <t xml:space="preserve">    مسجد حى الملك فهد/ع المغامس .</t>
        </is>
      </c>
      <c r="B242" t="inlineStr">
        <is>
          <t>KFM2020766034173</t>
        </is>
      </c>
      <c r="C242" t="inlineStr">
        <is>
          <t>المجمعة</t>
        </is>
      </c>
      <c r="D242" t="inlineStr">
        <is>
          <t>كلا الفترتين</t>
        </is>
      </c>
      <c r="E242" t="n">
        <v>1530</v>
      </c>
      <c r="F242" t="b">
        <v>0</v>
      </c>
      <c r="G242">
        <f>HYPERLINK("https://www.google.com/maps/search/?api=1&amp;query=25.69374397,45.88209094", "View Map")</f>
        <v/>
      </c>
    </row>
    <row r="243">
      <c r="A243" t="inlineStr">
        <is>
          <t xml:space="preserve">   مسجد الحىرقم13 المطار .</t>
        </is>
      </c>
      <c r="B243" t="inlineStr">
        <is>
          <t>KFM2020660209926</t>
        </is>
      </c>
      <c r="C243" t="inlineStr">
        <is>
          <t>الزلفي</t>
        </is>
      </c>
      <c r="D243" t="inlineStr">
        <is>
          <t>كلا الفترتين</t>
        </is>
      </c>
      <c r="E243" t="n">
        <v>1529</v>
      </c>
      <c r="F243" t="b">
        <v>1</v>
      </c>
      <c r="G243">
        <f>HYPERLINK("https://www.google.com/maps/search/?api=1&amp;query=26.31422183,44.82127042", "View Map")</f>
        <v/>
      </c>
    </row>
    <row r="244">
      <c r="A244" t="inlineStr">
        <is>
          <t xml:space="preserve">   مكتب الاوقاف / مسحد الخالديه .</t>
        </is>
      </c>
      <c r="B244" t="inlineStr">
        <is>
          <t>KFM2020660150321</t>
        </is>
      </c>
      <c r="C244" t="inlineStr">
        <is>
          <t>المجمعة</t>
        </is>
      </c>
      <c r="D244" t="inlineStr">
        <is>
          <t>كلا الفترتين</t>
        </is>
      </c>
      <c r="E244" t="n">
        <v>1528</v>
      </c>
      <c r="F244" t="b">
        <v>0</v>
      </c>
      <c r="G244">
        <f>HYPERLINK("https://www.google.com/maps/search/?api=1&amp;query=25.693875,45.88890338", "View Map")</f>
        <v/>
      </c>
    </row>
    <row r="245">
      <c r="A245" t="inlineStr">
        <is>
          <t xml:space="preserve">   جامع الرحبه رقم 6 .</t>
        </is>
      </c>
      <c r="B245" t="inlineStr">
        <is>
          <t>KFM2020660177607</t>
        </is>
      </c>
      <c r="C245" t="inlineStr">
        <is>
          <t>شقراء</t>
        </is>
      </c>
      <c r="D245" t="inlineStr">
        <is>
          <t>كلا الفترتين</t>
        </is>
      </c>
      <c r="E245" t="n">
        <v>1520</v>
      </c>
      <c r="F245" t="b">
        <v>1</v>
      </c>
      <c r="G245">
        <f>HYPERLINK("https://www.google.com/maps/search/?api=1&amp;query=25.25102779,45.23360559", "View Map")</f>
        <v/>
      </c>
    </row>
    <row r="246">
      <c r="A246" t="inlineStr">
        <is>
          <t xml:space="preserve">  مسجد عثمان بن عفان بالغاط .</t>
        </is>
      </c>
      <c r="B246" t="inlineStr">
        <is>
          <t>AES2020896434684</t>
        </is>
      </c>
      <c r="C246" t="inlineStr">
        <is>
          <t>الغاط</t>
        </is>
      </c>
      <c r="D246" t="inlineStr">
        <is>
          <t>كلا الفترتين</t>
        </is>
      </c>
      <c r="E246" t="n">
        <v>1515</v>
      </c>
      <c r="F246" t="b">
        <v>0</v>
      </c>
      <c r="G246">
        <f>HYPERLINK("https://www.google.com/maps/search/?api=1&amp;query=26.03373657,44.9423371", "View Map")</f>
        <v/>
      </c>
    </row>
    <row r="247">
      <c r="A247" t="inlineStr">
        <is>
          <t xml:space="preserve">   مسجد الحى رقم 9 المطار .</t>
        </is>
      </c>
      <c r="B247" t="inlineStr">
        <is>
          <t>KFM2020660207196</t>
        </is>
      </c>
      <c r="C247" t="inlineStr">
        <is>
          <t>الزلفي</t>
        </is>
      </c>
      <c r="D247" t="inlineStr">
        <is>
          <t>كلا الفترتين</t>
        </is>
      </c>
      <c r="E247" t="n">
        <v>1506</v>
      </c>
      <c r="F247" t="b">
        <v>1</v>
      </c>
      <c r="G247">
        <f>HYPERLINK("https://www.google.com/maps/search/?api=1&amp;query=26.31084787,44.82424385", "View Map")</f>
        <v/>
      </c>
    </row>
    <row r="248">
      <c r="A248" t="inlineStr">
        <is>
          <t xml:space="preserve">   مسجدأم حمدان بحي السلام .</t>
        </is>
      </c>
      <c r="B248" t="inlineStr">
        <is>
          <t>KFM2020766067676</t>
        </is>
      </c>
      <c r="C248" t="inlineStr">
        <is>
          <t>الزلفي</t>
        </is>
      </c>
      <c r="D248" t="inlineStr">
        <is>
          <t>كلا الفترتين</t>
        </is>
      </c>
      <c r="E248" t="n">
        <v>1502</v>
      </c>
      <c r="F248" t="b">
        <v>1</v>
      </c>
      <c r="G248">
        <f>HYPERLINK("https://www.google.com/maps/search/?api=1&amp;query=26.31362596,44.83180766", "View Map")</f>
        <v/>
      </c>
    </row>
    <row r="249">
      <c r="A249" t="inlineStr">
        <is>
          <t xml:space="preserve">   مسجد/محطةالطريقي .</t>
        </is>
      </c>
      <c r="B249" t="inlineStr">
        <is>
          <t>KFM2020660156013</t>
        </is>
      </c>
      <c r="C249" t="inlineStr">
        <is>
          <t>الزلفي</t>
        </is>
      </c>
      <c r="D249" t="inlineStr">
        <is>
          <t>كلا الفترتين</t>
        </is>
      </c>
      <c r="E249" t="n">
        <v>1501</v>
      </c>
      <c r="F249" t="b">
        <v>0</v>
      </c>
      <c r="G249">
        <f>HYPERLINK("https://www.google.com/maps/search/?api=1&amp;query=26.31112878,44.81216621", "View Map")</f>
        <v/>
      </c>
    </row>
    <row r="250">
      <c r="A250" t="inlineStr">
        <is>
          <t>ﺍﺩﺍﺭﻩ ﺍﻻﻭﻗﺎﻑ ﻭﺍﻟﻤﺴﺎﺠﺩ .</t>
        </is>
      </c>
      <c r="B250" t="inlineStr">
        <is>
          <t>KFM2020760184569</t>
        </is>
      </c>
      <c r="C250" t="inlineStr">
        <is>
          <t>حريملاء</t>
        </is>
      </c>
      <c r="D250" t="inlineStr">
        <is>
          <t>كلا الفترتين</t>
        </is>
      </c>
      <c r="E250" t="n">
        <v>1489</v>
      </c>
      <c r="F250" t="b">
        <v>0</v>
      </c>
      <c r="G250">
        <f>HYPERLINK("https://www.google.com/maps/search/?api=1&amp;query=25.1146144,46.09004195", "View Map")</f>
        <v/>
      </c>
    </row>
    <row r="251">
      <c r="A251" t="inlineStr">
        <is>
          <t xml:space="preserve">   مسجد صالح و مساعد الحمد .</t>
        </is>
      </c>
      <c r="B251" t="inlineStr">
        <is>
          <t>AES2220896624792</t>
        </is>
      </c>
      <c r="C251" t="inlineStr">
        <is>
          <t>الزلفي</t>
        </is>
      </c>
      <c r="D251" t="inlineStr">
        <is>
          <t>كلا الفترتين</t>
        </is>
      </c>
      <c r="E251" t="n">
        <v>1487</v>
      </c>
      <c r="F251" t="b">
        <v>0</v>
      </c>
      <c r="G251">
        <f>HYPERLINK("https://www.google.com/maps/search/?api=1&amp;query=26.28987005,44.82689857", "View Map")</f>
        <v/>
      </c>
    </row>
    <row r="252">
      <c r="A252" t="inlineStr">
        <is>
          <t xml:space="preserve">   المسجد    الغربي    الحي الجديد .</t>
        </is>
      </c>
      <c r="B252" t="inlineStr">
        <is>
          <t>AEC2020830323301</t>
        </is>
      </c>
      <c r="C252" t="inlineStr">
        <is>
          <t>حريملاء</t>
        </is>
      </c>
      <c r="D252" t="inlineStr">
        <is>
          <t>كلا الفترتين</t>
        </is>
      </c>
      <c r="E252" t="n">
        <v>1485</v>
      </c>
      <c r="F252" t="b">
        <v>0</v>
      </c>
      <c r="G252">
        <f>HYPERLINK("https://www.google.com/maps/search/?api=1&amp;query=25.16544064,46.3237207", "View Map")</f>
        <v/>
      </c>
    </row>
    <row r="253">
      <c r="A253" t="inlineStr">
        <is>
          <t>ﻤﻜﺘﺏ ﺍﻭﻗﺎﻑ ﺍﻟﻤﺠﻤﻌﻩ (ﺍﻟﻤﺴﺎﺠﺩ) .</t>
        </is>
      </c>
      <c r="B253" t="inlineStr">
        <is>
          <t>SMR2320761030620</t>
        </is>
      </c>
      <c r="C253" t="inlineStr">
        <is>
          <t>المجمعة</t>
        </is>
      </c>
      <c r="D253" t="inlineStr">
        <is>
          <t>كلا الفترتين</t>
        </is>
      </c>
      <c r="E253" t="n">
        <v>1480</v>
      </c>
      <c r="F253" t="b">
        <v>0</v>
      </c>
      <c r="G253">
        <f>HYPERLINK("https://www.google.com/maps/search/?api=1&amp;query=25.91100429,45.40429217", "View Map")</f>
        <v/>
      </c>
    </row>
    <row r="254">
      <c r="A254" t="inlineStr">
        <is>
          <t xml:space="preserve">   مسجدربعةالحصون .</t>
        </is>
      </c>
      <c r="B254" t="inlineStr">
        <is>
          <t>KFM2020766062308</t>
        </is>
      </c>
      <c r="C254" t="inlineStr">
        <is>
          <t>المجمعة</t>
        </is>
      </c>
      <c r="D254" t="inlineStr">
        <is>
          <t>كلا الفترتين</t>
        </is>
      </c>
      <c r="E254" t="n">
        <v>1478</v>
      </c>
      <c r="F254" t="b">
        <v>1</v>
      </c>
      <c r="G254">
        <f>HYPERLINK("https://www.google.com/maps/search/?api=1&amp;query=25.60300567,45.60829343", "View Map")</f>
        <v/>
      </c>
    </row>
    <row r="255">
      <c r="A255" t="inlineStr">
        <is>
          <t xml:space="preserve">   مسجد      رقم(4)    رقم(408) .</t>
        </is>
      </c>
      <c r="B255" t="inlineStr">
        <is>
          <t>AEC2020830324260</t>
        </is>
      </c>
      <c r="C255" t="inlineStr">
        <is>
          <t>حريملاء</t>
        </is>
      </c>
      <c r="D255" t="inlineStr">
        <is>
          <t>كلا الفترتين</t>
        </is>
      </c>
      <c r="E255" t="n">
        <v>1477</v>
      </c>
      <c r="F255" t="b">
        <v>0</v>
      </c>
      <c r="G255">
        <f>HYPERLINK("https://www.google.com/maps/search/?api=1&amp;query=25.16980664,46.32993704", "View Map")</f>
        <v/>
      </c>
    </row>
    <row r="256">
      <c r="A256" t="inlineStr">
        <is>
          <t xml:space="preserve">      مسجد شارع المحطه .</t>
        </is>
      </c>
      <c r="B256" t="inlineStr">
        <is>
          <t>KFM2020766062295</t>
        </is>
      </c>
      <c r="C256" t="inlineStr">
        <is>
          <t>المجمعة</t>
        </is>
      </c>
      <c r="D256" t="inlineStr">
        <is>
          <t>كلا الفترتين</t>
        </is>
      </c>
      <c r="E256" t="n">
        <v>1465</v>
      </c>
      <c r="F256" t="b">
        <v>1</v>
      </c>
      <c r="G256">
        <f>HYPERLINK("https://www.google.com/maps/search/?api=1&amp;query=25.67526821,45.45331772", "View Map")</f>
        <v/>
      </c>
    </row>
    <row r="257">
      <c r="A257" t="inlineStr">
        <is>
          <t xml:space="preserve">   مسجد محمد التركي .</t>
        </is>
      </c>
      <c r="B257" t="inlineStr">
        <is>
          <t>KFM2120660251170</t>
        </is>
      </c>
      <c r="C257" t="inlineStr">
        <is>
          <t>المجمعة</t>
        </is>
      </c>
      <c r="D257" t="inlineStr">
        <is>
          <t>كلا الفترتين</t>
        </is>
      </c>
      <c r="E257" t="n">
        <v>1454</v>
      </c>
      <c r="F257" t="b">
        <v>0</v>
      </c>
      <c r="G257">
        <f>HYPERLINK("https://www.google.com/maps/search/?api=1&amp;query=25.90048975,45.37221019", "View Map")</f>
        <v/>
      </c>
    </row>
    <row r="258">
      <c r="A258" t="inlineStr">
        <is>
          <t xml:space="preserve">    مسجد زيد المنيفي .</t>
        </is>
      </c>
      <c r="B258" t="inlineStr">
        <is>
          <t>KFM2020660150369</t>
        </is>
      </c>
      <c r="C258" t="inlineStr">
        <is>
          <t>الزلفي</t>
        </is>
      </c>
      <c r="D258" t="inlineStr">
        <is>
          <t>كلا الفترتين</t>
        </is>
      </c>
      <c r="E258" t="n">
        <v>1452</v>
      </c>
      <c r="F258" t="b">
        <v>1</v>
      </c>
      <c r="G258">
        <f>HYPERLINK("https://www.google.com/maps/search/?api=1&amp;query=26.29128665,44.83709874", "View Map")</f>
        <v/>
      </c>
    </row>
    <row r="259">
      <c r="A259" t="inlineStr">
        <is>
          <t xml:space="preserve">   مسجد القشعمى .</t>
        </is>
      </c>
      <c r="B259" t="inlineStr">
        <is>
          <t>KFM2020660228121</t>
        </is>
      </c>
      <c r="C259" t="inlineStr">
        <is>
          <t>الزلفي</t>
        </is>
      </c>
      <c r="D259" t="inlineStr">
        <is>
          <t>كلا الفترتين</t>
        </is>
      </c>
      <c r="E259" t="n">
        <v>1444</v>
      </c>
      <c r="F259" t="b">
        <v>1</v>
      </c>
      <c r="G259">
        <f>HYPERLINK("https://www.google.com/maps/search/?api=1&amp;query=26.29423433,44.82305807", "View Map")</f>
        <v/>
      </c>
    </row>
    <row r="260">
      <c r="A260" t="inlineStr">
        <is>
          <t xml:space="preserve">   مسجدالخالديةرقم 2/ .</t>
        </is>
      </c>
      <c r="B260" t="inlineStr">
        <is>
          <t>KFM2020766095278</t>
        </is>
      </c>
      <c r="C260" t="inlineStr">
        <is>
          <t>المجمعة</t>
        </is>
      </c>
      <c r="D260" t="inlineStr">
        <is>
          <t>كلا الفترتين</t>
        </is>
      </c>
      <c r="E260" t="n">
        <v>1443</v>
      </c>
      <c r="F260" t="b">
        <v>1</v>
      </c>
      <c r="G260">
        <f>HYPERLINK("https://www.google.com/maps/search/?api=1&amp;query=25.69447891,45.89125791", "View Map")</f>
        <v/>
      </c>
    </row>
    <row r="261">
      <c r="A261" t="inlineStr">
        <is>
          <t xml:space="preserve">   أوقاف الغاط /مسجد بن باز .</t>
        </is>
      </c>
      <c r="B261" t="inlineStr">
        <is>
          <t>KFM2120660289627</t>
        </is>
      </c>
      <c r="C261" t="inlineStr">
        <is>
          <t>الغاط</t>
        </is>
      </c>
      <c r="D261" t="inlineStr">
        <is>
          <t>كلا الفترتين</t>
        </is>
      </c>
      <c r="E261" t="n">
        <v>1442</v>
      </c>
      <c r="F261" t="b">
        <v>0</v>
      </c>
      <c r="G261">
        <f>HYPERLINK("https://www.google.com/maps/search/?api=1&amp;query=26.02194731,44.95627396", "View Map")</f>
        <v/>
      </c>
    </row>
    <row r="262">
      <c r="A262" t="inlineStr">
        <is>
          <t>ﺍﺩﺍﺭﻩ ﺍﻻﻭﻗﺎﻑ ﻭﺍﻟﻤﺴﺎﺠﺩ .</t>
        </is>
      </c>
      <c r="B262" t="inlineStr">
        <is>
          <t>ECC2420841104222</t>
        </is>
      </c>
      <c r="C262" t="inlineStr">
        <is>
          <t>حريملاء</t>
        </is>
      </c>
      <c r="D262" t="inlineStr">
        <is>
          <t>كلا الفترتين</t>
        </is>
      </c>
      <c r="E262" t="n">
        <v>1439</v>
      </c>
      <c r="F262" t="b">
        <v>0</v>
      </c>
      <c r="G262">
        <f>HYPERLINK("https://www.google.com/maps/search/?api=1&amp;query=25.16919687,46.33634203", "View Map")</f>
        <v/>
      </c>
    </row>
    <row r="263">
      <c r="A263" t="inlineStr">
        <is>
          <t xml:space="preserve">   اوقاف     تمير      حى الملك فيص .</t>
        </is>
      </c>
      <c r="B263" t="inlineStr">
        <is>
          <t>KFM2020766034177</t>
        </is>
      </c>
      <c r="C263" t="inlineStr">
        <is>
          <t>المجمعة</t>
        </is>
      </c>
      <c r="D263" t="inlineStr">
        <is>
          <t>كلا الفترتين</t>
        </is>
      </c>
      <c r="E263" t="n">
        <v>1439</v>
      </c>
      <c r="F263" t="b">
        <v>1</v>
      </c>
      <c r="G263">
        <f>HYPERLINK("https://www.google.com/maps/search/?api=1&amp;query=25.7108,45.8628", "View Map")</f>
        <v/>
      </c>
    </row>
    <row r="264">
      <c r="A264" t="inlineStr">
        <is>
          <t xml:space="preserve">   مسجد عبدالله احمد الراشد .</t>
        </is>
      </c>
      <c r="B264" t="inlineStr">
        <is>
          <t>KFM2020766040416</t>
        </is>
      </c>
      <c r="C264" t="inlineStr">
        <is>
          <t>الغاط</t>
        </is>
      </c>
      <c r="D264" t="inlineStr">
        <is>
          <t>كلا الفترتين</t>
        </is>
      </c>
      <c r="E264" t="n">
        <v>1433</v>
      </c>
      <c r="F264" t="b">
        <v>0</v>
      </c>
      <c r="G264">
        <f>HYPERLINK("https://www.google.com/maps/search/?api=1&amp;query=26.02051471,44.94877729", "View Map")</f>
        <v/>
      </c>
    </row>
    <row r="265">
      <c r="A265" t="inlineStr">
        <is>
          <t xml:space="preserve">      مسجد الشعيبه .</t>
        </is>
      </c>
      <c r="B265" t="inlineStr">
        <is>
          <t>KFM2120660270192</t>
        </is>
      </c>
      <c r="C265" t="inlineStr">
        <is>
          <t>المجمعة</t>
        </is>
      </c>
      <c r="D265" t="inlineStr">
        <is>
          <t>كلا الفترتين</t>
        </is>
      </c>
      <c r="E265" t="n">
        <v>1433</v>
      </c>
      <c r="F265" t="b">
        <v>1</v>
      </c>
      <c r="G265">
        <f>HYPERLINK("https://www.google.com/maps/search/?api=1&amp;query=25.67305151,45.45895749", "View Map")</f>
        <v/>
      </c>
    </row>
    <row r="266">
      <c r="A266" t="inlineStr">
        <is>
          <t xml:space="preserve">    مسجد أحمد أبانمي بالغاط .</t>
        </is>
      </c>
      <c r="B266" t="inlineStr">
        <is>
          <t>KFM2120660284171</t>
        </is>
      </c>
      <c r="C266" t="inlineStr">
        <is>
          <t>الغاط</t>
        </is>
      </c>
      <c r="D266" t="inlineStr">
        <is>
          <t>كلا الفترتين</t>
        </is>
      </c>
      <c r="E266" t="n">
        <v>1431</v>
      </c>
      <c r="F266" t="b">
        <v>0</v>
      </c>
      <c r="G266">
        <f>HYPERLINK("https://www.google.com/maps/search/?api=1&amp;query=26.02780234,44.94282068", "View Map")</f>
        <v/>
      </c>
    </row>
    <row r="267">
      <c r="A267" t="inlineStr">
        <is>
          <t xml:space="preserve">      اوقاف الزلفى مسجد حى(5) .</t>
        </is>
      </c>
      <c r="B267" t="inlineStr">
        <is>
          <t>KFM2020660228163</t>
        </is>
      </c>
      <c r="C267" t="inlineStr">
        <is>
          <t>الزلفي</t>
        </is>
      </c>
      <c r="D267" t="inlineStr">
        <is>
          <t>كلا الفترتين</t>
        </is>
      </c>
      <c r="E267" t="n">
        <v>1430</v>
      </c>
      <c r="F267" t="b">
        <v>1</v>
      </c>
      <c r="G267">
        <f>HYPERLINK("https://www.google.com/maps/search/?api=1&amp;query=26.29242224,44.82905882", "View Map")</f>
        <v/>
      </c>
    </row>
    <row r="268">
      <c r="A268" t="inlineStr">
        <is>
          <t>مسجد العياد .</t>
        </is>
      </c>
      <c r="B268" t="inlineStr">
        <is>
          <t>KFM2020760115609</t>
        </is>
      </c>
      <c r="C268" t="inlineStr">
        <is>
          <t>المجمعة</t>
        </is>
      </c>
      <c r="D268" t="inlineStr">
        <is>
          <t>كلا الفترتين</t>
        </is>
      </c>
      <c r="E268" t="n">
        <v>1427</v>
      </c>
      <c r="F268" t="b">
        <v>0</v>
      </c>
      <c r="G268">
        <f>HYPERLINK("https://www.google.com/maps/search/?api=1&amp;query=25.92158669,45.38114229", "View Map")</f>
        <v/>
      </c>
    </row>
    <row r="269">
      <c r="A269" t="inlineStr">
        <is>
          <t xml:space="preserve">      مـسـجـد المخطط 409ا بالحوطه .</t>
        </is>
      </c>
      <c r="B269" t="inlineStr">
        <is>
          <t>KFM2020660050199</t>
        </is>
      </c>
      <c r="C269" t="inlineStr">
        <is>
          <t>المجمعة</t>
        </is>
      </c>
      <c r="D269" t="inlineStr">
        <is>
          <t>كلا الفترتين</t>
        </is>
      </c>
      <c r="E269" t="n">
        <v>1424</v>
      </c>
      <c r="F269" t="b">
        <v>0</v>
      </c>
      <c r="G269">
        <f>HYPERLINK("https://www.google.com/maps/search/?api=1&amp;query=25.60077785,45.62651126", "View Map")</f>
        <v/>
      </c>
    </row>
    <row r="270">
      <c r="A270" t="inlineStr">
        <is>
          <t xml:space="preserve">   مسجد      عبداللطيف العبدالكريم .</t>
        </is>
      </c>
      <c r="B270" t="inlineStr">
        <is>
          <t>AES2120896565844</t>
        </is>
      </c>
      <c r="C270" t="inlineStr">
        <is>
          <t>المجمعة</t>
        </is>
      </c>
      <c r="D270" t="inlineStr">
        <is>
          <t>كلا الفترتين</t>
        </is>
      </c>
      <c r="E270" t="n">
        <v>1424</v>
      </c>
      <c r="F270" t="b">
        <v>0</v>
      </c>
      <c r="G270">
        <f>HYPERLINK("https://www.google.com/maps/search/?api=1&amp;query=26.49391375,45.34523976", "View Map")</f>
        <v/>
      </c>
    </row>
    <row r="271">
      <c r="A271" t="inlineStr">
        <is>
          <t xml:space="preserve">      المسجد الشمالى .</t>
        </is>
      </c>
      <c r="B271" t="inlineStr">
        <is>
          <t>KFM2020660048551</t>
        </is>
      </c>
      <c r="C271" t="inlineStr">
        <is>
          <t>المجمعة</t>
        </is>
      </c>
      <c r="D271" t="inlineStr">
        <is>
          <t>كلا الفترتين</t>
        </is>
      </c>
      <c r="E271" t="n">
        <v>1419</v>
      </c>
      <c r="F271" t="b">
        <v>0</v>
      </c>
      <c r="G271">
        <f>HYPERLINK("https://www.google.com/maps/search/?api=1&amp;query=25.59624403,45.61288103", "View Map")</f>
        <v/>
      </c>
    </row>
    <row r="272">
      <c r="A272" t="inlineStr">
        <is>
          <t xml:space="preserve">      مسجد/احمدعبداللهالصالحـالاوقاف .</t>
        </is>
      </c>
      <c r="B272" t="inlineStr">
        <is>
          <t>KFM2020660226085</t>
        </is>
      </c>
      <c r="C272" t="inlineStr">
        <is>
          <t>المجمعة</t>
        </is>
      </c>
      <c r="D272" t="inlineStr">
        <is>
          <t>كلا الفترتين</t>
        </is>
      </c>
      <c r="E272" t="n">
        <v>1419</v>
      </c>
      <c r="F272" t="b">
        <v>0</v>
      </c>
      <c r="G272">
        <f>HYPERLINK("https://www.google.com/maps/search/?api=1&amp;query=25.89848637,45.34724455", "View Map")</f>
        <v/>
      </c>
    </row>
    <row r="273">
      <c r="A273" t="inlineStr">
        <is>
          <t xml:space="preserve">   مسجد الصفراء .</t>
        </is>
      </c>
      <c r="B273" t="inlineStr">
        <is>
          <t>KFM2020766154254</t>
        </is>
      </c>
      <c r="C273" t="inlineStr">
        <is>
          <t>شقراء</t>
        </is>
      </c>
      <c r="D273" t="inlineStr">
        <is>
          <t>كلا الفترتين</t>
        </is>
      </c>
      <c r="E273" t="n">
        <v>1415</v>
      </c>
      <c r="F273" t="b">
        <v>0</v>
      </c>
      <c r="G273">
        <f>HYPERLINK("https://www.google.com/maps/search/?api=1&amp;query=25.23282389,45.25779775", "View Map")</f>
        <v/>
      </c>
    </row>
    <row r="274">
      <c r="A274" t="inlineStr">
        <is>
          <t xml:space="preserve">   الاوقاف    مسجد      العسيلان .</t>
        </is>
      </c>
      <c r="B274" t="inlineStr">
        <is>
          <t>AES2020896448084</t>
        </is>
      </c>
      <c r="C274" t="inlineStr">
        <is>
          <t>المجمعة</t>
        </is>
      </c>
      <c r="D274" t="inlineStr">
        <is>
          <t>كلا الفترتين</t>
        </is>
      </c>
      <c r="E274" t="n">
        <v>1411</v>
      </c>
      <c r="F274" t="b">
        <v>0</v>
      </c>
      <c r="G274">
        <f>HYPERLINK("https://www.google.com/maps/search/?api=1&amp;query=25.63169,45.5849", "View Map")</f>
        <v/>
      </c>
    </row>
    <row r="275">
      <c r="A275" t="inlineStr">
        <is>
          <t>مسجد علي شليان .</t>
        </is>
      </c>
      <c r="B275" t="inlineStr">
        <is>
          <t>AEC2020830543719</t>
        </is>
      </c>
      <c r="C275" t="inlineStr">
        <is>
          <t>رماح</t>
        </is>
      </c>
      <c r="D275" t="inlineStr">
        <is>
          <t>كلا الفترتين</t>
        </is>
      </c>
      <c r="E275" t="n">
        <v>1409</v>
      </c>
      <c r="F275" t="b">
        <v>1</v>
      </c>
      <c r="G275">
        <f>HYPERLINK("https://www.google.com/maps/search/?api=1&amp;query=25.56990853,46.98225485", "View Map")</f>
        <v/>
      </c>
    </row>
    <row r="276">
      <c r="A276" t="inlineStr">
        <is>
          <t>مسجد رقم 4 بمخطط 571 بأشيقر .</t>
        </is>
      </c>
      <c r="B276" t="inlineStr">
        <is>
          <t>KFM2020766031926</t>
        </is>
      </c>
      <c r="C276" t="inlineStr">
        <is>
          <t>شقراء</t>
        </is>
      </c>
      <c r="D276" t="inlineStr">
        <is>
          <t>كلا الفترتين</t>
        </is>
      </c>
      <c r="E276" t="n">
        <v>1405</v>
      </c>
      <c r="F276" t="b">
        <v>0</v>
      </c>
      <c r="G276">
        <f>HYPERLINK("https://www.google.com/maps/search/?api=1&amp;query=25.34861061,45.16985348", "View Map")</f>
        <v/>
      </c>
    </row>
    <row r="277">
      <c r="A277" t="inlineStr">
        <is>
          <t>مسجد موافق .</t>
        </is>
      </c>
      <c r="B277" t="inlineStr">
        <is>
          <t>KFM2020660210427</t>
        </is>
      </c>
      <c r="C277" t="inlineStr">
        <is>
          <t>المجمعة</t>
        </is>
      </c>
      <c r="D277" t="inlineStr">
        <is>
          <t>كلا الفترتين</t>
        </is>
      </c>
      <c r="E277" t="n">
        <v>1401</v>
      </c>
      <c r="F277" t="b">
        <v>0</v>
      </c>
      <c r="G277">
        <f>HYPERLINK("https://www.google.com/maps/search/?api=1&amp;query=25.90163736,45.33691919", "View Map")</f>
        <v/>
      </c>
    </row>
    <row r="278">
      <c r="A278" t="inlineStr">
        <is>
          <t xml:space="preserve">   مسجد محمد عبدالرازق .</t>
        </is>
      </c>
      <c r="B278" t="inlineStr">
        <is>
          <t>KFM2020760202519</t>
        </is>
      </c>
      <c r="C278" t="inlineStr">
        <is>
          <t>حريملاء</t>
        </is>
      </c>
      <c r="D278" t="inlineStr">
        <is>
          <t>كلا الفترتين</t>
        </is>
      </c>
      <c r="E278" t="n">
        <v>1397</v>
      </c>
      <c r="F278" t="b">
        <v>0</v>
      </c>
      <c r="G278">
        <f>HYPERLINK("https://www.google.com/maps/search/?api=1&amp;query=25.10901008,46.09743514", "View Map")</f>
        <v/>
      </c>
    </row>
    <row r="279">
      <c r="A279" t="inlineStr">
        <is>
          <t xml:space="preserve">   ادارة الحجوالأوقاف والأرشاد .</t>
        </is>
      </c>
      <c r="B279" t="inlineStr">
        <is>
          <t>KFM2120660272142</t>
        </is>
      </c>
      <c r="C279" t="inlineStr">
        <is>
          <t>ثادق</t>
        </is>
      </c>
      <c r="D279" t="inlineStr">
        <is>
          <t>كلا الفترتين</t>
        </is>
      </c>
      <c r="E279" t="n">
        <v>1394</v>
      </c>
      <c r="F279" t="b">
        <v>0</v>
      </c>
      <c r="G279">
        <f>HYPERLINK("https://www.google.com/maps/search/?api=1&amp;query=25.25897869,45.86708908", "View Map")</f>
        <v/>
      </c>
    </row>
    <row r="280">
      <c r="A280" t="inlineStr">
        <is>
          <t>ﻓﺭﻉ ﺍﻻﻭﻗﺎﻑ ﻭﺍﻟﻤﺴﺎﺠﺩ .</t>
        </is>
      </c>
      <c r="B280" t="inlineStr">
        <is>
          <t>KFM2120660275804</t>
        </is>
      </c>
      <c r="C280" t="inlineStr">
        <is>
          <t>ثادق</t>
        </is>
      </c>
      <c r="D280" t="inlineStr">
        <is>
          <t>كلا الفترتين</t>
        </is>
      </c>
      <c r="E280" t="n">
        <v>1386</v>
      </c>
      <c r="F280" t="b">
        <v>0</v>
      </c>
      <c r="G280">
        <f>HYPERLINK("https://www.google.com/maps/search/?api=1&amp;query=25.29338235,45.79031611", "View Map")</f>
        <v/>
      </c>
    </row>
    <row r="281">
      <c r="A281" t="inlineStr">
        <is>
          <t>مسجد سليمان احمد العتيقي رقم 7 .</t>
        </is>
      </c>
      <c r="B281" t="inlineStr">
        <is>
          <t>KFM2020760115418</t>
        </is>
      </c>
      <c r="C281" t="inlineStr">
        <is>
          <t>المجمعة</t>
        </is>
      </c>
      <c r="D281" t="inlineStr">
        <is>
          <t>كلا الفترتين</t>
        </is>
      </c>
      <c r="E281" t="n">
        <v>1386</v>
      </c>
      <c r="F281" t="b">
        <v>0</v>
      </c>
      <c r="G281">
        <f>HYPERLINK("https://www.google.com/maps/search/?api=1&amp;query=25.90891683,45.36534775", "View Map")</f>
        <v/>
      </c>
    </row>
    <row r="282">
      <c r="A282" t="inlineStr">
        <is>
          <t xml:space="preserve">         مسجد حصيان بملهم .</t>
        </is>
      </c>
      <c r="B282" t="inlineStr">
        <is>
          <t>ECC2020811047006</t>
        </is>
      </c>
      <c r="C282" t="inlineStr">
        <is>
          <t>حريملاء</t>
        </is>
      </c>
      <c r="D282" t="inlineStr">
        <is>
          <t>كلا الفترتين</t>
        </is>
      </c>
      <c r="E282" t="n">
        <v>1384</v>
      </c>
      <c r="F282" t="b">
        <v>0</v>
      </c>
      <c r="G282">
        <f>HYPERLINK("https://www.google.com/maps/search/?api=1&amp;query=25.14405089,46.26464413", "View Map")</f>
        <v/>
      </c>
    </row>
    <row r="283">
      <c r="A283" t="inlineStr">
        <is>
          <t xml:space="preserve">   مسجدالعزيزية مخطط349 /ناصرالفيصل .</t>
        </is>
      </c>
      <c r="B283" t="inlineStr">
        <is>
          <t>KFM2020660140687</t>
        </is>
      </c>
      <c r="C283" t="inlineStr">
        <is>
          <t>المجمعة</t>
        </is>
      </c>
      <c r="D283" t="inlineStr">
        <is>
          <t>كلا الفترتين</t>
        </is>
      </c>
      <c r="E283" t="n">
        <v>1383</v>
      </c>
      <c r="F283" t="b">
        <v>0</v>
      </c>
      <c r="G283">
        <f>HYPERLINK("https://www.google.com/maps/search/?api=1&amp;query=25.71164862,45.86088172", "View Map")</f>
        <v/>
      </c>
    </row>
    <row r="284">
      <c r="A284" t="inlineStr">
        <is>
          <t>مسجد الاسكان .</t>
        </is>
      </c>
      <c r="B284" t="inlineStr">
        <is>
          <t>KFM2120660244060</t>
        </is>
      </c>
      <c r="C284" t="inlineStr">
        <is>
          <t>رماح</t>
        </is>
      </c>
      <c r="D284" t="inlineStr">
        <is>
          <t>كلا الفترتين</t>
        </is>
      </c>
      <c r="E284" t="n">
        <v>1383</v>
      </c>
      <c r="F284" t="b">
        <v>0</v>
      </c>
      <c r="G284">
        <f>HYPERLINK("https://www.google.com/maps/search/?api=1&amp;query=25.57037053,47.15370119", "View Map")</f>
        <v/>
      </c>
    </row>
    <row r="285">
      <c r="A285" t="inlineStr">
        <is>
          <t>ﺍﻭﻗﺎﻑ ﻭﻤﺴﺎﺠﺩ ( ) .</t>
        </is>
      </c>
      <c r="B285" t="inlineStr">
        <is>
          <t>KFM2020660207259</t>
        </is>
      </c>
      <c r="C285" t="inlineStr">
        <is>
          <t>الزلفي</t>
        </is>
      </c>
      <c r="D285" t="inlineStr">
        <is>
          <t>كلا الفترتين</t>
        </is>
      </c>
      <c r="E285" t="n">
        <v>1383</v>
      </c>
      <c r="F285" t="b">
        <v>0</v>
      </c>
      <c r="G285">
        <f>HYPERLINK("https://www.google.com/maps/search/?api=1&amp;query=26.27988985,44.81217049", "View Map")</f>
        <v/>
      </c>
    </row>
    <row r="286">
      <c r="A286" t="inlineStr">
        <is>
          <t>ﺃﻭﻗﺎﻑ ﻭﻤﺴﺎﺠﺩ ﺍﻟﻭﺸﻡ .</t>
        </is>
      </c>
      <c r="B286" t="inlineStr">
        <is>
          <t>AES2020896529010</t>
        </is>
      </c>
      <c r="C286" t="inlineStr">
        <is>
          <t>شقراء</t>
        </is>
      </c>
      <c r="D286" t="inlineStr">
        <is>
          <t>كلا الفترتين</t>
        </is>
      </c>
      <c r="E286" t="n">
        <v>1378</v>
      </c>
      <c r="F286" t="b">
        <v>0</v>
      </c>
      <c r="G286">
        <f>HYPERLINK("https://www.google.com/maps/search/?api=1&amp;query=25.21227148,45.24943444", "View Map")</f>
        <v/>
      </c>
    </row>
    <row r="287">
      <c r="A287" t="inlineStr">
        <is>
          <t xml:space="preserve">   مسجد حديقة الحى الجنوبى .</t>
        </is>
      </c>
      <c r="B287" t="inlineStr">
        <is>
          <t>KFM2020660207352</t>
        </is>
      </c>
      <c r="C287" t="inlineStr">
        <is>
          <t>الزلفي</t>
        </is>
      </c>
      <c r="D287" t="inlineStr">
        <is>
          <t>كلا الفترتين</t>
        </is>
      </c>
      <c r="E287" t="n">
        <v>1377</v>
      </c>
      <c r="F287" t="b">
        <v>1</v>
      </c>
      <c r="G287">
        <f>HYPERLINK("https://www.google.com/maps/search/?api=1&amp;query=26.29369473,44.81495526", "View Map")</f>
        <v/>
      </c>
    </row>
    <row r="288">
      <c r="A288" t="inlineStr">
        <is>
          <t xml:space="preserve">   اوقاف الزلفى / مسجد الحديقه .</t>
        </is>
      </c>
      <c r="B288" t="inlineStr">
        <is>
          <t>KFM2020660150362</t>
        </is>
      </c>
      <c r="C288" t="inlineStr">
        <is>
          <t>الزلفي</t>
        </is>
      </c>
      <c r="D288" t="inlineStr">
        <is>
          <t>كلا الفترتين</t>
        </is>
      </c>
      <c r="E288" t="n">
        <v>1375</v>
      </c>
      <c r="F288" t="b">
        <v>1</v>
      </c>
      <c r="G288">
        <f>HYPERLINK("https://www.google.com/maps/search/?api=1&amp;query=26.29933219,44.83434989", "View Map")</f>
        <v/>
      </c>
    </row>
    <row r="289">
      <c r="A289" t="inlineStr">
        <is>
          <t>ﻤﻜﺘﺏ ﺍﻭﻗﺎﻑ ﺍﻟﻤﺠﻤﻌﻩ (ﺍﻟﻤﺴﺎﺠﺩ) .</t>
        </is>
      </c>
      <c r="B289" t="inlineStr">
        <is>
          <t>AEC2020830284229</t>
        </is>
      </c>
      <c r="C289" t="inlineStr">
        <is>
          <t>المجمعة</t>
        </is>
      </c>
      <c r="D289" t="inlineStr">
        <is>
          <t>كلا الفترتين</t>
        </is>
      </c>
      <c r="E289" t="n">
        <v>1370</v>
      </c>
      <c r="F289" t="b">
        <v>0</v>
      </c>
      <c r="G289">
        <f>HYPERLINK("https://www.google.com/maps/search/?api=1&amp;query=25.92774426,45.39099149", "View Map")</f>
        <v/>
      </c>
    </row>
    <row r="290">
      <c r="A290" t="inlineStr">
        <is>
          <t xml:space="preserve">   مسجد التقى (اوقاف الزلفي). .</t>
        </is>
      </c>
      <c r="B290" t="inlineStr">
        <is>
          <t>KFM2020660210574</t>
        </is>
      </c>
      <c r="C290" t="inlineStr">
        <is>
          <t>الزلفي</t>
        </is>
      </c>
      <c r="D290" t="inlineStr">
        <is>
          <t>كلا الفترتين</t>
        </is>
      </c>
      <c r="E290" t="n">
        <v>1369</v>
      </c>
      <c r="F290" t="b">
        <v>1</v>
      </c>
      <c r="G290">
        <f>HYPERLINK("https://www.google.com/maps/search/?api=1&amp;query=26.32214501,44.82168365", "View Map")</f>
        <v/>
      </c>
    </row>
    <row r="291">
      <c r="A291" t="inlineStr">
        <is>
          <t>ﺍﻭﻗﺎﻑ ﻭﻤﺴﺎﺠﺩ ( ) .</t>
        </is>
      </c>
      <c r="B291" t="inlineStr">
        <is>
          <t>AES2220896624949</t>
        </is>
      </c>
      <c r="C291" t="inlineStr">
        <is>
          <t>الزلفي</t>
        </is>
      </c>
      <c r="D291" t="inlineStr">
        <is>
          <t>كلا الفترتين</t>
        </is>
      </c>
      <c r="E291" t="n">
        <v>1369</v>
      </c>
      <c r="F291" t="b">
        <v>0</v>
      </c>
      <c r="G291">
        <f>HYPERLINK("https://www.google.com/maps/search/?api=1&amp;query=26.33728128,44.81793767", "View Map")</f>
        <v/>
      </c>
    </row>
    <row r="292">
      <c r="A292" t="inlineStr">
        <is>
          <t xml:space="preserve">   مسجد      منيره     الثميري .</t>
        </is>
      </c>
      <c r="B292" t="inlineStr">
        <is>
          <t>KFM2020760178279</t>
        </is>
      </c>
      <c r="C292" t="inlineStr">
        <is>
          <t>حريملاء</t>
        </is>
      </c>
      <c r="D292" t="inlineStr">
        <is>
          <t>كلا الفترتين</t>
        </is>
      </c>
      <c r="E292" t="n">
        <v>1366</v>
      </c>
      <c r="F292" t="b">
        <v>0</v>
      </c>
      <c r="G292">
        <f>HYPERLINK("https://www.google.com/maps/search/?api=1&amp;query=25.16923831,46.33964045", "View Map")</f>
        <v/>
      </c>
    </row>
    <row r="293">
      <c r="A293" t="inlineStr">
        <is>
          <t>ﺍﻭﻗﺎﻑ ﻭﻤﺴﺎﺠﺩ ( ) .</t>
        </is>
      </c>
      <c r="B293" t="inlineStr">
        <is>
          <t>KFM2020766147199</t>
        </is>
      </c>
      <c r="C293" t="inlineStr">
        <is>
          <t>الزلفي</t>
        </is>
      </c>
      <c r="D293" t="inlineStr">
        <is>
          <t>كلا الفترتين</t>
        </is>
      </c>
      <c r="E293" t="n">
        <v>1365</v>
      </c>
      <c r="F293" t="b">
        <v>0</v>
      </c>
      <c r="G293">
        <f>HYPERLINK("https://www.google.com/maps/search/?api=1&amp;query=26.32287771,44.80793044", "View Map")</f>
        <v/>
      </c>
    </row>
    <row r="294">
      <c r="A294" t="inlineStr">
        <is>
          <t xml:space="preserve">   مسجد مخطط 375 .</t>
        </is>
      </c>
      <c r="B294" t="inlineStr">
        <is>
          <t>AEC2020830327742</t>
        </is>
      </c>
      <c r="C294" t="inlineStr">
        <is>
          <t>المجمعة</t>
        </is>
      </c>
      <c r="D294" t="inlineStr">
        <is>
          <t>كلا الفترتين</t>
        </is>
      </c>
      <c r="E294" t="n">
        <v>1359</v>
      </c>
      <c r="F294" t="b">
        <v>1</v>
      </c>
      <c r="G294">
        <f>HYPERLINK("https://www.google.com/maps/search/?api=1&amp;query=26.50001577,45.34959659", "View Map")</f>
        <v/>
      </c>
    </row>
    <row r="295">
      <c r="A295" t="inlineStr">
        <is>
          <t>ﺍﻭﻗﺎﻑ ﻭﻤﺴﺎﺠﺩ ( ) .</t>
        </is>
      </c>
      <c r="B295" t="inlineStr">
        <is>
          <t>MMF2420701013412</t>
        </is>
      </c>
      <c r="C295" t="inlineStr">
        <is>
          <t>الزلفي</t>
        </is>
      </c>
      <c r="D295" t="inlineStr">
        <is>
          <t>كلا الفترتين</t>
        </is>
      </c>
      <c r="E295" t="n">
        <v>1357</v>
      </c>
      <c r="F295" t="b">
        <v>0</v>
      </c>
      <c r="G295">
        <f>HYPERLINK("https://www.google.com/maps/search/?api=1&amp;query=26.27471351,44.83758967", "View Map")</f>
        <v/>
      </c>
    </row>
    <row r="296">
      <c r="A296" t="inlineStr">
        <is>
          <t xml:space="preserve">   اوقاف حوطة سدير مسجد الجنيفى .</t>
        </is>
      </c>
      <c r="B296" t="inlineStr">
        <is>
          <t>KFM2020766067737</t>
        </is>
      </c>
      <c r="C296" t="inlineStr">
        <is>
          <t>المجمعة</t>
        </is>
      </c>
      <c r="D296" t="inlineStr">
        <is>
          <t>كلا الفترتين</t>
        </is>
      </c>
      <c r="E296" t="n">
        <v>1355</v>
      </c>
      <c r="F296" t="b">
        <v>0</v>
      </c>
      <c r="G296">
        <f>HYPERLINK("https://www.google.com/maps/search/?api=1&amp;query=25.57519948,45.65924587", "View Map")</f>
        <v/>
      </c>
    </row>
    <row r="297">
      <c r="A297" t="inlineStr">
        <is>
          <t xml:space="preserve">  MOSQUE  ا   مسجد / عبدالعزيز الحرقان .</t>
        </is>
      </c>
      <c r="B297" t="inlineStr">
        <is>
          <t>KFM2020760207752</t>
        </is>
      </c>
      <c r="C297" t="inlineStr">
        <is>
          <t>حريملاء</t>
        </is>
      </c>
      <c r="D297" t="inlineStr">
        <is>
          <t>كلا الفترتين</t>
        </is>
      </c>
      <c r="E297" t="n">
        <v>1352</v>
      </c>
      <c r="F297" t="b">
        <v>0</v>
      </c>
      <c r="G297">
        <f>HYPERLINK("https://www.google.com/maps/search/?api=1&amp;query=25.10993732,46.10069596", "View Map")</f>
        <v/>
      </c>
    </row>
    <row r="298">
      <c r="A298" t="inlineStr">
        <is>
          <t xml:space="preserve">   مسجدمحمد فهدالسديري .</t>
        </is>
      </c>
      <c r="B298" t="inlineStr">
        <is>
          <t>KFM2120660289667</t>
        </is>
      </c>
      <c r="C298" t="inlineStr">
        <is>
          <t>الغاط</t>
        </is>
      </c>
      <c r="D298" t="inlineStr">
        <is>
          <t>كلا الفترتين</t>
        </is>
      </c>
      <c r="E298" t="n">
        <v>1347</v>
      </c>
      <c r="F298" t="b">
        <v>0</v>
      </c>
      <c r="G298">
        <f>HYPERLINK("https://www.google.com/maps/search/?api=1&amp;query=26.0289987,44.94902882", "View Map")</f>
        <v/>
      </c>
    </row>
    <row r="299">
      <c r="A299" t="inlineStr">
        <is>
          <t xml:space="preserve">   مسجد/شرف الزهره .</t>
        </is>
      </c>
      <c r="B299" t="inlineStr">
        <is>
          <t>KFM2020766154347</t>
        </is>
      </c>
      <c r="C299" t="inlineStr">
        <is>
          <t>المجمعة</t>
        </is>
      </c>
      <c r="D299" t="inlineStr">
        <is>
          <t>كلا الفترتين</t>
        </is>
      </c>
      <c r="E299" t="n">
        <v>1343</v>
      </c>
      <c r="F299" t="b">
        <v>0</v>
      </c>
      <c r="G299">
        <f>HYPERLINK("https://www.google.com/maps/search/?api=1&amp;query=26.46809519,45.35691786", "View Map")</f>
        <v/>
      </c>
    </row>
    <row r="300">
      <c r="A300" t="inlineStr">
        <is>
          <t>ﻓﺭﻉ ﺍﻻﻭﻗﺎﻑ ﻭﺍﻟﻤﺴﺎﺠﺩ .</t>
        </is>
      </c>
      <c r="B300" t="inlineStr">
        <is>
          <t>KFM2020660228581</t>
        </is>
      </c>
      <c r="C300" t="inlineStr">
        <is>
          <t>ثادق</t>
        </is>
      </c>
      <c r="D300" t="inlineStr">
        <is>
          <t>كلا الفترتين</t>
        </is>
      </c>
      <c r="E300" t="n">
        <v>1341</v>
      </c>
      <c r="F300" t="b">
        <v>0</v>
      </c>
      <c r="G300">
        <f>HYPERLINK("https://www.google.com/maps/search/?api=1&amp;query=25.23249072,45.87836293", "View Map")</f>
        <v/>
      </c>
    </row>
    <row r="301">
      <c r="A301" t="inlineStr">
        <is>
          <t xml:space="preserve">   مكتب اوقاف سدير  مسجدعشيره م454 .</t>
        </is>
      </c>
      <c r="B301" t="inlineStr">
        <is>
          <t>KFM2020766104750</t>
        </is>
      </c>
      <c r="C301" t="inlineStr">
        <is>
          <t>المجمعة</t>
        </is>
      </c>
      <c r="D301" t="inlineStr">
        <is>
          <t>كلا الفترتين</t>
        </is>
      </c>
      <c r="E301" t="n">
        <v>1340</v>
      </c>
      <c r="F301" t="b">
        <v>0</v>
      </c>
      <c r="G301">
        <f>HYPERLINK("https://www.google.com/maps/search/?api=1&amp;query=25.60037279,45.7971732", "View Map")</f>
        <v/>
      </c>
    </row>
    <row r="302">
      <c r="A302" t="inlineStr">
        <is>
          <t>ﺍﻭﻗﺎﻑ ﻭﻤﺴﺎﺠﺩ ( ) .</t>
        </is>
      </c>
      <c r="B302" t="inlineStr">
        <is>
          <t>AES2120896574624</t>
        </is>
      </c>
      <c r="C302" t="inlineStr">
        <is>
          <t>الزلفي</t>
        </is>
      </c>
      <c r="D302" t="inlineStr">
        <is>
          <t>كلا الفترتين</t>
        </is>
      </c>
      <c r="E302" t="n">
        <v>1337</v>
      </c>
      <c r="F302" t="b">
        <v>0</v>
      </c>
      <c r="G302">
        <f>HYPERLINK("https://www.google.com/maps/search/?api=1&amp;query=26.30577467,44.89516584", "View Map")</f>
        <v/>
      </c>
    </row>
    <row r="303">
      <c r="A303" t="inlineStr">
        <is>
          <t xml:space="preserve">    مسجد الطواله .</t>
        </is>
      </c>
      <c r="B303" t="inlineStr">
        <is>
          <t>KFM2120660280222</t>
        </is>
      </c>
      <c r="C303" t="inlineStr">
        <is>
          <t>الزلفي</t>
        </is>
      </c>
      <c r="D303" t="inlineStr">
        <is>
          <t>كلا الفترتين</t>
        </is>
      </c>
      <c r="E303" t="n">
        <v>1332</v>
      </c>
      <c r="F303" t="b">
        <v>0</v>
      </c>
      <c r="G303">
        <f>HYPERLINK("https://www.google.com/maps/search/?api=1&amp;query=26.30471169,44.8083257", "View Map")</f>
        <v/>
      </c>
    </row>
    <row r="304">
      <c r="A304" t="inlineStr">
        <is>
          <t>ﺃﻭﻗﺎﻑ ﻭﻤﺴﺎﺠﺩ ﺭﻤﺎﺡ .</t>
        </is>
      </c>
      <c r="B304" t="inlineStr">
        <is>
          <t>SMR2420868018389</t>
        </is>
      </c>
      <c r="C304" t="inlineStr">
        <is>
          <t>رماح</t>
        </is>
      </c>
      <c r="D304" t="inlineStr">
        <is>
          <t>كلا الفترتين</t>
        </is>
      </c>
      <c r="E304" t="n">
        <v>1331</v>
      </c>
      <c r="F304" t="b">
        <v>0</v>
      </c>
      <c r="G304">
        <f>HYPERLINK("https://www.google.com/maps/search/?api=1&amp;query=25.56459221,47.1757458", "View Map")</f>
        <v/>
      </c>
    </row>
    <row r="305">
      <c r="A305" t="inlineStr">
        <is>
          <t xml:space="preserve">   المسجد الجنوبى بالحى الجديد .</t>
        </is>
      </c>
      <c r="B305" t="inlineStr">
        <is>
          <t>KFM2020766085768</t>
        </is>
      </c>
      <c r="C305" t="inlineStr">
        <is>
          <t>شقراء</t>
        </is>
      </c>
      <c r="D305" t="inlineStr">
        <is>
          <t>كلا الفترتين</t>
        </is>
      </c>
      <c r="E305" t="n">
        <v>1331</v>
      </c>
      <c r="F305" t="b">
        <v>1</v>
      </c>
      <c r="G305">
        <f>HYPERLINK("https://www.google.com/maps/search/?api=1&amp;query=25.24006568,45.24722379", "View Map")</f>
        <v/>
      </c>
    </row>
    <row r="306">
      <c r="A306" t="inlineStr">
        <is>
          <t xml:space="preserve">    مسجد محمد بن سيف .</t>
        </is>
      </c>
      <c r="B306" t="inlineStr">
        <is>
          <t>KFM2120660257526</t>
        </is>
      </c>
      <c r="C306" t="inlineStr">
        <is>
          <t>الزلفي</t>
        </is>
      </c>
      <c r="D306" t="inlineStr">
        <is>
          <t>كلا الفترتين</t>
        </is>
      </c>
      <c r="E306" t="n">
        <v>1328</v>
      </c>
      <c r="F306" t="b">
        <v>1</v>
      </c>
      <c r="G306">
        <f>HYPERLINK("https://www.google.com/maps/search/?api=1&amp;query=26.33224144,44.78434966", "View Map")</f>
        <v/>
      </c>
    </row>
    <row r="307">
      <c r="A307" t="inlineStr">
        <is>
          <t xml:space="preserve">   مسجد/سعود العواد .</t>
        </is>
      </c>
      <c r="B307" t="inlineStr">
        <is>
          <t>KFM2020660207322</t>
        </is>
      </c>
      <c r="C307" t="inlineStr">
        <is>
          <t>الزلفي</t>
        </is>
      </c>
      <c r="D307" t="inlineStr">
        <is>
          <t>كلا الفترتين</t>
        </is>
      </c>
      <c r="E307" t="n">
        <v>1327</v>
      </c>
      <c r="F307" t="b">
        <v>1</v>
      </c>
      <c r="G307">
        <f>HYPERLINK("https://www.google.com/maps/search/?api=1&amp;query=26.29079536,44.79491385", "View Map")</f>
        <v/>
      </c>
    </row>
    <row r="308">
      <c r="A308" t="inlineStr">
        <is>
          <t xml:space="preserve">   مسجد/ العقلة الغربي .</t>
        </is>
      </c>
      <c r="B308" t="inlineStr">
        <is>
          <t>KFM2020766154350</t>
        </is>
      </c>
      <c r="C308" t="inlineStr">
        <is>
          <t>المجمعة</t>
        </is>
      </c>
      <c r="D308" t="inlineStr">
        <is>
          <t>كلا الفترتين</t>
        </is>
      </c>
      <c r="E308" t="n">
        <v>1325</v>
      </c>
      <c r="F308" t="b">
        <v>0</v>
      </c>
      <c r="G308">
        <f>HYPERLINK("https://www.google.com/maps/search/?api=1&amp;query=26.42533026,45.3547619", "View Map")</f>
        <v/>
      </c>
    </row>
    <row r="309">
      <c r="A309" t="inlineStr">
        <is>
          <t xml:space="preserve">   مسجد العواد بجلاجل .</t>
        </is>
      </c>
      <c r="B309" t="inlineStr">
        <is>
          <t>AES2020896447533</t>
        </is>
      </c>
      <c r="C309" t="inlineStr">
        <is>
          <t>المجمعة</t>
        </is>
      </c>
      <c r="D309" t="inlineStr">
        <is>
          <t>كلا الفترتين</t>
        </is>
      </c>
      <c r="E309" t="n">
        <v>1322</v>
      </c>
      <c r="F309" t="b">
        <v>0</v>
      </c>
      <c r="G309">
        <f>HYPERLINK("https://www.google.com/maps/search/?api=1&amp;query=25.67637096,45.44857297", "View Map")</f>
        <v/>
      </c>
    </row>
    <row r="310">
      <c r="A310" t="inlineStr">
        <is>
          <t>ﺍﻭﻗﺎﻑ ﻭﻤﺴﺎﺠﺩ ( ) .</t>
        </is>
      </c>
      <c r="B310" t="inlineStr">
        <is>
          <t>KFM2020766073454</t>
        </is>
      </c>
      <c r="C310" t="inlineStr">
        <is>
          <t>الزلفي</t>
        </is>
      </c>
      <c r="D310" t="inlineStr">
        <is>
          <t>كلا الفترتين</t>
        </is>
      </c>
      <c r="E310" t="n">
        <v>1318</v>
      </c>
      <c r="F310" t="b">
        <v>0</v>
      </c>
      <c r="G310">
        <f>HYPERLINK("https://www.google.com/maps/search/?api=1&amp;query=26.30638294,44.88046455", "View Map")</f>
        <v/>
      </c>
    </row>
    <row r="311">
      <c r="A311" t="inlineStr">
        <is>
          <t xml:space="preserve">    مسجدالمدالله .</t>
        </is>
      </c>
      <c r="B311" t="inlineStr">
        <is>
          <t>KFM2020766167891</t>
        </is>
      </c>
      <c r="C311" t="inlineStr">
        <is>
          <t>الزلفي</t>
        </is>
      </c>
      <c r="D311" t="inlineStr">
        <is>
          <t>كلا الفترتين</t>
        </is>
      </c>
      <c r="E311" t="n">
        <v>1318</v>
      </c>
      <c r="F311" t="b">
        <v>1</v>
      </c>
      <c r="G311">
        <f>HYPERLINK("https://www.google.com/maps/search/?api=1&amp;query=26.26698864,44.80899379", "View Map")</f>
        <v/>
      </c>
    </row>
    <row r="312">
      <c r="A312" t="inlineStr">
        <is>
          <t xml:space="preserve">   الاوقاف مسجد سعد البهلال .</t>
        </is>
      </c>
      <c r="B312" t="inlineStr">
        <is>
          <t>AES2120896564011</t>
        </is>
      </c>
      <c r="C312" t="inlineStr">
        <is>
          <t>الزلفي</t>
        </is>
      </c>
      <c r="D312" t="inlineStr">
        <is>
          <t>كلا الفترتين</t>
        </is>
      </c>
      <c r="E312" t="n">
        <v>1310</v>
      </c>
      <c r="F312" t="b">
        <v>0</v>
      </c>
      <c r="G312">
        <f>HYPERLINK("https://www.google.com/maps/search/?api=1&amp;query=26.30724029,44.79918085", "View Map")</f>
        <v/>
      </c>
    </row>
    <row r="313">
      <c r="A313" t="inlineStr">
        <is>
          <t>ﺃﻭﻗﺎﻑ ﻭﻤﺴﺎﺠﺩ ﺭﻤﺎﺡ .</t>
        </is>
      </c>
      <c r="B313" t="inlineStr">
        <is>
          <t>KFM2020660199557</t>
        </is>
      </c>
      <c r="C313" t="inlineStr">
        <is>
          <t>رماح</t>
        </is>
      </c>
      <c r="D313" t="inlineStr">
        <is>
          <t>كلا الفترتين</t>
        </is>
      </c>
      <c r="E313" t="n">
        <v>1308</v>
      </c>
      <c r="F313" t="b">
        <v>0</v>
      </c>
      <c r="G313">
        <f>HYPERLINK("https://www.google.com/maps/search/?api=1&amp;query=25.54272302,47.18462426", "View Map")</f>
        <v/>
      </c>
    </row>
    <row r="314">
      <c r="A314" t="inlineStr">
        <is>
          <t xml:space="preserve">      مسجد المسعود .</t>
        </is>
      </c>
      <c r="B314" t="inlineStr">
        <is>
          <t>AES2020896062532</t>
        </is>
      </c>
      <c r="C314" t="inlineStr">
        <is>
          <t>المجمعة</t>
        </is>
      </c>
      <c r="D314" t="inlineStr">
        <is>
          <t>كلا الفترتين</t>
        </is>
      </c>
      <c r="E314" t="n">
        <v>1307</v>
      </c>
      <c r="F314" t="b">
        <v>0</v>
      </c>
      <c r="G314">
        <f>HYPERLINK("https://www.google.com/maps/search/?api=1&amp;query=26.49082644,45.34158362", "View Map")</f>
        <v/>
      </c>
    </row>
    <row r="315">
      <c r="A315" t="inlineStr">
        <is>
          <t>مسجد رقم ثلاثة حي الاسكان .</t>
        </is>
      </c>
      <c r="B315" t="inlineStr">
        <is>
          <t>KFM2020660177619</t>
        </is>
      </c>
      <c r="C315" t="inlineStr">
        <is>
          <t>شقراء</t>
        </is>
      </c>
      <c r="D315" t="inlineStr">
        <is>
          <t>كلا الفترتين</t>
        </is>
      </c>
      <c r="E315" t="n">
        <v>1306</v>
      </c>
      <c r="F315" t="b">
        <v>0</v>
      </c>
      <c r="G315">
        <f>HYPERLINK("https://www.google.com/maps/search/?api=1&amp;query=25.24803271,45.2163927", "View Map")</f>
        <v/>
      </c>
    </row>
    <row r="316">
      <c r="A316" t="inlineStr">
        <is>
          <t xml:space="preserve">   مسجد محمد سليمان الجبرين .</t>
        </is>
      </c>
      <c r="B316" t="inlineStr">
        <is>
          <t>KFM2020766040420</t>
        </is>
      </c>
      <c r="C316" t="inlineStr">
        <is>
          <t>الغاط</t>
        </is>
      </c>
      <c r="D316" t="inlineStr">
        <is>
          <t>كلا الفترتين</t>
        </is>
      </c>
      <c r="E316" t="n">
        <v>1306</v>
      </c>
      <c r="F316" t="b">
        <v>0</v>
      </c>
      <c r="G316">
        <f>HYPERLINK("https://www.google.com/maps/search/?api=1&amp;query=26.02134552,44.94439691", "View Map")</f>
        <v/>
      </c>
    </row>
    <row r="317">
      <c r="A317" t="inlineStr">
        <is>
          <t xml:space="preserve">   مكتب اوقاف  تمير مسجد ابن عثيمين .</t>
        </is>
      </c>
      <c r="B317" t="inlineStr">
        <is>
          <t>KFM2020766128639</t>
        </is>
      </c>
      <c r="C317" t="inlineStr">
        <is>
          <t>المجمعة</t>
        </is>
      </c>
      <c r="D317" t="inlineStr">
        <is>
          <t>كلا الفترتين</t>
        </is>
      </c>
      <c r="E317" t="n">
        <v>1297</v>
      </c>
      <c r="F317" t="b">
        <v>0</v>
      </c>
      <c r="G317">
        <f>HYPERLINK("https://www.google.com/maps/search/?api=1&amp;query=25.69664192,45.88027634", "View Map")</f>
        <v/>
      </c>
    </row>
    <row r="318">
      <c r="A318" t="inlineStr">
        <is>
          <t>ﺍﻭﻗﺎﻑ ﻭﻤﺴـﺎﺠﺩﺍﻟﻐﺎﻁ .</t>
        </is>
      </c>
      <c r="B318" t="inlineStr">
        <is>
          <t>AES2020896455359</t>
        </is>
      </c>
      <c r="C318" t="inlineStr">
        <is>
          <t>الغاط</t>
        </is>
      </c>
      <c r="D318" t="inlineStr">
        <is>
          <t>كلا الفترتين</t>
        </is>
      </c>
      <c r="E318" t="n">
        <v>1293</v>
      </c>
      <c r="F318" t="b">
        <v>0</v>
      </c>
      <c r="G318">
        <f>HYPERLINK("https://www.google.com/maps/search/?api=1&amp;query=26.03472293,44.93648153", "View Map")</f>
        <v/>
      </c>
    </row>
    <row r="319">
      <c r="A319" t="inlineStr">
        <is>
          <t xml:space="preserve">   مسجدرقم(1)بمخطط(28)في القصب .</t>
        </is>
      </c>
      <c r="B319" t="inlineStr">
        <is>
          <t>KFM2020766156327</t>
        </is>
      </c>
      <c r="C319" t="inlineStr">
        <is>
          <t>شقراء</t>
        </is>
      </c>
      <c r="D319" t="inlineStr">
        <is>
          <t>كلا الفترتين</t>
        </is>
      </c>
      <c r="E319" t="n">
        <v>1293</v>
      </c>
      <c r="F319" t="b">
        <v>1</v>
      </c>
      <c r="G319">
        <f>HYPERLINK("https://www.google.com/maps/search/?api=1&amp;query=25.29597092,45.53238578", "View Map")</f>
        <v/>
      </c>
    </row>
    <row r="320">
      <c r="A320" t="inlineStr">
        <is>
          <t xml:space="preserve">  QRINA MOSQا      مسجد دخينه بالقرينه .</t>
        </is>
      </c>
      <c r="B320" t="inlineStr">
        <is>
          <t>KFM2020760160144</t>
        </is>
      </c>
      <c r="C320" t="inlineStr">
        <is>
          <t>حريملاء</t>
        </is>
      </c>
      <c r="D320" t="inlineStr">
        <is>
          <t>كلا الفترتين</t>
        </is>
      </c>
      <c r="E320" t="n">
        <v>1292</v>
      </c>
      <c r="F320" t="b">
        <v>0</v>
      </c>
      <c r="G320">
        <f>HYPERLINK("https://www.google.com/maps/search/?api=1&amp;query=25.13702655,46.16158365", "View Map")</f>
        <v/>
      </c>
    </row>
    <row r="321">
      <c r="A321" t="inlineStr">
        <is>
          <t xml:space="preserve">      مسجد الصبيخه بحريملاء .</t>
        </is>
      </c>
      <c r="B321" t="inlineStr">
        <is>
          <t>KFM2020760152095</t>
        </is>
      </c>
      <c r="C321" t="inlineStr">
        <is>
          <t>حريملاء</t>
        </is>
      </c>
      <c r="D321" t="inlineStr">
        <is>
          <t>كلا الفترتين</t>
        </is>
      </c>
      <c r="E321" t="n">
        <v>1292</v>
      </c>
      <c r="F321" t="b">
        <v>0</v>
      </c>
      <c r="G321">
        <f>HYPERLINK("https://www.google.com/maps/search/?api=1&amp;query=25.12847699,46.12479004", "View Map")</f>
        <v/>
      </c>
    </row>
    <row r="322">
      <c r="A322" t="inlineStr">
        <is>
          <t xml:space="preserve">   مسجـــــد ابا حسين  0 .</t>
        </is>
      </c>
      <c r="B322" t="inlineStr">
        <is>
          <t>KFM2020760148346</t>
        </is>
      </c>
      <c r="C322" t="inlineStr">
        <is>
          <t>شقراء</t>
        </is>
      </c>
      <c r="D322" t="inlineStr">
        <is>
          <t>كلا الفترتين</t>
        </is>
      </c>
      <c r="E322" t="n">
        <v>1291</v>
      </c>
      <c r="F322" t="b">
        <v>0</v>
      </c>
      <c r="G322">
        <f>HYPERLINK("https://www.google.com/maps/search/?api=1&amp;query=25.33499792,45.18960664", "View Map")</f>
        <v/>
      </c>
    </row>
    <row r="323">
      <c r="A323" t="inlineStr">
        <is>
          <t xml:space="preserve">   مسجد عامر عبدالله العامر بالغاط .</t>
        </is>
      </c>
      <c r="B323" t="inlineStr">
        <is>
          <t>AEC2020830153429</t>
        </is>
      </c>
      <c r="C323" t="inlineStr">
        <is>
          <t>الغاط</t>
        </is>
      </c>
      <c r="D323" t="inlineStr">
        <is>
          <t>كلا الفترتين</t>
        </is>
      </c>
      <c r="E323" t="n">
        <v>1290</v>
      </c>
      <c r="F323" t="b">
        <v>0</v>
      </c>
      <c r="G323">
        <f>HYPERLINK("https://www.google.com/maps/search/?api=1&amp;query=26.03258262,44.95220886", "View Map")</f>
        <v/>
      </c>
    </row>
    <row r="324">
      <c r="A324" t="inlineStr">
        <is>
          <t>ﺍﻭﻗﺎﻑ ﻭﻤﺴﺎﺠﺩ ( ) .</t>
        </is>
      </c>
      <c r="B324" t="inlineStr">
        <is>
          <t>KFM2020760202559</t>
        </is>
      </c>
      <c r="C324" t="inlineStr">
        <is>
          <t>الزلفي</t>
        </is>
      </c>
      <c r="D324" t="inlineStr">
        <is>
          <t>كلا الفترتين</t>
        </is>
      </c>
      <c r="E324" t="n">
        <v>1287</v>
      </c>
      <c r="F324" t="b">
        <v>0</v>
      </c>
      <c r="G324">
        <f>HYPERLINK("https://www.google.com/maps/search/?api=1&amp;query=26.29853491,44.88387401", "View Map")</f>
        <v/>
      </c>
    </row>
    <row r="325">
      <c r="A325" t="inlineStr">
        <is>
          <t>ﺍﺩﺍﺭﻩ ﺍﻻﻭﻗﺎﻑ ﻭﺍﻟﻤﺴﺎﺠﺩ .</t>
        </is>
      </c>
      <c r="B325" t="inlineStr">
        <is>
          <t>AEC2020830307592</t>
        </is>
      </c>
      <c r="C325" t="inlineStr">
        <is>
          <t>حريملاء</t>
        </is>
      </c>
      <c r="D325" t="inlineStr">
        <is>
          <t>كلا الفترتين</t>
        </is>
      </c>
      <c r="E325" t="n">
        <v>1286</v>
      </c>
      <c r="F325" t="b">
        <v>0</v>
      </c>
      <c r="G325">
        <f>HYPERLINK("https://www.google.com/maps/search/?api=1&amp;query=25.10476386,46.20401121", "View Map")</f>
        <v/>
      </c>
    </row>
    <row r="326">
      <c r="A326" t="inlineStr">
        <is>
          <t xml:space="preserve">   مسجدرقم-3-مخطط-518-بالرحبه .</t>
        </is>
      </c>
      <c r="B326" t="inlineStr">
        <is>
          <t>KFM2020766154182</t>
        </is>
      </c>
      <c r="C326" t="inlineStr">
        <is>
          <t>شقراء</t>
        </is>
      </c>
      <c r="D326" t="inlineStr">
        <is>
          <t>كلا الفترتين</t>
        </is>
      </c>
      <c r="E326" t="n">
        <v>1285</v>
      </c>
      <c r="F326" t="b">
        <v>0</v>
      </c>
      <c r="G326">
        <f>HYPERLINK("https://www.google.com/maps/search/?api=1&amp;query=25.24809743,45.22916392", "View Map")</f>
        <v/>
      </c>
    </row>
    <row r="327">
      <c r="A327" t="inlineStr">
        <is>
          <t xml:space="preserve">   جامع الشيخ ابن عثمين .</t>
        </is>
      </c>
      <c r="B327" t="inlineStr">
        <is>
          <t>KFM2020660209930</t>
        </is>
      </c>
      <c r="C327" t="inlineStr">
        <is>
          <t>الزلفي</t>
        </is>
      </c>
      <c r="D327" t="inlineStr">
        <is>
          <t>كلا الفترتين</t>
        </is>
      </c>
      <c r="E327" t="n">
        <v>1285</v>
      </c>
      <c r="F327" t="b">
        <v>1</v>
      </c>
      <c r="G327">
        <f>HYPERLINK("https://www.google.com/maps/search/?api=1&amp;query=26.31173364,44.80579245", "View Map")</f>
        <v/>
      </c>
    </row>
    <row r="328">
      <c r="A328" t="inlineStr">
        <is>
          <t xml:space="preserve"> جامع/الامير عبدالعزيزبن فهد ال سعود .</t>
        </is>
      </c>
      <c r="B328" t="inlineStr">
        <is>
          <t>KFM2020766154349</t>
        </is>
      </c>
      <c r="C328" t="inlineStr">
        <is>
          <t>المجمعة</t>
        </is>
      </c>
      <c r="D328" t="inlineStr">
        <is>
          <t>كلا الفترتين</t>
        </is>
      </c>
      <c r="E328" t="n">
        <v>1284</v>
      </c>
      <c r="F328" t="b">
        <v>0</v>
      </c>
      <c r="G328">
        <f>HYPERLINK("https://www.google.com/maps/search/?api=1&amp;query=26.21894027,45.38882602", "View Map")</f>
        <v/>
      </c>
    </row>
    <row r="329">
      <c r="A329" t="inlineStr">
        <is>
          <t>جامع العشري ( عشيرة ) .</t>
        </is>
      </c>
      <c r="B329" t="inlineStr">
        <is>
          <t>KFM2020766062239</t>
        </is>
      </c>
      <c r="C329" t="inlineStr">
        <is>
          <t>المجمعة</t>
        </is>
      </c>
      <c r="D329" t="inlineStr">
        <is>
          <t>كلا الفترتين</t>
        </is>
      </c>
      <c r="E329" t="n">
        <v>1284</v>
      </c>
      <c r="F329" t="b">
        <v>0</v>
      </c>
      <c r="G329">
        <f>HYPERLINK("https://www.google.com/maps/search/?api=1&amp;query=25.60344313,45.79246602", "View Map")</f>
        <v/>
      </c>
    </row>
    <row r="330">
      <c r="A330" t="inlineStr">
        <is>
          <t xml:space="preserve">   مسجد      ابن       بحريملاء .</t>
        </is>
      </c>
      <c r="B330" t="inlineStr">
        <is>
          <t>AEC2020830572163</t>
        </is>
      </c>
      <c r="C330" t="inlineStr">
        <is>
          <t>حريملاء</t>
        </is>
      </c>
      <c r="D330" t="inlineStr">
        <is>
          <t>كلا الفترتين</t>
        </is>
      </c>
      <c r="E330" t="n">
        <v>1281</v>
      </c>
      <c r="F330" t="b">
        <v>0</v>
      </c>
      <c r="G330">
        <f>HYPERLINK("https://www.google.com/maps/search/?api=1&amp;query=25.11411823,46.09580913", "View Map")</f>
        <v/>
      </c>
    </row>
    <row r="331">
      <c r="A331" t="inlineStr">
        <is>
          <t xml:space="preserve">   مسجد/متعب علوش .</t>
        </is>
      </c>
      <c r="B331" t="inlineStr">
        <is>
          <t>LYE2020830242874</t>
        </is>
      </c>
      <c r="C331" t="inlineStr">
        <is>
          <t>الزلفي</t>
        </is>
      </c>
      <c r="D331" t="inlineStr">
        <is>
          <t>كلا الفترتين</t>
        </is>
      </c>
      <c r="E331" t="n">
        <v>1280</v>
      </c>
      <c r="F331" t="b">
        <v>0</v>
      </c>
      <c r="G331">
        <f>HYPERLINK("https://www.google.com/maps/search/?api=1&amp;query=26.17024604,44.84871994", "View Map")</f>
        <v/>
      </c>
    </row>
    <row r="332">
      <c r="A332" t="inlineStr">
        <is>
          <t xml:space="preserve">   مسجد بني عامر .</t>
        </is>
      </c>
      <c r="B332" t="inlineStr">
        <is>
          <t>KFM2020660199543</t>
        </is>
      </c>
      <c r="C332" t="inlineStr">
        <is>
          <t>رماح</t>
        </is>
      </c>
      <c r="D332" t="inlineStr">
        <is>
          <t>كلا الفترتين</t>
        </is>
      </c>
      <c r="E332" t="n">
        <v>1272</v>
      </c>
      <c r="F332" t="b">
        <v>0</v>
      </c>
      <c r="G332">
        <f>HYPERLINK("https://www.google.com/maps/search/?api=1&amp;query=25.57467605,47.16449081", "View Map")</f>
        <v/>
      </c>
    </row>
    <row r="333">
      <c r="A333" t="inlineStr">
        <is>
          <t xml:space="preserve">      مسجد/عثمان عبدالله السليمان .</t>
        </is>
      </c>
      <c r="B333" t="inlineStr">
        <is>
          <t>KFM2020760020423</t>
        </is>
      </c>
      <c r="C333" t="inlineStr">
        <is>
          <t>المجمعة</t>
        </is>
      </c>
      <c r="D333" t="inlineStr">
        <is>
          <t>كلا الفترتين</t>
        </is>
      </c>
      <c r="E333" t="n">
        <v>1269</v>
      </c>
      <c r="F333" t="b">
        <v>1</v>
      </c>
      <c r="G333">
        <f>HYPERLINK("https://www.google.com/maps/search/?api=1&amp;query=25.92216,45.38416", "View Map")</f>
        <v/>
      </c>
    </row>
    <row r="334">
      <c r="A334" t="inlineStr">
        <is>
          <t>مسجد بقية الصعيري .</t>
        </is>
      </c>
      <c r="B334" t="inlineStr">
        <is>
          <t>KFM2020660229483</t>
        </is>
      </c>
      <c r="C334" t="inlineStr">
        <is>
          <t>المجمعة</t>
        </is>
      </c>
      <c r="D334" t="inlineStr">
        <is>
          <t>كلا الفترتين</t>
        </is>
      </c>
      <c r="E334" t="n">
        <v>1265</v>
      </c>
      <c r="F334" t="b">
        <v>0</v>
      </c>
      <c r="G334">
        <f>HYPERLINK("https://www.google.com/maps/search/?api=1&amp;query=25.91211118,45.39332884", "View Map")</f>
        <v/>
      </c>
    </row>
    <row r="335">
      <c r="A335" t="inlineStr">
        <is>
          <t xml:space="preserve">   مسجد/عبدالله بن عمر .</t>
        </is>
      </c>
      <c r="B335" t="inlineStr">
        <is>
          <t>KFM2020660134538</t>
        </is>
      </c>
      <c r="C335" t="inlineStr">
        <is>
          <t>الزلفي</t>
        </is>
      </c>
      <c r="D335" t="inlineStr">
        <is>
          <t>كلا الفترتين</t>
        </is>
      </c>
      <c r="E335" t="n">
        <v>1265</v>
      </c>
      <c r="F335" t="b">
        <v>0</v>
      </c>
      <c r="G335">
        <f>HYPERLINK("https://www.google.com/maps/search/?api=1&amp;query=26.288355,44.84592019", "View Map")</f>
        <v/>
      </c>
    </row>
    <row r="336">
      <c r="A336" t="inlineStr">
        <is>
          <t xml:space="preserve">   مسجد/محمدبن عبدالوهاب .</t>
        </is>
      </c>
      <c r="B336" t="inlineStr">
        <is>
          <t>KFM2020766154406</t>
        </is>
      </c>
      <c r="C336" t="inlineStr">
        <is>
          <t>المجمعة</t>
        </is>
      </c>
      <c r="D336" t="inlineStr">
        <is>
          <t>كلا الفترتين</t>
        </is>
      </c>
      <c r="E336" t="n">
        <v>1264</v>
      </c>
      <c r="F336" t="b">
        <v>1</v>
      </c>
      <c r="G336">
        <f>HYPERLINK("https://www.google.com/maps/search/?api=1&amp;query=26.48591391,45.3423921", "View Map")</f>
        <v/>
      </c>
    </row>
    <row r="337">
      <c r="A337" t="inlineStr">
        <is>
          <t xml:space="preserve">   مسجد  على العبدالقادر .</t>
        </is>
      </c>
      <c r="B337" t="inlineStr">
        <is>
          <t>KFM2020660134543</t>
        </is>
      </c>
      <c r="C337" t="inlineStr">
        <is>
          <t>الزلفي</t>
        </is>
      </c>
      <c r="D337" t="inlineStr">
        <is>
          <t>كلا الفترتين</t>
        </is>
      </c>
      <c r="E337" t="n">
        <v>1263</v>
      </c>
      <c r="F337" t="b">
        <v>1</v>
      </c>
      <c r="G337">
        <f>HYPERLINK("https://www.google.com/maps/search/?api=1&amp;query=26.28890267,44.82152195", "View Map")</f>
        <v/>
      </c>
    </row>
    <row r="338">
      <c r="A338" t="inlineStr">
        <is>
          <t xml:space="preserve">   اوقاف ومساجدمسجدحىالملك فهد .</t>
        </is>
      </c>
      <c r="B338" t="inlineStr">
        <is>
          <t>KFM2020766034297</t>
        </is>
      </c>
      <c r="C338" t="inlineStr">
        <is>
          <t>المجمعة</t>
        </is>
      </c>
      <c r="D338" t="inlineStr">
        <is>
          <t>كلا الفترتين</t>
        </is>
      </c>
      <c r="E338" t="n">
        <v>1261</v>
      </c>
      <c r="F338" t="b">
        <v>0</v>
      </c>
      <c r="G338">
        <f>HYPERLINK("https://www.google.com/maps/search/?api=1&amp;query=25.69577542,45.87911518", "View Map")</f>
        <v/>
      </c>
    </row>
    <row r="339">
      <c r="A339" t="inlineStr">
        <is>
          <t xml:space="preserve">   مسجد الحاره الشرقيه .</t>
        </is>
      </c>
      <c r="B339" t="inlineStr">
        <is>
          <t>AES2020896469492</t>
        </is>
      </c>
      <c r="C339" t="inlineStr">
        <is>
          <t>رماح</t>
        </is>
      </c>
      <c r="D339" t="inlineStr">
        <is>
          <t>كلا الفترتين</t>
        </is>
      </c>
      <c r="E339" t="n">
        <v>1257</v>
      </c>
      <c r="F339" t="b">
        <v>0</v>
      </c>
      <c r="G339">
        <f>HYPERLINK("https://www.google.com/maps/search/?api=1&amp;query=25.57391493,46.97979039", "View Map")</f>
        <v/>
      </c>
    </row>
    <row r="340">
      <c r="A340" t="inlineStr">
        <is>
          <t xml:space="preserve">   مسجد حي العزيزية / حمدالمناع .</t>
        </is>
      </c>
      <c r="B340" t="inlineStr">
        <is>
          <t>AES2120896552622</t>
        </is>
      </c>
      <c r="C340" t="inlineStr">
        <is>
          <t>المجمعة</t>
        </is>
      </c>
      <c r="D340" t="inlineStr">
        <is>
          <t>كلا الفترتين</t>
        </is>
      </c>
      <c r="E340" t="n">
        <v>1256</v>
      </c>
      <c r="F340" t="b">
        <v>0</v>
      </c>
      <c r="G340">
        <f>HYPERLINK("https://www.google.com/maps/search/?api=1&amp;query=25.69664192,45.88027634", "View Map")</f>
        <v/>
      </c>
    </row>
    <row r="341">
      <c r="A341" t="inlineStr">
        <is>
          <t>ﺍﻭﻗﺎﻑ ﻭﻤﺴﺎﺠﺩ ( ) .</t>
        </is>
      </c>
      <c r="B341" t="inlineStr">
        <is>
          <t>ECC2420841052483</t>
        </is>
      </c>
      <c r="C341" t="inlineStr">
        <is>
          <t>الزلفي</t>
        </is>
      </c>
      <c r="D341" t="inlineStr">
        <is>
          <t>كلا الفترتين</t>
        </is>
      </c>
      <c r="E341" t="n">
        <v>1253</v>
      </c>
      <c r="F341" t="b">
        <v>1</v>
      </c>
      <c r="G341">
        <f>HYPERLINK("https://www.google.com/maps/search/?api=1&amp;query=26.32116351,44.89629414", "View Map")</f>
        <v/>
      </c>
    </row>
    <row r="342">
      <c r="A342" t="inlineStr">
        <is>
          <t xml:space="preserve">   مسجد  حامع أم سليم .</t>
        </is>
      </c>
      <c r="B342" t="inlineStr">
        <is>
          <t>AES2020896468255</t>
        </is>
      </c>
      <c r="C342" t="inlineStr">
        <is>
          <t>مرات</t>
        </is>
      </c>
      <c r="D342" t="inlineStr">
        <is>
          <t>كلا الفترتين</t>
        </is>
      </c>
      <c r="E342" t="n">
        <v>1253</v>
      </c>
      <c r="F342" t="b">
        <v>0</v>
      </c>
      <c r="G342">
        <f>HYPERLINK("https://www.google.com/maps/search/?api=1&amp;query=24.94423742,45.71328852", "View Map")</f>
        <v/>
      </c>
    </row>
    <row r="343">
      <c r="A343" t="inlineStr">
        <is>
          <t xml:space="preserve">   مسجدبدرعبدالله الملحم .</t>
        </is>
      </c>
      <c r="B343" t="inlineStr">
        <is>
          <t>MMF2020800325367</t>
        </is>
      </c>
      <c r="C343" t="inlineStr">
        <is>
          <t>الزلفي</t>
        </is>
      </c>
      <c r="D343" t="inlineStr">
        <is>
          <t>كلا الفترتين</t>
        </is>
      </c>
      <c r="E343" t="n">
        <v>1251</v>
      </c>
      <c r="F343" t="b">
        <v>1</v>
      </c>
      <c r="G343">
        <f>HYPERLINK("https://www.google.com/maps/search/?api=1&amp;query=26.25151732,44.80696679", "View Map")</f>
        <v/>
      </c>
    </row>
    <row r="344">
      <c r="A344" t="inlineStr">
        <is>
          <t xml:space="preserve">   جامع مصدة الجديد .</t>
        </is>
      </c>
      <c r="B344" t="inlineStr">
        <is>
          <t>KFM2020660204028</t>
        </is>
      </c>
      <c r="C344" t="inlineStr">
        <is>
          <t>المجمعة</t>
        </is>
      </c>
      <c r="D344" t="inlineStr">
        <is>
          <t>كلا الفترتين</t>
        </is>
      </c>
      <c r="E344" t="n">
        <v>1250</v>
      </c>
      <c r="F344" t="b">
        <v>0</v>
      </c>
      <c r="G344">
        <f>HYPERLINK("https://www.google.com/maps/search/?api=1&amp;query=26.64095507,45.2431103", "View Map")</f>
        <v/>
      </c>
    </row>
    <row r="345">
      <c r="A345" t="inlineStr">
        <is>
          <t xml:space="preserve">   جامع الثليماء/اوقاف القويعيه .</t>
        </is>
      </c>
      <c r="B345" t="inlineStr">
        <is>
          <t>KFM2020660206847</t>
        </is>
      </c>
      <c r="C345" t="inlineStr">
        <is>
          <t>مرات</t>
        </is>
      </c>
      <c r="D345" t="inlineStr">
        <is>
          <t>كلا الفترتين</t>
        </is>
      </c>
      <c r="E345" t="n">
        <v>1249</v>
      </c>
      <c r="F345" t="b">
        <v>1</v>
      </c>
      <c r="G345">
        <f>HYPERLINK("https://www.google.com/maps/search/?api=1&amp;query=24.54292639,45.32704888", "View Map")</f>
        <v/>
      </c>
    </row>
    <row r="346">
      <c r="A346" t="inlineStr">
        <is>
          <t>ﺃﻭﻗﺎﻑ ﻭﻤﺴﺎﺠﺩ ﺭﻤﺎﺡ .</t>
        </is>
      </c>
      <c r="B346" t="inlineStr">
        <is>
          <t>AEC2020830082783</t>
        </is>
      </c>
      <c r="C346" t="inlineStr">
        <is>
          <t>رماح</t>
        </is>
      </c>
      <c r="D346" t="inlineStr">
        <is>
          <t>كلا الفترتين</t>
        </is>
      </c>
      <c r="E346" t="n">
        <v>1244</v>
      </c>
      <c r="F346" t="b">
        <v>0</v>
      </c>
      <c r="G346">
        <f>HYPERLINK("https://www.google.com/maps/search/?api=1&amp;query=25.56024081,47.15604065", "View Map")</f>
        <v/>
      </c>
    </row>
    <row r="347">
      <c r="A347" t="inlineStr">
        <is>
          <t xml:space="preserve">      مـسـجـد ام عنيق بالحوطه .</t>
        </is>
      </c>
      <c r="B347" t="inlineStr">
        <is>
          <t>KFM2020766107278</t>
        </is>
      </c>
      <c r="C347" t="inlineStr">
        <is>
          <t>المجمعة</t>
        </is>
      </c>
      <c r="D347" t="inlineStr">
        <is>
          <t>كلا الفترتين</t>
        </is>
      </c>
      <c r="E347" t="n">
        <v>1243</v>
      </c>
      <c r="F347" t="b">
        <v>0</v>
      </c>
      <c r="G347">
        <f>HYPERLINK("https://www.google.com/maps/search/?api=1&amp;query=25.59545893,45.61000721", "View Map")</f>
        <v/>
      </c>
    </row>
    <row r="348">
      <c r="A348" t="inlineStr">
        <is>
          <t>جامع  مخطط 46 رماح .</t>
        </is>
      </c>
      <c r="B348" t="inlineStr">
        <is>
          <t>KFM2020660150022</t>
        </is>
      </c>
      <c r="C348" t="inlineStr">
        <is>
          <t>رماح</t>
        </is>
      </c>
      <c r="D348" t="inlineStr">
        <is>
          <t>كلا الفترتين</t>
        </is>
      </c>
      <c r="E348" t="n">
        <v>1241</v>
      </c>
      <c r="F348" t="b">
        <v>1</v>
      </c>
      <c r="G348">
        <f>HYPERLINK("https://www.google.com/maps/search/?api=1&amp;query=25.55604028,47.16852591", "View Map")</f>
        <v/>
      </c>
    </row>
    <row r="349">
      <c r="A349" t="inlineStr">
        <is>
          <t xml:space="preserve">      المسجد الجامع بالبره .</t>
        </is>
      </c>
      <c r="B349" t="inlineStr">
        <is>
          <t>KFM2120660284362</t>
        </is>
      </c>
      <c r="C349" t="inlineStr">
        <is>
          <t>حريملاء</t>
        </is>
      </c>
      <c r="D349" t="inlineStr">
        <is>
          <t>كلا الفترتين</t>
        </is>
      </c>
      <c r="E349" t="n">
        <v>1237</v>
      </c>
      <c r="F349" t="b">
        <v>0</v>
      </c>
      <c r="G349">
        <f>HYPERLINK("https://www.google.com/maps/search/?api=1&amp;query=24.91144866,45.86340598", "View Map")</f>
        <v/>
      </c>
    </row>
    <row r="350">
      <c r="A350" t="inlineStr">
        <is>
          <t xml:space="preserve">   جامع شقراء القديم .</t>
        </is>
      </c>
      <c r="B350" t="inlineStr">
        <is>
          <t>KFM2020660124774</t>
        </is>
      </c>
      <c r="C350" t="inlineStr">
        <is>
          <t>شقراء</t>
        </is>
      </c>
      <c r="D350" t="inlineStr">
        <is>
          <t>كلا الفترتين</t>
        </is>
      </c>
      <c r="E350" t="n">
        <v>1237</v>
      </c>
      <c r="F350" t="b">
        <v>0</v>
      </c>
      <c r="G350">
        <f>HYPERLINK("https://www.google.com/maps/search/?api=1&amp;query=25.25652245,45.25516072", "View Map")</f>
        <v/>
      </c>
    </row>
    <row r="351">
      <c r="A351" t="inlineStr">
        <is>
          <t xml:space="preserve">   الاوقاف مسجد السعدون .</t>
        </is>
      </c>
      <c r="B351" t="inlineStr">
        <is>
          <t>AES2120896551500</t>
        </is>
      </c>
      <c r="C351" t="inlineStr">
        <is>
          <t>الزلفي</t>
        </is>
      </c>
      <c r="D351" t="inlineStr">
        <is>
          <t>كلا الفترتين</t>
        </is>
      </c>
      <c r="E351" t="n">
        <v>1235</v>
      </c>
      <c r="F351" t="b">
        <v>0</v>
      </c>
      <c r="G351">
        <f>HYPERLINK("https://www.google.com/maps/search/?api=1&amp;query=26.32621911,44.82480978", "View Map")</f>
        <v/>
      </c>
    </row>
    <row r="352">
      <c r="A352" t="inlineStr">
        <is>
          <t xml:space="preserve">   مسجدمعاذبن جبل .</t>
        </is>
      </c>
      <c r="B352" t="inlineStr">
        <is>
          <t>KFM2020660150072</t>
        </is>
      </c>
      <c r="C352" t="inlineStr">
        <is>
          <t>الزلفي</t>
        </is>
      </c>
      <c r="D352" t="inlineStr">
        <is>
          <t>كلا الفترتين</t>
        </is>
      </c>
      <c r="E352" t="n">
        <v>1234</v>
      </c>
      <c r="F352" t="b">
        <v>1</v>
      </c>
      <c r="G352">
        <f>HYPERLINK("https://www.google.com/maps/search/?api=1&amp;query=26.31151623,44.81868327", "View Map")</f>
        <v/>
      </c>
    </row>
    <row r="353">
      <c r="A353" t="inlineStr">
        <is>
          <t>وقاف الزلفي مسجد حمود النصار .</t>
        </is>
      </c>
      <c r="B353" t="inlineStr">
        <is>
          <t>KFM2020766128643</t>
        </is>
      </c>
      <c r="C353" t="inlineStr">
        <is>
          <t>الزلفي</t>
        </is>
      </c>
      <c r="D353" t="inlineStr">
        <is>
          <t>كلا الفترتين</t>
        </is>
      </c>
      <c r="E353" t="n">
        <v>1230</v>
      </c>
      <c r="F353" t="b">
        <v>0</v>
      </c>
      <c r="G353">
        <f>HYPERLINK("https://www.google.com/maps/search/?api=1&amp;query=26.28497677,44.83485852", "View Map")</f>
        <v/>
      </c>
    </row>
    <row r="354">
      <c r="A354" t="inlineStr">
        <is>
          <t xml:space="preserve">   مسجد مخطط 21 بالقصب .</t>
        </is>
      </c>
      <c r="B354" t="inlineStr">
        <is>
          <t>KFM2020766132861</t>
        </is>
      </c>
      <c r="C354" t="inlineStr">
        <is>
          <t>شقراء</t>
        </is>
      </c>
      <c r="D354" t="inlineStr">
        <is>
          <t>كلا الفترتين</t>
        </is>
      </c>
      <c r="E354" t="n">
        <v>1229</v>
      </c>
      <c r="F354" t="b">
        <v>0</v>
      </c>
      <c r="G354">
        <f>HYPERLINK("https://www.google.com/maps/search/?api=1&amp;query=25.2986592,45.52317805", "View Map")</f>
        <v/>
      </c>
    </row>
    <row r="355">
      <c r="A355" t="inlineStr">
        <is>
          <t>ﺍﻭﻗﺎﻑ ﻭﻤﺴﺎﺠﺩ ( ) .</t>
        </is>
      </c>
      <c r="B355" t="inlineStr">
        <is>
          <t>KFM2020766161992</t>
        </is>
      </c>
      <c r="C355" t="inlineStr">
        <is>
          <t>الزلفي</t>
        </is>
      </c>
      <c r="D355" t="inlineStr">
        <is>
          <t>كلا الفترتين</t>
        </is>
      </c>
      <c r="E355" t="n">
        <v>1229</v>
      </c>
      <c r="F355" t="b">
        <v>0</v>
      </c>
      <c r="G355">
        <f>HYPERLINK("https://www.google.com/maps/search/?api=1&amp;query=26.30099117,44.88517657", "View Map")</f>
        <v/>
      </c>
    </row>
    <row r="356">
      <c r="A356" t="inlineStr">
        <is>
          <t xml:space="preserve">   اوقاف الزلفي مسجدعقبه بن عامر .</t>
        </is>
      </c>
      <c r="B356" t="inlineStr">
        <is>
          <t>KFM2020766158250</t>
        </is>
      </c>
      <c r="C356" t="inlineStr">
        <is>
          <t>الزلفي</t>
        </is>
      </c>
      <c r="D356" t="inlineStr">
        <is>
          <t>كلا الفترتين</t>
        </is>
      </c>
      <c r="E356" t="n">
        <v>1225</v>
      </c>
      <c r="F356" t="b">
        <v>1</v>
      </c>
      <c r="G356">
        <f>HYPERLINK("https://www.google.com/maps/search/?api=1&amp;query=26.31460834,44.7940335", "View Map")</f>
        <v/>
      </c>
    </row>
    <row r="357">
      <c r="A357" t="inlineStr">
        <is>
          <t xml:space="preserve">      اوقاف الزلفى / مسجد حى 12 .</t>
        </is>
      </c>
      <c r="B357" t="inlineStr">
        <is>
          <t>KFM2020660201583</t>
        </is>
      </c>
      <c r="C357" t="inlineStr">
        <is>
          <t>الزلفي</t>
        </is>
      </c>
      <c r="D357" t="inlineStr">
        <is>
          <t>كلا الفترتين</t>
        </is>
      </c>
      <c r="E357" t="n">
        <v>1219</v>
      </c>
      <c r="F357" t="b">
        <v>1</v>
      </c>
      <c r="G357">
        <f>HYPERLINK("https://www.google.com/maps/search/?api=1&amp;query=26.30493717,44.81553019", "View Map")</f>
        <v/>
      </c>
    </row>
    <row r="358">
      <c r="A358" t="inlineStr">
        <is>
          <t xml:space="preserve">   مسجد الداهنه رقم  2 .</t>
        </is>
      </c>
      <c r="B358" t="inlineStr">
        <is>
          <t>KFM2020760178245</t>
        </is>
      </c>
      <c r="C358" t="inlineStr">
        <is>
          <t>شقراء</t>
        </is>
      </c>
      <c r="D358" t="inlineStr">
        <is>
          <t>كلا الفترتين</t>
        </is>
      </c>
      <c r="E358" t="n">
        <v>1215</v>
      </c>
      <c r="F358" t="b">
        <v>1</v>
      </c>
      <c r="G358">
        <f>HYPERLINK("https://www.google.com/maps/search/?api=1&amp;query=25.5691383,45.27959986", "View Map")</f>
        <v/>
      </c>
    </row>
    <row r="359">
      <c r="A359" t="inlineStr">
        <is>
          <t xml:space="preserve">   وزارة     الحج      والمساجد ثاد .</t>
        </is>
      </c>
      <c r="B359" t="inlineStr">
        <is>
          <t>KFM2020766161813</t>
        </is>
      </c>
      <c r="C359" t="inlineStr">
        <is>
          <t>ثادق</t>
        </is>
      </c>
      <c r="D359" t="inlineStr">
        <is>
          <t>كلا الفترتين</t>
        </is>
      </c>
      <c r="E359" t="n">
        <v>1213</v>
      </c>
      <c r="F359" t="b">
        <v>0</v>
      </c>
      <c r="G359">
        <f>HYPERLINK("https://www.google.com/maps/search/?api=1&amp;query=25.16076551,45.79628386", "View Map")</f>
        <v/>
      </c>
    </row>
    <row r="360">
      <c r="A360" t="inlineStr">
        <is>
          <t xml:space="preserve">   مسجد أنس بن مالك بمرات .</t>
        </is>
      </c>
      <c r="B360" t="inlineStr">
        <is>
          <t>SMR2120765018635</t>
        </is>
      </c>
      <c r="C360" t="inlineStr">
        <is>
          <t>مرات</t>
        </is>
      </c>
      <c r="D360" t="inlineStr">
        <is>
          <t>كلا الفترتين</t>
        </is>
      </c>
      <c r="E360" t="n">
        <v>1212</v>
      </c>
      <c r="F360" t="b">
        <v>1</v>
      </c>
      <c r="G360">
        <f>HYPERLINK("https://www.google.com/maps/search/?api=1&amp;query=25.0710571,45.45829353", "View Map")</f>
        <v/>
      </c>
    </row>
    <row r="361">
      <c r="A361" t="inlineStr">
        <is>
          <t>مسجد مقبل غويلي الرشيد .</t>
        </is>
      </c>
      <c r="B361" t="inlineStr">
        <is>
          <t>LYE2020810325908</t>
        </is>
      </c>
      <c r="C361" t="inlineStr">
        <is>
          <t>المجمعة</t>
        </is>
      </c>
      <c r="D361" t="inlineStr">
        <is>
          <t>كلا الفترتين</t>
        </is>
      </c>
      <c r="E361" t="n">
        <v>1209</v>
      </c>
      <c r="F361" t="b">
        <v>0</v>
      </c>
      <c r="G361">
        <f>HYPERLINK("https://www.google.com/maps/search/?api=1&amp;query=25.94345715,45.36492035", "View Map")</f>
        <v/>
      </c>
    </row>
    <row r="362">
      <c r="A362" t="inlineStr">
        <is>
          <t xml:space="preserve">   مسجد التجاري .</t>
        </is>
      </c>
      <c r="B362" t="inlineStr">
        <is>
          <t>KFM2020766054726</t>
        </is>
      </c>
      <c r="C362" t="inlineStr">
        <is>
          <t>الزلفي</t>
        </is>
      </c>
      <c r="D362" t="inlineStr">
        <is>
          <t>كلا الفترتين</t>
        </is>
      </c>
      <c r="E362" t="n">
        <v>1209</v>
      </c>
      <c r="F362" t="b">
        <v>0</v>
      </c>
      <c r="G362">
        <f>HYPERLINK("https://www.google.com/maps/search/?api=1&amp;query=26.30910046,44.81340118", "View Map")</f>
        <v/>
      </c>
    </row>
    <row r="363">
      <c r="A363" t="inlineStr">
        <is>
          <t xml:space="preserve">   جامع جوي 11 .</t>
        </is>
      </c>
      <c r="B363" t="inlineStr">
        <is>
          <t>KFM2020660226049</t>
        </is>
      </c>
      <c r="C363" t="inlineStr">
        <is>
          <t>المجمعة</t>
        </is>
      </c>
      <c r="D363" t="inlineStr">
        <is>
          <t>كلا الفترتين</t>
        </is>
      </c>
      <c r="E363" t="n">
        <v>1206</v>
      </c>
      <c r="F363" t="b">
        <v>1</v>
      </c>
      <c r="G363">
        <f>HYPERLINK("https://www.google.com/maps/search/?api=1&amp;query=25.81818704,45.40432196", "View Map")</f>
        <v/>
      </c>
    </row>
    <row r="364">
      <c r="A364" t="inlineStr">
        <is>
          <t xml:space="preserve">   مسجد السلمانى .</t>
        </is>
      </c>
      <c r="B364" t="inlineStr">
        <is>
          <t>KFM2120660249977</t>
        </is>
      </c>
      <c r="C364" t="inlineStr">
        <is>
          <t>المجمعة</t>
        </is>
      </c>
      <c r="D364" t="inlineStr">
        <is>
          <t>كلا الفترتين</t>
        </is>
      </c>
      <c r="E364" t="n">
        <v>1206</v>
      </c>
      <c r="F364" t="b">
        <v>0</v>
      </c>
      <c r="G364">
        <f>HYPERLINK("https://www.google.com/maps/search/?api=1&amp;query=26.49899477,45.34078412", "View Map")</f>
        <v/>
      </c>
    </row>
    <row r="365">
      <c r="A365" t="inlineStr">
        <is>
          <t xml:space="preserve">      مسجد بن سويلم .</t>
        </is>
      </c>
      <c r="B365" t="inlineStr">
        <is>
          <t>SMR2020850061938</t>
        </is>
      </c>
      <c r="C365" t="inlineStr">
        <is>
          <t>المجمعة</t>
        </is>
      </c>
      <c r="D365" t="inlineStr">
        <is>
          <t>كلا الفترتين</t>
        </is>
      </c>
      <c r="E365" t="n">
        <v>1204</v>
      </c>
      <c r="F365" t="b">
        <v>0</v>
      </c>
      <c r="G365">
        <f>HYPERLINK("https://www.google.com/maps/search/?api=1&amp;query=25.67345744,45.45611219", "View Map")</f>
        <v/>
      </c>
    </row>
    <row r="366">
      <c r="A366" t="inlineStr">
        <is>
          <t xml:space="preserve">   مسجدعلي الحمران .</t>
        </is>
      </c>
      <c r="B366" t="inlineStr">
        <is>
          <t>KFM2020660135337</t>
        </is>
      </c>
      <c r="C366" t="inlineStr">
        <is>
          <t>الزلفي</t>
        </is>
      </c>
      <c r="D366" t="inlineStr">
        <is>
          <t>كلا الفترتين</t>
        </is>
      </c>
      <c r="E366" t="n">
        <v>1202</v>
      </c>
      <c r="F366" t="b">
        <v>1</v>
      </c>
      <c r="G366">
        <f>HYPERLINK("https://www.google.com/maps/search/?api=1&amp;query=26.33304927,44.81823926", "View Map")</f>
        <v/>
      </c>
    </row>
    <row r="367">
      <c r="A367" t="inlineStr">
        <is>
          <t xml:space="preserve">   مسجد.الحي رقم 15 .</t>
        </is>
      </c>
      <c r="B367" t="inlineStr">
        <is>
          <t>KFM2020766057488</t>
        </is>
      </c>
      <c r="C367" t="inlineStr">
        <is>
          <t>الزلفي</t>
        </is>
      </c>
      <c r="D367" t="inlineStr">
        <is>
          <t>مساءا</t>
        </is>
      </c>
      <c r="E367" t="n">
        <v>1200</v>
      </c>
      <c r="F367" t="b">
        <v>1</v>
      </c>
      <c r="G367">
        <f>HYPERLINK("https://www.google.com/maps/search/?api=1&amp;query=26.31013688,44.81486273", "View Map")</f>
        <v/>
      </c>
    </row>
    <row r="368">
      <c r="A368" t="inlineStr">
        <is>
          <t>ﻤﻜﺘﺏ ﺍﻭﻗﺎﻑ ﺍﻟﻤﺠﻤﻌﻩ (ﺍﻟﻤﺴﺎﺠﺩ) .</t>
        </is>
      </c>
      <c r="B368" t="inlineStr">
        <is>
          <t>SMR2020865009548</t>
        </is>
      </c>
      <c r="C368" t="inlineStr">
        <is>
          <t>المجمعة</t>
        </is>
      </c>
      <c r="D368" t="inlineStr">
        <is>
          <t>كلا الفترتين</t>
        </is>
      </c>
      <c r="E368" t="n">
        <v>1191</v>
      </c>
      <c r="F368" t="b">
        <v>0</v>
      </c>
      <c r="G368">
        <f>HYPERLINK("https://www.google.com/maps/search/?api=1&amp;query=25.9303779,45.37408238", "View Map")</f>
        <v/>
      </c>
    </row>
    <row r="369">
      <c r="A369" t="inlineStr">
        <is>
          <t xml:space="preserve">   مسجد حاره خالد .</t>
        </is>
      </c>
      <c r="B369" t="inlineStr">
        <is>
          <t>KFM2120660250004</t>
        </is>
      </c>
      <c r="C369" t="inlineStr">
        <is>
          <t>المجمعة</t>
        </is>
      </c>
      <c r="D369" t="inlineStr">
        <is>
          <t>كلا الفترتين</t>
        </is>
      </c>
      <c r="E369" t="n">
        <v>1190</v>
      </c>
      <c r="F369" t="b">
        <v>0</v>
      </c>
      <c r="G369">
        <f>HYPERLINK("https://www.google.com/maps/search/?api=1&amp;query=26.58229294,45.2620917", "View Map")</f>
        <v/>
      </c>
    </row>
    <row r="370">
      <c r="A370" t="inlineStr">
        <is>
          <t xml:space="preserve">   الاءوقاف   والامساجد  والاءرشاد .</t>
        </is>
      </c>
      <c r="B370" t="inlineStr">
        <is>
          <t>AES2120896547561</t>
        </is>
      </c>
      <c r="C370" t="inlineStr">
        <is>
          <t>المجمعة</t>
        </is>
      </c>
      <c r="D370" t="inlineStr">
        <is>
          <t>كلا الفترتين</t>
        </is>
      </c>
      <c r="E370" t="n">
        <v>1181</v>
      </c>
      <c r="F370" t="b">
        <v>0</v>
      </c>
      <c r="G370">
        <f>HYPERLINK("https://www.google.com/maps/search/?api=1&amp;query=25.69513,45.89959", "View Map")</f>
        <v/>
      </c>
    </row>
    <row r="371">
      <c r="A371" t="inlineStr">
        <is>
          <t xml:space="preserve">   مسجد احمد العليوى .</t>
        </is>
      </c>
      <c r="B371" t="inlineStr">
        <is>
          <t>KFM2120660262536</t>
        </is>
      </c>
      <c r="C371" t="inlineStr">
        <is>
          <t>الزلفي</t>
        </is>
      </c>
      <c r="D371" t="inlineStr">
        <is>
          <t>كلا الفترتين</t>
        </is>
      </c>
      <c r="E371" t="n">
        <v>1180</v>
      </c>
      <c r="F371" t="b">
        <v>0</v>
      </c>
      <c r="G371">
        <f>HYPERLINK("https://www.google.com/maps/search/?api=1&amp;query=26.28938709,44.81911629", "View Map")</f>
        <v/>
      </c>
    </row>
    <row r="372">
      <c r="A372" t="inlineStr">
        <is>
          <t>ﺃﻭﻗﺎﻑ ﻭﻤﺴﺎﺠﺩ ﺭﻤﺎﺡ .</t>
        </is>
      </c>
      <c r="B372" t="inlineStr">
        <is>
          <t>KFM2120655002474</t>
        </is>
      </c>
      <c r="C372" t="inlineStr">
        <is>
          <t>حريملاء</t>
        </is>
      </c>
      <c r="D372" t="inlineStr">
        <is>
          <t>كلا الفترتين</t>
        </is>
      </c>
      <c r="E372" t="n">
        <v>1179</v>
      </c>
      <c r="F372" t="b">
        <v>1</v>
      </c>
      <c r="G372">
        <f>HYPERLINK("https://www.google.com/maps/search/?api=1&amp;query=24.91152198,45.86290293", "View Map")</f>
        <v/>
      </c>
    </row>
    <row r="373">
      <c r="A373" t="inlineStr">
        <is>
          <t xml:space="preserve">      مسجد شمال مخطط العوده .</t>
        </is>
      </c>
      <c r="B373" t="inlineStr">
        <is>
          <t>KFM2020766145757</t>
        </is>
      </c>
      <c r="C373" t="inlineStr">
        <is>
          <t>المجمعة</t>
        </is>
      </c>
      <c r="D373" t="inlineStr">
        <is>
          <t>كلا الفترتين</t>
        </is>
      </c>
      <c r="E373" t="n">
        <v>1179</v>
      </c>
      <c r="F373" t="b">
        <v>1</v>
      </c>
      <c r="G373">
        <f>HYPERLINK("https://www.google.com/maps/search/?api=1&amp;query=25.55685114,45.67757409", "View Map")</f>
        <v/>
      </c>
    </row>
    <row r="374">
      <c r="A374" t="inlineStr">
        <is>
          <t xml:space="preserve">   مسجد محمد يوسف الشعلان ووالديه .</t>
        </is>
      </c>
      <c r="B374" t="inlineStr">
        <is>
          <t>KFM2020766132758</t>
        </is>
      </c>
      <c r="C374" t="inlineStr">
        <is>
          <t>شقراء</t>
        </is>
      </c>
      <c r="D374" t="inlineStr">
        <is>
          <t>كلا الفترتين</t>
        </is>
      </c>
      <c r="E374" t="n">
        <v>1179</v>
      </c>
      <c r="F374" t="b">
        <v>1</v>
      </c>
      <c r="G374">
        <f>HYPERLINK("https://www.google.com/maps/search/?api=1&amp;query=25.29272909,45.51955166", "View Map")</f>
        <v/>
      </c>
    </row>
    <row r="375">
      <c r="A375" t="inlineStr">
        <is>
          <t xml:space="preserve">   مسجد/الحماطيات الشمالي .</t>
        </is>
      </c>
      <c r="B375" t="inlineStr">
        <is>
          <t>KFM2020766162099</t>
        </is>
      </c>
      <c r="C375" t="inlineStr">
        <is>
          <t>المجمعة</t>
        </is>
      </c>
      <c r="D375" t="inlineStr">
        <is>
          <t>كلا الفترتين</t>
        </is>
      </c>
      <c r="E375" t="n">
        <v>1178</v>
      </c>
      <c r="F375" t="b">
        <v>0</v>
      </c>
      <c r="G375">
        <f>HYPERLINK("https://www.google.com/maps/search/?api=1&amp;query=26.49421926,45.34198786", "View Map")</f>
        <v/>
      </c>
    </row>
    <row r="376">
      <c r="A376" t="inlineStr">
        <is>
          <t>مسجد النعمان بن بشير .</t>
        </is>
      </c>
      <c r="B376" t="inlineStr">
        <is>
          <t>KFM2020660231303</t>
        </is>
      </c>
      <c r="C376" t="inlineStr">
        <is>
          <t>المجمعة</t>
        </is>
      </c>
      <c r="D376" t="inlineStr">
        <is>
          <t>كلا الفترتين</t>
        </is>
      </c>
      <c r="E376" t="n">
        <v>1177</v>
      </c>
      <c r="F376" t="b">
        <v>0</v>
      </c>
      <c r="G376">
        <f>HYPERLINK("https://www.google.com/maps/search/?api=1&amp;query=25.90401363,45.36998863", "View Map")</f>
        <v/>
      </c>
    </row>
    <row r="377">
      <c r="A377" t="inlineStr">
        <is>
          <t xml:space="preserve">      مسجد محمد بن سعد العواد .</t>
        </is>
      </c>
      <c r="B377" t="inlineStr">
        <is>
          <t>KFM2020760202712</t>
        </is>
      </c>
      <c r="C377" t="inlineStr">
        <is>
          <t>حريملاء</t>
        </is>
      </c>
      <c r="D377" t="inlineStr">
        <is>
          <t>كلا الفترتين</t>
        </is>
      </c>
      <c r="E377" t="n">
        <v>1176</v>
      </c>
      <c r="F377" t="b">
        <v>1</v>
      </c>
      <c r="G377">
        <f>HYPERLINK("https://www.google.com/maps/search/?api=1&amp;query=25.11607965,46.1047303", "View Map")</f>
        <v/>
      </c>
    </row>
    <row r="378">
      <c r="A378" t="inlineStr">
        <is>
          <t>ﺍﻭﻗﺎﻑ ﻭﻤﺴﺎﺠﺩ ( ) .</t>
        </is>
      </c>
      <c r="B378" t="inlineStr">
        <is>
          <t>AES2020896310902</t>
        </is>
      </c>
      <c r="C378" t="inlineStr">
        <is>
          <t>الزلفي</t>
        </is>
      </c>
      <c r="D378" t="inlineStr">
        <is>
          <t>كلا الفترتين</t>
        </is>
      </c>
      <c r="E378" t="n">
        <v>1175</v>
      </c>
      <c r="F378" t="b">
        <v>0</v>
      </c>
      <c r="G378">
        <f>HYPERLINK("https://www.google.com/maps/search/?api=1&amp;query=26.34373775,44.79157212", "View Map")</f>
        <v/>
      </c>
    </row>
    <row r="379">
      <c r="A379" t="inlineStr">
        <is>
          <t xml:space="preserve">   مسجد مخطط التويم الجديد .</t>
        </is>
      </c>
      <c r="B379" t="inlineStr">
        <is>
          <t>KFM2020660211637</t>
        </is>
      </c>
      <c r="C379" t="inlineStr">
        <is>
          <t>المجمعة</t>
        </is>
      </c>
      <c r="D379" t="inlineStr">
        <is>
          <t>كلا الفترتين</t>
        </is>
      </c>
      <c r="E379" t="n">
        <v>1169</v>
      </c>
      <c r="F379" t="b">
        <v>1</v>
      </c>
      <c r="G379">
        <f>HYPERLINK("https://www.google.com/maps/search/?api=1&amp;query=25.64798259,45.56017068", "View Map")</f>
        <v/>
      </c>
    </row>
    <row r="380">
      <c r="A380" t="inlineStr">
        <is>
          <t xml:space="preserve">   مسجد الميلم .</t>
        </is>
      </c>
      <c r="B380" t="inlineStr">
        <is>
          <t>KFM2020660156017</t>
        </is>
      </c>
      <c r="C380" t="inlineStr">
        <is>
          <t>الزلفي</t>
        </is>
      </c>
      <c r="D380" t="inlineStr">
        <is>
          <t>كلا الفترتين</t>
        </is>
      </c>
      <c r="E380" t="n">
        <v>1163</v>
      </c>
      <c r="F380" t="b">
        <v>1</v>
      </c>
      <c r="G380">
        <f>HYPERLINK("https://www.google.com/maps/search/?api=1&amp;query=26.31999517,44.8200038", "View Map")</f>
        <v/>
      </c>
    </row>
    <row r="381">
      <c r="A381" t="inlineStr">
        <is>
          <t xml:space="preserve">   مسجد حى النهضه بحوطة سدير .</t>
        </is>
      </c>
      <c r="B381" t="inlineStr">
        <is>
          <t>AES2120896545394</t>
        </is>
      </c>
      <c r="C381" t="inlineStr">
        <is>
          <t>المجمعة</t>
        </is>
      </c>
      <c r="D381" t="inlineStr">
        <is>
          <t>كلا الفترتين</t>
        </is>
      </c>
      <c r="E381" t="n">
        <v>1162</v>
      </c>
      <c r="F381" t="b">
        <v>0</v>
      </c>
      <c r="G381">
        <f>HYPERLINK("https://www.google.com/maps/search/?api=1&amp;query=25.60195915,45.61541969", "View Map")</f>
        <v/>
      </c>
    </row>
    <row r="382">
      <c r="A382" t="inlineStr">
        <is>
          <t>ﻓﺭﻉ ﺍﻻﻭﻗﺎﻑ ﻭﺍﻟﻤﺴﺎﺠﺩ .</t>
        </is>
      </c>
      <c r="B382" t="inlineStr">
        <is>
          <t>KFM2120660272127</t>
        </is>
      </c>
      <c r="C382" t="inlineStr">
        <is>
          <t>ثادق</t>
        </is>
      </c>
      <c r="D382" t="inlineStr">
        <is>
          <t>كلا الفترتين</t>
        </is>
      </c>
      <c r="E382" t="n">
        <v>1162</v>
      </c>
      <c r="F382" t="b">
        <v>1</v>
      </c>
      <c r="G382">
        <f>HYPERLINK("https://www.google.com/maps/search/?api=1&amp;query=25.41745454,46.09906737", "View Map")</f>
        <v/>
      </c>
    </row>
    <row r="383">
      <c r="A383" t="inlineStr">
        <is>
          <t xml:space="preserve">   مسجد المعيجل .</t>
        </is>
      </c>
      <c r="B383" t="inlineStr">
        <is>
          <t>AES2120896573875</t>
        </is>
      </c>
      <c r="C383" t="inlineStr">
        <is>
          <t>الزلفي</t>
        </is>
      </c>
      <c r="D383" t="inlineStr">
        <is>
          <t>كلا الفترتين</t>
        </is>
      </c>
      <c r="E383" t="n">
        <v>1157</v>
      </c>
      <c r="F383" t="b">
        <v>0</v>
      </c>
      <c r="G383">
        <f>HYPERLINK("https://www.google.com/maps/search/?api=1&amp;query=26.29066099,44.81886981", "View Map")</f>
        <v/>
      </c>
    </row>
    <row r="384">
      <c r="A384" t="inlineStr">
        <is>
          <t xml:space="preserve">   مسجد      حىالعزيزيهمخطط349 .</t>
        </is>
      </c>
      <c r="B384" t="inlineStr">
        <is>
          <t>KFM2020766034247</t>
        </is>
      </c>
      <c r="C384" t="inlineStr">
        <is>
          <t>المجمعة</t>
        </is>
      </c>
      <c r="D384" t="inlineStr">
        <is>
          <t>كلا الفترتين</t>
        </is>
      </c>
      <c r="E384" t="n">
        <v>1154</v>
      </c>
      <c r="F384" t="b">
        <v>0</v>
      </c>
      <c r="G384">
        <f>HYPERLINK("https://www.google.com/maps/search/?api=1&amp;query=25.7131,45.85972", "View Map")</f>
        <v/>
      </c>
    </row>
    <row r="385">
      <c r="A385" t="inlineStr">
        <is>
          <t xml:space="preserve">      مسجد الجامع الجديد .</t>
        </is>
      </c>
      <c r="B385" t="inlineStr">
        <is>
          <t>KFM2020766073371</t>
        </is>
      </c>
      <c r="C385" t="inlineStr">
        <is>
          <t>المجمعة</t>
        </is>
      </c>
      <c r="D385" t="inlineStr">
        <is>
          <t>كلا الفترتين</t>
        </is>
      </c>
      <c r="E385" t="n">
        <v>1152</v>
      </c>
      <c r="F385" t="b">
        <v>0</v>
      </c>
      <c r="G385">
        <f>HYPERLINK("https://www.google.com/maps/search/?api=1&amp;query=25.57334388,45.64161194", "View Map")</f>
        <v/>
      </c>
    </row>
    <row r="386">
      <c r="A386" t="inlineStr">
        <is>
          <t>مسجد محمد عبدالعزيز الربيعة .</t>
        </is>
      </c>
      <c r="B386" t="inlineStr">
        <is>
          <t>KFM2120660243000</t>
        </is>
      </c>
      <c r="C386" t="inlineStr">
        <is>
          <t>المجمعة</t>
        </is>
      </c>
      <c r="D386" t="inlineStr">
        <is>
          <t>كلا الفترتين</t>
        </is>
      </c>
      <c r="E386" t="n">
        <v>1150</v>
      </c>
      <c r="F386" t="b">
        <v>0</v>
      </c>
      <c r="G386">
        <f>HYPERLINK("https://www.google.com/maps/search/?api=1&amp;query=25.92113084,45.36272064", "View Map")</f>
        <v/>
      </c>
    </row>
    <row r="387">
      <c r="A387" t="inlineStr">
        <is>
          <t xml:space="preserve">   المسجدرقم(2)-مخطط(986)بشقراء .</t>
        </is>
      </c>
      <c r="B387" t="inlineStr">
        <is>
          <t>KFM2020766132787</t>
        </is>
      </c>
      <c r="C387" t="inlineStr">
        <is>
          <t>شقراء</t>
        </is>
      </c>
      <c r="D387" t="inlineStr">
        <is>
          <t>كلا الفترتين</t>
        </is>
      </c>
      <c r="E387" t="n">
        <v>1150</v>
      </c>
      <c r="F387" t="b">
        <v>0</v>
      </c>
      <c r="G387">
        <f>HYPERLINK("https://www.google.com/maps/search/?api=1&amp;query=25.23529417,45.24566151", "View Map")</f>
        <v/>
      </c>
    </row>
    <row r="388">
      <c r="A388" t="inlineStr">
        <is>
          <t xml:space="preserve">   مسجدعبدالعزيزالموسى بالصناعية .</t>
        </is>
      </c>
      <c r="B388" t="inlineStr">
        <is>
          <t>KFM2020766073456</t>
        </is>
      </c>
      <c r="C388" t="inlineStr">
        <is>
          <t>الزلفي</t>
        </is>
      </c>
      <c r="D388" t="inlineStr">
        <is>
          <t>كلا الفترتين</t>
        </is>
      </c>
      <c r="E388" t="n">
        <v>1150</v>
      </c>
      <c r="F388" t="b">
        <v>0</v>
      </c>
      <c r="G388">
        <f>HYPERLINK("https://www.google.com/maps/search/?api=1&amp;query=26.30915683,44.88158331", "View Map")</f>
        <v/>
      </c>
    </row>
    <row r="389">
      <c r="A389" t="inlineStr">
        <is>
          <t xml:space="preserve">   مسجد/سعد مغيدن .</t>
        </is>
      </c>
      <c r="B389" t="inlineStr">
        <is>
          <t>AES2020896466515</t>
        </is>
      </c>
      <c r="C389" t="inlineStr">
        <is>
          <t>المجمعة</t>
        </is>
      </c>
      <c r="D389" t="inlineStr">
        <is>
          <t>كلا الفترتين</t>
        </is>
      </c>
      <c r="E389" t="n">
        <v>1144</v>
      </c>
      <c r="F389" t="b">
        <v>0</v>
      </c>
      <c r="G389">
        <f>HYPERLINK("https://www.google.com/maps/search/?api=1&amp;query=26.51720257,45.35210289", "View Map")</f>
        <v/>
      </c>
    </row>
    <row r="390">
      <c r="A390" t="inlineStr">
        <is>
          <t>ﻓﺭﻉ ﺍﻻﻭﻗﺎﻑ ﺒﺤﻭﻁﻩ ﺴﺩﻴﺭ .</t>
        </is>
      </c>
      <c r="B390" t="inlineStr">
        <is>
          <t>MMF2420801457445</t>
        </is>
      </c>
      <c r="C390" t="inlineStr">
        <is>
          <t>المجمعة</t>
        </is>
      </c>
      <c r="D390" t="inlineStr">
        <is>
          <t>كلا الفترتين</t>
        </is>
      </c>
      <c r="E390" t="n">
        <v>1143</v>
      </c>
      <c r="F390" t="b">
        <v>0</v>
      </c>
      <c r="G390">
        <f>HYPERLINK("https://www.google.com/maps/search/?api=1&amp;query=25.58527916,45.69534916", "View Map")</f>
        <v/>
      </c>
    </row>
    <row r="391">
      <c r="A391" t="inlineStr">
        <is>
          <t xml:space="preserve">   مسجدمفلح خلف بدر الحربي .</t>
        </is>
      </c>
      <c r="B391" t="inlineStr">
        <is>
          <t>AES2020896466718</t>
        </is>
      </c>
      <c r="C391" t="inlineStr">
        <is>
          <t>المجمعة</t>
        </is>
      </c>
      <c r="D391" t="inlineStr">
        <is>
          <t>كلا الفترتين</t>
        </is>
      </c>
      <c r="E391" t="n">
        <v>1142</v>
      </c>
      <c r="F391" t="b">
        <v>0</v>
      </c>
      <c r="G391">
        <f>HYPERLINK("https://www.google.com/maps/search/?api=1&amp;query=26.87995,45.32123", "View Map")</f>
        <v/>
      </c>
    </row>
    <row r="392">
      <c r="A392" t="inlineStr">
        <is>
          <t>مسجد رقم 7 بندر العنقري بثرمداء .</t>
        </is>
      </c>
      <c r="B392" t="inlineStr">
        <is>
          <t>AES2020896448746</t>
        </is>
      </c>
      <c r="C392" t="inlineStr">
        <is>
          <t>مرات</t>
        </is>
      </c>
      <c r="D392" t="inlineStr">
        <is>
          <t>كلا الفترتين</t>
        </is>
      </c>
      <c r="E392" t="n">
        <v>1140</v>
      </c>
      <c r="F392" t="b">
        <v>0</v>
      </c>
      <c r="G392">
        <f>HYPERLINK("https://www.google.com/maps/search/?api=1&amp;query=25.11048231,45.4865717", "View Map")</f>
        <v/>
      </c>
    </row>
    <row r="393">
      <c r="A393" t="inlineStr">
        <is>
          <t xml:space="preserve">   مسجد الملك عبدالعزيز .</t>
        </is>
      </c>
      <c r="B393" t="inlineStr">
        <is>
          <t>KFM2020660177012</t>
        </is>
      </c>
      <c r="C393" t="inlineStr">
        <is>
          <t>مرات</t>
        </is>
      </c>
      <c r="D393" t="inlineStr">
        <is>
          <t>كلا الفترتين</t>
        </is>
      </c>
      <c r="E393" t="n">
        <v>1138</v>
      </c>
      <c r="F393" t="b">
        <v>0</v>
      </c>
      <c r="G393">
        <f>HYPERLINK("https://www.google.com/maps/search/?api=1&amp;query=25.06817734,45.46543435", "View Map")</f>
        <v/>
      </c>
    </row>
    <row r="394">
      <c r="A394" t="inlineStr">
        <is>
          <t xml:space="preserve">   مسجد/ ماجد فالح المديري .</t>
        </is>
      </c>
      <c r="B394" t="inlineStr">
        <is>
          <t>KFM2020760229528</t>
        </is>
      </c>
      <c r="C394" t="inlineStr">
        <is>
          <t>رماح</t>
        </is>
      </c>
      <c r="D394" t="inlineStr">
        <is>
          <t>كلا الفترتين</t>
        </is>
      </c>
      <c r="E394" t="n">
        <v>1138</v>
      </c>
      <c r="F394" t="b">
        <v>1</v>
      </c>
      <c r="G394">
        <f>HYPERLINK("https://www.google.com/maps/search/?api=1&amp;query=25.4060951,47.20939746", "View Map")</f>
        <v/>
      </c>
    </row>
    <row r="395">
      <c r="A395" t="inlineStr">
        <is>
          <t xml:space="preserve">   مسحد      الحى      مبايض .</t>
        </is>
      </c>
      <c r="B395" t="inlineStr">
        <is>
          <t>AEC2020830525286</t>
        </is>
      </c>
      <c r="C395" t="inlineStr">
        <is>
          <t>المجمعة</t>
        </is>
      </c>
      <c r="D395" t="inlineStr">
        <is>
          <t>كلا الفترتين</t>
        </is>
      </c>
      <c r="E395" t="n">
        <v>1136</v>
      </c>
      <c r="F395" t="b">
        <v>0</v>
      </c>
      <c r="G395">
        <f>HYPERLINK("https://www.google.com/maps/search/?api=1&amp;query=25.82612768,45.80816858", "View Map")</f>
        <v/>
      </c>
    </row>
    <row r="396">
      <c r="A396" t="inlineStr">
        <is>
          <t>مكتب الا وقاف والمساجد .</t>
        </is>
      </c>
      <c r="B396" t="inlineStr">
        <is>
          <t>AES2120896547500</t>
        </is>
      </c>
      <c r="C396" t="inlineStr">
        <is>
          <t>المجمعة</t>
        </is>
      </c>
      <c r="D396" t="inlineStr">
        <is>
          <t>كلا الفترتين</t>
        </is>
      </c>
      <c r="E396" t="n">
        <v>1135</v>
      </c>
      <c r="F396" t="b">
        <v>0</v>
      </c>
      <c r="G396">
        <f>HYPERLINK("https://www.google.com/maps/search/?api=1&amp;query=25.69579197,45.90224914", "View Map")</f>
        <v/>
      </c>
    </row>
    <row r="397">
      <c r="A397" t="inlineStr">
        <is>
          <t xml:space="preserve">   مسجد حله الغدير الجنوبى .</t>
        </is>
      </c>
      <c r="B397" t="inlineStr">
        <is>
          <t>AES2020896527110</t>
        </is>
      </c>
      <c r="C397" t="inlineStr">
        <is>
          <t>شقراء</t>
        </is>
      </c>
      <c r="D397" t="inlineStr">
        <is>
          <t>كلا الفترتين</t>
        </is>
      </c>
      <c r="E397" t="n">
        <v>1135</v>
      </c>
      <c r="F397" t="b">
        <v>0</v>
      </c>
      <c r="G397">
        <f>HYPERLINK("https://www.google.com/maps/search/?api=1&amp;query=25.24463853,45.24633525", "View Map")</f>
        <v/>
      </c>
    </row>
    <row r="398">
      <c r="A398" t="inlineStr">
        <is>
          <t xml:space="preserve">   مسجد العرباض بن سارية بعلقه .</t>
        </is>
      </c>
      <c r="B398" t="inlineStr">
        <is>
          <t>KFM2020660150008</t>
        </is>
      </c>
      <c r="C398" t="inlineStr">
        <is>
          <t>الزلفي</t>
        </is>
      </c>
      <c r="D398" t="inlineStr">
        <is>
          <t>كلا الفترتين</t>
        </is>
      </c>
      <c r="E398" t="n">
        <v>1132</v>
      </c>
      <c r="F398" t="b">
        <v>1</v>
      </c>
      <c r="G398">
        <f>HYPERLINK("https://www.google.com/maps/search/?api=1&amp;query=26.33848986,44.78050467", "View Map")</f>
        <v/>
      </c>
    </row>
    <row r="399">
      <c r="A399" t="inlineStr">
        <is>
          <t>مسجد نورة السلمان بروضة سدير .</t>
        </is>
      </c>
      <c r="B399" t="inlineStr">
        <is>
          <t>MMF2420801313052</t>
        </is>
      </c>
      <c r="C399" t="inlineStr">
        <is>
          <t>المجمعة</t>
        </is>
      </c>
      <c r="D399" t="inlineStr">
        <is>
          <t>كلا الفترتين</t>
        </is>
      </c>
      <c r="E399" t="n">
        <v>1131</v>
      </c>
      <c r="F399" t="b">
        <v>0</v>
      </c>
      <c r="G399">
        <f>HYPERLINK("https://www.google.com/maps/search/?api=1&amp;query=25.70407186,45.44915608", "View Map")</f>
        <v/>
      </c>
    </row>
    <row r="400">
      <c r="A400" t="inlineStr">
        <is>
          <t>مسجد مرزوق ماطر غرب لبخة .</t>
        </is>
      </c>
      <c r="B400" t="inlineStr">
        <is>
          <t>KFM2020760210618</t>
        </is>
      </c>
      <c r="C400" t="inlineStr">
        <is>
          <t>مرات</t>
        </is>
      </c>
      <c r="D400" t="inlineStr">
        <is>
          <t>كلا الفترتين</t>
        </is>
      </c>
      <c r="E400" t="n">
        <v>1130</v>
      </c>
      <c r="F400" t="b">
        <v>0</v>
      </c>
      <c r="G400">
        <f>HYPERLINK("https://www.google.com/maps/search/?api=1&amp;query=24.51969224,45.36491023", "View Map")</f>
        <v/>
      </c>
    </row>
    <row r="401">
      <c r="A401" t="inlineStr">
        <is>
          <t xml:space="preserve">      مسجد العزيزيه .</t>
        </is>
      </c>
      <c r="B401" t="inlineStr">
        <is>
          <t>AES2020896269460</t>
        </is>
      </c>
      <c r="C401" t="inlineStr">
        <is>
          <t>المجمعة</t>
        </is>
      </c>
      <c r="D401" t="inlineStr">
        <is>
          <t>كلا الفترتين</t>
        </is>
      </c>
      <c r="E401" t="n">
        <v>1129</v>
      </c>
      <c r="F401" t="b">
        <v>0</v>
      </c>
      <c r="G401">
        <f>HYPERLINK("https://www.google.com/maps/search/?api=1&amp;query=25.71144779,45.86356953", "View Map")</f>
        <v/>
      </c>
    </row>
    <row r="402">
      <c r="A402" t="inlineStr">
        <is>
          <t>ﺃﻭﻗﺎﻑ ﻭﻤﺴﺎﺠﺩ ﺍﻟﻭﺸﻡ .</t>
        </is>
      </c>
      <c r="B402" t="inlineStr">
        <is>
          <t>SMR2220761004316</t>
        </is>
      </c>
      <c r="C402" t="inlineStr">
        <is>
          <t>مرات</t>
        </is>
      </c>
      <c r="D402" t="inlineStr">
        <is>
          <t>كلا الفترتين</t>
        </is>
      </c>
      <c r="E402" t="n">
        <v>1127</v>
      </c>
      <c r="F402" t="b">
        <v>0</v>
      </c>
      <c r="G402">
        <f>HYPERLINK("https://www.google.com/maps/search/?api=1&amp;query=25.11646891,45.48871868", "View Map")</f>
        <v/>
      </c>
    </row>
    <row r="403">
      <c r="A403" t="inlineStr">
        <is>
          <t xml:space="preserve">    مسجدسويلم الهضيبان  رقم (7) .</t>
        </is>
      </c>
      <c r="B403" t="inlineStr">
        <is>
          <t>KFM2020766040384</t>
        </is>
      </c>
      <c r="C403" t="inlineStr">
        <is>
          <t>الغاط</t>
        </is>
      </c>
      <c r="D403" t="inlineStr">
        <is>
          <t>كلا الفترتين</t>
        </is>
      </c>
      <c r="E403" t="n">
        <v>1125</v>
      </c>
      <c r="F403" t="b">
        <v>0</v>
      </c>
      <c r="G403">
        <f>HYPERLINK("https://www.google.com/maps/search/?api=1&amp;query=26.03777222,44.93781717", "View Map")</f>
        <v/>
      </c>
    </row>
    <row r="404">
      <c r="A404" t="inlineStr">
        <is>
          <t xml:space="preserve">   جامع مسجد الدويش .</t>
        </is>
      </c>
      <c r="B404" t="inlineStr">
        <is>
          <t>KFM2020660188302</t>
        </is>
      </c>
      <c r="C404" t="inlineStr">
        <is>
          <t>المجمعة</t>
        </is>
      </c>
      <c r="D404" t="inlineStr">
        <is>
          <t>كلا الفترتين</t>
        </is>
      </c>
      <c r="E404" t="n">
        <v>1125</v>
      </c>
      <c r="F404" t="b">
        <v>0</v>
      </c>
      <c r="G404">
        <f>HYPERLINK("https://www.google.com/maps/search/?api=1&amp;query=26.51188925,45.34240108", "View Map")</f>
        <v/>
      </c>
    </row>
    <row r="405">
      <c r="A405" t="inlineStr">
        <is>
          <t xml:space="preserve">      مسجد الغنام .</t>
        </is>
      </c>
      <c r="B405" t="inlineStr">
        <is>
          <t>KFM2020660207369</t>
        </is>
      </c>
      <c r="C405" t="inlineStr">
        <is>
          <t>الزلفي</t>
        </is>
      </c>
      <c r="D405" t="inlineStr">
        <is>
          <t>مساءا</t>
        </is>
      </c>
      <c r="E405" t="n">
        <v>1122</v>
      </c>
      <c r="F405" t="b">
        <v>1</v>
      </c>
      <c r="G405">
        <f>HYPERLINK("https://www.google.com/maps/search/?api=1&amp;query=26.29954963,44.81721004", "View Map")</f>
        <v/>
      </c>
    </row>
    <row r="406">
      <c r="A406" t="inlineStr">
        <is>
          <t xml:space="preserve">   وزارة     الحج      ثادق .</t>
        </is>
      </c>
      <c r="B406" t="inlineStr">
        <is>
          <t>KFM2020766165184</t>
        </is>
      </c>
      <c r="C406" t="inlineStr">
        <is>
          <t>ثادق</t>
        </is>
      </c>
      <c r="D406" t="inlineStr">
        <is>
          <t>كلا الفترتين</t>
        </is>
      </c>
      <c r="E406" t="n">
        <v>1122</v>
      </c>
      <c r="F406" t="b">
        <v>0</v>
      </c>
      <c r="G406">
        <f>HYPERLINK("https://www.google.com/maps/search/?api=1&amp;query=25.26694782,45.86183713", "View Map")</f>
        <v/>
      </c>
    </row>
    <row r="407">
      <c r="A407" t="inlineStr">
        <is>
          <t>ﺃﻭﻗﺎﻑ ﻭﻤﺴﺎﺠﺩ ﺭﻤﺎﺡ .</t>
        </is>
      </c>
      <c r="B407" t="inlineStr">
        <is>
          <t>SMR2420868018383</t>
        </is>
      </c>
      <c r="C407" t="inlineStr">
        <is>
          <t>رماح</t>
        </is>
      </c>
      <c r="D407" t="inlineStr">
        <is>
          <t>كلا الفترتين</t>
        </is>
      </c>
      <c r="E407" t="n">
        <v>1116</v>
      </c>
      <c r="F407" t="b">
        <v>0</v>
      </c>
      <c r="G407">
        <f>HYPERLINK("https://www.google.com/maps/search/?api=1&amp;query=25.56584017,47.16628654", "View Map")</f>
        <v/>
      </c>
    </row>
    <row r="408">
      <c r="A408" t="inlineStr">
        <is>
          <t xml:space="preserve">   مسجد الجامع   بلدة المعشبة .</t>
        </is>
      </c>
      <c r="B408" t="inlineStr">
        <is>
          <t>SMR2020856136349</t>
        </is>
      </c>
      <c r="C408" t="inlineStr">
        <is>
          <t>شقراء</t>
        </is>
      </c>
      <c r="D408" t="inlineStr">
        <is>
          <t>كلا الفترتين</t>
        </is>
      </c>
      <c r="E408" t="n">
        <v>1116</v>
      </c>
      <c r="F408" t="b">
        <v>0</v>
      </c>
      <c r="G408">
        <f>HYPERLINK("https://www.google.com/maps/search/?api=1&amp;query=25.44599274,45.40142938", "View Map")</f>
        <v/>
      </c>
    </row>
    <row r="409">
      <c r="A409" t="inlineStr">
        <is>
          <t xml:space="preserve">   اوقاف الزلفي مسجدالتعاون .</t>
        </is>
      </c>
      <c r="B409" t="inlineStr">
        <is>
          <t>AES2120896564412</t>
        </is>
      </c>
      <c r="C409" t="inlineStr">
        <is>
          <t>الزلفي</t>
        </is>
      </c>
      <c r="D409" t="inlineStr">
        <is>
          <t>كلا الفترتين</t>
        </is>
      </c>
      <c r="E409" t="n">
        <v>1112</v>
      </c>
      <c r="F409" t="b">
        <v>0</v>
      </c>
      <c r="G409">
        <f>HYPERLINK("https://www.google.com/maps/search/?api=1&amp;query=26.32741072,44.81452407", "View Map")</f>
        <v/>
      </c>
    </row>
    <row r="410">
      <c r="A410" t="inlineStr">
        <is>
          <t>ﻓﺭﻉ ﺍﻻﻭﻗﺎﻑ ﺒﺤﻭﻁﻩ ﺴﺩﻴﺭ .</t>
        </is>
      </c>
      <c r="B410" t="inlineStr">
        <is>
          <t>SMR2420868043199</t>
        </is>
      </c>
      <c r="C410" t="inlineStr">
        <is>
          <t>المجمعة</t>
        </is>
      </c>
      <c r="D410" t="inlineStr">
        <is>
          <t>كلا الفترتين</t>
        </is>
      </c>
      <c r="E410" t="n">
        <v>1106</v>
      </c>
      <c r="F410" t="b">
        <v>1</v>
      </c>
      <c r="G410">
        <f>HYPERLINK("https://www.google.com/maps/search/?api=1&amp;query=25.58479302,45.69087555", "View Map")</f>
        <v/>
      </c>
    </row>
    <row r="411">
      <c r="A411" t="inlineStr">
        <is>
          <t>مسجد الامام الشوكاني .</t>
        </is>
      </c>
      <c r="B411" t="inlineStr">
        <is>
          <t>KFM2020660210430</t>
        </is>
      </c>
      <c r="C411" t="inlineStr">
        <is>
          <t>المجمعة</t>
        </is>
      </c>
      <c r="D411" t="inlineStr">
        <is>
          <t>كلا الفترتين</t>
        </is>
      </c>
      <c r="E411" t="n">
        <v>1101</v>
      </c>
      <c r="F411" t="b">
        <v>0</v>
      </c>
      <c r="G411">
        <f>HYPERLINK("https://www.google.com/maps/search/?api=1&amp;query=25.90578298,45.34073835", "View Map")</f>
        <v/>
      </c>
    </row>
    <row r="412">
      <c r="A412" t="inlineStr">
        <is>
          <t xml:space="preserve">   مسجد بجاد عواض الصفق .</t>
        </is>
      </c>
      <c r="B412" t="inlineStr">
        <is>
          <t>KFM2020766132859</t>
        </is>
      </c>
      <c r="C412" t="inlineStr">
        <is>
          <t>شقراء</t>
        </is>
      </c>
      <c r="D412" t="inlineStr">
        <is>
          <t>كلا الفترتين</t>
        </is>
      </c>
      <c r="E412" t="n">
        <v>1099</v>
      </c>
      <c r="F412" t="b">
        <v>0</v>
      </c>
      <c r="G412">
        <f>HYPERLINK("https://www.google.com/maps/search/?api=1&amp;query=25.23256,45.24166", "View Map")</f>
        <v/>
      </c>
    </row>
    <row r="413">
      <c r="A413" t="inlineStr">
        <is>
          <t xml:space="preserve">   مسجد محمد الدويش .</t>
        </is>
      </c>
      <c r="B413" t="inlineStr">
        <is>
          <t>KFM2120660280217</t>
        </is>
      </c>
      <c r="C413" t="inlineStr">
        <is>
          <t>الزلفي</t>
        </is>
      </c>
      <c r="D413" t="inlineStr">
        <is>
          <t>كلا الفترتين</t>
        </is>
      </c>
      <c r="E413" t="n">
        <v>1099</v>
      </c>
      <c r="F413" t="b">
        <v>0</v>
      </c>
      <c r="G413">
        <f>HYPERLINK("https://www.google.com/maps/search/?api=1&amp;query=26.30136161,44.80806519", "View Map")</f>
        <v/>
      </c>
    </row>
    <row r="414">
      <c r="A414" t="inlineStr">
        <is>
          <t xml:space="preserve">   مسجد - الشيخ بن عمار .</t>
        </is>
      </c>
      <c r="B414" t="inlineStr">
        <is>
          <t>KFM2020760205276</t>
        </is>
      </c>
      <c r="C414" t="inlineStr">
        <is>
          <t>حريملاء</t>
        </is>
      </c>
      <c r="D414" t="inlineStr">
        <is>
          <t>كلا الفترتين</t>
        </is>
      </c>
      <c r="E414" t="n">
        <v>1098</v>
      </c>
      <c r="F414" t="b">
        <v>0</v>
      </c>
      <c r="G414">
        <f>HYPERLINK("https://www.google.com/maps/search/?api=1&amp;query=25.13094909,46.13165232", "View Map")</f>
        <v/>
      </c>
    </row>
    <row r="415">
      <c r="A415" t="inlineStr">
        <is>
          <t xml:space="preserve">   مسجد/الامام الشافعي .</t>
        </is>
      </c>
      <c r="B415" t="inlineStr">
        <is>
          <t>KFM2020766161975</t>
        </is>
      </c>
      <c r="C415" t="inlineStr">
        <is>
          <t>الزلفي</t>
        </is>
      </c>
      <c r="D415" t="inlineStr">
        <is>
          <t>كلا الفترتين</t>
        </is>
      </c>
      <c r="E415" t="n">
        <v>1096</v>
      </c>
      <c r="F415" t="b">
        <v>1</v>
      </c>
      <c r="G415">
        <f>HYPERLINK("https://www.google.com/maps/search/?api=1&amp;query=26.31026501,44.80328055", "View Map")</f>
        <v/>
      </c>
    </row>
    <row r="416">
      <c r="A416" t="inlineStr">
        <is>
          <t>مسجد بحي الجامعيين .</t>
        </is>
      </c>
      <c r="B416" t="inlineStr">
        <is>
          <t>KFM2020660199228</t>
        </is>
      </c>
      <c r="C416" t="inlineStr">
        <is>
          <t>المجمعة</t>
        </is>
      </c>
      <c r="D416" t="inlineStr">
        <is>
          <t>كلا الفترتين</t>
        </is>
      </c>
      <c r="E416" t="n">
        <v>1096</v>
      </c>
      <c r="F416" t="b">
        <v>0</v>
      </c>
      <c r="G416">
        <f>HYPERLINK("https://www.google.com/maps/search/?api=1&amp;query=25.90771261,45.36668735", "View Map")</f>
        <v/>
      </c>
    </row>
    <row r="417">
      <c r="A417" t="inlineStr">
        <is>
          <t xml:space="preserve">   مسجد بن حسين .</t>
        </is>
      </c>
      <c r="B417" t="inlineStr">
        <is>
          <t>AEC2020830575144</t>
        </is>
      </c>
      <c r="C417" t="inlineStr">
        <is>
          <t>حريملاء</t>
        </is>
      </c>
      <c r="D417" t="inlineStr">
        <is>
          <t>كلا الفترتين</t>
        </is>
      </c>
      <c r="E417" t="n">
        <v>1095</v>
      </c>
      <c r="F417" t="b">
        <v>0</v>
      </c>
      <c r="G417">
        <f>HYPERLINK("https://www.google.com/maps/search/?api=1&amp;query=25.09845129,46.10171106", "View Map")</f>
        <v/>
      </c>
    </row>
    <row r="418">
      <c r="A418" t="inlineStr">
        <is>
          <t xml:space="preserve">    مسجد/ابى هريرة .</t>
        </is>
      </c>
      <c r="B418" t="inlineStr">
        <is>
          <t>KFM2020766138470</t>
        </is>
      </c>
      <c r="C418" t="inlineStr">
        <is>
          <t>الزلفي</t>
        </is>
      </c>
      <c r="D418" t="inlineStr">
        <is>
          <t>كلا الفترتين</t>
        </is>
      </c>
      <c r="E418" t="n">
        <v>1092</v>
      </c>
      <c r="F418" t="b">
        <v>1</v>
      </c>
      <c r="G418">
        <f>HYPERLINK("https://www.google.com/maps/search/?api=1&amp;query=26.30855288,44.82436063", "View Map")</f>
        <v/>
      </c>
    </row>
    <row r="419">
      <c r="A419" t="inlineStr">
        <is>
          <t xml:space="preserve">   مسجد الظهره .</t>
        </is>
      </c>
      <c r="B419" t="inlineStr">
        <is>
          <t>KFM2020766128627</t>
        </is>
      </c>
      <c r="C419" t="inlineStr">
        <is>
          <t>المجمعة</t>
        </is>
      </c>
      <c r="D419" t="inlineStr">
        <is>
          <t>كلا الفترتين</t>
        </is>
      </c>
      <c r="E419" t="n">
        <v>1091</v>
      </c>
      <c r="F419" t="b">
        <v>0</v>
      </c>
      <c r="G419">
        <f>HYPERLINK("https://www.google.com/maps/search/?api=1&amp;query=25.69696571,45.8817406", "View Map")</f>
        <v/>
      </c>
    </row>
    <row r="420">
      <c r="A420" t="inlineStr">
        <is>
          <t xml:space="preserve">   مسجدالشيخ عبدالله بن عبدان .</t>
        </is>
      </c>
      <c r="B420" t="inlineStr">
        <is>
          <t>KFM2020766158204</t>
        </is>
      </c>
      <c r="C420" t="inlineStr">
        <is>
          <t>الزلفي</t>
        </is>
      </c>
      <c r="D420" t="inlineStr">
        <is>
          <t>كلا الفترتين</t>
        </is>
      </c>
      <c r="E420" t="n">
        <v>1090</v>
      </c>
      <c r="F420" t="b">
        <v>1</v>
      </c>
      <c r="G420">
        <f>HYPERLINK("https://www.google.com/maps/search/?api=1&amp;query=26.31754738,44.79509351", "View Map")</f>
        <v/>
      </c>
    </row>
    <row r="421">
      <c r="A421" t="inlineStr">
        <is>
          <t xml:space="preserve">         مسجد الجلبان .</t>
        </is>
      </c>
      <c r="B421" t="inlineStr">
        <is>
          <t>SMR2420868018347</t>
        </is>
      </c>
      <c r="C421" t="inlineStr">
        <is>
          <t>رماح</t>
        </is>
      </c>
      <c r="D421" t="inlineStr">
        <is>
          <t>كلا الفترتين</t>
        </is>
      </c>
      <c r="E421" t="n">
        <v>1086</v>
      </c>
      <c r="F421" t="b">
        <v>0</v>
      </c>
      <c r="G421">
        <f>HYPERLINK("https://www.google.com/maps/search/?api=1&amp;query=25.5751681,46.97353524", "View Map")</f>
        <v/>
      </c>
    </row>
    <row r="422">
      <c r="A422" t="inlineStr">
        <is>
          <t xml:space="preserve">   جامع ابي بكر الصديق .</t>
        </is>
      </c>
      <c r="B422" t="inlineStr">
        <is>
          <t>KFM2020766069466</t>
        </is>
      </c>
      <c r="C422" t="inlineStr">
        <is>
          <t>المجمعة</t>
        </is>
      </c>
      <c r="D422" t="inlineStr">
        <is>
          <t>كلا الفترتين</t>
        </is>
      </c>
      <c r="E422" t="n">
        <v>1086</v>
      </c>
      <c r="F422" t="b">
        <v>0</v>
      </c>
      <c r="G422">
        <f>HYPERLINK("https://www.google.com/maps/search/?api=1&amp;query=26.50090009,45.3465513", "View Map")</f>
        <v/>
      </c>
    </row>
    <row r="423">
      <c r="A423" t="inlineStr">
        <is>
          <t xml:space="preserve">      مسجد الامير سلطان بن سعود بن .</t>
        </is>
      </c>
      <c r="B423" t="inlineStr">
        <is>
          <t>KFM2020660202132</t>
        </is>
      </c>
      <c r="C423" t="inlineStr">
        <is>
          <t>حريملاء</t>
        </is>
      </c>
      <c r="D423" t="inlineStr">
        <is>
          <t>كلا الفترتين</t>
        </is>
      </c>
      <c r="E423" t="n">
        <v>1083</v>
      </c>
      <c r="F423" t="b">
        <v>1</v>
      </c>
      <c r="G423">
        <f>HYPERLINK("https://www.google.com/maps/search/?api=1&amp;query=25.10882325,46.10666799", "View Map")</f>
        <v/>
      </c>
    </row>
    <row r="424">
      <c r="A424" t="inlineStr">
        <is>
          <t xml:space="preserve">   جامع الديره صالة المحاضرات .</t>
        </is>
      </c>
      <c r="B424" t="inlineStr">
        <is>
          <t>KFM2020660195715</t>
        </is>
      </c>
      <c r="C424" t="inlineStr">
        <is>
          <t>المجمعة</t>
        </is>
      </c>
      <c r="D424" t="inlineStr">
        <is>
          <t>مساءا</t>
        </is>
      </c>
      <c r="E424" t="n">
        <v>1083</v>
      </c>
      <c r="F424" t="b">
        <v>1</v>
      </c>
      <c r="G424">
        <f>HYPERLINK("https://www.google.com/maps/search/?api=1&amp;query=25.70857297,45.8672867", "View Map")</f>
        <v/>
      </c>
    </row>
    <row r="425">
      <c r="A425" t="inlineStr">
        <is>
          <t xml:space="preserve">      مسجد الفالح/ طريق الكويت .</t>
        </is>
      </c>
      <c r="B425" t="inlineStr">
        <is>
          <t>KFM2020660207149</t>
        </is>
      </c>
      <c r="C425" t="inlineStr">
        <is>
          <t>الزلفي</t>
        </is>
      </c>
      <c r="D425" t="inlineStr">
        <is>
          <t>كلا الفترتين</t>
        </is>
      </c>
      <c r="E425" t="n">
        <v>1083</v>
      </c>
      <c r="F425" t="b">
        <v>0</v>
      </c>
      <c r="G425">
        <f>HYPERLINK("https://www.google.com/maps/search/?api=1&amp;query=26.30380312,44.82339541", "View Map")</f>
        <v/>
      </c>
    </row>
    <row r="426">
      <c r="A426" t="inlineStr">
        <is>
          <t xml:space="preserve">   مسجد المنيع .</t>
        </is>
      </c>
      <c r="B426" t="inlineStr">
        <is>
          <t>KFM2020766128710</t>
        </is>
      </c>
      <c r="C426" t="inlineStr">
        <is>
          <t>الزلفي</t>
        </is>
      </c>
      <c r="D426" t="inlineStr">
        <is>
          <t>كلا الفترتين</t>
        </is>
      </c>
      <c r="E426" t="n">
        <v>1082</v>
      </c>
      <c r="F426" t="b">
        <v>0</v>
      </c>
      <c r="G426">
        <f>HYPERLINK("https://www.google.com/maps/search/?api=1&amp;query=26.28957921,44.81276338", "View Map")</f>
        <v/>
      </c>
    </row>
    <row r="427">
      <c r="A427" t="inlineStr">
        <is>
          <t xml:space="preserve">   مسجد      الجوهره   الماضى .</t>
        </is>
      </c>
      <c r="B427" t="inlineStr">
        <is>
          <t>KFM2020766062183</t>
        </is>
      </c>
      <c r="C427" t="inlineStr">
        <is>
          <t>المجمعة</t>
        </is>
      </c>
      <c r="D427" t="inlineStr">
        <is>
          <t>كلا الفترتين</t>
        </is>
      </c>
      <c r="E427" t="n">
        <v>1079</v>
      </c>
      <c r="F427" t="b">
        <v>0</v>
      </c>
      <c r="G427">
        <f>HYPERLINK("https://www.google.com/maps/search/?api=1&amp;query=25.62308728,45.57784672", "View Map")</f>
        <v/>
      </c>
    </row>
    <row r="428">
      <c r="A428" t="inlineStr">
        <is>
          <t>فرع الا وقاف والمساجد .</t>
        </is>
      </c>
      <c r="B428" t="inlineStr">
        <is>
          <t>KFM2020760212491</t>
        </is>
      </c>
      <c r="C428" t="inlineStr">
        <is>
          <t>ثادق</t>
        </is>
      </c>
      <c r="D428" t="inlineStr">
        <is>
          <t>كلا الفترتين</t>
        </is>
      </c>
      <c r="E428" t="n">
        <v>1076</v>
      </c>
      <c r="F428" t="b">
        <v>1</v>
      </c>
      <c r="G428">
        <f>HYPERLINK("https://www.google.com/maps/search/?api=1&amp;query=25.29282558,45.94999221", "View Map")</f>
        <v/>
      </c>
    </row>
    <row r="429">
      <c r="A429" t="inlineStr">
        <is>
          <t xml:space="preserve">    مسجدعبدالكريم البدر .</t>
        </is>
      </c>
      <c r="B429" t="inlineStr">
        <is>
          <t>KFM2020660201491</t>
        </is>
      </c>
      <c r="C429" t="inlineStr">
        <is>
          <t>الزلفي</t>
        </is>
      </c>
      <c r="D429" t="inlineStr">
        <is>
          <t>كلا الفترتين</t>
        </is>
      </c>
      <c r="E429" t="n">
        <v>1075</v>
      </c>
      <c r="F429" t="b">
        <v>1</v>
      </c>
      <c r="G429">
        <f>HYPERLINK("https://www.google.com/maps/search/?api=1&amp;query=26.2753872,44.81927616", "View Map")</f>
        <v/>
      </c>
    </row>
    <row r="430">
      <c r="A430" t="inlineStr">
        <is>
          <t xml:space="preserve">   مسجد عثمان بن عفان .</t>
        </is>
      </c>
      <c r="B430" t="inlineStr">
        <is>
          <t>KFM2020660201573</t>
        </is>
      </c>
      <c r="C430" t="inlineStr">
        <is>
          <t>الزلفي</t>
        </is>
      </c>
      <c r="D430" t="inlineStr">
        <is>
          <t>كلا الفترتين</t>
        </is>
      </c>
      <c r="E430" t="n">
        <v>1074</v>
      </c>
      <c r="F430" t="b">
        <v>1</v>
      </c>
      <c r="G430">
        <f>HYPERLINK("https://www.google.com/maps/search/?api=1&amp;query=26.30961583,44.79611759", "View Map")</f>
        <v/>
      </c>
    </row>
    <row r="431">
      <c r="A431" t="inlineStr">
        <is>
          <t xml:space="preserve">   جامع الطويلة أوقاف مرات .</t>
        </is>
      </c>
      <c r="B431" t="inlineStr">
        <is>
          <t>KFM2020766040447</t>
        </is>
      </c>
      <c r="C431" t="inlineStr">
        <is>
          <t>مرات</t>
        </is>
      </c>
      <c r="D431" t="inlineStr">
        <is>
          <t>كلا الفترتين</t>
        </is>
      </c>
      <c r="E431" t="n">
        <v>1069</v>
      </c>
      <c r="F431" t="b">
        <v>0</v>
      </c>
      <c r="G431">
        <f>HYPERLINK("https://www.google.com/maps/search/?api=1&amp;query=24.67099044,45.20881262", "View Map")</f>
        <v/>
      </c>
    </row>
    <row r="432">
      <c r="A432" t="inlineStr">
        <is>
          <t xml:space="preserve">   مسجد عمر بن عبدالعزيز .</t>
        </is>
      </c>
      <c r="B432" t="inlineStr">
        <is>
          <t>KFM2020660150004</t>
        </is>
      </c>
      <c r="C432" t="inlineStr">
        <is>
          <t>الزلفي</t>
        </is>
      </c>
      <c r="D432" t="inlineStr">
        <is>
          <t>كلا الفترتين</t>
        </is>
      </c>
      <c r="E432" t="n">
        <v>1068</v>
      </c>
      <c r="F432" t="b">
        <v>0</v>
      </c>
      <c r="G432">
        <f>HYPERLINK("https://www.google.com/maps/search/?api=1&amp;query=26.35490288,44.7808103", "View Map")</f>
        <v/>
      </c>
    </row>
    <row r="433">
      <c r="A433" t="inlineStr">
        <is>
          <t xml:space="preserve">   مسجد جامع حنيدر الجديد .</t>
        </is>
      </c>
      <c r="B433" t="inlineStr">
        <is>
          <t>KFM2120660249978</t>
        </is>
      </c>
      <c r="C433" t="inlineStr">
        <is>
          <t>المجمعة</t>
        </is>
      </c>
      <c r="D433" t="inlineStr">
        <is>
          <t>كلا الفترتين</t>
        </is>
      </c>
      <c r="E433" t="n">
        <v>1068</v>
      </c>
      <c r="F433" t="b">
        <v>0</v>
      </c>
      <c r="G433">
        <f>HYPERLINK("https://www.google.com/maps/search/?api=1&amp;query=26.86940434,45.2427869", "View Map")</f>
        <v/>
      </c>
    </row>
    <row r="434">
      <c r="A434" t="inlineStr">
        <is>
          <t>ﺍﺩﺍﺭﻩ ﺍﻻﻭﻗﺎﻑ ﻭﺍﻟﻤﺴﺎﺠﺩ .</t>
        </is>
      </c>
      <c r="B434" t="inlineStr">
        <is>
          <t>KFM2020660208848</t>
        </is>
      </c>
      <c r="C434" t="inlineStr">
        <is>
          <t>حريملاء</t>
        </is>
      </c>
      <c r="D434" t="inlineStr">
        <is>
          <t>كلا الفترتين</t>
        </is>
      </c>
      <c r="E434" t="n">
        <v>1064</v>
      </c>
      <c r="F434" t="b">
        <v>0</v>
      </c>
      <c r="G434">
        <f>HYPERLINK("https://www.google.com/maps/search/?api=1&amp;query=25.12081227,46.06032568", "View Map")</f>
        <v/>
      </c>
    </row>
    <row r="435">
      <c r="A435" t="inlineStr">
        <is>
          <t xml:space="preserve">      مسجد الخالديه .</t>
        </is>
      </c>
      <c r="B435" t="inlineStr">
        <is>
          <t>KFM2020660150469</t>
        </is>
      </c>
      <c r="C435" t="inlineStr">
        <is>
          <t>المجمعة</t>
        </is>
      </c>
      <c r="D435" t="inlineStr">
        <is>
          <t>كلا الفترتين</t>
        </is>
      </c>
      <c r="E435" t="n">
        <v>1064</v>
      </c>
      <c r="F435" t="b">
        <v>0</v>
      </c>
      <c r="G435">
        <f>HYPERLINK("https://www.google.com/maps/search/?api=1&amp;query=25.70010917,45.87852906", "View Map")</f>
        <v/>
      </c>
    </row>
    <row r="436">
      <c r="A436" t="inlineStr">
        <is>
          <t xml:space="preserve">   مكتب الاوقاف مسجد حى الملك فيصل .</t>
        </is>
      </c>
      <c r="B436" t="inlineStr">
        <is>
          <t>KFM2020766034174</t>
        </is>
      </c>
      <c r="C436" t="inlineStr">
        <is>
          <t>المجمعة</t>
        </is>
      </c>
      <c r="D436" t="inlineStr">
        <is>
          <t>كلا الفترتين</t>
        </is>
      </c>
      <c r="E436" t="n">
        <v>1064</v>
      </c>
      <c r="F436" t="b">
        <v>1</v>
      </c>
      <c r="G436">
        <f>HYPERLINK("https://www.google.com/maps/search/?api=1&amp;query=25.71867485,45.85883406", "View Map")</f>
        <v/>
      </c>
    </row>
    <row r="437">
      <c r="A437" t="inlineStr">
        <is>
          <t>ﺍﻭﻗﺎﻑ ﻭﻤﺴﺎﺠﺩ ( ) .</t>
        </is>
      </c>
      <c r="B437" t="inlineStr">
        <is>
          <t>KFM2020760149336</t>
        </is>
      </c>
      <c r="C437" t="inlineStr">
        <is>
          <t>الزلفي</t>
        </is>
      </c>
      <c r="D437" t="inlineStr">
        <is>
          <t>كلا الفترتين</t>
        </is>
      </c>
      <c r="E437" t="n">
        <v>1057</v>
      </c>
      <c r="F437" t="b">
        <v>0</v>
      </c>
      <c r="G437">
        <f>HYPERLINK("https://www.google.com/maps/search/?api=1&amp;query=26.31496264,44.87398356", "View Map")</f>
        <v/>
      </c>
    </row>
    <row r="438">
      <c r="A438" t="inlineStr">
        <is>
          <t xml:space="preserve">   مسجد      المحارب بملهم .</t>
        </is>
      </c>
      <c r="B438" t="inlineStr">
        <is>
          <t>KFM2120660244134</t>
        </is>
      </c>
      <c r="C438" t="inlineStr">
        <is>
          <t>حريملاء</t>
        </is>
      </c>
      <c r="D438" t="inlineStr">
        <is>
          <t>مساءا</t>
        </is>
      </c>
      <c r="E438" t="n">
        <v>1056</v>
      </c>
      <c r="F438" t="b">
        <v>0</v>
      </c>
      <c r="G438">
        <f>HYPERLINK("https://www.google.com/maps/search/?api=1&amp;query=25.1772552,46.3362412", "View Map")</f>
        <v/>
      </c>
    </row>
    <row r="439">
      <c r="A439" t="inlineStr">
        <is>
          <t xml:space="preserve">   مكتب الاوقاف بتميرمسجدالمخطط 680 .</t>
        </is>
      </c>
      <c r="B439" t="inlineStr">
        <is>
          <t>KFM2020766095272</t>
        </is>
      </c>
      <c r="C439" t="inlineStr">
        <is>
          <t>المجمعة</t>
        </is>
      </c>
      <c r="D439" t="inlineStr">
        <is>
          <t>كلا الفترتين</t>
        </is>
      </c>
      <c r="E439" t="n">
        <v>1054</v>
      </c>
      <c r="F439" t="b">
        <v>0</v>
      </c>
      <c r="G439">
        <f>HYPERLINK("https://www.google.com/maps/search/?api=1&amp;query=25.69664192,45.88027634", "View Map")</f>
        <v/>
      </c>
    </row>
    <row r="440">
      <c r="A440" t="inlineStr">
        <is>
          <t xml:space="preserve">   مسجد/ابراهيم صالح العجلان .</t>
        </is>
      </c>
      <c r="B440" t="inlineStr">
        <is>
          <t>KFM2120660284447</t>
        </is>
      </c>
      <c r="C440" t="inlineStr">
        <is>
          <t>حريملاء</t>
        </is>
      </c>
      <c r="D440" t="inlineStr">
        <is>
          <t>كلا الفترتين</t>
        </is>
      </c>
      <c r="E440" t="n">
        <v>1053</v>
      </c>
      <c r="F440" t="b">
        <v>0</v>
      </c>
      <c r="G440">
        <f>HYPERLINK("https://www.google.com/maps/search/?api=1&amp;query=24.91994606,45.85959713", "View Map")</f>
        <v/>
      </c>
    </row>
    <row r="441">
      <c r="A441" t="inlineStr">
        <is>
          <t>ﻤﻜﺘﺏ ﺍﻻﻭﻗﺎﻑ ﻭﺍﻟﻤﺴﺎﺠﺩ .</t>
        </is>
      </c>
      <c r="B441" t="inlineStr">
        <is>
          <t>AEC2020830090907</t>
        </is>
      </c>
      <c r="C441" t="inlineStr">
        <is>
          <t>المجمعة</t>
        </is>
      </c>
      <c r="D441" t="inlineStr">
        <is>
          <t>كلا الفترتين</t>
        </is>
      </c>
      <c r="E441" t="n">
        <v>1053</v>
      </c>
      <c r="F441" t="b">
        <v>0</v>
      </c>
      <c r="G441">
        <f>HYPERLINK("https://www.google.com/maps/search/?api=1&amp;query=25.71852347,45.85190797", "View Map")</f>
        <v/>
      </c>
    </row>
    <row r="442">
      <c r="A442" t="inlineStr">
        <is>
          <t xml:space="preserve">   مسجد عباد .</t>
        </is>
      </c>
      <c r="B442" t="inlineStr">
        <is>
          <t>KFM2020766132736</t>
        </is>
      </c>
      <c r="C442" t="inlineStr">
        <is>
          <t>المجمعة</t>
        </is>
      </c>
      <c r="D442" t="inlineStr">
        <is>
          <t>كلا الفترتين</t>
        </is>
      </c>
      <c r="E442" t="n">
        <v>1051</v>
      </c>
      <c r="F442" t="b">
        <v>0</v>
      </c>
      <c r="G442">
        <f>HYPERLINK("https://www.google.com/maps/search/?api=1&amp;query=25.69599434,45.88491165", "View Map")</f>
        <v/>
      </c>
    </row>
    <row r="443">
      <c r="A443" t="inlineStr">
        <is>
          <t xml:space="preserve">   مسجد/عبدالله مساعد القطيان .</t>
        </is>
      </c>
      <c r="B443" t="inlineStr">
        <is>
          <t>KFM2020760232962</t>
        </is>
      </c>
      <c r="C443" t="inlineStr">
        <is>
          <t>ثادق</t>
        </is>
      </c>
      <c r="D443" t="inlineStr">
        <is>
          <t>كلا الفترتين</t>
        </is>
      </c>
      <c r="E443" t="n">
        <v>1049</v>
      </c>
      <c r="F443" t="b">
        <v>0</v>
      </c>
      <c r="G443">
        <f>HYPERLINK("https://www.google.com/maps/search/?api=1&amp;query=25.2207729,45.75329728", "View Map")</f>
        <v/>
      </c>
    </row>
    <row r="444">
      <c r="A444" t="inlineStr">
        <is>
          <t xml:space="preserve">   مسجد بندر الجبر .</t>
        </is>
      </c>
      <c r="B444" t="inlineStr">
        <is>
          <t>KFM2020766073411</t>
        </is>
      </c>
      <c r="C444" t="inlineStr">
        <is>
          <t>الزلفي</t>
        </is>
      </c>
      <c r="D444" t="inlineStr">
        <is>
          <t>كلا الفترتين</t>
        </is>
      </c>
      <c r="E444" t="n">
        <v>1044</v>
      </c>
      <c r="F444" t="b">
        <v>1</v>
      </c>
      <c r="G444">
        <f>HYPERLINK("https://www.google.com/maps/search/?api=1&amp;query=26.28745018,44.82072228", "View Map")</f>
        <v/>
      </c>
    </row>
    <row r="445">
      <c r="A445" t="inlineStr">
        <is>
          <t xml:space="preserve">   مسجد المنيفى .</t>
        </is>
      </c>
      <c r="B445" t="inlineStr">
        <is>
          <t>KFM2020660134631</t>
        </is>
      </c>
      <c r="C445" t="inlineStr">
        <is>
          <t>الزلفي</t>
        </is>
      </c>
      <c r="D445" t="inlineStr">
        <is>
          <t>كلا الفترتين</t>
        </is>
      </c>
      <c r="E445" t="n">
        <v>1044</v>
      </c>
      <c r="F445" t="b">
        <v>0</v>
      </c>
      <c r="G445">
        <f>HYPERLINK("https://www.google.com/maps/search/?api=1&amp;query=26.29082864,44.81532607", "View Map")</f>
        <v/>
      </c>
    </row>
    <row r="446">
      <c r="A446" t="inlineStr">
        <is>
          <t xml:space="preserve">   مسجد حى رقم 17 .</t>
        </is>
      </c>
      <c r="B446" t="inlineStr">
        <is>
          <t>KFM2020766054724</t>
        </is>
      </c>
      <c r="C446" t="inlineStr">
        <is>
          <t>الزلفي</t>
        </is>
      </c>
      <c r="D446" t="inlineStr">
        <is>
          <t>كلا الفترتين</t>
        </is>
      </c>
      <c r="E446" t="n">
        <v>1044</v>
      </c>
      <c r="F446" t="b">
        <v>1</v>
      </c>
      <c r="G446">
        <f>HYPERLINK("https://www.google.com/maps/search/?api=1&amp;query=26.31819154,44.81803649", "View Map")</f>
        <v/>
      </c>
    </row>
    <row r="447">
      <c r="A447" t="inlineStr">
        <is>
          <t>دارة الاوقاف والمساجد .</t>
        </is>
      </c>
      <c r="B447" t="inlineStr">
        <is>
          <t>AEC2020830310934</t>
        </is>
      </c>
      <c r="C447" t="inlineStr">
        <is>
          <t>حريملاء</t>
        </is>
      </c>
      <c r="D447" t="inlineStr">
        <is>
          <t>كلا الفترتين</t>
        </is>
      </c>
      <c r="E447" t="n">
        <v>1042</v>
      </c>
      <c r="F447" t="b">
        <v>0</v>
      </c>
      <c r="G447">
        <f>HYPERLINK("https://www.google.com/maps/search/?api=1&amp;query=25.11986064,46.09102111", "View Map")</f>
        <v/>
      </c>
    </row>
    <row r="448">
      <c r="A448" t="inlineStr">
        <is>
          <t xml:space="preserve">   مسجدبلال بن رباح بأشيقر .</t>
        </is>
      </c>
      <c r="B448" t="inlineStr">
        <is>
          <t>KFM2020766121677</t>
        </is>
      </c>
      <c r="C448" t="inlineStr">
        <is>
          <t>شقراء</t>
        </is>
      </c>
      <c r="D448" t="inlineStr">
        <is>
          <t>كلا الفترتين</t>
        </is>
      </c>
      <c r="E448" t="n">
        <v>1040</v>
      </c>
      <c r="F448" t="b">
        <v>1</v>
      </c>
      <c r="G448">
        <f>HYPERLINK("https://www.google.com/maps/search/?api=1&amp;query=25.33741741,45.17638344", "View Map")</f>
        <v/>
      </c>
    </row>
    <row r="449">
      <c r="A449" t="inlineStr">
        <is>
          <t>ﺍﻭﻗﺎﻑ ﺍﻻﺭﻁﺎﻭﻴﺓ .</t>
        </is>
      </c>
      <c r="B449" t="inlineStr">
        <is>
          <t>ECC2020820019867</t>
        </is>
      </c>
      <c r="C449" t="inlineStr">
        <is>
          <t>المجمعة</t>
        </is>
      </c>
      <c r="D449" t="inlineStr">
        <is>
          <t>كلا الفترتين</t>
        </is>
      </c>
      <c r="E449" t="n">
        <v>1038</v>
      </c>
      <c r="F449" t="b">
        <v>0</v>
      </c>
      <c r="G449">
        <f>HYPERLINK("https://www.google.com/maps/search/?api=1&amp;query=26.42453184,45.35108431", "View Map")</f>
        <v/>
      </c>
    </row>
    <row r="450">
      <c r="A450" t="inlineStr">
        <is>
          <t>مسجد رقم 10 مخطط 906 التأهيل .</t>
        </is>
      </c>
      <c r="B450" t="inlineStr">
        <is>
          <t>AES2020896444891</t>
        </is>
      </c>
      <c r="C450" t="inlineStr">
        <is>
          <t>شقراء</t>
        </is>
      </c>
      <c r="D450" t="inlineStr">
        <is>
          <t>كلا الفترتين</t>
        </is>
      </c>
      <c r="E450" t="n">
        <v>1038</v>
      </c>
      <c r="F450" t="b">
        <v>0</v>
      </c>
      <c r="G450">
        <f>HYPERLINK("https://www.google.com/maps/search/?api=1&amp;query=25.21295418,45.24110705", "View Map")</f>
        <v/>
      </c>
    </row>
    <row r="451">
      <c r="A451" t="inlineStr">
        <is>
          <t xml:space="preserve">   مسجد رقم 1مخطط423 .</t>
        </is>
      </c>
      <c r="B451" t="inlineStr">
        <is>
          <t>KFM2020760203695</t>
        </is>
      </c>
      <c r="C451" t="inlineStr">
        <is>
          <t>حريملاء</t>
        </is>
      </c>
      <c r="D451" t="inlineStr">
        <is>
          <t>كلا الفترتين</t>
        </is>
      </c>
      <c r="E451" t="n">
        <v>1037</v>
      </c>
      <c r="F451" t="b">
        <v>0</v>
      </c>
      <c r="G451">
        <f>HYPERLINK("https://www.google.com/maps/search/?api=1&amp;query=25.106708,46.09482098", "View Map")</f>
        <v/>
      </c>
    </row>
    <row r="452">
      <c r="A452" t="inlineStr">
        <is>
          <t xml:space="preserve">   جامع مخطط 366 رقم ـ1ـ .</t>
        </is>
      </c>
      <c r="B452" t="inlineStr">
        <is>
          <t>KFM2020660161321</t>
        </is>
      </c>
      <c r="C452" t="inlineStr">
        <is>
          <t>شقراء</t>
        </is>
      </c>
      <c r="D452" t="inlineStr">
        <is>
          <t>كلا الفترتين</t>
        </is>
      </c>
      <c r="E452" t="n">
        <v>1037</v>
      </c>
      <c r="F452" t="b">
        <v>1</v>
      </c>
      <c r="G452">
        <f>HYPERLINK("https://www.google.com/maps/search/?api=1&amp;query=25.29597092,45.53238578", "View Map")</f>
        <v/>
      </c>
    </row>
    <row r="453">
      <c r="A453" t="inlineStr">
        <is>
          <t xml:space="preserve">   مسجد الغزوانى .</t>
        </is>
      </c>
      <c r="B453" t="inlineStr">
        <is>
          <t>KFM2020760154865</t>
        </is>
      </c>
      <c r="C453" t="inlineStr">
        <is>
          <t>ثادق</t>
        </is>
      </c>
      <c r="D453" t="inlineStr">
        <is>
          <t>كلا الفترتين</t>
        </is>
      </c>
      <c r="E453" t="n">
        <v>1032</v>
      </c>
      <c r="F453" t="b">
        <v>0</v>
      </c>
      <c r="G453">
        <f>HYPERLINK("https://www.google.com/maps/search/?api=1&amp;query=25.20231899,45.85652942", "View Map")</f>
        <v/>
      </c>
    </row>
    <row r="454">
      <c r="A454" t="inlineStr">
        <is>
          <t>ﺃﻭﻗﺎﻑ ﻭﻤﺴﺎﺠﺩ ﺭﻤﺎﺡ .</t>
        </is>
      </c>
      <c r="B454" t="inlineStr">
        <is>
          <t>SMR2220761015734</t>
        </is>
      </c>
      <c r="C454" t="inlineStr">
        <is>
          <t>رماح</t>
        </is>
      </c>
      <c r="D454" t="inlineStr">
        <is>
          <t>كلا الفترتين</t>
        </is>
      </c>
      <c r="E454" t="n">
        <v>1029</v>
      </c>
      <c r="F454" t="b">
        <v>1</v>
      </c>
      <c r="G454">
        <f>HYPERLINK("https://www.google.com/maps/search/?api=1&amp;query=25.54570286,47.18226972", "View Map")</f>
        <v/>
      </c>
    </row>
    <row r="455">
      <c r="A455" t="inlineStr">
        <is>
          <t>ﺃﻭﻗﺎﻑ ﻭﻤﺴﺎﺠﺩ ﺭﻤﺎﺡ .</t>
        </is>
      </c>
      <c r="B455" t="inlineStr">
        <is>
          <t>KFM2120660240928</t>
        </is>
      </c>
      <c r="C455" t="inlineStr">
        <is>
          <t>رماح</t>
        </is>
      </c>
      <c r="D455" t="inlineStr">
        <is>
          <t>كلا الفترتين</t>
        </is>
      </c>
      <c r="E455" t="n">
        <v>1029</v>
      </c>
      <c r="F455" t="b">
        <v>0</v>
      </c>
      <c r="G455">
        <f>HYPERLINK("https://www.google.com/maps/search/?api=1&amp;query=25.52677734,47.17643147", "View Map")</f>
        <v/>
      </c>
    </row>
    <row r="456">
      <c r="A456" t="inlineStr">
        <is>
          <t xml:space="preserve">   مسجد احمد بن زيد .</t>
        </is>
      </c>
      <c r="B456" t="inlineStr">
        <is>
          <t>KFM2120660271809</t>
        </is>
      </c>
      <c r="C456" t="inlineStr">
        <is>
          <t>الغاط</t>
        </is>
      </c>
      <c r="D456" t="inlineStr">
        <is>
          <t>كلا الفترتين</t>
        </is>
      </c>
      <c r="E456" t="n">
        <v>1028</v>
      </c>
      <c r="F456" t="b">
        <v>0</v>
      </c>
      <c r="G456">
        <f>HYPERLINK("https://www.google.com/maps/search/?api=1&amp;query=26.02417732,44.94293467", "View Map")</f>
        <v/>
      </c>
    </row>
    <row r="457">
      <c r="A457" t="inlineStr">
        <is>
          <t xml:space="preserve">   مسجد نادي الشعيب بحريملاء .</t>
        </is>
      </c>
      <c r="B457" t="inlineStr">
        <is>
          <t>AEC2020830313869</t>
        </is>
      </c>
      <c r="C457" t="inlineStr">
        <is>
          <t>حريملاء</t>
        </is>
      </c>
      <c r="D457" t="inlineStr">
        <is>
          <t>كلا الفترتين</t>
        </is>
      </c>
      <c r="E457" t="n">
        <v>1028</v>
      </c>
      <c r="F457" t="b">
        <v>0</v>
      </c>
      <c r="G457">
        <f>HYPERLINK("https://www.google.com/maps/search/?api=1&amp;query=25.12260162,46.08378967", "View Map")</f>
        <v/>
      </c>
    </row>
    <row r="458">
      <c r="A458" t="inlineStr">
        <is>
          <t xml:space="preserve">   مسجد الحى الشمالى .</t>
        </is>
      </c>
      <c r="B458" t="inlineStr">
        <is>
          <t>KFM2020660201566</t>
        </is>
      </c>
      <c r="C458" t="inlineStr">
        <is>
          <t>الزلفي</t>
        </is>
      </c>
      <c r="D458" t="inlineStr">
        <is>
          <t>كلا الفترتين</t>
        </is>
      </c>
      <c r="E458" t="n">
        <v>1026</v>
      </c>
      <c r="F458" t="b">
        <v>1</v>
      </c>
      <c r="G458">
        <f>HYPERLINK("https://www.google.com/maps/search/?api=1&amp;query=26.34047736,44.78010962", "View Map")</f>
        <v/>
      </c>
    </row>
    <row r="459">
      <c r="A459" t="inlineStr">
        <is>
          <t xml:space="preserve">               مسجد العليا الخالديه .</t>
        </is>
      </c>
      <c r="B459" t="inlineStr">
        <is>
          <t>KFM2020660195831</t>
        </is>
      </c>
      <c r="C459" t="inlineStr">
        <is>
          <t>المجمعة</t>
        </is>
      </c>
      <c r="D459" t="inlineStr">
        <is>
          <t>مساءا</t>
        </is>
      </c>
      <c r="E459" t="n">
        <v>1025</v>
      </c>
      <c r="F459" t="b">
        <v>0</v>
      </c>
      <c r="G459">
        <f>HYPERLINK("https://www.google.com/maps/search/?api=1&amp;query=25.70170102,45.8733683", "View Map")</f>
        <v/>
      </c>
    </row>
    <row r="460">
      <c r="A460" t="inlineStr">
        <is>
          <t xml:space="preserve">    مسجد الاوقاف بالغاط .</t>
        </is>
      </c>
      <c r="B460" t="inlineStr">
        <is>
          <t>KFM2020766040391</t>
        </is>
      </c>
      <c r="C460" t="inlineStr">
        <is>
          <t>الغاط</t>
        </is>
      </c>
      <c r="D460" t="inlineStr">
        <is>
          <t>كلا الفترتين</t>
        </is>
      </c>
      <c r="E460" t="n">
        <v>1025</v>
      </c>
      <c r="F460" t="b">
        <v>0</v>
      </c>
      <c r="G460">
        <f>HYPERLINK("https://www.google.com/maps/search/?api=1&amp;query=26.02088717,44.95291706", "View Map")</f>
        <v/>
      </c>
    </row>
    <row r="461">
      <c r="A461" t="inlineStr">
        <is>
          <t xml:space="preserve">   مسجدسعودالطيار .</t>
        </is>
      </c>
      <c r="B461" t="inlineStr">
        <is>
          <t>KFM2020660110706</t>
        </is>
      </c>
      <c r="C461" t="inlineStr">
        <is>
          <t>الزلفي</t>
        </is>
      </c>
      <c r="D461" t="inlineStr">
        <is>
          <t>كلا الفترتين</t>
        </is>
      </c>
      <c r="E461" t="n">
        <v>1024</v>
      </c>
      <c r="F461" t="b">
        <v>1</v>
      </c>
      <c r="G461">
        <f>HYPERLINK("https://www.google.com/maps/search/?api=1&amp;query=26.2917135,44.84039555", "View Map")</f>
        <v/>
      </c>
    </row>
    <row r="462">
      <c r="A462" t="inlineStr">
        <is>
          <t xml:space="preserve">   مسجد/فهد السديري .</t>
        </is>
      </c>
      <c r="B462" t="inlineStr">
        <is>
          <t>KFM2020766040383</t>
        </is>
      </c>
      <c r="C462" t="inlineStr">
        <is>
          <t>الغاط</t>
        </is>
      </c>
      <c r="D462" t="inlineStr">
        <is>
          <t>كلا الفترتين</t>
        </is>
      </c>
      <c r="E462" t="n">
        <v>1023</v>
      </c>
      <c r="F462" t="b">
        <v>0</v>
      </c>
      <c r="G462">
        <f>HYPERLINK("https://www.google.com/maps/search/?api=1&amp;query=26.02922486,44.94000357", "View Map")</f>
        <v/>
      </c>
    </row>
    <row r="463">
      <c r="A463" t="inlineStr">
        <is>
          <t>مسجد زايد المطيري . .</t>
        </is>
      </c>
      <c r="B463" t="inlineStr">
        <is>
          <t>AES2120896538426</t>
        </is>
      </c>
      <c r="C463" t="inlineStr">
        <is>
          <t>المجمعة</t>
        </is>
      </c>
      <c r="D463" t="inlineStr">
        <is>
          <t>كلا الفترتين</t>
        </is>
      </c>
      <c r="E463" t="n">
        <v>1021</v>
      </c>
      <c r="F463" t="b">
        <v>0</v>
      </c>
      <c r="G463">
        <f>HYPERLINK("https://www.google.com/maps/search/?api=1&amp;query=25.59788567,45.6459508", "View Map")</f>
        <v/>
      </c>
    </row>
    <row r="464">
      <c r="A464" t="inlineStr">
        <is>
          <t xml:space="preserve">   مسجد اباحسين .</t>
        </is>
      </c>
      <c r="B464" t="inlineStr">
        <is>
          <t>AES2120896548284</t>
        </is>
      </c>
      <c r="C464" t="inlineStr">
        <is>
          <t>شقراء</t>
        </is>
      </c>
      <c r="D464" t="inlineStr">
        <is>
          <t>كلا الفترتين</t>
        </is>
      </c>
      <c r="E464" t="n">
        <v>1020</v>
      </c>
      <c r="F464" t="b">
        <v>0</v>
      </c>
      <c r="G464">
        <f>HYPERLINK("https://www.google.com/maps/search/?api=1&amp;query=25.24692982,45.25864217", "View Map")</f>
        <v/>
      </c>
    </row>
    <row r="465">
      <c r="A465" t="inlineStr">
        <is>
          <t>وقاف ومساجد .</t>
        </is>
      </c>
      <c r="B465" t="inlineStr">
        <is>
          <t>KFM2020766091840</t>
        </is>
      </c>
      <c r="C465" t="inlineStr">
        <is>
          <t>الزلفي</t>
        </is>
      </c>
      <c r="D465" t="inlineStr">
        <is>
          <t>كلا الفترتين</t>
        </is>
      </c>
      <c r="E465" t="n">
        <v>1020</v>
      </c>
      <c r="F465" t="b">
        <v>0</v>
      </c>
      <c r="G465">
        <f>HYPERLINK("https://www.google.com/maps/search/?api=1&amp;query=26.31757153,44.87334576", "View Map")</f>
        <v/>
      </c>
    </row>
    <row r="466">
      <c r="A466" t="inlineStr">
        <is>
          <t xml:space="preserve">      مسجد الداخله .</t>
        </is>
      </c>
      <c r="B466" t="inlineStr">
        <is>
          <t>MMF2420601023678</t>
        </is>
      </c>
      <c r="C466" t="inlineStr">
        <is>
          <t>المجمعة</t>
        </is>
      </c>
      <c r="D466" t="inlineStr">
        <is>
          <t>كلا الفترتين</t>
        </is>
      </c>
      <c r="E466" t="n">
        <v>1018</v>
      </c>
      <c r="F466" t="b">
        <v>0</v>
      </c>
      <c r="G466">
        <f>HYPERLINK("https://www.google.com/maps/search/?api=1&amp;query=25.62341517,45.57670539", "View Map")</f>
        <v/>
      </c>
    </row>
    <row r="467">
      <c r="A467" t="inlineStr">
        <is>
          <t>مسجد رقم 31 بمخطط 127 بالقصب .</t>
        </is>
      </c>
      <c r="B467" t="inlineStr">
        <is>
          <t>AES2020896448925</t>
        </is>
      </c>
      <c r="C467" t="inlineStr">
        <is>
          <t>شقراء</t>
        </is>
      </c>
      <c r="D467" t="inlineStr">
        <is>
          <t>كلا الفترتين</t>
        </is>
      </c>
      <c r="E467" t="n">
        <v>1018</v>
      </c>
      <c r="F467" t="b">
        <v>0</v>
      </c>
      <c r="G467">
        <f>HYPERLINK("https://www.google.com/maps/search/?api=1&amp;query=25.29597092,45.53238578", "View Map")</f>
        <v/>
      </c>
    </row>
    <row r="468">
      <c r="A468" t="inlineStr">
        <is>
          <t xml:space="preserve">   اوقاف سدير مســـجد   السلمان .</t>
        </is>
      </c>
      <c r="B468" t="inlineStr">
        <is>
          <t>AES2020896450835</t>
        </is>
      </c>
      <c r="C468" t="inlineStr">
        <is>
          <t>المجمعة</t>
        </is>
      </c>
      <c r="D468" t="inlineStr">
        <is>
          <t>كلا الفترتين</t>
        </is>
      </c>
      <c r="E468" t="n">
        <v>1017</v>
      </c>
      <c r="F468" t="b">
        <v>0</v>
      </c>
      <c r="G468">
        <f>HYPERLINK("https://www.google.com/maps/search/?api=1&amp;query=25.68372201,45.44842025", "View Map")</f>
        <v/>
      </c>
    </row>
    <row r="469">
      <c r="A469" t="inlineStr">
        <is>
          <t>مسجد عمرو بن الجموح .</t>
        </is>
      </c>
      <c r="B469" t="inlineStr">
        <is>
          <t>KFM2020760135766</t>
        </is>
      </c>
      <c r="C469" t="inlineStr">
        <is>
          <t>المجمعة</t>
        </is>
      </c>
      <c r="D469" t="inlineStr">
        <is>
          <t>كلا الفترتين</t>
        </is>
      </c>
      <c r="E469" t="n">
        <v>1015</v>
      </c>
      <c r="F469" t="b">
        <v>0</v>
      </c>
      <c r="G469">
        <f>HYPERLINK("https://www.google.com/maps/search/?api=1&amp;query=25.95283359,45.34618831", "View Map")</f>
        <v/>
      </c>
    </row>
    <row r="470">
      <c r="A470" t="inlineStr">
        <is>
          <t>مسجد محمد الرميح .</t>
        </is>
      </c>
      <c r="B470" t="inlineStr">
        <is>
          <t>KFM2020760020358</t>
        </is>
      </c>
      <c r="C470" t="inlineStr">
        <is>
          <t>المجمعة</t>
        </is>
      </c>
      <c r="D470" t="inlineStr">
        <is>
          <t>كلا الفترتين</t>
        </is>
      </c>
      <c r="E470" t="n">
        <v>1012</v>
      </c>
      <c r="F470" t="b">
        <v>1</v>
      </c>
      <c r="G470">
        <f>HYPERLINK("https://www.google.com/maps/search/?api=1&amp;query=25.91347112,45.37601134", "View Map")</f>
        <v/>
      </c>
    </row>
    <row r="471">
      <c r="A471" t="inlineStr">
        <is>
          <t>ﻤﻜﺘﺏ ﺍﻻﻭﻗﺎﻑ ﻭﺍﻟﻤﺴﺎﺠﺩ .</t>
        </is>
      </c>
      <c r="B471" t="inlineStr">
        <is>
          <t>MMF2420801312937</t>
        </is>
      </c>
      <c r="C471" t="inlineStr">
        <is>
          <t>المجمعة</t>
        </is>
      </c>
      <c r="D471" t="inlineStr">
        <is>
          <t>كلا الفترتين</t>
        </is>
      </c>
      <c r="E471" t="n">
        <v>1008</v>
      </c>
      <c r="F471" t="b">
        <v>0</v>
      </c>
      <c r="G471">
        <f>HYPERLINK("https://www.google.com/maps/search/?api=1&amp;query=25.69715998,45.89624839", "View Map")</f>
        <v/>
      </c>
    </row>
    <row r="472">
      <c r="A472" t="inlineStr">
        <is>
          <t>وزارة الشئون الاسلامية والاو .</t>
        </is>
      </c>
      <c r="B472" t="inlineStr">
        <is>
          <t>KFM2020760229451</t>
        </is>
      </c>
      <c r="C472" t="inlineStr">
        <is>
          <t>المجمعة</t>
        </is>
      </c>
      <c r="D472" t="inlineStr">
        <is>
          <t>كلا الفترتين</t>
        </is>
      </c>
      <c r="E472" t="n">
        <v>1006</v>
      </c>
      <c r="F472" t="b">
        <v>0</v>
      </c>
      <c r="G472">
        <f>HYPERLINK("https://www.google.com/maps/search/?api=1&amp;query=27.34349,45.02107", "View Map")</f>
        <v/>
      </c>
    </row>
    <row r="473">
      <c r="A473" t="inlineStr">
        <is>
          <t>ﻤﻜﺘﺏ ﺍﻭﻗﺎﻑ ﺍﻟﻤﺠﻤﻌﻩ ﺍﻟﻤﺴﺎﺠﺩ .</t>
        </is>
      </c>
      <c r="B473" t="inlineStr">
        <is>
          <t>SMR2320761023747</t>
        </is>
      </c>
      <c r="C473" t="inlineStr">
        <is>
          <t>المجمعة</t>
        </is>
      </c>
      <c r="D473" t="inlineStr">
        <is>
          <t>كلا الفترتين</t>
        </is>
      </c>
      <c r="E473" t="n">
        <v>1005</v>
      </c>
      <c r="F473" t="b">
        <v>0</v>
      </c>
      <c r="G473">
        <f>HYPERLINK("https://www.google.com/maps/search/?api=1&amp;query=25.9146495,45.40587904", "View Map")</f>
        <v/>
      </c>
    </row>
    <row r="474">
      <c r="A474" t="inlineStr">
        <is>
          <t xml:space="preserve">   مسجدحمزه بن عمر .</t>
        </is>
      </c>
      <c r="B474" t="inlineStr">
        <is>
          <t>KFM2020766073451</t>
        </is>
      </c>
      <c r="C474" t="inlineStr">
        <is>
          <t>الزلفي</t>
        </is>
      </c>
      <c r="D474" t="inlineStr">
        <is>
          <t>كلا الفترتين</t>
        </is>
      </c>
      <c r="E474" t="n">
        <v>1005</v>
      </c>
      <c r="F474" t="b">
        <v>0</v>
      </c>
      <c r="G474">
        <f>HYPERLINK("https://www.google.com/maps/search/?api=1&amp;query=26.32035751,44.82305807", "View Map")</f>
        <v/>
      </c>
    </row>
    <row r="475">
      <c r="A475" t="inlineStr">
        <is>
          <t>ﺃﻭﻗﺎﻑ ﻭﻤﺴﺎﺠﺩ ﺍﻟﻭﺸﻡ .</t>
        </is>
      </c>
      <c r="B475" t="inlineStr">
        <is>
          <t>AES2020896527122</t>
        </is>
      </c>
      <c r="C475" t="inlineStr">
        <is>
          <t>شقراء</t>
        </is>
      </c>
      <c r="D475" t="inlineStr">
        <is>
          <t>كلا الفترتين</t>
        </is>
      </c>
      <c r="E475" t="n">
        <v>1005</v>
      </c>
      <c r="F475" t="b">
        <v>0</v>
      </c>
      <c r="G475">
        <f>HYPERLINK("https://www.google.com/maps/search/?api=1&amp;query=25.21936648,45.26472376", "View Map")</f>
        <v/>
      </c>
    </row>
    <row r="476">
      <c r="A476" t="inlineStr">
        <is>
          <t xml:space="preserve">   مسجد المثنى بن الحارثه .</t>
        </is>
      </c>
      <c r="B476" t="inlineStr">
        <is>
          <t>KFM2020660201605</t>
        </is>
      </c>
      <c r="C476" t="inlineStr">
        <is>
          <t>الزلفي</t>
        </is>
      </c>
      <c r="D476" t="inlineStr">
        <is>
          <t>كلا الفترتين</t>
        </is>
      </c>
      <c r="E476" t="n">
        <v>1003</v>
      </c>
      <c r="F476" t="b">
        <v>1</v>
      </c>
      <c r="G476">
        <f>HYPERLINK("https://www.google.com/maps/search/?api=1&amp;query=26.30219914,44.82615726", "View Map")</f>
        <v/>
      </c>
    </row>
    <row r="477">
      <c r="A477" t="inlineStr">
        <is>
          <t xml:space="preserve">   مسجد الرومى .</t>
        </is>
      </c>
      <c r="B477" t="inlineStr">
        <is>
          <t>AES2020896335923</t>
        </is>
      </c>
      <c r="C477" t="inlineStr">
        <is>
          <t>الزلفي</t>
        </is>
      </c>
      <c r="D477" t="inlineStr">
        <is>
          <t>كلا الفترتين</t>
        </is>
      </c>
      <c r="E477" t="n">
        <v>1000</v>
      </c>
      <c r="F477" t="b">
        <v>0</v>
      </c>
      <c r="G477">
        <f>HYPERLINK("https://www.google.com/maps/search/?api=1&amp;query=26.30812935,44.7983488", "View Map")</f>
        <v/>
      </c>
    </row>
    <row r="478">
      <c r="A478" t="inlineStr">
        <is>
          <t>ﺍﻭﻗﺎﻑ ﻭﻤﺴـﺎﺠﺩﺍﻟﻐﺎﻁ .</t>
        </is>
      </c>
      <c r="B478" t="inlineStr">
        <is>
          <t>AES2120896590859</t>
        </is>
      </c>
      <c r="C478" t="inlineStr">
        <is>
          <t>الغاط</t>
        </is>
      </c>
      <c r="D478" t="inlineStr">
        <is>
          <t>كلا الفترتين</t>
        </is>
      </c>
      <c r="E478" t="n">
        <v>998</v>
      </c>
      <c r="F478" t="b">
        <v>0</v>
      </c>
      <c r="G478">
        <f>HYPERLINK("https://www.google.com/maps/search/?api=1&amp;query=26.02338852,44.96419238", "View Map")</f>
        <v/>
      </c>
    </row>
    <row r="479">
      <c r="A479" t="inlineStr">
        <is>
          <t xml:space="preserve">      مسجد الشهباء .</t>
        </is>
      </c>
      <c r="B479" t="inlineStr">
        <is>
          <t>KFM2020660192448</t>
        </is>
      </c>
      <c r="C479" t="inlineStr">
        <is>
          <t>المجمعة</t>
        </is>
      </c>
      <c r="D479" t="inlineStr">
        <is>
          <t>صباحا</t>
        </is>
      </c>
      <c r="E479" t="n">
        <v>998</v>
      </c>
      <c r="F479" t="b">
        <v>1</v>
      </c>
      <c r="G479">
        <f>HYPERLINK("https://www.google.com/maps/search/?api=1&amp;query=26.64913678,45.33288793", "View Map")</f>
        <v/>
      </c>
    </row>
    <row r="480">
      <c r="A480" t="inlineStr">
        <is>
          <t xml:space="preserve">   مسجد      العزيزيه  ر721 .</t>
        </is>
      </c>
      <c r="B480" t="inlineStr">
        <is>
          <t>KFM2020766128654</t>
        </is>
      </c>
      <c r="C480" t="inlineStr">
        <is>
          <t>المجمعة</t>
        </is>
      </c>
      <c r="D480" t="inlineStr">
        <is>
          <t>كلا الفترتين</t>
        </is>
      </c>
      <c r="E480" t="n">
        <v>992</v>
      </c>
      <c r="F480" t="b">
        <v>0</v>
      </c>
      <c r="G480">
        <f>HYPERLINK("https://www.google.com/maps/search/?api=1&amp;query=25.71852347,45.85190797", "View Map")</f>
        <v/>
      </c>
    </row>
    <row r="481">
      <c r="A481" t="inlineStr">
        <is>
          <t>ﻓﺭﻉ ﺍﻻﻭﻗﺎﻑ ﺒﺤﻭﻁﻩ ﺴﺩﻴﺭ .</t>
        </is>
      </c>
      <c r="B481" t="inlineStr">
        <is>
          <t>ECC2020810924681</t>
        </is>
      </c>
      <c r="C481" t="inlineStr">
        <is>
          <t>المجمعة</t>
        </is>
      </c>
      <c r="D481" t="inlineStr">
        <is>
          <t>كلا الفترتين</t>
        </is>
      </c>
      <c r="E481" t="n">
        <v>991</v>
      </c>
      <c r="F481" t="b">
        <v>0</v>
      </c>
      <c r="G481">
        <f>HYPERLINK("https://www.google.com/maps/search/?api=1&amp;query=25.62337307,45.57722311", "View Map")</f>
        <v/>
      </c>
    </row>
    <row r="482">
      <c r="A482" t="inlineStr">
        <is>
          <t xml:space="preserve">   مكتب الاوقاف مسجدالمنيع بلخطامه .</t>
        </is>
      </c>
      <c r="B482" t="inlineStr">
        <is>
          <t>KFM2020766141170</t>
        </is>
      </c>
      <c r="C482" t="inlineStr">
        <is>
          <t>المجمعة</t>
        </is>
      </c>
      <c r="D482" t="inlineStr">
        <is>
          <t>كلا الفترتين</t>
        </is>
      </c>
      <c r="E482" t="n">
        <v>990</v>
      </c>
      <c r="F482" t="b">
        <v>0</v>
      </c>
      <c r="G482">
        <f>HYPERLINK("https://www.google.com/maps/search/?api=1&amp;query=25.58933834,45.69960717", "View Map")</f>
        <v/>
      </c>
    </row>
    <row r="483">
      <c r="A483" t="inlineStr">
        <is>
          <t xml:space="preserve">   مسجد ناصر العبود العبود .</t>
        </is>
      </c>
      <c r="B483" t="inlineStr">
        <is>
          <t>KFM2020660192430</t>
        </is>
      </c>
      <c r="C483" t="inlineStr">
        <is>
          <t>الزلفي</t>
        </is>
      </c>
      <c r="D483" t="inlineStr">
        <is>
          <t>كلا الفترتين</t>
        </is>
      </c>
      <c r="E483" t="n">
        <v>986</v>
      </c>
      <c r="F483" t="b">
        <v>0</v>
      </c>
      <c r="G483">
        <f>HYPERLINK("https://www.google.com/maps/search/?api=1&amp;query=26.30793282,44.82039906", "View Map")</f>
        <v/>
      </c>
    </row>
    <row r="484">
      <c r="A484" t="inlineStr">
        <is>
          <t xml:space="preserve">   مسجد العيد الجنوبي .</t>
        </is>
      </c>
      <c r="B484" t="inlineStr">
        <is>
          <t>AES2020896370938</t>
        </is>
      </c>
      <c r="C484" t="inlineStr">
        <is>
          <t>الزلفي</t>
        </is>
      </c>
      <c r="D484" t="inlineStr">
        <is>
          <t>كلا الفترتين</t>
        </is>
      </c>
      <c r="E484" t="n">
        <v>986</v>
      </c>
      <c r="F484" t="b">
        <v>0</v>
      </c>
      <c r="G484">
        <f>HYPERLINK("https://www.google.com/maps/search/?api=1&amp;query=26.28682471,44.81831496", "View Map")</f>
        <v/>
      </c>
    </row>
    <row r="485">
      <c r="A485" t="inlineStr">
        <is>
          <t>ﺍﻭﻗﺎﻑ ﺍﻻﺭﻁﺎﻭﻴﺓ .</t>
        </is>
      </c>
      <c r="B485" t="inlineStr">
        <is>
          <t>ECC2420831013004</t>
        </is>
      </c>
      <c r="C485" t="inlineStr">
        <is>
          <t>المجمعة</t>
        </is>
      </c>
      <c r="D485" t="inlineStr">
        <is>
          <t>كلا الفترتين</t>
        </is>
      </c>
      <c r="E485" t="n">
        <v>985</v>
      </c>
      <c r="F485" t="b">
        <v>0</v>
      </c>
      <c r="G485">
        <f>HYPERLINK("https://www.google.com/maps/search/?api=1&amp;query=26.50936382,45.35519277", "View Map")</f>
        <v/>
      </c>
    </row>
    <row r="486">
      <c r="A486" t="inlineStr">
        <is>
          <t xml:space="preserve">   اوقاف حوطةسدير مسجد البدربالتويم .</t>
        </is>
      </c>
      <c r="B486" t="inlineStr">
        <is>
          <t>SMR2020856052135</t>
        </is>
      </c>
      <c r="C486" t="inlineStr">
        <is>
          <t>المجمعة</t>
        </is>
      </c>
      <c r="D486" t="inlineStr">
        <is>
          <t>كلا الفترتين</t>
        </is>
      </c>
      <c r="E486" t="n">
        <v>984</v>
      </c>
      <c r="F486" t="b">
        <v>0</v>
      </c>
      <c r="G486">
        <f>HYPERLINK("https://www.google.com/maps/search/?api=1&amp;query=25.64518873,45.5580776", "View Map")</f>
        <v/>
      </c>
    </row>
    <row r="487">
      <c r="A487" t="inlineStr">
        <is>
          <t>مسجد والدة عبدالله ابانمي .</t>
        </is>
      </c>
      <c r="B487" t="inlineStr">
        <is>
          <t>MMF2020800181068</t>
        </is>
      </c>
      <c r="C487" t="inlineStr">
        <is>
          <t>المجمعة</t>
        </is>
      </c>
      <c r="D487" t="inlineStr">
        <is>
          <t>كلا الفترتين</t>
        </is>
      </c>
      <c r="E487" t="n">
        <v>981</v>
      </c>
      <c r="F487" t="b">
        <v>0</v>
      </c>
      <c r="G487">
        <f>HYPERLINK("https://www.google.com/maps/search/?api=1&amp;query=25.90981806,45.37935646", "View Map")</f>
        <v/>
      </c>
    </row>
    <row r="488">
      <c r="A488" t="inlineStr">
        <is>
          <t>ﺍﻭﻗﺎﻑ ﻭﻤﺴﺎﺠﺩ ( ) .</t>
        </is>
      </c>
      <c r="B488" t="inlineStr">
        <is>
          <t>AEC2020830283664</t>
        </is>
      </c>
      <c r="C488" t="inlineStr">
        <is>
          <t>الزلفي</t>
        </is>
      </c>
      <c r="D488" t="inlineStr">
        <is>
          <t>كلا الفترتين</t>
        </is>
      </c>
      <c r="E488" t="n">
        <v>981</v>
      </c>
      <c r="F488" t="b">
        <v>0</v>
      </c>
      <c r="G488">
        <f>HYPERLINK("https://www.google.com/maps/search/?api=1&amp;query=26.30842404,44.88709897", "View Map")</f>
        <v/>
      </c>
    </row>
    <row r="489">
      <c r="A489" t="inlineStr">
        <is>
          <t>ﻓﺭﻉ ﺍﻻﻭﻗﺎﻑ ﺒﺤﻭﻁﻩ ﺴﺩﻴﺭ .</t>
        </is>
      </c>
      <c r="B489" t="inlineStr">
        <is>
          <t>AES2020896467787</t>
        </is>
      </c>
      <c r="C489" t="inlineStr">
        <is>
          <t>المجمعة</t>
        </is>
      </c>
      <c r="D489" t="inlineStr">
        <is>
          <t>كلا الفترتين</t>
        </is>
      </c>
      <c r="E489" t="n">
        <v>979</v>
      </c>
      <c r="F489" t="b">
        <v>0</v>
      </c>
      <c r="G489">
        <f>HYPERLINK("https://www.google.com/maps/search/?api=1&amp;query=25.55627753,45.69258235", "View Map")</f>
        <v/>
      </c>
    </row>
    <row r="490">
      <c r="A490" t="inlineStr">
        <is>
          <t>داره الا وقاف والمساجد .</t>
        </is>
      </c>
      <c r="B490" t="inlineStr">
        <is>
          <t>ECC2020811047120</t>
        </is>
      </c>
      <c r="C490" t="inlineStr">
        <is>
          <t>حريملاء</t>
        </is>
      </c>
      <c r="D490" t="inlineStr">
        <is>
          <t>كلا الفترتين</t>
        </is>
      </c>
      <c r="E490" t="n">
        <v>976</v>
      </c>
      <c r="F490" t="b">
        <v>0</v>
      </c>
      <c r="G490">
        <f>HYPERLINK("https://www.google.com/maps/search/?api=1&amp;query=25.11710558,46.10316985", "View Map")</f>
        <v/>
      </c>
    </row>
    <row r="491">
      <c r="A491" t="inlineStr">
        <is>
          <t>ﻤﻜﺘﺏ ﺍﻭﻗﺎﻑ ﺍﻟﻤﺠﻤﻌﻩ (ﺍﻟﻤﺴﺎﺠﺩ) .</t>
        </is>
      </c>
      <c r="B491" t="inlineStr">
        <is>
          <t>SMR2120765017371</t>
        </is>
      </c>
      <c r="C491" t="inlineStr">
        <is>
          <t>حريملاء</t>
        </is>
      </c>
      <c r="D491" t="inlineStr">
        <is>
          <t>كلا الفترتين</t>
        </is>
      </c>
      <c r="E491" t="n">
        <v>974</v>
      </c>
      <c r="F491" t="b">
        <v>0</v>
      </c>
      <c r="G491">
        <f>HYPERLINK("https://www.google.com/maps/search/?api=1&amp;query=24.91203526,45.86388209", "View Map")</f>
        <v/>
      </c>
    </row>
    <row r="492">
      <c r="A492" t="inlineStr">
        <is>
          <t>جامع الاسكان .</t>
        </is>
      </c>
      <c r="B492" t="inlineStr">
        <is>
          <t>KFM2020660177610</t>
        </is>
      </c>
      <c r="C492" t="inlineStr">
        <is>
          <t>شقراء</t>
        </is>
      </c>
      <c r="D492" t="inlineStr">
        <is>
          <t>كلا الفترتين</t>
        </is>
      </c>
      <c r="E492" t="n">
        <v>974</v>
      </c>
      <c r="F492" t="b">
        <v>0</v>
      </c>
      <c r="G492">
        <f>HYPERLINK("https://www.google.com/maps/search/?api=1&amp;query=25.24724084,45.21971028", "View Map")</f>
        <v/>
      </c>
    </row>
    <row r="493">
      <c r="A493" t="inlineStr">
        <is>
          <t xml:space="preserve">   مسجد الحلة الجنوبية .</t>
        </is>
      </c>
      <c r="B493" t="inlineStr">
        <is>
          <t>KFM2020766161892</t>
        </is>
      </c>
      <c r="C493" t="inlineStr">
        <is>
          <t>ثادق</t>
        </is>
      </c>
      <c r="D493" t="inlineStr">
        <is>
          <t>كلا الفترتين</t>
        </is>
      </c>
      <c r="E493" t="n">
        <v>973</v>
      </c>
      <c r="F493" t="b">
        <v>0</v>
      </c>
      <c r="G493">
        <f>HYPERLINK("https://www.google.com/maps/search/?api=1&amp;query=25.2915635,45.78475372", "View Map")</f>
        <v/>
      </c>
    </row>
    <row r="494">
      <c r="A494" t="inlineStr">
        <is>
          <t xml:space="preserve">   مسجد السالم مخطط المطار الجنو .</t>
        </is>
      </c>
      <c r="B494" t="inlineStr">
        <is>
          <t>KFM2020660160311</t>
        </is>
      </c>
      <c r="C494" t="inlineStr">
        <is>
          <t>الزلفي</t>
        </is>
      </c>
      <c r="D494" t="inlineStr">
        <is>
          <t>كلا الفترتين</t>
        </is>
      </c>
      <c r="E494" t="n">
        <v>971</v>
      </c>
      <c r="F494" t="b">
        <v>0</v>
      </c>
      <c r="G494">
        <f>HYPERLINK("https://www.google.com/maps/search/?api=1&amp;query=26.29632021,44.82781016", "View Map")</f>
        <v/>
      </c>
    </row>
    <row r="495">
      <c r="A495" t="inlineStr">
        <is>
          <t xml:space="preserve">    المـسجـد رقم واحد بالمخطط428/ .</t>
        </is>
      </c>
      <c r="B495" t="inlineStr">
        <is>
          <t>AES2020896535498</t>
        </is>
      </c>
      <c r="C495" t="inlineStr">
        <is>
          <t>شقراء</t>
        </is>
      </c>
      <c r="D495" t="inlineStr">
        <is>
          <t>كلا الفترتين</t>
        </is>
      </c>
      <c r="E495" t="n">
        <v>970</v>
      </c>
      <c r="F495" t="b">
        <v>0</v>
      </c>
      <c r="G495">
        <f>HYPERLINK("https://www.google.com/maps/search/?api=1&amp;query=25.22875269,45.25288397", "View Map")</f>
        <v/>
      </c>
    </row>
    <row r="496">
      <c r="A496" t="inlineStr">
        <is>
          <t>أوقاف ومساجد رماح .</t>
        </is>
      </c>
      <c r="B496" t="inlineStr">
        <is>
          <t>AES2020896468903</t>
        </is>
      </c>
      <c r="C496" t="inlineStr">
        <is>
          <t>رماح</t>
        </is>
      </c>
      <c r="D496" t="inlineStr">
        <is>
          <t>كلا الفترتين</t>
        </is>
      </c>
      <c r="E496" t="n">
        <v>969</v>
      </c>
      <c r="F496" t="b">
        <v>0</v>
      </c>
      <c r="G496">
        <f>HYPERLINK("https://www.google.com/maps/search/?api=1&amp;query=25.53213959,47.17155889", "View Map")</f>
        <v/>
      </c>
    </row>
    <row r="497">
      <c r="A497" t="inlineStr">
        <is>
          <t xml:space="preserve">   مسجد عامر بن ثابت .</t>
        </is>
      </c>
      <c r="B497" t="inlineStr">
        <is>
          <t>KFM2020766162011</t>
        </is>
      </c>
      <c r="C497" t="inlineStr">
        <is>
          <t>الزلفي</t>
        </is>
      </c>
      <c r="D497" t="inlineStr">
        <is>
          <t>كلا الفترتين</t>
        </is>
      </c>
      <c r="E497" t="n">
        <v>966</v>
      </c>
      <c r="F497" t="b">
        <v>1</v>
      </c>
      <c r="G497">
        <f>HYPERLINK("https://www.google.com/maps/search/?api=1&amp;query=26.31075929,44.80451684", "View Map")</f>
        <v/>
      </c>
    </row>
    <row r="498">
      <c r="A498" t="inlineStr">
        <is>
          <t>مسجد بن قدامة ( روضة سدير ) .</t>
        </is>
      </c>
      <c r="B498" t="inlineStr">
        <is>
          <t>KFM2020766099120</t>
        </is>
      </c>
      <c r="C498" t="inlineStr">
        <is>
          <t>المجمعة</t>
        </is>
      </c>
      <c r="D498" t="inlineStr">
        <is>
          <t>كلا الفترتين</t>
        </is>
      </c>
      <c r="E498" t="n">
        <v>965</v>
      </c>
      <c r="F498" t="b">
        <v>0</v>
      </c>
      <c r="G498">
        <f>HYPERLINK("https://www.google.com/maps/search/?api=1&amp;query=25.6253869,45.5756217", "View Map")</f>
        <v/>
      </c>
    </row>
    <row r="499">
      <c r="A499" t="inlineStr">
        <is>
          <t>مسجد دخيل الدخيل .</t>
        </is>
      </c>
      <c r="B499" t="inlineStr">
        <is>
          <t>KFM2020760005450</t>
        </is>
      </c>
      <c r="C499" t="inlineStr">
        <is>
          <t>المجمعة</t>
        </is>
      </c>
      <c r="D499" t="inlineStr">
        <is>
          <t>كلا الفترتين</t>
        </is>
      </c>
      <c r="E499" t="n">
        <v>962</v>
      </c>
      <c r="F499" t="b">
        <v>0</v>
      </c>
      <c r="G499">
        <f>HYPERLINK("https://www.google.com/maps/search/?api=1&amp;query=25.91080764,45.37800742", "View Map")</f>
        <v/>
      </c>
    </row>
    <row r="500">
      <c r="A500" t="inlineStr">
        <is>
          <t xml:space="preserve">   مسجدالربيع بن كعب .</t>
        </is>
      </c>
      <c r="B500" t="inlineStr">
        <is>
          <t>AES2120896576377</t>
        </is>
      </c>
      <c r="C500" t="inlineStr">
        <is>
          <t>الزلفي</t>
        </is>
      </c>
      <c r="D500" t="inlineStr">
        <is>
          <t>كلا الفترتين</t>
        </is>
      </c>
      <c r="E500" t="n">
        <v>962</v>
      </c>
      <c r="F500" t="b">
        <v>0</v>
      </c>
      <c r="G500">
        <f>HYPERLINK("https://www.google.com/maps/search/?api=1&amp;query=26.28038118,44.79490487", "View Map")</f>
        <v/>
      </c>
    </row>
    <row r="501">
      <c r="A501" t="inlineStr">
        <is>
          <t>ﻫﻴﺌﺓﺍﻟﻤﺩﻥ ﺍﻟﺼﻨﺎﻋﻴﺓ ﻀﻭﺍﺤﻲ ﺍﻟﺭﻴﺎﺽ .</t>
        </is>
      </c>
      <c r="B501" t="inlineStr">
        <is>
          <t>ECC2420831023882</t>
        </is>
      </c>
      <c r="C501" t="inlineStr">
        <is>
          <t>المجمعة</t>
        </is>
      </c>
      <c r="D501" t="inlineStr">
        <is>
          <t>كلا الفترتين</t>
        </is>
      </c>
      <c r="E501" t="n">
        <v>957</v>
      </c>
      <c r="F501" t="b">
        <v>0</v>
      </c>
      <c r="G501">
        <f>HYPERLINK("https://www.google.com/maps/search/?api=1&amp;query=25.63521465,45.78456372", "View Map")</f>
        <v/>
      </c>
    </row>
    <row r="502">
      <c r="A502" t="inlineStr">
        <is>
          <t>لا وقاف مسجد العبدالمنعم .</t>
        </is>
      </c>
      <c r="B502" t="inlineStr">
        <is>
          <t>AEC2020830576354</t>
        </is>
      </c>
      <c r="C502" t="inlineStr">
        <is>
          <t>الزلفي</t>
        </is>
      </c>
      <c r="D502" t="inlineStr">
        <is>
          <t>كلا الفترتين</t>
        </is>
      </c>
      <c r="E502" t="n">
        <v>951</v>
      </c>
      <c r="F502" t="b">
        <v>0</v>
      </c>
      <c r="G502">
        <f>HYPERLINK("https://www.google.com/maps/search/?api=1&amp;query=26.24734441,44.81838683", "View Map")</f>
        <v/>
      </c>
    </row>
    <row r="503">
      <c r="A503" t="inlineStr">
        <is>
          <t xml:space="preserve">   مسجد/مقابل حي16/ .</t>
        </is>
      </c>
      <c r="B503" t="inlineStr">
        <is>
          <t>KFM2020760148999</t>
        </is>
      </c>
      <c r="C503" t="inlineStr">
        <is>
          <t>الزلفي</t>
        </is>
      </c>
      <c r="D503" t="inlineStr">
        <is>
          <t>كلا الفترتين</t>
        </is>
      </c>
      <c r="E503" t="n">
        <v>950</v>
      </c>
      <c r="F503" t="b">
        <v>1</v>
      </c>
      <c r="G503">
        <f>HYPERLINK("https://www.google.com/maps/search/?api=1&amp;query=26.30959972,44.81057149", "View Map")</f>
        <v/>
      </c>
    </row>
    <row r="504">
      <c r="A504" t="inlineStr">
        <is>
          <t>مكتب الا وقاف والمساجد .</t>
        </is>
      </c>
      <c r="B504" t="inlineStr">
        <is>
          <t>AES2120896548260</t>
        </is>
      </c>
      <c r="C504" t="inlineStr">
        <is>
          <t>المجمعة</t>
        </is>
      </c>
      <c r="D504" t="inlineStr">
        <is>
          <t>كلا الفترتين</t>
        </is>
      </c>
      <c r="E504" t="n">
        <v>950</v>
      </c>
      <c r="F504" t="b">
        <v>0</v>
      </c>
      <c r="G504">
        <f>HYPERLINK("https://www.google.com/maps/search/?api=1&amp;query=25.69066785,45.88582793", "View Map")</f>
        <v/>
      </c>
    </row>
    <row r="505">
      <c r="A505" t="inlineStr">
        <is>
          <t xml:space="preserve">   مسجد سالم .</t>
        </is>
      </c>
      <c r="B505" t="inlineStr">
        <is>
          <t>KFM2120660262680</t>
        </is>
      </c>
      <c r="C505" t="inlineStr">
        <is>
          <t>الزلفي</t>
        </is>
      </c>
      <c r="D505" t="inlineStr">
        <is>
          <t>كلا الفترتين</t>
        </is>
      </c>
      <c r="E505" t="n">
        <v>947</v>
      </c>
      <c r="F505" t="b">
        <v>1</v>
      </c>
      <c r="G505">
        <f>HYPERLINK("https://www.google.com/maps/search/?api=1&amp;query=26.29822083,44.80265733", "View Map")</f>
        <v/>
      </c>
    </row>
    <row r="506">
      <c r="A506" t="inlineStr">
        <is>
          <t>ﺍﺩﺍﺭﻩ ﺍﻻﻭﻗﺎﻑ ﻭﺍﻟﻤﺴﺎﺠﺩ .</t>
        </is>
      </c>
      <c r="B506" t="inlineStr">
        <is>
          <t>KFM2020760152096</t>
        </is>
      </c>
      <c r="C506" t="inlineStr">
        <is>
          <t>حريملاء</t>
        </is>
      </c>
      <c r="D506" t="inlineStr">
        <is>
          <t>كلا الفترتين</t>
        </is>
      </c>
      <c r="E506" t="n">
        <v>944</v>
      </c>
      <c r="F506" t="b">
        <v>0</v>
      </c>
      <c r="G506">
        <f>HYPERLINK("https://www.google.com/maps/search/?api=1&amp;query=25.11213354,46.13257717", "View Map")</f>
        <v/>
      </c>
    </row>
    <row r="507">
      <c r="A507" t="inlineStr">
        <is>
          <t xml:space="preserve">   مسجد الخليفي .</t>
        </is>
      </c>
      <c r="B507" t="inlineStr">
        <is>
          <t>AES2120896616562</t>
        </is>
      </c>
      <c r="C507" t="inlineStr">
        <is>
          <t>الزلفي</t>
        </is>
      </c>
      <c r="D507" t="inlineStr">
        <is>
          <t>كلا الفترتين</t>
        </is>
      </c>
      <c r="E507" t="n">
        <v>944</v>
      </c>
      <c r="F507" t="b">
        <v>0</v>
      </c>
      <c r="G507">
        <f>HYPERLINK("https://www.google.com/maps/search/?api=1&amp;query=26.31964089,44.8138683", "View Map")</f>
        <v/>
      </c>
    </row>
    <row r="508">
      <c r="A508" t="inlineStr">
        <is>
          <t>ﺃﻭﻗﺎﻑ ﻭﻤﺴﺎﺠﺩ ﺭﻤﺎﺡ .</t>
        </is>
      </c>
      <c r="B508" t="inlineStr">
        <is>
          <t>KFM2020660199683</t>
        </is>
      </c>
      <c r="C508" t="inlineStr">
        <is>
          <t>رماح</t>
        </is>
      </c>
      <c r="D508" t="inlineStr">
        <is>
          <t>كلا الفترتين</t>
        </is>
      </c>
      <c r="E508" t="n">
        <v>943</v>
      </c>
      <c r="F508" t="b">
        <v>0</v>
      </c>
      <c r="G508">
        <f>HYPERLINK("https://www.google.com/maps/search/?api=1&amp;query=25.55529691,47.16109428", "View Map")</f>
        <v/>
      </c>
    </row>
    <row r="509">
      <c r="A509" t="inlineStr">
        <is>
          <t>ﻓﺭﻉ ﺍﻻﻭﻗﺎﻑ ﻭﺍﻟﻤﺴﺎﺠﺩ .</t>
        </is>
      </c>
      <c r="B509" t="inlineStr">
        <is>
          <t>AES2120896575866</t>
        </is>
      </c>
      <c r="C509" t="inlineStr">
        <is>
          <t>ثادق</t>
        </is>
      </c>
      <c r="D509" t="inlineStr">
        <is>
          <t>كلا الفترتين</t>
        </is>
      </c>
      <c r="E509" t="n">
        <v>943</v>
      </c>
      <c r="F509" t="b">
        <v>0</v>
      </c>
      <c r="G509">
        <f>HYPERLINK("https://www.google.com/maps/search/?api=1&amp;query=25.17903408,45.81382796", "View Map")</f>
        <v/>
      </c>
    </row>
    <row r="510">
      <c r="A510" t="inlineStr">
        <is>
          <t xml:space="preserve">      مسجد العامريه بمليح .</t>
        </is>
      </c>
      <c r="B510" t="inlineStr">
        <is>
          <t>AES2020896417957</t>
        </is>
      </c>
      <c r="C510" t="inlineStr">
        <is>
          <t>الغاط</t>
        </is>
      </c>
      <c r="D510" t="inlineStr">
        <is>
          <t>كلا الفترتين</t>
        </is>
      </c>
      <c r="E510" t="n">
        <v>943</v>
      </c>
      <c r="F510" t="b">
        <v>0</v>
      </c>
      <c r="G510">
        <f>HYPERLINK("https://www.google.com/maps/search/?api=1&amp;query=26.14164065,44.91215617", "View Map")</f>
        <v/>
      </c>
    </row>
    <row r="511">
      <c r="A511" t="inlineStr">
        <is>
          <t>مسجد الامام القرطبي .</t>
        </is>
      </c>
      <c r="B511" t="inlineStr">
        <is>
          <t>KFM2020760020900</t>
        </is>
      </c>
      <c r="C511" t="inlineStr">
        <is>
          <t>المجمعة</t>
        </is>
      </c>
      <c r="D511" t="inlineStr">
        <is>
          <t>كلا الفترتين</t>
        </is>
      </c>
      <c r="E511" t="n">
        <v>938</v>
      </c>
      <c r="F511" t="b">
        <v>0</v>
      </c>
      <c r="G511">
        <f>HYPERLINK("https://www.google.com/maps/search/?api=1&amp;query=25.90238454,45.35256886", "View Map")</f>
        <v/>
      </c>
    </row>
    <row r="512">
      <c r="A512" t="inlineStr">
        <is>
          <t>مسجد نورة المطيري .</t>
        </is>
      </c>
      <c r="B512" t="inlineStr">
        <is>
          <t>KFM2020760020907</t>
        </is>
      </c>
      <c r="C512" t="inlineStr">
        <is>
          <t>المجمعة</t>
        </is>
      </c>
      <c r="D512" t="inlineStr">
        <is>
          <t>كلا الفترتين</t>
        </is>
      </c>
      <c r="E512" t="n">
        <v>936</v>
      </c>
      <c r="F512" t="b">
        <v>0</v>
      </c>
      <c r="G512">
        <f>HYPERLINK("https://www.google.com/maps/search/?api=1&amp;query=25.91410186,45.37400514", "View Map")</f>
        <v/>
      </c>
    </row>
    <row r="513">
      <c r="A513" t="inlineStr">
        <is>
          <t xml:space="preserve">   مسجداياس بن سهل بالبطين الجنوبي .</t>
        </is>
      </c>
      <c r="B513" t="inlineStr">
        <is>
          <t>KFM2020660207120</t>
        </is>
      </c>
      <c r="C513" t="inlineStr">
        <is>
          <t>الزلفي</t>
        </is>
      </c>
      <c r="D513" t="inlineStr">
        <is>
          <t>كلا الفترتين</t>
        </is>
      </c>
      <c r="E513" t="n">
        <v>933</v>
      </c>
      <c r="F513" t="b">
        <v>0</v>
      </c>
      <c r="G513">
        <f>HYPERLINK("https://www.google.com/maps/search/?api=1&amp;query=26.25015625,44.8280527", "View Map")</f>
        <v/>
      </c>
    </row>
    <row r="514">
      <c r="A514" t="inlineStr">
        <is>
          <t xml:space="preserve">   مسجد /سعود ناصر الفالح .</t>
        </is>
      </c>
      <c r="B514" t="inlineStr">
        <is>
          <t>MMF2220801103592</t>
        </is>
      </c>
      <c r="C514" t="inlineStr">
        <is>
          <t>الزلفي</t>
        </is>
      </c>
      <c r="D514" t="inlineStr">
        <is>
          <t>كلا الفترتين</t>
        </is>
      </c>
      <c r="E514" t="n">
        <v>933</v>
      </c>
      <c r="F514" t="b">
        <v>0</v>
      </c>
      <c r="G514">
        <f>HYPERLINK("https://www.google.com/maps/search/?api=1&amp;query=26.27148895,44.82605981", "View Map")</f>
        <v/>
      </c>
    </row>
    <row r="515">
      <c r="A515" t="inlineStr">
        <is>
          <t xml:space="preserve">   مسجد الصفراء رقم(3)مخطط 968 .</t>
        </is>
      </c>
      <c r="B515" t="inlineStr">
        <is>
          <t>KFM2020766159951</t>
        </is>
      </c>
      <c r="C515" t="inlineStr">
        <is>
          <t>شقراء</t>
        </is>
      </c>
      <c r="D515" t="inlineStr">
        <is>
          <t>صباحا</t>
        </is>
      </c>
      <c r="E515" t="n">
        <v>933</v>
      </c>
      <c r="F515" t="b">
        <v>0</v>
      </c>
      <c r="G515">
        <f>HYPERLINK("https://www.google.com/maps/search/?api=1&amp;query=25.22875269,45.25288397", "View Map")</f>
        <v/>
      </c>
    </row>
    <row r="516">
      <c r="A516" t="inlineStr">
        <is>
          <t>مسجد هندي سويلم العتيبي .</t>
        </is>
      </c>
      <c r="B516" t="inlineStr">
        <is>
          <t>SMR2420868000578</t>
        </is>
      </c>
      <c r="C516" t="inlineStr">
        <is>
          <t>المجمعة</t>
        </is>
      </c>
      <c r="D516" t="inlineStr">
        <is>
          <t>كلا الفترتين</t>
        </is>
      </c>
      <c r="E516" t="n">
        <v>930</v>
      </c>
      <c r="F516" t="b">
        <v>0</v>
      </c>
      <c r="G516">
        <f>HYPERLINK("https://www.google.com/maps/search/?api=1&amp;query=25.90814858,45.40198878", "View Map")</f>
        <v/>
      </c>
    </row>
    <row r="517">
      <c r="A517" t="inlineStr">
        <is>
          <t>ﺍﻭﻗﺎﻑ ﻭﻤﺴﺎﺠﺩ ( ) .</t>
        </is>
      </c>
      <c r="B517" t="inlineStr">
        <is>
          <t>KFM2020660199256</t>
        </is>
      </c>
      <c r="C517" t="inlineStr">
        <is>
          <t>الزلفي</t>
        </is>
      </c>
      <c r="D517" t="inlineStr">
        <is>
          <t>كلا الفترتين</t>
        </is>
      </c>
      <c r="E517" t="n">
        <v>928</v>
      </c>
      <c r="F517" t="b">
        <v>0</v>
      </c>
      <c r="G517">
        <f>HYPERLINK("https://www.google.com/maps/search/?api=1&amp;query=26.30585516,44.81860246", "View Map")</f>
        <v/>
      </c>
    </row>
    <row r="518">
      <c r="A518" t="inlineStr">
        <is>
          <t xml:space="preserve">   مسجد عمر بن الخطاب .</t>
        </is>
      </c>
      <c r="B518" t="inlineStr">
        <is>
          <t>KFM2020766158174</t>
        </is>
      </c>
      <c r="C518" t="inlineStr">
        <is>
          <t>الزلفي</t>
        </is>
      </c>
      <c r="D518" t="inlineStr">
        <is>
          <t>كلا الفترتين</t>
        </is>
      </c>
      <c r="E518" t="n">
        <v>926</v>
      </c>
      <c r="F518" t="b">
        <v>0</v>
      </c>
      <c r="G518">
        <f>HYPERLINK("https://www.google.com/maps/search/?api=1&amp;query=26.29402493,44.7992078", "View Map")</f>
        <v/>
      </c>
    </row>
    <row r="519">
      <c r="A519" t="inlineStr">
        <is>
          <t xml:space="preserve">   مسجد حصة الحميدي .</t>
        </is>
      </c>
      <c r="B519" t="inlineStr">
        <is>
          <t>KFM2020660210006</t>
        </is>
      </c>
      <c r="C519" t="inlineStr">
        <is>
          <t>المجمعة</t>
        </is>
      </c>
      <c r="D519" t="inlineStr">
        <is>
          <t>كلا الفترتين</t>
        </is>
      </c>
      <c r="E519" t="n">
        <v>925</v>
      </c>
      <c r="F519" t="b">
        <v>0</v>
      </c>
      <c r="G519">
        <f>HYPERLINK("https://www.google.com/maps/search/?api=1&amp;query=25.89795472,45.36878002", "View Map")</f>
        <v/>
      </c>
    </row>
    <row r="520">
      <c r="A520" t="inlineStr">
        <is>
          <t>فرع الا وقاف والمساجد .</t>
        </is>
      </c>
      <c r="B520" t="inlineStr">
        <is>
          <t>KFM2020766165200</t>
        </is>
      </c>
      <c r="C520" t="inlineStr">
        <is>
          <t>ثادق</t>
        </is>
      </c>
      <c r="D520" t="inlineStr">
        <is>
          <t>كلا الفترتين</t>
        </is>
      </c>
      <c r="E520" t="n">
        <v>923</v>
      </c>
      <c r="F520" t="b">
        <v>0</v>
      </c>
      <c r="G520">
        <f>HYPERLINK("https://www.google.com/maps/search/?api=1&amp;query=25.17876581,45.80273377", "View Map")</f>
        <v/>
      </c>
    </row>
    <row r="521">
      <c r="A521" t="inlineStr">
        <is>
          <t>ﺍﻭﻗﺎﻑ ﻭﻤﺴﺎﺠﺩ ( ) .</t>
        </is>
      </c>
      <c r="B521" t="inlineStr">
        <is>
          <t>KFM2020766128600</t>
        </is>
      </c>
      <c r="C521" t="inlineStr">
        <is>
          <t>الزلفي</t>
        </is>
      </c>
      <c r="D521" t="inlineStr">
        <is>
          <t>كلا الفترتين</t>
        </is>
      </c>
      <c r="E521" t="n">
        <v>922</v>
      </c>
      <c r="F521" t="b">
        <v>0</v>
      </c>
      <c r="G521">
        <f>HYPERLINK("https://www.google.com/maps/search/?api=1&amp;query=26.32490228,44.81931053", "View Map")</f>
        <v/>
      </c>
    </row>
    <row r="522">
      <c r="A522" t="inlineStr">
        <is>
          <t xml:space="preserve">   اوقاف الزلفي مسجدالبرادية .</t>
        </is>
      </c>
      <c r="B522" t="inlineStr">
        <is>
          <t>SMR2420761041032</t>
        </is>
      </c>
      <c r="C522" t="inlineStr">
        <is>
          <t>الزلفي</t>
        </is>
      </c>
      <c r="D522" t="inlineStr">
        <is>
          <t>كلا الفترتين</t>
        </is>
      </c>
      <c r="E522" t="n">
        <v>921</v>
      </c>
      <c r="F522" t="b">
        <v>0</v>
      </c>
      <c r="G522">
        <f>HYPERLINK("https://www.google.com/maps/search/?api=1&amp;query=26.23666849,44.67030854", "View Map")</f>
        <v/>
      </c>
    </row>
    <row r="523">
      <c r="A523" t="inlineStr">
        <is>
          <t xml:space="preserve">   مسجد      عثمان     ملهم .</t>
        </is>
      </c>
      <c r="B523" t="inlineStr">
        <is>
          <t>KFM2020760184554</t>
        </is>
      </c>
      <c r="C523" t="inlineStr">
        <is>
          <t>حريملاء</t>
        </is>
      </c>
      <c r="D523" t="inlineStr">
        <is>
          <t>كلا الفترتين</t>
        </is>
      </c>
      <c r="E523" t="n">
        <v>920</v>
      </c>
      <c r="F523" t="b">
        <v>1</v>
      </c>
      <c r="G523">
        <f>HYPERLINK("https://www.google.com/maps/search/?api=1&amp;query=25.16525364,46.32879618", "View Map")</f>
        <v/>
      </c>
    </row>
    <row r="524">
      <c r="A524" t="inlineStr">
        <is>
          <t>ﺃﻭﻗﺎﻑ ﻭﻤﺴﺎﺠﺩ ﺭﻤﺎﺡ .</t>
        </is>
      </c>
      <c r="B524" t="inlineStr">
        <is>
          <t>DZG2020850097018</t>
        </is>
      </c>
      <c r="C524" t="inlineStr">
        <is>
          <t>رماح</t>
        </is>
      </c>
      <c r="D524" t="inlineStr">
        <is>
          <t>كلا الفترتين</t>
        </is>
      </c>
      <c r="E524" t="n">
        <v>917</v>
      </c>
      <c r="F524" t="b">
        <v>0</v>
      </c>
      <c r="G524">
        <f>HYPERLINK("https://www.google.com/maps/search/?api=1&amp;query=25.56690174,47.17696751", "View Map")</f>
        <v/>
      </c>
    </row>
    <row r="525">
      <c r="A525" t="inlineStr">
        <is>
          <t xml:space="preserve">   مسجد/ بن تيميه .</t>
        </is>
      </c>
      <c r="B525" t="inlineStr">
        <is>
          <t>KFM2020660201533</t>
        </is>
      </c>
      <c r="C525" t="inlineStr">
        <is>
          <t>الزلفي</t>
        </is>
      </c>
      <c r="D525" t="inlineStr">
        <is>
          <t>كلا الفترتين</t>
        </is>
      </c>
      <c r="E525" t="n">
        <v>916</v>
      </c>
      <c r="F525" t="b">
        <v>0</v>
      </c>
      <c r="G525">
        <f>HYPERLINK("https://www.google.com/maps/search/?api=1&amp;query=26.29597391,44.83617347", "View Map")</f>
        <v/>
      </c>
    </row>
    <row r="526">
      <c r="A526" t="inlineStr">
        <is>
          <t xml:space="preserve">   مسجدالشيخ/عبدالله الغديان .</t>
        </is>
      </c>
      <c r="B526" t="inlineStr">
        <is>
          <t>KFM2020660200588</t>
        </is>
      </c>
      <c r="C526" t="inlineStr">
        <is>
          <t>الزلفي</t>
        </is>
      </c>
      <c r="D526" t="inlineStr">
        <is>
          <t>كلا الفترتين</t>
        </is>
      </c>
      <c r="E526" t="n">
        <v>914</v>
      </c>
      <c r="F526" t="b">
        <v>1</v>
      </c>
      <c r="G526">
        <f>HYPERLINK("https://www.google.com/maps/search/?api=1&amp;query=26.26526164,44.81133505", "View Map")</f>
        <v/>
      </c>
    </row>
    <row r="527">
      <c r="A527" t="inlineStr">
        <is>
          <t>مسجد الاستقامة بثرمداء .</t>
        </is>
      </c>
      <c r="B527" t="inlineStr">
        <is>
          <t>KFM2020766161938</t>
        </is>
      </c>
      <c r="C527" t="inlineStr">
        <is>
          <t>مرات</t>
        </is>
      </c>
      <c r="D527" t="inlineStr">
        <is>
          <t>كلا الفترتين</t>
        </is>
      </c>
      <c r="E527" t="n">
        <v>914</v>
      </c>
      <c r="F527" t="b">
        <v>0</v>
      </c>
      <c r="G527">
        <f>HYPERLINK("https://www.google.com/maps/search/?api=1&amp;query=25.118551,45.49273564", "View Map")</f>
        <v/>
      </c>
    </row>
    <row r="528">
      <c r="A528" t="inlineStr">
        <is>
          <t xml:space="preserve">   مسجد الطواله .</t>
        </is>
      </c>
      <c r="B528" t="inlineStr">
        <is>
          <t>AEC2020830576002</t>
        </is>
      </c>
      <c r="C528" t="inlineStr">
        <is>
          <t>الزلفي</t>
        </is>
      </c>
      <c r="D528" t="inlineStr">
        <is>
          <t>كلا الفترتين</t>
        </is>
      </c>
      <c r="E528" t="n">
        <v>907</v>
      </c>
      <c r="F528" t="b">
        <v>0</v>
      </c>
      <c r="G528">
        <f>HYPERLINK("https://www.google.com/maps/search/?api=1&amp;query=26.33170606,44.78259836", "View Map")</f>
        <v/>
      </c>
    </row>
    <row r="529">
      <c r="A529" t="inlineStr">
        <is>
          <t xml:space="preserve">   مسجد عبيده بن الحارث مركز مليح .</t>
        </is>
      </c>
      <c r="B529" t="inlineStr">
        <is>
          <t>AES2320896633412</t>
        </is>
      </c>
      <c r="C529" t="inlineStr">
        <is>
          <t>الغاط</t>
        </is>
      </c>
      <c r="D529" t="inlineStr">
        <is>
          <t>كلا الفترتين</t>
        </is>
      </c>
      <c r="E529" t="n">
        <v>905</v>
      </c>
      <c r="F529" t="b">
        <v>0</v>
      </c>
      <c r="G529">
        <f>HYPERLINK("https://www.google.com/maps/search/?api=1&amp;query=26.1473412,44.91178461", "View Map")</f>
        <v/>
      </c>
    </row>
    <row r="530">
      <c r="A530" t="inlineStr">
        <is>
          <t>ﻤﻜﺘﺏ ﺍﻭﻗﺎﻑ ﺍﻟﻤﺠﻤﻌﻩ (ﺍﻟﻤﺴﺎﺠﺩ) .</t>
        </is>
      </c>
      <c r="B530" t="inlineStr">
        <is>
          <t>KFM2020760115603</t>
        </is>
      </c>
      <c r="C530" t="inlineStr">
        <is>
          <t>المجمعة</t>
        </is>
      </c>
      <c r="D530" t="inlineStr">
        <is>
          <t>كلا الفترتين</t>
        </is>
      </c>
      <c r="E530" t="n">
        <v>904</v>
      </c>
      <c r="F530" t="b">
        <v>0</v>
      </c>
      <c r="G530">
        <f>HYPERLINK("https://www.google.com/maps/search/?api=1&amp;query=25.91948315,45.40002801", "View Map")</f>
        <v/>
      </c>
    </row>
    <row r="531">
      <c r="A531" t="inlineStr">
        <is>
          <t>ﻓﺭﻉ ﺍﻻﻭﻗﺎﻑ ﺒﺤﻭﻁﻩ ﺴﺩﻴﺭ .</t>
        </is>
      </c>
      <c r="B531" t="inlineStr">
        <is>
          <t>MMF2220801090427</t>
        </is>
      </c>
      <c r="C531" t="inlineStr">
        <is>
          <t>المجمعة</t>
        </is>
      </c>
      <c r="D531" t="inlineStr">
        <is>
          <t>كلا الفترتين</t>
        </is>
      </c>
      <c r="E531" t="n">
        <v>904</v>
      </c>
      <c r="F531" t="b">
        <v>0</v>
      </c>
      <c r="G531">
        <f>HYPERLINK("https://www.google.com/maps/search/?api=1&amp;query=25.70853351,45.4679597", "View Map")</f>
        <v/>
      </c>
    </row>
    <row r="532">
      <c r="A532" t="inlineStr">
        <is>
          <t>ﺍﺩﺍﺭﻩ ﺍﻻﻭﻗﺎﻑ ﻭﺍﻟﻤﺴﺎﺠﺩ .</t>
        </is>
      </c>
      <c r="B532" t="inlineStr">
        <is>
          <t>ECC2420841051397</t>
        </is>
      </c>
      <c r="C532" t="inlineStr">
        <is>
          <t>حريملاء</t>
        </is>
      </c>
      <c r="D532" t="inlineStr">
        <is>
          <t>كلا الفترتين</t>
        </is>
      </c>
      <c r="E532" t="n">
        <v>903</v>
      </c>
      <c r="F532" t="b">
        <v>1</v>
      </c>
      <c r="G532">
        <f>HYPERLINK("https://www.google.com/maps/search/?api=1&amp;query=25.09997252,46.18732051", "View Map")</f>
        <v/>
      </c>
    </row>
    <row r="533">
      <c r="A533" t="inlineStr">
        <is>
          <t xml:space="preserve">   مسجد عثمان ابراهيم .</t>
        </is>
      </c>
      <c r="B533" t="inlineStr">
        <is>
          <t>KFM2020660225947</t>
        </is>
      </c>
      <c r="C533" t="inlineStr">
        <is>
          <t>المجمعة</t>
        </is>
      </c>
      <c r="D533" t="inlineStr">
        <is>
          <t>مساءا</t>
        </is>
      </c>
      <c r="E533" t="n">
        <v>903</v>
      </c>
      <c r="F533" t="b">
        <v>0</v>
      </c>
      <c r="G533">
        <f>HYPERLINK("https://www.google.com/maps/search/?api=1&amp;query=25.91208717,45.35667313", "View Map")</f>
        <v/>
      </c>
    </row>
    <row r="534">
      <c r="A534" t="inlineStr">
        <is>
          <t xml:space="preserve">    مسجد  شمال  حى ام عنيق .</t>
        </is>
      </c>
      <c r="B534" t="inlineStr">
        <is>
          <t>KFM2020660211562</t>
        </is>
      </c>
      <c r="C534" t="inlineStr">
        <is>
          <t>المجمعة</t>
        </is>
      </c>
      <c r="D534" t="inlineStr">
        <is>
          <t>كلا الفترتين</t>
        </is>
      </c>
      <c r="E534" t="n">
        <v>900</v>
      </c>
      <c r="F534" t="b">
        <v>0</v>
      </c>
      <c r="G534">
        <f>HYPERLINK("https://www.google.com/maps/search/?api=1&amp;query=25.59821,45.60727", "View Map")</f>
        <v/>
      </c>
    </row>
    <row r="535">
      <c r="A535" t="inlineStr">
        <is>
          <t xml:space="preserve">      مسجد شمالى الشعيبه .</t>
        </is>
      </c>
      <c r="B535" t="inlineStr">
        <is>
          <t>SMR2020850092351</t>
        </is>
      </c>
      <c r="C535" t="inlineStr">
        <is>
          <t>المجمعة</t>
        </is>
      </c>
      <c r="D535" t="inlineStr">
        <is>
          <t>كلا الفترتين</t>
        </is>
      </c>
      <c r="E535" t="n">
        <v>897</v>
      </c>
      <c r="F535" t="b">
        <v>1</v>
      </c>
      <c r="G535">
        <f>HYPERLINK("https://www.google.com/maps/search/?api=1&amp;query=25.67345744,45.45611219", "View Map")</f>
        <v/>
      </c>
    </row>
    <row r="536">
      <c r="A536" t="inlineStr">
        <is>
          <t xml:space="preserve">   مسجد      رقم 37    بلمجمعه .</t>
        </is>
      </c>
      <c r="B536" t="inlineStr">
        <is>
          <t>KFM2020760115587</t>
        </is>
      </c>
      <c r="C536" t="inlineStr">
        <is>
          <t>المجمعة</t>
        </is>
      </c>
      <c r="D536" t="inlineStr">
        <is>
          <t>كلا الفترتين</t>
        </is>
      </c>
      <c r="E536" t="n">
        <v>897</v>
      </c>
      <c r="F536" t="b">
        <v>0</v>
      </c>
      <c r="G536">
        <f>HYPERLINK("https://www.google.com/maps/search/?api=1&amp;query=25.92681914,45.3922486", "View Map")</f>
        <v/>
      </c>
    </row>
    <row r="537">
      <c r="A537" t="inlineStr">
        <is>
          <t xml:space="preserve">   مسجد طريق سمنان .</t>
        </is>
      </c>
      <c r="B537" t="inlineStr">
        <is>
          <t>AES2120896592446</t>
        </is>
      </c>
      <c r="C537" t="inlineStr">
        <is>
          <t>الزلفي</t>
        </is>
      </c>
      <c r="D537" t="inlineStr">
        <is>
          <t>كلا الفترتين</t>
        </is>
      </c>
      <c r="E537" t="n">
        <v>896</v>
      </c>
      <c r="F537" t="b">
        <v>0</v>
      </c>
      <c r="G537">
        <f>HYPERLINK("https://www.google.com/maps/search/?api=1&amp;query=26.28961143,44.8471419", "View Map")</f>
        <v/>
      </c>
    </row>
    <row r="538">
      <c r="A538" t="inlineStr">
        <is>
          <t xml:space="preserve">      مسجد القاضى .</t>
        </is>
      </c>
      <c r="B538" t="inlineStr">
        <is>
          <t>AES2020896450684</t>
        </is>
      </c>
      <c r="C538" t="inlineStr">
        <is>
          <t>المجمعة</t>
        </is>
      </c>
      <c r="D538" t="inlineStr">
        <is>
          <t>كلا الفترتين</t>
        </is>
      </c>
      <c r="E538" t="n">
        <v>896</v>
      </c>
      <c r="F538" t="b">
        <v>0</v>
      </c>
      <c r="G538">
        <f>HYPERLINK("https://www.google.com/maps/search/?api=1&amp;query=25.65259029,45.55113362", "View Map")</f>
        <v/>
      </c>
    </row>
    <row r="539">
      <c r="A539" t="inlineStr">
        <is>
          <t xml:space="preserve">   أوقاف ومساجد مرات/مسجد ام سليم .</t>
        </is>
      </c>
      <c r="B539" t="inlineStr">
        <is>
          <t>KFM2020766156457</t>
        </is>
      </c>
      <c r="C539" t="inlineStr">
        <is>
          <t>مرات</t>
        </is>
      </c>
      <c r="D539" t="inlineStr">
        <is>
          <t>كلا الفترتين</t>
        </is>
      </c>
      <c r="E539" t="n">
        <v>895</v>
      </c>
      <c r="F539" t="b">
        <v>0</v>
      </c>
      <c r="G539">
        <f>HYPERLINK("https://www.google.com/maps/search/?api=1&amp;query=24.9425595,45.71276749", "View Map")</f>
        <v/>
      </c>
    </row>
    <row r="540">
      <c r="A540" t="inlineStr">
        <is>
          <t xml:space="preserve">   مسجد / عقبة بن نافع بالأرطاوية .</t>
        </is>
      </c>
      <c r="B540" t="inlineStr">
        <is>
          <t>KFM2020660209808</t>
        </is>
      </c>
      <c r="C540" t="inlineStr">
        <is>
          <t>المجمعة</t>
        </is>
      </c>
      <c r="D540" t="inlineStr">
        <is>
          <t>صباحا</t>
        </is>
      </c>
      <c r="E540" t="n">
        <v>894</v>
      </c>
      <c r="F540" t="b">
        <v>0</v>
      </c>
      <c r="G540">
        <f>HYPERLINK("https://www.google.com/maps/search/?api=1&amp;query=26.48976023,45.35839476", "View Map")</f>
        <v/>
      </c>
    </row>
    <row r="541">
      <c r="A541" t="inlineStr">
        <is>
          <t xml:space="preserve">   مسجد بن عبدالبرالاندلسي .</t>
        </is>
      </c>
      <c r="B541" t="inlineStr">
        <is>
          <t>ECC2020810933603</t>
        </is>
      </c>
      <c r="C541" t="inlineStr">
        <is>
          <t>الزلفي</t>
        </is>
      </c>
      <c r="D541" t="inlineStr">
        <is>
          <t>كلا الفترتين</t>
        </is>
      </c>
      <c r="E541" t="n">
        <v>894</v>
      </c>
      <c r="F541" t="b">
        <v>0</v>
      </c>
      <c r="G541">
        <f>HYPERLINK("https://www.google.com/maps/search/?api=1&amp;query=26.28784759,44.79048516", "View Map")</f>
        <v/>
      </c>
    </row>
    <row r="542">
      <c r="A542" t="inlineStr">
        <is>
          <t xml:space="preserve">   مسجد/ السيف بعلقه .</t>
        </is>
      </c>
      <c r="B542" t="inlineStr">
        <is>
          <t>AES2020896423946</t>
        </is>
      </c>
      <c r="C542" t="inlineStr">
        <is>
          <t>الزلفي</t>
        </is>
      </c>
      <c r="D542" t="inlineStr">
        <is>
          <t>مساءا</t>
        </is>
      </c>
      <c r="E542" t="n">
        <v>894</v>
      </c>
      <c r="F542" t="b">
        <v>0</v>
      </c>
      <c r="G542">
        <f>HYPERLINK("https://www.google.com/maps/search/?api=1&amp;query=26.335333,44.78042403", "View Map")</f>
        <v/>
      </c>
    </row>
    <row r="543">
      <c r="A543" t="inlineStr">
        <is>
          <t xml:space="preserve">      مسجد الشهوانى بحريملاء .</t>
        </is>
      </c>
      <c r="B543" t="inlineStr">
        <is>
          <t>AEC2020830319026</t>
        </is>
      </c>
      <c r="C543" t="inlineStr">
        <is>
          <t>حريملاء</t>
        </is>
      </c>
      <c r="D543" t="inlineStr">
        <is>
          <t>كلا الفترتين</t>
        </is>
      </c>
      <c r="E543" t="n">
        <v>894</v>
      </c>
      <c r="F543" t="b">
        <v>0</v>
      </c>
      <c r="G543">
        <f>HYPERLINK("https://www.google.com/maps/search/?api=1&amp;query=25.12631851,46.11828498", "View Map")</f>
        <v/>
      </c>
    </row>
    <row r="544">
      <c r="A544" t="inlineStr">
        <is>
          <t>مسجد/ بشير العوام لوالدية .</t>
        </is>
      </c>
      <c r="B544" t="inlineStr">
        <is>
          <t>SMR2220761004422</t>
        </is>
      </c>
      <c r="C544" t="inlineStr">
        <is>
          <t>رماح</t>
        </is>
      </c>
      <c r="D544" t="inlineStr">
        <is>
          <t>مساءا</t>
        </is>
      </c>
      <c r="E544" t="n">
        <v>893</v>
      </c>
      <c r="F544" t="b">
        <v>0</v>
      </c>
      <c r="G544">
        <f>HYPERLINK("https://www.google.com/maps/search/?api=1&amp;query=25.55779382,47.17842445", "View Map")</f>
        <v/>
      </c>
    </row>
    <row r="545">
      <c r="A545" t="inlineStr">
        <is>
          <t xml:space="preserve">   مسجدعبدالله العثمان الناصر .</t>
        </is>
      </c>
      <c r="B545" t="inlineStr">
        <is>
          <t>KFM2020766161983</t>
        </is>
      </c>
      <c r="C545" t="inlineStr">
        <is>
          <t>الزلفي</t>
        </is>
      </c>
      <c r="D545" t="inlineStr">
        <is>
          <t>كلا الفترتين</t>
        </is>
      </c>
      <c r="E545" t="n">
        <v>886</v>
      </c>
      <c r="F545" t="b">
        <v>0</v>
      </c>
      <c r="G545">
        <f>HYPERLINK("https://www.google.com/maps/search/?api=1&amp;query=26.28674417,44.83307428", "View Map")</f>
        <v/>
      </c>
    </row>
    <row r="546">
      <c r="A546" t="inlineStr">
        <is>
          <t>مسجد خالد بن الوليد .</t>
        </is>
      </c>
      <c r="B546" t="inlineStr">
        <is>
          <t>KFM2020660199650</t>
        </is>
      </c>
      <c r="C546" t="inlineStr">
        <is>
          <t>رماح</t>
        </is>
      </c>
      <c r="D546" t="inlineStr">
        <is>
          <t>كلا الفترتين</t>
        </is>
      </c>
      <c r="E546" t="n">
        <v>884</v>
      </c>
      <c r="F546" t="b">
        <v>1</v>
      </c>
      <c r="G546">
        <f>HYPERLINK("https://www.google.com/maps/search/?api=1&amp;query=25.55450464,47.16384012", "View Map")</f>
        <v/>
      </c>
    </row>
    <row r="547">
      <c r="A547" t="inlineStr">
        <is>
          <t>ﺍﻭﻗﺎﻑ ﻭﻤﺴﺎﺠﺩ ( ) .</t>
        </is>
      </c>
      <c r="B547" t="inlineStr">
        <is>
          <t>ECC2420841052481</t>
        </is>
      </c>
      <c r="C547" t="inlineStr">
        <is>
          <t>الزلفي</t>
        </is>
      </c>
      <c r="D547" t="inlineStr">
        <is>
          <t>كلا الفترتين</t>
        </is>
      </c>
      <c r="E547" t="n">
        <v>881</v>
      </c>
      <c r="F547" t="b">
        <v>1</v>
      </c>
      <c r="G547">
        <f>HYPERLINK("https://www.google.com/maps/search/?api=1&amp;query=26.31819154,44.88778169", "View Map")</f>
        <v/>
      </c>
    </row>
    <row r="548">
      <c r="A548" t="inlineStr">
        <is>
          <t>مكتب الا وقاف والمساجد .</t>
        </is>
      </c>
      <c r="B548" t="inlineStr">
        <is>
          <t>AES2020896280767</t>
        </is>
      </c>
      <c r="C548" t="inlineStr">
        <is>
          <t>المجمعة</t>
        </is>
      </c>
      <c r="D548" t="inlineStr">
        <is>
          <t>كلا الفترتين</t>
        </is>
      </c>
      <c r="E548" t="n">
        <v>880</v>
      </c>
      <c r="F548" t="b">
        <v>0</v>
      </c>
      <c r="G548">
        <f>HYPERLINK("https://www.google.com/maps/search/?api=1&amp;query=25.69932125,45.89378701", "View Map")</f>
        <v/>
      </c>
    </row>
    <row r="549">
      <c r="A549" t="inlineStr">
        <is>
          <t>أوقاف ومساجد رماح .</t>
        </is>
      </c>
      <c r="B549" t="inlineStr">
        <is>
          <t>AEC2020830233829</t>
        </is>
      </c>
      <c r="C549" t="inlineStr">
        <is>
          <t>رماح</t>
        </is>
      </c>
      <c r="D549" t="inlineStr">
        <is>
          <t>كلا الفترتين</t>
        </is>
      </c>
      <c r="E549" t="n">
        <v>879</v>
      </c>
      <c r="F549" t="b">
        <v>0</v>
      </c>
      <c r="G549">
        <f>HYPERLINK("https://www.google.com/maps/search/?api=1&amp;query=25.54979306,47.18032012", "View Map")</f>
        <v/>
      </c>
    </row>
    <row r="550">
      <c r="A550" t="inlineStr">
        <is>
          <t xml:space="preserve">   جامع      ابوطلحه   الا وقاف .</t>
        </is>
      </c>
      <c r="B550" t="inlineStr">
        <is>
          <t>KFM2020766154267</t>
        </is>
      </c>
      <c r="C550" t="inlineStr">
        <is>
          <t>المجمعة</t>
        </is>
      </c>
      <c r="D550" t="inlineStr">
        <is>
          <t>كلا الفترتين</t>
        </is>
      </c>
      <c r="E550" t="n">
        <v>878</v>
      </c>
      <c r="F550" t="b">
        <v>0</v>
      </c>
      <c r="G550">
        <f>HYPERLINK("https://www.google.com/maps/search/?api=1&amp;query=26.59463987,45.12177485", "View Map")</f>
        <v/>
      </c>
    </row>
    <row r="551">
      <c r="A551" t="inlineStr">
        <is>
          <t>ﺍﻭﻗﺎﻑ ﻭﻤﺴـﺎﺠﺩﺍﻟﻐﺎﻁ .</t>
        </is>
      </c>
      <c r="B551" t="inlineStr">
        <is>
          <t>DZG2020850044382</t>
        </is>
      </c>
      <c r="C551" t="inlineStr">
        <is>
          <t>الغاط</t>
        </is>
      </c>
      <c r="D551" t="inlineStr">
        <is>
          <t>كلا الفترتين</t>
        </is>
      </c>
      <c r="E551" t="n">
        <v>877</v>
      </c>
      <c r="F551" t="b">
        <v>0</v>
      </c>
      <c r="G551">
        <f>HYPERLINK("https://www.google.com/maps/search/?api=1&amp;query=26.05600526,44.97821822", "View Map")</f>
        <v/>
      </c>
    </row>
    <row r="552">
      <c r="A552" t="inlineStr">
        <is>
          <t xml:space="preserve">   مسجد      بن غدير   بحريملاء .</t>
        </is>
      </c>
      <c r="B552" t="inlineStr">
        <is>
          <t>KFM2020760161548</t>
        </is>
      </c>
      <c r="C552" t="inlineStr">
        <is>
          <t>حريملاء</t>
        </is>
      </c>
      <c r="D552" t="inlineStr">
        <is>
          <t>كلا الفترتين</t>
        </is>
      </c>
      <c r="E552" t="n">
        <v>875</v>
      </c>
      <c r="F552" t="b">
        <v>0</v>
      </c>
      <c r="G552">
        <f>HYPERLINK("https://www.google.com/maps/search/?api=1&amp;query=25.12746527,46.12297418", "View Map")</f>
        <v/>
      </c>
    </row>
    <row r="553">
      <c r="A553" t="inlineStr">
        <is>
          <t xml:space="preserve">   مسجد ماجد بعيجان بالارطاوية .</t>
        </is>
      </c>
      <c r="B553" t="inlineStr">
        <is>
          <t>AES2020896529766</t>
        </is>
      </c>
      <c r="C553" t="inlineStr">
        <is>
          <t>المجمعة</t>
        </is>
      </c>
      <c r="D553" t="inlineStr">
        <is>
          <t>كلا الفترتين</t>
        </is>
      </c>
      <c r="E553" t="n">
        <v>874</v>
      </c>
      <c r="F553" t="b">
        <v>0</v>
      </c>
      <c r="G553">
        <f>HYPERLINK("https://www.google.com/maps/search/?api=1&amp;query=26.49368864,45.3492732", "View Map")</f>
        <v/>
      </c>
    </row>
    <row r="554">
      <c r="A554" t="inlineStr">
        <is>
          <t xml:space="preserve">   مسجد السكران .</t>
        </is>
      </c>
      <c r="B554" t="inlineStr">
        <is>
          <t>AES2120896564564</t>
        </is>
      </c>
      <c r="C554" t="inlineStr">
        <is>
          <t>الزلفي</t>
        </is>
      </c>
      <c r="D554" t="inlineStr">
        <is>
          <t>كلا الفترتين</t>
        </is>
      </c>
      <c r="E554" t="n">
        <v>873</v>
      </c>
      <c r="F554" t="b">
        <v>0</v>
      </c>
      <c r="G554">
        <f>HYPERLINK("https://www.google.com/maps/search/?api=1&amp;query=26.29111365,44.78326133", "View Map")</f>
        <v/>
      </c>
    </row>
    <row r="555">
      <c r="A555" t="inlineStr">
        <is>
          <t xml:space="preserve">   مكتب اوقافالحوطه    المخطط216 جلا .</t>
        </is>
      </c>
      <c r="B555" t="inlineStr">
        <is>
          <t>KFM2020766062281</t>
        </is>
      </c>
      <c r="C555" t="inlineStr">
        <is>
          <t>المجمعة</t>
        </is>
      </c>
      <c r="D555" t="inlineStr">
        <is>
          <t>كلا الفترتين</t>
        </is>
      </c>
      <c r="E555" t="n">
        <v>871</v>
      </c>
      <c r="F555" t="b">
        <v>0</v>
      </c>
      <c r="G555">
        <f>HYPERLINK("https://www.google.com/maps/search/?api=1&amp;query=25.6799332,45.44756685", "View Map")</f>
        <v/>
      </c>
    </row>
    <row r="556">
      <c r="A556" t="inlineStr">
        <is>
          <t xml:space="preserve">      مسجد/ الرفيعه .</t>
        </is>
      </c>
      <c r="B556" t="inlineStr">
        <is>
          <t>AES2120896593009</t>
        </is>
      </c>
      <c r="C556" t="inlineStr">
        <is>
          <t>المجمعة</t>
        </is>
      </c>
      <c r="D556" t="inlineStr">
        <is>
          <t>كلا الفترتين</t>
        </is>
      </c>
      <c r="E556" t="n">
        <v>866</v>
      </c>
      <c r="F556" t="b">
        <v>0</v>
      </c>
      <c r="G556">
        <f>HYPERLINK("https://www.google.com/maps/search/?api=1&amp;query=26.65109581,45.33077688", "View Map")</f>
        <v/>
      </c>
    </row>
    <row r="557">
      <c r="A557" t="inlineStr">
        <is>
          <t>مسجد رقم 5 بالتأهيل .</t>
        </is>
      </c>
      <c r="B557" t="inlineStr">
        <is>
          <t>AES2020896529524</t>
        </is>
      </c>
      <c r="C557" t="inlineStr">
        <is>
          <t>شقراء</t>
        </is>
      </c>
      <c r="D557" t="inlineStr">
        <is>
          <t>كلا الفترتين</t>
        </is>
      </c>
      <c r="E557" t="n">
        <v>864</v>
      </c>
      <c r="F557" t="b">
        <v>0</v>
      </c>
      <c r="G557">
        <f>HYPERLINK("https://www.google.com/maps/search/?api=1&amp;query=25.21726632,45.24461813", "View Map")</f>
        <v/>
      </c>
    </row>
    <row r="558">
      <c r="A558" t="inlineStr">
        <is>
          <t>ﺍﻭﻗﺎﻑ ﻭﻤﺴﺎﺠﺩ ( ) .</t>
        </is>
      </c>
      <c r="B558" t="inlineStr">
        <is>
          <t>KFM2020660207158</t>
        </is>
      </c>
      <c r="C558" t="inlineStr">
        <is>
          <t>الزلفي</t>
        </is>
      </c>
      <c r="D558" t="inlineStr">
        <is>
          <t>صباحا</t>
        </is>
      </c>
      <c r="E558" t="n">
        <v>856</v>
      </c>
      <c r="F558" t="b">
        <v>0</v>
      </c>
      <c r="G558">
        <f>HYPERLINK("https://www.google.com/maps/search/?api=1&amp;query=26.28937348,44.87992489", "View Map")</f>
        <v/>
      </c>
    </row>
    <row r="559">
      <c r="A559" t="inlineStr">
        <is>
          <t>ﺍﻭﻗﺎﻑ ﻭﻤﺴﺎﺠﺩ ( ) .</t>
        </is>
      </c>
      <c r="B559" t="inlineStr">
        <is>
          <t>KFM2020766158177</t>
        </is>
      </c>
      <c r="C559" t="inlineStr">
        <is>
          <t>الزلفي</t>
        </is>
      </c>
      <c r="D559" t="inlineStr">
        <is>
          <t>كلا الفترتين</t>
        </is>
      </c>
      <c r="E559" t="n">
        <v>852</v>
      </c>
      <c r="F559" t="b">
        <v>0</v>
      </c>
      <c r="G559">
        <f>HYPERLINK("https://www.google.com/maps/search/?api=1&amp;query=26.34799624,44.797501", "View Map")</f>
        <v/>
      </c>
    </row>
    <row r="560">
      <c r="A560" t="inlineStr">
        <is>
          <t xml:space="preserve">   مسجد/الدحيم .</t>
        </is>
      </c>
      <c r="B560" t="inlineStr">
        <is>
          <t>KFM2020766128592</t>
        </is>
      </c>
      <c r="C560" t="inlineStr">
        <is>
          <t>الزلفي</t>
        </is>
      </c>
      <c r="D560" t="inlineStr">
        <is>
          <t>مساءا</t>
        </is>
      </c>
      <c r="E560" t="n">
        <v>849</v>
      </c>
      <c r="F560" t="b">
        <v>1</v>
      </c>
      <c r="G560">
        <f>HYPERLINK("https://www.google.com/maps/search/?api=1&amp;query=26.25259888,44.82221262", "View Map")</f>
        <v/>
      </c>
    </row>
    <row r="561">
      <c r="A561" t="inlineStr">
        <is>
          <t xml:space="preserve">   مسجد الضويان .</t>
        </is>
      </c>
      <c r="B561" t="inlineStr">
        <is>
          <t>AES2020896531878</t>
        </is>
      </c>
      <c r="C561" t="inlineStr">
        <is>
          <t>شقراء</t>
        </is>
      </c>
      <c r="D561" t="inlineStr">
        <is>
          <t>كلا الفترتين</t>
        </is>
      </c>
      <c r="E561" t="n">
        <v>848</v>
      </c>
      <c r="F561" t="b">
        <v>0</v>
      </c>
      <c r="G561">
        <f>HYPERLINK("https://www.google.com/maps/search/?api=1&amp;query=25.34063249,45.17601513", "View Map")</f>
        <v/>
      </c>
    </row>
    <row r="562">
      <c r="A562" t="inlineStr">
        <is>
          <t xml:space="preserve">   مسجد سعيد بن زيد 28 .</t>
        </is>
      </c>
      <c r="B562" t="inlineStr">
        <is>
          <t>KFM2020760020412</t>
        </is>
      </c>
      <c r="C562" t="inlineStr">
        <is>
          <t>المجمعة</t>
        </is>
      </c>
      <c r="D562" t="inlineStr">
        <is>
          <t>كلا الفترتين</t>
        </is>
      </c>
      <c r="E562" t="n">
        <v>847</v>
      </c>
      <c r="F562" t="b">
        <v>0</v>
      </c>
      <c r="G562">
        <f>HYPERLINK("https://www.google.com/maps/search/?api=1&amp;query=25.89762519,45.34557389", "View Map")</f>
        <v/>
      </c>
    </row>
    <row r="563">
      <c r="A563" t="inlineStr">
        <is>
          <t xml:space="preserve">   مسجد الأنصار بالبطين الجنوبي .</t>
        </is>
      </c>
      <c r="B563" t="inlineStr">
        <is>
          <t>KFM2020766146148</t>
        </is>
      </c>
      <c r="C563" t="inlineStr">
        <is>
          <t>الزلفي</t>
        </is>
      </c>
      <c r="D563" t="inlineStr">
        <is>
          <t>كلا الفترتين</t>
        </is>
      </c>
      <c r="E563" t="n">
        <v>843</v>
      </c>
      <c r="F563" t="b">
        <v>1</v>
      </c>
      <c r="G563">
        <f>HYPERLINK("https://www.google.com/maps/search/?api=1&amp;query=26.26342493,44.80690636", "View Map")</f>
        <v/>
      </c>
    </row>
    <row r="564">
      <c r="A564" t="inlineStr">
        <is>
          <t xml:space="preserve">   مسجدالجامع بجنوبية سدير .</t>
        </is>
      </c>
      <c r="B564" t="inlineStr">
        <is>
          <t>KFM2020660210731</t>
        </is>
      </c>
      <c r="C564" t="inlineStr">
        <is>
          <t>المجمعة</t>
        </is>
      </c>
      <c r="D564" t="inlineStr">
        <is>
          <t>كلا الفترتين</t>
        </is>
      </c>
      <c r="E564" t="n">
        <v>835</v>
      </c>
      <c r="F564" t="b">
        <v>0</v>
      </c>
      <c r="G564">
        <f>HYPERLINK("https://www.google.com/maps/search/?api=1&amp;query=25.58244467,45.61083001", "View Map")</f>
        <v/>
      </c>
    </row>
    <row r="565">
      <c r="A565" t="inlineStr">
        <is>
          <t>مسجد عبدالله النعيم .</t>
        </is>
      </c>
      <c r="B565" t="inlineStr">
        <is>
          <t>KFM2020760020810</t>
        </is>
      </c>
      <c r="C565" t="inlineStr">
        <is>
          <t>المجمعة</t>
        </is>
      </c>
      <c r="D565" t="inlineStr">
        <is>
          <t>كلا الفترتين</t>
        </is>
      </c>
      <c r="E565" t="n">
        <v>830</v>
      </c>
      <c r="F565" t="b">
        <v>0</v>
      </c>
      <c r="G565">
        <f>HYPERLINK("https://www.google.com/maps/search/?api=1&amp;query=25.90223651,45.36848509", "View Map")</f>
        <v/>
      </c>
    </row>
    <row r="566">
      <c r="A566" t="inlineStr">
        <is>
          <t xml:space="preserve">   مسجد العباس بن عبدالمطلب بمرات .</t>
        </is>
      </c>
      <c r="B566" t="inlineStr">
        <is>
          <t>SMR2420761036102</t>
        </is>
      </c>
      <c r="C566" t="inlineStr">
        <is>
          <t>مرات</t>
        </is>
      </c>
      <c r="D566" t="inlineStr">
        <is>
          <t>كلا الفترتين</t>
        </is>
      </c>
      <c r="E566" t="n">
        <v>827</v>
      </c>
      <c r="F566" t="b">
        <v>0</v>
      </c>
      <c r="G566">
        <f>HYPERLINK("https://www.google.com/maps/search/?api=1&amp;query=25.07173314,45.46418569", "View Map")</f>
        <v/>
      </c>
    </row>
    <row r="567">
      <c r="A567" t="inlineStr">
        <is>
          <t>ﺍﻭﻗﺎﻑ ﻭﻤﺴﺎﺠﺩ ( ) .</t>
        </is>
      </c>
      <c r="B567" t="inlineStr">
        <is>
          <t>AES2020896430955</t>
        </is>
      </c>
      <c r="C567" t="inlineStr">
        <is>
          <t>الزلفي</t>
        </is>
      </c>
      <c r="D567" t="inlineStr">
        <is>
          <t>كلا الفترتين</t>
        </is>
      </c>
      <c r="E567" t="n">
        <v>825</v>
      </c>
      <c r="F567" t="b">
        <v>0</v>
      </c>
      <c r="G567">
        <f>HYPERLINK("https://www.google.com/maps/search/?api=1&amp;query=26.32287771,44.80793044", "View Map")</f>
        <v/>
      </c>
    </row>
    <row r="568">
      <c r="A568" t="inlineStr">
        <is>
          <t xml:space="preserve">         مسجد ـ فراج سلطان .</t>
        </is>
      </c>
      <c r="B568" t="inlineStr">
        <is>
          <t>SMR2020765006574</t>
        </is>
      </c>
      <c r="C568" t="inlineStr">
        <is>
          <t>رماح</t>
        </is>
      </c>
      <c r="D568" t="inlineStr">
        <is>
          <t>كلا الفترتين</t>
        </is>
      </c>
      <c r="E568" t="n">
        <v>818</v>
      </c>
      <c r="F568" t="b">
        <v>0</v>
      </c>
      <c r="G568">
        <f>HYPERLINK("https://www.google.com/maps/search/?api=1&amp;query=25.56842147,47.16239665", "View Map")</f>
        <v/>
      </c>
    </row>
    <row r="569">
      <c r="A569" t="inlineStr">
        <is>
          <t>ﺃﻭﻗﺎﻑ ﻭﻤﺴﺎﺠﺩ ﺭﻤﺎﺡ .</t>
        </is>
      </c>
      <c r="B569" t="inlineStr">
        <is>
          <t>AEC2020830308735</t>
        </is>
      </c>
      <c r="C569" t="inlineStr">
        <is>
          <t>رماح</t>
        </is>
      </c>
      <c r="D569" t="inlineStr">
        <is>
          <t>مساءا</t>
        </is>
      </c>
      <c r="E569" t="n">
        <v>812</v>
      </c>
      <c r="F569" t="b">
        <v>0</v>
      </c>
      <c r="G569">
        <f>HYPERLINK("https://www.google.com/maps/search/?api=1&amp;query=25.53464809,47.17668441", "View Map")</f>
        <v/>
      </c>
    </row>
    <row r="570">
      <c r="A570" t="inlineStr">
        <is>
          <t xml:space="preserve">     مسجد عبيد راقى السهلى .</t>
        </is>
      </c>
      <c r="B570" t="inlineStr">
        <is>
          <t>KFM2020760149147</t>
        </is>
      </c>
      <c r="C570" t="inlineStr">
        <is>
          <t>رماح</t>
        </is>
      </c>
      <c r="D570" t="inlineStr">
        <is>
          <t>كلا الفترتين</t>
        </is>
      </c>
      <c r="E570" t="n">
        <v>807</v>
      </c>
      <c r="F570" t="b">
        <v>0</v>
      </c>
      <c r="G570">
        <f>HYPERLINK("https://www.google.com/maps/search/?api=1&amp;query=25.55212705,47.17628852", "View Map")</f>
        <v/>
      </c>
    </row>
    <row r="571">
      <c r="A571" t="inlineStr">
        <is>
          <t xml:space="preserve">   وزارةالحج  / مسجد الهدايه .</t>
        </is>
      </c>
      <c r="B571" t="inlineStr">
        <is>
          <t>ECC2020811092632</t>
        </is>
      </c>
      <c r="C571" t="inlineStr">
        <is>
          <t>ثادق</t>
        </is>
      </c>
      <c r="D571" t="inlineStr">
        <is>
          <t>كلا الفترتين</t>
        </is>
      </c>
      <c r="E571" t="n">
        <v>807</v>
      </c>
      <c r="F571" t="b">
        <v>0</v>
      </c>
      <c r="G571">
        <f>HYPERLINK("https://www.google.com/maps/search/?api=1&amp;query=25.26687085,45.863968", "View Map")</f>
        <v/>
      </c>
    </row>
    <row r="572">
      <c r="A572" t="inlineStr">
        <is>
          <t xml:space="preserve">   وزارةالشئون الاسلاميه .</t>
        </is>
      </c>
      <c r="B572" t="inlineStr">
        <is>
          <t>KFM2020760149146</t>
        </is>
      </c>
      <c r="C572" t="inlineStr">
        <is>
          <t>رماح</t>
        </is>
      </c>
      <c r="D572" t="inlineStr">
        <is>
          <t>كلا الفترتين</t>
        </is>
      </c>
      <c r="E572" t="n">
        <v>806</v>
      </c>
      <c r="F572" t="b">
        <v>0</v>
      </c>
      <c r="G572">
        <f>HYPERLINK("https://www.google.com/maps/search/?api=1&amp;query=25.55761472,47.16581941", "View Map")</f>
        <v/>
      </c>
    </row>
    <row r="573">
      <c r="A573" t="inlineStr">
        <is>
          <t xml:space="preserve">   مسجد/ماجد شامان .</t>
        </is>
      </c>
      <c r="B573" t="inlineStr">
        <is>
          <t>AES2120896590310</t>
        </is>
      </c>
      <c r="C573" t="inlineStr">
        <is>
          <t>المجمعة</t>
        </is>
      </c>
      <c r="D573" t="inlineStr">
        <is>
          <t>كلا الفترتين</t>
        </is>
      </c>
      <c r="E573" t="n">
        <v>794</v>
      </c>
      <c r="F573" t="b">
        <v>0</v>
      </c>
      <c r="G573">
        <f>HYPERLINK("https://www.google.com/maps/search/?api=1&amp;query=26.41777721,45.17324209", "View Map")</f>
        <v/>
      </c>
    </row>
    <row r="574">
      <c r="A574" t="inlineStr">
        <is>
          <t>ﺃﻭﻗﺎﻑ ﻭﻤﺴﺎﺠﺩ ﺭﻤﺎﺡ .</t>
        </is>
      </c>
      <c r="B574" t="inlineStr">
        <is>
          <t>AEC2020830530726</t>
        </is>
      </c>
      <c r="C574" t="inlineStr">
        <is>
          <t>رماح</t>
        </is>
      </c>
      <c r="D574" t="inlineStr">
        <is>
          <t>صباحا</t>
        </is>
      </c>
      <c r="E574" t="n">
        <v>787</v>
      </c>
      <c r="F574" t="b">
        <v>0</v>
      </c>
      <c r="G574">
        <f>HYPERLINK("https://www.google.com/maps/search/?api=1&amp;query=25.5392979,47.16853233", "View Map")</f>
        <v/>
      </c>
    </row>
    <row r="575">
      <c r="A575" t="inlineStr">
        <is>
          <t xml:space="preserve">  جامع مركز العبدليه .</t>
        </is>
      </c>
      <c r="B575" t="inlineStr">
        <is>
          <t>KFM2120660284073</t>
        </is>
      </c>
      <c r="C575" t="inlineStr">
        <is>
          <t>الغاط</t>
        </is>
      </c>
      <c r="D575" t="inlineStr">
        <is>
          <t>كلا الفترتين</t>
        </is>
      </c>
      <c r="E575" t="n">
        <v>782</v>
      </c>
      <c r="F575" t="b">
        <v>0</v>
      </c>
      <c r="G575">
        <f>HYPERLINK("https://www.google.com/maps/search/?api=1&amp;query=25.92754625,44.88750321", "View Map")</f>
        <v/>
      </c>
    </row>
    <row r="576">
      <c r="A576" t="inlineStr">
        <is>
          <t xml:space="preserve">      مسجد بن تويم .</t>
        </is>
      </c>
      <c r="B576" t="inlineStr">
        <is>
          <t>AES2020896450737</t>
        </is>
      </c>
      <c r="C576" t="inlineStr">
        <is>
          <t>المجمعة</t>
        </is>
      </c>
      <c r="D576" t="inlineStr">
        <is>
          <t>مساءا</t>
        </is>
      </c>
      <c r="E576" t="n">
        <v>776</v>
      </c>
      <c r="F576" t="b">
        <v>0</v>
      </c>
      <c r="G576">
        <f>HYPERLINK("https://www.google.com/maps/search/?api=1&amp;query=25.65044437,45.55389145", "View Map")</f>
        <v/>
      </c>
    </row>
    <row r="577">
      <c r="A577" t="inlineStr">
        <is>
          <t xml:space="preserve">   مسجدعلي بن علي .</t>
        </is>
      </c>
      <c r="B577" t="inlineStr">
        <is>
          <t>KFM2020660150021</t>
        </is>
      </c>
      <c r="C577" t="inlineStr">
        <is>
          <t>رماح</t>
        </is>
      </c>
      <c r="D577" t="inlineStr">
        <is>
          <t>صباحا</t>
        </is>
      </c>
      <c r="E577" t="n">
        <v>774</v>
      </c>
      <c r="F577" t="b">
        <v>0</v>
      </c>
      <c r="G577">
        <f>HYPERLINK("https://www.google.com/maps/search/?api=1&amp;query=25.56981422,47.1471895", "View Map")</f>
        <v/>
      </c>
    </row>
    <row r="578">
      <c r="A578" t="inlineStr">
        <is>
          <t>ﺃﻭﻗﺎﻑ ﻭﻤﺴﺎﺠﺩ ﺭﻤﺎﺡ .</t>
        </is>
      </c>
      <c r="B578" t="inlineStr">
        <is>
          <t>AEC2020830033843</t>
        </is>
      </c>
      <c r="C578" t="inlineStr">
        <is>
          <t>رماح</t>
        </is>
      </c>
      <c r="D578" t="inlineStr">
        <is>
          <t>كلا الفترتين</t>
        </is>
      </c>
      <c r="E578" t="n">
        <v>773</v>
      </c>
      <c r="F578" t="b">
        <v>0</v>
      </c>
      <c r="G578">
        <f>HYPERLINK("https://www.google.com/maps/search/?api=1&amp;query=25.53464809,47.17668441", "View Map")</f>
        <v/>
      </c>
    </row>
    <row r="579">
      <c r="A579" t="inlineStr">
        <is>
          <t>ﺃﻭﻗﺎﻑ ﻭﻤﺴﺎﺠﺩ ﺭﻤﺎﺡ .</t>
        </is>
      </c>
      <c r="B579" t="inlineStr">
        <is>
          <t>AES2320896628017</t>
        </is>
      </c>
      <c r="C579" t="inlineStr">
        <is>
          <t>رماح</t>
        </is>
      </c>
      <c r="D579" t="inlineStr">
        <is>
          <t>كلا الفترتين</t>
        </is>
      </c>
      <c r="E579" t="n">
        <v>768</v>
      </c>
      <c r="F579" t="b">
        <v>0</v>
      </c>
      <c r="G579">
        <f>HYPERLINK("https://www.google.com/maps/search/?api=1&amp;query=25.54985068,47.16127394", "View Map")</f>
        <v/>
      </c>
    </row>
    <row r="580">
      <c r="A580" t="inlineStr">
        <is>
          <t xml:space="preserve">   مسجد العيد الجديد .</t>
        </is>
      </c>
      <c r="B580" t="inlineStr">
        <is>
          <t>AES2020896443274</t>
        </is>
      </c>
      <c r="C580" t="inlineStr">
        <is>
          <t>شقراء</t>
        </is>
      </c>
      <c r="D580" t="inlineStr">
        <is>
          <t>كلا الفترتين</t>
        </is>
      </c>
      <c r="E580" t="n">
        <v>765</v>
      </c>
      <c r="F580" t="b">
        <v>0</v>
      </c>
      <c r="G580">
        <f>HYPERLINK("https://www.google.com/maps/search/?api=1&amp;query=25.29146768,45.51732588", "View Map")</f>
        <v/>
      </c>
    </row>
    <row r="581">
      <c r="A581" t="inlineStr">
        <is>
          <t xml:space="preserve">    مسجدام عروق .</t>
        </is>
      </c>
      <c r="B581" t="inlineStr">
        <is>
          <t>KFM2120660280301</t>
        </is>
      </c>
      <c r="C581" t="inlineStr">
        <is>
          <t>الزلفي</t>
        </is>
      </c>
      <c r="D581" t="inlineStr">
        <is>
          <t>مساءا</t>
        </is>
      </c>
      <c r="E581" t="n">
        <v>752</v>
      </c>
      <c r="F581" t="b">
        <v>0</v>
      </c>
      <c r="G581">
        <f>HYPERLINK("https://www.google.com/maps/search/?api=1&amp;query=26.28878892,44.80371881", "View Map")</f>
        <v/>
      </c>
    </row>
    <row r="582">
      <c r="A582" t="inlineStr">
        <is>
          <t>ﺃﻭﻗﺎﻑ ﻭﻤﺴﺎﺠﺩ ﺭﻤﺎﺡ .</t>
        </is>
      </c>
      <c r="B582" t="inlineStr">
        <is>
          <t>SMR2420861004275</t>
        </is>
      </c>
      <c r="C582" t="inlineStr">
        <is>
          <t>رماح</t>
        </is>
      </c>
      <c r="D582" t="inlineStr">
        <is>
          <t>كلا الفترتين</t>
        </is>
      </c>
      <c r="E582" t="n">
        <v>748</v>
      </c>
      <c r="F582" t="b">
        <v>0</v>
      </c>
      <c r="G582">
        <f>HYPERLINK("https://www.google.com/maps/search/?api=1&amp;query=25.54421506,47.160024", "View Map")</f>
        <v/>
      </c>
    </row>
    <row r="583">
      <c r="A583" t="inlineStr">
        <is>
          <t>ﻓﺭﻉ ﺍﻻﻭﻗﺎﻑ ﻭﺍﻟﻤﺴﺎﺠﺩ .</t>
        </is>
      </c>
      <c r="B583" t="inlineStr">
        <is>
          <t>KFM2020760212459</t>
        </is>
      </c>
      <c r="C583" t="inlineStr">
        <is>
          <t>ثادق</t>
        </is>
      </c>
      <c r="D583" t="inlineStr">
        <is>
          <t>مساءا</t>
        </is>
      </c>
      <c r="E583" t="n">
        <v>740</v>
      </c>
      <c r="F583" t="b">
        <v>0</v>
      </c>
      <c r="G583">
        <f>HYPERLINK("https://www.google.com/maps/search/?api=1&amp;query=25.2454998,45.87630579", "View Map")</f>
        <v/>
      </c>
    </row>
    <row r="584">
      <c r="A584" t="inlineStr">
        <is>
          <t xml:space="preserve">    مسجداسعد بن يزيد .</t>
        </is>
      </c>
      <c r="B584" t="inlineStr">
        <is>
          <t>KFM2020766073452</t>
        </is>
      </c>
      <c r="C584" t="inlineStr">
        <is>
          <t>الزلفي</t>
        </is>
      </c>
      <c r="D584" t="inlineStr">
        <is>
          <t>صباحا</t>
        </is>
      </c>
      <c r="E584" t="n">
        <v>739</v>
      </c>
      <c r="F584" t="b">
        <v>1</v>
      </c>
      <c r="G584">
        <f>HYPERLINK("https://www.google.com/maps/search/?api=1&amp;query=26.30971246,44.87224981", "View Map")</f>
        <v/>
      </c>
    </row>
    <row r="585">
      <c r="A585" t="inlineStr">
        <is>
          <t xml:space="preserve"> جامع/عبدالعزيزناصرالمنقوربحي الجبل .</t>
        </is>
      </c>
      <c r="B585" t="inlineStr">
        <is>
          <t>KFM2020660050198</t>
        </is>
      </c>
      <c r="C585" t="inlineStr">
        <is>
          <t>المجمعة</t>
        </is>
      </c>
      <c r="D585" t="inlineStr">
        <is>
          <t>صباحا</t>
        </is>
      </c>
      <c r="E585" t="n">
        <v>730</v>
      </c>
      <c r="F585" t="b">
        <v>0</v>
      </c>
      <c r="G585">
        <f>HYPERLINK("https://www.google.com/maps/search/?api=1&amp;query=25.5991194,45.62974651", "View Map")</f>
        <v/>
      </c>
    </row>
    <row r="586">
      <c r="A586" t="inlineStr">
        <is>
          <t xml:space="preserve">   مسجدراجح  محمد      السبيعى .</t>
        </is>
      </c>
      <c r="B586" t="inlineStr">
        <is>
          <t>AES2120896563705</t>
        </is>
      </c>
      <c r="C586" t="inlineStr">
        <is>
          <t>رماح</t>
        </is>
      </c>
      <c r="D586" t="inlineStr">
        <is>
          <t>كلا الفترتين</t>
        </is>
      </c>
      <c r="E586" t="n">
        <v>726</v>
      </c>
      <c r="F586" t="b">
        <v>0</v>
      </c>
      <c r="G586">
        <f>HYPERLINK("https://www.google.com/maps/search/?api=1&amp;query=25.55411565,47.16795281", "View Map")</f>
        <v/>
      </c>
    </row>
    <row r="587">
      <c r="A587" t="inlineStr">
        <is>
          <t>مسجد أبو بكر الصديق .</t>
        </is>
      </c>
      <c r="B587" t="inlineStr">
        <is>
          <t>KFM2020760115629</t>
        </is>
      </c>
      <c r="C587" t="inlineStr">
        <is>
          <t>المجمعة</t>
        </is>
      </c>
      <c r="D587" t="inlineStr">
        <is>
          <t>مساءا</t>
        </is>
      </c>
      <c r="E587" t="n">
        <v>725</v>
      </c>
      <c r="F587" t="b">
        <v>0</v>
      </c>
      <c r="G587">
        <f>HYPERLINK("https://www.google.com/maps/search/?api=1&amp;query=25.91291686,45.35083554", "View Map")</f>
        <v/>
      </c>
    </row>
    <row r="588">
      <c r="A588" t="inlineStr">
        <is>
          <t xml:space="preserve">   مسجد محمدبن عبدالله العمار .</t>
        </is>
      </c>
      <c r="B588" t="inlineStr">
        <is>
          <t>KFM2020660195854</t>
        </is>
      </c>
      <c r="C588" t="inlineStr">
        <is>
          <t>حريملاء</t>
        </is>
      </c>
      <c r="D588" t="inlineStr">
        <is>
          <t>مساءا</t>
        </is>
      </c>
      <c r="E588" t="n">
        <v>723</v>
      </c>
      <c r="F588" t="b">
        <v>0</v>
      </c>
      <c r="G588">
        <f>HYPERLINK("https://www.google.com/maps/search/?api=1&amp;query=25.10892054,46.11415273", "View Map")</f>
        <v/>
      </c>
    </row>
    <row r="589">
      <c r="A589" t="inlineStr">
        <is>
          <t xml:space="preserve">    مسجد طيبة مزارع جنوب مرات .</t>
        </is>
      </c>
      <c r="B589" t="inlineStr">
        <is>
          <t>AES2020896455011</t>
        </is>
      </c>
      <c r="C589" t="inlineStr">
        <is>
          <t>مرات</t>
        </is>
      </c>
      <c r="D589" t="inlineStr">
        <is>
          <t>مساءا</t>
        </is>
      </c>
      <c r="E589" t="n">
        <v>720</v>
      </c>
      <c r="F589" t="b">
        <v>0</v>
      </c>
      <c r="G589">
        <f>HYPERLINK("https://www.google.com/maps/search/?api=1&amp;query=25.05918565,45.48488287", "View Map")</f>
        <v/>
      </c>
    </row>
    <row r="590">
      <c r="A590" t="inlineStr">
        <is>
          <t>ﻤﻜﺘﺏ ﺍﻭﻗﺎﻑ ﺍﻟﻤﺠﻤﻌﻩ (ﺍﻟﻤﺴﺎﺠﺩ) .</t>
        </is>
      </c>
      <c r="B590" t="inlineStr">
        <is>
          <t>MMF2020800217164</t>
        </is>
      </c>
      <c r="C590" t="inlineStr">
        <is>
          <t>المجمعة</t>
        </is>
      </c>
      <c r="D590" t="inlineStr">
        <is>
          <t>مساءا</t>
        </is>
      </c>
      <c r="E590" t="n">
        <v>713</v>
      </c>
      <c r="F590" t="b">
        <v>0</v>
      </c>
      <c r="G590">
        <f>HYPERLINK("https://www.google.com/maps/search/?api=1&amp;query=25.9303779,45.37408238", "View Map")</f>
        <v/>
      </c>
    </row>
    <row r="591">
      <c r="A591" t="inlineStr">
        <is>
          <t xml:space="preserve">   مسجدصالح اليحي .</t>
        </is>
      </c>
      <c r="B591" t="inlineStr">
        <is>
          <t>KFM2020660160326</t>
        </is>
      </c>
      <c r="C591" t="inlineStr">
        <is>
          <t>الزلفي</t>
        </is>
      </c>
      <c r="D591" t="inlineStr">
        <is>
          <t>مساءا</t>
        </is>
      </c>
      <c r="E591" t="n">
        <v>709</v>
      </c>
      <c r="F591" t="b">
        <v>1</v>
      </c>
      <c r="G591">
        <f>HYPERLINK("https://www.google.com/maps/search/?api=1&amp;query=26.30466337,44.80606194", "View Map")</f>
        <v/>
      </c>
    </row>
    <row r="592">
      <c r="A592" t="inlineStr">
        <is>
          <t xml:space="preserve">    مصلى العيد باثيثية .</t>
        </is>
      </c>
      <c r="B592" t="inlineStr">
        <is>
          <t>AES2120896571433</t>
        </is>
      </c>
      <c r="C592" t="inlineStr">
        <is>
          <t>مرات</t>
        </is>
      </c>
      <c r="D592" t="inlineStr">
        <is>
          <t>مساءا</t>
        </is>
      </c>
      <c r="E592" t="n">
        <v>697</v>
      </c>
      <c r="F592" t="b">
        <v>0</v>
      </c>
      <c r="G592">
        <f>HYPERLINK("https://www.google.com/maps/search/?api=1&amp;query=25.1633023,45.39479981", "View Map")</f>
        <v/>
      </c>
    </row>
    <row r="593">
      <c r="A593" t="inlineStr">
        <is>
          <t xml:space="preserve">   مسجدالحديقةالعامة بشقراء .</t>
        </is>
      </c>
      <c r="B593" t="inlineStr">
        <is>
          <t>KFM2020660153767</t>
        </is>
      </c>
      <c r="C593" t="inlineStr">
        <is>
          <t>شقراء</t>
        </is>
      </c>
      <c r="D593" t="inlineStr">
        <is>
          <t>صباحا</t>
        </is>
      </c>
      <c r="E593" t="n">
        <v>697</v>
      </c>
      <c r="F593" t="b">
        <v>1</v>
      </c>
      <c r="G593">
        <f>HYPERLINK("https://www.google.com/maps/search/?api=1&amp;query=25.24704357,45.25112327", "View Map")</f>
        <v/>
      </c>
    </row>
    <row r="594">
      <c r="A594" t="inlineStr">
        <is>
          <t>ﺍﻭﻗﺎﻑ ﻭﻤﺴﺎﺠﺩ ( ) .</t>
        </is>
      </c>
      <c r="B594" t="inlineStr">
        <is>
          <t>AES2120896561755</t>
        </is>
      </c>
      <c r="C594" t="inlineStr">
        <is>
          <t>الزلفي</t>
        </is>
      </c>
      <c r="D594" t="inlineStr">
        <is>
          <t>مساءا</t>
        </is>
      </c>
      <c r="E594" t="n">
        <v>680</v>
      </c>
      <c r="F594" t="b">
        <v>0</v>
      </c>
      <c r="G594">
        <f>HYPERLINK("https://www.google.com/maps/search/?api=1&amp;query=26.33586435,44.81399407", "View Map")</f>
        <v/>
      </c>
    </row>
    <row r="595">
      <c r="A595" t="inlineStr">
        <is>
          <t xml:space="preserve">   مسجدحرمة  حي الروضة . .</t>
        </is>
      </c>
      <c r="B595" t="inlineStr">
        <is>
          <t>KFM2120660257562</t>
        </is>
      </c>
      <c r="C595" t="inlineStr">
        <is>
          <t>المجمعة</t>
        </is>
      </c>
      <c r="D595" t="inlineStr">
        <is>
          <t>مساءا</t>
        </is>
      </c>
      <c r="E595" t="n">
        <v>663</v>
      </c>
      <c r="F595" t="b">
        <v>0</v>
      </c>
      <c r="G595">
        <f>HYPERLINK("https://www.google.com/maps/search/?api=1&amp;query=25.95406305,45.34984469", "View Map")</f>
        <v/>
      </c>
    </row>
    <row r="596">
      <c r="A596" t="inlineStr">
        <is>
          <t>ﺃﻭﻗﺎﻑ ﻭﻤﺴﺎﺠﺩ ﺍﻟﻭﺸﻡ .</t>
        </is>
      </c>
      <c r="B596" t="inlineStr">
        <is>
          <t>ECC2420831031779</t>
        </is>
      </c>
      <c r="C596" t="inlineStr">
        <is>
          <t>شقراء</t>
        </is>
      </c>
      <c r="D596" t="inlineStr">
        <is>
          <t>مساءا</t>
        </is>
      </c>
      <c r="E596" t="n">
        <v>662</v>
      </c>
      <c r="F596" t="b">
        <v>1</v>
      </c>
      <c r="G596">
        <f>HYPERLINK("https://www.google.com/maps/search/?api=1&amp;query=25.25063277,45.23645267", "View Map")</f>
        <v/>
      </c>
    </row>
    <row r="597">
      <c r="A597" t="inlineStr">
        <is>
          <t>ﺍﺩﺍﺭﻩ ﺍﻻﻭﻗﺎﻑ ﻭﺍﻟﻤﺴﺎﺠﺩ .</t>
        </is>
      </c>
      <c r="B597" t="inlineStr">
        <is>
          <t>KFM2020760203041</t>
        </is>
      </c>
      <c r="C597" t="inlineStr">
        <is>
          <t>حريملاء</t>
        </is>
      </c>
      <c r="D597" t="inlineStr">
        <is>
          <t>مساءا</t>
        </is>
      </c>
      <c r="E597" t="n">
        <v>662</v>
      </c>
      <c r="F597" t="b">
        <v>1</v>
      </c>
      <c r="G597">
        <f>HYPERLINK("https://www.google.com/maps/search/?api=1&amp;query=25.12282935,46.09716559", "View Map")</f>
        <v/>
      </c>
    </row>
    <row r="598">
      <c r="A598" t="inlineStr">
        <is>
          <t xml:space="preserve">   مسجد الفلاح بالصفراء .</t>
        </is>
      </c>
      <c r="B598" t="inlineStr">
        <is>
          <t>KFM2020766159960</t>
        </is>
      </c>
      <c r="C598" t="inlineStr">
        <is>
          <t>شقراء</t>
        </is>
      </c>
      <c r="D598" t="inlineStr">
        <is>
          <t>صباحا</t>
        </is>
      </c>
      <c r="E598" t="n">
        <v>643</v>
      </c>
      <c r="F598" t="b">
        <v>0</v>
      </c>
      <c r="G598">
        <f>HYPERLINK("https://www.google.com/maps/search/?api=1&amp;query=25.22680237,45.24411641", "View Map")</f>
        <v/>
      </c>
    </row>
    <row r="599">
      <c r="A599" t="inlineStr">
        <is>
          <t xml:space="preserve">   اوقاف الزلفي مسجدالايمان .</t>
        </is>
      </c>
      <c r="B599" t="inlineStr">
        <is>
          <t>KFM2020766158123</t>
        </is>
      </c>
      <c r="C599" t="inlineStr">
        <is>
          <t>الزلفي</t>
        </is>
      </c>
      <c r="D599" t="inlineStr">
        <is>
          <t>صباحا</t>
        </is>
      </c>
      <c r="E599" t="n">
        <v>643</v>
      </c>
      <c r="F599" t="b">
        <v>0</v>
      </c>
      <c r="G599">
        <f>HYPERLINK("https://www.google.com/maps/search/?api=1&amp;query=26.32383586,44.81459594", "View Map")</f>
        <v/>
      </c>
    </row>
    <row r="600">
      <c r="A600" t="inlineStr">
        <is>
          <t xml:space="preserve">   مسجد الوقف بالقرائن / مخطط 449 .</t>
        </is>
      </c>
      <c r="B600" t="inlineStr">
        <is>
          <t>KFM2020660200712</t>
        </is>
      </c>
      <c r="C600" t="inlineStr">
        <is>
          <t>شقراء</t>
        </is>
      </c>
      <c r="D600" t="inlineStr">
        <is>
          <t>صباحا</t>
        </is>
      </c>
      <c r="E600" t="n">
        <v>638</v>
      </c>
      <c r="F600" t="b">
        <v>0</v>
      </c>
      <c r="G600">
        <f>HYPERLINK("https://www.google.com/maps/search/?api=1&amp;query=25.2232592,45.26979924", "View Map")</f>
        <v/>
      </c>
    </row>
    <row r="601">
      <c r="A601" t="inlineStr">
        <is>
          <t xml:space="preserve">   مسجد مصلى العيد بغسله .</t>
        </is>
      </c>
      <c r="B601" t="inlineStr">
        <is>
          <t>AES2020896524308</t>
        </is>
      </c>
      <c r="C601" t="inlineStr">
        <is>
          <t>شقراء</t>
        </is>
      </c>
      <c r="D601" t="inlineStr">
        <is>
          <t>مساءا</t>
        </is>
      </c>
      <c r="E601" t="n">
        <v>634</v>
      </c>
      <c r="F601" t="b">
        <v>0</v>
      </c>
      <c r="G601">
        <f>HYPERLINK("https://www.google.com/maps/search/?api=1&amp;query=25.22096747,45.28744216", "View Map")</f>
        <v/>
      </c>
    </row>
    <row r="602">
      <c r="A602" t="inlineStr">
        <is>
          <t xml:space="preserve">   جامع أبوبكر الصديق بثرمداء .</t>
        </is>
      </c>
      <c r="B602" t="inlineStr">
        <is>
          <t>KFM2120660251111</t>
        </is>
      </c>
      <c r="C602" t="inlineStr">
        <is>
          <t>مرات</t>
        </is>
      </c>
      <c r="D602" t="inlineStr">
        <is>
          <t>مساءا</t>
        </is>
      </c>
      <c r="E602" t="n">
        <v>634</v>
      </c>
      <c r="F602" t="b">
        <v>0</v>
      </c>
      <c r="G602">
        <f>HYPERLINK("https://www.google.com/maps/search/?api=1&amp;query=25.11995825,45.49277008", "View Map")</f>
        <v/>
      </c>
    </row>
    <row r="603">
      <c r="A603" t="inlineStr">
        <is>
          <t xml:space="preserve">     مسجد محمد الصبيح .</t>
        </is>
      </c>
      <c r="B603" t="inlineStr">
        <is>
          <t>KFM2020660195743</t>
        </is>
      </c>
      <c r="C603" t="inlineStr">
        <is>
          <t>المجمعة</t>
        </is>
      </c>
      <c r="D603" t="inlineStr">
        <is>
          <t>مساءا</t>
        </is>
      </c>
      <c r="E603" t="n">
        <v>627</v>
      </c>
      <c r="F603" t="b">
        <v>1</v>
      </c>
      <c r="G603">
        <f>HYPERLINK("https://www.google.com/maps/search/?api=1&amp;query=25.71617292,45.85913", "View Map")</f>
        <v/>
      </c>
    </row>
    <row r="604">
      <c r="A604" t="inlineStr">
        <is>
          <t xml:space="preserve">   مسجد الروضة بشقراء .</t>
        </is>
      </c>
      <c r="B604" t="inlineStr">
        <is>
          <t>KFM2020660177464</t>
        </is>
      </c>
      <c r="C604" t="inlineStr">
        <is>
          <t>شقراء</t>
        </is>
      </c>
      <c r="D604" t="inlineStr">
        <is>
          <t>مساءا</t>
        </is>
      </c>
      <c r="E604" t="n">
        <v>626</v>
      </c>
      <c r="F604" t="b">
        <v>0</v>
      </c>
      <c r="G604">
        <f>HYPERLINK("https://www.google.com/maps/search/?api=1&amp;query=25.24022645,45.2551567", "View Map")</f>
        <v/>
      </c>
    </row>
    <row r="605">
      <c r="A605" t="inlineStr">
        <is>
          <t>ﻓﺭﻉ ﺍﻻﻭﻗﺎﻑ ﻭﺍﻟﻤﺴﺎﺠﺩ .</t>
        </is>
      </c>
      <c r="B605" t="inlineStr">
        <is>
          <t>KFM2120660272146</t>
        </is>
      </c>
      <c r="C605" t="inlineStr">
        <is>
          <t>ثادق</t>
        </is>
      </c>
      <c r="D605" t="inlineStr">
        <is>
          <t>مساءا</t>
        </is>
      </c>
      <c r="E605" t="n">
        <v>625</v>
      </c>
      <c r="F605" t="b">
        <v>0</v>
      </c>
      <c r="G605">
        <f>HYPERLINK("https://www.google.com/maps/search/?api=1&amp;query=25.25918495,45.87082906", "View Map")</f>
        <v/>
      </c>
    </row>
    <row r="606">
      <c r="A606" t="inlineStr">
        <is>
          <t xml:space="preserve">   جامع التميمي بالمسمى .</t>
        </is>
      </c>
      <c r="B606" t="inlineStr">
        <is>
          <t>KFM2020660199997</t>
        </is>
      </c>
      <c r="C606" t="inlineStr">
        <is>
          <t>شقراء</t>
        </is>
      </c>
      <c r="D606" t="inlineStr">
        <is>
          <t>مساءا</t>
        </is>
      </c>
      <c r="E606" t="n">
        <v>613</v>
      </c>
      <c r="F606" t="b">
        <v>1</v>
      </c>
      <c r="G606">
        <f>HYPERLINK("https://www.google.com/maps/search/?api=1&amp;query=25.23227944,45.31688893", "View Map")</f>
        <v/>
      </c>
    </row>
    <row r="607">
      <c r="A607" t="inlineStr">
        <is>
          <t xml:space="preserve">         مسجد /الاميرفهدبنمحمدبنعبدا .</t>
        </is>
      </c>
      <c r="B607" t="inlineStr">
        <is>
          <t>AES2120896563797</t>
        </is>
      </c>
      <c r="C607" t="inlineStr">
        <is>
          <t>رماح</t>
        </is>
      </c>
      <c r="D607" t="inlineStr">
        <is>
          <t>كلا الفترتين</t>
        </is>
      </c>
      <c r="E607" t="n">
        <v>610</v>
      </c>
      <c r="F607" t="b">
        <v>0</v>
      </c>
      <c r="G607">
        <f>HYPERLINK("https://www.google.com/maps/search/?api=1&amp;query=25.40775821,47.21124846", "View Map")</f>
        <v/>
      </c>
    </row>
    <row r="608">
      <c r="A608" t="inlineStr">
        <is>
          <t xml:space="preserve">   مسجد/الحميدي العنزي .</t>
        </is>
      </c>
      <c r="B608" t="inlineStr">
        <is>
          <t>AES2120896571832</t>
        </is>
      </c>
      <c r="C608" t="inlineStr">
        <is>
          <t>المجمعة</t>
        </is>
      </c>
      <c r="D608" t="inlineStr">
        <is>
          <t>مساءا</t>
        </is>
      </c>
      <c r="E608" t="n">
        <v>608</v>
      </c>
      <c r="F608" t="b">
        <v>0</v>
      </c>
      <c r="G608">
        <f>HYPERLINK("https://www.google.com/maps/search/?api=1&amp;query=26.42516133,45.35949602", "View Map")</f>
        <v/>
      </c>
    </row>
    <row r="609">
      <c r="A609" t="inlineStr">
        <is>
          <t>ﻓﺭﻉ ﺍﻻﻭﻗﺎﻑ ﻭﺍﻟﻤﺴﺎﺠﺩ .</t>
        </is>
      </c>
      <c r="B609" t="inlineStr">
        <is>
          <t>KFM2120660272130</t>
        </is>
      </c>
      <c r="C609" t="inlineStr">
        <is>
          <t>ثادق</t>
        </is>
      </c>
      <c r="D609" t="inlineStr">
        <is>
          <t>مساءا</t>
        </is>
      </c>
      <c r="E609" t="n">
        <v>607</v>
      </c>
      <c r="F609" t="b">
        <v>0</v>
      </c>
      <c r="G609">
        <f>HYPERLINK("https://www.google.com/maps/search/?api=1&amp;query=25.25513442,45.86010035", "View Map")</f>
        <v/>
      </c>
    </row>
    <row r="610">
      <c r="A610" t="inlineStr">
        <is>
          <t>مسجد تركي الماضي . .</t>
        </is>
      </c>
      <c r="B610" t="inlineStr">
        <is>
          <t>KFM2120660279149</t>
        </is>
      </c>
      <c r="C610" t="inlineStr">
        <is>
          <t>المجمعة</t>
        </is>
      </c>
      <c r="D610" t="inlineStr">
        <is>
          <t>صباحا</t>
        </is>
      </c>
      <c r="E610" t="n">
        <v>604</v>
      </c>
      <c r="F610" t="b">
        <v>1</v>
      </c>
      <c r="G610">
        <f>HYPERLINK("https://www.google.com/maps/search/?api=1&amp;query=25.62788131,45.580624", "View Map")</f>
        <v/>
      </c>
    </row>
    <row r="611">
      <c r="A611" t="inlineStr">
        <is>
          <t xml:space="preserve">   مسجد/ السعر .</t>
        </is>
      </c>
      <c r="B611" t="inlineStr">
        <is>
          <t>KFM2020766158173</t>
        </is>
      </c>
      <c r="C611" t="inlineStr">
        <is>
          <t>الزلفي</t>
        </is>
      </c>
      <c r="D611" t="inlineStr">
        <is>
          <t>صباحا</t>
        </is>
      </c>
      <c r="E611" t="n">
        <v>602</v>
      </c>
      <c r="F611" t="b">
        <v>0</v>
      </c>
      <c r="G611">
        <f>HYPERLINK("https://www.google.com/maps/search/?api=1&amp;query=26.29411352,44.7935574", "View Map")</f>
        <v/>
      </c>
    </row>
    <row r="612">
      <c r="A612" t="inlineStr">
        <is>
          <t xml:space="preserve">   مسجدفهدعلي الفايز .</t>
        </is>
      </c>
      <c r="B612" t="inlineStr">
        <is>
          <t>KFM2020766034106</t>
        </is>
      </c>
      <c r="C612" t="inlineStr">
        <is>
          <t>المجمعة</t>
        </is>
      </c>
      <c r="D612" t="inlineStr">
        <is>
          <t>مساءا</t>
        </is>
      </c>
      <c r="E612" t="n">
        <v>602</v>
      </c>
      <c r="F612" t="b">
        <v>0</v>
      </c>
      <c r="G612">
        <f>HYPERLINK("https://www.google.com/maps/search/?api=1&amp;query=25.69624527,45.89435294", "View Map")</f>
        <v/>
      </c>
    </row>
    <row r="613">
      <c r="A613" t="inlineStr">
        <is>
          <t xml:space="preserve">   مسجد رقم 1 مخطط 113 بالقصب .</t>
        </is>
      </c>
      <c r="B613" t="inlineStr">
        <is>
          <t>AES2020896531397</t>
        </is>
      </c>
      <c r="C613" t="inlineStr">
        <is>
          <t>شقراء</t>
        </is>
      </c>
      <c r="D613" t="inlineStr">
        <is>
          <t>صباحا</t>
        </is>
      </c>
      <c r="E613" t="n">
        <v>596</v>
      </c>
      <c r="F613" t="b">
        <v>0</v>
      </c>
      <c r="G613">
        <f>HYPERLINK("https://www.google.com/maps/search/?api=1&amp;query=25.29597092,45.53238578", "View Map")</f>
        <v/>
      </c>
    </row>
    <row r="614">
      <c r="A614" t="inlineStr">
        <is>
          <t xml:space="preserve">   مسجد      هادي      العذيي .</t>
        </is>
      </c>
      <c r="B614" t="inlineStr">
        <is>
          <t>MMF2420801316700</t>
        </is>
      </c>
      <c r="C614" t="inlineStr">
        <is>
          <t>رماح</t>
        </is>
      </c>
      <c r="D614" t="inlineStr">
        <is>
          <t>كلا الفترتين</t>
        </is>
      </c>
      <c r="E614" t="n">
        <v>595</v>
      </c>
      <c r="F614" t="b">
        <v>0</v>
      </c>
      <c r="G614">
        <f>HYPERLINK("https://www.google.com/maps/search/?api=1&amp;query=25.57110227,47.15455723", "View Map")</f>
        <v/>
      </c>
    </row>
    <row r="615">
      <c r="A615" t="inlineStr">
        <is>
          <t xml:space="preserve">   مسجد بن عمير .</t>
        </is>
      </c>
      <c r="B615" t="inlineStr">
        <is>
          <t>AES2020896434912</t>
        </is>
      </c>
      <c r="C615" t="inlineStr">
        <is>
          <t>رماح</t>
        </is>
      </c>
      <c r="D615" t="inlineStr">
        <is>
          <t>مساءا</t>
        </is>
      </c>
      <c r="E615" t="n">
        <v>594</v>
      </c>
      <c r="F615" t="b">
        <v>0</v>
      </c>
      <c r="G615">
        <f>HYPERLINK("https://www.google.com/maps/search/?api=1&amp;query=25.56553224,47.16841555", "View Map")</f>
        <v/>
      </c>
    </row>
    <row r="616">
      <c r="A616" t="inlineStr">
        <is>
          <t>ﺍﻭﻗﺎﻑ ﻭﻤﺴﺎﺠﺩ ( ) .</t>
        </is>
      </c>
      <c r="B616" t="inlineStr">
        <is>
          <t>KFM2020766158184</t>
        </is>
      </c>
      <c r="C616" t="inlineStr">
        <is>
          <t>الزلفي</t>
        </is>
      </c>
      <c r="D616" t="inlineStr">
        <is>
          <t>مساءا</t>
        </is>
      </c>
      <c r="E616" t="n">
        <v>591</v>
      </c>
      <c r="F616" t="b">
        <v>1</v>
      </c>
      <c r="G616">
        <f>HYPERLINK("https://www.google.com/maps/search/?api=1&amp;query=26.31532499,44.80522651", "View Map")</f>
        <v/>
      </c>
    </row>
    <row r="617">
      <c r="A617" t="inlineStr">
        <is>
          <t>ﺍﻭﻗﺎﻑ ﻭﻤﺴﺎﺠﺩ ( ) .</t>
        </is>
      </c>
      <c r="B617" t="inlineStr">
        <is>
          <t>KFM2020660207186</t>
        </is>
      </c>
      <c r="C617" t="inlineStr">
        <is>
          <t>الزلفي</t>
        </is>
      </c>
      <c r="D617" t="inlineStr">
        <is>
          <t>مساءا</t>
        </is>
      </c>
      <c r="E617" t="n">
        <v>586</v>
      </c>
      <c r="F617" t="b">
        <v>1</v>
      </c>
      <c r="G617">
        <f>HYPERLINK("https://www.google.com/maps/search/?api=1&amp;query=26.33839227,44.79702489", "View Map")</f>
        <v/>
      </c>
    </row>
    <row r="618">
      <c r="A618" t="inlineStr">
        <is>
          <t xml:space="preserve">   مسجد حي الوسطى  بحوطة سدير .</t>
        </is>
      </c>
      <c r="B618" t="inlineStr">
        <is>
          <t>KFM2020660210740</t>
        </is>
      </c>
      <c r="C618" t="inlineStr">
        <is>
          <t>المجمعة</t>
        </is>
      </c>
      <c r="D618" t="inlineStr">
        <is>
          <t>مساءا</t>
        </is>
      </c>
      <c r="E618" t="n">
        <v>580</v>
      </c>
      <c r="F618" t="b">
        <v>0</v>
      </c>
      <c r="G618">
        <f>HYPERLINK("https://www.google.com/maps/search/?api=1&amp;query=25.59807722,45.61205716", "View Map")</f>
        <v/>
      </c>
    </row>
    <row r="619">
      <c r="A619" t="inlineStr">
        <is>
          <t xml:space="preserve">     مسجد محمد العلى الداوود بالحزم .</t>
        </is>
      </c>
      <c r="B619" t="inlineStr">
        <is>
          <t>KFM2020760207757</t>
        </is>
      </c>
      <c r="C619" t="inlineStr">
        <is>
          <t>حريملاء</t>
        </is>
      </c>
      <c r="D619" t="inlineStr">
        <is>
          <t>صباحا</t>
        </is>
      </c>
      <c r="E619" t="n">
        <v>577</v>
      </c>
      <c r="F619" t="b">
        <v>0</v>
      </c>
      <c r="G619">
        <f>HYPERLINK("https://www.google.com/maps/search/?api=1&amp;query=25.1100756,46.09843221", "View Map")</f>
        <v/>
      </c>
    </row>
    <row r="620">
      <c r="A620" t="inlineStr">
        <is>
          <t>ﺍﻭﻗﺎﻑ ﻭﻤﺴﺎﺠﺩ ( ) .</t>
        </is>
      </c>
      <c r="B620" t="inlineStr">
        <is>
          <t>KFM2020766090347</t>
        </is>
      </c>
      <c r="C620" t="inlineStr">
        <is>
          <t>الزلفي</t>
        </is>
      </c>
      <c r="D620" t="inlineStr">
        <is>
          <t>صباحا</t>
        </is>
      </c>
      <c r="E620" t="n">
        <v>577</v>
      </c>
      <c r="F620" t="b">
        <v>1</v>
      </c>
      <c r="G620">
        <f>HYPERLINK("https://www.google.com/maps/search/?api=1&amp;query=26.3199066,44.88848237", "View Map")</f>
        <v/>
      </c>
    </row>
    <row r="621">
      <c r="A621" t="inlineStr">
        <is>
          <t>ﺍﻭﻗﺎﻑ ﻭﻤﺴﺎﺠﺩ ( ) .</t>
        </is>
      </c>
      <c r="B621" t="inlineStr">
        <is>
          <t>AEC2020830547084</t>
        </is>
      </c>
      <c r="C621" t="inlineStr">
        <is>
          <t>الزلفي</t>
        </is>
      </c>
      <c r="D621" t="inlineStr">
        <is>
          <t>مساءا</t>
        </is>
      </c>
      <c r="E621" t="n">
        <v>576</v>
      </c>
      <c r="F621" t="b">
        <v>0</v>
      </c>
      <c r="G621">
        <f>HYPERLINK("https://www.google.com/maps/search/?api=1&amp;query=26.32194371,44.83821265", "View Map")</f>
        <v/>
      </c>
    </row>
    <row r="622">
      <c r="A622" t="inlineStr">
        <is>
          <t xml:space="preserve">   اوقاف     الزلفي    مغيراء .</t>
        </is>
      </c>
      <c r="B622" t="inlineStr">
        <is>
          <t>KFM2120660280317</t>
        </is>
      </c>
      <c r="C622" t="inlineStr">
        <is>
          <t>الزلفي</t>
        </is>
      </c>
      <c r="D622" t="inlineStr">
        <is>
          <t>مساءا</t>
        </is>
      </c>
      <c r="E622" t="n">
        <v>574</v>
      </c>
      <c r="F622" t="b">
        <v>0</v>
      </c>
      <c r="G622">
        <f>HYPERLINK("https://www.google.com/maps/search/?api=1&amp;query=26.18729674,44.82209687", "View Map")</f>
        <v/>
      </c>
    </row>
    <row r="623">
      <c r="A623" t="inlineStr">
        <is>
          <t xml:space="preserve">   مـسـجـد محمدبن عبدالوهاب .</t>
        </is>
      </c>
      <c r="B623" t="inlineStr">
        <is>
          <t>KFM2020766160012</t>
        </is>
      </c>
      <c r="C623" t="inlineStr">
        <is>
          <t>شقراء</t>
        </is>
      </c>
      <c r="D623" t="inlineStr">
        <is>
          <t>صباحا</t>
        </is>
      </c>
      <c r="E623" t="n">
        <v>573</v>
      </c>
      <c r="F623" t="b">
        <v>0</v>
      </c>
      <c r="G623">
        <f>HYPERLINK("https://www.google.com/maps/search/?api=1&amp;query=25.2287203,45.25805777", "View Map")</f>
        <v/>
      </c>
    </row>
    <row r="624">
      <c r="A624" t="inlineStr">
        <is>
          <t>مسجد الحرقان .</t>
        </is>
      </c>
      <c r="B624" t="inlineStr">
        <is>
          <t>AES2120896563929</t>
        </is>
      </c>
      <c r="C624" t="inlineStr">
        <is>
          <t>رماح</t>
        </is>
      </c>
      <c r="D624" t="inlineStr">
        <is>
          <t>كلا الفترتين</t>
        </is>
      </c>
      <c r="E624" t="n">
        <v>567</v>
      </c>
      <c r="F624" t="b">
        <v>0</v>
      </c>
      <c r="G624">
        <f>HYPERLINK("https://www.google.com/maps/search/?api=1&amp;query=25.56589534,47.16303528", "View Map")</f>
        <v/>
      </c>
    </row>
    <row r="625">
      <c r="A625" t="inlineStr">
        <is>
          <t xml:space="preserve">   جامع مشلح الجديد .</t>
        </is>
      </c>
      <c r="B625" t="inlineStr">
        <is>
          <t>KFM2020760159251</t>
        </is>
      </c>
      <c r="C625" t="inlineStr">
        <is>
          <t>المجمعة</t>
        </is>
      </c>
      <c r="D625" t="inlineStr">
        <is>
          <t>مساءا</t>
        </is>
      </c>
      <c r="E625" t="n">
        <v>562</v>
      </c>
      <c r="F625" t="b">
        <v>0</v>
      </c>
      <c r="G625">
        <f>HYPERLINK("https://www.google.com/maps/search/?api=1&amp;query=26.83176752,45.22282634", "View Map")</f>
        <v/>
      </c>
    </row>
    <row r="626">
      <c r="A626" t="inlineStr">
        <is>
          <t xml:space="preserve">   جامع/مشاش عوض .</t>
        </is>
      </c>
      <c r="B626" t="inlineStr">
        <is>
          <t>KFM2020766162048</t>
        </is>
      </c>
      <c r="C626" t="inlineStr">
        <is>
          <t>المجمعة</t>
        </is>
      </c>
      <c r="D626" t="inlineStr">
        <is>
          <t>صباحا</t>
        </is>
      </c>
      <c r="E626" t="n">
        <v>562</v>
      </c>
      <c r="F626" t="b">
        <v>0</v>
      </c>
      <c r="G626">
        <f>HYPERLINK("https://www.google.com/maps/search/?api=1&amp;query=26.42125965,45.1805067", "View Map")</f>
        <v/>
      </c>
    </row>
    <row r="627">
      <c r="A627" t="inlineStr">
        <is>
          <t xml:space="preserve">   مسجد المانع بأشيقر - مخطط 725 .</t>
        </is>
      </c>
      <c r="B627" t="inlineStr">
        <is>
          <t>KFM2020766121676</t>
        </is>
      </c>
      <c r="C627" t="inlineStr">
        <is>
          <t>شقراء</t>
        </is>
      </c>
      <c r="D627" t="inlineStr">
        <is>
          <t>مساءا</t>
        </is>
      </c>
      <c r="E627" t="n">
        <v>560</v>
      </c>
      <c r="F627" t="b">
        <v>0</v>
      </c>
      <c r="G627">
        <f>HYPERLINK("https://www.google.com/maps/search/?api=1&amp;query=25.34035645,45.18349809", "View Map")</f>
        <v/>
      </c>
    </row>
    <row r="628">
      <c r="A628" t="inlineStr">
        <is>
          <t xml:space="preserve">         مسجد الحرم الخالديه .</t>
        </is>
      </c>
      <c r="B628" t="inlineStr">
        <is>
          <t>KFM2020660150473</t>
        </is>
      </c>
      <c r="C628" t="inlineStr">
        <is>
          <t>المجمعة</t>
        </is>
      </c>
      <c r="D628" t="inlineStr">
        <is>
          <t>مساءا</t>
        </is>
      </c>
      <c r="E628" t="n">
        <v>560</v>
      </c>
      <c r="F628" t="b">
        <v>0</v>
      </c>
      <c r="G628">
        <f>HYPERLINK("https://www.google.com/maps/search/?api=1&amp;query=25.70082683,45.8759824", "View Map")</f>
        <v/>
      </c>
    </row>
    <row r="629">
      <c r="A629" t="inlineStr">
        <is>
          <t xml:space="preserve">   مسجد الجوهرة السديري 46 .</t>
        </is>
      </c>
      <c r="B629" t="inlineStr">
        <is>
          <t>KFM2120660257619</t>
        </is>
      </c>
      <c r="C629" t="inlineStr">
        <is>
          <t>المجمعة</t>
        </is>
      </c>
      <c r="D629" t="inlineStr">
        <is>
          <t>مساءا</t>
        </is>
      </c>
      <c r="E629" t="n">
        <v>559</v>
      </c>
      <c r="F629" t="b">
        <v>0</v>
      </c>
      <c r="G629">
        <f>HYPERLINK("https://www.google.com/maps/search/?api=1&amp;query=25.92185651,45.33250368", "View Map")</f>
        <v/>
      </c>
    </row>
    <row r="630">
      <c r="A630" t="inlineStr">
        <is>
          <t xml:space="preserve">   مسجد ربيعة بن عبدالرحمن 86 .</t>
        </is>
      </c>
      <c r="B630" t="inlineStr">
        <is>
          <t>KFM2020760005566</t>
        </is>
      </c>
      <c r="C630" t="inlineStr">
        <is>
          <t>المجمعة</t>
        </is>
      </c>
      <c r="D630" t="inlineStr">
        <is>
          <t>صباحا</t>
        </is>
      </c>
      <c r="E630" t="n">
        <v>559</v>
      </c>
      <c r="F630" t="b">
        <v>0</v>
      </c>
      <c r="G630">
        <f>HYPERLINK("https://www.google.com/maps/search/?api=1&amp;query=25.92673928,45.32874667", "View Map")</f>
        <v/>
      </c>
    </row>
    <row r="631">
      <c r="A631" t="inlineStr">
        <is>
          <t xml:space="preserve">   مسجد أحمدالعمير .</t>
        </is>
      </c>
      <c r="B631" t="inlineStr">
        <is>
          <t>KFM2120660236112</t>
        </is>
      </c>
      <c r="C631" t="inlineStr">
        <is>
          <t>الزلفي</t>
        </is>
      </c>
      <c r="D631" t="inlineStr">
        <is>
          <t>مساءا</t>
        </is>
      </c>
      <c r="E631" t="n">
        <v>557</v>
      </c>
      <c r="F631" t="b">
        <v>0</v>
      </c>
      <c r="G631">
        <f>HYPERLINK("https://www.google.com/maps/search/?api=1&amp;query=26.32543007,44.79288366", "View Map")</f>
        <v/>
      </c>
    </row>
    <row r="632">
      <c r="A632" t="inlineStr">
        <is>
          <t>ﺃﻭﻗﺎﻑ ﻭﻤﺴﺎﺠﺩ ﺭﻤﺎﺡ .</t>
        </is>
      </c>
      <c r="B632" t="inlineStr">
        <is>
          <t>AES2120896552618</t>
        </is>
      </c>
      <c r="C632" t="inlineStr">
        <is>
          <t>المجمعة</t>
        </is>
      </c>
      <c r="D632" t="inlineStr">
        <is>
          <t>مساءا</t>
        </is>
      </c>
      <c r="E632" t="n">
        <v>554</v>
      </c>
      <c r="F632" t="b">
        <v>0</v>
      </c>
      <c r="G632">
        <f>HYPERLINK("https://www.google.com/maps/search/?api=1&amp;query=26.05560399,45.34903847", "View Map")</f>
        <v/>
      </c>
    </row>
    <row r="633">
      <c r="A633" t="inlineStr">
        <is>
          <t>ﻤﻜﺘﺏ ﺍﻭﻗﺎﻑ ﺍﻟﻤﺠﻤﻌﻩ (ﺍﻟﻤﺴﺎﺠﺩ) .</t>
        </is>
      </c>
      <c r="B633" t="inlineStr">
        <is>
          <t>DZG2020890002890</t>
        </is>
      </c>
      <c r="C633" t="inlineStr">
        <is>
          <t>المجمعة</t>
        </is>
      </c>
      <c r="D633" t="inlineStr">
        <is>
          <t>صباحا</t>
        </is>
      </c>
      <c r="E633" t="n">
        <v>552</v>
      </c>
      <c r="F633" t="b">
        <v>0</v>
      </c>
      <c r="G633">
        <f>HYPERLINK("https://www.google.com/maps/search/?api=1&amp;query=25.9303779,45.37408238", "View Map")</f>
        <v/>
      </c>
    </row>
    <row r="634">
      <c r="A634" t="inlineStr">
        <is>
          <t xml:space="preserve">   مسجد/الحي الجنوبي .</t>
        </is>
      </c>
      <c r="B634" t="inlineStr">
        <is>
          <t>KFM2020766154362</t>
        </is>
      </c>
      <c r="C634" t="inlineStr">
        <is>
          <t>المجمعة</t>
        </is>
      </c>
      <c r="D634" t="inlineStr">
        <is>
          <t>صباحا</t>
        </is>
      </c>
      <c r="E634" t="n">
        <v>550</v>
      </c>
      <c r="F634" t="b">
        <v>0</v>
      </c>
      <c r="G634">
        <f>HYPERLINK("https://www.google.com/maps/search/?api=1&amp;query=26.85964369,45.24185265", "View Map")</f>
        <v/>
      </c>
    </row>
    <row r="635">
      <c r="A635" t="inlineStr">
        <is>
          <t>ﻓﺭﻉ ﺍﻻﻭﻗﺎﻑ ﻭﺍﻟﻤﺴﺎﺠﺩ .</t>
        </is>
      </c>
      <c r="B635" t="inlineStr">
        <is>
          <t>SMR2420868036970</t>
        </is>
      </c>
      <c r="C635" t="inlineStr">
        <is>
          <t>ثادق</t>
        </is>
      </c>
      <c r="D635" t="inlineStr">
        <is>
          <t>مساءا</t>
        </is>
      </c>
      <c r="E635" t="n">
        <v>549</v>
      </c>
      <c r="F635" t="b">
        <v>0</v>
      </c>
      <c r="G635">
        <f>HYPERLINK("https://www.google.com/maps/search/?api=1&amp;query=25.2115644,45.86370243", "View Map")</f>
        <v/>
      </c>
    </row>
    <row r="636">
      <c r="A636" t="inlineStr">
        <is>
          <t xml:space="preserve">   مسجد القرينة .</t>
        </is>
      </c>
      <c r="B636" t="inlineStr">
        <is>
          <t>KFM2020660195853</t>
        </is>
      </c>
      <c r="C636" t="inlineStr">
        <is>
          <t>حريملاء</t>
        </is>
      </c>
      <c r="D636" t="inlineStr">
        <is>
          <t>مساءا</t>
        </is>
      </c>
      <c r="E636" t="n">
        <v>549</v>
      </c>
      <c r="F636" t="b">
        <v>0</v>
      </c>
      <c r="G636">
        <f>HYPERLINK("https://www.google.com/maps/search/?api=1&amp;query=25.14176635,46.1628676", "View Map")</f>
        <v/>
      </c>
    </row>
    <row r="637">
      <c r="A637" t="inlineStr">
        <is>
          <t xml:space="preserve">   مسجد/بن ضويحي .</t>
        </is>
      </c>
      <c r="B637" t="inlineStr">
        <is>
          <t>KFM2020760239793</t>
        </is>
      </c>
      <c r="C637" t="inlineStr">
        <is>
          <t>المجمعة</t>
        </is>
      </c>
      <c r="D637" t="inlineStr">
        <is>
          <t>مساءا</t>
        </is>
      </c>
      <c r="E637" t="n">
        <v>548</v>
      </c>
      <c r="F637" t="b">
        <v>0</v>
      </c>
      <c r="G637">
        <f>HYPERLINK("https://www.google.com/maps/search/?api=1&amp;query=26.40599623,45.3332904", "View Map")</f>
        <v/>
      </c>
    </row>
    <row r="638">
      <c r="A638" t="inlineStr">
        <is>
          <t xml:space="preserve">   مسجد رقم(2)_مخطط(717)/الصفراء .</t>
        </is>
      </c>
      <c r="B638" t="inlineStr">
        <is>
          <t>KFM2020766032935</t>
        </is>
      </c>
      <c r="C638" t="inlineStr">
        <is>
          <t>شقراء</t>
        </is>
      </c>
      <c r="D638" t="inlineStr">
        <is>
          <t>صباحا</t>
        </is>
      </c>
      <c r="E638" t="n">
        <v>544</v>
      </c>
      <c r="F638" t="b">
        <v>0</v>
      </c>
      <c r="G638">
        <f>HYPERLINK("https://www.google.com/maps/search/?api=1&amp;query=25.22427503,45.25200362", "View Map")</f>
        <v/>
      </c>
    </row>
    <row r="639">
      <c r="A639" t="inlineStr">
        <is>
          <t xml:space="preserve">   مسجد الخريف .</t>
        </is>
      </c>
      <c r="B639" t="inlineStr">
        <is>
          <t>KFM2020760210474</t>
        </is>
      </c>
      <c r="C639" t="inlineStr">
        <is>
          <t>حريملاء</t>
        </is>
      </c>
      <c r="D639" t="inlineStr">
        <is>
          <t>صباحا</t>
        </is>
      </c>
      <c r="E639" t="n">
        <v>544</v>
      </c>
      <c r="F639" t="b">
        <v>0</v>
      </c>
      <c r="G639">
        <f>HYPERLINK("https://www.google.com/maps/search/?api=1&amp;query=25.11768897,46.09575523", "View Map")</f>
        <v/>
      </c>
    </row>
    <row r="640">
      <c r="A640" t="inlineStr">
        <is>
          <t xml:space="preserve">   مسجد موسى بن نصير 56 .</t>
        </is>
      </c>
      <c r="B640" t="inlineStr">
        <is>
          <t>MMF2020800218181</t>
        </is>
      </c>
      <c r="C640" t="inlineStr">
        <is>
          <t>المجمعة</t>
        </is>
      </c>
      <c r="D640" t="inlineStr">
        <is>
          <t>مساءا</t>
        </is>
      </c>
      <c r="E640" t="n">
        <v>544</v>
      </c>
      <c r="F640" t="b">
        <v>0</v>
      </c>
      <c r="G640">
        <f>HYPERLINK("https://www.google.com/maps/search/?api=1&amp;query=25.90238454,45.35256886", "View Map")</f>
        <v/>
      </c>
    </row>
    <row r="641">
      <c r="A641" t="inlineStr">
        <is>
          <t xml:space="preserve">     مسجد      عثمان    -3 .</t>
        </is>
      </c>
      <c r="B641" t="inlineStr">
        <is>
          <t>SMR2020850093220</t>
        </is>
      </c>
      <c r="C641" t="inlineStr">
        <is>
          <t>حريملاء</t>
        </is>
      </c>
      <c r="D641" t="inlineStr">
        <is>
          <t>صباحا</t>
        </is>
      </c>
      <c r="E641" t="n">
        <v>543</v>
      </c>
      <c r="F641" t="b">
        <v>0</v>
      </c>
      <c r="G641">
        <f>HYPERLINK("https://www.google.com/maps/search/?api=1&amp;query=25.11349192,46.11195186", "View Map")</f>
        <v/>
      </c>
    </row>
    <row r="642">
      <c r="A642" t="inlineStr">
        <is>
          <t xml:space="preserve">   مسجد بن بطاح والبراريق .</t>
        </is>
      </c>
      <c r="B642" t="inlineStr">
        <is>
          <t>KFM2020660200544</t>
        </is>
      </c>
      <c r="C642" t="inlineStr">
        <is>
          <t>شقراء</t>
        </is>
      </c>
      <c r="D642" t="inlineStr">
        <is>
          <t>مساءا</t>
        </is>
      </c>
      <c r="E642" t="n">
        <v>539</v>
      </c>
      <c r="F642" t="b">
        <v>0</v>
      </c>
      <c r="G642">
        <f>HYPERLINK("https://www.google.com/maps/search/?api=1&amp;query=25.57061311,45.27738102", "View Map")</f>
        <v/>
      </c>
    </row>
    <row r="643">
      <c r="A643" t="inlineStr">
        <is>
          <t xml:space="preserve">   مسجد      حلاص       ( 536 ) .</t>
        </is>
      </c>
      <c r="B643" t="inlineStr">
        <is>
          <t>KFM2020760178280</t>
        </is>
      </c>
      <c r="C643" t="inlineStr">
        <is>
          <t>حريملاء</t>
        </is>
      </c>
      <c r="D643" t="inlineStr">
        <is>
          <t>صباحا</t>
        </is>
      </c>
      <c r="E643" t="n">
        <v>536</v>
      </c>
      <c r="F643" t="b">
        <v>0</v>
      </c>
      <c r="G643">
        <f>HYPERLINK("https://www.google.com/maps/search/?api=1&amp;query=25.17378225,46.34209125", "View Map")</f>
        <v/>
      </c>
    </row>
    <row r="644">
      <c r="A644" t="inlineStr">
        <is>
          <t xml:space="preserve">   ادارة اوقاف المجمعه / مسجد بخت .</t>
        </is>
      </c>
      <c r="B644" t="inlineStr">
        <is>
          <t>AES2120896552390</t>
        </is>
      </c>
      <c r="C644" t="inlineStr">
        <is>
          <t>المجمعة</t>
        </is>
      </c>
      <c r="D644" t="inlineStr">
        <is>
          <t>مساءا</t>
        </is>
      </c>
      <c r="E644" t="n">
        <v>536</v>
      </c>
      <c r="F644" t="b">
        <v>0</v>
      </c>
      <c r="G644">
        <f>HYPERLINK("https://www.google.com/maps/search/?api=1&amp;query=26.14862128,46.15637355", "View Map")</f>
        <v/>
      </c>
    </row>
    <row r="645">
      <c r="A645" t="inlineStr">
        <is>
          <t xml:space="preserve">   مسجد اليحيا باشيقر .</t>
        </is>
      </c>
      <c r="B645" t="inlineStr">
        <is>
          <t>SMR2420761040499</t>
        </is>
      </c>
      <c r="C645" t="inlineStr">
        <is>
          <t>شقراء</t>
        </is>
      </c>
      <c r="D645" t="inlineStr">
        <is>
          <t>مساءا</t>
        </is>
      </c>
      <c r="E645" t="n">
        <v>535</v>
      </c>
      <c r="F645" t="b">
        <v>1</v>
      </c>
      <c r="G645">
        <f>HYPERLINK("https://www.google.com/maps/search/?api=1&amp;query=25.33810752,45.18014738", "View Map")</f>
        <v/>
      </c>
    </row>
    <row r="646">
      <c r="A646" t="inlineStr">
        <is>
          <t>ﻓﺭﻉ ﺍﻻﻭﻗﺎﻑ ﺒﺤﻭﻁﻩ ﺴﺩﻴﺭ .</t>
        </is>
      </c>
      <c r="B646" t="inlineStr">
        <is>
          <t>AEC2020830317877</t>
        </is>
      </c>
      <c r="C646" t="inlineStr">
        <is>
          <t>المجمعة</t>
        </is>
      </c>
      <c r="D646" t="inlineStr">
        <is>
          <t>صباحا</t>
        </is>
      </c>
      <c r="E646" t="n">
        <v>530</v>
      </c>
      <c r="F646" t="b">
        <v>0</v>
      </c>
      <c r="G646">
        <f>HYPERLINK("https://www.google.com/maps/search/?api=1&amp;query=25.57107599,45.69614921", "View Map")</f>
        <v/>
      </c>
    </row>
    <row r="647">
      <c r="A647" t="inlineStr">
        <is>
          <t xml:space="preserve">   مسجد      رماح      المخطط 321 .</t>
        </is>
      </c>
      <c r="B647" t="inlineStr">
        <is>
          <t>KFM2120660244162</t>
        </is>
      </c>
      <c r="C647" t="inlineStr">
        <is>
          <t>المجمعة</t>
        </is>
      </c>
      <c r="D647" t="inlineStr">
        <is>
          <t>مساءا</t>
        </is>
      </c>
      <c r="E647" t="n">
        <v>529</v>
      </c>
      <c r="F647" t="b">
        <v>0</v>
      </c>
      <c r="G647">
        <f>HYPERLINK("https://www.google.com/maps/search/?api=1&amp;query=26.88108936,45.31515068", "View Map")</f>
        <v/>
      </c>
    </row>
    <row r="648">
      <c r="A648" t="inlineStr">
        <is>
          <t>ﺍﻭﻗﺎﻑ ﻭﻤﺴﺎﺠﺩ ( ) .</t>
        </is>
      </c>
      <c r="B648" t="inlineStr">
        <is>
          <t>KFM2020766158917</t>
        </is>
      </c>
      <c r="C648" t="inlineStr">
        <is>
          <t>الزلفي</t>
        </is>
      </c>
      <c r="D648" t="inlineStr">
        <is>
          <t>مساءا</t>
        </is>
      </c>
      <c r="E648" t="n">
        <v>529</v>
      </c>
      <c r="F648" t="b">
        <v>0</v>
      </c>
      <c r="G648">
        <f>HYPERLINK("https://www.google.com/maps/search/?api=1&amp;query=26.31179001,44.89703433", "View Map")</f>
        <v/>
      </c>
    </row>
    <row r="649">
      <c r="A649" t="inlineStr">
        <is>
          <t xml:space="preserve"> ادارةوالأوقاف والدعوه والا رشاد/مسجد .</t>
        </is>
      </c>
      <c r="B649" t="inlineStr">
        <is>
          <t>KFM2020760161225</t>
        </is>
      </c>
      <c r="C649" t="inlineStr">
        <is>
          <t>ثادق</t>
        </is>
      </c>
      <c r="D649" t="inlineStr">
        <is>
          <t>صباحا</t>
        </is>
      </c>
      <c r="E649" t="n">
        <v>528</v>
      </c>
      <c r="F649" t="b">
        <v>0</v>
      </c>
      <c r="G649">
        <f>HYPERLINK("https://www.google.com/maps/search/?api=1&amp;query=25.26298077,45.86327216", "View Map")</f>
        <v/>
      </c>
    </row>
    <row r="650">
      <c r="A650" t="inlineStr">
        <is>
          <t xml:space="preserve">   مسجد الملحم .</t>
        </is>
      </c>
      <c r="B650" t="inlineStr">
        <is>
          <t>AES2120896573939</t>
        </is>
      </c>
      <c r="C650" t="inlineStr">
        <is>
          <t>الزلفي</t>
        </is>
      </c>
      <c r="D650" t="inlineStr">
        <is>
          <t>مساءا</t>
        </is>
      </c>
      <c r="E650" t="n">
        <v>526</v>
      </c>
      <c r="F650" t="b">
        <v>0</v>
      </c>
      <c r="G650">
        <f>HYPERLINK("https://www.google.com/maps/search/?api=1&amp;query=26.29659403,44.79570437", "View Map")</f>
        <v/>
      </c>
    </row>
    <row r="651">
      <c r="A651" t="inlineStr">
        <is>
          <t xml:space="preserve">   ادارةالا وقاف والمساجدمسجدرقم4 .</t>
        </is>
      </c>
      <c r="B651" t="inlineStr">
        <is>
          <t>AEC2020830324881</t>
        </is>
      </c>
      <c r="C651" t="inlineStr">
        <is>
          <t>حريملاء</t>
        </is>
      </c>
      <c r="D651" t="inlineStr">
        <is>
          <t>مساءا</t>
        </is>
      </c>
      <c r="E651" t="n">
        <v>523</v>
      </c>
      <c r="F651" t="b">
        <v>0</v>
      </c>
      <c r="G651">
        <f>HYPERLINK("https://www.google.com/maps/search/?api=1&amp;query=25.17553451,46.34057276", "View Map")</f>
        <v/>
      </c>
    </row>
    <row r="652">
      <c r="A652" t="inlineStr">
        <is>
          <t>مسجد العليان .</t>
        </is>
      </c>
      <c r="B652" t="inlineStr">
        <is>
          <t>KFM2020760004849</t>
        </is>
      </c>
      <c r="C652" t="inlineStr">
        <is>
          <t>المجمعة</t>
        </is>
      </c>
      <c r="D652" t="inlineStr">
        <is>
          <t>مساءا</t>
        </is>
      </c>
      <c r="E652" t="n">
        <v>523</v>
      </c>
      <c r="F652" t="b">
        <v>0</v>
      </c>
      <c r="G652">
        <f>HYPERLINK("https://www.google.com/maps/search/?api=1&amp;query=25.90238454,45.35256886", "View Map")</f>
        <v/>
      </c>
    </row>
    <row r="653">
      <c r="A653" t="inlineStr">
        <is>
          <t xml:space="preserve">    مسجد عبيد بن مسلم .</t>
        </is>
      </c>
      <c r="B653" t="inlineStr">
        <is>
          <t>AES2320896626018</t>
        </is>
      </c>
      <c r="C653" t="inlineStr">
        <is>
          <t>الزلفي</t>
        </is>
      </c>
      <c r="D653" t="inlineStr">
        <is>
          <t>مساءا</t>
        </is>
      </c>
      <c r="E653" t="n">
        <v>523</v>
      </c>
      <c r="F653" t="b">
        <v>0</v>
      </c>
      <c r="G653">
        <f>HYPERLINK("https://www.google.com/maps/search/?api=1&amp;query=26.35023611,44.77855438", "View Map")</f>
        <v/>
      </c>
    </row>
    <row r="654">
      <c r="A654" t="inlineStr">
        <is>
          <t xml:space="preserve">   مسجد      رقم  9    مخطط913 .</t>
        </is>
      </c>
      <c r="B654" t="inlineStr">
        <is>
          <t>LYE2020810122949</t>
        </is>
      </c>
      <c r="C654" t="inlineStr">
        <is>
          <t>المجمعة</t>
        </is>
      </c>
      <c r="D654" t="inlineStr">
        <is>
          <t>صباحا</t>
        </is>
      </c>
      <c r="E654" t="n">
        <v>522</v>
      </c>
      <c r="F654" t="b">
        <v>1</v>
      </c>
      <c r="G654">
        <f>HYPERLINK("https://www.google.com/maps/search/?api=1&amp;query=25.90609461,45.39241928", "View Map")</f>
        <v/>
      </c>
    </row>
    <row r="655">
      <c r="A655" t="inlineStr">
        <is>
          <t>مسجد إبراهيم عبدالله العسكر .</t>
        </is>
      </c>
      <c r="B655" t="inlineStr">
        <is>
          <t>KFM2020760005531</t>
        </is>
      </c>
      <c r="C655" t="inlineStr">
        <is>
          <t>المجمعة</t>
        </is>
      </c>
      <c r="D655" t="inlineStr">
        <is>
          <t>مساءا</t>
        </is>
      </c>
      <c r="E655" t="n">
        <v>519</v>
      </c>
      <c r="F655" t="b">
        <v>0</v>
      </c>
      <c r="G655">
        <f>HYPERLINK("https://www.google.com/maps/search/?api=1&amp;query=25.90695215,45.35756564", "View Map")</f>
        <v/>
      </c>
    </row>
    <row r="656">
      <c r="A656" t="inlineStr">
        <is>
          <t xml:space="preserve">      مسجد الحزم الجديد .</t>
        </is>
      </c>
      <c r="B656" t="inlineStr">
        <is>
          <t>AES2120896576115</t>
        </is>
      </c>
      <c r="C656" t="inlineStr">
        <is>
          <t>ثادق</t>
        </is>
      </c>
      <c r="D656" t="inlineStr">
        <is>
          <t>مساءا</t>
        </is>
      </c>
      <c r="E656" t="n">
        <v>514</v>
      </c>
      <c r="F656" t="b">
        <v>0</v>
      </c>
      <c r="G656">
        <f>HYPERLINK("https://www.google.com/maps/search/?api=1&amp;query=25.17233511,45.80092816", "View Map")</f>
        <v/>
      </c>
    </row>
    <row r="657">
      <c r="A657" t="inlineStr">
        <is>
          <t xml:space="preserve">   مسجد فراج مبارك السبيعى .</t>
        </is>
      </c>
      <c r="B657" t="inlineStr">
        <is>
          <t>KFM2020660199667</t>
        </is>
      </c>
      <c r="C657" t="inlineStr">
        <is>
          <t>رماح</t>
        </is>
      </c>
      <c r="D657" t="inlineStr">
        <is>
          <t>صباحا</t>
        </is>
      </c>
      <c r="E657" t="n">
        <v>510</v>
      </c>
      <c r="F657" t="b">
        <v>0</v>
      </c>
      <c r="G657">
        <f>HYPERLINK("https://www.google.com/maps/search/?api=1&amp;query=25.56021613,47.16687943", "View Map")</f>
        <v/>
      </c>
    </row>
    <row r="658">
      <c r="A658" t="inlineStr">
        <is>
          <t xml:space="preserve">   مسجدالشيخ/محمد المسعر بمشرفة .</t>
        </is>
      </c>
      <c r="B658" t="inlineStr">
        <is>
          <t>AES2120896592775</t>
        </is>
      </c>
      <c r="C658" t="inlineStr">
        <is>
          <t>المجمعة</t>
        </is>
      </c>
      <c r="D658" t="inlineStr">
        <is>
          <t>مساءا</t>
        </is>
      </c>
      <c r="E658" t="n">
        <v>509</v>
      </c>
      <c r="F658" t="b">
        <v>0</v>
      </c>
      <c r="G658">
        <f>HYPERLINK("https://www.google.com/maps/search/?api=1&amp;query=26.40770331,45.1166275", "View Map")</f>
        <v/>
      </c>
    </row>
    <row r="659">
      <c r="A659" t="inlineStr">
        <is>
          <t xml:space="preserve">   مسجد      عبدالعزيز الزنيدي .</t>
        </is>
      </c>
      <c r="B659" t="inlineStr">
        <is>
          <t>KFM2020766158213</t>
        </is>
      </c>
      <c r="C659" t="inlineStr">
        <is>
          <t>الزلفي</t>
        </is>
      </c>
      <c r="D659" t="inlineStr">
        <is>
          <t>صباحا</t>
        </is>
      </c>
      <c r="E659" t="n">
        <v>505</v>
      </c>
      <c r="F659" t="b">
        <v>0</v>
      </c>
      <c r="G659">
        <f>HYPERLINK("https://www.google.com/maps/search/?api=1&amp;query=26.2922241,44.81111368", "View Map")</f>
        <v/>
      </c>
    </row>
    <row r="660">
      <c r="A660" t="inlineStr">
        <is>
          <t xml:space="preserve">    مسجد شايع العلي .</t>
        </is>
      </c>
      <c r="B660" t="inlineStr">
        <is>
          <t>AES2020896423701</t>
        </is>
      </c>
      <c r="C660" t="inlineStr">
        <is>
          <t>الزلفي</t>
        </is>
      </c>
      <c r="D660" t="inlineStr">
        <is>
          <t>مساءا</t>
        </is>
      </c>
      <c r="E660" t="n">
        <v>503</v>
      </c>
      <c r="F660" t="b">
        <v>0</v>
      </c>
      <c r="G660">
        <f>HYPERLINK("https://www.google.com/maps/search/?api=1&amp;query=26.28669584,44.83065782", "View Map")</f>
        <v/>
      </c>
    </row>
    <row r="661">
      <c r="A661" t="inlineStr">
        <is>
          <t xml:space="preserve">   مسجد      صالح      البراهيم .</t>
        </is>
      </c>
      <c r="B661" t="inlineStr">
        <is>
          <t>KFM2020760210600</t>
        </is>
      </c>
      <c r="C661" t="inlineStr">
        <is>
          <t>حريملاء</t>
        </is>
      </c>
      <c r="D661" t="inlineStr">
        <is>
          <t>مساءا</t>
        </is>
      </c>
      <c r="E661" t="n">
        <v>503</v>
      </c>
      <c r="F661" t="b">
        <v>0</v>
      </c>
      <c r="G661">
        <f>HYPERLINK("https://www.google.com/maps/search/?api=1&amp;query=25.09623856,46.09705779", "View Map")</f>
        <v/>
      </c>
    </row>
    <row r="662">
      <c r="A662" t="inlineStr">
        <is>
          <t>ﺍﻭﻗﺎﻑ ﻭﻤﺴﺎﺠﺩ ( ) .</t>
        </is>
      </c>
      <c r="B662" t="inlineStr">
        <is>
          <t>AEC2020830148644</t>
        </is>
      </c>
      <c r="C662" t="inlineStr">
        <is>
          <t>الزلفي</t>
        </is>
      </c>
      <c r="D662" t="inlineStr">
        <is>
          <t>صباحا</t>
        </is>
      </c>
      <c r="E662" t="n">
        <v>503</v>
      </c>
      <c r="F662" t="b">
        <v>0</v>
      </c>
      <c r="G662">
        <f>HYPERLINK("https://www.google.com/maps/search/?api=1&amp;query=26.33304547,44.7939212", "View Map")</f>
        <v/>
      </c>
    </row>
    <row r="663">
      <c r="A663" t="inlineStr">
        <is>
          <t>ﺃﻭﻗﺎﻑ ﻭﻤﺴﺎﺠﺩ ﺍﻟﻗﻭﻴﻌﻴﻩ .</t>
        </is>
      </c>
      <c r="B663" t="inlineStr">
        <is>
          <t>AEC2020830323762</t>
        </is>
      </c>
      <c r="C663" t="inlineStr">
        <is>
          <t>مرات</t>
        </is>
      </c>
      <c r="D663" t="inlineStr">
        <is>
          <t>مساءا</t>
        </is>
      </c>
      <c r="E663" t="n">
        <v>502</v>
      </c>
      <c r="F663" t="b">
        <v>0</v>
      </c>
      <c r="G663">
        <f>HYPERLINK("https://www.google.com/maps/search/?api=1&amp;query=24.67030473,45.20677344", "View Map")</f>
        <v/>
      </c>
    </row>
    <row r="664">
      <c r="A664" t="inlineStr">
        <is>
          <t>ﻓﺭﻉ ﺍﻻﻭﻗﺎﻑ ﺒﺤﻭﻁﻩ ﺴﺩﻴﺭ .</t>
        </is>
      </c>
      <c r="B664" t="inlineStr">
        <is>
          <t>AES2120896566523</t>
        </is>
      </c>
      <c r="C664" t="inlineStr">
        <is>
          <t>المجمعة</t>
        </is>
      </c>
      <c r="D664" t="inlineStr">
        <is>
          <t>مساءا</t>
        </is>
      </c>
      <c r="E664" t="n">
        <v>495</v>
      </c>
      <c r="F664" t="b">
        <v>0</v>
      </c>
      <c r="G664">
        <f>HYPERLINK("https://www.google.com/maps/search/?api=1&amp;query=25.70290708,45.45487016", "View Map")</f>
        <v/>
      </c>
    </row>
    <row r="665">
      <c r="A665" t="inlineStr">
        <is>
          <t>ﻓﺭﻉ ﺍﻻﻭﻗﺎﻑ ﺒﺤﻭﻁﻩ ﺴﺩﻴﺭ .</t>
        </is>
      </c>
      <c r="B665" t="inlineStr">
        <is>
          <t>SMR2420761037997</t>
        </is>
      </c>
      <c r="C665" t="inlineStr">
        <is>
          <t>المجمعة</t>
        </is>
      </c>
      <c r="D665" t="inlineStr">
        <is>
          <t>مساءا</t>
        </is>
      </c>
      <c r="E665" t="n">
        <v>494</v>
      </c>
      <c r="F665" t="b">
        <v>0</v>
      </c>
      <c r="G665">
        <f>HYPERLINK("https://www.google.com/maps/search/?api=1&amp;query=25.70290708,45.45487016", "View Map")</f>
        <v/>
      </c>
    </row>
    <row r="666">
      <c r="A666" t="inlineStr">
        <is>
          <t xml:space="preserve">    مسجد الحزم بالمشاش .</t>
        </is>
      </c>
      <c r="B666" t="inlineStr">
        <is>
          <t>AES2020896525314</t>
        </is>
      </c>
      <c r="C666" t="inlineStr">
        <is>
          <t>ثادق</t>
        </is>
      </c>
      <c r="D666" t="inlineStr">
        <is>
          <t>مساءا</t>
        </is>
      </c>
      <c r="E666" t="n">
        <v>493</v>
      </c>
      <c r="F666" t="b">
        <v>0</v>
      </c>
      <c r="G666">
        <f>HYPERLINK("https://www.google.com/maps/search/?api=1&amp;query=25.2922735,45.78647235", "View Map")</f>
        <v/>
      </c>
    </row>
    <row r="667">
      <c r="A667" t="inlineStr">
        <is>
          <t xml:space="preserve">   مسجد      قصر       بحريملاء .</t>
        </is>
      </c>
      <c r="B667" t="inlineStr">
        <is>
          <t>KFM2020760207756</t>
        </is>
      </c>
      <c r="C667" t="inlineStr">
        <is>
          <t>حريملاء</t>
        </is>
      </c>
      <c r="D667" t="inlineStr">
        <is>
          <t>مساءا</t>
        </is>
      </c>
      <c r="E667" t="n">
        <v>492</v>
      </c>
      <c r="F667" t="b">
        <v>0</v>
      </c>
      <c r="G667">
        <f>HYPERLINK("https://www.google.com/maps/search/?api=1&amp;query=25.11650145,46.11426053", "View Map")</f>
        <v/>
      </c>
    </row>
    <row r="668">
      <c r="A668" t="inlineStr">
        <is>
          <t xml:space="preserve">  مسجد رقم(3)مخطط رقم(400) بالمشاش .</t>
        </is>
      </c>
      <c r="B668" t="inlineStr">
        <is>
          <t>AEC2020830545255</t>
        </is>
      </c>
      <c r="C668" t="inlineStr">
        <is>
          <t>شقراء</t>
        </is>
      </c>
      <c r="D668" t="inlineStr">
        <is>
          <t>مساءا</t>
        </is>
      </c>
      <c r="E668" t="n">
        <v>491</v>
      </c>
      <c r="F668" t="b">
        <v>0</v>
      </c>
      <c r="G668">
        <f>HYPERLINK("https://www.google.com/maps/search/?api=1&amp;query=25.27243172,45.44254527", "View Map")</f>
        <v/>
      </c>
    </row>
    <row r="669">
      <c r="A669" t="inlineStr">
        <is>
          <t>جامع ابوبكر الصديق بثرمداء .</t>
        </is>
      </c>
      <c r="B669" t="inlineStr">
        <is>
          <t>KFM2120660251108</t>
        </is>
      </c>
      <c r="C669" t="inlineStr">
        <is>
          <t>مرات</t>
        </is>
      </c>
      <c r="D669" t="inlineStr">
        <is>
          <t>مساءا</t>
        </is>
      </c>
      <c r="E669" t="n">
        <v>489</v>
      </c>
      <c r="F669" t="b">
        <v>0</v>
      </c>
      <c r="G669">
        <f>HYPERLINK("https://www.google.com/maps/search/?api=1&amp;query=25.11995825,45.49277008", "View Map")</f>
        <v/>
      </c>
    </row>
    <row r="670">
      <c r="A670" t="inlineStr">
        <is>
          <t xml:space="preserve">   اوقاف المزاحميه /مسجدهجرةدلقان .</t>
        </is>
      </c>
      <c r="B670" t="inlineStr">
        <is>
          <t>AES2020896535516</t>
        </is>
      </c>
      <c r="C670" t="inlineStr">
        <is>
          <t>مرات</t>
        </is>
      </c>
      <c r="D670" t="inlineStr">
        <is>
          <t>مساءا</t>
        </is>
      </c>
      <c r="E670" t="n">
        <v>485</v>
      </c>
      <c r="F670" t="b">
        <v>0</v>
      </c>
      <c r="G670">
        <f>HYPERLINK("https://www.google.com/maps/search/?api=1&amp;query=24.4506932,45.43582587", "View Map")</f>
        <v/>
      </c>
    </row>
    <row r="671">
      <c r="A671" t="inlineStr">
        <is>
          <t xml:space="preserve">   ادارةالأوقاف والمساجدوالدعوه .</t>
        </is>
      </c>
      <c r="B671" t="inlineStr">
        <is>
          <t>KFM2120660272174</t>
        </is>
      </c>
      <c r="C671" t="inlineStr">
        <is>
          <t>ثادق</t>
        </is>
      </c>
      <c r="D671" t="inlineStr">
        <is>
          <t>صباحا</t>
        </is>
      </c>
      <c r="E671" t="n">
        <v>484</v>
      </c>
      <c r="F671" t="b">
        <v>0</v>
      </c>
      <c r="G671">
        <f>HYPERLINK("https://www.google.com/maps/search/?api=1&amp;query=25.27932406,45.86395241", "View Map")</f>
        <v/>
      </c>
    </row>
    <row r="672">
      <c r="A672" t="inlineStr">
        <is>
          <t xml:space="preserve">      اوقاف الوشم مسجد طلحه .</t>
        </is>
      </c>
      <c r="B672" t="inlineStr">
        <is>
          <t>AEC2020830309467</t>
        </is>
      </c>
      <c r="C672" t="inlineStr">
        <is>
          <t>مرات</t>
        </is>
      </c>
      <c r="D672" t="inlineStr">
        <is>
          <t>مساءا</t>
        </is>
      </c>
      <c r="E672" t="n">
        <v>483</v>
      </c>
      <c r="F672" t="b">
        <v>0</v>
      </c>
      <c r="G672">
        <f>HYPERLINK("https://www.google.com/maps/search/?api=1&amp;query=24.64968595,45.3254829", "View Map")</f>
        <v/>
      </c>
    </row>
    <row r="673">
      <c r="A673" t="inlineStr">
        <is>
          <t xml:space="preserve">   مسجد      استراحة   الاوقاف .</t>
        </is>
      </c>
      <c r="B673" t="inlineStr">
        <is>
          <t>AEC2020830313673</t>
        </is>
      </c>
      <c r="C673" t="inlineStr">
        <is>
          <t>حريملاء</t>
        </is>
      </c>
      <c r="D673" t="inlineStr">
        <is>
          <t>مساءا</t>
        </is>
      </c>
      <c r="E673" t="n">
        <v>480</v>
      </c>
      <c r="F673" t="b">
        <v>0</v>
      </c>
      <c r="G673">
        <f>HYPERLINK("https://www.google.com/maps/search/?api=1&amp;query=25.06387779,46.37814091", "View Map")</f>
        <v/>
      </c>
    </row>
    <row r="674">
      <c r="A674" t="inlineStr">
        <is>
          <t xml:space="preserve">   مسجد حى المطلق .</t>
        </is>
      </c>
      <c r="B674" t="inlineStr">
        <is>
          <t>KFM2020660228114</t>
        </is>
      </c>
      <c r="C674" t="inlineStr">
        <is>
          <t>الزلفي</t>
        </is>
      </c>
      <c r="D674" t="inlineStr">
        <is>
          <t>مساءا</t>
        </is>
      </c>
      <c r="E674" t="n">
        <v>478</v>
      </c>
      <c r="F674" t="b">
        <v>1</v>
      </c>
      <c r="G674">
        <f>HYPERLINK("https://www.google.com/maps/search/?api=1&amp;query=26.30694233,44.79703388", "View Map")</f>
        <v/>
      </c>
    </row>
    <row r="675">
      <c r="A675" t="inlineStr">
        <is>
          <t xml:space="preserve">   مسجد/زيد بن الارقم .</t>
        </is>
      </c>
      <c r="B675" t="inlineStr">
        <is>
          <t>KFM2020660192424</t>
        </is>
      </c>
      <c r="C675" t="inlineStr">
        <is>
          <t>الزلفي</t>
        </is>
      </c>
      <c r="D675" t="inlineStr">
        <is>
          <t>صباحا</t>
        </is>
      </c>
      <c r="E675" t="n">
        <v>477</v>
      </c>
      <c r="F675" t="b">
        <v>1</v>
      </c>
      <c r="G675">
        <f>HYPERLINK("https://www.google.com/maps/search/?api=1&amp;query=26.30767514,44.81058047", "View Map")</f>
        <v/>
      </c>
    </row>
    <row r="676">
      <c r="A676" t="inlineStr">
        <is>
          <t xml:space="preserve">    مسجد عبدالله حزام .</t>
        </is>
      </c>
      <c r="B676" t="inlineStr">
        <is>
          <t>KFM2020766158252</t>
        </is>
      </c>
      <c r="C676" t="inlineStr">
        <is>
          <t>الزلفي</t>
        </is>
      </c>
      <c r="D676" t="inlineStr">
        <is>
          <t>صباحا</t>
        </is>
      </c>
      <c r="E676" t="n">
        <v>476</v>
      </c>
      <c r="F676" t="b">
        <v>1</v>
      </c>
      <c r="G676">
        <f>HYPERLINK("https://www.google.com/maps/search/?api=1&amp;query=26.31086632,44.79312545", "View Map")</f>
        <v/>
      </c>
    </row>
    <row r="677">
      <c r="A677" t="inlineStr">
        <is>
          <t xml:space="preserve">   اوقاف الزلفي مسجدالحارث بن انس .</t>
        </is>
      </c>
      <c r="B677" t="inlineStr">
        <is>
          <t>AES2120896564291</t>
        </is>
      </c>
      <c r="C677" t="inlineStr">
        <is>
          <t>الزلفي</t>
        </is>
      </c>
      <c r="D677" t="inlineStr">
        <is>
          <t>مساءا</t>
        </is>
      </c>
      <c r="E677" t="n">
        <v>475</v>
      </c>
      <c r="F677" t="b">
        <v>0</v>
      </c>
      <c r="G677">
        <f>HYPERLINK("https://www.google.com/maps/search/?api=1&amp;query=26.26931636,44.81229303", "View Map")</f>
        <v/>
      </c>
    </row>
    <row r="678">
      <c r="A678" t="inlineStr">
        <is>
          <t xml:space="preserve">   مسجد       الدريويش 1 .</t>
        </is>
      </c>
      <c r="B678" t="inlineStr">
        <is>
          <t>KFM2120660262675</t>
        </is>
      </c>
      <c r="C678" t="inlineStr">
        <is>
          <t>الزلفي</t>
        </is>
      </c>
      <c r="D678" t="inlineStr">
        <is>
          <t>صباحا</t>
        </is>
      </c>
      <c r="E678" t="n">
        <v>475</v>
      </c>
      <c r="F678" t="b">
        <v>0</v>
      </c>
      <c r="G678">
        <f>HYPERLINK("https://www.google.com/maps/search/?api=1&amp;query=26.29563566,44.79226382", "View Map")</f>
        <v/>
      </c>
    </row>
    <row r="679">
      <c r="A679" t="inlineStr">
        <is>
          <t xml:space="preserve">   مسجد النور بمحافظة شقراء .</t>
        </is>
      </c>
      <c r="B679" t="inlineStr">
        <is>
          <t>KFM2020660199976</t>
        </is>
      </c>
      <c r="C679" t="inlineStr">
        <is>
          <t>شقراء</t>
        </is>
      </c>
      <c r="D679" t="inlineStr">
        <is>
          <t>صباحا</t>
        </is>
      </c>
      <c r="E679" t="n">
        <v>475</v>
      </c>
      <c r="F679" t="b">
        <v>1</v>
      </c>
      <c r="G679">
        <f>HYPERLINK("https://www.google.com/maps/search/?api=1&amp;query=25.22967157,45.24610691", "View Map")</f>
        <v/>
      </c>
    </row>
    <row r="680">
      <c r="A680" t="inlineStr">
        <is>
          <t>ﻤﻜﺘﺏ ﺍﻻﻭﻗﺎﻑ ﻭﺍﻟﻤﺴﺎﺠﺩ .</t>
        </is>
      </c>
      <c r="B680" t="inlineStr">
        <is>
          <t>AES2120896552165</t>
        </is>
      </c>
      <c r="C680" t="inlineStr">
        <is>
          <t>المجمعة</t>
        </is>
      </c>
      <c r="D680" t="inlineStr">
        <is>
          <t>مساءا</t>
        </is>
      </c>
      <c r="E680" t="n">
        <v>474</v>
      </c>
      <c r="F680" t="b">
        <v>0</v>
      </c>
      <c r="G680">
        <f>HYPERLINK("https://www.google.com/maps/search/?api=1&amp;query=25.71415765,45.85595895", "View Map")</f>
        <v/>
      </c>
    </row>
    <row r="681">
      <c r="A681" t="inlineStr">
        <is>
          <t xml:space="preserve">   مسجد/ عبد العزيز المهوس .</t>
        </is>
      </c>
      <c r="B681" t="inlineStr">
        <is>
          <t>ECC2020811094147</t>
        </is>
      </c>
      <c r="C681" t="inlineStr">
        <is>
          <t>ثادق</t>
        </is>
      </c>
      <c r="D681" t="inlineStr">
        <is>
          <t>مساءا</t>
        </is>
      </c>
      <c r="E681" t="n">
        <v>472</v>
      </c>
      <c r="F681" t="b">
        <v>1</v>
      </c>
      <c r="G681">
        <f>HYPERLINK("https://www.google.com/maps/search/?api=1&amp;query=25.17437411,45.79239171", "View Map")</f>
        <v/>
      </c>
    </row>
    <row r="682">
      <c r="A682" t="inlineStr">
        <is>
          <t xml:space="preserve">   اوقاف الزلفي (مسجدالفرقان) .</t>
        </is>
      </c>
      <c r="B682" t="inlineStr">
        <is>
          <t>KFM2120660280296</t>
        </is>
      </c>
      <c r="C682" t="inlineStr">
        <is>
          <t>الزلفي</t>
        </is>
      </c>
      <c r="D682" t="inlineStr">
        <is>
          <t>مساءا</t>
        </is>
      </c>
      <c r="E682" t="n">
        <v>471</v>
      </c>
      <c r="F682" t="b">
        <v>0</v>
      </c>
      <c r="G682">
        <f>HYPERLINK("https://www.google.com/maps/search/?api=1&amp;query=26.28193317,44.83228956", "View Map")</f>
        <v/>
      </c>
    </row>
    <row r="683">
      <c r="A683" t="inlineStr">
        <is>
          <t xml:space="preserve">   مسجد محطة الخثلان .</t>
        </is>
      </c>
      <c r="B683" t="inlineStr">
        <is>
          <t>KFM2020766160019</t>
        </is>
      </c>
      <c r="C683" t="inlineStr">
        <is>
          <t>شقراء</t>
        </is>
      </c>
      <c r="D683" t="inlineStr">
        <is>
          <t>مساءا</t>
        </is>
      </c>
      <c r="E683" t="n">
        <v>469</v>
      </c>
      <c r="F683" t="b">
        <v>0</v>
      </c>
      <c r="G683">
        <f>HYPERLINK("https://www.google.com/maps/search/?api=1&amp;query=25.22567279,45.25661198", "View Map")</f>
        <v/>
      </c>
    </row>
    <row r="684">
      <c r="A684" t="inlineStr">
        <is>
          <t>اوقاف ومساجد رماح .</t>
        </is>
      </c>
      <c r="B684" t="inlineStr">
        <is>
          <t>KFM2020766125811</t>
        </is>
      </c>
      <c r="C684" t="inlineStr">
        <is>
          <t>رماح</t>
        </is>
      </c>
      <c r="D684" t="inlineStr">
        <is>
          <t>مساءا</t>
        </is>
      </c>
      <c r="E684" t="n">
        <v>468</v>
      </c>
      <c r="F684" t="b">
        <v>0</v>
      </c>
      <c r="G684">
        <f>HYPERLINK("https://www.google.com/maps/search/?api=1&amp;query=25.53672846,47.17014031", "View Map")</f>
        <v/>
      </c>
    </row>
    <row r="685">
      <c r="A685" t="inlineStr">
        <is>
          <t xml:space="preserve">   جامع النور مخطط رقم 428 بشقراء .</t>
        </is>
      </c>
      <c r="B685" t="inlineStr">
        <is>
          <t>KFM2020660200010</t>
        </is>
      </c>
      <c r="C685" t="inlineStr">
        <is>
          <t>شقراء</t>
        </is>
      </c>
      <c r="D685" t="inlineStr">
        <is>
          <t>صباحا</t>
        </is>
      </c>
      <c r="E685" t="n">
        <v>468</v>
      </c>
      <c r="F685" t="b">
        <v>1</v>
      </c>
      <c r="G685">
        <f>HYPERLINK("https://www.google.com/maps/search/?api=1&amp;query=25.22796608,45.25346721", "View Map")</f>
        <v/>
      </c>
    </row>
    <row r="686">
      <c r="A686" t="inlineStr">
        <is>
          <t xml:space="preserve">   مسجد/فيصل ماشع الرخيمي .</t>
        </is>
      </c>
      <c r="B686" t="inlineStr">
        <is>
          <t>ECC2020810998749</t>
        </is>
      </c>
      <c r="C686" t="inlineStr">
        <is>
          <t>المجمعة</t>
        </is>
      </c>
      <c r="D686" t="inlineStr">
        <is>
          <t>مساءا</t>
        </is>
      </c>
      <c r="E686" t="n">
        <v>468</v>
      </c>
      <c r="F686" t="b">
        <v>0</v>
      </c>
      <c r="G686">
        <f>HYPERLINK("https://www.google.com/maps/search/?api=1&amp;query=26.86940434,45.2427869", "View Map")</f>
        <v/>
      </c>
    </row>
    <row r="687">
      <c r="A687" t="inlineStr">
        <is>
          <t xml:space="preserve">   مسجد/عثمان أبن عفان .</t>
        </is>
      </c>
      <c r="B687" t="inlineStr">
        <is>
          <t>AES2120896565870</t>
        </is>
      </c>
      <c r="C687" t="inlineStr">
        <is>
          <t>المجمعة</t>
        </is>
      </c>
      <c r="D687" t="inlineStr">
        <is>
          <t>مساءا</t>
        </is>
      </c>
      <c r="E687" t="n">
        <v>467</v>
      </c>
      <c r="F687" t="b">
        <v>0</v>
      </c>
      <c r="G687">
        <f>HYPERLINK("https://www.google.com/maps/search/?api=1&amp;query=26.88393957,45.32156017", "View Map")</f>
        <v/>
      </c>
    </row>
    <row r="688">
      <c r="A688" t="inlineStr">
        <is>
          <t xml:space="preserve">   مسجد/ الحى الجنوبى بعلقه .</t>
        </is>
      </c>
      <c r="B688" t="inlineStr">
        <is>
          <t>KFM2020660150007</t>
        </is>
      </c>
      <c r="C688" t="inlineStr">
        <is>
          <t>الزلفي</t>
        </is>
      </c>
      <c r="D688" t="inlineStr">
        <is>
          <t>صباحا</t>
        </is>
      </c>
      <c r="E688" t="n">
        <v>467</v>
      </c>
      <c r="F688" t="b">
        <v>1</v>
      </c>
      <c r="G688">
        <f>HYPERLINK("https://www.google.com/maps/search/?api=1&amp;query=26.33659697,44.78049589", "View Map")</f>
        <v/>
      </c>
    </row>
    <row r="689">
      <c r="A689" t="inlineStr">
        <is>
          <t xml:space="preserve">   مسجد الحديقة رقم 1 بمحافظة شقراء .</t>
        </is>
      </c>
      <c r="B689" t="inlineStr">
        <is>
          <t>KFM2020660177512</t>
        </is>
      </c>
      <c r="C689" t="inlineStr">
        <is>
          <t>شقراء</t>
        </is>
      </c>
      <c r="D689" t="inlineStr">
        <is>
          <t>مساءا</t>
        </is>
      </c>
      <c r="E689" t="n">
        <v>465</v>
      </c>
      <c r="F689" t="b">
        <v>0</v>
      </c>
      <c r="G689">
        <f>HYPERLINK("https://www.google.com/maps/search/?api=1&amp;query=25.24520729,45.25404279", "View Map")</f>
        <v/>
      </c>
    </row>
    <row r="690">
      <c r="A690" t="inlineStr">
        <is>
          <t>ﻓﺭﻉ ﺍﻻﻭﻗﺎﻑ ﺒﺤﻭﻁﻩ ﺴﺩﻴﺭ .</t>
        </is>
      </c>
      <c r="B690" t="inlineStr">
        <is>
          <t>KFM2020766067732</t>
        </is>
      </c>
      <c r="C690" t="inlineStr">
        <is>
          <t>المجمعة</t>
        </is>
      </c>
      <c r="D690" t="inlineStr">
        <is>
          <t>مساءا</t>
        </is>
      </c>
      <c r="E690" t="n">
        <v>465</v>
      </c>
      <c r="F690" t="b">
        <v>1</v>
      </c>
      <c r="G690">
        <f>HYPERLINK("https://www.google.com/maps/search/?api=1&amp;query=25.56943359,45.65551821", "View Map")</f>
        <v/>
      </c>
    </row>
    <row r="691">
      <c r="A691" t="inlineStr">
        <is>
          <t xml:space="preserve">   مسجدالاميرسلمان .</t>
        </is>
      </c>
      <c r="B691" t="inlineStr">
        <is>
          <t>KFM2120660289745</t>
        </is>
      </c>
      <c r="C691" t="inlineStr">
        <is>
          <t>الغاط</t>
        </is>
      </c>
      <c r="D691" t="inlineStr">
        <is>
          <t>صباحا</t>
        </is>
      </c>
      <c r="E691" t="n">
        <v>464</v>
      </c>
      <c r="F691" t="b">
        <v>0</v>
      </c>
      <c r="G691">
        <f>HYPERLINK("https://www.google.com/maps/search/?api=1&amp;query=26.0239213,44.95645789", "View Map")</f>
        <v/>
      </c>
    </row>
    <row r="692">
      <c r="A692" t="inlineStr">
        <is>
          <t>مسجد عبدالله الصالح .</t>
        </is>
      </c>
      <c r="B692" t="inlineStr">
        <is>
          <t>KFM2020660193174</t>
        </is>
      </c>
      <c r="C692" t="inlineStr">
        <is>
          <t>المجمعة</t>
        </is>
      </c>
      <c r="D692" t="inlineStr">
        <is>
          <t>مساءا</t>
        </is>
      </c>
      <c r="E692" t="n">
        <v>463</v>
      </c>
      <c r="F692" t="b">
        <v>0</v>
      </c>
      <c r="G692">
        <f>HYPERLINK("https://www.google.com/maps/search/?api=1&amp;query=25.91504696,45.361674", "View Map")</f>
        <v/>
      </c>
    </row>
    <row r="693">
      <c r="A693" t="inlineStr">
        <is>
          <t xml:space="preserve">   مسجدالروضه الجنوبي .</t>
        </is>
      </c>
      <c r="B693" t="inlineStr">
        <is>
          <t>AES2020896447792</t>
        </is>
      </c>
      <c r="C693" t="inlineStr">
        <is>
          <t>المجمعة</t>
        </is>
      </c>
      <c r="D693" t="inlineStr">
        <is>
          <t>مساءا</t>
        </is>
      </c>
      <c r="E693" t="n">
        <v>462</v>
      </c>
      <c r="F693" t="b">
        <v>0</v>
      </c>
      <c r="G693">
        <f>HYPERLINK("https://www.google.com/maps/search/?api=1&amp;query=25.62276427,45.57911103", "View Map")</f>
        <v/>
      </c>
    </row>
    <row r="694">
      <c r="A694" t="inlineStr">
        <is>
          <t xml:space="preserve">   مسجدالاميرمحمدالمحمد .</t>
        </is>
      </c>
      <c r="B694" t="inlineStr">
        <is>
          <t>AES2020896454329</t>
        </is>
      </c>
      <c r="C694" t="inlineStr">
        <is>
          <t>الغاط</t>
        </is>
      </c>
      <c r="D694" t="inlineStr">
        <is>
          <t>مساءا</t>
        </is>
      </c>
      <c r="E694" t="n">
        <v>462</v>
      </c>
      <c r="F694" t="b">
        <v>0</v>
      </c>
      <c r="G694">
        <f>HYPERLINK("https://www.google.com/maps/search/?api=1&amp;query=26.02741745,44.95298872", "View Map")</f>
        <v/>
      </c>
    </row>
    <row r="695">
      <c r="A695" t="inlineStr">
        <is>
          <t xml:space="preserve">   مكتب اوقافحوطة سدير الداخله .</t>
        </is>
      </c>
      <c r="B695" t="inlineStr">
        <is>
          <t>KFM2020766062286</t>
        </is>
      </c>
      <c r="C695" t="inlineStr">
        <is>
          <t>المجمعة</t>
        </is>
      </c>
      <c r="D695" t="inlineStr">
        <is>
          <t>مساءا</t>
        </is>
      </c>
      <c r="E695" t="n">
        <v>461</v>
      </c>
      <c r="F695" t="b">
        <v>1</v>
      </c>
      <c r="G695">
        <f>HYPERLINK("https://www.google.com/maps/search/?api=1&amp;query=25.62337307,45.57722311", "View Map")</f>
        <v/>
      </c>
    </row>
    <row r="696">
      <c r="A696" t="inlineStr">
        <is>
          <t xml:space="preserve">   وزارة     الوقاف    الحفيرة .</t>
        </is>
      </c>
      <c r="B696" t="inlineStr">
        <is>
          <t>KFM2020766154294</t>
        </is>
      </c>
      <c r="C696" t="inlineStr">
        <is>
          <t>رماح</t>
        </is>
      </c>
      <c r="D696" t="inlineStr">
        <is>
          <t>مساءا</t>
        </is>
      </c>
      <c r="E696" t="n">
        <v>460</v>
      </c>
      <c r="F696" t="b">
        <v>0</v>
      </c>
      <c r="G696">
        <f>HYPERLINK("https://www.google.com/maps/search/?api=1&amp;query=25.92163699,46.52327456", "View Map")</f>
        <v/>
      </c>
    </row>
    <row r="697">
      <c r="A697" t="inlineStr">
        <is>
          <t xml:space="preserve">   مسجد علي بن أبي طالب بأثيثية .</t>
        </is>
      </c>
      <c r="B697" t="inlineStr">
        <is>
          <t>KFM2020766161830</t>
        </is>
      </c>
      <c r="C697" t="inlineStr">
        <is>
          <t>مرات</t>
        </is>
      </c>
      <c r="D697" t="inlineStr">
        <is>
          <t>مساءا</t>
        </is>
      </c>
      <c r="E697" t="n">
        <v>460</v>
      </c>
      <c r="F697" t="b">
        <v>0</v>
      </c>
      <c r="G697">
        <f>HYPERLINK("https://www.google.com/maps/search/?api=1&amp;query=25.16647321,45.39416201", "View Map")</f>
        <v/>
      </c>
    </row>
    <row r="698">
      <c r="A698" t="inlineStr">
        <is>
          <t xml:space="preserve">   مسجد      محمد      العسكر .</t>
        </is>
      </c>
      <c r="B698" t="inlineStr">
        <is>
          <t>AEC2020830325977</t>
        </is>
      </c>
      <c r="C698" t="inlineStr">
        <is>
          <t>حريملاء</t>
        </is>
      </c>
      <c r="D698" t="inlineStr">
        <is>
          <t>مساءا</t>
        </is>
      </c>
      <c r="E698" t="n">
        <v>460</v>
      </c>
      <c r="F698" t="b">
        <v>0</v>
      </c>
      <c r="G698">
        <f>HYPERLINK("https://www.google.com/maps/search/?api=1&amp;query=25.12677411,46.0945121", "View Map")</f>
        <v/>
      </c>
    </row>
    <row r="699">
      <c r="A699" t="inlineStr">
        <is>
          <t xml:space="preserve">   مكتب      الاوقاف    حى الداخله .</t>
        </is>
      </c>
      <c r="B699" t="inlineStr">
        <is>
          <t>SMR2020856119299</t>
        </is>
      </c>
      <c r="C699" t="inlineStr">
        <is>
          <t>المجمعة</t>
        </is>
      </c>
      <c r="D699" t="inlineStr">
        <is>
          <t>صباحا</t>
        </is>
      </c>
      <c r="E699" t="n">
        <v>460</v>
      </c>
      <c r="F699" t="b">
        <v>0</v>
      </c>
      <c r="G699">
        <f>HYPERLINK("https://www.google.com/maps/search/?api=1&amp;query=25.62832701,45.56497666", "View Map")</f>
        <v/>
      </c>
    </row>
    <row r="700">
      <c r="A700" t="inlineStr">
        <is>
          <t>ﺃﻭﻗﺎﻑ ﻭﻤﺴﺎﺠﺩ ﺍﻟﻭﺸﻡ .</t>
        </is>
      </c>
      <c r="B700" t="inlineStr">
        <is>
          <t>AEC2020830265632</t>
        </is>
      </c>
      <c r="C700" t="inlineStr">
        <is>
          <t>شقراء</t>
        </is>
      </c>
      <c r="D700" t="inlineStr">
        <is>
          <t>صباحا</t>
        </is>
      </c>
      <c r="E700" t="n">
        <v>459</v>
      </c>
      <c r="F700" t="b">
        <v>0</v>
      </c>
      <c r="G700">
        <f>HYPERLINK("https://www.google.com/maps/search/?api=1&amp;query=25.34249775,45.16838311", "View Map")</f>
        <v/>
      </c>
    </row>
    <row r="701">
      <c r="A701" t="inlineStr">
        <is>
          <t xml:space="preserve">   مسجدسعيدالهميجان بالسيح .</t>
        </is>
      </c>
      <c r="B701" t="inlineStr">
        <is>
          <t>AES2120896591276</t>
        </is>
      </c>
      <c r="C701" t="inlineStr">
        <is>
          <t>الزلفي</t>
        </is>
      </c>
      <c r="D701" t="inlineStr">
        <is>
          <t>مساءا</t>
        </is>
      </c>
      <c r="E701" t="n">
        <v>458</v>
      </c>
      <c r="F701" t="b">
        <v>0</v>
      </c>
      <c r="G701">
        <f>HYPERLINK("https://www.google.com/maps/search/?api=1&amp;query=26.33087903,44.80602208", "View Map")</f>
        <v/>
      </c>
    </row>
    <row r="702">
      <c r="A702" t="inlineStr">
        <is>
          <t xml:space="preserve">   مسجد الشيخ محمد عبدالوهاب بالقصب .</t>
        </is>
      </c>
      <c r="B702" t="inlineStr">
        <is>
          <t>KFM2020766132841</t>
        </is>
      </c>
      <c r="C702" t="inlineStr">
        <is>
          <t>شقراء</t>
        </is>
      </c>
      <c r="D702" t="inlineStr">
        <is>
          <t>مساءا</t>
        </is>
      </c>
      <c r="E702" t="n">
        <v>458</v>
      </c>
      <c r="F702" t="b">
        <v>0</v>
      </c>
      <c r="G702">
        <f>HYPERLINK("https://www.google.com/maps/search/?api=1&amp;query=25.29597092,45.53238578", "View Map")</f>
        <v/>
      </c>
    </row>
    <row r="703">
      <c r="A703" t="inlineStr">
        <is>
          <t xml:space="preserve">   مسجد بشر بن المعلى .</t>
        </is>
      </c>
      <c r="B703" t="inlineStr">
        <is>
          <t>AES2020896433445</t>
        </is>
      </c>
      <c r="C703" t="inlineStr">
        <is>
          <t>الزلفي</t>
        </is>
      </c>
      <c r="D703" t="inlineStr">
        <is>
          <t>مساءا</t>
        </is>
      </c>
      <c r="E703" t="n">
        <v>457</v>
      </c>
      <c r="F703" t="b">
        <v>0</v>
      </c>
      <c r="G703">
        <f>HYPERLINK("https://www.google.com/maps/search/?api=1&amp;query=26.34209956,44.78884904", "View Map")</f>
        <v/>
      </c>
    </row>
    <row r="704">
      <c r="A704" t="inlineStr">
        <is>
          <t xml:space="preserve">    مسجد عثمان بن عفان بثرمداء .</t>
        </is>
      </c>
      <c r="B704" t="inlineStr">
        <is>
          <t>KFM2120660251114</t>
        </is>
      </c>
      <c r="C704" t="inlineStr">
        <is>
          <t>مرات</t>
        </is>
      </c>
      <c r="D704" t="inlineStr">
        <is>
          <t>صباحا</t>
        </is>
      </c>
      <c r="E704" t="n">
        <v>457</v>
      </c>
      <c r="F704" t="b">
        <v>1</v>
      </c>
      <c r="G704">
        <f>HYPERLINK("https://www.google.com/maps/search/?api=1&amp;query=25.11995825,45.49277008", "View Map")</f>
        <v/>
      </c>
    </row>
    <row r="705">
      <c r="A705" t="inlineStr">
        <is>
          <t xml:space="preserve">   المسجدالجنوبى بالمخطط .</t>
        </is>
      </c>
      <c r="B705" t="inlineStr">
        <is>
          <t>AES2020896443681</t>
        </is>
      </c>
      <c r="C705" t="inlineStr">
        <is>
          <t>شقراء</t>
        </is>
      </c>
      <c r="D705" t="inlineStr">
        <is>
          <t>مساءا</t>
        </is>
      </c>
      <c r="E705" t="n">
        <v>456</v>
      </c>
      <c r="F705" t="b">
        <v>0</v>
      </c>
      <c r="G705">
        <f>HYPERLINK("https://www.google.com/maps/search/?api=1&amp;query=25.29523374,45.51734499", "View Map")</f>
        <v/>
      </c>
    </row>
    <row r="706">
      <c r="A706" t="inlineStr">
        <is>
          <t xml:space="preserve">   مسجدالحمود .</t>
        </is>
      </c>
      <c r="B706" t="inlineStr">
        <is>
          <t>KFM2120660262728</t>
        </is>
      </c>
      <c r="C706" t="inlineStr">
        <is>
          <t>الزلفي</t>
        </is>
      </c>
      <c r="D706" t="inlineStr">
        <is>
          <t>مساءا</t>
        </is>
      </c>
      <c r="E706" t="n">
        <v>455</v>
      </c>
      <c r="F706" t="b">
        <v>0</v>
      </c>
      <c r="G706">
        <f>HYPERLINK("https://www.google.com/maps/search/?api=1&amp;query=26.29859934,44.79588403", "View Map")</f>
        <v/>
      </c>
    </row>
    <row r="707">
      <c r="A707" t="inlineStr">
        <is>
          <t>ﻓﺭﻉ ﺍﻻﻭﻗﺎﻑ ﺒﺤﻭﻁﻩ ﺴﺩﻴﺭ .</t>
        </is>
      </c>
      <c r="B707" t="inlineStr">
        <is>
          <t>AEC2020830315438</t>
        </is>
      </c>
      <c r="C707" t="inlineStr">
        <is>
          <t>المجمعة</t>
        </is>
      </c>
      <c r="D707" t="inlineStr">
        <is>
          <t>مساءا</t>
        </is>
      </c>
      <c r="E707" t="n">
        <v>454</v>
      </c>
      <c r="F707" t="b">
        <v>0</v>
      </c>
      <c r="G707">
        <f>HYPERLINK("https://www.google.com/maps/search/?api=1&amp;query=25.70290708,45.45487016", "View Map")</f>
        <v/>
      </c>
    </row>
    <row r="708">
      <c r="A708" t="inlineStr">
        <is>
          <t xml:space="preserve">   مسجد منصور الغربى .</t>
        </is>
      </c>
      <c r="B708" t="inlineStr">
        <is>
          <t>KFM2020660188221</t>
        </is>
      </c>
      <c r="C708" t="inlineStr">
        <is>
          <t>الزلفي</t>
        </is>
      </c>
      <c r="D708" t="inlineStr">
        <is>
          <t>مساءا</t>
        </is>
      </c>
      <c r="E708" t="n">
        <v>454</v>
      </c>
      <c r="F708" t="b">
        <v>0</v>
      </c>
      <c r="G708">
        <f>HYPERLINK("https://www.google.com/maps/search/?api=1&amp;query=26.29443567,44.79700693", "View Map")</f>
        <v/>
      </c>
    </row>
    <row r="709">
      <c r="A709" t="inlineStr">
        <is>
          <t xml:space="preserve"> مكتب الاوقاف /مسجد الشفاء با الروضه .</t>
        </is>
      </c>
      <c r="B709" t="inlineStr">
        <is>
          <t>KFM2020766062236</t>
        </is>
      </c>
      <c r="C709" t="inlineStr">
        <is>
          <t>المجمعة</t>
        </is>
      </c>
      <c r="D709" t="inlineStr">
        <is>
          <t>صباحا</t>
        </is>
      </c>
      <c r="E709" t="n">
        <v>453</v>
      </c>
      <c r="F709" t="b">
        <v>1</v>
      </c>
      <c r="G709">
        <f>HYPERLINK("https://www.google.com/maps/search/?api=1&amp;query=25.62102925,45.54415371", "View Map")</f>
        <v/>
      </c>
    </row>
    <row r="710">
      <c r="A710" t="inlineStr">
        <is>
          <t xml:space="preserve">   مسجد مصعب بن عمير بمرات .</t>
        </is>
      </c>
      <c r="B710" t="inlineStr">
        <is>
          <t>KFM2120660242952</t>
        </is>
      </c>
      <c r="C710" t="inlineStr">
        <is>
          <t>مرات</t>
        </is>
      </c>
      <c r="D710" t="inlineStr">
        <is>
          <t>مساءا</t>
        </is>
      </c>
      <c r="E710" t="n">
        <v>449</v>
      </c>
      <c r="F710" t="b">
        <v>0</v>
      </c>
      <c r="G710">
        <f>HYPERLINK("https://www.google.com/maps/search/?api=1&amp;query=25.11646891,45.48871868", "View Map")</f>
        <v/>
      </c>
    </row>
    <row r="711">
      <c r="A711" t="inlineStr">
        <is>
          <t xml:space="preserve">    مسجدالمهاجرين .</t>
        </is>
      </c>
      <c r="B711" t="inlineStr">
        <is>
          <t>KFM2020766057447</t>
        </is>
      </c>
      <c r="C711" t="inlineStr">
        <is>
          <t>الزلفي</t>
        </is>
      </c>
      <c r="D711" t="inlineStr">
        <is>
          <t>صباحا</t>
        </is>
      </c>
      <c r="E711" t="n">
        <v>449</v>
      </c>
      <c r="F711" t="b">
        <v>1</v>
      </c>
      <c r="G711">
        <f>HYPERLINK("https://www.google.com/maps/search/?api=1&amp;query=26.29039266,44.82964272", "View Map")</f>
        <v/>
      </c>
    </row>
    <row r="712">
      <c r="A712" t="inlineStr">
        <is>
          <t xml:space="preserve">   جامع الثوير .</t>
        </is>
      </c>
      <c r="B712" t="inlineStr">
        <is>
          <t>KFM2020766161989</t>
        </is>
      </c>
      <c r="C712" t="inlineStr">
        <is>
          <t>الزلفي</t>
        </is>
      </c>
      <c r="D712" t="inlineStr">
        <is>
          <t>مساءا</t>
        </is>
      </c>
      <c r="E712" t="n">
        <v>449</v>
      </c>
      <c r="F712" t="b">
        <v>0</v>
      </c>
      <c r="G712">
        <f>HYPERLINK("https://www.google.com/maps/search/?api=1&amp;query=26.60250872,44.63659438", "View Map")</f>
        <v/>
      </c>
    </row>
    <row r="713">
      <c r="A713" t="inlineStr">
        <is>
          <t xml:space="preserve">    مـسـجدجنوب صناعيه الحوطه القديمه .</t>
        </is>
      </c>
      <c r="B713" t="inlineStr">
        <is>
          <t>KFM2020766145820</t>
        </is>
      </c>
      <c r="C713" t="inlineStr">
        <is>
          <t>المجمعة</t>
        </is>
      </c>
      <c r="D713" t="inlineStr">
        <is>
          <t>صباحا</t>
        </is>
      </c>
      <c r="E713" t="n">
        <v>448</v>
      </c>
      <c r="F713" t="b">
        <v>0</v>
      </c>
      <c r="G713">
        <f>HYPERLINK("https://www.google.com/maps/search/?api=1&amp;query=25.5918234,45.62538937", "View Map")</f>
        <v/>
      </c>
    </row>
    <row r="714">
      <c r="A714" t="inlineStr">
        <is>
          <t xml:space="preserve">   مسجد عبدالعزيز سليمان المقيل .</t>
        </is>
      </c>
      <c r="B714" t="inlineStr">
        <is>
          <t>KFM2020760136055</t>
        </is>
      </c>
      <c r="C714" t="inlineStr">
        <is>
          <t>المجمعة</t>
        </is>
      </c>
      <c r="D714" t="inlineStr">
        <is>
          <t>صباحا</t>
        </is>
      </c>
      <c r="E714" t="n">
        <v>448</v>
      </c>
      <c r="F714" t="b">
        <v>0</v>
      </c>
      <c r="G714">
        <f>HYPERLINK("https://www.google.com/maps/search/?api=1&amp;query=25.92037661,45.35834893", "View Map")</f>
        <v/>
      </c>
    </row>
    <row r="715">
      <c r="A715" t="inlineStr">
        <is>
          <t>ﺍﺩﺭﺍﻩ ﺍﻻﻭﻗﺎﻑ ﻭﺍﻟﻤﺴﺎﺠﺩ ﻭﺍﻟﺩﻋﻭﻩ .</t>
        </is>
      </c>
      <c r="B715" t="inlineStr">
        <is>
          <t>DZG2020850096874</t>
        </is>
      </c>
      <c r="C715" t="inlineStr">
        <is>
          <t>حريملاء</t>
        </is>
      </c>
      <c r="D715" t="inlineStr">
        <is>
          <t>مساءا</t>
        </is>
      </c>
      <c r="E715" t="n">
        <v>448</v>
      </c>
      <c r="F715" t="b">
        <v>0</v>
      </c>
      <c r="G715">
        <f>HYPERLINK("https://www.google.com/maps/search/?api=1&amp;query=25.17956251,46.3219061", "View Map")</f>
        <v/>
      </c>
    </row>
    <row r="716">
      <c r="A716" t="inlineStr">
        <is>
          <t xml:space="preserve">        مسجد   رقم61   قطعه 61 .</t>
        </is>
      </c>
      <c r="B716" t="inlineStr">
        <is>
          <t>LYE2020810141932</t>
        </is>
      </c>
      <c r="C716" t="inlineStr">
        <is>
          <t>المجمعة</t>
        </is>
      </c>
      <c r="D716" t="inlineStr">
        <is>
          <t>صباحا</t>
        </is>
      </c>
      <c r="E716" t="n">
        <v>447</v>
      </c>
      <c r="F716" t="b">
        <v>0</v>
      </c>
      <c r="G716">
        <f>HYPERLINK("https://www.google.com/maps/search/?api=1&amp;query=25.92681914,45.3922486", "View Map")</f>
        <v/>
      </c>
    </row>
    <row r="717">
      <c r="A717" t="inlineStr">
        <is>
          <t xml:space="preserve">   اوقاف الزلفي مسجدالعصيمي .</t>
        </is>
      </c>
      <c r="B717" t="inlineStr">
        <is>
          <t>KFM2020660201532</t>
        </is>
      </c>
      <c r="C717" t="inlineStr">
        <is>
          <t>الزلفي</t>
        </is>
      </c>
      <c r="D717" t="inlineStr">
        <is>
          <t>مساءا</t>
        </is>
      </c>
      <c r="E717" t="n">
        <v>446</v>
      </c>
      <c r="F717" t="b">
        <v>0</v>
      </c>
      <c r="G717">
        <f>HYPERLINK("https://www.google.com/maps/search/?api=1&amp;query=26.29644102,44.83353243", "View Map")</f>
        <v/>
      </c>
    </row>
    <row r="718">
      <c r="A718" t="inlineStr">
        <is>
          <t xml:space="preserve">   مـسـجـد المخطط ـ395ـ .</t>
        </is>
      </c>
      <c r="B718" t="inlineStr">
        <is>
          <t>AES2020896468770</t>
        </is>
      </c>
      <c r="C718" t="inlineStr">
        <is>
          <t>شقراء</t>
        </is>
      </c>
      <c r="D718" t="inlineStr">
        <is>
          <t>صباحا</t>
        </is>
      </c>
      <c r="E718" t="n">
        <v>446</v>
      </c>
      <c r="F718" t="b">
        <v>0</v>
      </c>
      <c r="G718">
        <f>HYPERLINK("https://www.google.com/maps/search/?api=1&amp;query=25.23487162,45.24797916", "View Map")</f>
        <v/>
      </c>
    </row>
    <row r="719">
      <c r="A719" t="inlineStr">
        <is>
          <t xml:space="preserve">      وزارهالحجوالاوقاف /مسجدامسدره .</t>
        </is>
      </c>
      <c r="B719" t="inlineStr">
        <is>
          <t>ECC2020811054865</t>
        </is>
      </c>
      <c r="C719" t="inlineStr">
        <is>
          <t>المجمعة</t>
        </is>
      </c>
      <c r="D719" t="inlineStr">
        <is>
          <t>مساءا</t>
        </is>
      </c>
      <c r="E719" t="n">
        <v>445</v>
      </c>
      <c r="F719" t="b">
        <v>1</v>
      </c>
      <c r="G719">
        <f>HYPERLINK("https://www.google.com/maps/search/?api=1&amp;query=26.41641002,45.35911031", "View Map")</f>
        <v/>
      </c>
    </row>
    <row r="720">
      <c r="A720" t="inlineStr">
        <is>
          <t xml:space="preserve">   مسجد محمد الاحمد الاصفر .</t>
        </is>
      </c>
      <c r="B720" t="inlineStr">
        <is>
          <t>KFM2020766128702</t>
        </is>
      </c>
      <c r="C720" t="inlineStr">
        <is>
          <t>الزلفي</t>
        </is>
      </c>
      <c r="D720" t="inlineStr">
        <is>
          <t>مساءا</t>
        </is>
      </c>
      <c r="E720" t="n">
        <v>445</v>
      </c>
      <c r="F720" t="b">
        <v>1</v>
      </c>
      <c r="G720">
        <f>HYPERLINK("https://www.google.com/maps/search/?api=1&amp;query=26.29559539,44.81703037", "View Map")</f>
        <v/>
      </c>
    </row>
    <row r="721">
      <c r="A721" t="inlineStr">
        <is>
          <t>مسجد رقم2 مخطط 518 بشقراء .</t>
        </is>
      </c>
      <c r="B721" t="inlineStr">
        <is>
          <t>AES2020896443617</t>
        </is>
      </c>
      <c r="C721" t="inlineStr">
        <is>
          <t>شقراء</t>
        </is>
      </c>
      <c r="D721" t="inlineStr">
        <is>
          <t>صباحا</t>
        </is>
      </c>
      <c r="E721" t="n">
        <v>444</v>
      </c>
      <c r="F721" t="b">
        <v>0</v>
      </c>
      <c r="G721">
        <f>HYPERLINK("https://www.google.com/maps/search/?api=1&amp;query=25.25085416,45.2270574", "View Map")</f>
        <v/>
      </c>
    </row>
    <row r="722">
      <c r="A722" t="inlineStr">
        <is>
          <t xml:space="preserve">   مسجد صالح عبدالله المديهيم .</t>
        </is>
      </c>
      <c r="B722" t="inlineStr">
        <is>
          <t>KFM2020660193404</t>
        </is>
      </c>
      <c r="C722" t="inlineStr">
        <is>
          <t>المجمعة</t>
        </is>
      </c>
      <c r="D722" t="inlineStr">
        <is>
          <t>مساءا</t>
        </is>
      </c>
      <c r="E722" t="n">
        <v>444</v>
      </c>
      <c r="F722" t="b">
        <v>0</v>
      </c>
      <c r="G722">
        <f>HYPERLINK("https://www.google.com/maps/search/?api=1&amp;query=25.90359623,45.37629448", "View Map")</f>
        <v/>
      </c>
    </row>
    <row r="723">
      <c r="A723" t="inlineStr">
        <is>
          <t>ﻤﻜﺘﺏ ﺍﻻﻭﻗﺎﻑ ﻭﺍﻟﻤﺴﺎﺠﺩ .</t>
        </is>
      </c>
      <c r="B723" t="inlineStr">
        <is>
          <t>KFM2020660195746</t>
        </is>
      </c>
      <c r="C723" t="inlineStr">
        <is>
          <t>المجمعة</t>
        </is>
      </c>
      <c r="D723" t="inlineStr">
        <is>
          <t>مساءا</t>
        </is>
      </c>
      <c r="E723" t="n">
        <v>444</v>
      </c>
      <c r="F723" t="b">
        <v>0</v>
      </c>
      <c r="G723">
        <f>HYPERLINK("https://www.google.com/maps/search/?api=1&amp;query=25.69692523,45.88059974", "View Map")</f>
        <v/>
      </c>
    </row>
    <row r="724">
      <c r="A724" t="inlineStr">
        <is>
          <t xml:space="preserve">   مسجدتميم بن اوس .</t>
        </is>
      </c>
      <c r="B724" t="inlineStr">
        <is>
          <t>KFM2020660228171</t>
        </is>
      </c>
      <c r="C724" t="inlineStr">
        <is>
          <t>الزلفي</t>
        </is>
      </c>
      <c r="D724" t="inlineStr">
        <is>
          <t>صباحا</t>
        </is>
      </c>
      <c r="E724" t="n">
        <v>443</v>
      </c>
      <c r="F724" t="b">
        <v>1</v>
      </c>
      <c r="G724">
        <f>HYPERLINK("https://www.google.com/maps/search/?api=1&amp;query=26.29821278,44.80766993", "View Map")</f>
        <v/>
      </c>
    </row>
    <row r="725">
      <c r="A725" t="inlineStr">
        <is>
          <t xml:space="preserve">   مسجدسليمان العتيق حي السلام .</t>
        </is>
      </c>
      <c r="B725" t="inlineStr">
        <is>
          <t>KFM2120766173947</t>
        </is>
      </c>
      <c r="C725" t="inlineStr">
        <is>
          <t>الزلفي</t>
        </is>
      </c>
      <c r="D725" t="inlineStr">
        <is>
          <t>صباحا</t>
        </is>
      </c>
      <c r="E725" t="n">
        <v>441</v>
      </c>
      <c r="F725" t="b">
        <v>0</v>
      </c>
      <c r="G725">
        <f>HYPERLINK("https://www.google.com/maps/search/?api=1&amp;query=26.3155077,44.83024992", "View Map")</f>
        <v/>
      </c>
    </row>
    <row r="726">
      <c r="A726" t="inlineStr">
        <is>
          <t>ﻤﻜﺘﺏ ﺍﻭﻗﺎﻑ ﺍﻟﻤﺠﻤﻌﻩ (ﺍﻟﻤﺴﺎﺠﺩ) .</t>
        </is>
      </c>
      <c r="B726" t="inlineStr">
        <is>
          <t>AEC2020830205299</t>
        </is>
      </c>
      <c r="C726" t="inlineStr">
        <is>
          <t>المجمعة</t>
        </is>
      </c>
      <c r="D726" t="inlineStr">
        <is>
          <t>مساءا</t>
        </is>
      </c>
      <c r="E726" t="n">
        <v>440</v>
      </c>
      <c r="F726" t="b">
        <v>0</v>
      </c>
      <c r="G726">
        <f>HYPERLINK("https://www.google.com/maps/search/?api=1&amp;query=25.89260308,45.35906302", "View Map")</f>
        <v/>
      </c>
    </row>
    <row r="727">
      <c r="A727" t="inlineStr">
        <is>
          <t>مسجد عبدالعزيز المعتق الاوقاف والمس .</t>
        </is>
      </c>
      <c r="B727" t="inlineStr">
        <is>
          <t>AES2120896538070</t>
        </is>
      </c>
      <c r="C727" t="inlineStr">
        <is>
          <t>الزلفي</t>
        </is>
      </c>
      <c r="D727" t="inlineStr">
        <is>
          <t>صباحا</t>
        </is>
      </c>
      <c r="E727" t="n">
        <v>440</v>
      </c>
      <c r="F727" t="b">
        <v>0</v>
      </c>
      <c r="G727">
        <f>HYPERLINK("https://www.google.com/maps/search/?api=1&amp;query=26.32594171,44.81773255", "View Map")</f>
        <v/>
      </c>
    </row>
    <row r="728">
      <c r="A728" t="inlineStr">
        <is>
          <t xml:space="preserve">   مسجد القصب رقم 2 .</t>
        </is>
      </c>
      <c r="B728" t="inlineStr">
        <is>
          <t>AES2020896443338</t>
        </is>
      </c>
      <c r="C728" t="inlineStr">
        <is>
          <t>شقراء</t>
        </is>
      </c>
      <c r="D728" t="inlineStr">
        <is>
          <t>مساءا</t>
        </is>
      </c>
      <c r="E728" t="n">
        <v>438</v>
      </c>
      <c r="F728" t="b">
        <v>0</v>
      </c>
      <c r="G728">
        <f>HYPERLINK("https://www.google.com/maps/search/?api=1&amp;query=25.29705924,45.52116583", "View Map")</f>
        <v/>
      </c>
    </row>
    <row r="729">
      <c r="A729" t="inlineStr">
        <is>
          <t>ﻓﺭﻉ ﺍﻻﻭﻗﺎﻑ ﺒﺤﻭﻁﻩ ﺴﺩﻴﺭ .</t>
        </is>
      </c>
      <c r="B729" t="inlineStr">
        <is>
          <t>AES2020896450502</t>
        </is>
      </c>
      <c r="C729" t="inlineStr">
        <is>
          <t>المجمعة</t>
        </is>
      </c>
      <c r="D729" t="inlineStr">
        <is>
          <t>مساءا</t>
        </is>
      </c>
      <c r="E729" t="n">
        <v>438</v>
      </c>
      <c r="F729" t="b">
        <v>0</v>
      </c>
      <c r="G729">
        <f>HYPERLINK("https://www.google.com/maps/search/?api=1&amp;query=25.72143353,45.4645001", "View Map")</f>
        <v/>
      </c>
    </row>
    <row r="730">
      <c r="A730" t="inlineStr">
        <is>
          <t xml:space="preserve">   مسجد حمود الطريقى .</t>
        </is>
      </c>
      <c r="B730" t="inlineStr">
        <is>
          <t>KFM2020766128366</t>
        </is>
      </c>
      <c r="C730" t="inlineStr">
        <is>
          <t>الزلفي</t>
        </is>
      </c>
      <c r="D730" t="inlineStr">
        <is>
          <t>صباحا</t>
        </is>
      </c>
      <c r="E730" t="n">
        <v>436</v>
      </c>
      <c r="F730" t="b">
        <v>1</v>
      </c>
      <c r="G730">
        <f>HYPERLINK("https://www.google.com/maps/search/?api=1&amp;query=26.29586116,44.81124522", "View Map")</f>
        <v/>
      </c>
    </row>
    <row r="731">
      <c r="A731" t="inlineStr">
        <is>
          <t>ﻓﺭﻉ ﺍﻻﻭﻗﺎﻑ ﺒﺤﻭﻁﻩ ﺴﺩﻴﺭ .</t>
        </is>
      </c>
      <c r="B731" t="inlineStr">
        <is>
          <t>AES2120896547078</t>
        </is>
      </c>
      <c r="C731" t="inlineStr">
        <is>
          <t>المجمعة</t>
        </is>
      </c>
      <c r="D731" t="inlineStr">
        <is>
          <t>مساءا</t>
        </is>
      </c>
      <c r="E731" t="n">
        <v>436</v>
      </c>
      <c r="F731" t="b">
        <v>0</v>
      </c>
      <c r="G731">
        <f>HYPERLINK("https://www.google.com/maps/search/?api=1&amp;query=25.59713223,45.61787845", "View Map")</f>
        <v/>
      </c>
    </row>
    <row r="732">
      <c r="A732" t="inlineStr">
        <is>
          <t xml:space="preserve">      مسجد الاوسط .</t>
        </is>
      </c>
      <c r="B732" t="inlineStr">
        <is>
          <t>KFM2020766128630</t>
        </is>
      </c>
      <c r="C732" t="inlineStr">
        <is>
          <t>المجمعة</t>
        </is>
      </c>
      <c r="D732" t="inlineStr">
        <is>
          <t>مساءا</t>
        </is>
      </c>
      <c r="E732" t="n">
        <v>435</v>
      </c>
      <c r="F732" t="b">
        <v>0</v>
      </c>
      <c r="G732">
        <f>HYPERLINK("https://www.google.com/maps/search/?api=1&amp;query=25.69824467,45.88051889", "View Map")</f>
        <v/>
      </c>
    </row>
    <row r="733">
      <c r="A733" t="inlineStr">
        <is>
          <t xml:space="preserve">   مسجد المتعب .</t>
        </is>
      </c>
      <c r="B733" t="inlineStr">
        <is>
          <t>KFM2020660134422</t>
        </is>
      </c>
      <c r="C733" t="inlineStr">
        <is>
          <t>الزلفي</t>
        </is>
      </c>
      <c r="D733" t="inlineStr">
        <is>
          <t>مساءا</t>
        </is>
      </c>
      <c r="E733" t="n">
        <v>435</v>
      </c>
      <c r="F733" t="b">
        <v>1</v>
      </c>
      <c r="G733">
        <f>HYPERLINK("https://www.google.com/maps/search/?api=1&amp;query=26.33851303,44.78629002", "View Map")</f>
        <v/>
      </c>
    </row>
    <row r="734">
      <c r="A734" t="inlineStr">
        <is>
          <t xml:space="preserve">         مسجد / حاره ال شويشان .</t>
        </is>
      </c>
      <c r="B734" t="inlineStr">
        <is>
          <t>MMF2420801316748</t>
        </is>
      </c>
      <c r="C734" t="inlineStr">
        <is>
          <t>رماح</t>
        </is>
      </c>
      <c r="D734" t="inlineStr">
        <is>
          <t>مساءا</t>
        </is>
      </c>
      <c r="E734" t="n">
        <v>435</v>
      </c>
      <c r="F734" t="b">
        <v>0</v>
      </c>
      <c r="G734">
        <f>HYPERLINK("https://www.google.com/maps/search/?api=1&amp;query=25.57788009,46.97754416", "View Map")</f>
        <v/>
      </c>
    </row>
    <row r="735">
      <c r="A735" t="inlineStr">
        <is>
          <t>فرع الا وقاف بحوطه سدير .</t>
        </is>
      </c>
      <c r="B735" t="inlineStr">
        <is>
          <t>AES2120896564611</t>
        </is>
      </c>
      <c r="C735" t="inlineStr">
        <is>
          <t>المجمعة</t>
        </is>
      </c>
      <c r="D735" t="inlineStr">
        <is>
          <t>مساءا</t>
        </is>
      </c>
      <c r="E735" t="n">
        <v>434</v>
      </c>
      <c r="F735" t="b">
        <v>0</v>
      </c>
      <c r="G735">
        <f>HYPERLINK("https://www.google.com/maps/search/?api=1&amp;query=25.62308728,45.57784672", "View Map")</f>
        <v/>
      </c>
    </row>
    <row r="736">
      <c r="A736" t="inlineStr">
        <is>
          <t>ﻓﺭﻉ ﺍﻻﻭﻗﺎﻑ ﺒﺤﻭﻁﻩ ﺴﺩﻴﺭ .</t>
        </is>
      </c>
      <c r="B736" t="inlineStr">
        <is>
          <t>AES2020896448086</t>
        </is>
      </c>
      <c r="C736" t="inlineStr">
        <is>
          <t>المجمعة</t>
        </is>
      </c>
      <c r="D736" t="inlineStr">
        <is>
          <t>مساءا</t>
        </is>
      </c>
      <c r="E736" t="n">
        <v>434</v>
      </c>
      <c r="F736" t="b">
        <v>0</v>
      </c>
      <c r="G736">
        <f>HYPERLINK("https://www.google.com/maps/search/?api=1&amp;query=25.7066466,45.45057621", "View Map")</f>
        <v/>
      </c>
    </row>
    <row r="737">
      <c r="A737" t="inlineStr">
        <is>
          <t xml:space="preserve">   مسجد الخويلد .</t>
        </is>
      </c>
      <c r="B737" t="inlineStr">
        <is>
          <t>AES2020896423009</t>
        </is>
      </c>
      <c r="C737" t="inlineStr">
        <is>
          <t>الزلفي</t>
        </is>
      </c>
      <c r="D737" t="inlineStr">
        <is>
          <t>صباحا</t>
        </is>
      </c>
      <c r="E737" t="n">
        <v>433</v>
      </c>
      <c r="F737" t="b">
        <v>0</v>
      </c>
      <c r="G737">
        <f>HYPERLINK("https://www.google.com/maps/search/?api=1&amp;query=26.28763818,44.81667105", "View Map")</f>
        <v/>
      </c>
    </row>
    <row r="738">
      <c r="A738" t="inlineStr">
        <is>
          <t xml:space="preserve">   مسجد حمودالدويش .</t>
        </is>
      </c>
      <c r="B738" t="inlineStr">
        <is>
          <t>AES2020896469368</t>
        </is>
      </c>
      <c r="C738" t="inlineStr">
        <is>
          <t>الزلفي</t>
        </is>
      </c>
      <c r="D738" t="inlineStr">
        <is>
          <t>مساءا</t>
        </is>
      </c>
      <c r="E738" t="n">
        <v>433</v>
      </c>
      <c r="F738" t="b">
        <v>0</v>
      </c>
      <c r="G738">
        <f>HYPERLINK("https://www.google.com/maps/search/?api=1&amp;query=26.26303825,44.79285671", "View Map")</f>
        <v/>
      </c>
    </row>
    <row r="739">
      <c r="A739" t="inlineStr">
        <is>
          <t xml:space="preserve">   وزارة     الحج      عاصم بن ثابت .</t>
        </is>
      </c>
      <c r="B739" t="inlineStr">
        <is>
          <t>AES2120896571849</t>
        </is>
      </c>
      <c r="C739" t="inlineStr">
        <is>
          <t>ثادق</t>
        </is>
      </c>
      <c r="D739" t="inlineStr">
        <is>
          <t>مساءا</t>
        </is>
      </c>
      <c r="E739" t="n">
        <v>433</v>
      </c>
      <c r="F739" t="b">
        <v>0</v>
      </c>
      <c r="G739">
        <f>HYPERLINK("https://www.google.com/maps/search/?api=1&amp;query=25.29244785,45.78896649", "View Map")</f>
        <v/>
      </c>
    </row>
    <row r="740">
      <c r="A740" t="inlineStr">
        <is>
          <t xml:space="preserve">   مسجد فاطمه الطلحه بالغاط .</t>
        </is>
      </c>
      <c r="B740" t="inlineStr">
        <is>
          <t>KFM2020766040418</t>
        </is>
      </c>
      <c r="C740" t="inlineStr">
        <is>
          <t>الغاط</t>
        </is>
      </c>
      <c r="D740" t="inlineStr">
        <is>
          <t>مساءا</t>
        </is>
      </c>
      <c r="E740" t="n">
        <v>433</v>
      </c>
      <c r="F740" t="b">
        <v>0</v>
      </c>
      <c r="G740">
        <f>HYPERLINK("https://www.google.com/maps/search/?api=1&amp;query=26.02372756,44.96091353", "View Map")</f>
        <v/>
      </c>
    </row>
    <row r="741">
      <c r="A741" t="inlineStr">
        <is>
          <t xml:space="preserve">   مسجد اللغف .</t>
        </is>
      </c>
      <c r="B741" t="inlineStr">
        <is>
          <t>AES2120896592442</t>
        </is>
      </c>
      <c r="C741" t="inlineStr">
        <is>
          <t>الزلفي</t>
        </is>
      </c>
      <c r="D741" t="inlineStr">
        <is>
          <t>مساءا</t>
        </is>
      </c>
      <c r="E741" t="n">
        <v>433</v>
      </c>
      <c r="F741" t="b">
        <v>0</v>
      </c>
      <c r="G741">
        <f>HYPERLINK("https://www.google.com/maps/search/?api=1&amp;query=26.2760316,44.79253332", "View Map")</f>
        <v/>
      </c>
    </row>
    <row r="742">
      <c r="A742" t="inlineStr">
        <is>
          <t>ﻤﻜﺘﺏ ﺍﻻﻭﻗﺎﻑ ﻭﺍﻟﻤﺴﺎﺠﺩ .</t>
        </is>
      </c>
      <c r="B742" t="inlineStr">
        <is>
          <t>MMF2420801312927</t>
        </is>
      </c>
      <c r="C742" t="inlineStr">
        <is>
          <t>المجمعة</t>
        </is>
      </c>
      <c r="D742" t="inlineStr">
        <is>
          <t>مساءا</t>
        </is>
      </c>
      <c r="E742" t="n">
        <v>432</v>
      </c>
      <c r="F742" t="b">
        <v>0</v>
      </c>
      <c r="G742">
        <f>HYPERLINK("https://www.google.com/maps/search/?api=1&amp;query=25.72594937,45.85654285", "View Map")</f>
        <v/>
      </c>
    </row>
    <row r="743">
      <c r="A743" t="inlineStr">
        <is>
          <t xml:space="preserve">      مسجد حى رقم 18 .</t>
        </is>
      </c>
      <c r="B743" t="inlineStr">
        <is>
          <t>KFM2120760245063</t>
        </is>
      </c>
      <c r="C743" t="inlineStr">
        <is>
          <t>الزلفي</t>
        </is>
      </c>
      <c r="D743" t="inlineStr">
        <is>
          <t>مساءا</t>
        </is>
      </c>
      <c r="E743" t="n">
        <v>431</v>
      </c>
      <c r="F743" t="b">
        <v>1</v>
      </c>
      <c r="G743">
        <f>HYPERLINK("https://www.google.com/maps/search/?api=1&amp;query=26.31464245,44.81448549", "View Map")</f>
        <v/>
      </c>
    </row>
    <row r="744">
      <c r="A744" t="inlineStr">
        <is>
          <t xml:space="preserve">   المسجد     الشمالي    408 .</t>
        </is>
      </c>
      <c r="B744" t="inlineStr">
        <is>
          <t>KFM2020760209696</t>
        </is>
      </c>
      <c r="C744" t="inlineStr">
        <is>
          <t>حريملاء</t>
        </is>
      </c>
      <c r="D744" t="inlineStr">
        <is>
          <t>صباحا</t>
        </is>
      </c>
      <c r="E744" t="n">
        <v>429</v>
      </c>
      <c r="F744" t="b">
        <v>0</v>
      </c>
      <c r="G744">
        <f>HYPERLINK("https://www.google.com/maps/search/?api=1&amp;query=25.17274974,46.32546343", "View Map")</f>
        <v/>
      </c>
    </row>
    <row r="745">
      <c r="A745" t="inlineStr">
        <is>
          <t xml:space="preserve">   مسجد      المصخ     رماح .</t>
        </is>
      </c>
      <c r="B745" t="inlineStr">
        <is>
          <t>KFM2120655004250</t>
        </is>
      </c>
      <c r="C745" t="inlineStr">
        <is>
          <t>رماح</t>
        </is>
      </c>
      <c r="D745" t="inlineStr">
        <is>
          <t>مساءا</t>
        </is>
      </c>
      <c r="E745" t="n">
        <v>428</v>
      </c>
      <c r="F745" t="b">
        <v>1</v>
      </c>
      <c r="G745">
        <f>HYPERLINK("https://www.google.com/maps/search/?api=1&amp;query=25.53464809,47.17668441", "View Map")</f>
        <v/>
      </c>
    </row>
    <row r="746">
      <c r="A746" t="inlineStr">
        <is>
          <t xml:space="preserve">    مسجد علي بن أبي طالب .</t>
        </is>
      </c>
      <c r="B746" t="inlineStr">
        <is>
          <t>KFM2020766040438</t>
        </is>
      </c>
      <c r="C746" t="inlineStr">
        <is>
          <t>الغاط</t>
        </is>
      </c>
      <c r="D746" t="inlineStr">
        <is>
          <t>مساءا</t>
        </is>
      </c>
      <c r="E746" t="n">
        <v>427</v>
      </c>
      <c r="F746" t="b">
        <v>1</v>
      </c>
      <c r="G746">
        <f>HYPERLINK("https://www.google.com/maps/search/?api=1&amp;query=26.03669914,44.94076432", "View Map")</f>
        <v/>
      </c>
    </row>
    <row r="747">
      <c r="A747" t="inlineStr">
        <is>
          <t xml:space="preserve">   مسجدالامام النووي .</t>
        </is>
      </c>
      <c r="B747" t="inlineStr">
        <is>
          <t>KFM2020660153852</t>
        </is>
      </c>
      <c r="C747" t="inlineStr">
        <is>
          <t>الزلفي</t>
        </is>
      </c>
      <c r="D747" t="inlineStr">
        <is>
          <t>صباحا</t>
        </is>
      </c>
      <c r="E747" t="n">
        <v>427</v>
      </c>
      <c r="F747" t="b">
        <v>1</v>
      </c>
      <c r="G747">
        <f>HYPERLINK("https://www.google.com/maps/search/?api=1&amp;query=26.31210406,44.79974679", "View Map")</f>
        <v/>
      </c>
    </row>
    <row r="748">
      <c r="A748" t="inlineStr">
        <is>
          <t xml:space="preserve">   مسجد عبدالله بن حميد .</t>
        </is>
      </c>
      <c r="B748" t="inlineStr">
        <is>
          <t>KFM2020660201536</t>
        </is>
      </c>
      <c r="C748" t="inlineStr">
        <is>
          <t>الزلفي</t>
        </is>
      </c>
      <c r="D748" t="inlineStr">
        <is>
          <t>صباحا</t>
        </is>
      </c>
      <c r="E748" t="n">
        <v>426</v>
      </c>
      <c r="F748" t="b">
        <v>1</v>
      </c>
      <c r="G748">
        <f>HYPERLINK("https://www.google.com/maps/search/?api=1&amp;query=26.29610277,44.83795214", "View Map")</f>
        <v/>
      </c>
    </row>
    <row r="749">
      <c r="A749" t="inlineStr">
        <is>
          <t xml:space="preserve">    مسجدحارثه النعمان .</t>
        </is>
      </c>
      <c r="B749" t="inlineStr">
        <is>
          <t>KFM2120660281583</t>
        </is>
      </c>
      <c r="C749" t="inlineStr">
        <is>
          <t>الزلفي</t>
        </is>
      </c>
      <c r="D749" t="inlineStr">
        <is>
          <t>مساءا</t>
        </is>
      </c>
      <c r="E749" t="n">
        <v>423</v>
      </c>
      <c r="F749" t="b">
        <v>0</v>
      </c>
      <c r="G749">
        <f>HYPERLINK("https://www.google.com/maps/search/?api=1&amp;query=26.31834558,44.9109559", "View Map")</f>
        <v/>
      </c>
    </row>
    <row r="750">
      <c r="A750" t="inlineStr">
        <is>
          <t xml:space="preserve">      مسجد/ابراهيم بن على الشدى .</t>
        </is>
      </c>
      <c r="B750" t="inlineStr">
        <is>
          <t>KFM2020760210475</t>
        </is>
      </c>
      <c r="C750" t="inlineStr">
        <is>
          <t>حريملاء</t>
        </is>
      </c>
      <c r="D750" t="inlineStr">
        <is>
          <t>مساءا</t>
        </is>
      </c>
      <c r="E750" t="n">
        <v>422</v>
      </c>
      <c r="F750" t="b">
        <v>0</v>
      </c>
      <c r="G750">
        <f>HYPERLINK("https://www.google.com/maps/search/?api=1&amp;query=25.11260531,46.09936646", "View Map")</f>
        <v/>
      </c>
    </row>
    <row r="751">
      <c r="A751" t="inlineStr">
        <is>
          <t xml:space="preserve">   مسجد      عبدالله   الحزيمي .</t>
        </is>
      </c>
      <c r="B751" t="inlineStr">
        <is>
          <t>KFM2020760136168</t>
        </is>
      </c>
      <c r="C751" t="inlineStr">
        <is>
          <t>المجمعة</t>
        </is>
      </c>
      <c r="D751" t="inlineStr">
        <is>
          <t>صباحا</t>
        </is>
      </c>
      <c r="E751" t="n">
        <v>421</v>
      </c>
      <c r="F751" t="b">
        <v>0</v>
      </c>
      <c r="G751">
        <f>HYPERLINK("https://www.google.com/maps/search/?api=1&amp;query=25.90596836,45.36872831", "View Map")</f>
        <v/>
      </c>
    </row>
    <row r="752">
      <c r="A752" t="inlineStr">
        <is>
          <t xml:space="preserve">    مسجد ثمامه بن اثال .</t>
        </is>
      </c>
      <c r="B752" t="inlineStr">
        <is>
          <t>AES2120896544839</t>
        </is>
      </c>
      <c r="C752" t="inlineStr">
        <is>
          <t>الزلفي</t>
        </is>
      </c>
      <c r="D752" t="inlineStr">
        <is>
          <t>مساءا</t>
        </is>
      </c>
      <c r="E752" t="n">
        <v>421</v>
      </c>
      <c r="F752" t="b">
        <v>0</v>
      </c>
      <c r="G752">
        <f>HYPERLINK("https://www.google.com/maps/search/?api=1&amp;query=26.28630093,44.8260212", "View Map")</f>
        <v/>
      </c>
    </row>
    <row r="753">
      <c r="A753" t="inlineStr">
        <is>
          <t xml:space="preserve">   مسجد/ الجابرية .</t>
        </is>
      </c>
      <c r="B753" t="inlineStr">
        <is>
          <t>KFM2120861246832</t>
        </is>
      </c>
      <c r="C753" t="inlineStr">
        <is>
          <t>المجمعة</t>
        </is>
      </c>
      <c r="D753" t="inlineStr">
        <is>
          <t>مساءا</t>
        </is>
      </c>
      <c r="E753" t="n">
        <v>421</v>
      </c>
      <c r="F753" t="b">
        <v>0</v>
      </c>
      <c r="G753">
        <f>HYPERLINK("https://www.google.com/maps/search/?api=1&amp;query=26.50695,45.3694", "View Map")</f>
        <v/>
      </c>
    </row>
    <row r="754">
      <c r="A754" t="inlineStr">
        <is>
          <t xml:space="preserve">      مـسـجـد الجنيح بالروضه .</t>
        </is>
      </c>
      <c r="B754" t="inlineStr">
        <is>
          <t>KFM2120660279080</t>
        </is>
      </c>
      <c r="C754" t="inlineStr">
        <is>
          <t>المجمعة</t>
        </is>
      </c>
      <c r="D754" t="inlineStr">
        <is>
          <t>صباحا</t>
        </is>
      </c>
      <c r="E754" t="n">
        <v>420</v>
      </c>
      <c r="F754" t="b">
        <v>1</v>
      </c>
      <c r="G754">
        <f>HYPERLINK("https://www.google.com/maps/search/?api=1&amp;query=25.62754224,45.5687825", "View Map")</f>
        <v/>
      </c>
    </row>
    <row r="755">
      <c r="A755" t="inlineStr">
        <is>
          <t xml:space="preserve">   مسجد زيد بن ثابت بام طليحة .</t>
        </is>
      </c>
      <c r="B755" t="inlineStr">
        <is>
          <t>AES2120896565826</t>
        </is>
      </c>
      <c r="C755" t="inlineStr">
        <is>
          <t>المجمعة</t>
        </is>
      </c>
      <c r="D755" t="inlineStr">
        <is>
          <t>مساءا</t>
        </is>
      </c>
      <c r="E755" t="n">
        <v>417</v>
      </c>
      <c r="F755" t="b">
        <v>0</v>
      </c>
      <c r="G755">
        <f>HYPERLINK("https://www.google.com/maps/search/?api=1&amp;query=26.77541715,45.32525225", "View Map")</f>
        <v/>
      </c>
    </row>
    <row r="756">
      <c r="A756" t="inlineStr">
        <is>
          <t xml:space="preserve">   جامع أسامة بن زيد .</t>
        </is>
      </c>
      <c r="B756" t="inlineStr">
        <is>
          <t>KFM2120660257574</t>
        </is>
      </c>
      <c r="C756" t="inlineStr">
        <is>
          <t>المجمعة</t>
        </is>
      </c>
      <c r="D756" t="inlineStr">
        <is>
          <t>صباحا</t>
        </is>
      </c>
      <c r="E756" t="n">
        <v>416</v>
      </c>
      <c r="F756" t="b">
        <v>0</v>
      </c>
      <c r="G756">
        <f>HYPERLINK("https://www.google.com/maps/search/?api=1&amp;query=25.946685,45.35921406", "View Map")</f>
        <v/>
      </c>
    </row>
    <row r="757">
      <c r="A757" t="inlineStr">
        <is>
          <t xml:space="preserve">      مسجد محمد بن نامى .</t>
        </is>
      </c>
      <c r="B757" t="inlineStr">
        <is>
          <t>MMF2420801302967</t>
        </is>
      </c>
      <c r="C757" t="inlineStr">
        <is>
          <t>ثادق</t>
        </is>
      </c>
      <c r="D757" t="inlineStr">
        <is>
          <t>صباحا</t>
        </is>
      </c>
      <c r="E757" t="n">
        <v>415</v>
      </c>
      <c r="F757" t="b">
        <v>0</v>
      </c>
      <c r="G757">
        <f>HYPERLINK("https://www.google.com/maps/search/?api=1&amp;query=25.17511556,45.80038916", "View Map")</f>
        <v/>
      </c>
    </row>
    <row r="758">
      <c r="A758" t="inlineStr">
        <is>
          <t xml:space="preserve">    مسجد الشوكاني بحي الصديق .</t>
        </is>
      </c>
      <c r="B758" t="inlineStr">
        <is>
          <t>KFM2020660160315</t>
        </is>
      </c>
      <c r="C758" t="inlineStr">
        <is>
          <t>الزلفي</t>
        </is>
      </c>
      <c r="D758" t="inlineStr">
        <is>
          <t>صباحا</t>
        </is>
      </c>
      <c r="E758" t="n">
        <v>415</v>
      </c>
      <c r="F758" t="b">
        <v>0</v>
      </c>
      <c r="G758">
        <f>HYPERLINK("https://www.google.com/maps/search/?api=1&amp;query=26.29682758,44.8256003", "View Map")</f>
        <v/>
      </c>
    </row>
    <row r="759">
      <c r="A759" t="inlineStr">
        <is>
          <t xml:space="preserve">   مسجدعثمان المحارب   اوقاف سدير .</t>
        </is>
      </c>
      <c r="B759" t="inlineStr">
        <is>
          <t>SMR2420761041052</t>
        </is>
      </c>
      <c r="C759" t="inlineStr">
        <is>
          <t>المجمعة</t>
        </is>
      </c>
      <c r="D759" t="inlineStr">
        <is>
          <t>صباحا</t>
        </is>
      </c>
      <c r="E759" t="n">
        <v>415</v>
      </c>
      <c r="F759" t="b">
        <v>1</v>
      </c>
      <c r="G759">
        <f>HYPERLINK("https://www.google.com/maps/search/?api=1&amp;query=25.91176436,45.37060117", "View Map")</f>
        <v/>
      </c>
    </row>
    <row r="760">
      <c r="A760" t="inlineStr">
        <is>
          <t xml:space="preserve">   مسحد ناصر الخميس    (644) .</t>
        </is>
      </c>
      <c r="B760" t="inlineStr">
        <is>
          <t>KFM2020660210008</t>
        </is>
      </c>
      <c r="C760" t="inlineStr">
        <is>
          <t>المجمعة</t>
        </is>
      </c>
      <c r="D760" t="inlineStr">
        <is>
          <t>صباحا</t>
        </is>
      </c>
      <c r="E760" t="n">
        <v>415</v>
      </c>
      <c r="F760" t="b">
        <v>0</v>
      </c>
      <c r="G760">
        <f>HYPERLINK("https://www.google.com/maps/search/?api=1&amp;query=25.90463442,45.37002925", "View Map")</f>
        <v/>
      </c>
    </row>
    <row r="761">
      <c r="A761" t="inlineStr">
        <is>
          <t>ﺍﻭﻗﺎﻑ ﻭﻤﺴﺎﺠﺩ ( ) .</t>
        </is>
      </c>
      <c r="B761" t="inlineStr">
        <is>
          <t>SMR2220661006762</t>
        </is>
      </c>
      <c r="C761" t="inlineStr">
        <is>
          <t>الزلفي</t>
        </is>
      </c>
      <c r="D761" t="inlineStr">
        <is>
          <t>صباحا</t>
        </is>
      </c>
      <c r="E761" t="n">
        <v>413</v>
      </c>
      <c r="F761" t="b">
        <v>0</v>
      </c>
      <c r="G761">
        <f>HYPERLINK("https://www.google.com/maps/search/?api=1&amp;query=26.32287771,44.80793044", "View Map")</f>
        <v/>
      </c>
    </row>
    <row r="762">
      <c r="A762" t="inlineStr">
        <is>
          <t>مسجد صلاح الدين .</t>
        </is>
      </c>
      <c r="B762" t="inlineStr">
        <is>
          <t>KFM2020760020920</t>
        </is>
      </c>
      <c r="C762" t="inlineStr">
        <is>
          <t>المجمعة</t>
        </is>
      </c>
      <c r="D762" t="inlineStr">
        <is>
          <t>صباحا</t>
        </is>
      </c>
      <c r="E762" t="n">
        <v>410</v>
      </c>
      <c r="F762" t="b">
        <v>1</v>
      </c>
      <c r="G762">
        <f>HYPERLINK("https://www.google.com/maps/search/?api=1&amp;query=25.9178453,45.3854964", "View Map")</f>
        <v/>
      </c>
    </row>
    <row r="763">
      <c r="A763" t="inlineStr">
        <is>
          <t>مسجد غازي بن محمد العتيبي .</t>
        </is>
      </c>
      <c r="B763" t="inlineStr">
        <is>
          <t>AEC2020830178010</t>
        </is>
      </c>
      <c r="C763" t="inlineStr">
        <is>
          <t>المجمعة</t>
        </is>
      </c>
      <c r="D763" t="inlineStr">
        <is>
          <t>مساءا</t>
        </is>
      </c>
      <c r="E763" t="n">
        <v>410</v>
      </c>
      <c r="F763" t="b">
        <v>0</v>
      </c>
      <c r="G763">
        <f>HYPERLINK("https://www.google.com/maps/search/?api=1&amp;query=25.90278925,45.39829077", "View Map")</f>
        <v/>
      </c>
    </row>
    <row r="764">
      <c r="A764" t="inlineStr">
        <is>
          <t xml:space="preserve">  مكتبالاوقاف بحوطةسديرمسجد الصناعيه .</t>
        </is>
      </c>
      <c r="B764" t="inlineStr">
        <is>
          <t>KFM2020660050197</t>
        </is>
      </c>
      <c r="C764" t="inlineStr">
        <is>
          <t>المجمعة</t>
        </is>
      </c>
      <c r="D764" t="inlineStr">
        <is>
          <t>صباحا</t>
        </is>
      </c>
      <c r="E764" t="n">
        <v>407</v>
      </c>
      <c r="F764" t="b">
        <v>0</v>
      </c>
      <c r="G764">
        <f>HYPERLINK("https://www.google.com/maps/search/?api=1&amp;query=25.59012352,45.63047197", "View Map")</f>
        <v/>
      </c>
    </row>
    <row r="765">
      <c r="A765" t="inlineStr">
        <is>
          <t>ﻓﺭﻉ ﺍﻻﻭﻗﺎﻑ ﺒﺤﻭﻁﻩ ﺴﺩﻴﺭ .</t>
        </is>
      </c>
      <c r="B765" t="inlineStr">
        <is>
          <t>DZG2020850051712</t>
        </is>
      </c>
      <c r="C765" t="inlineStr">
        <is>
          <t>المجمعة</t>
        </is>
      </c>
      <c r="D765" t="inlineStr">
        <is>
          <t>صباحا</t>
        </is>
      </c>
      <c r="E765" t="n">
        <v>407</v>
      </c>
      <c r="F765" t="b">
        <v>0</v>
      </c>
      <c r="G765">
        <f>HYPERLINK("https://www.google.com/maps/search/?api=1&amp;query=25.70290708,45.45487016", "View Map")</f>
        <v/>
      </c>
    </row>
    <row r="766">
      <c r="A766" t="inlineStr">
        <is>
          <t xml:space="preserve">   مسجد عبدالله الزومان .</t>
        </is>
      </c>
      <c r="B766" t="inlineStr">
        <is>
          <t>KFM2020860114195</t>
        </is>
      </c>
      <c r="C766" t="inlineStr">
        <is>
          <t>المجمعة</t>
        </is>
      </c>
      <c r="D766" t="inlineStr">
        <is>
          <t>مساءا</t>
        </is>
      </c>
      <c r="E766" t="n">
        <v>406</v>
      </c>
      <c r="F766" t="b">
        <v>0</v>
      </c>
      <c r="G766">
        <f>HYPERLINK("https://www.google.com/maps/search/?api=1&amp;query=25.8988695,45.36611075", "View Map")</f>
        <v/>
      </c>
    </row>
    <row r="767">
      <c r="A767" t="inlineStr">
        <is>
          <t xml:space="preserve">   مسجد برجس تركي العمر بالغاط .</t>
        </is>
      </c>
      <c r="B767" t="inlineStr">
        <is>
          <t>AES2020896210228</t>
        </is>
      </c>
      <c r="C767" t="inlineStr">
        <is>
          <t>الغاط</t>
        </is>
      </c>
      <c r="D767" t="inlineStr">
        <is>
          <t>صباحا</t>
        </is>
      </c>
      <c r="E767" t="n">
        <v>403</v>
      </c>
      <c r="F767" t="b">
        <v>0</v>
      </c>
      <c r="G767">
        <f>HYPERLINK("https://www.google.com/maps/search/?api=1&amp;query=26.041492,44.9381749", "View Map")</f>
        <v/>
      </c>
    </row>
    <row r="768">
      <c r="A768" t="inlineStr">
        <is>
          <t>ﺍﻭﻗﺎﻑ ﻭﻤﺴﺎﺠﺩ ( ) .</t>
        </is>
      </c>
      <c r="B768" t="inlineStr">
        <is>
          <t>KFM2020660207190</t>
        </is>
      </c>
      <c r="C768" t="inlineStr">
        <is>
          <t>الزلفي</t>
        </is>
      </c>
      <c r="D768" t="inlineStr">
        <is>
          <t>صباحا</t>
        </is>
      </c>
      <c r="E768" t="n">
        <v>400</v>
      </c>
      <c r="F768" t="b">
        <v>0</v>
      </c>
      <c r="G768">
        <f>HYPERLINK("https://www.google.com/maps/search/?api=1&amp;query=26.33966755,44.79464439", "View Map")</f>
        <v/>
      </c>
    </row>
    <row r="769">
      <c r="A769" t="inlineStr">
        <is>
          <t xml:space="preserve">   اوقاف  حوطة سدير مسجد حى النهضة .</t>
        </is>
      </c>
      <c r="B769" t="inlineStr">
        <is>
          <t>KFM2020766129536</t>
        </is>
      </c>
      <c r="C769" t="inlineStr">
        <is>
          <t>المجمعة</t>
        </is>
      </c>
      <c r="D769" t="inlineStr">
        <is>
          <t>صباحا</t>
        </is>
      </c>
      <c r="E769" t="n">
        <v>399</v>
      </c>
      <c r="F769" t="b">
        <v>0</v>
      </c>
      <c r="G769">
        <f>HYPERLINK("https://www.google.com/maps/search/?api=1&amp;query=25.6053,45.61804", "View Map")</f>
        <v/>
      </c>
    </row>
    <row r="770">
      <c r="A770" t="inlineStr">
        <is>
          <t xml:space="preserve">   مسجدالمهنا م 136 .</t>
        </is>
      </c>
      <c r="B770" t="inlineStr">
        <is>
          <t>KFM2020766154288</t>
        </is>
      </c>
      <c r="C770" t="inlineStr">
        <is>
          <t>ثادق</t>
        </is>
      </c>
      <c r="D770" t="inlineStr">
        <is>
          <t>صباحا</t>
        </is>
      </c>
      <c r="E770" t="n">
        <v>398</v>
      </c>
      <c r="F770" t="b">
        <v>0</v>
      </c>
      <c r="G770">
        <f>HYPERLINK("https://www.google.com/maps/search/?api=1&amp;query=25.26962625,45.861341", "View Map")</f>
        <v/>
      </c>
    </row>
    <row r="771">
      <c r="A771" t="inlineStr">
        <is>
          <t xml:space="preserve">   مسجد المطير .</t>
        </is>
      </c>
      <c r="B771" t="inlineStr">
        <is>
          <t>KFM2020766128715</t>
        </is>
      </c>
      <c r="C771" t="inlineStr">
        <is>
          <t>الزلفي</t>
        </is>
      </c>
      <c r="D771" t="inlineStr">
        <is>
          <t>صباحا</t>
        </is>
      </c>
      <c r="E771" t="n">
        <v>395</v>
      </c>
      <c r="F771" t="b">
        <v>0</v>
      </c>
      <c r="G771">
        <f>HYPERLINK("https://www.google.com/maps/search/?api=1&amp;query=26.34964155,44.79082618", "View Map")</f>
        <v/>
      </c>
    </row>
    <row r="772">
      <c r="A772" t="inlineStr">
        <is>
          <t>أوقاف ومساجد رماح / مخطط 71 .</t>
        </is>
      </c>
      <c r="B772" t="inlineStr">
        <is>
          <t>AES2120896537238</t>
        </is>
      </c>
      <c r="C772" t="inlineStr">
        <is>
          <t>رماح</t>
        </is>
      </c>
      <c r="D772" t="inlineStr">
        <is>
          <t>صباحا</t>
        </is>
      </c>
      <c r="E772" t="n">
        <v>393</v>
      </c>
      <c r="F772" t="b">
        <v>0</v>
      </c>
      <c r="G772">
        <f>HYPERLINK("https://www.google.com/maps/search/?api=1&amp;query=25.56640742,47.15029653", "View Map")</f>
        <v/>
      </c>
    </row>
    <row r="773">
      <c r="A773" t="inlineStr">
        <is>
          <t xml:space="preserve">   مسجدخلف عبدالله الخلف .</t>
        </is>
      </c>
      <c r="B773" t="inlineStr">
        <is>
          <t>AES2020896525335</t>
        </is>
      </c>
      <c r="C773" t="inlineStr">
        <is>
          <t>الزلفي</t>
        </is>
      </c>
      <c r="D773" t="inlineStr">
        <is>
          <t>صباحا</t>
        </is>
      </c>
      <c r="E773" t="n">
        <v>393</v>
      </c>
      <c r="F773" t="b">
        <v>0</v>
      </c>
      <c r="G773">
        <f>HYPERLINK("https://www.google.com/maps/search/?api=1&amp;query=26.28104147,44.82376652", "View Map")</f>
        <v/>
      </c>
    </row>
    <row r="774">
      <c r="A774" t="inlineStr">
        <is>
          <t xml:space="preserve">   اوقاف الزلفي مسجدكعب بن مالك .</t>
        </is>
      </c>
      <c r="B774" t="inlineStr">
        <is>
          <t>KFM2020766147184</t>
        </is>
      </c>
      <c r="C774" t="inlineStr">
        <is>
          <t>الزلفي</t>
        </is>
      </c>
      <c r="D774" t="inlineStr">
        <is>
          <t>صباحا</t>
        </is>
      </c>
      <c r="E774" t="n">
        <v>392</v>
      </c>
      <c r="F774" t="b">
        <v>1</v>
      </c>
      <c r="G774">
        <f>HYPERLINK("https://www.google.com/maps/search/?api=1&amp;query=26.28890267,44.81689563", "View Map")</f>
        <v/>
      </c>
    </row>
    <row r="775">
      <c r="A775" t="inlineStr">
        <is>
          <t xml:space="preserve">    مسجد رقم(2)مخطط(28)في القصب .</t>
        </is>
      </c>
      <c r="B775" t="inlineStr">
        <is>
          <t>KFM2020766156329</t>
        </is>
      </c>
      <c r="C775" t="inlineStr">
        <is>
          <t>شقراء</t>
        </is>
      </c>
      <c r="D775" t="inlineStr">
        <is>
          <t>صباحا</t>
        </is>
      </c>
      <c r="E775" t="n">
        <v>391</v>
      </c>
      <c r="F775" t="b">
        <v>0</v>
      </c>
      <c r="G775">
        <f>HYPERLINK("https://www.google.com/maps/search/?api=1&amp;query=25.29597092,45.53238578", "View Map")</f>
        <v/>
      </c>
    </row>
    <row r="776">
      <c r="A776" t="inlineStr">
        <is>
          <t xml:space="preserve">    مســــجد  ابراهيم المعجل .</t>
        </is>
      </c>
      <c r="B776" t="inlineStr">
        <is>
          <t>KFM2020766128689</t>
        </is>
      </c>
      <c r="C776" t="inlineStr">
        <is>
          <t>المجمعة</t>
        </is>
      </c>
      <c r="D776" t="inlineStr">
        <is>
          <t>صباحا</t>
        </is>
      </c>
      <c r="E776" t="n">
        <v>391</v>
      </c>
      <c r="F776" t="b">
        <v>0</v>
      </c>
      <c r="G776">
        <f>HYPERLINK("https://www.google.com/maps/search/?api=1&amp;query=25.59108097,45.62547194", "View Map")</f>
        <v/>
      </c>
    </row>
    <row r="777">
      <c r="A777" t="inlineStr">
        <is>
          <t xml:space="preserve">          مسجد   حي   الخالدية .</t>
        </is>
      </c>
      <c r="B777" t="inlineStr">
        <is>
          <t>KFM2020766034375</t>
        </is>
      </c>
      <c r="C777" t="inlineStr">
        <is>
          <t>المجمعة</t>
        </is>
      </c>
      <c r="D777" t="inlineStr">
        <is>
          <t>صباحا</t>
        </is>
      </c>
      <c r="E777" t="n">
        <v>391</v>
      </c>
      <c r="F777" t="b">
        <v>0</v>
      </c>
      <c r="G777">
        <f>HYPERLINK("https://www.google.com/maps/search/?api=1&amp;query=25.69391774,45.88508463", "View Map")</f>
        <v/>
      </c>
    </row>
    <row r="778">
      <c r="A778" t="inlineStr">
        <is>
          <t xml:space="preserve">   مسجد/ حى بندرالدويش .</t>
        </is>
      </c>
      <c r="B778" t="inlineStr">
        <is>
          <t>SMR2020856122153</t>
        </is>
      </c>
      <c r="C778" t="inlineStr">
        <is>
          <t>المجمعة</t>
        </is>
      </c>
      <c r="D778" t="inlineStr">
        <is>
          <t>مساءا</t>
        </is>
      </c>
      <c r="E778" t="n">
        <v>391</v>
      </c>
      <c r="F778" t="b">
        <v>0</v>
      </c>
      <c r="G778">
        <f>HYPERLINK("https://www.google.com/maps/search/?api=1&amp;query=26.51683275,45.34181467", "View Map")</f>
        <v/>
      </c>
    </row>
    <row r="779">
      <c r="A779" t="inlineStr">
        <is>
          <t xml:space="preserve">   مسجد عكرمة بن ابي جهل .</t>
        </is>
      </c>
      <c r="B779" t="inlineStr">
        <is>
          <t>KFM2020766073440</t>
        </is>
      </c>
      <c r="C779" t="inlineStr">
        <is>
          <t>الزلفي</t>
        </is>
      </c>
      <c r="D779" t="inlineStr">
        <is>
          <t>صباحا</t>
        </is>
      </c>
      <c r="E779" t="n">
        <v>389</v>
      </c>
      <c r="F779" t="b">
        <v>1</v>
      </c>
      <c r="G779">
        <f>HYPERLINK("https://www.google.com/maps/search/?api=1&amp;query=26.30076037,44.7985471", "View Map")</f>
        <v/>
      </c>
    </row>
    <row r="780">
      <c r="A780" t="inlineStr">
        <is>
          <t xml:space="preserve">   مسجد حمود أحمد المزيني 27 .</t>
        </is>
      </c>
      <c r="B780" t="inlineStr">
        <is>
          <t>KFM2020760009357</t>
        </is>
      </c>
      <c r="C780" t="inlineStr">
        <is>
          <t>المجمعة</t>
        </is>
      </c>
      <c r="D780" t="inlineStr">
        <is>
          <t>صباحا</t>
        </is>
      </c>
      <c r="E780" t="n">
        <v>389</v>
      </c>
      <c r="F780" t="b">
        <v>0</v>
      </c>
      <c r="G780">
        <f>HYPERLINK("https://www.google.com/maps/search/?api=1&amp;query=25.90238454,45.35256886", "View Map")</f>
        <v/>
      </c>
    </row>
    <row r="781">
      <c r="A781" t="inlineStr">
        <is>
          <t>مسجد عبدالرحمن المقيل .</t>
        </is>
      </c>
      <c r="B781" t="inlineStr">
        <is>
          <t>KFM2020760115646</t>
        </is>
      </c>
      <c r="C781" t="inlineStr">
        <is>
          <t>المجمعة</t>
        </is>
      </c>
      <c r="D781" t="inlineStr">
        <is>
          <t>صباحا</t>
        </is>
      </c>
      <c r="E781" t="n">
        <v>388</v>
      </c>
      <c r="F781" t="b">
        <v>0</v>
      </c>
      <c r="G781">
        <f>HYPERLINK("https://www.google.com/maps/search/?api=1&amp;query=25.92605,45.37525", "View Map")</f>
        <v/>
      </c>
    </row>
    <row r="782">
      <c r="A782" t="inlineStr">
        <is>
          <t xml:space="preserve">   مسجدالحميدي البراهيم مخطط الوسام .</t>
        </is>
      </c>
      <c r="B782" t="inlineStr">
        <is>
          <t>KFM2020766128719</t>
        </is>
      </c>
      <c r="C782" t="inlineStr">
        <is>
          <t>الزلفي</t>
        </is>
      </c>
      <c r="D782" t="inlineStr">
        <is>
          <t>صباحا</t>
        </is>
      </c>
      <c r="E782" t="n">
        <v>386</v>
      </c>
      <c r="F782" t="b">
        <v>0</v>
      </c>
      <c r="G782">
        <f>HYPERLINK("https://www.google.com/maps/search/?api=1&amp;query=26.33041384,44.81401203", "View Map")</f>
        <v/>
      </c>
    </row>
    <row r="783">
      <c r="A783" t="inlineStr">
        <is>
          <t xml:space="preserve">   مسجد الجميح بالصفراء .</t>
        </is>
      </c>
      <c r="B783" t="inlineStr">
        <is>
          <t>AES2020896472007</t>
        </is>
      </c>
      <c r="C783" t="inlineStr">
        <is>
          <t>شقراء</t>
        </is>
      </c>
      <c r="D783" t="inlineStr">
        <is>
          <t>مساءا</t>
        </is>
      </c>
      <c r="E783" t="n">
        <v>365</v>
      </c>
      <c r="F783" t="b">
        <v>0</v>
      </c>
      <c r="G783">
        <f>HYPERLINK("https://www.google.com/maps/search/?api=1&amp;query=25.2365958,45.24928804", "View Map")</f>
        <v/>
      </c>
    </row>
    <row r="784">
      <c r="A784" t="inlineStr">
        <is>
          <t xml:space="preserve">   مسجد      مبارك     السبيعي .</t>
        </is>
      </c>
      <c r="B784" t="inlineStr">
        <is>
          <t>SMR2220761002613</t>
        </is>
      </c>
      <c r="C784" t="inlineStr">
        <is>
          <t>رماح</t>
        </is>
      </c>
      <c r="D784" t="inlineStr">
        <is>
          <t>مساءا</t>
        </is>
      </c>
      <c r="E784" t="n">
        <v>364</v>
      </c>
      <c r="F784" t="b">
        <v>0</v>
      </c>
      <c r="G784">
        <f>HYPERLINK("https://www.google.com/maps/search/?api=1&amp;query=25.53462099,47.17220644", "View Map")</f>
        <v/>
      </c>
    </row>
    <row r="785">
      <c r="A785" t="inlineStr">
        <is>
          <t xml:space="preserve">   جامع  مركز  مليح .</t>
        </is>
      </c>
      <c r="B785" t="inlineStr">
        <is>
          <t>KFM2120660289696</t>
        </is>
      </c>
      <c r="C785" t="inlineStr">
        <is>
          <t>الغاط</t>
        </is>
      </c>
      <c r="D785" t="inlineStr">
        <is>
          <t>مساءا</t>
        </is>
      </c>
      <c r="E785" t="n">
        <v>354</v>
      </c>
      <c r="F785" t="b">
        <v>0</v>
      </c>
      <c r="G785">
        <f>HYPERLINK("https://www.google.com/maps/search/?api=1&amp;query=26.14307655,44.91804842", "View Map")</f>
        <v/>
      </c>
    </row>
    <row r="786">
      <c r="A786" t="inlineStr">
        <is>
          <t xml:space="preserve">     مسجد المورقى .</t>
        </is>
      </c>
      <c r="B786" t="inlineStr">
        <is>
          <t>AES2120896574539</t>
        </is>
      </c>
      <c r="C786" t="inlineStr">
        <is>
          <t>المجمعة</t>
        </is>
      </c>
      <c r="D786" t="inlineStr">
        <is>
          <t>صباحا</t>
        </is>
      </c>
      <c r="E786" t="n">
        <v>354</v>
      </c>
      <c r="F786" t="b">
        <v>0</v>
      </c>
      <c r="G786">
        <f>HYPERLINK("https://www.google.com/maps/search/?api=1&amp;query=26.52713,45.34123", "View Map")</f>
        <v/>
      </c>
    </row>
    <row r="787">
      <c r="A787" t="inlineStr">
        <is>
          <t>ﻓﺭﻉ ﺍﻻﻭﻗﺎﻑ ﺒﺤﻭﻁﻩ ﺴﺩﻴﺭ .</t>
        </is>
      </c>
      <c r="B787" t="inlineStr">
        <is>
          <t>AES2020896450410</t>
        </is>
      </c>
      <c r="C787" t="inlineStr">
        <is>
          <t>المجمعة</t>
        </is>
      </c>
      <c r="D787" t="inlineStr">
        <is>
          <t>مساءا</t>
        </is>
      </c>
      <c r="E787" t="n">
        <v>344</v>
      </c>
      <c r="F787" t="b">
        <v>0</v>
      </c>
      <c r="G787">
        <f>HYPERLINK("https://www.google.com/maps/search/?api=1&amp;query=25.70290708,45.45487016", "View Map")</f>
        <v/>
      </c>
    </row>
    <row r="788">
      <c r="A788" t="inlineStr">
        <is>
          <t xml:space="preserve">   جامع الربيعة / الأوقاف .</t>
        </is>
      </c>
      <c r="B788" t="inlineStr">
        <is>
          <t>KFM2020660139554</t>
        </is>
      </c>
      <c r="C788" t="inlineStr">
        <is>
          <t>شقراء</t>
        </is>
      </c>
      <c r="D788" t="inlineStr">
        <is>
          <t>صباحا</t>
        </is>
      </c>
      <c r="E788" t="n">
        <v>342</v>
      </c>
      <c r="F788" t="b">
        <v>0</v>
      </c>
      <c r="G788">
        <f>HYPERLINK("https://www.google.com/maps/search/?api=1&amp;query=25.24849802,45.25629547", "View Map")</f>
        <v/>
      </c>
    </row>
    <row r="789">
      <c r="A789" t="inlineStr">
        <is>
          <t>ﺃﻭﻗﺎﻑ ﻭﻤﺴﺎﺠﺩ ﺭﻤﺎﺡ .</t>
        </is>
      </c>
      <c r="B789" t="inlineStr">
        <is>
          <t>KFM2020660199587</t>
        </is>
      </c>
      <c r="C789" t="inlineStr">
        <is>
          <t>رماح</t>
        </is>
      </c>
      <c r="D789" t="inlineStr">
        <is>
          <t>صباحا</t>
        </is>
      </c>
      <c r="E789" t="n">
        <v>339</v>
      </c>
      <c r="F789" t="b">
        <v>0</v>
      </c>
      <c r="G789">
        <f>HYPERLINK("https://www.google.com/maps/search/?api=1&amp;query=25.5420375,47.16221717", "View Map")</f>
        <v/>
      </c>
    </row>
    <row r="790">
      <c r="A790" t="inlineStr">
        <is>
          <t>ﺃﻭﻗﺎﻑ ﻭﻤﺴﺎﺠﺩ ﺭﻤﺎﺡ .</t>
        </is>
      </c>
      <c r="B790" t="inlineStr">
        <is>
          <t>LYE2020830269632</t>
        </is>
      </c>
      <c r="C790" t="inlineStr">
        <is>
          <t>رماح</t>
        </is>
      </c>
      <c r="D790" t="inlineStr">
        <is>
          <t>مساءا</t>
        </is>
      </c>
      <c r="E790" t="n">
        <v>333</v>
      </c>
      <c r="F790" t="b">
        <v>0</v>
      </c>
      <c r="G790">
        <f>HYPERLINK("https://www.google.com/maps/search/?api=1&amp;query=25.54753271,47.16383414", "View Map")</f>
        <v/>
      </c>
    </row>
    <row r="791">
      <c r="A791" t="inlineStr">
        <is>
          <t>ﺍﻭﻗﺎﻑ ﺍﻻﺭﻁﺎﻭﻴﺓ .</t>
        </is>
      </c>
      <c r="B791" t="inlineStr">
        <is>
          <t>MMF2020801004528</t>
        </is>
      </c>
      <c r="C791" t="inlineStr">
        <is>
          <t>المجمعة</t>
        </is>
      </c>
      <c r="D791" t="inlineStr">
        <is>
          <t>مساءا</t>
        </is>
      </c>
      <c r="E791" t="n">
        <v>329</v>
      </c>
      <c r="F791" t="b">
        <v>0</v>
      </c>
      <c r="G791">
        <f>HYPERLINK("https://www.google.com/maps/search/?api=1&amp;query=26.5090677,45.34735978", "View Map")</f>
        <v/>
      </c>
    </row>
    <row r="792">
      <c r="A792" t="inlineStr">
        <is>
          <t xml:space="preserve">   جامع هجره سعد .</t>
        </is>
      </c>
      <c r="B792" t="inlineStr">
        <is>
          <t>KFM2020766147248</t>
        </is>
      </c>
      <c r="C792" t="inlineStr">
        <is>
          <t>رماح</t>
        </is>
      </c>
      <c r="D792" t="inlineStr">
        <is>
          <t>مساءا</t>
        </is>
      </c>
      <c r="E792" t="n">
        <v>327</v>
      </c>
      <c r="F792" t="b">
        <v>0</v>
      </c>
      <c r="G792">
        <f>HYPERLINK("https://www.google.com/maps/search/?api=1&amp;query=25.40415528,47.21579319", "View Map")</f>
        <v/>
      </c>
    </row>
    <row r="793">
      <c r="A793" t="inlineStr">
        <is>
          <t xml:space="preserve">   مسجد عمر بن الخطاب .</t>
        </is>
      </c>
      <c r="B793" t="inlineStr">
        <is>
          <t>KFM2020766146017</t>
        </is>
      </c>
      <c r="C793" t="inlineStr">
        <is>
          <t>رماح</t>
        </is>
      </c>
      <c r="D793" t="inlineStr">
        <is>
          <t>صباحا</t>
        </is>
      </c>
      <c r="E793" t="n">
        <v>310</v>
      </c>
      <c r="F793" t="b">
        <v>0</v>
      </c>
      <c r="G793">
        <f>HYPERLINK("https://www.google.com/maps/search/?api=1&amp;query=25.55632109,47.17210416", "View Map")</f>
        <v/>
      </c>
    </row>
    <row r="794">
      <c r="A794" t="inlineStr">
        <is>
          <t>مسجد فيصل بن مطلق .</t>
        </is>
      </c>
      <c r="B794" t="inlineStr">
        <is>
          <t>KFM2020660150014</t>
        </is>
      </c>
      <c r="C794" t="inlineStr">
        <is>
          <t>رماح</t>
        </is>
      </c>
      <c r="D794" t="inlineStr">
        <is>
          <t>مساءا</t>
        </is>
      </c>
      <c r="E794" t="n">
        <v>307</v>
      </c>
      <c r="F794" t="b">
        <v>0</v>
      </c>
      <c r="G794">
        <f>HYPERLINK("https://www.google.com/maps/search/?api=1&amp;query=25.54037221,47.17522838", "View Map")</f>
        <v/>
      </c>
    </row>
    <row r="795">
      <c r="A795" t="inlineStr">
        <is>
          <t>ﺃﻭﻗﺎﻑ ﻭﻤﺴﺎﺠﺩ ﺭﻤﺎﺡ .</t>
        </is>
      </c>
      <c r="B795" t="inlineStr">
        <is>
          <t>MMF2420801312228</t>
        </is>
      </c>
      <c r="C795" t="inlineStr">
        <is>
          <t>رماح</t>
        </is>
      </c>
      <c r="D795" t="inlineStr">
        <is>
          <t>مساءا</t>
        </is>
      </c>
      <c r="E795" t="n">
        <v>295</v>
      </c>
      <c r="F795" t="b">
        <v>0</v>
      </c>
      <c r="G795">
        <f>HYPERLINK("https://www.google.com/maps/search/?api=1&amp;query=25.55826481,47.15430599", "View Map")</f>
        <v/>
      </c>
    </row>
    <row r="796">
      <c r="A796" t="inlineStr">
        <is>
          <t xml:space="preserve">   مسجدجامع الفرعة .</t>
        </is>
      </c>
      <c r="B796" t="inlineStr">
        <is>
          <t>KFM2020660173742</t>
        </is>
      </c>
      <c r="C796" t="inlineStr">
        <is>
          <t>شقراء</t>
        </is>
      </c>
      <c r="D796" t="inlineStr">
        <is>
          <t>مساءا</t>
        </is>
      </c>
      <c r="E796" t="n">
        <v>290</v>
      </c>
      <c r="F796" t="b">
        <v>0</v>
      </c>
      <c r="G796">
        <f>HYPERLINK("https://www.google.com/maps/search/?api=1&amp;query=25.33101947,45.19765554", "View Map")</f>
        <v/>
      </c>
    </row>
    <row r="797">
      <c r="A797" t="inlineStr">
        <is>
          <t xml:space="preserve">   مسجد جامع هجرة سعد .</t>
        </is>
      </c>
      <c r="B797" t="inlineStr">
        <is>
          <t>KFM2020660206843</t>
        </is>
      </c>
      <c r="C797" t="inlineStr">
        <is>
          <t>رماح</t>
        </is>
      </c>
      <c r="D797" t="inlineStr">
        <is>
          <t>مساءا</t>
        </is>
      </c>
      <c r="E797" t="n">
        <v>288</v>
      </c>
      <c r="F797" t="b">
        <v>0</v>
      </c>
      <c r="G797">
        <f>HYPERLINK("https://www.google.com/maps/search/?api=1&amp;query=25.40415528,47.21579319", "View Map")</f>
        <v/>
      </c>
    </row>
    <row r="798">
      <c r="A798" t="inlineStr">
        <is>
          <t xml:space="preserve">   جــــامــــع الغيلانه .</t>
        </is>
      </c>
      <c r="B798" t="inlineStr">
        <is>
          <t>KFM2020660199670</t>
        </is>
      </c>
      <c r="C798" t="inlineStr">
        <is>
          <t>رماح</t>
        </is>
      </c>
      <c r="D798" t="inlineStr">
        <is>
          <t>صباحا</t>
        </is>
      </c>
      <c r="E798" t="n">
        <v>280</v>
      </c>
      <c r="F798" t="b">
        <v>0</v>
      </c>
      <c r="G798">
        <f>HYPERLINK("https://www.google.com/maps/search/?api=1&amp;query=25.40939403,47.21216753", "View Map")</f>
        <v/>
      </c>
    </row>
    <row r="799">
      <c r="A799" t="inlineStr">
        <is>
          <t xml:space="preserve">      مسجد قضيب بحريملاء .</t>
        </is>
      </c>
      <c r="B799" t="inlineStr">
        <is>
          <t>AEC2020830564367</t>
        </is>
      </c>
      <c r="C799" t="inlineStr">
        <is>
          <t>حريملاء</t>
        </is>
      </c>
      <c r="D799" t="inlineStr">
        <is>
          <t>صباحا</t>
        </is>
      </c>
      <c r="E799" t="n">
        <v>274</v>
      </c>
      <c r="F799" t="b">
        <v>0</v>
      </c>
      <c r="G799">
        <f>HYPERLINK("https://www.google.com/maps/search/?api=1&amp;query=25.12593489,46.11685661", "View Map")</f>
        <v/>
      </c>
    </row>
    <row r="800">
      <c r="A800" t="inlineStr">
        <is>
          <t xml:space="preserve">   مسجد      مخطط      برماح .</t>
        </is>
      </c>
      <c r="B800" t="inlineStr">
        <is>
          <t>KFM2020660199548</t>
        </is>
      </c>
      <c r="C800" t="inlineStr">
        <is>
          <t>رماح</t>
        </is>
      </c>
      <c r="D800" t="inlineStr">
        <is>
          <t>صباحا</t>
        </is>
      </c>
      <c r="E800" t="n">
        <v>258</v>
      </c>
      <c r="F800" t="b">
        <v>0</v>
      </c>
      <c r="G800">
        <f>HYPERLINK("https://www.google.com/maps/search/?api=1&amp;query=25.55586023,47.17488934", "View Map")</f>
        <v/>
      </c>
    </row>
    <row r="801">
      <c r="A801" t="inlineStr">
        <is>
          <t xml:space="preserve">   مسجد عمرابن الخطاب  رضي الله عنه .</t>
        </is>
      </c>
      <c r="B801" t="inlineStr">
        <is>
          <t>KFM2020766141130</t>
        </is>
      </c>
      <c r="C801" t="inlineStr">
        <is>
          <t>رماح</t>
        </is>
      </c>
      <c r="D801" t="inlineStr">
        <is>
          <t>صباحا</t>
        </is>
      </c>
      <c r="E801" t="n">
        <v>253</v>
      </c>
      <c r="F801" t="b">
        <v>0</v>
      </c>
      <c r="G801">
        <f>HYPERLINK("https://www.google.com/maps/search/?api=1&amp;query=25.55083568,47.1737786", "View Map")</f>
        <v/>
      </c>
    </row>
    <row r="802">
      <c r="A802" t="inlineStr">
        <is>
          <t xml:space="preserve">   مسجدـ دحيم سعد بن شويه .</t>
        </is>
      </c>
      <c r="B802" t="inlineStr">
        <is>
          <t>KFM2020660199541</t>
        </is>
      </c>
      <c r="C802" t="inlineStr">
        <is>
          <t>رماح</t>
        </is>
      </c>
      <c r="D802" t="inlineStr">
        <is>
          <t>صباحا</t>
        </is>
      </c>
      <c r="E802" t="n">
        <v>247</v>
      </c>
      <c r="F802" t="b">
        <v>0</v>
      </c>
      <c r="G802">
        <f>HYPERLINK("https://www.google.com/maps/search/?api=1&amp;query=25.55884105,47.17374692", "View Map")</f>
        <v/>
      </c>
    </row>
    <row r="803">
      <c r="A803" t="inlineStr">
        <is>
          <t xml:space="preserve">   وزارة الشئون الأسلا مية مسجد .</t>
        </is>
      </c>
      <c r="B803" t="inlineStr">
        <is>
          <t>KFM2020660199596</t>
        </is>
      </c>
      <c r="C803" t="inlineStr">
        <is>
          <t>رماح</t>
        </is>
      </c>
      <c r="D803" t="inlineStr">
        <is>
          <t>صباحا</t>
        </is>
      </c>
      <c r="E803" t="n">
        <v>235</v>
      </c>
      <c r="F803" t="b">
        <v>0</v>
      </c>
      <c r="G803">
        <f>HYPERLINK("https://www.google.com/maps/search/?api=1&amp;query=25.54815679,47.16352871", "View Map")</f>
        <v/>
      </c>
    </row>
    <row r="804">
      <c r="A804" t="inlineStr">
        <is>
          <t>ﺃﻭﻗﺎﻑ ﻭﻤﺴﺎﺠﺩ ﺭﻤﺎﺡ .</t>
        </is>
      </c>
      <c r="B804" t="inlineStr">
        <is>
          <t>ECC2420841101612</t>
        </is>
      </c>
      <c r="C804" t="inlineStr">
        <is>
          <t>رماح</t>
        </is>
      </c>
      <c r="D804" t="inlineStr">
        <is>
          <t>صباحا</t>
        </is>
      </c>
      <c r="E804" t="n">
        <v>225</v>
      </c>
      <c r="F804" t="b">
        <v>0</v>
      </c>
      <c r="G804">
        <f>HYPERLINK("https://www.google.com/maps/search/?api=1&amp;query=25.54175382,47.16558585", "View Map")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6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1" customWidth="1" min="3" max="3"/>
    <col width="20" customWidth="1" min="4" max="4"/>
    <col width="24" customWidth="1" min="5" max="5"/>
    <col width="13" customWidth="1" min="6" max="6"/>
    <col width="99" customWidth="1" min="7" max="7"/>
  </cols>
  <sheetData>
    <row r="1">
      <c r="A1" s="1" t="inlineStr">
        <is>
          <t>اسم المسجد</t>
        </is>
      </c>
      <c r="B1" s="1" t="inlineStr">
        <is>
          <t>رقم العداد</t>
        </is>
      </c>
      <c r="C1" s="1" t="inlineStr">
        <is>
          <t>المحافظة</t>
        </is>
      </c>
      <c r="D1" s="1" t="inlineStr">
        <is>
          <t>الفترة صباحا/مساءا</t>
        </is>
      </c>
      <c r="E1" s="1" t="inlineStr">
        <is>
          <t>قيمة الفاتورة الإجمالي</t>
        </is>
      </c>
      <c r="F1" s="1" t="inlineStr">
        <is>
          <t>مخالف سابقا</t>
        </is>
      </c>
      <c r="G1" s="1" t="inlineStr">
        <is>
          <t>الموقع</t>
        </is>
      </c>
    </row>
    <row r="2">
      <c r="A2" t="inlineStr">
        <is>
          <t>ﺃﻭﻗﺎﻑ ﻭﻤﺴﺎﺠﺩ ﺍﻟﻗﻭﻴﻌﻴﻩ .</t>
        </is>
      </c>
      <c r="B2" t="inlineStr">
        <is>
          <t>SMR2220661005983</t>
        </is>
      </c>
      <c r="C2" t="inlineStr">
        <is>
          <t>القويعية</t>
        </is>
      </c>
      <c r="D2" t="inlineStr">
        <is>
          <t>كلا الفترتين</t>
        </is>
      </c>
      <c r="E2" t="n">
        <v>11837</v>
      </c>
      <c r="F2" t="b">
        <v>1</v>
      </c>
      <c r="G2">
        <f>HYPERLINK("https://www.google.com/maps/search/?api=1&amp;query=24.07626638,45.30074534", "View Map")</f>
        <v/>
      </c>
    </row>
    <row r="3">
      <c r="A3" t="inlineStr">
        <is>
          <t>أوقاف ومساجد القويعيه .</t>
        </is>
      </c>
      <c r="B3" t="inlineStr">
        <is>
          <t>KFM2020660167711</t>
        </is>
      </c>
      <c r="C3" t="inlineStr">
        <is>
          <t>القويعية</t>
        </is>
      </c>
      <c r="D3" t="inlineStr">
        <is>
          <t>كلا الفترتين</t>
        </is>
      </c>
      <c r="E3" t="n">
        <v>9805</v>
      </c>
      <c r="F3" t="b">
        <v>1</v>
      </c>
      <c r="G3">
        <f>HYPERLINK("https://www.google.com/maps/search/?api=1&amp;query=24.08460266,45.32580326", "View Map")</f>
        <v/>
      </c>
    </row>
    <row r="4">
      <c r="A4" t="inlineStr">
        <is>
          <t xml:space="preserve">   مسجد الراجحي .</t>
        </is>
      </c>
      <c r="B4" t="inlineStr">
        <is>
          <t>KFM2020660172466</t>
        </is>
      </c>
      <c r="C4" t="inlineStr">
        <is>
          <t>الدوادمي</t>
        </is>
      </c>
      <c r="D4" t="inlineStr">
        <is>
          <t>كلا الفترتين</t>
        </is>
      </c>
      <c r="E4" t="n">
        <v>8398</v>
      </c>
      <c r="F4" t="b">
        <v>1</v>
      </c>
      <c r="G4">
        <f>HYPERLINK("https://www.google.com/maps/search/?api=1&amp;query=24.49120647,44.36657021", "View Map")</f>
        <v/>
      </c>
    </row>
    <row r="5">
      <c r="A5" t="inlineStr">
        <is>
          <t xml:space="preserve">   اوقاف القويعيه .</t>
        </is>
      </c>
      <c r="B5" t="inlineStr">
        <is>
          <t>AES2020896532522</t>
        </is>
      </c>
      <c r="C5" t="inlineStr">
        <is>
          <t>القويعية</t>
        </is>
      </c>
      <c r="D5" t="inlineStr">
        <is>
          <t>مساءا</t>
        </is>
      </c>
      <c r="E5" t="n">
        <v>8372</v>
      </c>
      <c r="F5" t="b">
        <v>0</v>
      </c>
      <c r="G5">
        <f>HYPERLINK("https://www.google.com/maps/search/?api=1&amp;query=24.42770408,45.31057377", "View Map")</f>
        <v/>
      </c>
    </row>
    <row r="6">
      <c r="A6" t="inlineStr">
        <is>
          <t xml:space="preserve">   مسجد  المسلط  نوارة .</t>
        </is>
      </c>
      <c r="B6" t="inlineStr">
        <is>
          <t>KFM2020660206782</t>
        </is>
      </c>
      <c r="C6" t="inlineStr">
        <is>
          <t>المزاحمية</t>
        </is>
      </c>
      <c r="D6" t="inlineStr">
        <is>
          <t>كلا الفترتين</t>
        </is>
      </c>
      <c r="E6" t="n">
        <v>8211</v>
      </c>
      <c r="F6" t="b">
        <v>1</v>
      </c>
      <c r="G6">
        <f>HYPERLINK("https://www.google.com/maps/search/?api=1&amp;query=24.4605639,46.29787354", "View Map")</f>
        <v/>
      </c>
    </row>
    <row r="7">
      <c r="A7" t="inlineStr">
        <is>
          <t xml:space="preserve">   جامع ابوبكرالصديق البويق الرين .</t>
        </is>
      </c>
      <c r="B7" t="inlineStr">
        <is>
          <t>KFM2120660264012</t>
        </is>
      </c>
      <c r="C7" t="inlineStr">
        <is>
          <t>الرين</t>
        </is>
      </c>
      <c r="D7" t="inlineStr">
        <is>
          <t>كلا الفترتين</t>
        </is>
      </c>
      <c r="E7" t="n">
        <v>8116</v>
      </c>
      <c r="F7" t="b">
        <v>1</v>
      </c>
      <c r="G7">
        <f>HYPERLINK("https://www.google.com/maps/search/?api=1&amp;query=23.54262176,45.5144862", "View Map")</f>
        <v/>
      </c>
    </row>
    <row r="8">
      <c r="A8" t="inlineStr">
        <is>
          <t xml:space="preserve">   مسجد      فرعة      بالحصاة .</t>
        </is>
      </c>
      <c r="B8" t="inlineStr">
        <is>
          <t>KFM2120660301699</t>
        </is>
      </c>
      <c r="C8" t="inlineStr">
        <is>
          <t>الرين</t>
        </is>
      </c>
      <c r="D8" t="inlineStr">
        <is>
          <t>كلا الفترتين</t>
        </is>
      </c>
      <c r="E8" t="n">
        <v>7161</v>
      </c>
      <c r="F8" t="b">
        <v>1</v>
      </c>
      <c r="G8">
        <f>HYPERLINK("https://www.google.com/maps/search/?api=1&amp;query=22.53108548,45.07763164", "View Map")</f>
        <v/>
      </c>
    </row>
    <row r="9">
      <c r="A9" t="inlineStr">
        <is>
          <t xml:space="preserve">   اوقاف المزاحميه/جامع سلطانه .</t>
        </is>
      </c>
      <c r="B9" t="inlineStr">
        <is>
          <t>KFM2020660200302</t>
        </is>
      </c>
      <c r="C9" t="inlineStr">
        <is>
          <t>القويعية</t>
        </is>
      </c>
      <c r="D9" t="inlineStr">
        <is>
          <t>كلا الفترتين</t>
        </is>
      </c>
      <c r="E9" t="n">
        <v>7128</v>
      </c>
      <c r="F9" t="b">
        <v>1</v>
      </c>
      <c r="G9">
        <f>HYPERLINK("https://www.google.com/maps/search/?api=1&amp;query=24.47537055,45.67232534", "View Map")</f>
        <v/>
      </c>
    </row>
    <row r="10">
      <c r="A10" t="inlineStr">
        <is>
          <t xml:space="preserve">   مسجد      الا وقاف   . .</t>
        </is>
      </c>
      <c r="B10" t="inlineStr">
        <is>
          <t>KFM2020660171136</t>
        </is>
      </c>
      <c r="C10" t="inlineStr">
        <is>
          <t>الدوادمي</t>
        </is>
      </c>
      <c r="D10" t="inlineStr">
        <is>
          <t>كلا الفترتين</t>
        </is>
      </c>
      <c r="E10" t="n">
        <v>6727</v>
      </c>
      <c r="F10" t="b">
        <v>1</v>
      </c>
      <c r="G10">
        <f>HYPERLINK("https://www.google.com/maps/search/?api=1&amp;query=24.73457848,43.7884768", "View Map")</f>
        <v/>
      </c>
    </row>
    <row r="11">
      <c r="A11" t="inlineStr">
        <is>
          <t xml:space="preserve">      جامع سوق  طحى .</t>
        </is>
      </c>
      <c r="B11" t="inlineStr">
        <is>
          <t>SMR2220661011880</t>
        </is>
      </c>
      <c r="C11" t="inlineStr">
        <is>
          <t>القويعية</t>
        </is>
      </c>
      <c r="D11" t="inlineStr">
        <is>
          <t>كلا الفترتين</t>
        </is>
      </c>
      <c r="E11" t="n">
        <v>6713</v>
      </c>
      <c r="F11" t="b">
        <v>1</v>
      </c>
      <c r="G11">
        <f>HYPERLINK("https://www.google.com/maps/search/?api=1&amp;query=23.72264249,44.65141602", "View Map")</f>
        <v/>
      </c>
    </row>
    <row r="12">
      <c r="A12" t="inlineStr">
        <is>
          <t xml:space="preserve">   مسجـد مخطط 433 .</t>
        </is>
      </c>
      <c r="B12" t="inlineStr">
        <is>
          <t>KFM2020660163311</t>
        </is>
      </c>
      <c r="C12" t="inlineStr">
        <is>
          <t>القويعية</t>
        </is>
      </c>
      <c r="D12" t="inlineStr">
        <is>
          <t>كلا الفترتين</t>
        </is>
      </c>
      <c r="E12" t="n">
        <v>6694</v>
      </c>
      <c r="F12" t="b">
        <v>1</v>
      </c>
      <c r="G12">
        <f>HYPERLINK("https://www.google.com/maps/search/?api=1&amp;query=23.77546139,44.7838122", "View Map")</f>
        <v/>
      </c>
    </row>
    <row r="13">
      <c r="A13" t="inlineStr">
        <is>
          <t xml:space="preserve">   اوقاف القويعية/جامع ابوبكرالصديق .</t>
        </is>
      </c>
      <c r="B13" t="inlineStr">
        <is>
          <t>KFM2120660240473</t>
        </is>
      </c>
      <c r="C13" t="inlineStr">
        <is>
          <t>القويعية</t>
        </is>
      </c>
      <c r="D13" t="inlineStr">
        <is>
          <t>كلا الفترتين</t>
        </is>
      </c>
      <c r="E13" t="n">
        <v>6321</v>
      </c>
      <c r="F13" t="b">
        <v>1</v>
      </c>
      <c r="G13">
        <f>HYPERLINK("https://www.google.com/maps/search/?api=1&amp;query=24.06148414,45.27587126", "View Map")</f>
        <v/>
      </c>
    </row>
    <row r="14">
      <c r="A14" t="inlineStr">
        <is>
          <t xml:space="preserve">   جامع      مزعل      مزعل .</t>
        </is>
      </c>
      <c r="B14" t="inlineStr">
        <is>
          <t>KFM2020660234251</t>
        </is>
      </c>
      <c r="C14" t="inlineStr">
        <is>
          <t>القويعية</t>
        </is>
      </c>
      <c r="D14" t="inlineStr">
        <is>
          <t>كلا الفترتين</t>
        </is>
      </c>
      <c r="E14" t="n">
        <v>6266</v>
      </c>
      <c r="F14" t="b">
        <v>1</v>
      </c>
      <c r="G14">
        <f>HYPERLINK("https://www.google.com/maps/search/?api=1&amp;query=24.00711148,45.19665975", "View Map")</f>
        <v/>
      </c>
    </row>
    <row r="15">
      <c r="A15" t="inlineStr">
        <is>
          <t>جامع      سعود      الزياد .</t>
        </is>
      </c>
      <c r="B15" t="inlineStr">
        <is>
          <t>KFM2020660203705</t>
        </is>
      </c>
      <c r="C15" t="inlineStr">
        <is>
          <t>المزاحمية</t>
        </is>
      </c>
      <c r="D15" t="inlineStr">
        <is>
          <t>كلا الفترتين</t>
        </is>
      </c>
      <c r="E15" t="n">
        <v>6033</v>
      </c>
      <c r="F15" t="b">
        <v>1</v>
      </c>
      <c r="G15">
        <f>HYPERLINK("https://www.google.com/maps/search/?api=1&amp;query=24.45073409,46.30022976", "View Map")</f>
        <v/>
      </c>
    </row>
    <row r="16">
      <c r="A16" t="inlineStr">
        <is>
          <t xml:space="preserve">    اوقاف الرين / جامع القزعان .</t>
        </is>
      </c>
      <c r="B16" t="inlineStr">
        <is>
          <t>KFM2020660196822</t>
        </is>
      </c>
      <c r="C16" t="inlineStr">
        <is>
          <t>الرين</t>
        </is>
      </c>
      <c r="D16" t="inlineStr">
        <is>
          <t>كلا الفترتين</t>
        </is>
      </c>
      <c r="E16" t="n">
        <v>5739</v>
      </c>
      <c r="F16" t="b">
        <v>0</v>
      </c>
      <c r="G16">
        <f>HYPERLINK("https://www.google.com/maps/search/?api=1&amp;query=23.54735269,45.48600393", "View Map")</f>
        <v/>
      </c>
    </row>
    <row r="17">
      <c r="A17" t="inlineStr">
        <is>
          <t xml:space="preserve">      المسجد الجامع الكبير .</t>
        </is>
      </c>
      <c r="B17" t="inlineStr">
        <is>
          <t>KFM2020660176242</t>
        </is>
      </c>
      <c r="C17" t="inlineStr">
        <is>
          <t>القويعية</t>
        </is>
      </c>
      <c r="D17" t="inlineStr">
        <is>
          <t>كلا الفترتين</t>
        </is>
      </c>
      <c r="E17" t="n">
        <v>5692</v>
      </c>
      <c r="F17" t="b">
        <v>1</v>
      </c>
      <c r="G17">
        <f>HYPERLINK("https://www.google.com/maps/search/?api=1&amp;query=23.76516473,44.72807497", "View Map")</f>
        <v/>
      </c>
    </row>
    <row r="18">
      <c r="A18" t="inlineStr">
        <is>
          <t>جامع مسجد مخطط  581 عفيف       0 .</t>
        </is>
      </c>
      <c r="B18" t="inlineStr">
        <is>
          <t>KFM2020660204263</t>
        </is>
      </c>
      <c r="C18" t="inlineStr">
        <is>
          <t>عفيف</t>
        </is>
      </c>
      <c r="D18" t="inlineStr">
        <is>
          <t>كلا الفترتين</t>
        </is>
      </c>
      <c r="E18" t="n">
        <v>5264</v>
      </c>
      <c r="F18" t="b">
        <v>0</v>
      </c>
      <c r="G18">
        <f>HYPERLINK("https://www.google.com/maps/search/?api=1&amp;query=23.87864433,42.89488242", "View Map")</f>
        <v/>
      </c>
    </row>
    <row r="19">
      <c r="A19" t="inlineStr">
        <is>
          <t xml:space="preserve">   جامع      جلالة      بسنام .</t>
        </is>
      </c>
      <c r="B19" t="inlineStr">
        <is>
          <t>KFM2020660199297</t>
        </is>
      </c>
      <c r="C19" t="inlineStr">
        <is>
          <t>القويعية</t>
        </is>
      </c>
      <c r="D19" t="inlineStr">
        <is>
          <t>كلا الفترتين</t>
        </is>
      </c>
      <c r="E19" t="n">
        <v>4816</v>
      </c>
      <c r="F19" t="b">
        <v>1</v>
      </c>
      <c r="G19">
        <f>HYPERLINK("https://www.google.com/maps/search/?api=1&amp;query=23.66352275,44.72388227", "View Map")</f>
        <v/>
      </c>
    </row>
    <row r="20">
      <c r="A20" t="inlineStr">
        <is>
          <t>ﺃﻭﻗﺎﻑ ﻭﻤﺴﺎﺠﺩ ﺍﻟﻗﻭﻴﻌﻴﻩ .</t>
        </is>
      </c>
      <c r="B20" t="inlineStr">
        <is>
          <t>KFM2120660241031</t>
        </is>
      </c>
      <c r="C20" t="inlineStr">
        <is>
          <t>القويعية</t>
        </is>
      </c>
      <c r="D20" t="inlineStr">
        <is>
          <t>كلا الفترتين</t>
        </is>
      </c>
      <c r="E20" t="n">
        <v>4711</v>
      </c>
      <c r="F20" t="b">
        <v>1</v>
      </c>
      <c r="G20">
        <f>HYPERLINK("https://www.google.com/maps/search/?api=1&amp;query=24.08792028,45.30057911", "View Map")</f>
        <v/>
      </c>
    </row>
    <row r="21">
      <c r="A21" t="inlineStr">
        <is>
          <t xml:space="preserve">    مسجد جامع العماير  بجو .</t>
        </is>
      </c>
      <c r="B21" t="inlineStr">
        <is>
          <t>KFM2020660191515</t>
        </is>
      </c>
      <c r="C21" t="inlineStr">
        <is>
          <t>ضرما</t>
        </is>
      </c>
      <c r="D21" t="inlineStr">
        <is>
          <t>كلا الفترتين</t>
        </is>
      </c>
      <c r="E21" t="n">
        <v>4704</v>
      </c>
      <c r="F21" t="b">
        <v>1</v>
      </c>
      <c r="G21">
        <f>HYPERLINK("https://www.google.com/maps/search/?api=1&amp;query=24.49430456,46.15889781", "View Map")</f>
        <v/>
      </c>
    </row>
    <row r="22">
      <c r="A22" t="inlineStr">
        <is>
          <t xml:space="preserve">   اوقاف المزاحميه/جامع حزام بن عمر .</t>
        </is>
      </c>
      <c r="B22" t="inlineStr">
        <is>
          <t>KFM2020660177266</t>
        </is>
      </c>
      <c r="C22" t="inlineStr">
        <is>
          <t>القويعية</t>
        </is>
      </c>
      <c r="D22" t="inlineStr">
        <is>
          <t>كلا الفترتين</t>
        </is>
      </c>
      <c r="E22" t="n">
        <v>4666</v>
      </c>
      <c r="F22" t="b">
        <v>1</v>
      </c>
      <c r="G22">
        <f>HYPERLINK("https://www.google.com/maps/search/?api=1&amp;query=24.33484622,45.80896281", "View Map")</f>
        <v/>
      </c>
    </row>
    <row r="23">
      <c r="A23" t="inlineStr">
        <is>
          <t xml:space="preserve">   مسجدالأ ميربدر بن عبدالعزيز .</t>
        </is>
      </c>
      <c r="B23" t="inlineStr">
        <is>
          <t>KFM2120660280915</t>
        </is>
      </c>
      <c r="C23" t="inlineStr">
        <is>
          <t>ضرما</t>
        </is>
      </c>
      <c r="D23" t="inlineStr">
        <is>
          <t>كلا الفترتين</t>
        </is>
      </c>
      <c r="E23" t="n">
        <v>4655</v>
      </c>
      <c r="F23" t="b">
        <v>1</v>
      </c>
      <c r="G23">
        <f>HYPERLINK("https://www.google.com/maps/search/?api=1&amp;query=24.49004984,46.17018803", "View Map")</f>
        <v/>
      </c>
    </row>
    <row r="24">
      <c r="A24" t="inlineStr">
        <is>
          <t xml:space="preserve">   مسجد      الجامع    //////////// .</t>
        </is>
      </c>
      <c r="B24" t="inlineStr">
        <is>
          <t>KFM2020660233540</t>
        </is>
      </c>
      <c r="C24" t="inlineStr">
        <is>
          <t>الدوادمي</t>
        </is>
      </c>
      <c r="D24" t="inlineStr">
        <is>
          <t>كلا الفترتين</t>
        </is>
      </c>
      <c r="E24" t="n">
        <v>4493</v>
      </c>
      <c r="F24" t="b">
        <v>0</v>
      </c>
      <c r="G24">
        <f>HYPERLINK("https://www.google.com/maps/search/?api=1&amp;query=25.01787275,43.82216339", "View Map")</f>
        <v/>
      </c>
    </row>
    <row r="25">
      <c r="A25" t="inlineStr">
        <is>
          <t xml:space="preserve">     اوقاف المزاحميه/جامع حلاة الجله .</t>
        </is>
      </c>
      <c r="B25" t="inlineStr">
        <is>
          <t>KFM2020660209326</t>
        </is>
      </c>
      <c r="C25" t="inlineStr">
        <is>
          <t>القويعية</t>
        </is>
      </c>
      <c r="D25" t="inlineStr">
        <is>
          <t>كلا الفترتين</t>
        </is>
      </c>
      <c r="E25" t="n">
        <v>4474</v>
      </c>
      <c r="F25" t="b">
        <v>1</v>
      </c>
      <c r="G25">
        <f>HYPERLINK("https://www.google.com/maps/search/?api=1&amp;query=24.34412284,45.81146383", "View Map")</f>
        <v/>
      </c>
    </row>
    <row r="26">
      <c r="A26" t="inlineStr">
        <is>
          <t>وقاف ومساجد ضرماء .</t>
        </is>
      </c>
      <c r="B26" t="inlineStr">
        <is>
          <t>KFM2120660280840</t>
        </is>
      </c>
      <c r="C26" t="inlineStr">
        <is>
          <t>ضرما</t>
        </is>
      </c>
      <c r="D26" t="inlineStr">
        <is>
          <t>كلا الفترتين</t>
        </is>
      </c>
      <c r="E26" t="n">
        <v>4469</v>
      </c>
      <c r="F26" t="b">
        <v>1</v>
      </c>
      <c r="G26">
        <f>HYPERLINK("https://www.google.com/maps/search/?api=1&amp;query=24.59424125,46.12436657", "View Map")</f>
        <v/>
      </c>
    </row>
    <row r="27">
      <c r="A27" t="inlineStr">
        <is>
          <t>مسجد الاسكان ( 2 ) .</t>
        </is>
      </c>
      <c r="B27" t="inlineStr">
        <is>
          <t>KFM2020660200624</t>
        </is>
      </c>
      <c r="C27" t="inlineStr">
        <is>
          <t>الدوادمي</t>
        </is>
      </c>
      <c r="D27" t="inlineStr">
        <is>
          <t>كلا الفترتين</t>
        </is>
      </c>
      <c r="E27" t="n">
        <v>4443</v>
      </c>
      <c r="F27" t="b">
        <v>1</v>
      </c>
      <c r="G27">
        <f>HYPERLINK("https://www.google.com/maps/search/?api=1&amp;query=24.58888554,43.68600837", "View Map")</f>
        <v/>
      </c>
    </row>
    <row r="28">
      <c r="A28" t="inlineStr">
        <is>
          <t xml:space="preserve">   جامع الا وبيرق الجديد .</t>
        </is>
      </c>
      <c r="B28" t="inlineStr">
        <is>
          <t>KFM2020660200039</t>
        </is>
      </c>
      <c r="C28" t="inlineStr">
        <is>
          <t>ضرما</t>
        </is>
      </c>
      <c r="D28" t="inlineStr">
        <is>
          <t>كلا الفترتين</t>
        </is>
      </c>
      <c r="E28" t="n">
        <v>4426</v>
      </c>
      <c r="F28" t="b">
        <v>0</v>
      </c>
      <c r="G28">
        <f>HYPERLINK("https://www.google.com/maps/search/?api=1&amp;query=24.60876391,46.10454253", "View Map")</f>
        <v/>
      </c>
    </row>
    <row r="29">
      <c r="A29" t="inlineStr">
        <is>
          <t xml:space="preserve">   مسجد/     الحج      بأبوركب .</t>
        </is>
      </c>
      <c r="B29" t="inlineStr">
        <is>
          <t>KFM2020766102101</t>
        </is>
      </c>
      <c r="C29" t="inlineStr">
        <is>
          <t>الدوادمي</t>
        </is>
      </c>
      <c r="D29" t="inlineStr">
        <is>
          <t>كلا الفترتين</t>
        </is>
      </c>
      <c r="E29" t="n">
        <v>4162</v>
      </c>
      <c r="F29" t="b">
        <v>1</v>
      </c>
      <c r="G29">
        <f>HYPERLINK("https://www.google.com/maps/search/?api=1&amp;query=25.10925348,43.47354804", "View Map")</f>
        <v/>
      </c>
    </row>
    <row r="30">
      <c r="A30" t="inlineStr">
        <is>
          <t>حمد عبدالله الدوسري .</t>
        </is>
      </c>
      <c r="B30" t="inlineStr">
        <is>
          <t>KFM2020660137642</t>
        </is>
      </c>
      <c r="C30" t="inlineStr">
        <is>
          <t>القويعية</t>
        </is>
      </c>
      <c r="D30" t="inlineStr">
        <is>
          <t>كلا الفترتين</t>
        </is>
      </c>
      <c r="E30" t="n">
        <v>3981</v>
      </c>
      <c r="F30" t="b">
        <v>1</v>
      </c>
      <c r="G30">
        <f>HYPERLINK("https://www.google.com/maps/search/?api=1&amp;query=23.52366,44.43464333", "View Map")</f>
        <v/>
      </c>
    </row>
    <row r="31">
      <c r="A31" t="inlineStr">
        <is>
          <t xml:space="preserve">      مسجد الهويدى بالدخل المحدود .</t>
        </is>
      </c>
      <c r="B31" t="inlineStr">
        <is>
          <t>KFM2020660209367</t>
        </is>
      </c>
      <c r="C31" t="inlineStr">
        <is>
          <t>المزاحمية</t>
        </is>
      </c>
      <c r="D31" t="inlineStr">
        <is>
          <t>كلا الفترتين</t>
        </is>
      </c>
      <c r="E31" t="n">
        <v>3937</v>
      </c>
      <c r="F31" t="b">
        <v>1</v>
      </c>
      <c r="G31">
        <f>HYPERLINK("https://www.google.com/maps/search/?api=1&amp;query=24.45073409,46.30022976", "View Map")</f>
        <v/>
      </c>
    </row>
    <row r="32">
      <c r="A32" t="inlineStr">
        <is>
          <t>مسجد      المقبل    مخطط 352 .</t>
        </is>
      </c>
      <c r="B32" t="inlineStr">
        <is>
          <t>KFM2020660206831</t>
        </is>
      </c>
      <c r="C32" t="inlineStr">
        <is>
          <t>المزاحمية</t>
        </is>
      </c>
      <c r="D32" t="inlineStr">
        <is>
          <t>كلا الفترتين</t>
        </is>
      </c>
      <c r="E32" t="n">
        <v>3868</v>
      </c>
      <c r="F32" t="b">
        <v>0</v>
      </c>
      <c r="G32">
        <f>HYPERLINK("https://www.google.com/maps/search/?api=1&amp;query=24.46606891,46.29434532", "View Map")</f>
        <v/>
      </c>
    </row>
    <row r="33">
      <c r="A33" t="inlineStr">
        <is>
          <t xml:space="preserve">   اوقاف     القويعيه  1 .</t>
        </is>
      </c>
      <c r="B33" t="inlineStr">
        <is>
          <t>KFM2020660190602</t>
        </is>
      </c>
      <c r="C33" t="inlineStr">
        <is>
          <t>الرين</t>
        </is>
      </c>
      <c r="D33" t="inlineStr">
        <is>
          <t>كلا الفترتين</t>
        </is>
      </c>
      <c r="E33" t="n">
        <v>3756</v>
      </c>
      <c r="F33" t="b">
        <v>1</v>
      </c>
      <c r="G33">
        <f>HYPERLINK("https://www.google.com/maps/search/?api=1&amp;query=23.79527298,45.28387584", "View Map")</f>
        <v/>
      </c>
    </row>
    <row r="34">
      <c r="A34" t="inlineStr">
        <is>
          <t>ﺍﻭﻗﺎﻑ ﻭﻤﺴﺎﺠﺩ ﻀﺭﻤﺎء .</t>
        </is>
      </c>
      <c r="B34" t="inlineStr">
        <is>
          <t>SMR2220661006664</t>
        </is>
      </c>
      <c r="C34" t="inlineStr">
        <is>
          <t>ضرما</t>
        </is>
      </c>
      <c r="D34" t="inlineStr">
        <is>
          <t>كلا الفترتين</t>
        </is>
      </c>
      <c r="E34" t="n">
        <v>3732</v>
      </c>
      <c r="F34" t="b">
        <v>1</v>
      </c>
      <c r="G34">
        <f>HYPERLINK("https://www.google.com/maps/search/?api=1&amp;query=24.5908024,46.13035834", "View Map")</f>
        <v/>
      </c>
    </row>
    <row r="35">
      <c r="A35" t="inlineStr">
        <is>
          <t xml:space="preserve">   مسجد/سعد سعود المسعدالكرشمي .</t>
        </is>
      </c>
      <c r="B35" t="inlineStr">
        <is>
          <t>KFM2020660204281</t>
        </is>
      </c>
      <c r="C35" t="inlineStr">
        <is>
          <t>الدوادمي</t>
        </is>
      </c>
      <c r="D35" t="inlineStr">
        <is>
          <t>كلا الفترتين</t>
        </is>
      </c>
      <c r="E35" t="n">
        <v>3726</v>
      </c>
      <c r="F35" t="b">
        <v>1</v>
      </c>
      <c r="G35">
        <f>HYPERLINK("https://www.google.com/maps/search/?api=1&amp;query=25.17930951,44.60393932", "View Map")</f>
        <v/>
      </c>
    </row>
    <row r="36">
      <c r="A36" t="inlineStr">
        <is>
          <t>وقاف ومساجد الامزاحميه .</t>
        </is>
      </c>
      <c r="B36" t="inlineStr">
        <is>
          <t>KFM2020660228266</t>
        </is>
      </c>
      <c r="C36" t="inlineStr">
        <is>
          <t>المزاحمية</t>
        </is>
      </c>
      <c r="D36" t="inlineStr">
        <is>
          <t>كلا الفترتين</t>
        </is>
      </c>
      <c r="E36" t="n">
        <v>3712</v>
      </c>
      <c r="F36" t="b">
        <v>1</v>
      </c>
      <c r="G36">
        <f>HYPERLINK("https://www.google.com/maps/search/?api=1&amp;query=24.4598844,46.2605871", "View Map")</f>
        <v/>
      </c>
    </row>
    <row r="37">
      <c r="A37" t="inlineStr">
        <is>
          <t>ﻭﺯﺍﺭﺓﺍﻻﻭﻗﺎﻑ ـ ﺍﻭﻗﺎﻑ ﺍﻟﺩﻭﺍﺩﻤﻲ .</t>
        </is>
      </c>
      <c r="B37" t="inlineStr">
        <is>
          <t>KFM2120655001427</t>
        </is>
      </c>
      <c r="C37" t="inlineStr">
        <is>
          <t>الدوادمي</t>
        </is>
      </c>
      <c r="D37" t="inlineStr">
        <is>
          <t>كلا الفترتين</t>
        </is>
      </c>
      <c r="E37" t="n">
        <v>3664</v>
      </c>
      <c r="F37" t="b">
        <v>0</v>
      </c>
      <c r="G37">
        <f>HYPERLINK("https://www.google.com/maps/search/?api=1&amp;query=25.00488357,43.82359207", "View Map")</f>
        <v/>
      </c>
    </row>
    <row r="38">
      <c r="A38" t="inlineStr">
        <is>
          <t xml:space="preserve">   مسجد الربوة .</t>
        </is>
      </c>
      <c r="B38" t="inlineStr">
        <is>
          <t>KFM2020660204407</t>
        </is>
      </c>
      <c r="C38" t="inlineStr">
        <is>
          <t>الدوادمي</t>
        </is>
      </c>
      <c r="D38" t="inlineStr">
        <is>
          <t>كلا الفترتين</t>
        </is>
      </c>
      <c r="E38" t="n">
        <v>3554</v>
      </c>
      <c r="F38" t="b">
        <v>1</v>
      </c>
      <c r="G38">
        <f>HYPERLINK("https://www.google.com/maps/search/?api=1&amp;query=25.20253973,44.59991507", "View Map")</f>
        <v/>
      </c>
    </row>
    <row r="39">
      <c r="A39" t="inlineStr">
        <is>
          <t xml:space="preserve">   مسجد      الوسيطا   الوسيطا .</t>
        </is>
      </c>
      <c r="B39" t="inlineStr">
        <is>
          <t>KFM2020660200163</t>
        </is>
      </c>
      <c r="C39" t="inlineStr">
        <is>
          <t>ضرما</t>
        </is>
      </c>
      <c r="D39" t="inlineStr">
        <is>
          <t>كلا الفترتين</t>
        </is>
      </c>
      <c r="E39" t="n">
        <v>3540</v>
      </c>
      <c r="F39" t="b">
        <v>0</v>
      </c>
      <c r="G39">
        <f>HYPERLINK("https://www.google.com/maps/search/?api=1&amp;query=24.60689313,46.12692677", "View Map")</f>
        <v/>
      </c>
    </row>
    <row r="40">
      <c r="A40" t="inlineStr">
        <is>
          <t xml:space="preserve">   المسجدالجامع/جفين سعدالمشعلى .</t>
        </is>
      </c>
      <c r="B40" t="inlineStr">
        <is>
          <t>KFM2020660233275</t>
        </is>
      </c>
      <c r="C40" t="inlineStr">
        <is>
          <t>المزاحمية</t>
        </is>
      </c>
      <c r="D40" t="inlineStr">
        <is>
          <t>كلا الفترتين</t>
        </is>
      </c>
      <c r="E40" t="n">
        <v>3520</v>
      </c>
      <c r="F40" t="b">
        <v>1</v>
      </c>
      <c r="G40">
        <f>HYPERLINK("https://www.google.com/maps/search/?api=1&amp;query=24.48258968,46.05494477", "View Map")</f>
        <v/>
      </c>
    </row>
    <row r="41">
      <c r="A41" t="inlineStr">
        <is>
          <t>مسجد .</t>
        </is>
      </c>
      <c r="B41" t="inlineStr">
        <is>
          <t>KFM2020660204211</t>
        </is>
      </c>
      <c r="C41" t="inlineStr">
        <is>
          <t>الدوادمي</t>
        </is>
      </c>
      <c r="D41" t="inlineStr">
        <is>
          <t>كلا الفترتين</t>
        </is>
      </c>
      <c r="E41" t="n">
        <v>3441</v>
      </c>
      <c r="F41" t="b">
        <v>1</v>
      </c>
      <c r="G41">
        <f>HYPERLINK("https://www.google.com/maps/search/?api=1&amp;query=24.92980305,44.713495", "View Map")</f>
        <v/>
      </c>
    </row>
    <row r="42">
      <c r="A42" t="inlineStr">
        <is>
          <t>ﺃﻭﻗﺎﻑ ﻭﻤﺴﺎﺠﺩ ﺍﻟﻗﻭﻴﻌﻴﻩ .</t>
        </is>
      </c>
      <c r="B42" t="inlineStr">
        <is>
          <t>KFM2120660293952</t>
        </is>
      </c>
      <c r="C42" t="inlineStr">
        <is>
          <t>القويعية</t>
        </is>
      </c>
      <c r="D42" t="inlineStr">
        <is>
          <t>كلا الفترتين</t>
        </is>
      </c>
      <c r="E42" t="n">
        <v>3413</v>
      </c>
      <c r="F42" t="b">
        <v>1</v>
      </c>
      <c r="G42">
        <f>HYPERLINK("https://www.google.com/maps/search/?api=1&amp;query=24.08009438,45.3132777", "View Map")</f>
        <v/>
      </c>
    </row>
    <row r="43">
      <c r="A43" t="inlineStr">
        <is>
          <t xml:space="preserve">   مسجد الخير مخطط 264 بالمزاحمية .</t>
        </is>
      </c>
      <c r="B43" t="inlineStr">
        <is>
          <t>KFM2020660203941</t>
        </is>
      </c>
      <c r="C43" t="inlineStr">
        <is>
          <t>المزاحمية</t>
        </is>
      </c>
      <c r="D43" t="inlineStr">
        <is>
          <t>كلا الفترتين</t>
        </is>
      </c>
      <c r="E43" t="n">
        <v>3338</v>
      </c>
      <c r="F43" t="b">
        <v>0</v>
      </c>
      <c r="G43">
        <f>HYPERLINK("https://www.google.com/maps/search/?api=1&amp;query=24.46682642,46.28840793", "View Map")</f>
        <v/>
      </c>
    </row>
    <row r="44">
      <c r="A44" t="inlineStr">
        <is>
          <t>ﺍﻭﻗﺎﻑ ﻭﻤﺴﺎﺠﺩ ﻀﺭﻤﺎء .</t>
        </is>
      </c>
      <c r="B44" t="inlineStr">
        <is>
          <t>SMR2220661006794</t>
        </is>
      </c>
      <c r="C44" t="inlineStr">
        <is>
          <t>ضرما</t>
        </is>
      </c>
      <c r="D44" t="inlineStr">
        <is>
          <t>كلا الفترتين</t>
        </is>
      </c>
      <c r="E44" t="n">
        <v>3331</v>
      </c>
      <c r="F44" t="b">
        <v>0</v>
      </c>
      <c r="G44">
        <f>HYPERLINK("https://www.google.com/maps/search/?api=1&amp;query=24.59521066,46.10587349", "View Map")</f>
        <v/>
      </c>
    </row>
    <row r="45">
      <c r="A45" t="inlineStr">
        <is>
          <t xml:space="preserve">      مسجد/سعود عبدالعزيز المقبل .</t>
        </is>
      </c>
      <c r="B45" t="inlineStr">
        <is>
          <t>KFM2020660209346</t>
        </is>
      </c>
      <c r="C45" t="inlineStr">
        <is>
          <t>المزاحمية</t>
        </is>
      </c>
      <c r="D45" t="inlineStr">
        <is>
          <t>كلا الفترتين</t>
        </is>
      </c>
      <c r="E45" t="n">
        <v>3209</v>
      </c>
      <c r="F45" t="b">
        <v>0</v>
      </c>
      <c r="G45">
        <f>HYPERLINK("https://www.google.com/maps/search/?api=1&amp;query=24.46659987,46.27985445", "View Map")</f>
        <v/>
      </c>
    </row>
    <row r="46">
      <c r="A46" t="inlineStr">
        <is>
          <t>وقاف ومساجد الرين .</t>
        </is>
      </c>
      <c r="B46" t="inlineStr">
        <is>
          <t>KFM2020660196830</t>
        </is>
      </c>
      <c r="C46" t="inlineStr">
        <is>
          <t>الرين</t>
        </is>
      </c>
      <c r="D46" t="inlineStr">
        <is>
          <t>كلا الفترتين</t>
        </is>
      </c>
      <c r="E46" t="n">
        <v>3138</v>
      </c>
      <c r="F46" t="b">
        <v>0</v>
      </c>
      <c r="G46">
        <f>HYPERLINK("https://www.google.com/maps/search/?api=1&amp;query=23.54767163,45.52401349", "View Map")</f>
        <v/>
      </c>
    </row>
    <row r="47">
      <c r="A47" t="inlineStr">
        <is>
          <t xml:space="preserve">   اوقاف القويعيه/ جامع الفويلق .</t>
        </is>
      </c>
      <c r="B47" t="inlineStr">
        <is>
          <t>KFM2020660209965</t>
        </is>
      </c>
      <c r="C47" t="inlineStr">
        <is>
          <t>القويعية</t>
        </is>
      </c>
      <c r="D47" t="inlineStr">
        <is>
          <t>كلا الفترتين</t>
        </is>
      </c>
      <c r="E47" t="n">
        <v>3118</v>
      </c>
      <c r="F47" t="b">
        <v>1</v>
      </c>
      <c r="G47">
        <f>HYPERLINK("https://www.google.com/maps/search/?api=1&amp;query=24.39246912,45.30707111", "View Map")</f>
        <v/>
      </c>
    </row>
    <row r="48">
      <c r="A48" t="inlineStr">
        <is>
          <t xml:space="preserve">   مسجد      الفيصلية  الاوقاف .</t>
        </is>
      </c>
      <c r="B48" t="inlineStr">
        <is>
          <t>KFM2020766086171</t>
        </is>
      </c>
      <c r="C48" t="inlineStr">
        <is>
          <t>الدوادمي</t>
        </is>
      </c>
      <c r="D48" t="inlineStr">
        <is>
          <t>كلا الفترتين</t>
        </is>
      </c>
      <c r="E48" t="n">
        <v>3095</v>
      </c>
      <c r="F48" t="b">
        <v>0</v>
      </c>
      <c r="G48">
        <f>HYPERLINK("https://www.google.com/maps/search/?api=1&amp;query=24.52425217,43.87994738", "View Map")</f>
        <v/>
      </c>
    </row>
    <row r="49">
      <c r="A49" t="inlineStr">
        <is>
          <t xml:space="preserve">   اوفاف القويعيه /مسجدالجوير .</t>
        </is>
      </c>
      <c r="B49" t="inlineStr">
        <is>
          <t>AEC2020830568665</t>
        </is>
      </c>
      <c r="C49" t="inlineStr">
        <is>
          <t>القويعية</t>
        </is>
      </c>
      <c r="D49" t="inlineStr">
        <is>
          <t>كلا الفترتين</t>
        </is>
      </c>
      <c r="E49" t="n">
        <v>3049</v>
      </c>
      <c r="F49" t="b">
        <v>0</v>
      </c>
      <c r="G49">
        <f>HYPERLINK("https://www.google.com/maps/search/?api=1&amp;query=24.388429,45.69130806", "View Map")</f>
        <v/>
      </c>
    </row>
    <row r="50">
      <c r="A50" t="inlineStr">
        <is>
          <t xml:space="preserve">   جامع الايمان .</t>
        </is>
      </c>
      <c r="B50" t="inlineStr">
        <is>
          <t>KFM2020660204405</t>
        </is>
      </c>
      <c r="C50" t="inlineStr">
        <is>
          <t>الدوادمي</t>
        </is>
      </c>
      <c r="D50" t="inlineStr">
        <is>
          <t>كلا الفترتين</t>
        </is>
      </c>
      <c r="E50" t="n">
        <v>2965</v>
      </c>
      <c r="F50" t="b">
        <v>1</v>
      </c>
      <c r="G50">
        <f>HYPERLINK("https://www.google.com/maps/search/?api=1&amp;query=25.20257864,44.59703068", "View Map")</f>
        <v/>
      </c>
    </row>
    <row r="51">
      <c r="A51" t="inlineStr">
        <is>
          <t xml:space="preserve">   مسجد  مالك  بن  انس            0 .</t>
        </is>
      </c>
      <c r="B51" t="inlineStr">
        <is>
          <t>KFM2020660176222</t>
        </is>
      </c>
      <c r="C51" t="inlineStr">
        <is>
          <t>عفيف</t>
        </is>
      </c>
      <c r="D51" t="inlineStr">
        <is>
          <t>كلا الفترتين</t>
        </is>
      </c>
      <c r="E51" t="n">
        <v>2905</v>
      </c>
      <c r="F51" t="b">
        <v>0</v>
      </c>
      <c r="G51">
        <f>HYPERLINK("https://www.google.com/maps/search/?api=1&amp;query=23.89546359,42.91269593", "View Map")</f>
        <v/>
      </c>
    </row>
    <row r="52">
      <c r="A52" t="inlineStr">
        <is>
          <t xml:space="preserve">   الجامع الكبير بساجر .</t>
        </is>
      </c>
      <c r="B52" t="inlineStr">
        <is>
          <t>KFM2020660126677</t>
        </is>
      </c>
      <c r="C52" t="inlineStr">
        <is>
          <t>الدوادمي</t>
        </is>
      </c>
      <c r="D52" t="inlineStr">
        <is>
          <t>كلا الفترتين</t>
        </is>
      </c>
      <c r="E52" t="n">
        <v>2885</v>
      </c>
      <c r="F52" t="b">
        <v>1</v>
      </c>
      <c r="G52">
        <f>HYPERLINK("https://www.google.com/maps/search/?api=1&amp;query=25.18033673,44.59412089", "View Map")</f>
        <v/>
      </c>
    </row>
    <row r="53">
      <c r="A53" t="inlineStr">
        <is>
          <t xml:space="preserve">   مسجد      عبدالرحمن الدلبحي .</t>
        </is>
      </c>
      <c r="B53" t="inlineStr">
        <is>
          <t>AES2020896377594</t>
        </is>
      </c>
      <c r="C53" t="inlineStr">
        <is>
          <t>الدوادمي</t>
        </is>
      </c>
      <c r="D53" t="inlineStr">
        <is>
          <t>كلا الفترتين</t>
        </is>
      </c>
      <c r="E53" t="n">
        <v>2884</v>
      </c>
      <c r="F53" t="b">
        <v>0</v>
      </c>
      <c r="G53">
        <f>HYPERLINK("https://www.google.com/maps/search/?api=1&amp;query=24.6760154,43.65186015", "View Map")</f>
        <v/>
      </c>
    </row>
    <row r="54">
      <c r="A54" t="inlineStr">
        <is>
          <t xml:space="preserve">   جامع      السويد    بطحي .</t>
        </is>
      </c>
      <c r="B54" t="inlineStr">
        <is>
          <t>KFM2020660189410</t>
        </is>
      </c>
      <c r="C54" t="inlineStr">
        <is>
          <t>القويعية</t>
        </is>
      </c>
      <c r="D54" t="inlineStr">
        <is>
          <t>كلا الفترتين</t>
        </is>
      </c>
      <c r="E54" t="n">
        <v>2850</v>
      </c>
      <c r="F54" t="b">
        <v>0</v>
      </c>
      <c r="G54">
        <f>HYPERLINK("https://www.google.com/maps/search/?api=1&amp;query=23.71893995,44.67381371", "View Map")</f>
        <v/>
      </c>
    </row>
    <row r="55">
      <c r="A55" t="inlineStr">
        <is>
          <t>مسجد      ابراهيم   التمامي .</t>
        </is>
      </c>
      <c r="B55" t="inlineStr">
        <is>
          <t>KFM2020660209322</t>
        </is>
      </c>
      <c r="C55" t="inlineStr">
        <is>
          <t>المزاحمية</t>
        </is>
      </c>
      <c r="D55" t="inlineStr">
        <is>
          <t>كلا الفترتين</t>
        </is>
      </c>
      <c r="E55" t="n">
        <v>2731</v>
      </c>
      <c r="F55" t="b">
        <v>1</v>
      </c>
      <c r="G55">
        <f>HYPERLINK("https://www.google.com/maps/search/?api=1&amp;query=24.45541891,46.29122671", "View Map")</f>
        <v/>
      </c>
    </row>
    <row r="56">
      <c r="A56" t="inlineStr">
        <is>
          <t>ﺍﻭﻗﺎﻑ ﻭﻤﺴﺎﺠﺩ ﺍﻟﺭﻴﻥ .</t>
        </is>
      </c>
      <c r="B56" t="inlineStr">
        <is>
          <t>KFM2120660264017</t>
        </is>
      </c>
      <c r="C56" t="inlineStr">
        <is>
          <t>الرين</t>
        </is>
      </c>
      <c r="D56" t="inlineStr">
        <is>
          <t>كلا الفترتين</t>
        </is>
      </c>
      <c r="E56" t="n">
        <v>2717</v>
      </c>
      <c r="F56" t="b">
        <v>0</v>
      </c>
      <c r="G56">
        <f>HYPERLINK("https://www.google.com/maps/search/?api=1&amp;query=23.56710505,45.6145457", "View Map")</f>
        <v/>
      </c>
    </row>
    <row r="57">
      <c r="A57" t="inlineStr">
        <is>
          <t xml:space="preserve">   مسجد      عبدالله   العويس .</t>
        </is>
      </c>
      <c r="B57" t="inlineStr">
        <is>
          <t>KFM2020660206838</t>
        </is>
      </c>
      <c r="C57" t="inlineStr">
        <is>
          <t>المزاحمية</t>
        </is>
      </c>
      <c r="D57" t="inlineStr">
        <is>
          <t>كلا الفترتين</t>
        </is>
      </c>
      <c r="E57" t="n">
        <v>2709</v>
      </c>
      <c r="F57" t="b">
        <v>0</v>
      </c>
      <c r="G57">
        <f>HYPERLINK("https://www.google.com/maps/search/?api=1&amp;query=24.47099635,46.30449675", "View Map")</f>
        <v/>
      </c>
    </row>
    <row r="58">
      <c r="A58" t="inlineStr">
        <is>
          <t xml:space="preserve">   مسجد      السليمانيه//////////// .</t>
        </is>
      </c>
      <c r="B58" t="inlineStr">
        <is>
          <t>KFM2020766098698</t>
        </is>
      </c>
      <c r="C58" t="inlineStr">
        <is>
          <t>الدوادمي</t>
        </is>
      </c>
      <c r="D58" t="inlineStr">
        <is>
          <t>كلا الفترتين</t>
        </is>
      </c>
      <c r="E58" t="n">
        <v>2645</v>
      </c>
      <c r="F58" t="b">
        <v>0</v>
      </c>
      <c r="G58">
        <f>HYPERLINK("https://www.google.com/maps/search/?api=1&amp;query=25.10099387,43.80679561", "View Map")</f>
        <v/>
      </c>
    </row>
    <row r="59">
      <c r="A59" t="inlineStr">
        <is>
          <t xml:space="preserve">   مسجد      الحميضي   //////////// .</t>
        </is>
      </c>
      <c r="B59" t="inlineStr">
        <is>
          <t>KFM2020660153743</t>
        </is>
      </c>
      <c r="C59" t="inlineStr">
        <is>
          <t>الدوادمي</t>
        </is>
      </c>
      <c r="D59" t="inlineStr">
        <is>
          <t>كلا الفترتين</t>
        </is>
      </c>
      <c r="E59" t="n">
        <v>2633</v>
      </c>
      <c r="F59" t="b">
        <v>1</v>
      </c>
      <c r="G59">
        <f>HYPERLINK("https://www.google.com/maps/search/?api=1&amp;query=24.51872033,44.41876975", "View Map")</f>
        <v/>
      </c>
    </row>
    <row r="60">
      <c r="A60" t="inlineStr">
        <is>
          <t xml:space="preserve">   اوقاف     المزاحميه الحوطه .</t>
        </is>
      </c>
      <c r="B60" t="inlineStr">
        <is>
          <t>KFM2020660227533</t>
        </is>
      </c>
      <c r="C60" t="inlineStr">
        <is>
          <t>القويعية</t>
        </is>
      </c>
      <c r="D60" t="inlineStr">
        <is>
          <t>كلا الفترتين</t>
        </is>
      </c>
      <c r="E60" t="n">
        <v>2616</v>
      </c>
      <c r="F60" t="b">
        <v>0</v>
      </c>
      <c r="G60">
        <f>HYPERLINK("https://www.google.com/maps/search/?api=1&amp;query=24.34781892,45.83587262", "View Map")</f>
        <v/>
      </c>
    </row>
    <row r="61">
      <c r="A61" t="inlineStr">
        <is>
          <t xml:space="preserve">   مسجد      الدخل     //////////// .</t>
        </is>
      </c>
      <c r="B61" t="inlineStr">
        <is>
          <t>KFM2020660189978</t>
        </is>
      </c>
      <c r="C61" t="inlineStr">
        <is>
          <t>الدوادمي</t>
        </is>
      </c>
      <c r="D61" t="inlineStr">
        <is>
          <t>كلا الفترتين</t>
        </is>
      </c>
      <c r="E61" t="n">
        <v>2584</v>
      </c>
      <c r="F61" t="b">
        <v>1</v>
      </c>
      <c r="G61">
        <f>HYPERLINK("https://www.google.com/maps/search/?api=1&amp;query=24.55632729,44.42937247", "View Map")</f>
        <v/>
      </c>
    </row>
    <row r="62">
      <c r="A62" t="inlineStr">
        <is>
          <t xml:space="preserve">   اوقاف القويعيةمقابل سوق الهويمل .</t>
        </is>
      </c>
      <c r="B62" t="inlineStr">
        <is>
          <t>KFM2120660240435</t>
        </is>
      </c>
      <c r="C62" t="inlineStr">
        <is>
          <t>القويعية</t>
        </is>
      </c>
      <c r="D62" t="inlineStr">
        <is>
          <t>كلا الفترتين</t>
        </is>
      </c>
      <c r="E62" t="n">
        <v>2546</v>
      </c>
      <c r="F62" t="b">
        <v>1</v>
      </c>
      <c r="G62">
        <f>HYPERLINK("https://www.google.com/maps/search/?api=1&amp;query=24.06957216,45.29535756", "View Map")</f>
        <v/>
      </c>
    </row>
    <row r="63">
      <c r="A63" t="inlineStr">
        <is>
          <t xml:space="preserve">   اوقاف المزاحميةجامع فهدبن سلطان .</t>
        </is>
      </c>
      <c r="B63" t="inlineStr">
        <is>
          <t>KFM2020660209307</t>
        </is>
      </c>
      <c r="C63" t="inlineStr">
        <is>
          <t>القويعية</t>
        </is>
      </c>
      <c r="D63" t="inlineStr">
        <is>
          <t>كلا الفترتين</t>
        </is>
      </c>
      <c r="E63" t="n">
        <v>2520</v>
      </c>
      <c r="F63" t="b">
        <v>0</v>
      </c>
      <c r="G63">
        <f>HYPERLINK("https://www.google.com/maps/search/?api=1&amp;query=24.38654875,45.57332201", "View Map")</f>
        <v/>
      </c>
    </row>
    <row r="64">
      <c r="A64" t="inlineStr">
        <is>
          <t xml:space="preserve">      مسجد السلمى .</t>
        </is>
      </c>
      <c r="B64" t="inlineStr">
        <is>
          <t>AES2020896045265</t>
        </is>
      </c>
      <c r="C64" t="inlineStr">
        <is>
          <t>المزاحمية</t>
        </is>
      </c>
      <c r="D64" t="inlineStr">
        <is>
          <t>كلا الفترتين</t>
        </is>
      </c>
      <c r="E64" t="n">
        <v>2500</v>
      </c>
      <c r="F64" t="b">
        <v>0</v>
      </c>
      <c r="G64">
        <f>HYPERLINK("https://www.google.com/maps/search/?api=1&amp;query=24.48140226,46.28774253", "View Map")</f>
        <v/>
      </c>
    </row>
    <row r="65">
      <c r="A65" t="inlineStr">
        <is>
          <t>ﺃﻭﻗﺎﻑ ﻭﻤﺴﺎﺠﺩ ﺍﻟﻗﻭﻴﻌﻴﻩ .</t>
        </is>
      </c>
      <c r="B65" t="inlineStr">
        <is>
          <t>KFM2120660241035</t>
        </is>
      </c>
      <c r="C65" t="inlineStr">
        <is>
          <t>القويعية</t>
        </is>
      </c>
      <c r="D65" t="inlineStr">
        <is>
          <t>كلا الفترتين</t>
        </is>
      </c>
      <c r="E65" t="n">
        <v>2493</v>
      </c>
      <c r="F65" t="b">
        <v>1</v>
      </c>
      <c r="G65">
        <f>HYPERLINK("https://www.google.com/maps/search/?api=1&amp;query=24.08557491,45.33983807", "View Map")</f>
        <v/>
      </c>
    </row>
    <row r="66">
      <c r="A66" t="inlineStr">
        <is>
          <t xml:space="preserve">        اوقاف الرين/مسجد عمر بتماني .</t>
        </is>
      </c>
      <c r="B66" t="inlineStr">
        <is>
          <t>AES2020896468127</t>
        </is>
      </c>
      <c r="C66" t="inlineStr">
        <is>
          <t>الرين</t>
        </is>
      </c>
      <c r="D66" t="inlineStr">
        <is>
          <t>كلا الفترتين</t>
        </is>
      </c>
      <c r="E66" t="n">
        <v>2468</v>
      </c>
      <c r="F66" t="b">
        <v>0</v>
      </c>
      <c r="G66">
        <f>HYPERLINK("https://www.google.com/maps/search/?api=1&amp;query=23.34735628,45.41523497", "View Map")</f>
        <v/>
      </c>
    </row>
    <row r="67">
      <c r="A67" t="inlineStr">
        <is>
          <t xml:space="preserve">   اوقاف المزاحميه .</t>
        </is>
      </c>
      <c r="B67" t="inlineStr">
        <is>
          <t>KFM2020766155502</t>
        </is>
      </c>
      <c r="C67" t="inlineStr">
        <is>
          <t>القويعية</t>
        </is>
      </c>
      <c r="D67" t="inlineStr">
        <is>
          <t>كلا الفترتين</t>
        </is>
      </c>
      <c r="E67" t="n">
        <v>2458</v>
      </c>
      <c r="F67" t="b">
        <v>1</v>
      </c>
      <c r="G67">
        <f>HYPERLINK("https://www.google.com/maps/search/?api=1&amp;query=24.27750544,45.8733683", "View Map")</f>
        <v/>
      </c>
    </row>
    <row r="68">
      <c r="A68" t="inlineStr">
        <is>
          <t>ﻭﺯﺍﺭﺓﺍﻷﻭﻗﺎﻑ _ ﺍﻭﻗﺎﻑ ﺍﻟﺭﻭﻴﻀﻩ .</t>
        </is>
      </c>
      <c r="B68" t="inlineStr">
        <is>
          <t>KFM2120660265066</t>
        </is>
      </c>
      <c r="C68" t="inlineStr">
        <is>
          <t>القويعية</t>
        </is>
      </c>
      <c r="D68" t="inlineStr">
        <is>
          <t>كلا الفترتين</t>
        </is>
      </c>
      <c r="E68" t="n">
        <v>2457</v>
      </c>
      <c r="F68" t="b">
        <v>1</v>
      </c>
      <c r="G68">
        <f>HYPERLINK("https://www.google.com/maps/search/?api=1&amp;query=23.78627,44.78729", "View Map")</f>
        <v/>
      </c>
    </row>
    <row r="69">
      <c r="A69" t="inlineStr">
        <is>
          <t xml:space="preserve">     مـسـجـد شفلوت (اوقاف القويعيه) .</t>
        </is>
      </c>
      <c r="B69" t="inlineStr">
        <is>
          <t>KFM2020660209390</t>
        </is>
      </c>
      <c r="C69" t="inlineStr">
        <is>
          <t>القويعية</t>
        </is>
      </c>
      <c r="D69" t="inlineStr">
        <is>
          <t>كلا الفترتين</t>
        </is>
      </c>
      <c r="E69" t="n">
        <v>2451</v>
      </c>
      <c r="F69" t="b">
        <v>0</v>
      </c>
      <c r="G69">
        <f>HYPERLINK("https://www.google.com/maps/search/?api=1&amp;query=24.34309655,45.82040363", "View Map")</f>
        <v/>
      </c>
    </row>
    <row r="70">
      <c r="A70" t="inlineStr">
        <is>
          <t xml:space="preserve">   مسجد الا مير سلطان بن عبد العزيز0 .</t>
        </is>
      </c>
      <c r="B70" t="inlineStr">
        <is>
          <t>KFM2020660192378</t>
        </is>
      </c>
      <c r="C70" t="inlineStr">
        <is>
          <t>عفيف</t>
        </is>
      </c>
      <c r="D70" t="inlineStr">
        <is>
          <t>كلا الفترتين</t>
        </is>
      </c>
      <c r="E70" t="n">
        <v>2440</v>
      </c>
      <c r="F70" t="b">
        <v>1</v>
      </c>
      <c r="G70">
        <f>HYPERLINK("https://www.google.com/maps/search/?api=1&amp;query=23.91686527,42.92406133", "View Map")</f>
        <v/>
      </c>
    </row>
    <row r="71">
      <c r="A71" t="inlineStr">
        <is>
          <t xml:space="preserve">   جامع      الرجع     القويعيه .</t>
        </is>
      </c>
      <c r="B71" t="inlineStr">
        <is>
          <t>SMR2220661017593</t>
        </is>
      </c>
      <c r="C71" t="inlineStr">
        <is>
          <t>الرين</t>
        </is>
      </c>
      <c r="D71" t="inlineStr">
        <is>
          <t>كلا الفترتين</t>
        </is>
      </c>
      <c r="E71" t="n">
        <v>2428</v>
      </c>
      <c r="F71" t="b">
        <v>1</v>
      </c>
      <c r="G71">
        <f>HYPERLINK("https://www.google.com/maps/search/?api=1&amp;query=23.57204329,45.57354863", "View Map")</f>
        <v/>
      </c>
    </row>
    <row r="72">
      <c r="A72" t="inlineStr">
        <is>
          <t xml:space="preserve">   اوقاف الحصاة   - جامع مويسل .</t>
        </is>
      </c>
      <c r="B72" t="inlineStr">
        <is>
          <t>KFM2120660280944</t>
        </is>
      </c>
      <c r="C72" t="inlineStr">
        <is>
          <t>القويعية</t>
        </is>
      </c>
      <c r="D72" t="inlineStr">
        <is>
          <t>كلا الفترتين</t>
        </is>
      </c>
      <c r="E72" t="n">
        <v>2421</v>
      </c>
      <c r="F72" t="b">
        <v>0</v>
      </c>
      <c r="G72">
        <f>HYPERLINK("https://www.google.com/maps/search/?api=1&amp;query=22.59050529,44.6793725", "View Map")</f>
        <v/>
      </c>
    </row>
    <row r="73">
      <c r="A73" t="inlineStr">
        <is>
          <t xml:space="preserve">      جامع امالشبرم .</t>
        </is>
      </c>
      <c r="B73" t="inlineStr">
        <is>
          <t>KFM2020660234217</t>
        </is>
      </c>
      <c r="C73" t="inlineStr">
        <is>
          <t>الرين</t>
        </is>
      </c>
      <c r="D73" t="inlineStr">
        <is>
          <t>كلا الفترتين</t>
        </is>
      </c>
      <c r="E73" t="n">
        <v>2402</v>
      </c>
      <c r="F73" t="b">
        <v>0</v>
      </c>
      <c r="G73">
        <f>HYPERLINK("https://www.google.com/maps/search/?api=1&amp;query=23.60666817,45.13127342", "View Map")</f>
        <v/>
      </c>
    </row>
    <row r="74">
      <c r="A74" t="inlineStr">
        <is>
          <t>ﻭﺯﺍﺭﺓﺍﻷﻭﻗﺎﻑ _ﺍﻭﻗﺎﻑ ﻨﻓﻲ .</t>
        </is>
      </c>
      <c r="B74" t="inlineStr">
        <is>
          <t>KFM2020660233619</t>
        </is>
      </c>
      <c r="C74" t="inlineStr">
        <is>
          <t>الدوادمي</t>
        </is>
      </c>
      <c r="D74" t="inlineStr">
        <is>
          <t>كلا الفترتين</t>
        </is>
      </c>
      <c r="E74" t="n">
        <v>2394</v>
      </c>
      <c r="F74" t="b">
        <v>0</v>
      </c>
      <c r="G74">
        <f>HYPERLINK("https://www.google.com/maps/search/?api=1&amp;query=25.0127334,43.83355829", "View Map")</f>
        <v/>
      </c>
    </row>
    <row r="75">
      <c r="A75" t="inlineStr">
        <is>
          <t xml:space="preserve">   مسجد ناصر بن مزيد   مخطط 549 طحي .</t>
        </is>
      </c>
      <c r="B75" t="inlineStr">
        <is>
          <t>KFM2020660173269</t>
        </is>
      </c>
      <c r="C75" t="inlineStr">
        <is>
          <t>القويعية</t>
        </is>
      </c>
      <c r="D75" t="inlineStr">
        <is>
          <t>كلا الفترتين</t>
        </is>
      </c>
      <c r="E75" t="n">
        <v>2377</v>
      </c>
      <c r="F75" t="b">
        <v>0</v>
      </c>
      <c r="G75">
        <f>HYPERLINK("https://www.google.com/maps/search/?api=1&amp;query=23.71634989,44.67237115", "View Map")</f>
        <v/>
      </c>
    </row>
    <row r="76">
      <c r="A76" t="inlineStr">
        <is>
          <t>ﺍﻭﻗﺎﻑ ﻭﻤﺴﺎﺠﺩ ﺍﻟﺭﻴﻥ .</t>
        </is>
      </c>
      <c r="B76" t="inlineStr">
        <is>
          <t>KFM2120655003921</t>
        </is>
      </c>
      <c r="C76" t="inlineStr">
        <is>
          <t>القويعية</t>
        </is>
      </c>
      <c r="D76" t="inlineStr">
        <is>
          <t>كلا الفترتين</t>
        </is>
      </c>
      <c r="E76" t="n">
        <v>2372</v>
      </c>
      <c r="F76" t="b">
        <v>0</v>
      </c>
      <c r="G76">
        <f>HYPERLINK("https://www.google.com/maps/search/?api=1&amp;query=24.08258881,45.3255726", "View Map")</f>
        <v/>
      </c>
    </row>
    <row r="77">
      <c r="A77" t="inlineStr">
        <is>
          <t>مسجد معاذ بن ابي جبل .</t>
        </is>
      </c>
      <c r="B77" t="inlineStr">
        <is>
          <t>KFM2120660251055</t>
        </is>
      </c>
      <c r="C77" t="inlineStr">
        <is>
          <t>ضرما</t>
        </is>
      </c>
      <c r="D77" t="inlineStr">
        <is>
          <t>كلا الفترتين</t>
        </is>
      </c>
      <c r="E77" t="n">
        <v>2364</v>
      </c>
      <c r="F77" t="b">
        <v>0</v>
      </c>
      <c r="G77">
        <f>HYPERLINK("https://www.google.com/maps/search/?api=1&amp;query=24.59130884,46.13438279", "View Map")</f>
        <v/>
      </c>
    </row>
    <row r="78">
      <c r="A78" t="inlineStr">
        <is>
          <t xml:space="preserve">     جامع عصيله .</t>
        </is>
      </c>
      <c r="B78" t="inlineStr">
        <is>
          <t>KFM2020766096031</t>
        </is>
      </c>
      <c r="C78" t="inlineStr">
        <is>
          <t>القويعية</t>
        </is>
      </c>
      <c r="D78" t="inlineStr">
        <is>
          <t>كلا الفترتين</t>
        </is>
      </c>
      <c r="E78" t="n">
        <v>2360</v>
      </c>
      <c r="F78" t="b">
        <v>0</v>
      </c>
      <c r="G78">
        <f>HYPERLINK("https://www.google.com/maps/search/?api=1&amp;query=23.71268304,44.5949604", "View Map")</f>
        <v/>
      </c>
    </row>
    <row r="79">
      <c r="A79" t="inlineStr">
        <is>
          <t>ﺍﻭﻗﺎﻑ ﻭﻤﺴﺎﺠﺩ ﺍﻟﻤﺯﺍﺤﻤﻴﻩ .</t>
        </is>
      </c>
      <c r="B79" t="inlineStr">
        <is>
          <t>KFM2020660199779</t>
        </is>
      </c>
      <c r="C79" t="inlineStr">
        <is>
          <t>المزاحمية</t>
        </is>
      </c>
      <c r="D79" t="inlineStr">
        <is>
          <t>كلا الفترتين</t>
        </is>
      </c>
      <c r="E79" t="n">
        <v>2343</v>
      </c>
      <c r="F79" t="b">
        <v>1</v>
      </c>
      <c r="G79">
        <f>HYPERLINK("https://www.google.com/maps/search/?api=1&amp;query=24.50711365,46.07075512", "View Map")</f>
        <v/>
      </c>
    </row>
    <row r="80">
      <c r="A80" t="inlineStr">
        <is>
          <t xml:space="preserve">       المسجد الجامع .</t>
        </is>
      </c>
      <c r="B80" t="inlineStr">
        <is>
          <t>KFM2020660171166</t>
        </is>
      </c>
      <c r="C80" t="inlineStr">
        <is>
          <t>عفيف</t>
        </is>
      </c>
      <c r="D80" t="inlineStr">
        <is>
          <t>كلا الفترتين</t>
        </is>
      </c>
      <c r="E80" t="n">
        <v>2340</v>
      </c>
      <c r="F80" t="b">
        <v>1</v>
      </c>
      <c r="G80">
        <f>HYPERLINK("https://www.google.com/maps/search/?api=1&amp;query=23.89351698,42.90800342", "View Map")</f>
        <v/>
      </c>
    </row>
    <row r="81">
      <c r="A81" t="inlineStr">
        <is>
          <t xml:space="preserve">   اوقاف الزاحميه /مسجدهجرةمشرفه .</t>
        </is>
      </c>
      <c r="B81" t="inlineStr">
        <is>
          <t>KFM2020766098318</t>
        </is>
      </c>
      <c r="C81" t="inlineStr">
        <is>
          <t>القويعية</t>
        </is>
      </c>
      <c r="D81" t="inlineStr">
        <is>
          <t>كلا الفترتين</t>
        </is>
      </c>
      <c r="E81" t="n">
        <v>2338</v>
      </c>
      <c r="F81" t="b">
        <v>0</v>
      </c>
      <c r="G81">
        <f>HYPERLINK("https://www.google.com/maps/search/?api=1&amp;query=24.3174192,45.83763332", "View Map")</f>
        <v/>
      </c>
    </row>
    <row r="82">
      <c r="A82" t="inlineStr">
        <is>
          <t xml:space="preserve">   مسجد      فرعه      بالحصاه .</t>
        </is>
      </c>
      <c r="B82" t="inlineStr">
        <is>
          <t>AES2020896460984</t>
        </is>
      </c>
      <c r="C82" t="inlineStr">
        <is>
          <t>الرين</t>
        </is>
      </c>
      <c r="D82" t="inlineStr">
        <is>
          <t>كلا الفترتين</t>
        </is>
      </c>
      <c r="E82" t="n">
        <v>2336</v>
      </c>
      <c r="F82" t="b">
        <v>0</v>
      </c>
      <c r="G82">
        <f>HYPERLINK("https://www.google.com/maps/search/?api=1&amp;query=22.52873728,45.0810632", "View Map")</f>
        <v/>
      </c>
    </row>
    <row r="83">
      <c r="A83" t="inlineStr">
        <is>
          <t xml:space="preserve">   اوقاف الرويضه  مسجدالسرداح .</t>
        </is>
      </c>
      <c r="B83" t="inlineStr">
        <is>
          <t>KFM2020766039351</t>
        </is>
      </c>
      <c r="C83" t="inlineStr">
        <is>
          <t>القويعية</t>
        </is>
      </c>
      <c r="D83" t="inlineStr">
        <is>
          <t>كلا الفترتين</t>
        </is>
      </c>
      <c r="E83" t="n">
        <v>2335</v>
      </c>
      <c r="F83" t="b">
        <v>1</v>
      </c>
      <c r="G83">
        <f>HYPERLINK("https://www.google.com/maps/search/?api=1&amp;query=23.84872371,44.99574978", "View Map")</f>
        <v/>
      </c>
    </row>
    <row r="84">
      <c r="A84" t="inlineStr">
        <is>
          <t>مسجد جريس  محمد الجريس .</t>
        </is>
      </c>
      <c r="B84" t="inlineStr">
        <is>
          <t>KFM2020660204336</t>
        </is>
      </c>
      <c r="C84" t="inlineStr">
        <is>
          <t>الدوادمي</t>
        </is>
      </c>
      <c r="D84" t="inlineStr">
        <is>
          <t>كلا الفترتين</t>
        </is>
      </c>
      <c r="E84" t="n">
        <v>2322</v>
      </c>
      <c r="F84" t="b">
        <v>0</v>
      </c>
      <c r="G84">
        <f>HYPERLINK("https://www.google.com/maps/search/?api=1&amp;query=24.52016323,44.38060519", "View Map")</f>
        <v/>
      </c>
    </row>
    <row r="85">
      <c r="A85" t="inlineStr">
        <is>
          <t xml:space="preserve">   جامع      مزعل      القويعية .</t>
        </is>
      </c>
      <c r="B85" t="inlineStr">
        <is>
          <t>KFM2020660190709</t>
        </is>
      </c>
      <c r="C85" t="inlineStr">
        <is>
          <t>القويعية</t>
        </is>
      </c>
      <c r="D85" t="inlineStr">
        <is>
          <t>كلا الفترتين</t>
        </is>
      </c>
      <c r="E85" t="n">
        <v>2317</v>
      </c>
      <c r="F85" t="b">
        <v>0</v>
      </c>
      <c r="G85">
        <f>HYPERLINK("https://www.google.com/maps/search/?api=1&amp;query=24.0101955,45.19749412", "View Map")</f>
        <v/>
      </c>
    </row>
    <row r="86">
      <c r="A86" t="inlineStr">
        <is>
          <t xml:space="preserve">   أوقاف القويعية/جامع فيضةبن سعيد .</t>
        </is>
      </c>
      <c r="B86" t="inlineStr">
        <is>
          <t>KFM2020766152332</t>
        </is>
      </c>
      <c r="C86" t="inlineStr">
        <is>
          <t>الرين</t>
        </is>
      </c>
      <c r="D86" t="inlineStr">
        <is>
          <t>كلا الفترتين</t>
        </is>
      </c>
      <c r="E86" t="n">
        <v>2317</v>
      </c>
      <c r="F86" t="b">
        <v>0</v>
      </c>
      <c r="G86">
        <f>HYPERLINK("https://www.google.com/maps/search/?api=1&amp;query=23.79661057,45.32992681", "View Map")</f>
        <v/>
      </c>
    </row>
    <row r="87">
      <c r="A87" t="inlineStr">
        <is>
          <t xml:space="preserve">   اوقاف القويعيه .</t>
        </is>
      </c>
      <c r="B87" t="inlineStr">
        <is>
          <t>SMR2020765003981</t>
        </is>
      </c>
      <c r="C87" t="inlineStr">
        <is>
          <t>القويعية</t>
        </is>
      </c>
      <c r="D87" t="inlineStr">
        <is>
          <t>كلا الفترتين</t>
        </is>
      </c>
      <c r="E87" t="n">
        <v>2311</v>
      </c>
      <c r="F87" t="b">
        <v>1</v>
      </c>
      <c r="G87">
        <f>HYPERLINK("https://www.google.com/maps/search/?api=1&amp;query=24.07827295,45.28418758", "View Map")</f>
        <v/>
      </c>
    </row>
    <row r="88">
      <c r="A88" t="inlineStr">
        <is>
          <t>ﺍﻭﻗﺎﻑ ﻭﻤﺴﺎﺠﺩ ﻀﺭﻤﺎء .</t>
        </is>
      </c>
      <c r="B88" t="inlineStr">
        <is>
          <t>KFM2020660200170</t>
        </is>
      </c>
      <c r="C88" t="inlineStr">
        <is>
          <t>ضرما</t>
        </is>
      </c>
      <c r="D88" t="inlineStr">
        <is>
          <t>كلا الفترتين</t>
        </is>
      </c>
      <c r="E88" t="n">
        <v>2304</v>
      </c>
      <c r="F88" t="b">
        <v>0</v>
      </c>
      <c r="G88">
        <f>HYPERLINK("https://www.google.com/maps/search/?api=1&amp;query=24.58672328,46.16309208", "View Map")</f>
        <v/>
      </c>
    </row>
    <row r="89">
      <c r="A89" t="inlineStr">
        <is>
          <t xml:space="preserve">   اوقاف القويعيه /مسجدالشفا .</t>
        </is>
      </c>
      <c r="B89" t="inlineStr">
        <is>
          <t>KFM2020660229501</t>
        </is>
      </c>
      <c r="C89" t="inlineStr">
        <is>
          <t>القويعية</t>
        </is>
      </c>
      <c r="D89" t="inlineStr">
        <is>
          <t>كلا الفترتين</t>
        </is>
      </c>
      <c r="E89" t="n">
        <v>2300</v>
      </c>
      <c r="F89" t="b">
        <v>1</v>
      </c>
      <c r="G89">
        <f>HYPERLINK("https://www.google.com/maps/search/?api=1&amp;query=24.10969803,45.4951596", "View Map")</f>
        <v/>
      </c>
    </row>
    <row r="90">
      <c r="A90" t="inlineStr">
        <is>
          <t xml:space="preserve">      مسجد جعفر بن أبي طالب .</t>
        </is>
      </c>
      <c r="B90" t="inlineStr">
        <is>
          <t>KFM2020660233254</t>
        </is>
      </c>
      <c r="C90" t="inlineStr">
        <is>
          <t>المزاحمية</t>
        </is>
      </c>
      <c r="D90" t="inlineStr">
        <is>
          <t>كلا الفترتين</t>
        </is>
      </c>
      <c r="E90" t="n">
        <v>2299</v>
      </c>
      <c r="F90" t="b">
        <v>0</v>
      </c>
      <c r="G90">
        <f>HYPERLINK("https://www.google.com/maps/search/?api=1&amp;query=24.47012967,46.27849951", "View Map")</f>
        <v/>
      </c>
    </row>
    <row r="91">
      <c r="A91" t="inlineStr">
        <is>
          <t>ﺃﻭﻗﺎﻑ ﻭﻤﺴﺎﺠﺩ ﺍﻟﻗﻭﻴﻌﻴﻩ .</t>
        </is>
      </c>
      <c r="B91" t="inlineStr">
        <is>
          <t>SMR2220661006449</t>
        </is>
      </c>
      <c r="C91" t="inlineStr">
        <is>
          <t>القويعية</t>
        </is>
      </c>
      <c r="D91" t="inlineStr">
        <is>
          <t>كلا الفترتين</t>
        </is>
      </c>
      <c r="E91" t="n">
        <v>2296</v>
      </c>
      <c r="F91" t="b">
        <v>1</v>
      </c>
      <c r="G91">
        <f>HYPERLINK("https://www.google.com/maps/search/?api=1&amp;query=24.07626638,45.30074534", "View Map")</f>
        <v/>
      </c>
    </row>
    <row r="92">
      <c r="A92" t="inlineStr">
        <is>
          <t xml:space="preserve">     مـسـجـد البويق (اوقاف القويعيه) .</t>
        </is>
      </c>
      <c r="B92" t="inlineStr">
        <is>
          <t>KFM2020660150069</t>
        </is>
      </c>
      <c r="C92" t="inlineStr">
        <is>
          <t>الرين</t>
        </is>
      </c>
      <c r="D92" t="inlineStr">
        <is>
          <t>كلا الفترتين</t>
        </is>
      </c>
      <c r="E92" t="n">
        <v>2280</v>
      </c>
      <c r="F92" t="b">
        <v>0</v>
      </c>
      <c r="G92">
        <f>HYPERLINK("https://www.google.com/maps/search/?api=1&amp;query=23.54389533,45.51203126", "View Map")</f>
        <v/>
      </c>
    </row>
    <row r="93">
      <c r="A93" t="inlineStr">
        <is>
          <t>مسجد عمر  بن الخطاب الزباير 0</t>
        </is>
      </c>
      <c r="B93" t="inlineStr">
        <is>
          <t>KFM2020660176971</t>
        </is>
      </c>
      <c r="C93" t="inlineStr">
        <is>
          <t>المزاحمية</t>
        </is>
      </c>
      <c r="D93" t="inlineStr">
        <is>
          <t>كلا الفترتين</t>
        </is>
      </c>
      <c r="E93" t="n">
        <v>2271</v>
      </c>
      <c r="F93" t="b">
        <v>0</v>
      </c>
      <c r="G93">
        <f>HYPERLINK("https://www.google.com/maps/search/?api=1&amp;query=24.42853834,46.1992681", "View Map")</f>
        <v/>
      </c>
    </row>
    <row r="94">
      <c r="A94" t="inlineStr">
        <is>
          <t>ﺃﻭﻗﺎﻑ ﻭﻤﺴﺎﺠﺩ ﺍﻟﻗﻭﻴﻌﻴﻩ .</t>
        </is>
      </c>
      <c r="B94" t="inlineStr">
        <is>
          <t>KFM2020760231826</t>
        </is>
      </c>
      <c r="C94" t="inlineStr">
        <is>
          <t>الرين</t>
        </is>
      </c>
      <c r="D94" t="inlineStr">
        <is>
          <t>كلا الفترتين</t>
        </is>
      </c>
      <c r="E94" t="n">
        <v>2261</v>
      </c>
      <c r="F94" t="b">
        <v>0</v>
      </c>
      <c r="G94">
        <f>HYPERLINK("https://www.google.com/maps/search/?api=1&amp;query=22.74332077,44.97755932", "View Map")</f>
        <v/>
      </c>
    </row>
    <row r="95">
      <c r="A95" t="inlineStr">
        <is>
          <t xml:space="preserve">   مسجد      الثامريه  . .</t>
        </is>
      </c>
      <c r="B95" t="inlineStr">
        <is>
          <t>KFM2020660188209</t>
        </is>
      </c>
      <c r="C95" t="inlineStr">
        <is>
          <t>الدوادمي</t>
        </is>
      </c>
      <c r="D95" t="inlineStr">
        <is>
          <t>كلا الفترتين</t>
        </is>
      </c>
      <c r="E95" t="n">
        <v>2260</v>
      </c>
      <c r="F95" t="b">
        <v>0</v>
      </c>
      <c r="G95">
        <f>HYPERLINK("https://www.google.com/maps/search/?api=1&amp;query=24.36536421,43.63372897", "View Map")</f>
        <v/>
      </c>
    </row>
    <row r="96">
      <c r="A96" t="inlineStr">
        <is>
          <t xml:space="preserve">   اوقاف ومساجد حمود محمدبن مريحة .</t>
        </is>
      </c>
      <c r="B96" t="inlineStr">
        <is>
          <t>AES2320896640644</t>
        </is>
      </c>
      <c r="C96" t="inlineStr">
        <is>
          <t>القويعية</t>
        </is>
      </c>
      <c r="D96" t="inlineStr">
        <is>
          <t>كلا الفترتين</t>
        </is>
      </c>
      <c r="E96" t="n">
        <v>2252</v>
      </c>
      <c r="F96" t="b">
        <v>0</v>
      </c>
      <c r="G96">
        <f>HYPERLINK("https://www.google.com/maps/search/?api=1&amp;query=24.28023226,45.18065942", "View Map")</f>
        <v/>
      </c>
    </row>
    <row r="97">
      <c r="A97" t="inlineStr">
        <is>
          <t>ﻭﺯﺍﺭﺓﺍﻻﻭﻗﺎﻑ ـ ﺍﻭﻗﺎﻑ ﺍﻟﺩﻭﺍﺩﻤﻲ .</t>
        </is>
      </c>
      <c r="B97" t="inlineStr">
        <is>
          <t>KFM2020660199736</t>
        </is>
      </c>
      <c r="C97" t="inlineStr">
        <is>
          <t>الدوادمي</t>
        </is>
      </c>
      <c r="D97" t="inlineStr">
        <is>
          <t>كلا الفترتين</t>
        </is>
      </c>
      <c r="E97" t="n">
        <v>2247</v>
      </c>
      <c r="F97" t="b">
        <v>1</v>
      </c>
      <c r="G97">
        <f>HYPERLINK("https://www.google.com/maps/search/?api=1&amp;query=24.55480113,44.45257969", "View Map")</f>
        <v/>
      </c>
    </row>
    <row r="98">
      <c r="A98" t="inlineStr">
        <is>
          <t xml:space="preserve">   اوقاف القويعية/جامع البساتين .</t>
        </is>
      </c>
      <c r="B98" t="inlineStr">
        <is>
          <t>KFM2120660240474</t>
        </is>
      </c>
      <c r="C98" t="inlineStr">
        <is>
          <t>القويعية</t>
        </is>
      </c>
      <c r="D98" t="inlineStr">
        <is>
          <t>كلا الفترتين</t>
        </is>
      </c>
      <c r="E98" t="n">
        <v>2237</v>
      </c>
      <c r="F98" t="b">
        <v>0</v>
      </c>
      <c r="G98">
        <f>HYPERLINK("https://www.google.com/maps/search/?api=1&amp;query=24.05432298,45.2659814", "View Map")</f>
        <v/>
      </c>
    </row>
    <row r="99">
      <c r="A99" t="inlineStr">
        <is>
          <t>مسجد ال وهطان بالفويلق .</t>
        </is>
      </c>
      <c r="B99" t="inlineStr">
        <is>
          <t>KFM2120660240350</t>
        </is>
      </c>
      <c r="C99" t="inlineStr">
        <is>
          <t>القويعية</t>
        </is>
      </c>
      <c r="D99" t="inlineStr">
        <is>
          <t>كلا الفترتين</t>
        </is>
      </c>
      <c r="E99" t="n">
        <v>2220</v>
      </c>
      <c r="F99" t="b">
        <v>1</v>
      </c>
      <c r="G99">
        <f>HYPERLINK("https://www.google.com/maps/search/?api=1&amp;query=24.3970045,45.32037439", "View Map")</f>
        <v/>
      </c>
    </row>
    <row r="100">
      <c r="A100" t="inlineStr">
        <is>
          <t xml:space="preserve">   اوقاف الحصاة/جامع هجرةمسدح .</t>
        </is>
      </c>
      <c r="B100" t="inlineStr">
        <is>
          <t>KFM2020766138372</t>
        </is>
      </c>
      <c r="C100" t="inlineStr">
        <is>
          <t>الرين</t>
        </is>
      </c>
      <c r="D100" t="inlineStr">
        <is>
          <t>كلا الفترتين</t>
        </is>
      </c>
      <c r="E100" t="n">
        <v>2219</v>
      </c>
      <c r="F100" t="b">
        <v>0</v>
      </c>
      <c r="G100">
        <f>HYPERLINK("https://www.google.com/maps/search/?api=1&amp;query=22.6545339,44.78875066", "View Map")</f>
        <v/>
      </c>
    </row>
    <row r="101">
      <c r="A101" t="inlineStr">
        <is>
          <t xml:space="preserve">   مسجد      التوحيد   العين .</t>
        </is>
      </c>
      <c r="B101" t="inlineStr">
        <is>
          <t>KFM2020766149446</t>
        </is>
      </c>
      <c r="C101" t="inlineStr">
        <is>
          <t>ضرما</t>
        </is>
      </c>
      <c r="D101" t="inlineStr">
        <is>
          <t>كلا الفترتين</t>
        </is>
      </c>
      <c r="E101" t="n">
        <v>2199</v>
      </c>
      <c r="F101" t="b">
        <v>1</v>
      </c>
      <c r="G101">
        <f>HYPERLINK("https://www.google.com/maps/search/?api=1&amp;query=24.59621794,46.12841797", "View Map")</f>
        <v/>
      </c>
    </row>
    <row r="102">
      <c r="A102" t="inlineStr">
        <is>
          <t xml:space="preserve">   اوقاف المزاحميه .</t>
        </is>
      </c>
      <c r="B102" t="inlineStr">
        <is>
          <t>AEC2020830114458</t>
        </is>
      </c>
      <c r="C102" t="inlineStr">
        <is>
          <t>القويعية</t>
        </is>
      </c>
      <c r="D102" t="inlineStr">
        <is>
          <t>كلا الفترتين</t>
        </is>
      </c>
      <c r="E102" t="n">
        <v>2197</v>
      </c>
      <c r="F102" t="b">
        <v>0</v>
      </c>
      <c r="G102">
        <f>HYPERLINK("https://www.google.com/maps/search/?api=1&amp;query=24.43025166,45.87336685", "View Map")</f>
        <v/>
      </c>
    </row>
    <row r="103">
      <c r="A103" t="inlineStr">
        <is>
          <t xml:space="preserve">   اوقاف     القويعيه  القويعية .</t>
        </is>
      </c>
      <c r="B103" t="inlineStr">
        <is>
          <t>KFM2020660190670</t>
        </is>
      </c>
      <c r="C103" t="inlineStr">
        <is>
          <t>القويعية</t>
        </is>
      </c>
      <c r="D103" t="inlineStr">
        <is>
          <t>كلا الفترتين</t>
        </is>
      </c>
      <c r="E103" t="n">
        <v>2188</v>
      </c>
      <c r="F103" t="b">
        <v>1</v>
      </c>
      <c r="G103">
        <f>HYPERLINK("https://www.google.com/maps/search/?api=1&amp;query=23.99629295,45.39097411", "View Map")</f>
        <v/>
      </c>
    </row>
    <row r="104">
      <c r="A104" t="inlineStr">
        <is>
          <t>ﺍﻭﻗﺎﻑ ﻭﻤﺴﺎﺠﺩ ﺍﻟﻤﺯﺍﺤﻤﻴﻩ .</t>
        </is>
      </c>
      <c r="B104" t="inlineStr">
        <is>
          <t>KFM2020766075870</t>
        </is>
      </c>
      <c r="C104" t="inlineStr">
        <is>
          <t>المزاحمية</t>
        </is>
      </c>
      <c r="D104" t="inlineStr">
        <is>
          <t>كلا الفترتين</t>
        </is>
      </c>
      <c r="E104" t="n">
        <v>2186</v>
      </c>
      <c r="F104" t="b">
        <v>0</v>
      </c>
      <c r="G104">
        <f>HYPERLINK("https://www.google.com/maps/search/?api=1&amp;query=24.49285763,46.24607931", "View Map")</f>
        <v/>
      </c>
    </row>
    <row r="105">
      <c r="A105" t="inlineStr">
        <is>
          <t xml:space="preserve">      مسجد حجيلا الجامع .</t>
        </is>
      </c>
      <c r="B105" t="inlineStr">
        <is>
          <t>AES2020896454266</t>
        </is>
      </c>
      <c r="C105" t="inlineStr">
        <is>
          <t>القويعية</t>
        </is>
      </c>
      <c r="D105" t="inlineStr">
        <is>
          <t>كلا الفترتين</t>
        </is>
      </c>
      <c r="E105" t="n">
        <v>2176</v>
      </c>
      <c r="F105" t="b">
        <v>0</v>
      </c>
      <c r="G105">
        <f>HYPERLINK("https://www.google.com/maps/search/?api=1&amp;query=23.85099237,45.40005634", "View Map")</f>
        <v/>
      </c>
    </row>
    <row r="106">
      <c r="A106" t="inlineStr">
        <is>
          <t xml:space="preserve">   جامع      الرفايع   ////////// .</t>
        </is>
      </c>
      <c r="B106" t="inlineStr">
        <is>
          <t>KFM2020660172831</t>
        </is>
      </c>
      <c r="C106" t="inlineStr">
        <is>
          <t>الدوادمي</t>
        </is>
      </c>
      <c r="D106" t="inlineStr">
        <is>
          <t>كلا الفترتين</t>
        </is>
      </c>
      <c r="E106" t="n">
        <v>2174</v>
      </c>
      <c r="F106" t="b">
        <v>1</v>
      </c>
      <c r="G106">
        <f>HYPERLINK("https://www.google.com/maps/search/?api=1&amp;query=24.67497996,43.68389488", "View Map")</f>
        <v/>
      </c>
    </row>
    <row r="107">
      <c r="A107" t="inlineStr">
        <is>
          <t xml:space="preserve">   مسجد قنيفذ   بالسيبانى .</t>
        </is>
      </c>
      <c r="B107" t="inlineStr">
        <is>
          <t>KFM2020660200147</t>
        </is>
      </c>
      <c r="C107" t="inlineStr">
        <is>
          <t>ضرما</t>
        </is>
      </c>
      <c r="D107" t="inlineStr">
        <is>
          <t>كلا الفترتين</t>
        </is>
      </c>
      <c r="E107" t="n">
        <v>2152</v>
      </c>
      <c r="F107" t="b">
        <v>0</v>
      </c>
      <c r="G107">
        <f>HYPERLINK("https://www.google.com/maps/search/?api=1&amp;query=24.51813153,46.1340055", "View Map")</f>
        <v/>
      </c>
    </row>
    <row r="108">
      <c r="A108" t="inlineStr">
        <is>
          <t xml:space="preserve">   مسجد      عواض      //////////// .</t>
        </is>
      </c>
      <c r="B108" t="inlineStr">
        <is>
          <t>KFM2020660225211</t>
        </is>
      </c>
      <c r="C108" t="inlineStr">
        <is>
          <t>الدوادمي</t>
        </is>
      </c>
      <c r="D108" t="inlineStr">
        <is>
          <t>كلا الفترتين</t>
        </is>
      </c>
      <c r="E108" t="n">
        <v>2147</v>
      </c>
      <c r="F108" t="b">
        <v>0</v>
      </c>
      <c r="G108">
        <f>HYPERLINK("https://www.google.com/maps/search/?api=1&amp;query=24.51158247,44.40098811", "View Map")</f>
        <v/>
      </c>
    </row>
    <row r="109">
      <c r="A109" t="inlineStr">
        <is>
          <t>ﺍﻭﻗﺎﻑ ﻭﻤﺴﺎﺠﺩ ﺍﻟﻤﺯﺍﺤﻤﻴﻩ .</t>
        </is>
      </c>
      <c r="B109" t="inlineStr">
        <is>
          <t>KFM2020660206787</t>
        </is>
      </c>
      <c r="C109" t="inlineStr">
        <is>
          <t>المزاحمية</t>
        </is>
      </c>
      <c r="D109" t="inlineStr">
        <is>
          <t>كلا الفترتين</t>
        </is>
      </c>
      <c r="E109" t="n">
        <v>2146</v>
      </c>
      <c r="F109" t="b">
        <v>1</v>
      </c>
      <c r="G109">
        <f>HYPERLINK("https://www.google.com/maps/search/?api=1&amp;query=24.47628007,46.26872917", "View Map")</f>
        <v/>
      </c>
    </row>
    <row r="110">
      <c r="A110" t="inlineStr">
        <is>
          <t xml:space="preserve">   مسجد / مشرفه .</t>
        </is>
      </c>
      <c r="B110" t="inlineStr">
        <is>
          <t>SMR2420661036504</t>
        </is>
      </c>
      <c r="C110" t="inlineStr">
        <is>
          <t>الدوادمي</t>
        </is>
      </c>
      <c r="D110" t="inlineStr">
        <is>
          <t>كلا الفترتين</t>
        </is>
      </c>
      <c r="E110" t="n">
        <v>2136</v>
      </c>
      <c r="F110" t="b">
        <v>1</v>
      </c>
      <c r="G110">
        <f>HYPERLINK("https://www.google.com/maps/search/?api=1&amp;query=25.38546094,44.50846931", "View Map")</f>
        <v/>
      </c>
    </row>
    <row r="111">
      <c r="A111" t="inlineStr">
        <is>
          <t xml:space="preserve">   مسجد/     القعره    ///////// .</t>
        </is>
      </c>
      <c r="B111" t="inlineStr">
        <is>
          <t>AES2120896610491</t>
        </is>
      </c>
      <c r="C111" t="inlineStr">
        <is>
          <t>الدوادمي</t>
        </is>
      </c>
      <c r="D111" t="inlineStr">
        <is>
          <t>كلا الفترتين</t>
        </is>
      </c>
      <c r="E111" t="n">
        <v>2136</v>
      </c>
      <c r="F111" t="b">
        <v>0</v>
      </c>
      <c r="G111">
        <f>HYPERLINK("https://www.google.com/maps/search/?api=1&amp;query=24.72905528,43.78997551", "View Map")</f>
        <v/>
      </c>
    </row>
    <row r="112">
      <c r="A112" t="inlineStr">
        <is>
          <t xml:space="preserve">   مسجد الجامع بالعماريه بالجمش .</t>
        </is>
      </c>
      <c r="B112" t="inlineStr">
        <is>
          <t>SMR2220661011884</t>
        </is>
      </c>
      <c r="C112" t="inlineStr">
        <is>
          <t>الدوادمي</t>
        </is>
      </c>
      <c r="D112" t="inlineStr">
        <is>
          <t>كلا الفترتين</t>
        </is>
      </c>
      <c r="E112" t="n">
        <v>2133</v>
      </c>
      <c r="F112" t="b">
        <v>0</v>
      </c>
      <c r="G112">
        <f>HYPERLINK("https://www.google.com/maps/search/?api=1&amp;query=24.665876,43.66509156", "View Map")</f>
        <v/>
      </c>
    </row>
    <row r="113">
      <c r="A113" t="inlineStr">
        <is>
          <t xml:space="preserve">   مسجد      مخطط      بالبجادية .</t>
        </is>
      </c>
      <c r="B113" t="inlineStr">
        <is>
          <t>KFM2120660252072</t>
        </is>
      </c>
      <c r="C113" t="inlineStr">
        <is>
          <t>الدوادمي</t>
        </is>
      </c>
      <c r="D113" t="inlineStr">
        <is>
          <t>كلا الفترتين</t>
        </is>
      </c>
      <c r="E113" t="n">
        <v>2132</v>
      </c>
      <c r="F113" t="b">
        <v>0</v>
      </c>
      <c r="G113">
        <f>HYPERLINK("https://www.google.com/maps/search/?api=1&amp;query=24.30458833,43.75688667", "View Map")</f>
        <v/>
      </c>
    </row>
    <row r="114">
      <c r="A114" t="inlineStr">
        <is>
          <t xml:space="preserve">   مسجد      منيفة     الجامع .</t>
        </is>
      </c>
      <c r="B114" t="inlineStr">
        <is>
          <t>MMF2420801296503</t>
        </is>
      </c>
      <c r="C114" t="inlineStr">
        <is>
          <t>الدوادمي</t>
        </is>
      </c>
      <c r="D114" t="inlineStr">
        <is>
          <t>كلا الفترتين</t>
        </is>
      </c>
      <c r="E114" t="n">
        <v>2128</v>
      </c>
      <c r="F114" t="b">
        <v>0</v>
      </c>
      <c r="G114">
        <f>HYPERLINK("https://www.google.com/maps/search/?api=1&amp;query=24.5783285,43.55278671", "View Map")</f>
        <v/>
      </c>
    </row>
    <row r="115">
      <c r="A115" t="inlineStr">
        <is>
          <t xml:space="preserve">   مسجد جامع الشيخ عبدالله .</t>
        </is>
      </c>
      <c r="B115" t="inlineStr">
        <is>
          <t>KFM2020660225539</t>
        </is>
      </c>
      <c r="C115" t="inlineStr">
        <is>
          <t>ضرما</t>
        </is>
      </c>
      <c r="D115" t="inlineStr">
        <is>
          <t>كلا الفترتين</t>
        </is>
      </c>
      <c r="E115" t="n">
        <v>2120</v>
      </c>
      <c r="F115" t="b">
        <v>1</v>
      </c>
      <c r="G115">
        <f>HYPERLINK("https://www.google.com/maps/search/?api=1&amp;query=24.50587939,46.35950958", "View Map")</f>
        <v/>
      </c>
    </row>
    <row r="116">
      <c r="A116" t="inlineStr">
        <is>
          <t xml:space="preserve">   مسجد      النهضه    بالدوادمي .</t>
        </is>
      </c>
      <c r="B116" t="inlineStr">
        <is>
          <t>KFM2020660172350</t>
        </is>
      </c>
      <c r="C116" t="inlineStr">
        <is>
          <t>الدوادمي</t>
        </is>
      </c>
      <c r="D116" t="inlineStr">
        <is>
          <t>كلا الفترتين</t>
        </is>
      </c>
      <c r="E116" t="n">
        <v>2120</v>
      </c>
      <c r="F116" t="b">
        <v>1</v>
      </c>
      <c r="G116">
        <f>HYPERLINK("https://www.google.com/maps/search/?api=1&amp;query=24.50533018,44.39526609", "View Map")</f>
        <v/>
      </c>
    </row>
    <row r="117">
      <c r="A117" t="inlineStr">
        <is>
          <t xml:space="preserve">    اوقاف الرين / مسجد المعتلا .</t>
        </is>
      </c>
      <c r="B117" t="inlineStr">
        <is>
          <t>AES2020896468012</t>
        </is>
      </c>
      <c r="C117" t="inlineStr">
        <is>
          <t>الرين</t>
        </is>
      </c>
      <c r="D117" t="inlineStr">
        <is>
          <t>كلا الفترتين</t>
        </is>
      </c>
      <c r="E117" t="n">
        <v>2116</v>
      </c>
      <c r="F117" t="b">
        <v>0</v>
      </c>
      <c r="G117">
        <f>HYPERLINK("https://www.google.com/maps/search/?api=1&amp;query=23.26260241,45.22045478", "View Map")</f>
        <v/>
      </c>
    </row>
    <row r="118">
      <c r="A118" t="inlineStr">
        <is>
          <t xml:space="preserve">   جامع      الرويضه   القديم .</t>
        </is>
      </c>
      <c r="B118" t="inlineStr">
        <is>
          <t>KFM2020660171216</t>
        </is>
      </c>
      <c r="C118" t="inlineStr">
        <is>
          <t>القويعية</t>
        </is>
      </c>
      <c r="D118" t="inlineStr">
        <is>
          <t>كلا الفترتين</t>
        </is>
      </c>
      <c r="E118" t="n">
        <v>2116</v>
      </c>
      <c r="F118" t="b">
        <v>1</v>
      </c>
      <c r="G118">
        <f>HYPERLINK("https://www.google.com/maps/search/?api=1&amp;query=23.76431816,44.76264936", "View Map")</f>
        <v/>
      </c>
    </row>
    <row r="119">
      <c r="A119" t="inlineStr">
        <is>
          <t xml:space="preserve">      اوقاف المزاحمية/جامع الجديدة .</t>
        </is>
      </c>
      <c r="B119" t="inlineStr">
        <is>
          <t>KFM2020660177264</t>
        </is>
      </c>
      <c r="C119" t="inlineStr">
        <is>
          <t>القويعية</t>
        </is>
      </c>
      <c r="D119" t="inlineStr">
        <is>
          <t>كلا الفترتين</t>
        </is>
      </c>
      <c r="E119" t="n">
        <v>2106</v>
      </c>
      <c r="F119" t="b">
        <v>0</v>
      </c>
      <c r="G119">
        <f>HYPERLINK("https://www.google.com/maps/search/?api=1&amp;query=24.4143316,45.81323545", "View Map")</f>
        <v/>
      </c>
    </row>
    <row r="120">
      <c r="A120" t="inlineStr">
        <is>
          <t>ﻭﺯﺍﺭﺓﺍﻻﻭﻗﺎﻑ _ﺍﻭﻗﺎﻑ ﺍﻟﺠﻤﺵ .</t>
        </is>
      </c>
      <c r="B120" t="inlineStr">
        <is>
          <t>SMR2220661004077</t>
        </is>
      </c>
      <c r="C120" t="inlineStr">
        <is>
          <t>الدوادمي</t>
        </is>
      </c>
      <c r="D120" t="inlineStr">
        <is>
          <t>كلا الفترتين</t>
        </is>
      </c>
      <c r="E120" t="n">
        <v>2100</v>
      </c>
      <c r="F120" t="b">
        <v>1</v>
      </c>
      <c r="G120">
        <f>HYPERLINK("https://www.google.com/maps/search/?api=1&amp;query=24.57128333,43.62901", "View Map")</f>
        <v/>
      </c>
    </row>
    <row r="121">
      <c r="A121" t="inlineStr">
        <is>
          <t>ﺃﻭﻗﺎﻑ ﻭﻤﺴﺎﺠﺩ ﺍﻟﻗﻭﻴﻌﻴﻩ .</t>
        </is>
      </c>
      <c r="B121" t="inlineStr">
        <is>
          <t>SMR2020850089100</t>
        </is>
      </c>
      <c r="C121" t="inlineStr">
        <is>
          <t>القويعية</t>
        </is>
      </c>
      <c r="D121" t="inlineStr">
        <is>
          <t>كلا الفترتين</t>
        </is>
      </c>
      <c r="E121" t="n">
        <v>2097</v>
      </c>
      <c r="F121" t="b">
        <v>1</v>
      </c>
      <c r="G121">
        <f>HYPERLINK("https://www.google.com/maps/search/?api=1&amp;query=24.08731961,45.30712424", "View Map")</f>
        <v/>
      </c>
    </row>
    <row r="122">
      <c r="A122" t="inlineStr">
        <is>
          <t xml:space="preserve">     اوقاف المزاحميه / جامع قنيفذاء .</t>
        </is>
      </c>
      <c r="B122" t="inlineStr">
        <is>
          <t>KFM2020660177285</t>
        </is>
      </c>
      <c r="C122" t="inlineStr">
        <is>
          <t>القويعية</t>
        </is>
      </c>
      <c r="D122" t="inlineStr">
        <is>
          <t>كلا الفترتين</t>
        </is>
      </c>
      <c r="E122" t="n">
        <v>2090</v>
      </c>
      <c r="F122" t="b">
        <v>1</v>
      </c>
      <c r="G122">
        <f>HYPERLINK("https://www.google.com/maps/search/?api=1&amp;query=24.54918392,45.70646594", "View Map")</f>
        <v/>
      </c>
    </row>
    <row r="123">
      <c r="A123" t="inlineStr">
        <is>
          <t xml:space="preserve">   المسجد    الجامع    بالفيحاء .</t>
        </is>
      </c>
      <c r="B123" t="inlineStr">
        <is>
          <t>KFM2020660195908</t>
        </is>
      </c>
      <c r="C123" t="inlineStr">
        <is>
          <t>الدوادمي</t>
        </is>
      </c>
      <c r="D123" t="inlineStr">
        <is>
          <t>كلا الفترتين</t>
        </is>
      </c>
      <c r="E123" t="n">
        <v>2089</v>
      </c>
      <c r="F123" t="b">
        <v>1</v>
      </c>
      <c r="G123">
        <f>HYPERLINK("https://www.google.com/maps/search/?api=1&amp;query=24.39852132,44.89825764", "View Map")</f>
        <v/>
      </c>
    </row>
    <row r="124">
      <c r="A124" t="inlineStr">
        <is>
          <t xml:space="preserve">      مسجد الجامع بحضار .</t>
        </is>
      </c>
      <c r="B124" t="inlineStr">
        <is>
          <t>KFM2020660207314</t>
        </is>
      </c>
      <c r="C124" t="inlineStr">
        <is>
          <t>المزاحمية</t>
        </is>
      </c>
      <c r="D124" t="inlineStr">
        <is>
          <t>كلا الفترتين</t>
        </is>
      </c>
      <c r="E124" t="n">
        <v>2088</v>
      </c>
      <c r="F124" t="b">
        <v>0</v>
      </c>
      <c r="G124">
        <f>HYPERLINK("https://www.google.com/maps/search/?api=1&amp;query=24.48155957,46.2812214", "View Map")</f>
        <v/>
      </c>
    </row>
    <row r="125">
      <c r="A125" t="inlineStr">
        <is>
          <t xml:space="preserve">   مسجد ابن عمار .</t>
        </is>
      </c>
      <c r="B125" t="inlineStr">
        <is>
          <t>KFM2020660200116</t>
        </is>
      </c>
      <c r="C125" t="inlineStr">
        <is>
          <t>ضرما</t>
        </is>
      </c>
      <c r="D125" t="inlineStr">
        <is>
          <t>كلا الفترتين</t>
        </is>
      </c>
      <c r="E125" t="n">
        <v>2088</v>
      </c>
      <c r="F125" t="b">
        <v>0</v>
      </c>
      <c r="G125">
        <f>HYPERLINK("https://www.google.com/maps/search/?api=1&amp;query=24.6039,46.1256", "View Map")</f>
        <v/>
      </c>
    </row>
    <row r="126">
      <c r="A126" t="inlineStr">
        <is>
          <t>ﺍﻭﻗﺎﻑ ﻭﻤﺴﺎﺠﺩ ﻀﺭﻤﺎء .</t>
        </is>
      </c>
      <c r="B126" t="inlineStr">
        <is>
          <t>KFM2020766162402</t>
        </is>
      </c>
      <c r="C126" t="inlineStr">
        <is>
          <t>ضرما</t>
        </is>
      </c>
      <c r="D126" t="inlineStr">
        <is>
          <t>كلا الفترتين</t>
        </is>
      </c>
      <c r="E126" t="n">
        <v>2072</v>
      </c>
      <c r="F126" t="b">
        <v>0</v>
      </c>
      <c r="G126">
        <f>HYPERLINK("https://www.google.com/maps/search/?api=1&amp;query=24.61471721,46.10193564", "View Map")</f>
        <v/>
      </c>
    </row>
    <row r="127">
      <c r="A127" t="inlineStr">
        <is>
          <t xml:space="preserve">   مسجد      الدعجاني  ي .</t>
        </is>
      </c>
      <c r="B127" t="inlineStr">
        <is>
          <t>AEC2020830243106</t>
        </is>
      </c>
      <c r="C127" t="inlineStr">
        <is>
          <t>المزاحمية</t>
        </is>
      </c>
      <c r="D127" t="inlineStr">
        <is>
          <t>كلا الفترتين</t>
        </is>
      </c>
      <c r="E127" t="n">
        <v>2062</v>
      </c>
      <c r="F127" t="b">
        <v>0</v>
      </c>
      <c r="G127">
        <f>HYPERLINK("https://www.google.com/maps/search/?api=1&amp;query=24.47397336,46.26342217", "View Map")</f>
        <v/>
      </c>
    </row>
    <row r="128">
      <c r="A128" t="inlineStr">
        <is>
          <t>وزارةالا وقاف اوقاف البجاديه .</t>
        </is>
      </c>
      <c r="B128" t="inlineStr">
        <is>
          <t>KFM2020660212269</t>
        </is>
      </c>
      <c r="C128" t="inlineStr">
        <is>
          <t>الدوادمي</t>
        </is>
      </c>
      <c r="D128" t="inlineStr">
        <is>
          <t>كلا الفترتين</t>
        </is>
      </c>
      <c r="E128" t="n">
        <v>2057</v>
      </c>
      <c r="F128" t="b">
        <v>0</v>
      </c>
      <c r="G128">
        <f>HYPERLINK("https://www.google.com/maps/search/?api=1&amp;query=24.20045799,43.84274351", "View Map")</f>
        <v/>
      </c>
    </row>
    <row r="129">
      <c r="A129" t="inlineStr">
        <is>
          <t xml:space="preserve">   مسجد قرية الروسان .</t>
        </is>
      </c>
      <c r="B129" t="inlineStr">
        <is>
          <t>KFM2120660253514</t>
        </is>
      </c>
      <c r="C129" t="inlineStr">
        <is>
          <t>الدوادمي</t>
        </is>
      </c>
      <c r="D129" t="inlineStr">
        <is>
          <t>كلا الفترتين</t>
        </is>
      </c>
      <c r="E129" t="n">
        <v>2050</v>
      </c>
      <c r="F129" t="b">
        <v>1</v>
      </c>
      <c r="G129">
        <f>HYPERLINK("https://www.google.com/maps/search/?api=1&amp;query=24.68233726,44.95639094", "View Map")</f>
        <v/>
      </c>
    </row>
    <row r="130">
      <c r="A130" t="inlineStr">
        <is>
          <t xml:space="preserve">   الجامع القديم .</t>
        </is>
      </c>
      <c r="B130" t="inlineStr">
        <is>
          <t>KFM2020660212316</t>
        </is>
      </c>
      <c r="C130" t="inlineStr">
        <is>
          <t>الدوادمي</t>
        </is>
      </c>
      <c r="D130" t="inlineStr">
        <is>
          <t>كلا الفترتين</t>
        </is>
      </c>
      <c r="E130" t="n">
        <v>2050</v>
      </c>
      <c r="F130" t="b">
        <v>1</v>
      </c>
      <c r="G130">
        <f>HYPERLINK("https://www.google.com/maps/search/?api=1&amp;query=24.29512638,43.73824623", "View Map")</f>
        <v/>
      </c>
    </row>
    <row r="131">
      <c r="A131" t="inlineStr">
        <is>
          <t xml:space="preserve">      جــامـع البدائع .</t>
        </is>
      </c>
      <c r="B131" t="inlineStr">
        <is>
          <t>KFM2020766163482</t>
        </is>
      </c>
      <c r="C131" t="inlineStr">
        <is>
          <t>الرين</t>
        </is>
      </c>
      <c r="D131" t="inlineStr">
        <is>
          <t>كلا الفترتين</t>
        </is>
      </c>
      <c r="E131" t="n">
        <v>2038</v>
      </c>
      <c r="F131" t="b">
        <v>0</v>
      </c>
      <c r="G131">
        <f>HYPERLINK("https://www.google.com/maps/search/?api=1&amp;query=23.60699927,45.44052175", "View Map")</f>
        <v/>
      </c>
    </row>
    <row r="132">
      <c r="A132" t="inlineStr">
        <is>
          <t>ﻭﺯﺍﺭﺓﺍﻻﻭﻗﺎﻑ ـ ﺍﻭﻗﺎﻑ ﺍﻟﺩﻭﺍﺩﻤﻲ .</t>
        </is>
      </c>
      <c r="B132" t="inlineStr">
        <is>
          <t>KFM2020660189758</t>
        </is>
      </c>
      <c r="C132" t="inlineStr">
        <is>
          <t>الدوادمي</t>
        </is>
      </c>
      <c r="D132" t="inlineStr">
        <is>
          <t>كلا الفترتين</t>
        </is>
      </c>
      <c r="E132" t="n">
        <v>2037</v>
      </c>
      <c r="F132" t="b">
        <v>1</v>
      </c>
      <c r="G132">
        <f>HYPERLINK("https://www.google.com/maps/search/?api=1&amp;query=24.54648276,44.43771395", "View Map")</f>
        <v/>
      </c>
    </row>
    <row r="133">
      <c r="A133" t="inlineStr">
        <is>
          <t>مسجد      المزموم   بالمزاحمية .</t>
        </is>
      </c>
      <c r="B133" t="inlineStr">
        <is>
          <t>KFM2020660206750</t>
        </is>
      </c>
      <c r="C133" t="inlineStr">
        <is>
          <t>المزاحمية</t>
        </is>
      </c>
      <c r="D133" t="inlineStr">
        <is>
          <t>كلا الفترتين</t>
        </is>
      </c>
      <c r="E133" t="n">
        <v>2022</v>
      </c>
      <c r="F133" t="b">
        <v>0</v>
      </c>
      <c r="G133">
        <f>HYPERLINK("https://www.google.com/maps/search/?api=1&amp;query=24.45073409,46.30022976", "View Map")</f>
        <v/>
      </c>
    </row>
    <row r="134">
      <c r="A134" t="inlineStr">
        <is>
          <t xml:space="preserve">   مسجد      خط الحجاز 0 .</t>
        </is>
      </c>
      <c r="B134" t="inlineStr">
        <is>
          <t>KFM2020660176219</t>
        </is>
      </c>
      <c r="C134" t="inlineStr">
        <is>
          <t>الدوادمي</t>
        </is>
      </c>
      <c r="D134" t="inlineStr">
        <is>
          <t>كلا الفترتين</t>
        </is>
      </c>
      <c r="E134" t="n">
        <v>2013</v>
      </c>
      <c r="F134" t="b">
        <v>1</v>
      </c>
      <c r="G134">
        <f>HYPERLINK("https://www.google.com/maps/search/?api=1&amp;query=24.49979615,44.38185918", "View Map")</f>
        <v/>
      </c>
    </row>
    <row r="135">
      <c r="A135" t="inlineStr">
        <is>
          <t xml:space="preserve">   مسجد/عثمان  بالسليمانية .</t>
        </is>
      </c>
      <c r="B135" t="inlineStr">
        <is>
          <t>KFM2020766077737</t>
        </is>
      </c>
      <c r="C135" t="inlineStr">
        <is>
          <t>الدوادمي</t>
        </is>
      </c>
      <c r="D135" t="inlineStr">
        <is>
          <t>كلا الفترتين</t>
        </is>
      </c>
      <c r="E135" t="n">
        <v>2005</v>
      </c>
      <c r="F135" t="b">
        <v>0</v>
      </c>
      <c r="G135">
        <f>HYPERLINK("https://www.google.com/maps/search/?api=1&amp;query=25.09604809,43.80613146", "View Map")</f>
        <v/>
      </c>
    </row>
    <row r="136">
      <c r="A136" t="inlineStr">
        <is>
          <t xml:space="preserve">   مسجد هجرة الفيضة سرالكعد .</t>
        </is>
      </c>
      <c r="B136" t="inlineStr">
        <is>
          <t>AEC2020830325374</t>
        </is>
      </c>
      <c r="C136" t="inlineStr">
        <is>
          <t>الرين</t>
        </is>
      </c>
      <c r="D136" t="inlineStr">
        <is>
          <t>كلا الفترتين</t>
        </is>
      </c>
      <c r="E136" t="n">
        <v>1999</v>
      </c>
      <c r="F136" t="b">
        <v>0</v>
      </c>
      <c r="G136">
        <f>HYPERLINK("https://www.google.com/maps/search/?api=1&amp;query=22.82058666,45.17199068", "View Map")</f>
        <v/>
      </c>
    </row>
    <row r="137">
      <c r="A137" t="inlineStr">
        <is>
          <t xml:space="preserve">       المسجد الجامع بالروضه .</t>
        </is>
      </c>
      <c r="B137" t="inlineStr">
        <is>
          <t>KFM2020766085176</t>
        </is>
      </c>
      <c r="C137" t="inlineStr">
        <is>
          <t>القويعية</t>
        </is>
      </c>
      <c r="D137" t="inlineStr">
        <is>
          <t>كلا الفترتين</t>
        </is>
      </c>
      <c r="E137" t="n">
        <v>1990</v>
      </c>
      <c r="F137" t="b">
        <v>0</v>
      </c>
      <c r="G137">
        <f>HYPERLINK("https://www.google.com/maps/search/?api=1&amp;query=23.74861512,44.78524752", "View Map")</f>
        <v/>
      </c>
    </row>
    <row r="138">
      <c r="A138" t="inlineStr">
        <is>
          <t xml:space="preserve">   اوقاف المزاحميةمسجدالمحمدية .</t>
        </is>
      </c>
      <c r="B138" t="inlineStr">
        <is>
          <t>AES2020896459702</t>
        </is>
      </c>
      <c r="C138" t="inlineStr">
        <is>
          <t>القويعية</t>
        </is>
      </c>
      <c r="D138" t="inlineStr">
        <is>
          <t>كلا الفترتين</t>
        </is>
      </c>
      <c r="E138" t="n">
        <v>1985</v>
      </c>
      <c r="F138" t="b">
        <v>0</v>
      </c>
      <c r="G138">
        <f>HYPERLINK("https://www.google.com/maps/search/?api=1&amp;query=24.24255934,45.81325304", "View Map")</f>
        <v/>
      </c>
    </row>
    <row r="139">
      <c r="A139" t="inlineStr">
        <is>
          <t>ﺃﻭﻗﺎﻑ ﻭﻤﺴﺎﺠﺩ ﺍﻟﻗﻭﻴﻌﻴﻩ .</t>
        </is>
      </c>
      <c r="B139" t="inlineStr">
        <is>
          <t>AEC2020830536532</t>
        </is>
      </c>
      <c r="C139" t="inlineStr">
        <is>
          <t>الرين</t>
        </is>
      </c>
      <c r="D139" t="inlineStr">
        <is>
          <t>كلا الفترتين</t>
        </is>
      </c>
      <c r="E139" t="n">
        <v>1984</v>
      </c>
      <c r="F139" t="b">
        <v>0</v>
      </c>
      <c r="G139">
        <f>HYPERLINK("https://www.google.com/maps/search/?api=1&amp;query=22.65511025,45.13754028", "View Map")</f>
        <v/>
      </c>
    </row>
    <row r="140">
      <c r="A140" t="inlineStr">
        <is>
          <t xml:space="preserve">   مسجد      عسكرةبنت  حي نوارة .</t>
        </is>
      </c>
      <c r="B140" t="inlineStr">
        <is>
          <t>KFM2020660225595</t>
        </is>
      </c>
      <c r="C140" t="inlineStr">
        <is>
          <t>المزاحمية</t>
        </is>
      </c>
      <c r="D140" t="inlineStr">
        <is>
          <t>كلا الفترتين</t>
        </is>
      </c>
      <c r="E140" t="n">
        <v>1983</v>
      </c>
      <c r="F140" t="b">
        <v>1</v>
      </c>
      <c r="G140">
        <f>HYPERLINK("https://www.google.com/maps/search/?api=1&amp;query=24.45880199,46.29016549", "View Map")</f>
        <v/>
      </c>
    </row>
    <row r="141">
      <c r="A141" t="inlineStr">
        <is>
          <t xml:space="preserve">   اوقاف الحصاة/مسجدالمرتفع .</t>
        </is>
      </c>
      <c r="B141" t="inlineStr">
        <is>
          <t>AEC2020830074892</t>
        </is>
      </c>
      <c r="C141" t="inlineStr">
        <is>
          <t>الرين</t>
        </is>
      </c>
      <c r="D141" t="inlineStr">
        <is>
          <t>كلا الفترتين</t>
        </is>
      </c>
      <c r="E141" t="n">
        <v>1978</v>
      </c>
      <c r="F141" t="b">
        <v>0</v>
      </c>
      <c r="G141">
        <f>HYPERLINK("https://www.google.com/maps/search/?api=1&amp;query=22.74332077,44.97755932", "View Map")</f>
        <v/>
      </c>
    </row>
    <row r="142">
      <c r="A142" t="inlineStr">
        <is>
          <t>ﺍﻭﻗﺎﻑ ﻭﻤﺴﺎﺠﺩ ﻀﺭﻤﺎء .</t>
        </is>
      </c>
      <c r="B142" t="inlineStr">
        <is>
          <t>SMR2220761016546</t>
        </is>
      </c>
      <c r="C142" t="inlineStr">
        <is>
          <t>ضرما</t>
        </is>
      </c>
      <c r="D142" t="inlineStr">
        <is>
          <t>كلا الفترتين</t>
        </is>
      </c>
      <c r="E142" t="n">
        <v>1974</v>
      </c>
      <c r="F142" t="b">
        <v>0</v>
      </c>
      <c r="G142">
        <f>HYPERLINK("https://www.google.com/maps/search/?api=1&amp;query=24.5908024,46.13035834", "View Map")</f>
        <v/>
      </c>
    </row>
    <row r="143">
      <c r="A143" t="inlineStr">
        <is>
          <t>ﺍﻭﻗﺎﻑ ﻭﻤﺴﺎﺠﺩ ﺍﻟﺭﻴﻥ .</t>
        </is>
      </c>
      <c r="B143" t="inlineStr">
        <is>
          <t>KFM2020660196369</t>
        </is>
      </c>
      <c r="C143" t="inlineStr">
        <is>
          <t>الرين</t>
        </is>
      </c>
      <c r="D143" t="inlineStr">
        <is>
          <t>كلا الفترتين</t>
        </is>
      </c>
      <c r="E143" t="n">
        <v>1971</v>
      </c>
      <c r="F143" t="b">
        <v>0</v>
      </c>
      <c r="G143">
        <f>HYPERLINK("https://www.google.com/maps/search/?api=1&amp;query=23.50983411,45.52891829", "View Map")</f>
        <v/>
      </c>
    </row>
    <row r="144">
      <c r="A144" t="inlineStr">
        <is>
          <t xml:space="preserve">   مسجد      الركيان   /// .</t>
        </is>
      </c>
      <c r="B144" t="inlineStr">
        <is>
          <t>KFM2020660225197</t>
        </is>
      </c>
      <c r="C144" t="inlineStr">
        <is>
          <t>الدوادمي</t>
        </is>
      </c>
      <c r="D144" t="inlineStr">
        <is>
          <t>كلا الفترتين</t>
        </is>
      </c>
      <c r="E144" t="n">
        <v>1953</v>
      </c>
      <c r="F144" t="b">
        <v>0</v>
      </c>
      <c r="G144">
        <f>HYPERLINK("https://www.google.com/maps/search/?api=1&amp;query=24.512779,44.39554229", "View Map")</f>
        <v/>
      </c>
    </row>
    <row r="145">
      <c r="A145" t="inlineStr">
        <is>
          <t xml:space="preserve">   مسجد سعد  بن بطي    الفراج .</t>
        </is>
      </c>
      <c r="B145" t="inlineStr">
        <is>
          <t>KFM2020660158955</t>
        </is>
      </c>
      <c r="C145" t="inlineStr">
        <is>
          <t>المزاحمية</t>
        </is>
      </c>
      <c r="D145" t="inlineStr">
        <is>
          <t>كلا الفترتين</t>
        </is>
      </c>
      <c r="E145" t="n">
        <v>1950</v>
      </c>
      <c r="F145" t="b">
        <v>0</v>
      </c>
      <c r="G145">
        <f>HYPERLINK("https://www.google.com/maps/search/?api=1&amp;query=24.45867421,46.2692289", "View Map")</f>
        <v/>
      </c>
    </row>
    <row r="146">
      <c r="A146" t="inlineStr">
        <is>
          <t>أوقاف ومساجد القويعيه .</t>
        </is>
      </c>
      <c r="B146" t="inlineStr">
        <is>
          <t>AES2020896335648</t>
        </is>
      </c>
      <c r="C146" t="inlineStr">
        <is>
          <t>القويعية</t>
        </is>
      </c>
      <c r="D146" t="inlineStr">
        <is>
          <t>كلا الفترتين</t>
        </is>
      </c>
      <c r="E146" t="n">
        <v>1947</v>
      </c>
      <c r="F146" t="b">
        <v>0</v>
      </c>
      <c r="G146">
        <f>HYPERLINK("https://www.google.com/maps/search/?api=1&amp;query=24.52463718,45.76798693", "View Map")</f>
        <v/>
      </c>
    </row>
    <row r="147">
      <c r="A147" t="inlineStr">
        <is>
          <t xml:space="preserve">   اوقاف     القويعية  الرفايع .</t>
        </is>
      </c>
      <c r="B147" t="inlineStr">
        <is>
          <t>AES2020896454100</t>
        </is>
      </c>
      <c r="C147" t="inlineStr">
        <is>
          <t>القويعية</t>
        </is>
      </c>
      <c r="D147" t="inlineStr">
        <is>
          <t>كلا الفترتين</t>
        </is>
      </c>
      <c r="E147" t="n">
        <v>1942</v>
      </c>
      <c r="F147" t="b">
        <v>0</v>
      </c>
      <c r="G147">
        <f>HYPERLINK("https://www.google.com/maps/search/?api=1&amp;query=23.99576447,45.45705306", "View Map")</f>
        <v/>
      </c>
    </row>
    <row r="148">
      <c r="A148" t="inlineStr">
        <is>
          <t xml:space="preserve">      مسجد الكثيرى .</t>
        </is>
      </c>
      <c r="B148" t="inlineStr">
        <is>
          <t>KFM2020660209349</t>
        </is>
      </c>
      <c r="C148" t="inlineStr">
        <is>
          <t>المزاحمية</t>
        </is>
      </c>
      <c r="D148" t="inlineStr">
        <is>
          <t>كلا الفترتين</t>
        </is>
      </c>
      <c r="E148" t="n">
        <v>1931</v>
      </c>
      <c r="F148" t="b">
        <v>0</v>
      </c>
      <c r="G148">
        <f>HYPERLINK("https://www.google.com/maps/search/?api=1&amp;query=24.47559069,46.28405371", "View Map")</f>
        <v/>
      </c>
    </row>
    <row r="149">
      <c r="A149" t="inlineStr">
        <is>
          <t xml:space="preserve">   اوقاف الحصاة/مسجدالشفاء .</t>
        </is>
      </c>
      <c r="B149" t="inlineStr">
        <is>
          <t>AES2020896448183</t>
        </is>
      </c>
      <c r="C149" t="inlineStr">
        <is>
          <t>الرين</t>
        </is>
      </c>
      <c r="D149" t="inlineStr">
        <is>
          <t>كلا الفترتين</t>
        </is>
      </c>
      <c r="E149" t="n">
        <v>1929</v>
      </c>
      <c r="F149" t="b">
        <v>0</v>
      </c>
      <c r="G149">
        <f>HYPERLINK("https://www.google.com/maps/search/?api=1&amp;query=22.69860935,44.87472916", "View Map")</f>
        <v/>
      </c>
    </row>
    <row r="150">
      <c r="A150" t="inlineStr">
        <is>
          <t xml:space="preserve">   اوقاف     الرين     المجمعة .</t>
        </is>
      </c>
      <c r="B150" t="inlineStr">
        <is>
          <t>KFM2020660196377</t>
        </is>
      </c>
      <c r="C150" t="inlineStr">
        <is>
          <t>الرين</t>
        </is>
      </c>
      <c r="D150" t="inlineStr">
        <is>
          <t>كلا الفترتين</t>
        </is>
      </c>
      <c r="E150" t="n">
        <v>1916</v>
      </c>
      <c r="F150" t="b">
        <v>0</v>
      </c>
      <c r="G150">
        <f>HYPERLINK("https://www.google.com/maps/search/?api=1&amp;query=23.2414569,45.50613701", "View Map")</f>
        <v/>
      </c>
    </row>
    <row r="151">
      <c r="A151" t="inlineStr">
        <is>
          <t xml:space="preserve">   مسجد الاماره بدراويش .</t>
        </is>
      </c>
      <c r="B151" t="inlineStr">
        <is>
          <t>KFM2020760229659</t>
        </is>
      </c>
      <c r="C151" t="inlineStr">
        <is>
          <t>الرين</t>
        </is>
      </c>
      <c r="D151" t="inlineStr">
        <is>
          <t>كلا الفترتين</t>
        </is>
      </c>
      <c r="E151" t="n">
        <v>1913</v>
      </c>
      <c r="F151" t="b">
        <v>0</v>
      </c>
      <c r="G151">
        <f>HYPERLINK("https://www.google.com/maps/search/?api=1&amp;query=22.66814461,44.74089466", "View Map")</f>
        <v/>
      </c>
    </row>
    <row r="152">
      <c r="A152" t="inlineStr">
        <is>
          <t>ﻭﺯﺍﺭﺓﺍﻷﻭﻗﺎﻑ _ﺍﻭﻗﺎﻑ ﻨﻓﻲ .</t>
        </is>
      </c>
      <c r="B152" t="inlineStr">
        <is>
          <t>ECC2020811092210</t>
        </is>
      </c>
      <c r="C152" t="inlineStr">
        <is>
          <t>الدوادمي</t>
        </is>
      </c>
      <c r="D152" t="inlineStr">
        <is>
          <t>كلا الفترتين</t>
        </is>
      </c>
      <c r="E152" t="n">
        <v>1907</v>
      </c>
      <c r="F152" t="b">
        <v>0</v>
      </c>
      <c r="G152">
        <f>HYPERLINK("https://www.google.com/maps/search/?api=1&amp;query=25.09854744,43.80529854", "View Map")</f>
        <v/>
      </c>
    </row>
    <row r="153">
      <c r="A153" t="inlineStr">
        <is>
          <t xml:space="preserve">   مسجدعمر بنعبدالعزيز السلسمانيه .</t>
        </is>
      </c>
      <c r="B153" t="inlineStr">
        <is>
          <t>KFM2020766102316</t>
        </is>
      </c>
      <c r="C153" t="inlineStr">
        <is>
          <t>الدوادمي</t>
        </is>
      </c>
      <c r="D153" t="inlineStr">
        <is>
          <t>كلا الفترتين</t>
        </is>
      </c>
      <c r="E153" t="n">
        <v>1898</v>
      </c>
      <c r="F153" t="b">
        <v>0</v>
      </c>
      <c r="G153">
        <f>HYPERLINK("https://www.google.com/maps/search/?api=1&amp;query=25.1014824,43.79931371", "View Map")</f>
        <v/>
      </c>
    </row>
    <row r="154">
      <c r="A154" t="inlineStr">
        <is>
          <t xml:space="preserve">      جامع الجفونيه .</t>
        </is>
      </c>
      <c r="B154" t="inlineStr">
        <is>
          <t>KFM2120660240466</t>
        </is>
      </c>
      <c r="C154" t="inlineStr">
        <is>
          <t>القويعية</t>
        </is>
      </c>
      <c r="D154" t="inlineStr">
        <is>
          <t>كلا الفترتين</t>
        </is>
      </c>
      <c r="E154" t="n">
        <v>1896</v>
      </c>
      <c r="F154" t="b">
        <v>1</v>
      </c>
      <c r="G154">
        <f>HYPERLINK("https://www.google.com/maps/search/?api=1&amp;query=24.04980918,45.26207937", "View Map")</f>
        <v/>
      </c>
    </row>
    <row r="155">
      <c r="A155" t="inlineStr">
        <is>
          <t>ﺃﻭﻗﺎﻑ ﻭﻤﺴﺎﺠﺩ ﺍﻟﻗﻭﻴﻌﻴﻩ .</t>
        </is>
      </c>
      <c r="B155" t="inlineStr">
        <is>
          <t>SMR2220761013424</t>
        </is>
      </c>
      <c r="C155" t="inlineStr">
        <is>
          <t>القويعية</t>
        </is>
      </c>
      <c r="D155" t="inlineStr">
        <is>
          <t>كلا الفترتين</t>
        </is>
      </c>
      <c r="E155" t="n">
        <v>1895</v>
      </c>
      <c r="F155" t="b">
        <v>0</v>
      </c>
      <c r="G155">
        <f>HYPERLINK("https://www.google.com/maps/search/?api=1&amp;query=24.08784539,45.34351964", "View Map")</f>
        <v/>
      </c>
    </row>
    <row r="156">
      <c r="A156" t="inlineStr">
        <is>
          <t xml:space="preserve">   مسجد/ عبدالرحمن سعد المشوح .</t>
        </is>
      </c>
      <c r="B156" t="inlineStr">
        <is>
          <t>KFM2020660129415</t>
        </is>
      </c>
      <c r="C156" t="inlineStr">
        <is>
          <t>الدوادمي</t>
        </is>
      </c>
      <c r="D156" t="inlineStr">
        <is>
          <t>كلا الفترتين</t>
        </is>
      </c>
      <c r="E156" t="n">
        <v>1890</v>
      </c>
      <c r="F156" t="b">
        <v>1</v>
      </c>
      <c r="G156">
        <f>HYPERLINK("https://www.google.com/maps/search/?api=1&amp;query=25.14664767,44.64067248", "View Map")</f>
        <v/>
      </c>
    </row>
    <row r="157">
      <c r="A157" t="inlineStr">
        <is>
          <t xml:space="preserve">   جامع السرداح اوقاف القويعية .</t>
        </is>
      </c>
      <c r="B157" t="inlineStr">
        <is>
          <t>KFM2020660190636</t>
        </is>
      </c>
      <c r="C157" t="inlineStr">
        <is>
          <t>القويعية</t>
        </is>
      </c>
      <c r="D157" t="inlineStr">
        <is>
          <t>كلا الفترتين</t>
        </is>
      </c>
      <c r="E157" t="n">
        <v>1883</v>
      </c>
      <c r="F157" t="b">
        <v>0</v>
      </c>
      <c r="G157">
        <f>HYPERLINK("https://www.google.com/maps/search/?api=1&amp;query=23.84650032,44.99454705", "View Map")</f>
        <v/>
      </c>
    </row>
    <row r="158">
      <c r="A158" t="inlineStr">
        <is>
          <t xml:space="preserve">    مـسـجـد الريان (اوقاف المزاحميه) .</t>
        </is>
      </c>
      <c r="B158" t="inlineStr">
        <is>
          <t>SMR2320761030536</t>
        </is>
      </c>
      <c r="C158" t="inlineStr">
        <is>
          <t>القويعية</t>
        </is>
      </c>
      <c r="D158" t="inlineStr">
        <is>
          <t>كلا الفترتين</t>
        </is>
      </c>
      <c r="E158" t="n">
        <v>1883</v>
      </c>
      <c r="F158" t="b">
        <v>1</v>
      </c>
      <c r="G158">
        <f>HYPERLINK("https://www.google.com/maps/search/?api=1&amp;query=24.31393185,45.85156619", "View Map")</f>
        <v/>
      </c>
    </row>
    <row r="159">
      <c r="A159" t="inlineStr">
        <is>
          <t>ﻭﺯﺍﺭﺓﺍﻻﻭﻗﺎﻑ ـ ﺍﻭﻗﺎﻑ ﺍﻟﺩﻭﺍﺩﻤﻲ .</t>
        </is>
      </c>
      <c r="B159" t="inlineStr">
        <is>
          <t>KFM2020660204168</t>
        </is>
      </c>
      <c r="C159" t="inlineStr">
        <is>
          <t>الدوادمي</t>
        </is>
      </c>
      <c r="D159" t="inlineStr">
        <is>
          <t>كلا الفترتين</t>
        </is>
      </c>
      <c r="E159" t="n">
        <v>1882</v>
      </c>
      <c r="F159" t="b">
        <v>1</v>
      </c>
      <c r="G159">
        <f>HYPERLINK("https://www.google.com/maps/search/?api=1&amp;query=25.46021294,44.37604903", "View Map")</f>
        <v/>
      </c>
    </row>
    <row r="160">
      <c r="A160" t="inlineStr">
        <is>
          <t xml:space="preserve">   مسـجـد حى الزهور(الاوقاف) .</t>
        </is>
      </c>
      <c r="B160" t="inlineStr">
        <is>
          <t>KFM2020660229241</t>
        </is>
      </c>
      <c r="C160" t="inlineStr">
        <is>
          <t>القويعية</t>
        </is>
      </c>
      <c r="D160" t="inlineStr">
        <is>
          <t>كلا الفترتين</t>
        </is>
      </c>
      <c r="E160" t="n">
        <v>1880</v>
      </c>
      <c r="F160" t="b">
        <v>0</v>
      </c>
      <c r="G160">
        <f>HYPERLINK("https://www.google.com/maps/search/?api=1&amp;query=24.06063716,45.27954389", "View Map")</f>
        <v/>
      </c>
    </row>
    <row r="161">
      <c r="A161" t="inlineStr">
        <is>
          <t xml:space="preserve">    مسجد جامع  قرية  المصيفقية    0 .</t>
        </is>
      </c>
      <c r="B161" t="inlineStr">
        <is>
          <t>KFM2020766084686</t>
        </is>
      </c>
      <c r="C161" t="inlineStr">
        <is>
          <t>عفيف</t>
        </is>
      </c>
      <c r="D161" t="inlineStr">
        <is>
          <t>كلا الفترتين</t>
        </is>
      </c>
      <c r="E161" t="n">
        <v>1880</v>
      </c>
      <c r="F161" t="b">
        <v>0</v>
      </c>
      <c r="G161">
        <f>HYPERLINK("https://www.google.com/maps/search/?api=1&amp;query=23.74346865,43.10195353", "View Map")</f>
        <v/>
      </c>
    </row>
    <row r="162">
      <c r="A162" t="inlineStr">
        <is>
          <t>وقاف ومساجد الامزاحميه .</t>
        </is>
      </c>
      <c r="B162" t="inlineStr">
        <is>
          <t>KFM2020660199629</t>
        </is>
      </c>
      <c r="C162" t="inlineStr">
        <is>
          <t>المزاحمية</t>
        </is>
      </c>
      <c r="D162" t="inlineStr">
        <is>
          <t>كلا الفترتين</t>
        </is>
      </c>
      <c r="E162" t="n">
        <v>1879</v>
      </c>
      <c r="F162" t="b">
        <v>0</v>
      </c>
      <c r="G162">
        <f>HYPERLINK("https://www.google.com/maps/search/?api=1&amp;query=24.46629556,46.30265167", "View Map")</f>
        <v/>
      </c>
    </row>
    <row r="163">
      <c r="A163" t="inlineStr">
        <is>
          <t xml:space="preserve">   مسجد المخطط الغربى ـ أوثيلان .</t>
        </is>
      </c>
      <c r="B163" t="inlineStr">
        <is>
          <t>SMR2320761022434</t>
        </is>
      </c>
      <c r="C163" t="inlineStr">
        <is>
          <t>الدوادمي</t>
        </is>
      </c>
      <c r="D163" t="inlineStr">
        <is>
          <t>كلا الفترتين</t>
        </is>
      </c>
      <c r="E163" t="n">
        <v>1876</v>
      </c>
      <c r="F163" t="b">
        <v>1</v>
      </c>
      <c r="G163">
        <f>HYPERLINK("https://www.google.com/maps/search/?api=1&amp;query=25.48616984,44.41268928", "View Map")</f>
        <v/>
      </c>
    </row>
    <row r="164">
      <c r="A164" t="inlineStr">
        <is>
          <t xml:space="preserve">   مسجد      الطريف    بالمزاحميه .</t>
        </is>
      </c>
      <c r="B164" t="inlineStr">
        <is>
          <t>KFM2120660280979</t>
        </is>
      </c>
      <c r="C164" t="inlineStr">
        <is>
          <t>المزاحمية</t>
        </is>
      </c>
      <c r="D164" t="inlineStr">
        <is>
          <t>كلا الفترتين</t>
        </is>
      </c>
      <c r="E164" t="n">
        <v>1870</v>
      </c>
      <c r="F164" t="b">
        <v>0</v>
      </c>
      <c r="G164">
        <f>HYPERLINK("https://www.google.com/maps/search/?api=1&amp;query=24.48257876,46.29601422", "View Map")</f>
        <v/>
      </c>
    </row>
    <row r="165">
      <c r="A165" t="inlineStr">
        <is>
          <t xml:space="preserve">      الاوقاف (مسجد هجره الكليفيخ) .</t>
        </is>
      </c>
      <c r="B165" t="inlineStr">
        <is>
          <t>ECC2020811068703</t>
        </is>
      </c>
      <c r="C165" t="inlineStr">
        <is>
          <t>القويعية</t>
        </is>
      </c>
      <c r="D165" t="inlineStr">
        <is>
          <t>كلا الفترتين</t>
        </is>
      </c>
      <c r="E165" t="n">
        <v>1870</v>
      </c>
      <c r="F165" t="b">
        <v>0</v>
      </c>
      <c r="G165">
        <f>HYPERLINK("https://www.google.com/maps/search/?api=1&amp;query=24.33869322,45.78556696", "View Map")</f>
        <v/>
      </c>
    </row>
    <row r="166">
      <c r="A166" t="inlineStr">
        <is>
          <t xml:space="preserve">   مسجد/خالد بن الوليد بنجخ .</t>
        </is>
      </c>
      <c r="B166" t="inlineStr">
        <is>
          <t>KFM2020660172903</t>
        </is>
      </c>
      <c r="C166" t="inlineStr">
        <is>
          <t>الدوادمي</t>
        </is>
      </c>
      <c r="D166" t="inlineStr">
        <is>
          <t>كلا الفترتين</t>
        </is>
      </c>
      <c r="E166" t="n">
        <v>1858</v>
      </c>
      <c r="F166" t="b">
        <v>1</v>
      </c>
      <c r="G166">
        <f>HYPERLINK("https://www.google.com/maps/search/?api=1&amp;query=24.65914582,43.65764723", "View Map")</f>
        <v/>
      </c>
    </row>
    <row r="167">
      <c r="A167" t="inlineStr">
        <is>
          <t xml:space="preserve">   مسجد      الشيخ     الصامل .</t>
        </is>
      </c>
      <c r="B167" t="inlineStr">
        <is>
          <t>KFM2020660225461</t>
        </is>
      </c>
      <c r="C167" t="inlineStr">
        <is>
          <t>المزاحمية</t>
        </is>
      </c>
      <c r="D167" t="inlineStr">
        <is>
          <t>كلا الفترتين</t>
        </is>
      </c>
      <c r="E167" t="n">
        <v>1858</v>
      </c>
      <c r="F167" t="b">
        <v>0</v>
      </c>
      <c r="G167">
        <f>HYPERLINK("https://www.google.com/maps/search/?api=1&amp;query=24.4536616,46.26692921", "View Map")</f>
        <v/>
      </c>
    </row>
    <row r="168">
      <c r="A168" t="inlineStr">
        <is>
          <t xml:space="preserve">   مسجد مخطط العبدالعزيز .</t>
        </is>
      </c>
      <c r="B168" t="inlineStr">
        <is>
          <t>KFM2020660191469</t>
        </is>
      </c>
      <c r="C168" t="inlineStr">
        <is>
          <t>ضرما</t>
        </is>
      </c>
      <c r="D168" t="inlineStr">
        <is>
          <t>كلا الفترتين</t>
        </is>
      </c>
      <c r="E168" t="n">
        <v>1855</v>
      </c>
      <c r="F168" t="b">
        <v>1</v>
      </c>
      <c r="G168">
        <f>HYPERLINK("https://www.google.com/maps/search/?api=1&amp;query=24.49360153,46.1677013", "View Map")</f>
        <v/>
      </c>
    </row>
    <row r="169">
      <c r="A169" t="inlineStr">
        <is>
          <t xml:space="preserve">   مسجد /قبلان سند      العتيبي .</t>
        </is>
      </c>
      <c r="B169" t="inlineStr">
        <is>
          <t>KFM2020766086181</t>
        </is>
      </c>
      <c r="C169" t="inlineStr">
        <is>
          <t>القويعية</t>
        </is>
      </c>
      <c r="D169" t="inlineStr">
        <is>
          <t>كلا الفترتين</t>
        </is>
      </c>
      <c r="E169" t="n">
        <v>1850</v>
      </c>
      <c r="F169" t="b">
        <v>0</v>
      </c>
      <c r="G169">
        <f>HYPERLINK("https://www.google.com/maps/search/?api=1&amp;query=23.88058381,44.40641819", "View Map")</f>
        <v/>
      </c>
    </row>
    <row r="170">
      <c r="A170" t="inlineStr">
        <is>
          <t xml:space="preserve">      مـسـجـد ابوعلفات    بالرين .</t>
        </is>
      </c>
      <c r="B170" t="inlineStr">
        <is>
          <t>AES2120896537537</t>
        </is>
      </c>
      <c r="C170" t="inlineStr">
        <is>
          <t>الرين</t>
        </is>
      </c>
      <c r="D170" t="inlineStr">
        <is>
          <t>كلا الفترتين</t>
        </is>
      </c>
      <c r="E170" t="n">
        <v>1838</v>
      </c>
      <c r="F170" t="b">
        <v>0</v>
      </c>
      <c r="G170">
        <f>HYPERLINK("https://www.google.com/maps/search/?api=1&amp;query=23.55439241,45.49377372", "View Map")</f>
        <v/>
      </c>
    </row>
    <row r="171">
      <c r="A171" t="inlineStr">
        <is>
          <t xml:space="preserve">   مسجد الثماله .</t>
        </is>
      </c>
      <c r="B171" t="inlineStr">
        <is>
          <t>AES2020896471398</t>
        </is>
      </c>
      <c r="C171" t="inlineStr">
        <is>
          <t>الدوادمي</t>
        </is>
      </c>
      <c r="D171" t="inlineStr">
        <is>
          <t>كلا الفترتين</t>
        </is>
      </c>
      <c r="E171" t="n">
        <v>1834</v>
      </c>
      <c r="F171" t="b">
        <v>0</v>
      </c>
      <c r="G171">
        <f>HYPERLINK("https://www.google.com/maps/search/?api=1&amp;query=24.6830547,43.6812741", "View Map")</f>
        <v/>
      </c>
    </row>
    <row r="172">
      <c r="A172" t="inlineStr">
        <is>
          <t xml:space="preserve">   وزارة الحج والاوقاف - مسجد العزيز .</t>
        </is>
      </c>
      <c r="B172" t="inlineStr">
        <is>
          <t>KFM2020660191428</t>
        </is>
      </c>
      <c r="C172" t="inlineStr">
        <is>
          <t>ضرما</t>
        </is>
      </c>
      <c r="D172" t="inlineStr">
        <is>
          <t>كلا الفترتين</t>
        </is>
      </c>
      <c r="E172" t="n">
        <v>1831</v>
      </c>
      <c r="F172" t="b">
        <v>1</v>
      </c>
      <c r="G172">
        <f>HYPERLINK("https://www.google.com/maps/search/?api=1&amp;query=24.67075057,45.84167794", "View Map")</f>
        <v/>
      </c>
    </row>
    <row r="173">
      <c r="A173" t="inlineStr">
        <is>
          <t xml:space="preserve">   جامع      الرين     القويعية .</t>
        </is>
      </c>
      <c r="B173" t="inlineStr">
        <is>
          <t>SMR2320661028274</t>
        </is>
      </c>
      <c r="C173" t="inlineStr">
        <is>
          <t>الرين</t>
        </is>
      </c>
      <c r="D173" t="inlineStr">
        <is>
          <t>كلا الفترتين</t>
        </is>
      </c>
      <c r="E173" t="n">
        <v>1828</v>
      </c>
      <c r="F173" t="b">
        <v>0</v>
      </c>
      <c r="G173">
        <f>HYPERLINK("https://www.google.com/maps/search/?api=1&amp;query=23.55098985,45.50455748", "View Map")</f>
        <v/>
      </c>
    </row>
    <row r="174">
      <c r="A174" t="inlineStr">
        <is>
          <t xml:space="preserve">   مسجد بلال  بنفي م6 .</t>
        </is>
      </c>
      <c r="B174" t="inlineStr">
        <is>
          <t>KFM2020766092976</t>
        </is>
      </c>
      <c r="C174" t="inlineStr">
        <is>
          <t>الدوادمي</t>
        </is>
      </c>
      <c r="D174" t="inlineStr">
        <is>
          <t>كلا الفترتين</t>
        </is>
      </c>
      <c r="E174" t="n">
        <v>1825</v>
      </c>
      <c r="F174" t="b">
        <v>0</v>
      </c>
      <c r="G174">
        <f>HYPERLINK("https://www.google.com/maps/search/?api=1&amp;query=25.01220989,43.83563369", "View Map")</f>
        <v/>
      </c>
    </row>
    <row r="175">
      <c r="A175" t="inlineStr">
        <is>
          <t>ﻭﺯﺍﺭﺓﺍﻻﻭﻗﺎﻑ ـ ﺍﻭﻗﺎﻑ ﻋﻓﻴﻑ .</t>
        </is>
      </c>
      <c r="B175" t="inlineStr">
        <is>
          <t>KFM2020660188240</t>
        </is>
      </c>
      <c r="C175" t="inlineStr">
        <is>
          <t>عفيف</t>
        </is>
      </c>
      <c r="D175" t="inlineStr">
        <is>
          <t>كلا الفترتين</t>
        </is>
      </c>
      <c r="E175" t="n">
        <v>1810</v>
      </c>
      <c r="F175" t="b">
        <v>1</v>
      </c>
      <c r="G175">
        <f>HYPERLINK("https://www.google.com/maps/search/?api=1&amp;query=23.69554211,42.19709338", "View Map")</f>
        <v/>
      </c>
    </row>
    <row r="176">
      <c r="A176" t="inlineStr">
        <is>
          <t xml:space="preserve">   مسجد      مشرفة     دعيكان .</t>
        </is>
      </c>
      <c r="B176" t="inlineStr">
        <is>
          <t>AEC2020830214786</t>
        </is>
      </c>
      <c r="C176" t="inlineStr">
        <is>
          <t>الموية</t>
        </is>
      </c>
      <c r="D176" t="inlineStr">
        <is>
          <t>كلا الفترتين</t>
        </is>
      </c>
      <c r="E176" t="n">
        <v>1808</v>
      </c>
      <c r="F176" t="b">
        <v>0</v>
      </c>
      <c r="G176">
        <f>HYPERLINK("https://www.google.com/maps/search/?api=1&amp;query=23.41388493,42.32836236", "View Map")</f>
        <v/>
      </c>
    </row>
    <row r="177">
      <c r="A177" t="inlineStr">
        <is>
          <t xml:space="preserve">   مسجد الشلغميه - اوقاف القويعيه .</t>
        </is>
      </c>
      <c r="B177" t="inlineStr">
        <is>
          <t>AES2320896632426</t>
        </is>
      </c>
      <c r="C177" t="inlineStr">
        <is>
          <t>الرين</t>
        </is>
      </c>
      <c r="D177" t="inlineStr">
        <is>
          <t>كلا الفترتين</t>
        </is>
      </c>
      <c r="E177" t="n">
        <v>1805</v>
      </c>
      <c r="F177" t="b">
        <v>0</v>
      </c>
      <c r="G177">
        <f>HYPERLINK("https://www.google.com/maps/search/?api=1&amp;query=22.80546656,45.13746842", "View Map")</f>
        <v/>
      </c>
    </row>
    <row r="178">
      <c r="A178" t="inlineStr">
        <is>
          <t xml:space="preserve">   اوقاف المزاحميه/ مسجد بنيه بالجل .</t>
        </is>
      </c>
      <c r="B178" t="inlineStr">
        <is>
          <t>KFM2020766075830</t>
        </is>
      </c>
      <c r="C178" t="inlineStr">
        <is>
          <t>القويعية</t>
        </is>
      </c>
      <c r="D178" t="inlineStr">
        <is>
          <t>كلا الفترتين</t>
        </is>
      </c>
      <c r="E178" t="n">
        <v>1793</v>
      </c>
      <c r="F178" t="b">
        <v>0</v>
      </c>
      <c r="G178">
        <f>HYPERLINK("https://www.google.com/maps/search/?api=1&amp;query=24.26961945,45.88241433", "View Map")</f>
        <v/>
      </c>
    </row>
    <row r="179">
      <c r="A179" t="inlineStr">
        <is>
          <t>مسجد .</t>
        </is>
      </c>
      <c r="B179" t="inlineStr">
        <is>
          <t>KFM2020660192454</t>
        </is>
      </c>
      <c r="C179" t="inlineStr">
        <is>
          <t>الدوادمي</t>
        </is>
      </c>
      <c r="D179" t="inlineStr">
        <is>
          <t>كلا الفترتين</t>
        </is>
      </c>
      <c r="E179" t="n">
        <v>1791</v>
      </c>
      <c r="F179" t="b">
        <v>0</v>
      </c>
      <c r="G179">
        <f>HYPERLINK("https://www.google.com/maps/search/?api=1&amp;query=24.55248334,44.45686525", "View Map")</f>
        <v/>
      </c>
    </row>
    <row r="180">
      <c r="A180" t="inlineStr">
        <is>
          <t xml:space="preserve">   مسجد      جامع      بالغطغط .</t>
        </is>
      </c>
      <c r="B180" t="inlineStr">
        <is>
          <t>KFM2020660199622</t>
        </is>
      </c>
      <c r="C180" t="inlineStr">
        <is>
          <t>المزاحمية</t>
        </is>
      </c>
      <c r="D180" t="inlineStr">
        <is>
          <t>كلا الفترتين</t>
        </is>
      </c>
      <c r="E180" t="n">
        <v>1787</v>
      </c>
      <c r="F180" t="b">
        <v>0</v>
      </c>
      <c r="G180">
        <f>HYPERLINK("https://www.google.com/maps/search/?api=1&amp;query=24.48198469,46.24808255", "View Map")</f>
        <v/>
      </c>
    </row>
    <row r="181">
      <c r="A181" t="inlineStr">
        <is>
          <t xml:space="preserve">      مسجد الرفايع بالحصاه .</t>
        </is>
      </c>
      <c r="B181" t="inlineStr">
        <is>
          <t>AES2020896446801</t>
        </is>
      </c>
      <c r="C181" t="inlineStr">
        <is>
          <t>الرين</t>
        </is>
      </c>
      <c r="D181" t="inlineStr">
        <is>
          <t>كلا الفترتين</t>
        </is>
      </c>
      <c r="E181" t="n">
        <v>1786</v>
      </c>
      <c r="F181" t="b">
        <v>0</v>
      </c>
      <c r="G181">
        <f>HYPERLINK("https://www.google.com/maps/search/?api=1&amp;query=22.48049476,44.91279078", "View Map")</f>
        <v/>
      </c>
    </row>
    <row r="182">
      <c r="A182" t="inlineStr">
        <is>
          <t xml:space="preserve">   اوقاف القويعيه  جامع ابن عقاب .</t>
        </is>
      </c>
      <c r="B182" t="inlineStr">
        <is>
          <t>KFM2120660240361</t>
        </is>
      </c>
      <c r="C182" t="inlineStr">
        <is>
          <t>القويعية</t>
        </is>
      </c>
      <c r="D182" t="inlineStr">
        <is>
          <t>كلا الفترتين</t>
        </is>
      </c>
      <c r="E182" t="n">
        <v>1785</v>
      </c>
      <c r="F182" t="b">
        <v>0</v>
      </c>
      <c r="G182">
        <f>HYPERLINK("https://www.google.com/maps/search/?api=1&amp;query=24.07860563,45.28627419", "View Map")</f>
        <v/>
      </c>
    </row>
    <row r="183">
      <c r="A183" t="inlineStr">
        <is>
          <t xml:space="preserve">   مسجد أم سليم .</t>
        </is>
      </c>
      <c r="B183" t="inlineStr">
        <is>
          <t>KFM2020660204417</t>
        </is>
      </c>
      <c r="C183" t="inlineStr">
        <is>
          <t>الدوادمي</t>
        </is>
      </c>
      <c r="D183" t="inlineStr">
        <is>
          <t>كلا الفترتين</t>
        </is>
      </c>
      <c r="E183" t="n">
        <v>1774</v>
      </c>
      <c r="F183" t="b">
        <v>0</v>
      </c>
      <c r="G183">
        <f>HYPERLINK("https://www.google.com/maps/search/?api=1&amp;query=25.16928226,44.57765356", "View Map")</f>
        <v/>
      </c>
    </row>
    <row r="184">
      <c r="A184" t="inlineStr">
        <is>
          <t xml:space="preserve">   مسجد      الفرعة    القويعية .</t>
        </is>
      </c>
      <c r="B184" t="inlineStr">
        <is>
          <t>AES2020896373346</t>
        </is>
      </c>
      <c r="C184" t="inlineStr">
        <is>
          <t>الرين</t>
        </is>
      </c>
      <c r="D184" t="inlineStr">
        <is>
          <t>كلا الفترتين</t>
        </is>
      </c>
      <c r="E184" t="n">
        <v>1774</v>
      </c>
      <c r="F184" t="b">
        <v>0</v>
      </c>
      <c r="G184">
        <f>HYPERLINK("https://www.google.com/maps/search/?api=1&amp;query=23.56557354,45.44692007", "View Map")</f>
        <v/>
      </c>
    </row>
    <row r="185">
      <c r="A185" t="inlineStr">
        <is>
          <t>ﺍﻭﻗﺎﻑ ﻭﻤﺴﺎﺠﺩ ﺍﻟﺭﻴﻥ .</t>
        </is>
      </c>
      <c r="B185" t="inlineStr">
        <is>
          <t>LYE2020830054037</t>
        </is>
      </c>
      <c r="C185" t="inlineStr">
        <is>
          <t>القويعية</t>
        </is>
      </c>
      <c r="D185" t="inlineStr">
        <is>
          <t>كلا الفترتين</t>
        </is>
      </c>
      <c r="E185" t="n">
        <v>1770</v>
      </c>
      <c r="F185" t="b">
        <v>0</v>
      </c>
      <c r="G185">
        <f>HYPERLINK("https://www.google.com/maps/search/?api=1&amp;query=24.08258881,45.3255726", "View Map")</f>
        <v/>
      </c>
    </row>
    <row r="186">
      <c r="A186" t="inlineStr">
        <is>
          <t xml:space="preserve">      الاوقاف (المسجد الاجمامع التبر .</t>
        </is>
      </c>
      <c r="B186" t="inlineStr">
        <is>
          <t>KFM2020660176512</t>
        </is>
      </c>
      <c r="C186" t="inlineStr">
        <is>
          <t>القويعية</t>
        </is>
      </c>
      <c r="D186" t="inlineStr">
        <is>
          <t>كلا الفترتين</t>
        </is>
      </c>
      <c r="E186" t="n">
        <v>1742</v>
      </c>
      <c r="F186" t="b">
        <v>0</v>
      </c>
      <c r="G186">
        <f>HYPERLINK("https://www.google.com/maps/search/?api=1&amp;query=24.38119852,45.89596541", "View Map")</f>
        <v/>
      </c>
    </row>
    <row r="187">
      <c r="A187" t="inlineStr">
        <is>
          <t xml:space="preserve">   اوقاف القويعيه/ مسجد شعيفان .</t>
        </is>
      </c>
      <c r="B187" t="inlineStr">
        <is>
          <t>AES2020896370463</t>
        </is>
      </c>
      <c r="C187" t="inlineStr">
        <is>
          <t>الرين</t>
        </is>
      </c>
      <c r="D187" t="inlineStr">
        <is>
          <t>كلا الفترتين</t>
        </is>
      </c>
      <c r="E187" t="n">
        <v>1740</v>
      </c>
      <c r="F187" t="b">
        <v>0</v>
      </c>
      <c r="G187">
        <f>HYPERLINK("https://www.google.com/maps/search/?api=1&amp;query=23.55895325,45.45631645", "View Map")</f>
        <v/>
      </c>
    </row>
    <row r="188">
      <c r="A188" t="inlineStr">
        <is>
          <t xml:space="preserve">   اوقاف القويعيه مسجدزيدابن ثابت .</t>
        </is>
      </c>
      <c r="B188" t="inlineStr">
        <is>
          <t>KFM2020766167858</t>
        </is>
      </c>
      <c r="C188" t="inlineStr">
        <is>
          <t>القويعية</t>
        </is>
      </c>
      <c r="D188" t="inlineStr">
        <is>
          <t>كلا الفترتين</t>
        </is>
      </c>
      <c r="E188" t="n">
        <v>1733</v>
      </c>
      <c r="F188" t="b">
        <v>0</v>
      </c>
      <c r="G188">
        <f>HYPERLINK("https://www.google.com/maps/search/?api=1&amp;query=24.27676845,45.18481862", "View Map")</f>
        <v/>
      </c>
    </row>
    <row r="189">
      <c r="A189" t="inlineStr">
        <is>
          <t xml:space="preserve">   اوقاف القويعيه /مسجدهجرةالعين .</t>
        </is>
      </c>
      <c r="B189" t="inlineStr">
        <is>
          <t>AES2020896296469</t>
        </is>
      </c>
      <c r="C189" t="inlineStr">
        <is>
          <t>القويعية</t>
        </is>
      </c>
      <c r="D189" t="inlineStr">
        <is>
          <t>كلا الفترتين</t>
        </is>
      </c>
      <c r="E189" t="n">
        <v>1730</v>
      </c>
      <c r="F189" t="b">
        <v>0</v>
      </c>
      <c r="G189">
        <f>HYPERLINK("https://www.google.com/maps/search/?api=1&amp;query=24.37875255,45.32935555", "View Map")</f>
        <v/>
      </c>
    </row>
    <row r="190">
      <c r="A190" t="inlineStr">
        <is>
          <t>ﺍﻭﻗﺎﻑ ﻭﻤﺴﺎﺠﺩ ﺍﻟﻤﺯﺍﺤﻤﻴﻩ .</t>
        </is>
      </c>
      <c r="B190" t="inlineStr">
        <is>
          <t>KFM2120660257007</t>
        </is>
      </c>
      <c r="C190" t="inlineStr">
        <is>
          <t>المزاحمية</t>
        </is>
      </c>
      <c r="D190" t="inlineStr">
        <is>
          <t>كلا الفترتين</t>
        </is>
      </c>
      <c r="E190" t="n">
        <v>1724</v>
      </c>
      <c r="F190" t="b">
        <v>0</v>
      </c>
      <c r="G190">
        <f>HYPERLINK("https://www.google.com/maps/search/?api=1&amp;query=24.16165495,46.1939479", "View Map")</f>
        <v/>
      </c>
    </row>
    <row r="191">
      <c r="A191" t="inlineStr">
        <is>
          <t>أوقاف ومساجد .</t>
        </is>
      </c>
      <c r="B191" t="inlineStr">
        <is>
          <t>AEC2020830550385</t>
        </is>
      </c>
      <c r="C191" t="inlineStr">
        <is>
          <t>الرين</t>
        </is>
      </c>
      <c r="D191" t="inlineStr">
        <is>
          <t>كلا الفترتين</t>
        </is>
      </c>
      <c r="E191" t="n">
        <v>1722</v>
      </c>
      <c r="F191" t="b">
        <v>0</v>
      </c>
      <c r="G191">
        <f>HYPERLINK("https://www.google.com/maps/search/?api=1&amp;query=23.57427657,45.91960459", "View Map")</f>
        <v/>
      </c>
    </row>
    <row r="192">
      <c r="A192" t="inlineStr">
        <is>
          <t>مسجد جمال عبدالكريم .</t>
        </is>
      </c>
      <c r="B192" t="inlineStr">
        <is>
          <t>AES2020896025249</t>
        </is>
      </c>
      <c r="C192" t="inlineStr">
        <is>
          <t>ضرما</t>
        </is>
      </c>
      <c r="D192" t="inlineStr">
        <is>
          <t>كلا الفترتين</t>
        </is>
      </c>
      <c r="E192" t="n">
        <v>1714</v>
      </c>
      <c r="F192" t="b">
        <v>0</v>
      </c>
      <c r="G192">
        <f>HYPERLINK("https://www.google.com/maps/search/?api=1&amp;query=24.44896129,46.44377779", "View Map")</f>
        <v/>
      </c>
    </row>
    <row r="193">
      <c r="A193" t="inlineStr">
        <is>
          <t xml:space="preserve">      مسجد النسق الجديد الاوقاف .</t>
        </is>
      </c>
      <c r="B193" t="inlineStr">
        <is>
          <t>KFM2020766167798</t>
        </is>
      </c>
      <c r="C193" t="inlineStr">
        <is>
          <t>القويعية</t>
        </is>
      </c>
      <c r="D193" t="inlineStr">
        <is>
          <t>كلا الفترتين</t>
        </is>
      </c>
      <c r="E193" t="n">
        <v>1708</v>
      </c>
      <c r="F193" t="b">
        <v>0</v>
      </c>
      <c r="G193">
        <f>HYPERLINK("https://www.google.com/maps/search/?api=1&amp;query=24.03555914,45.05791535", "View Map")</f>
        <v/>
      </c>
    </row>
    <row r="194">
      <c r="A194" t="inlineStr">
        <is>
          <t xml:space="preserve">      مسجد حله المنصور .</t>
        </is>
      </c>
      <c r="B194" t="inlineStr">
        <is>
          <t>KFM2020660201969</t>
        </is>
      </c>
      <c r="C194" t="inlineStr">
        <is>
          <t>المزاحمية</t>
        </is>
      </c>
      <c r="D194" t="inlineStr">
        <is>
          <t>كلا الفترتين</t>
        </is>
      </c>
      <c r="E194" t="n">
        <v>1708</v>
      </c>
      <c r="F194" t="b">
        <v>0</v>
      </c>
      <c r="G194">
        <f>HYPERLINK("https://www.google.com/maps/search/?api=1&amp;query=24.48846769,46.27214842", "View Map")</f>
        <v/>
      </c>
    </row>
    <row r="195">
      <c r="A195" t="inlineStr">
        <is>
          <t xml:space="preserve">   مسجد  الحي  الشرقي  الشواطن    0 .</t>
        </is>
      </c>
      <c r="B195" t="inlineStr">
        <is>
          <t>KFM2020660231753</t>
        </is>
      </c>
      <c r="C195" t="inlineStr">
        <is>
          <t>عفيف</t>
        </is>
      </c>
      <c r="D195" t="inlineStr">
        <is>
          <t>كلا الفترتين</t>
        </is>
      </c>
      <c r="E195" t="n">
        <v>1705</v>
      </c>
      <c r="F195" t="b">
        <v>0</v>
      </c>
      <c r="G195">
        <f>HYPERLINK("https://www.google.com/maps/search/?api=1&amp;query=24.39456468,42.14509513", "View Map")</f>
        <v/>
      </c>
    </row>
    <row r="196">
      <c r="A196" t="inlineStr">
        <is>
          <t>وزارةالا وقاف اوقاف شبيرمه .</t>
        </is>
      </c>
      <c r="B196" t="inlineStr">
        <is>
          <t>KFM2120660252051</t>
        </is>
      </c>
      <c r="C196" t="inlineStr">
        <is>
          <t>الدوادمي</t>
        </is>
      </c>
      <c r="D196" t="inlineStr">
        <is>
          <t>كلا الفترتين</t>
        </is>
      </c>
      <c r="E196" t="n">
        <v>1704</v>
      </c>
      <c r="F196" t="b">
        <v>0</v>
      </c>
      <c r="G196">
        <f>HYPERLINK("https://www.google.com/maps/search/?api=1&amp;query=24.80243336,43.54085558", "View Map")</f>
        <v/>
      </c>
    </row>
    <row r="197">
      <c r="A197" t="inlineStr">
        <is>
          <t xml:space="preserve">       مسجد / حمد محمد القحطاني .</t>
        </is>
      </c>
      <c r="B197" t="inlineStr">
        <is>
          <t>AEC2020830312321</t>
        </is>
      </c>
      <c r="C197" t="inlineStr">
        <is>
          <t>المزاحمية</t>
        </is>
      </c>
      <c r="D197" t="inlineStr">
        <is>
          <t>كلا الفترتين</t>
        </is>
      </c>
      <c r="E197" t="n">
        <v>1697</v>
      </c>
      <c r="F197" t="b">
        <v>0</v>
      </c>
      <c r="G197">
        <f>HYPERLINK("https://www.google.com/maps/search/?api=1&amp;query=24.49135346,46.23901855", "View Map")</f>
        <v/>
      </c>
    </row>
    <row r="198">
      <c r="A198" t="inlineStr">
        <is>
          <t xml:space="preserve">      جامع الخنقه بلعلع .</t>
        </is>
      </c>
      <c r="B198" t="inlineStr">
        <is>
          <t>KFM2020766163405</t>
        </is>
      </c>
      <c r="C198" t="inlineStr">
        <is>
          <t>القويعية</t>
        </is>
      </c>
      <c r="D198" t="inlineStr">
        <is>
          <t>كلا الفترتين</t>
        </is>
      </c>
      <c r="E198" t="n">
        <v>1693</v>
      </c>
      <c r="F198" t="b">
        <v>0</v>
      </c>
      <c r="G198">
        <f>HYPERLINK("https://www.google.com/maps/search/?api=1&amp;query=24.06941304,45.00365127", "View Map")</f>
        <v/>
      </c>
    </row>
    <row r="199">
      <c r="A199" t="inlineStr">
        <is>
          <t>ﺍﻭﻗﺎﻑ ﻭﻤﺴﺎﺠﺩ ﺍﻟﻤﺯﺍﺤﻤﻴﻩ .</t>
        </is>
      </c>
      <c r="B199" t="inlineStr">
        <is>
          <t>SMR2020865039527</t>
        </is>
      </c>
      <c r="C199" t="inlineStr">
        <is>
          <t>المزاحمية</t>
        </is>
      </c>
      <c r="D199" t="inlineStr">
        <is>
          <t>كلا الفترتين</t>
        </is>
      </c>
      <c r="E199" t="n">
        <v>1693</v>
      </c>
      <c r="F199" t="b">
        <v>0</v>
      </c>
      <c r="G199">
        <f>HYPERLINK("https://www.google.com/maps/search/?api=1&amp;query=24.46488858,46.22744825", "View Map")</f>
        <v/>
      </c>
    </row>
    <row r="200">
      <c r="A200" t="inlineStr">
        <is>
          <t xml:space="preserve">   مسجد      الأوبيرق   . .</t>
        </is>
      </c>
      <c r="B200" t="inlineStr">
        <is>
          <t>KFM2020766147225</t>
        </is>
      </c>
      <c r="C200" t="inlineStr">
        <is>
          <t>ضرما</t>
        </is>
      </c>
      <c r="D200" t="inlineStr">
        <is>
          <t>كلا الفترتين</t>
        </is>
      </c>
      <c r="E200" t="n">
        <v>1677</v>
      </c>
      <c r="F200" t="b">
        <v>0</v>
      </c>
      <c r="G200">
        <f>HYPERLINK("https://www.google.com/maps/search/?api=1&amp;query=24.61262648,46.09805492", "View Map")</f>
        <v/>
      </c>
    </row>
    <row r="201">
      <c r="A201" t="inlineStr">
        <is>
          <t>ﺍﻭﻗﺎﻑ ﻭﻤﺴﺎﺠﺩ ﺍﻟﺭﻴﻥ .</t>
        </is>
      </c>
      <c r="B201" t="inlineStr">
        <is>
          <t>KFM2020766054682</t>
        </is>
      </c>
      <c r="C201" t="inlineStr">
        <is>
          <t>الرين</t>
        </is>
      </c>
      <c r="D201" t="inlineStr">
        <is>
          <t>كلا الفترتين</t>
        </is>
      </c>
      <c r="E201" t="n">
        <v>1675</v>
      </c>
      <c r="F201" t="b">
        <v>0</v>
      </c>
      <c r="G201">
        <f>HYPERLINK("https://www.google.com/maps/search/?api=1&amp;query=23.5632186,45.45001926", "View Map")</f>
        <v/>
      </c>
    </row>
    <row r="202">
      <c r="A202" t="inlineStr">
        <is>
          <t>ﺃﻭﻗﺎﻑ ﻭﻤﺴﺎﺠﺩ ﺍﻟﻗﻭﻴﻌﻴﻩ .</t>
        </is>
      </c>
      <c r="B202" t="inlineStr">
        <is>
          <t>AES2020896532354</t>
        </is>
      </c>
      <c r="C202" t="inlineStr">
        <is>
          <t>الرين</t>
        </is>
      </c>
      <c r="D202" t="inlineStr">
        <is>
          <t>كلا الفترتين</t>
        </is>
      </c>
      <c r="E202" t="n">
        <v>1669</v>
      </c>
      <c r="F202" t="b">
        <v>0</v>
      </c>
      <c r="G202">
        <f>HYPERLINK("https://www.google.com/maps/search/?api=1&amp;query=22.86406134,44.96176452", "View Map")</f>
        <v/>
      </c>
    </row>
    <row r="203">
      <c r="A203" t="inlineStr">
        <is>
          <t xml:space="preserve">   اوقاف القويعيه .</t>
        </is>
      </c>
      <c r="B203" t="inlineStr">
        <is>
          <t>AES2020896279125</t>
        </is>
      </c>
      <c r="C203" t="inlineStr">
        <is>
          <t>القويعية</t>
        </is>
      </c>
      <c r="D203" t="inlineStr">
        <is>
          <t>كلا الفترتين</t>
        </is>
      </c>
      <c r="E203" t="n">
        <v>1665</v>
      </c>
      <c r="F203" t="b">
        <v>0</v>
      </c>
      <c r="G203">
        <f>HYPERLINK("https://www.google.com/maps/search/?api=1&amp;query=24.09731708,45.33097938", "View Map")</f>
        <v/>
      </c>
    </row>
    <row r="204">
      <c r="A204" t="inlineStr">
        <is>
          <t>جامع غالب حراز المرشدي .</t>
        </is>
      </c>
      <c r="B204" t="inlineStr">
        <is>
          <t>KFM2020660231808</t>
        </is>
      </c>
      <c r="C204" t="inlineStr">
        <is>
          <t>عفيف</t>
        </is>
      </c>
      <c r="D204" t="inlineStr">
        <is>
          <t>مساءا</t>
        </is>
      </c>
      <c r="E204" t="n">
        <v>1659</v>
      </c>
      <c r="F204" t="b">
        <v>0</v>
      </c>
      <c r="G204">
        <f>HYPERLINK("https://www.google.com/maps/search/?api=1&amp;query=23.87908037,42.9073452", "View Map")</f>
        <v/>
      </c>
    </row>
    <row r="205">
      <c r="A205" t="inlineStr">
        <is>
          <t xml:space="preserve">   مسجد/بجاد سلطان خلف العتيبي .</t>
        </is>
      </c>
      <c r="B205" t="inlineStr">
        <is>
          <t>AES2020896377700</t>
        </is>
      </c>
      <c r="C205" t="inlineStr">
        <is>
          <t>الدوادمي</t>
        </is>
      </c>
      <c r="D205" t="inlineStr">
        <is>
          <t>كلا الفترتين</t>
        </is>
      </c>
      <c r="E205" t="n">
        <v>1656</v>
      </c>
      <c r="F205" t="b">
        <v>0</v>
      </c>
      <c r="G205">
        <f>HYPERLINK("https://www.google.com/maps/search/?api=1&amp;query=24.68131743,43.63652046", "View Map")</f>
        <v/>
      </c>
    </row>
    <row r="206">
      <c r="A206" t="inlineStr">
        <is>
          <t>ﺍﻭﻗﺎﻑ ﻭﻤﺴﺎﺠﺩ ﺍﻟﺭﻴﻥ .</t>
        </is>
      </c>
      <c r="B206" t="inlineStr">
        <is>
          <t>KFM2120861247407</t>
        </is>
      </c>
      <c r="C206" t="inlineStr">
        <is>
          <t>الرين</t>
        </is>
      </c>
      <c r="D206" t="inlineStr">
        <is>
          <t>كلا الفترتين</t>
        </is>
      </c>
      <c r="E206" t="n">
        <v>1650</v>
      </c>
      <c r="F206" t="b">
        <v>1</v>
      </c>
      <c r="G206">
        <f>HYPERLINK("https://www.google.com/maps/search/?api=1&amp;query=23.22202517,45.52271093", "View Map")</f>
        <v/>
      </c>
    </row>
    <row r="207">
      <c r="A207" t="inlineStr">
        <is>
          <t>ﺍﻭﻗﺎﻑ ﻭﻤﺴﺎﺠﺩ ﻀﺭﻤﺎء .</t>
        </is>
      </c>
      <c r="B207" t="inlineStr">
        <is>
          <t>KFM2020660200164</t>
        </is>
      </c>
      <c r="C207" t="inlineStr">
        <is>
          <t>ضرما</t>
        </is>
      </c>
      <c r="D207" t="inlineStr">
        <is>
          <t>كلا الفترتين</t>
        </is>
      </c>
      <c r="E207" t="n">
        <v>1647</v>
      </c>
      <c r="F207" t="b">
        <v>0</v>
      </c>
      <c r="G207">
        <f>HYPERLINK("https://www.google.com/maps/search/?api=1&amp;query=24.59026995,46.156218", "View Map")</f>
        <v/>
      </c>
    </row>
    <row r="208">
      <c r="A208" t="inlineStr">
        <is>
          <t xml:space="preserve">  مسجد فرعة الخشبى - اوقاف القويعية .</t>
        </is>
      </c>
      <c r="B208" t="inlineStr">
        <is>
          <t>AES2020896448213</t>
        </is>
      </c>
      <c r="C208" t="inlineStr">
        <is>
          <t>الرين</t>
        </is>
      </c>
      <c r="D208" t="inlineStr">
        <is>
          <t>كلا الفترتين</t>
        </is>
      </c>
      <c r="E208" t="n">
        <v>1639</v>
      </c>
      <c r="F208" t="b">
        <v>0</v>
      </c>
      <c r="G208">
        <f>HYPERLINK("https://www.google.com/maps/search/?api=1&amp;query=22.50172586,45.04242666", "View Map")</f>
        <v/>
      </c>
    </row>
    <row r="209">
      <c r="A209" t="inlineStr">
        <is>
          <t xml:space="preserve">   اوقاف القويعيه/جامع الرين القديم .</t>
        </is>
      </c>
      <c r="B209" t="inlineStr">
        <is>
          <t>SMR2320661020690</t>
        </is>
      </c>
      <c r="C209" t="inlineStr">
        <is>
          <t>الرين</t>
        </is>
      </c>
      <c r="D209" t="inlineStr">
        <is>
          <t>كلا الفترتين</t>
        </is>
      </c>
      <c r="E209" t="n">
        <v>1633</v>
      </c>
      <c r="F209" t="b">
        <v>1</v>
      </c>
      <c r="G209">
        <f>HYPERLINK("https://www.google.com/maps/search/?api=1&amp;query=23.55098726,45.50455666", "View Map")</f>
        <v/>
      </c>
    </row>
    <row r="210">
      <c r="A210" t="inlineStr">
        <is>
          <t xml:space="preserve">   اوقاف القويعيه ـ جامع الحرمليه .</t>
        </is>
      </c>
      <c r="B210" t="inlineStr">
        <is>
          <t>KFM2020660209964</t>
        </is>
      </c>
      <c r="C210" t="inlineStr">
        <is>
          <t>القويعية</t>
        </is>
      </c>
      <c r="D210" t="inlineStr">
        <is>
          <t>كلا الفترتين</t>
        </is>
      </c>
      <c r="E210" t="n">
        <v>1633</v>
      </c>
      <c r="F210" t="b">
        <v>0</v>
      </c>
      <c r="G210">
        <f>HYPERLINK("https://www.google.com/maps/search/?api=1&amp;query=24.27031553,45.18166553", "View Map")</f>
        <v/>
      </c>
    </row>
    <row r="211">
      <c r="A211" t="inlineStr">
        <is>
          <t>وزارةالا وقاف اوقاف الجمش .</t>
        </is>
      </c>
      <c r="B211" t="inlineStr">
        <is>
          <t>AES2020896261291</t>
        </is>
      </c>
      <c r="C211" t="inlineStr">
        <is>
          <t>الدوادمي</t>
        </is>
      </c>
      <c r="D211" t="inlineStr">
        <is>
          <t>كلا الفترتين</t>
        </is>
      </c>
      <c r="E211" t="n">
        <v>1632</v>
      </c>
      <c r="F211" t="b">
        <v>0</v>
      </c>
      <c r="G211">
        <f>HYPERLINK("https://www.google.com/maps/search/?api=1&amp;query=24.52789167,43.57305", "View Map")</f>
        <v/>
      </c>
    </row>
    <row r="212">
      <c r="A212" t="inlineStr">
        <is>
          <t xml:space="preserve">   مسجد  جامع  المجهولية ك 20     0 .</t>
        </is>
      </c>
      <c r="B212" t="inlineStr">
        <is>
          <t>KFM2020660171065</t>
        </is>
      </c>
      <c r="C212" t="inlineStr">
        <is>
          <t>عفيف</t>
        </is>
      </c>
      <c r="D212" t="inlineStr">
        <is>
          <t>كلا الفترتين</t>
        </is>
      </c>
      <c r="E212" t="n">
        <v>1628</v>
      </c>
      <c r="F212" t="b">
        <v>1</v>
      </c>
      <c r="G212">
        <f>HYPERLINK("https://www.google.com/maps/search/?api=1&amp;query=24.0248851,43.05213037", "View Map")</f>
        <v/>
      </c>
    </row>
    <row r="213">
      <c r="A213" t="inlineStr">
        <is>
          <t xml:space="preserve">   المسجد  الشمالي الشرقي .</t>
        </is>
      </c>
      <c r="B213" t="inlineStr">
        <is>
          <t>KFM2020660126622</t>
        </is>
      </c>
      <c r="C213" t="inlineStr">
        <is>
          <t>الدوادمي</t>
        </is>
      </c>
      <c r="D213" t="inlineStr">
        <is>
          <t>كلا الفترتين</t>
        </is>
      </c>
      <c r="E213" t="n">
        <v>1628</v>
      </c>
      <c r="F213" t="b">
        <v>1</v>
      </c>
      <c r="G213">
        <f>HYPERLINK("https://www.google.com/maps/search/?api=1&amp;query=25.49352568,44.41472497", "View Map")</f>
        <v/>
      </c>
    </row>
    <row r="214">
      <c r="A214" t="inlineStr">
        <is>
          <t xml:space="preserve">      مسجد .</t>
        </is>
      </c>
      <c r="B214" t="inlineStr">
        <is>
          <t>AES2020896448253</t>
        </is>
      </c>
      <c r="C214" t="inlineStr">
        <is>
          <t>الدوادمي</t>
        </is>
      </c>
      <c r="D214" t="inlineStr">
        <is>
          <t>كلا الفترتين</t>
        </is>
      </c>
      <c r="E214" t="n">
        <v>1609</v>
      </c>
      <c r="F214" t="b">
        <v>0</v>
      </c>
      <c r="G214">
        <f>HYPERLINK("https://www.google.com/maps/search/?api=1&amp;query=25.06395253,44.70479986", "View Map")</f>
        <v/>
      </c>
    </row>
    <row r="215">
      <c r="A215" t="inlineStr">
        <is>
          <t xml:space="preserve">   مسجد الخشبى ـ اوقاف القويعيه .</t>
        </is>
      </c>
      <c r="B215" t="inlineStr">
        <is>
          <t>AES2020896448355</t>
        </is>
      </c>
      <c r="C215" t="inlineStr">
        <is>
          <t>الرين</t>
        </is>
      </c>
      <c r="D215" t="inlineStr">
        <is>
          <t>كلا الفترتين</t>
        </is>
      </c>
      <c r="E215" t="n">
        <v>1607</v>
      </c>
      <c r="F215" t="b">
        <v>0</v>
      </c>
      <c r="G215">
        <f>HYPERLINK("https://www.google.com/maps/search/?api=1&amp;query=22.48734252,45.04831063", "View Map")</f>
        <v/>
      </c>
    </row>
    <row r="216">
      <c r="A216" t="inlineStr">
        <is>
          <t xml:space="preserve">   مسجد/     العبل     وزارةالاوقاف .</t>
        </is>
      </c>
      <c r="B216" t="inlineStr">
        <is>
          <t>KFM2020660223755</t>
        </is>
      </c>
      <c r="C216" t="inlineStr">
        <is>
          <t>الدوادمي</t>
        </is>
      </c>
      <c r="D216" t="inlineStr">
        <is>
          <t>كلا الفترتين</t>
        </is>
      </c>
      <c r="E216" t="n">
        <v>1605</v>
      </c>
      <c r="F216" t="b">
        <v>0</v>
      </c>
      <c r="G216">
        <f>HYPERLINK("https://www.google.com/maps/search/?api=1&amp;query=24.83731415,43.65222538", "View Map")</f>
        <v/>
      </c>
    </row>
    <row r="217">
      <c r="A217" t="inlineStr">
        <is>
          <t xml:space="preserve">   المسجدالجامع بالخفيفية .</t>
        </is>
      </c>
      <c r="B217" t="inlineStr">
        <is>
          <t>KFM2020660173189</t>
        </is>
      </c>
      <c r="C217" t="inlineStr">
        <is>
          <t>الدوادمي</t>
        </is>
      </c>
      <c r="D217" t="inlineStr">
        <is>
          <t>كلا الفترتين</t>
        </is>
      </c>
      <c r="E217" t="n">
        <v>1595</v>
      </c>
      <c r="F217" t="b">
        <v>1</v>
      </c>
      <c r="G217">
        <f>HYPERLINK("https://www.google.com/maps/search/?api=1&amp;query=24.91015823,44.72264797", "View Map")</f>
        <v/>
      </c>
    </row>
    <row r="218">
      <c r="A218" t="inlineStr">
        <is>
          <t xml:space="preserve">    مسجد البواردي .</t>
        </is>
      </c>
      <c r="B218" t="inlineStr">
        <is>
          <t>KFM2020660202827</t>
        </is>
      </c>
      <c r="C218" t="inlineStr">
        <is>
          <t>الدوادمي</t>
        </is>
      </c>
      <c r="D218" t="inlineStr">
        <is>
          <t>كلا الفترتين</t>
        </is>
      </c>
      <c r="E218" t="n">
        <v>1590</v>
      </c>
      <c r="F218" t="b">
        <v>1</v>
      </c>
      <c r="G218">
        <f>HYPERLINK("https://www.google.com/maps/search/?api=1&amp;query=25.18153362,44.59708181", "View Map")</f>
        <v/>
      </c>
    </row>
    <row r="219">
      <c r="A219" t="inlineStr">
        <is>
          <t xml:space="preserve">   مسجد / ال حميدان بصبحاء .</t>
        </is>
      </c>
      <c r="B219" t="inlineStr">
        <is>
          <t>KFM2020766077173</t>
        </is>
      </c>
      <c r="C219" t="inlineStr">
        <is>
          <t>القويعية</t>
        </is>
      </c>
      <c r="D219" t="inlineStr">
        <is>
          <t>كلا الفترتين</t>
        </is>
      </c>
      <c r="E219" t="n">
        <v>1584</v>
      </c>
      <c r="F219" t="b">
        <v>1</v>
      </c>
      <c r="G219">
        <f>HYPERLINK("https://www.google.com/maps/search/?api=1&amp;query=23.25018693,44.64763903", "View Map")</f>
        <v/>
      </c>
    </row>
    <row r="220">
      <c r="A220" t="inlineStr">
        <is>
          <t xml:space="preserve">   مسجد      المشف .</t>
        </is>
      </c>
      <c r="B220" t="inlineStr">
        <is>
          <t>KFM2020766100577</t>
        </is>
      </c>
      <c r="C220" t="inlineStr">
        <is>
          <t>الدوادمي</t>
        </is>
      </c>
      <c r="D220" t="inlineStr">
        <is>
          <t>كلا الفترتين</t>
        </is>
      </c>
      <c r="E220" t="n">
        <v>1577</v>
      </c>
      <c r="F220" t="b">
        <v>0</v>
      </c>
      <c r="G220">
        <f>HYPERLINK("https://www.google.com/maps/search/?api=1&amp;query=24.60389947,43.61729692", "View Map")</f>
        <v/>
      </c>
    </row>
    <row r="221">
      <c r="A221" t="inlineStr">
        <is>
          <t xml:space="preserve">   اوقاف القويعيه .</t>
        </is>
      </c>
      <c r="B221" t="inlineStr">
        <is>
          <t>AES2020896454037</t>
        </is>
      </c>
      <c r="C221" t="inlineStr">
        <is>
          <t>القويعية</t>
        </is>
      </c>
      <c r="D221" t="inlineStr">
        <is>
          <t>كلا الفترتين</t>
        </is>
      </c>
      <c r="E221" t="n">
        <v>1576</v>
      </c>
      <c r="F221" t="b">
        <v>0</v>
      </c>
      <c r="G221">
        <f>HYPERLINK("https://www.google.com/maps/search/?api=1&amp;query=23.87612788,45.49921998", "View Map")</f>
        <v/>
      </c>
    </row>
    <row r="222">
      <c r="A222" t="inlineStr">
        <is>
          <t xml:space="preserve">   اوقاف الحصاةمسجدحي ال عايض .</t>
        </is>
      </c>
      <c r="B222" t="inlineStr">
        <is>
          <t>AES2020896463114</t>
        </is>
      </c>
      <c r="C222" t="inlineStr">
        <is>
          <t>الرين</t>
        </is>
      </c>
      <c r="D222" t="inlineStr">
        <is>
          <t>كلا الفترتين</t>
        </is>
      </c>
      <c r="E222" t="n">
        <v>1574</v>
      </c>
      <c r="F222" t="b">
        <v>0</v>
      </c>
      <c r="G222">
        <f>HYPERLINK("https://www.google.com/maps/search/?api=1&amp;query=22.5229703,44.7950486", "View Map")</f>
        <v/>
      </c>
    </row>
    <row r="223">
      <c r="A223" t="inlineStr">
        <is>
          <t>ﺍﻭﻗﺎﻑ ﻭﻤﺴﺎﺠﺩ ﺍﻟﺭﻴﻥ .</t>
        </is>
      </c>
      <c r="B223" t="inlineStr">
        <is>
          <t>KFM2020660227392</t>
        </is>
      </c>
      <c r="C223" t="inlineStr">
        <is>
          <t>الرين</t>
        </is>
      </c>
      <c r="D223" t="inlineStr">
        <is>
          <t>كلا الفترتين</t>
        </is>
      </c>
      <c r="E223" t="n">
        <v>1571</v>
      </c>
      <c r="F223" t="b">
        <v>0</v>
      </c>
      <c r="G223">
        <f>HYPERLINK("https://www.google.com/maps/search/?api=1&amp;query=23.67353428,45.25538128", "View Map")</f>
        <v/>
      </c>
    </row>
    <row r="224">
      <c r="A224" t="inlineStr">
        <is>
          <t xml:space="preserve">   اوقاف الحصاة .</t>
        </is>
      </c>
      <c r="B224" t="inlineStr">
        <is>
          <t>KFM2020766032972</t>
        </is>
      </c>
      <c r="C224" t="inlineStr">
        <is>
          <t>الرين</t>
        </is>
      </c>
      <c r="D224" t="inlineStr">
        <is>
          <t>كلا الفترتين</t>
        </is>
      </c>
      <c r="E224" t="n">
        <v>1566</v>
      </c>
      <c r="F224" t="b">
        <v>0</v>
      </c>
      <c r="G224">
        <f>HYPERLINK("https://www.google.com/maps/search/?api=1&amp;query=22.80815776,44.78236435", "View Map")</f>
        <v/>
      </c>
    </row>
    <row r="225">
      <c r="A225" t="inlineStr">
        <is>
          <t xml:space="preserve">   اوقاف ومساجدالرين .</t>
        </is>
      </c>
      <c r="B225" t="inlineStr">
        <is>
          <t>KFM2020766054703</t>
        </is>
      </c>
      <c r="C225" t="inlineStr">
        <is>
          <t>الرين</t>
        </is>
      </c>
      <c r="D225" t="inlineStr">
        <is>
          <t>كلا الفترتين</t>
        </is>
      </c>
      <c r="E225" t="n">
        <v>1563</v>
      </c>
      <c r="F225" t="b">
        <v>0</v>
      </c>
      <c r="G225">
        <f>HYPERLINK("https://www.google.com/maps/search/?api=1&amp;query=23.57552805,45.57842444", "View Map")</f>
        <v/>
      </c>
    </row>
    <row r="226">
      <c r="A226" t="inlineStr">
        <is>
          <t xml:space="preserve"> اوقاف المزاحميه مسجدالخلايق الغربيه .</t>
        </is>
      </c>
      <c r="B226" t="inlineStr">
        <is>
          <t>KFM2020766156739</t>
        </is>
      </c>
      <c r="C226" t="inlineStr">
        <is>
          <t>القويعية</t>
        </is>
      </c>
      <c r="D226" t="inlineStr">
        <is>
          <t>كلا الفترتين</t>
        </is>
      </c>
      <c r="E226" t="n">
        <v>1559</v>
      </c>
      <c r="F226" t="b">
        <v>0</v>
      </c>
      <c r="G226">
        <f>HYPERLINK("https://www.google.com/maps/search/?api=1&amp;query=24.5205376,45.59900369", "View Map")</f>
        <v/>
      </c>
    </row>
    <row r="227">
      <c r="A227" t="inlineStr">
        <is>
          <t xml:space="preserve">   مسجد متعبة بالرين .</t>
        </is>
      </c>
      <c r="B227" t="inlineStr">
        <is>
          <t>AES2020896528123</t>
        </is>
      </c>
      <c r="C227" t="inlineStr">
        <is>
          <t>الرين</t>
        </is>
      </c>
      <c r="D227" t="inlineStr">
        <is>
          <t>كلا الفترتين</t>
        </is>
      </c>
      <c r="E227" t="n">
        <v>1558</v>
      </c>
      <c r="F227" t="b">
        <v>0</v>
      </c>
      <c r="G227">
        <f>HYPERLINK("https://www.google.com/maps/search/?api=1&amp;query=23.56696507,45.44158408", "View Map")</f>
        <v/>
      </c>
    </row>
    <row r="228">
      <c r="A228" t="inlineStr">
        <is>
          <t xml:space="preserve">   مسجد      دليل      النويصر .</t>
        </is>
      </c>
      <c r="B228" t="inlineStr">
        <is>
          <t>KFM2020660209329</t>
        </is>
      </c>
      <c r="C228" t="inlineStr">
        <is>
          <t>المزاحمية</t>
        </is>
      </c>
      <c r="D228" t="inlineStr">
        <is>
          <t>كلا الفترتين</t>
        </is>
      </c>
      <c r="E228" t="n">
        <v>1558</v>
      </c>
      <c r="F228" t="b">
        <v>0</v>
      </c>
      <c r="G228">
        <f>HYPERLINK("https://www.google.com/maps/search/?api=1&amp;query=24.45073409,46.30022976", "View Map")</f>
        <v/>
      </c>
    </row>
    <row r="229">
      <c r="A229" t="inlineStr">
        <is>
          <t xml:space="preserve">   جامع العاذريه .</t>
        </is>
      </c>
      <c r="B229" t="inlineStr">
        <is>
          <t>KFM2020660172942</t>
        </is>
      </c>
      <c r="C229" t="inlineStr">
        <is>
          <t>الدوادمي</t>
        </is>
      </c>
      <c r="D229" t="inlineStr">
        <is>
          <t>كلا الفترتين</t>
        </is>
      </c>
      <c r="E229" t="n">
        <v>1558</v>
      </c>
      <c r="F229" t="b">
        <v>0</v>
      </c>
      <c r="G229">
        <f>HYPERLINK("https://www.google.com/maps/search/?api=1&amp;query=24.6604698,43.76585388", "View Map")</f>
        <v/>
      </c>
    </row>
    <row r="230">
      <c r="A230" t="inlineStr">
        <is>
          <t>ﺍﻭﻗﺎﻑ ﻭﻤﺴﺎﺠﺩ ﺍﻟﻤﺯﺍﺤﻤﻴﻩ .</t>
        </is>
      </c>
      <c r="B230" t="inlineStr">
        <is>
          <t>SMR2320661034418</t>
        </is>
      </c>
      <c r="C230" t="inlineStr">
        <is>
          <t>ضرما</t>
        </is>
      </c>
      <c r="D230" t="inlineStr">
        <is>
          <t>كلا الفترتين</t>
        </is>
      </c>
      <c r="E230" t="n">
        <v>1551</v>
      </c>
      <c r="F230" t="b">
        <v>1</v>
      </c>
      <c r="G230">
        <f>HYPERLINK("https://www.google.com/maps/search/?api=1&amp;query=24.47364713,46.20741669", "View Map")</f>
        <v/>
      </c>
    </row>
    <row r="231">
      <c r="A231" t="inlineStr">
        <is>
          <t>مسجد المستقلة .</t>
        </is>
      </c>
      <c r="B231" t="inlineStr">
        <is>
          <t>ECC2020811070626</t>
        </is>
      </c>
      <c r="C231" t="inlineStr">
        <is>
          <t>المهد</t>
        </is>
      </c>
      <c r="D231" t="inlineStr">
        <is>
          <t>كلا الفترتين</t>
        </is>
      </c>
      <c r="E231" t="n">
        <v>1547</v>
      </c>
      <c r="F231" t="b">
        <v>0</v>
      </c>
      <c r="G231">
        <f>HYPERLINK("https://www.google.com/maps/search/?api=1&amp;query=23.85943167,42.10436833", "View Map")</f>
        <v/>
      </c>
    </row>
    <row r="232">
      <c r="A232" t="inlineStr">
        <is>
          <t xml:space="preserve">   مسجد/غازي النفيعي .</t>
        </is>
      </c>
      <c r="B232" t="inlineStr">
        <is>
          <t>MMF2420801307039</t>
        </is>
      </c>
      <c r="C232" t="inlineStr">
        <is>
          <t>الدوادمي</t>
        </is>
      </c>
      <c r="D232" t="inlineStr">
        <is>
          <t>كلا الفترتين</t>
        </is>
      </c>
      <c r="E232" t="n">
        <v>1542</v>
      </c>
      <c r="F232" t="b">
        <v>1</v>
      </c>
      <c r="G232">
        <f>HYPERLINK("https://www.google.com/maps/search/?api=1&amp;query=24.30664571,43.72427232", "View Map")</f>
        <v/>
      </c>
    </row>
    <row r="233">
      <c r="A233" t="inlineStr">
        <is>
          <t xml:space="preserve">   جامع عين البراحه .</t>
        </is>
      </c>
      <c r="B233" t="inlineStr">
        <is>
          <t>SMR2220661011248</t>
        </is>
      </c>
      <c r="C233" t="inlineStr">
        <is>
          <t>الدوادمي</t>
        </is>
      </c>
      <c r="D233" t="inlineStr">
        <is>
          <t>كلا الفترتين</t>
        </is>
      </c>
      <c r="E233" t="n">
        <v>1541</v>
      </c>
      <c r="F233" t="b">
        <v>0</v>
      </c>
      <c r="G233">
        <f>HYPERLINK("https://www.google.com/maps/search/?api=1&amp;query=24.75703037,43.77613327", "View Map")</f>
        <v/>
      </c>
    </row>
    <row r="234">
      <c r="A234" t="inlineStr">
        <is>
          <t xml:space="preserve">   مسجد/حي الشهبا/محمدبن صقر .</t>
        </is>
      </c>
      <c r="B234" t="inlineStr">
        <is>
          <t>KFM2020766102002</t>
        </is>
      </c>
      <c r="C234" t="inlineStr">
        <is>
          <t>الدوادمي</t>
        </is>
      </c>
      <c r="D234" t="inlineStr">
        <is>
          <t>كلا الفترتين</t>
        </is>
      </c>
      <c r="E234" t="n">
        <v>1539</v>
      </c>
      <c r="F234" t="b">
        <v>1</v>
      </c>
      <c r="G234">
        <f>HYPERLINK("https://www.google.com/maps/search/?api=1&amp;query=24.61841351,43.65445251", "View Map")</f>
        <v/>
      </c>
    </row>
    <row r="235">
      <c r="A235" t="inlineStr">
        <is>
          <t xml:space="preserve">   مسجد الحنابج                   . .</t>
        </is>
      </c>
      <c r="B235" t="inlineStr">
        <is>
          <t>AES2120896535923</t>
        </is>
      </c>
      <c r="C235" t="inlineStr">
        <is>
          <t>عفيف</t>
        </is>
      </c>
      <c r="D235" t="inlineStr">
        <is>
          <t>كلا الفترتين</t>
        </is>
      </c>
      <c r="E235" t="n">
        <v>1532</v>
      </c>
      <c r="F235" t="b">
        <v>0</v>
      </c>
      <c r="G235">
        <f>HYPERLINK("https://www.google.com/maps/search/?api=1&amp;query=23.967795,43.33463", "View Map")</f>
        <v/>
      </c>
    </row>
    <row r="236">
      <c r="A236" t="inlineStr">
        <is>
          <t>أوقاف ومساجد القويعيه .</t>
        </is>
      </c>
      <c r="B236" t="inlineStr">
        <is>
          <t>AEC2020830539463</t>
        </is>
      </c>
      <c r="C236" t="inlineStr">
        <is>
          <t>القويعية</t>
        </is>
      </c>
      <c r="D236" t="inlineStr">
        <is>
          <t>كلا الفترتين</t>
        </is>
      </c>
      <c r="E236" t="n">
        <v>1528</v>
      </c>
      <c r="F236" t="b">
        <v>0</v>
      </c>
      <c r="G236">
        <f>HYPERLINK("https://www.google.com/maps/search/?api=1&amp;query=24.33599002,45.78646879", "View Map")</f>
        <v/>
      </c>
    </row>
    <row r="237">
      <c r="A237" t="inlineStr">
        <is>
          <t xml:space="preserve">    مسجد/متعب تركىمحيا .</t>
        </is>
      </c>
      <c r="B237" t="inlineStr">
        <is>
          <t>KFM2020766090119</t>
        </is>
      </c>
      <c r="C237" t="inlineStr">
        <is>
          <t>الدوادمي</t>
        </is>
      </c>
      <c r="D237" t="inlineStr">
        <is>
          <t>كلا الفترتين</t>
        </is>
      </c>
      <c r="E237" t="n">
        <v>1525</v>
      </c>
      <c r="F237" t="b">
        <v>1</v>
      </c>
      <c r="G237">
        <f>HYPERLINK("https://www.google.com/maps/search/?api=1&amp;query=25.18203577,44.59809175", "View Map")</f>
        <v/>
      </c>
    </row>
    <row r="238">
      <c r="A238" t="inlineStr">
        <is>
          <t xml:space="preserve">   مسجد .</t>
        </is>
      </c>
      <c r="B238" t="inlineStr">
        <is>
          <t>KFM2020660189771</t>
        </is>
      </c>
      <c r="C238" t="inlineStr">
        <is>
          <t>الدوادمي</t>
        </is>
      </c>
      <c r="D238" t="inlineStr">
        <is>
          <t>كلا الفترتين</t>
        </is>
      </c>
      <c r="E238" t="n">
        <v>1521</v>
      </c>
      <c r="F238" t="b">
        <v>1</v>
      </c>
      <c r="G238">
        <f>HYPERLINK("https://www.google.com/maps/search/?api=1&amp;query=24.52674395,44.40113878", "View Map")</f>
        <v/>
      </c>
    </row>
    <row r="239">
      <c r="A239" t="inlineStr">
        <is>
          <t xml:space="preserve">   مسجد مخطط 622 .</t>
        </is>
      </c>
      <c r="B239" t="inlineStr">
        <is>
          <t>KFM2020660189716</t>
        </is>
      </c>
      <c r="C239" t="inlineStr">
        <is>
          <t>الدوادمي</t>
        </is>
      </c>
      <c r="D239" t="inlineStr">
        <is>
          <t>كلا الفترتين</t>
        </is>
      </c>
      <c r="E239" t="n">
        <v>1519</v>
      </c>
      <c r="F239" t="b">
        <v>0</v>
      </c>
      <c r="G239">
        <f>HYPERLINK("https://www.google.com/maps/search/?api=1&amp;query=24.4270094,43.70240778", "View Map")</f>
        <v/>
      </c>
    </row>
    <row r="240">
      <c r="A240" t="inlineStr">
        <is>
          <t xml:space="preserve">   جامع      ام سليم   بحلبان .</t>
        </is>
      </c>
      <c r="B240" t="inlineStr">
        <is>
          <t>KFM2120660238312</t>
        </is>
      </c>
      <c r="C240" t="inlineStr">
        <is>
          <t>القويعية</t>
        </is>
      </c>
      <c r="D240" t="inlineStr">
        <is>
          <t>كلا الفترتين</t>
        </is>
      </c>
      <c r="E240" t="n">
        <v>1518</v>
      </c>
      <c r="F240" t="b">
        <v>1</v>
      </c>
      <c r="G240">
        <f>HYPERLINK("https://www.google.com/maps/search/?api=1&amp;query=23.45549766,44.28848035", "View Map")</f>
        <v/>
      </c>
    </row>
    <row r="241">
      <c r="A241" t="inlineStr">
        <is>
          <t>ﺃﻭﻗﺎﻑ ﻭﻤﺴﺎﺠﺩ ﺍﻟﻗﻭﻴﻌﻴﻩ .</t>
        </is>
      </c>
      <c r="B241" t="inlineStr">
        <is>
          <t>AES2020896462200</t>
        </is>
      </c>
      <c r="C241" t="inlineStr">
        <is>
          <t>الرين</t>
        </is>
      </c>
      <c r="D241" t="inlineStr">
        <is>
          <t>كلا الفترتين</t>
        </is>
      </c>
      <c r="E241" t="n">
        <v>1516</v>
      </c>
      <c r="F241" t="b">
        <v>0</v>
      </c>
      <c r="G241">
        <f>HYPERLINK("https://www.google.com/maps/search/?api=1&amp;query=22.61735234,45.07455042", "View Map")</f>
        <v/>
      </c>
    </row>
    <row r="242">
      <c r="A242" t="inlineStr">
        <is>
          <t xml:space="preserve">   مسجد جامع خف .</t>
        </is>
      </c>
      <c r="B242" t="inlineStr">
        <is>
          <t>KFM2020660153984</t>
        </is>
      </c>
      <c r="C242" t="inlineStr">
        <is>
          <t>الدوادمي</t>
        </is>
      </c>
      <c r="D242" t="inlineStr">
        <is>
          <t>كلا الفترتين</t>
        </is>
      </c>
      <c r="E242" t="n">
        <v>1512</v>
      </c>
      <c r="F242" t="b">
        <v>0</v>
      </c>
      <c r="G242">
        <f>HYPERLINK("https://www.google.com/maps/search/?api=1&amp;query=24.92513049,44.70535285", "View Map")</f>
        <v/>
      </c>
    </row>
    <row r="243">
      <c r="A243" t="inlineStr">
        <is>
          <t xml:space="preserve">   مسجد      المخطط    //////////// .</t>
        </is>
      </c>
      <c r="B243" t="inlineStr">
        <is>
          <t>KFM2020660172463</t>
        </is>
      </c>
      <c r="C243" t="inlineStr">
        <is>
          <t>الدوادمي</t>
        </is>
      </c>
      <c r="D243" t="inlineStr">
        <is>
          <t>كلا الفترتين</t>
        </is>
      </c>
      <c r="E243" t="n">
        <v>1512</v>
      </c>
      <c r="F243" t="b">
        <v>1</v>
      </c>
      <c r="G243">
        <f>HYPERLINK("https://www.google.com/maps/search/?api=1&amp;query=24.54456886,44.43271592", "View Map")</f>
        <v/>
      </c>
    </row>
    <row r="244">
      <c r="A244" t="inlineStr">
        <is>
          <t>ﻭﺯﺍﺭﺓﺍﻻﻭﻗﺎﻑ _ﺍﻭﻗﺎﻑ ﺍﻟﺠﻤﺵ .</t>
        </is>
      </c>
      <c r="B244" t="inlineStr">
        <is>
          <t>KFM2020766086278</t>
        </is>
      </c>
      <c r="C244" t="inlineStr">
        <is>
          <t>الدوادمي</t>
        </is>
      </c>
      <c r="D244" t="inlineStr">
        <is>
          <t>كلا الفترتين</t>
        </is>
      </c>
      <c r="E244" t="n">
        <v>1506</v>
      </c>
      <c r="F244" t="b">
        <v>0</v>
      </c>
      <c r="G244">
        <f>HYPERLINK("https://www.google.com/maps/search/?api=1&amp;query=24.65249333,43.497965", "View Map")</f>
        <v/>
      </c>
    </row>
    <row r="245">
      <c r="A245" t="inlineStr">
        <is>
          <t xml:space="preserve">   مسجدحمزةبن عبدالمطلب .</t>
        </is>
      </c>
      <c r="B245" t="inlineStr">
        <is>
          <t>KFM2020660190597</t>
        </is>
      </c>
      <c r="C245" t="inlineStr">
        <is>
          <t>القويعية</t>
        </is>
      </c>
      <c r="D245" t="inlineStr">
        <is>
          <t>كلا الفترتين</t>
        </is>
      </c>
      <c r="E245" t="n">
        <v>1500</v>
      </c>
      <c r="F245" t="b">
        <v>0</v>
      </c>
      <c r="G245">
        <f>HYPERLINK("https://www.google.com/maps/search/?api=1&amp;query=24.08545776,45.29278503", "View Map")</f>
        <v/>
      </c>
    </row>
    <row r="246">
      <c r="A246" t="inlineStr">
        <is>
          <t xml:space="preserve">   مسجد      الجامع    بمصدة .</t>
        </is>
      </c>
      <c r="B246" t="inlineStr">
        <is>
          <t>KFM2020660212260</t>
        </is>
      </c>
      <c r="C246" t="inlineStr">
        <is>
          <t>الدوادمي</t>
        </is>
      </c>
      <c r="D246" t="inlineStr">
        <is>
          <t>كلا الفترتين</t>
        </is>
      </c>
      <c r="E246" t="n">
        <v>1499</v>
      </c>
      <c r="F246" t="b">
        <v>1</v>
      </c>
      <c r="G246">
        <f>HYPERLINK("https://www.google.com/maps/search/?api=1&amp;query=24.5348371,44.27351676", "View Map")</f>
        <v/>
      </c>
    </row>
    <row r="247">
      <c r="A247" t="inlineStr">
        <is>
          <t>ﺃﻭﻗﺎﻑ ﻭﻤﺴﺎﺠﺩ ﺍﻟﻗﻭﻴﻌﻴﻩ .</t>
        </is>
      </c>
      <c r="B247" t="inlineStr">
        <is>
          <t>GTR2420895401547</t>
        </is>
      </c>
      <c r="C247" t="inlineStr">
        <is>
          <t>الرين</t>
        </is>
      </c>
      <c r="D247" t="inlineStr">
        <is>
          <t>كلا الفترتين</t>
        </is>
      </c>
      <c r="E247" t="n">
        <v>1496</v>
      </c>
      <c r="F247" t="b">
        <v>0</v>
      </c>
      <c r="G247">
        <f>HYPERLINK("https://www.google.com/maps/search/?api=1&amp;query=22.51883785,44.79750998", "View Map")</f>
        <v/>
      </c>
    </row>
    <row r="248">
      <c r="A248" t="inlineStr">
        <is>
          <t>ﺍﻭﻗﺎﻑ ﻭﻤﺴﺎﺠﺩ ﺍﻟﻤﺯﺍﺤﻤﻴﻩ .</t>
        </is>
      </c>
      <c r="B248" t="inlineStr">
        <is>
          <t>KFM2020760203347</t>
        </is>
      </c>
      <c r="C248" t="inlineStr">
        <is>
          <t>المزاحمية</t>
        </is>
      </c>
      <c r="D248" t="inlineStr">
        <is>
          <t>كلا الفترتين</t>
        </is>
      </c>
      <c r="E248" t="n">
        <v>1492</v>
      </c>
      <c r="F248" t="b">
        <v>1</v>
      </c>
      <c r="G248">
        <f>HYPERLINK("https://www.google.com/maps/search/?api=1&amp;query=24.44146861,46.10846639", "View Map")</f>
        <v/>
      </c>
    </row>
    <row r="249">
      <c r="A249" t="inlineStr">
        <is>
          <t xml:space="preserve">   اوقاف     المزاحميه الرفيعه .</t>
        </is>
      </c>
      <c r="B249" t="inlineStr">
        <is>
          <t>KFM2020660209400</t>
        </is>
      </c>
      <c r="C249" t="inlineStr">
        <is>
          <t>القويعية</t>
        </is>
      </c>
      <c r="D249" t="inlineStr">
        <is>
          <t>كلا الفترتين</t>
        </is>
      </c>
      <c r="E249" t="n">
        <v>1490</v>
      </c>
      <c r="F249" t="b">
        <v>0</v>
      </c>
      <c r="G249">
        <f>HYPERLINK("https://www.google.com/maps/search/?api=1&amp;query=24.33679349,45.80007592", "View Map")</f>
        <v/>
      </c>
    </row>
    <row r="250">
      <c r="A250" t="inlineStr">
        <is>
          <t xml:space="preserve">      جـامـع الملك خالد بالحفيره .</t>
        </is>
      </c>
      <c r="B250" t="inlineStr">
        <is>
          <t>KFM2020660166273</t>
        </is>
      </c>
      <c r="C250" t="inlineStr">
        <is>
          <t>الرين</t>
        </is>
      </c>
      <c r="D250" t="inlineStr">
        <is>
          <t>كلا الفترتين</t>
        </is>
      </c>
      <c r="E250" t="n">
        <v>1489</v>
      </c>
      <c r="F250" t="b">
        <v>0</v>
      </c>
      <c r="G250">
        <f>HYPERLINK("https://www.google.com/maps/search/?api=1&amp;query=22.84031669,44.95784718", "View Map")</f>
        <v/>
      </c>
    </row>
    <row r="251">
      <c r="A251" t="inlineStr">
        <is>
          <t xml:space="preserve"> اوقاف القويعيه/جامع القويلق الشمالي .</t>
        </is>
      </c>
      <c r="B251" t="inlineStr">
        <is>
          <t>GTR2420895415150</t>
        </is>
      </c>
      <c r="C251" t="inlineStr">
        <is>
          <t>القويعية</t>
        </is>
      </c>
      <c r="D251" t="inlineStr">
        <is>
          <t>كلا الفترتين</t>
        </is>
      </c>
      <c r="E251" t="n">
        <v>1486</v>
      </c>
      <c r="F251" t="b">
        <v>0</v>
      </c>
      <c r="G251">
        <f>HYPERLINK("https://www.google.com/maps/search/?api=1&amp;query=24.42357673,45.31205744", "View Map")</f>
        <v/>
      </c>
    </row>
    <row r="252">
      <c r="A252" t="inlineStr">
        <is>
          <t xml:space="preserve">   اوقاف المزاحمية مسجد ال منصور .</t>
        </is>
      </c>
      <c r="B252" t="inlineStr">
        <is>
          <t>AEC2020830558052</t>
        </is>
      </c>
      <c r="C252" t="inlineStr">
        <is>
          <t>الرين</t>
        </is>
      </c>
      <c r="D252" t="inlineStr">
        <is>
          <t>صباحا</t>
        </is>
      </c>
      <c r="E252" t="n">
        <v>1481</v>
      </c>
      <c r="F252" t="b">
        <v>0</v>
      </c>
      <c r="G252">
        <f>HYPERLINK("https://www.google.com/maps/search/?api=1&amp;query=23.54925652,45.90932258", "View Map")</f>
        <v/>
      </c>
    </row>
    <row r="253">
      <c r="A253" t="inlineStr">
        <is>
          <t xml:space="preserve">   مسجد نفي  الشرقي /  سرهان العتيب .</t>
        </is>
      </c>
      <c r="B253" t="inlineStr">
        <is>
          <t>AES2120896582348</t>
        </is>
      </c>
      <c r="C253" t="inlineStr">
        <is>
          <t>الدوادمي</t>
        </is>
      </c>
      <c r="D253" t="inlineStr">
        <is>
          <t>كلا الفترتين</t>
        </is>
      </c>
      <c r="E253" t="n">
        <v>1477</v>
      </c>
      <c r="F253" t="b">
        <v>0</v>
      </c>
      <c r="G253">
        <f>HYPERLINK("https://www.google.com/maps/search/?api=1&amp;query=25.01407724,43.82604146", "View Map")</f>
        <v/>
      </c>
    </row>
    <row r="254">
      <c r="A254" t="inlineStr">
        <is>
          <t xml:space="preserve">   اوقاف الحصاة /مسجدبينه بالرقميه .</t>
        </is>
      </c>
      <c r="B254" t="inlineStr">
        <is>
          <t>AES2020896462840</t>
        </is>
      </c>
      <c r="C254" t="inlineStr">
        <is>
          <t>الرين</t>
        </is>
      </c>
      <c r="D254" t="inlineStr">
        <is>
          <t>كلا الفترتين</t>
        </is>
      </c>
      <c r="E254" t="n">
        <v>1477</v>
      </c>
      <c r="F254" t="b">
        <v>0</v>
      </c>
      <c r="G254">
        <f>HYPERLINK("https://www.google.com/maps/search/?api=1&amp;query=22.61770891,45.07420906", "View Map")</f>
        <v/>
      </c>
    </row>
    <row r="255">
      <c r="A255" t="inlineStr">
        <is>
          <t>ﺍﻭﻗﺎﻑ ﻭﻤﺴﺎﺠﺩ ﺍﻟﺭﻴﻥ .</t>
        </is>
      </c>
      <c r="B255" t="inlineStr">
        <is>
          <t>SMR2320661033865</t>
        </is>
      </c>
      <c r="C255" t="inlineStr">
        <is>
          <t>الرين</t>
        </is>
      </c>
      <c r="D255" t="inlineStr">
        <is>
          <t>كلا الفترتين</t>
        </is>
      </c>
      <c r="E255" t="n">
        <v>1477</v>
      </c>
      <c r="F255" t="b">
        <v>0</v>
      </c>
      <c r="G255">
        <f>HYPERLINK("https://www.google.com/maps/search/?api=1&amp;query=23.55932563,45.45249919", "View Map")</f>
        <v/>
      </c>
    </row>
    <row r="256">
      <c r="A256" t="inlineStr">
        <is>
          <t xml:space="preserve">   جامع      ابرحية    الجلة .</t>
        </is>
      </c>
      <c r="B256" t="inlineStr">
        <is>
          <t>SMR2220661016706</t>
        </is>
      </c>
      <c r="C256" t="inlineStr">
        <is>
          <t>القويعية</t>
        </is>
      </c>
      <c r="D256" t="inlineStr">
        <is>
          <t>كلا الفترتين</t>
        </is>
      </c>
      <c r="E256" t="n">
        <v>1471</v>
      </c>
      <c r="F256" t="b">
        <v>0</v>
      </c>
      <c r="G256">
        <f>HYPERLINK("https://www.google.com/maps/search/?api=1&amp;query=24.46631948,45.64913982", "View Map")</f>
        <v/>
      </c>
    </row>
    <row r="257">
      <c r="A257" t="inlineStr">
        <is>
          <t>ﺍﻭﻗﺎﻑ ﻭﻤﺴﺎﺠﺩ ﻀﺭﻤﺎء .</t>
        </is>
      </c>
      <c r="B257" t="inlineStr">
        <is>
          <t>KFM2020660200045</t>
        </is>
      </c>
      <c r="C257" t="inlineStr">
        <is>
          <t>ضرما</t>
        </is>
      </c>
      <c r="D257" t="inlineStr">
        <is>
          <t>كلا الفترتين</t>
        </is>
      </c>
      <c r="E257" t="n">
        <v>1471</v>
      </c>
      <c r="F257" t="b">
        <v>1</v>
      </c>
      <c r="G257">
        <f>HYPERLINK("https://www.google.com/maps/search/?api=1&amp;query=24.52122093,46.13405041", "View Map")</f>
        <v/>
      </c>
    </row>
    <row r="258">
      <c r="A258" t="inlineStr">
        <is>
          <t xml:space="preserve">   اوقاف المزاحميه/مسجدحسان بن ثابت .</t>
        </is>
      </c>
      <c r="B258" t="inlineStr">
        <is>
          <t>ECC2020811078680</t>
        </is>
      </c>
      <c r="C258" t="inlineStr">
        <is>
          <t>القويعية</t>
        </is>
      </c>
      <c r="D258" t="inlineStr">
        <is>
          <t>كلا الفترتين</t>
        </is>
      </c>
      <c r="E258" t="n">
        <v>1467</v>
      </c>
      <c r="F258" t="b">
        <v>0</v>
      </c>
      <c r="G258">
        <f>HYPERLINK("https://www.google.com/maps/search/?api=1&amp;query=24.31393185,45.83603432", "View Map")</f>
        <v/>
      </c>
    </row>
    <row r="259">
      <c r="A259" t="inlineStr">
        <is>
          <t xml:space="preserve">   اوقاف الرين /ضويحي مسفرالقحطاني .</t>
        </is>
      </c>
      <c r="B259" t="inlineStr">
        <is>
          <t>AES2120896593212</t>
        </is>
      </c>
      <c r="C259" t="inlineStr">
        <is>
          <t>الرين</t>
        </is>
      </c>
      <c r="D259" t="inlineStr">
        <is>
          <t>كلا الفترتين</t>
        </is>
      </c>
      <c r="E259" t="n">
        <v>1467</v>
      </c>
      <c r="F259" t="b">
        <v>0</v>
      </c>
      <c r="G259">
        <f>HYPERLINK("https://www.google.com/maps/search/?api=1&amp;query=23.34714357,45.24884866", "View Map")</f>
        <v/>
      </c>
    </row>
    <row r="260">
      <c r="A260" t="inlineStr">
        <is>
          <t xml:space="preserve">   جامع المنح الصريحة .</t>
        </is>
      </c>
      <c r="B260" t="inlineStr">
        <is>
          <t>KFM2020660177173</t>
        </is>
      </c>
      <c r="C260" t="inlineStr">
        <is>
          <t>المزاحمية</t>
        </is>
      </c>
      <c r="D260" t="inlineStr">
        <is>
          <t>كلا الفترتين</t>
        </is>
      </c>
      <c r="E260" t="n">
        <v>1464</v>
      </c>
      <c r="F260" t="b">
        <v>1</v>
      </c>
      <c r="G260">
        <f>HYPERLINK("https://www.google.com/maps/search/?api=1&amp;query=24.47174856,46.26727057", "View Map")</f>
        <v/>
      </c>
    </row>
    <row r="261">
      <c r="A261" t="inlineStr">
        <is>
          <t xml:space="preserve">    مسجد      صقر       الدلبحي .</t>
        </is>
      </c>
      <c r="B261" t="inlineStr">
        <is>
          <t>AES2020896453529</t>
        </is>
      </c>
      <c r="C261" t="inlineStr">
        <is>
          <t>الدوادمي</t>
        </is>
      </c>
      <c r="D261" t="inlineStr">
        <is>
          <t>كلا الفترتين</t>
        </is>
      </c>
      <c r="E261" t="n">
        <v>1464</v>
      </c>
      <c r="F261" t="b">
        <v>0</v>
      </c>
      <c r="G261">
        <f>HYPERLINK("https://www.google.com/maps/search/?api=1&amp;query=24.64116214,43.63271777", "View Map")</f>
        <v/>
      </c>
    </row>
    <row r="262">
      <c r="A262" t="inlineStr">
        <is>
          <t xml:space="preserve">   مسجد الفهد .</t>
        </is>
      </c>
      <c r="B262" t="inlineStr">
        <is>
          <t>AEC2020830558378</t>
        </is>
      </c>
      <c r="C262" t="inlineStr">
        <is>
          <t>المزاحمية</t>
        </is>
      </c>
      <c r="D262" t="inlineStr">
        <is>
          <t>كلا الفترتين</t>
        </is>
      </c>
      <c r="E262" t="n">
        <v>1464</v>
      </c>
      <c r="F262" t="b">
        <v>0</v>
      </c>
      <c r="G262">
        <f>HYPERLINK("https://www.google.com/maps/search/?api=1&amp;query=24.12353392,46.29611288", "View Map")</f>
        <v/>
      </c>
    </row>
    <row r="263">
      <c r="A263" t="inlineStr">
        <is>
          <t xml:space="preserve">   مسجد/الانصار .</t>
        </is>
      </c>
      <c r="B263" t="inlineStr">
        <is>
          <t>KFM2020660204406</t>
        </is>
      </c>
      <c r="C263" t="inlineStr">
        <is>
          <t>الدوادمي</t>
        </is>
      </c>
      <c r="D263" t="inlineStr">
        <is>
          <t>كلا الفترتين</t>
        </is>
      </c>
      <c r="E263" t="n">
        <v>1460</v>
      </c>
      <c r="F263" t="b">
        <v>1</v>
      </c>
      <c r="G263">
        <f>HYPERLINK("https://www.google.com/maps/search/?api=1&amp;query=25.21894221,44.60022488", "View Map")</f>
        <v/>
      </c>
    </row>
    <row r="264">
      <c r="A264" t="inlineStr">
        <is>
          <t xml:space="preserve">   مسجد بن سمحان - اوفاق القويهيه .</t>
        </is>
      </c>
      <c r="B264" t="inlineStr">
        <is>
          <t>AES2020896362394</t>
        </is>
      </c>
      <c r="C264" t="inlineStr">
        <is>
          <t>القويعية</t>
        </is>
      </c>
      <c r="D264" t="inlineStr">
        <is>
          <t>كلا الفترتين</t>
        </is>
      </c>
      <c r="E264" t="n">
        <v>1455</v>
      </c>
      <c r="F264" t="b">
        <v>0</v>
      </c>
      <c r="G264">
        <f>HYPERLINK("https://www.google.com/maps/search/?api=1&amp;query=24.36517275,45.32883851", "View Map")</f>
        <v/>
      </c>
    </row>
    <row r="265">
      <c r="A265" t="inlineStr">
        <is>
          <t xml:space="preserve">   جامع الجفير .</t>
        </is>
      </c>
      <c r="B265" t="inlineStr">
        <is>
          <t>KFM2020760160878</t>
        </is>
      </c>
      <c r="C265" t="inlineStr">
        <is>
          <t>المزاحمية</t>
        </is>
      </c>
      <c r="D265" t="inlineStr">
        <is>
          <t>كلا الفترتين</t>
        </is>
      </c>
      <c r="E265" t="n">
        <v>1454</v>
      </c>
      <c r="F265" t="b">
        <v>0</v>
      </c>
      <c r="G265">
        <f>HYPERLINK("https://www.google.com/maps/search/?api=1&amp;query=24.02331819,46.29400738", "View Map")</f>
        <v/>
      </c>
    </row>
    <row r="266">
      <c r="A266" t="inlineStr">
        <is>
          <t xml:space="preserve">   اوقاف القويعيه مسجدبن عباس .</t>
        </is>
      </c>
      <c r="B266" t="inlineStr">
        <is>
          <t>KFM2020660190683</t>
        </is>
      </c>
      <c r="C266" t="inlineStr">
        <is>
          <t>القويعية</t>
        </is>
      </c>
      <c r="D266" t="inlineStr">
        <is>
          <t>كلا الفترتين</t>
        </is>
      </c>
      <c r="E266" t="n">
        <v>1453</v>
      </c>
      <c r="F266" t="b">
        <v>0</v>
      </c>
      <c r="G266">
        <f>HYPERLINK("https://www.google.com/maps/search/?api=1&amp;query=24.07320049,45.29831846", "View Map")</f>
        <v/>
      </c>
    </row>
    <row r="267">
      <c r="A267" t="inlineStr">
        <is>
          <t>ﺃﻭﻗﺎﻑ ﻭﻤﺴﺎﺠﺩ ﺍﻟﻗﻭﻴﻌﻴﻩ .</t>
        </is>
      </c>
      <c r="B267" t="inlineStr">
        <is>
          <t>AES2020896472574</t>
        </is>
      </c>
      <c r="C267" t="inlineStr">
        <is>
          <t>القويعية</t>
        </is>
      </c>
      <c r="D267" t="inlineStr">
        <is>
          <t>كلا الفترتين</t>
        </is>
      </c>
      <c r="E267" t="n">
        <v>1451</v>
      </c>
      <c r="F267" t="b">
        <v>0</v>
      </c>
      <c r="G267">
        <f>HYPERLINK("https://www.google.com/maps/search/?api=1&amp;query=24.2058339,45.87611714", "View Map")</f>
        <v/>
      </c>
    </row>
    <row r="268">
      <c r="A268" t="inlineStr">
        <is>
          <t xml:space="preserve">   مسجد/ نورة القحطانى .م.بن هريس .</t>
        </is>
      </c>
      <c r="B268" t="inlineStr">
        <is>
          <t>KFM2020766147253</t>
        </is>
      </c>
      <c r="C268" t="inlineStr">
        <is>
          <t>ضرما</t>
        </is>
      </c>
      <c r="D268" t="inlineStr">
        <is>
          <t>كلا الفترتين</t>
        </is>
      </c>
      <c r="E268" t="n">
        <v>1451</v>
      </c>
      <c r="F268" t="b">
        <v>0</v>
      </c>
      <c r="G268">
        <f>HYPERLINK("https://www.google.com/maps/search/?api=1&amp;query=24.59091676,46.13688909", "View Map")</f>
        <v/>
      </c>
    </row>
    <row r="269">
      <c r="A269" t="inlineStr">
        <is>
          <t xml:space="preserve">   مسجد/ محمد شويفين  هلال .</t>
        </is>
      </c>
      <c r="B269" t="inlineStr">
        <is>
          <t>KFM2020660204379</t>
        </is>
      </c>
      <c r="C269" t="inlineStr">
        <is>
          <t>الدوادمي</t>
        </is>
      </c>
      <c r="D269" t="inlineStr">
        <is>
          <t>كلا الفترتين</t>
        </is>
      </c>
      <c r="E269" t="n">
        <v>1448</v>
      </c>
      <c r="F269" t="b">
        <v>0</v>
      </c>
      <c r="G269">
        <f>HYPERLINK("https://www.google.com/maps/search/?api=1&amp;query=25.1901464,44.59711585", "View Map")</f>
        <v/>
      </c>
    </row>
    <row r="270">
      <c r="A270" t="inlineStr">
        <is>
          <t xml:space="preserve">   مسجد      ناصر      القريني .</t>
        </is>
      </c>
      <c r="B270" t="inlineStr">
        <is>
          <t>KFM2120660257046</t>
        </is>
      </c>
      <c r="C270" t="inlineStr">
        <is>
          <t>المزاحمية</t>
        </is>
      </c>
      <c r="D270" t="inlineStr">
        <is>
          <t>كلا الفترتين</t>
        </is>
      </c>
      <c r="E270" t="n">
        <v>1442</v>
      </c>
      <c r="F270" t="b">
        <v>1</v>
      </c>
      <c r="G270">
        <f>HYPERLINK("https://www.google.com/maps/search/?api=1&amp;query=24.36809771,46.43821997", "View Map")</f>
        <v/>
      </c>
    </row>
    <row r="271">
      <c r="A271" t="inlineStr">
        <is>
          <t xml:space="preserve">   مسجد محمد سيف اوقاف المزاحمية .</t>
        </is>
      </c>
      <c r="B271" t="inlineStr">
        <is>
          <t>AES2020896471717</t>
        </is>
      </c>
      <c r="C271" t="inlineStr">
        <is>
          <t>القويعية</t>
        </is>
      </c>
      <c r="D271" t="inlineStr">
        <is>
          <t>كلا الفترتين</t>
        </is>
      </c>
      <c r="E271" t="n">
        <v>1442</v>
      </c>
      <c r="F271" t="b">
        <v>0</v>
      </c>
      <c r="G271">
        <f>HYPERLINK("https://www.google.com/maps/search/?api=1&amp;query=24.33259542,45.80124257", "View Map")</f>
        <v/>
      </c>
    </row>
    <row r="272">
      <c r="A272" t="inlineStr">
        <is>
          <t xml:space="preserve">    اوقافمسجدعبدالمحسنويفلعائيض القو .</t>
        </is>
      </c>
      <c r="B272" t="inlineStr">
        <is>
          <t>AEC2020830580212</t>
        </is>
      </c>
      <c r="C272" t="inlineStr">
        <is>
          <t>القويعية</t>
        </is>
      </c>
      <c r="D272" t="inlineStr">
        <is>
          <t>كلا الفترتين</t>
        </is>
      </c>
      <c r="E272" t="n">
        <v>1436</v>
      </c>
      <c r="F272" t="b">
        <v>0</v>
      </c>
      <c r="G272">
        <f>HYPERLINK("https://www.google.com/maps/search/?api=1&amp;query=24.33868661,45.80102998", "View Map")</f>
        <v/>
      </c>
    </row>
    <row r="273">
      <c r="A273" t="inlineStr">
        <is>
          <t xml:space="preserve">   مسجد      المقداد   رضي الله عنه .</t>
        </is>
      </c>
      <c r="B273" t="inlineStr">
        <is>
          <t>KFM2020660137691</t>
        </is>
      </c>
      <c r="C273" t="inlineStr">
        <is>
          <t>الدوادمي</t>
        </is>
      </c>
      <c r="D273" t="inlineStr">
        <is>
          <t>كلا الفترتين</t>
        </is>
      </c>
      <c r="E273" t="n">
        <v>1432</v>
      </c>
      <c r="F273" t="b">
        <v>0</v>
      </c>
      <c r="G273">
        <f>HYPERLINK("https://www.google.com/maps/search/?api=1&amp;query=24.7045442,44.88839119", "View Map")</f>
        <v/>
      </c>
    </row>
    <row r="274">
      <c r="A274" t="inlineStr">
        <is>
          <t xml:space="preserve">   جامع المشاعلة بالجلة  الا وقاف .</t>
        </is>
      </c>
      <c r="B274" t="inlineStr">
        <is>
          <t>KFM2020660206898</t>
        </is>
      </c>
      <c r="C274" t="inlineStr">
        <is>
          <t>القويعية</t>
        </is>
      </c>
      <c r="D274" t="inlineStr">
        <is>
          <t>كلا الفترتين</t>
        </is>
      </c>
      <c r="E274" t="n">
        <v>1431</v>
      </c>
      <c r="F274" t="b">
        <v>0</v>
      </c>
      <c r="G274">
        <f>HYPERLINK("https://www.google.com/maps/search/?api=1&amp;query=24.50084414,45.76082736", "View Map")</f>
        <v/>
      </c>
    </row>
    <row r="275">
      <c r="A275" t="inlineStr">
        <is>
          <t xml:space="preserve">   مسجد أل يرموك الصناعية .</t>
        </is>
      </c>
      <c r="B275" t="inlineStr">
        <is>
          <t>KFM2020660191475</t>
        </is>
      </c>
      <c r="C275" t="inlineStr">
        <is>
          <t>ضرما</t>
        </is>
      </c>
      <c r="D275" t="inlineStr">
        <is>
          <t>كلا الفترتين</t>
        </is>
      </c>
      <c r="E275" t="n">
        <v>1427</v>
      </c>
      <c r="F275" t="b">
        <v>1</v>
      </c>
      <c r="G275">
        <f>HYPERLINK("https://www.google.com/maps/search/?api=1&amp;query=24.60548017,46.14302458", "View Map")</f>
        <v/>
      </c>
    </row>
    <row r="276">
      <c r="A276" t="inlineStr">
        <is>
          <t>ﻭﺯﺍﺭﺓﺍﻻﻭﻗﺎﻑ ـ ﺍﻭﻗﺎﻑ ﻋﻓﻴﻑ .</t>
        </is>
      </c>
      <c r="B276" t="inlineStr">
        <is>
          <t>KFM2020660209836</t>
        </is>
      </c>
      <c r="C276" t="inlineStr">
        <is>
          <t>عفيف</t>
        </is>
      </c>
      <c r="D276" t="inlineStr">
        <is>
          <t>كلا الفترتين</t>
        </is>
      </c>
      <c r="E276" t="n">
        <v>1425</v>
      </c>
      <c r="F276" t="b">
        <v>0</v>
      </c>
      <c r="G276">
        <f>HYPERLINK("https://www.google.com/maps/search/?api=1&amp;query=23.91884862,42.91626417", "View Map")</f>
        <v/>
      </c>
    </row>
    <row r="277">
      <c r="A277" t="inlineStr">
        <is>
          <t>ﺍﻭﻗﺎﻑ ﻭﻤﺴﺎﺠﺩ ﺍﻟﻤﺯﺍﺤﻤﻴﻩ .</t>
        </is>
      </c>
      <c r="B277" t="inlineStr">
        <is>
          <t>DZG2020850016185</t>
        </is>
      </c>
      <c r="C277" t="inlineStr">
        <is>
          <t>المزاحمية</t>
        </is>
      </c>
      <c r="D277" t="inlineStr">
        <is>
          <t>كلا الفترتين</t>
        </is>
      </c>
      <c r="E277" t="n">
        <v>1423</v>
      </c>
      <c r="F277" t="b">
        <v>0</v>
      </c>
      <c r="G277">
        <f>HYPERLINK("https://www.google.com/maps/search/?api=1&amp;query=24.45073409,46.30022976", "View Map")</f>
        <v/>
      </c>
    </row>
    <row r="278">
      <c r="A278" t="inlineStr">
        <is>
          <t xml:space="preserve">   اوقاف المزاحمية/ مسجد محمد العذل .</t>
        </is>
      </c>
      <c r="B278" t="inlineStr">
        <is>
          <t>KFM2020660229257</t>
        </is>
      </c>
      <c r="C278" t="inlineStr">
        <is>
          <t>الرين</t>
        </is>
      </c>
      <c r="D278" t="inlineStr">
        <is>
          <t>كلا الفترتين</t>
        </is>
      </c>
      <c r="E278" t="n">
        <v>1420</v>
      </c>
      <c r="F278" t="b">
        <v>0</v>
      </c>
      <c r="G278">
        <f>HYPERLINK("https://www.google.com/maps/search/?api=1&amp;query=23.53489397,45.93930697", "View Map")</f>
        <v/>
      </c>
    </row>
    <row r="279">
      <c r="A279" t="inlineStr">
        <is>
          <t xml:space="preserve">   اوقاف الحصاة/جامع الجدعاء .</t>
        </is>
      </c>
      <c r="B279" t="inlineStr">
        <is>
          <t>KFM2020660188294</t>
        </is>
      </c>
      <c r="C279" t="inlineStr">
        <is>
          <t>الرين</t>
        </is>
      </c>
      <c r="D279" t="inlineStr">
        <is>
          <t>كلا الفترتين</t>
        </is>
      </c>
      <c r="E279" t="n">
        <v>1407</v>
      </c>
      <c r="F279" t="b">
        <v>0</v>
      </c>
      <c r="G279">
        <f>HYPERLINK("https://www.google.com/maps/search/?api=1&amp;query=22.52068005,44.79688116", "View Map")</f>
        <v/>
      </c>
    </row>
    <row r="280">
      <c r="A280" t="inlineStr">
        <is>
          <t xml:space="preserve">   جامع      محيرقة    محيرقة .</t>
        </is>
      </c>
      <c r="B280" t="inlineStr">
        <is>
          <t>KFM2020660229564</t>
        </is>
      </c>
      <c r="C280" t="inlineStr">
        <is>
          <t>القويعية</t>
        </is>
      </c>
      <c r="D280" t="inlineStr">
        <is>
          <t>كلا الفترتين</t>
        </is>
      </c>
      <c r="E280" t="n">
        <v>1406</v>
      </c>
      <c r="F280" t="b">
        <v>0</v>
      </c>
      <c r="G280">
        <f>HYPERLINK("https://www.google.com/maps/search/?api=1&amp;query=23.98394233,45.06760502", "View Map")</f>
        <v/>
      </c>
    </row>
    <row r="281">
      <c r="A281" t="inlineStr">
        <is>
          <t xml:space="preserve">   اوقاف     مسجد      بالرقميه .</t>
        </is>
      </c>
      <c r="B281" t="inlineStr">
        <is>
          <t>AES2120896575082</t>
        </is>
      </c>
      <c r="C281" t="inlineStr">
        <is>
          <t>الرين</t>
        </is>
      </c>
      <c r="D281" t="inlineStr">
        <is>
          <t>كلا الفترتين</t>
        </is>
      </c>
      <c r="E281" t="n">
        <v>1401</v>
      </c>
      <c r="F281" t="b">
        <v>0</v>
      </c>
      <c r="G281">
        <f>HYPERLINK("https://www.google.com/maps/search/?api=1&amp;query=23.3055121,45.15773134", "View Map")</f>
        <v/>
      </c>
    </row>
    <row r="282">
      <c r="A282" t="inlineStr">
        <is>
          <t xml:space="preserve">      مسجدالمبوغم/اوقاف المزاحميه .</t>
        </is>
      </c>
      <c r="B282" t="inlineStr">
        <is>
          <t>KFM2020766065366</t>
        </is>
      </c>
      <c r="C282" t="inlineStr">
        <is>
          <t>القويعية</t>
        </is>
      </c>
      <c r="D282" t="inlineStr">
        <is>
          <t>كلا الفترتين</t>
        </is>
      </c>
      <c r="E282" t="n">
        <v>1401</v>
      </c>
      <c r="F282" t="b">
        <v>0</v>
      </c>
      <c r="G282">
        <f>HYPERLINK("https://www.google.com/maps/search/?api=1&amp;query=24.33484622,45.80896281", "View Map")</f>
        <v/>
      </c>
    </row>
    <row r="283">
      <c r="A283" t="inlineStr">
        <is>
          <t xml:space="preserve"> مسجدالريعانيه بالرين اوقاف القويعيه .</t>
        </is>
      </c>
      <c r="B283" t="inlineStr">
        <is>
          <t>AES2120896575399</t>
        </is>
      </c>
      <c r="C283" t="inlineStr">
        <is>
          <t>الرين</t>
        </is>
      </c>
      <c r="D283" t="inlineStr">
        <is>
          <t>كلا الفترتين</t>
        </is>
      </c>
      <c r="E283" t="n">
        <v>1401</v>
      </c>
      <c r="F283" t="b">
        <v>0</v>
      </c>
      <c r="G283">
        <f>HYPERLINK("https://www.google.com/maps/search/?api=1&amp;query=23.5529337,45.56590553", "View Map")</f>
        <v/>
      </c>
    </row>
    <row r="284">
      <c r="A284" t="inlineStr">
        <is>
          <t xml:space="preserve">   مسجد/ الحي الشمالي بالمستجده .</t>
        </is>
      </c>
      <c r="B284" t="inlineStr">
        <is>
          <t>AEC2020830293597</t>
        </is>
      </c>
      <c r="C284" t="inlineStr">
        <is>
          <t>الدوادمي</t>
        </is>
      </c>
      <c r="D284" t="inlineStr">
        <is>
          <t>كلا الفترتين</t>
        </is>
      </c>
      <c r="E284" t="n">
        <v>1396</v>
      </c>
      <c r="F284" t="b">
        <v>1</v>
      </c>
      <c r="G284">
        <f>HYPERLINK("https://www.google.com/maps/search/?api=1&amp;query=24.51263962,43.78808037", "View Map")</f>
        <v/>
      </c>
    </row>
    <row r="285">
      <c r="A285" t="inlineStr">
        <is>
          <t>مسجد .</t>
        </is>
      </c>
      <c r="B285" t="inlineStr">
        <is>
          <t>KFM2020760082710</t>
        </is>
      </c>
      <c r="C285" t="inlineStr">
        <is>
          <t>الدوادمي</t>
        </is>
      </c>
      <c r="D285" t="inlineStr">
        <is>
          <t>كلا الفترتين</t>
        </is>
      </c>
      <c r="E285" t="n">
        <v>1392</v>
      </c>
      <c r="F285" t="b">
        <v>1</v>
      </c>
      <c r="G285">
        <f>HYPERLINK("https://www.google.com/maps/search/?api=1&amp;query=24.5272251,44.39335204", "View Map")</f>
        <v/>
      </c>
    </row>
    <row r="286">
      <c r="A286" t="inlineStr">
        <is>
          <t xml:space="preserve">      مسجد سعود الشنيفى .</t>
        </is>
      </c>
      <c r="B286" t="inlineStr">
        <is>
          <t>KFM2020766147247</t>
        </is>
      </c>
      <c r="C286" t="inlineStr">
        <is>
          <t>ضرما</t>
        </is>
      </c>
      <c r="D286" t="inlineStr">
        <is>
          <t>كلا الفترتين</t>
        </is>
      </c>
      <c r="E286" t="n">
        <v>1389</v>
      </c>
      <c r="F286" t="b">
        <v>0</v>
      </c>
      <c r="G286">
        <f>HYPERLINK("https://www.google.com/maps/search/?api=1&amp;query=24.59405338,46.1395481", "View Map")</f>
        <v/>
      </c>
    </row>
    <row r="287">
      <c r="A287" t="inlineStr">
        <is>
          <t xml:space="preserve">   مسجد هجرة برزان بالمليحات .</t>
        </is>
      </c>
      <c r="B287" t="inlineStr">
        <is>
          <t>AES2020896409731</t>
        </is>
      </c>
      <c r="C287" t="inlineStr">
        <is>
          <t>الرين</t>
        </is>
      </c>
      <c r="D287" t="inlineStr">
        <is>
          <t>كلا الفترتين</t>
        </is>
      </c>
      <c r="E287" t="n">
        <v>1389</v>
      </c>
      <c r="F287" t="b">
        <v>0</v>
      </c>
      <c r="G287">
        <f>HYPERLINK("https://www.google.com/maps/search/?api=1&amp;query=23.6174349,45.86836702", "View Map")</f>
        <v/>
      </c>
    </row>
    <row r="288">
      <c r="A288" t="inlineStr">
        <is>
          <t>ﺍﻭﻗﺎﻑ ﻭﻤﺴﺎﺠﺩ ﻀﺭﻤﺎء .</t>
        </is>
      </c>
      <c r="B288" t="inlineStr">
        <is>
          <t>KFM2020766147230</t>
        </is>
      </c>
      <c r="C288" t="inlineStr">
        <is>
          <t>ضرما</t>
        </is>
      </c>
      <c r="D288" t="inlineStr">
        <is>
          <t>كلا الفترتين</t>
        </is>
      </c>
      <c r="E288" t="n">
        <v>1385</v>
      </c>
      <c r="F288" t="b">
        <v>0</v>
      </c>
      <c r="G288">
        <f>HYPERLINK("https://www.google.com/maps/search/?api=1&amp;query=24.58928307,46.13889233", "View Map")</f>
        <v/>
      </c>
    </row>
    <row r="289">
      <c r="A289" t="inlineStr">
        <is>
          <t>ﺃﻭﻗﺎﻑ ﻭﻤﺴﺎﺠﺩ ﺍﻟﻗﻭﻴﻌﻴﻩ .</t>
        </is>
      </c>
      <c r="B289" t="inlineStr">
        <is>
          <t>KFM2020766167842</t>
        </is>
      </c>
      <c r="C289" t="inlineStr">
        <is>
          <t>القويعية</t>
        </is>
      </c>
      <c r="D289" t="inlineStr">
        <is>
          <t>كلا الفترتين</t>
        </is>
      </c>
      <c r="E289" t="n">
        <v>1383</v>
      </c>
      <c r="F289" t="b">
        <v>1</v>
      </c>
      <c r="G289">
        <f>HYPERLINK("https://www.google.com/maps/search/?api=1&amp;query=23.87915895,45.50206764", "View Map")</f>
        <v/>
      </c>
    </row>
    <row r="290">
      <c r="A290" t="inlineStr">
        <is>
          <t xml:space="preserve">      مـسـجـد ابوسمير .</t>
        </is>
      </c>
      <c r="B290" t="inlineStr">
        <is>
          <t>SMR2220621001457</t>
        </is>
      </c>
      <c r="C290" t="inlineStr">
        <is>
          <t>ضرما</t>
        </is>
      </c>
      <c r="D290" t="inlineStr">
        <is>
          <t>كلا الفترتين</t>
        </is>
      </c>
      <c r="E290" t="n">
        <v>1383</v>
      </c>
      <c r="F290" t="b">
        <v>0</v>
      </c>
      <c r="G290">
        <f>HYPERLINK("https://www.google.com/maps/search/?api=1&amp;query=24.4353193,46.4422785", "View Map")</f>
        <v/>
      </c>
    </row>
    <row r="291">
      <c r="A291" t="inlineStr">
        <is>
          <t>ﺃﻭﻗﺎﻑ ﻭﻤﺴﺎﺠﺩ ﺍﻟﻗﻭﻴﻌﻴﻩ .</t>
        </is>
      </c>
      <c r="B291" t="inlineStr">
        <is>
          <t>AEC2020830522552</t>
        </is>
      </c>
      <c r="C291" t="inlineStr">
        <is>
          <t>القويعية</t>
        </is>
      </c>
      <c r="D291" t="inlineStr">
        <is>
          <t>كلا الفترتين</t>
        </is>
      </c>
      <c r="E291" t="n">
        <v>1383</v>
      </c>
      <c r="F291" t="b">
        <v>0</v>
      </c>
      <c r="G291">
        <f>HYPERLINK("https://www.google.com/maps/search/?api=1&amp;query=24.32680018,45.82388909", "View Map")</f>
        <v/>
      </c>
    </row>
    <row r="292">
      <c r="A292" t="inlineStr">
        <is>
          <t xml:space="preserve">   مسجد الناصريه .</t>
        </is>
      </c>
      <c r="B292" t="inlineStr">
        <is>
          <t>AEC2020830507892</t>
        </is>
      </c>
      <c r="C292" t="inlineStr">
        <is>
          <t>الدوادمي</t>
        </is>
      </c>
      <c r="D292" t="inlineStr">
        <is>
          <t>كلا الفترتين</t>
        </is>
      </c>
      <c r="E292" t="n">
        <v>1379</v>
      </c>
      <c r="F292" t="b">
        <v>0</v>
      </c>
      <c r="G292">
        <f>HYPERLINK("https://www.google.com/maps/search/?api=1&amp;query=24.58180627,43.63213252", "View Map")</f>
        <v/>
      </c>
    </row>
    <row r="293">
      <c r="A293" t="inlineStr">
        <is>
          <t xml:space="preserve">   مسجد - سعدعبدالرحمن الزير .</t>
        </is>
      </c>
      <c r="B293" t="inlineStr">
        <is>
          <t>KFM2020660209440</t>
        </is>
      </c>
      <c r="C293" t="inlineStr">
        <is>
          <t>المزاحمية</t>
        </is>
      </c>
      <c r="D293" t="inlineStr">
        <is>
          <t>كلا الفترتين</t>
        </is>
      </c>
      <c r="E293" t="n">
        <v>1374</v>
      </c>
      <c r="F293" t="b">
        <v>0</v>
      </c>
      <c r="G293">
        <f>HYPERLINK("https://www.google.com/maps/search/?api=1&amp;query=24.45661359,46.27702627", "View Map")</f>
        <v/>
      </c>
    </row>
    <row r="294">
      <c r="A294" t="inlineStr">
        <is>
          <t xml:space="preserve">   مسجد      الصقيع    بالصقيع .</t>
        </is>
      </c>
      <c r="B294" t="inlineStr">
        <is>
          <t>KFM2020766162188</t>
        </is>
      </c>
      <c r="C294" t="inlineStr">
        <is>
          <t>القويعية</t>
        </is>
      </c>
      <c r="D294" t="inlineStr">
        <is>
          <t>كلا الفترتين</t>
        </is>
      </c>
      <c r="E294" t="n">
        <v>1372</v>
      </c>
      <c r="F294" t="b">
        <v>0</v>
      </c>
      <c r="G294">
        <f>HYPERLINK("https://www.google.com/maps/search/?api=1&amp;query=23.46329998,44.32734468", "View Map")</f>
        <v/>
      </c>
    </row>
    <row r="295">
      <c r="A295" t="inlineStr">
        <is>
          <t xml:space="preserve">   مسجد      قرية      الذيبيه .</t>
        </is>
      </c>
      <c r="B295" t="inlineStr">
        <is>
          <t>KFM2020766093786</t>
        </is>
      </c>
      <c r="C295" t="inlineStr">
        <is>
          <t>عفيف</t>
        </is>
      </c>
      <c r="D295" t="inlineStr">
        <is>
          <t>كلا الفترتين</t>
        </is>
      </c>
      <c r="E295" t="n">
        <v>1367</v>
      </c>
      <c r="F295" t="b">
        <v>0</v>
      </c>
      <c r="G295">
        <f>HYPERLINK("https://www.google.com/maps/search/?api=1&amp;query=24.2193365,42.84112807", "View Map")</f>
        <v/>
      </c>
    </row>
    <row r="296">
      <c r="A296" t="inlineStr">
        <is>
          <t xml:space="preserve">   مسجد      النور     بحلبان .</t>
        </is>
      </c>
      <c r="B296" t="inlineStr">
        <is>
          <t>KFM2020766077803</t>
        </is>
      </c>
      <c r="C296" t="inlineStr">
        <is>
          <t>القويعية</t>
        </is>
      </c>
      <c r="D296" t="inlineStr">
        <is>
          <t>صباحا</t>
        </is>
      </c>
      <c r="E296" t="n">
        <v>1367</v>
      </c>
      <c r="F296" t="b">
        <v>0</v>
      </c>
      <c r="G296">
        <f>HYPERLINK("https://www.google.com/maps/search/?api=1&amp;query=23.49302395,44.39454124", "View Map")</f>
        <v/>
      </c>
    </row>
    <row r="297">
      <c r="A297" t="inlineStr">
        <is>
          <t xml:space="preserve">      مسجد ضيف الله خويطر .</t>
        </is>
      </c>
      <c r="B297" t="inlineStr">
        <is>
          <t>KFM2020766133975</t>
        </is>
      </c>
      <c r="C297" t="inlineStr">
        <is>
          <t>الدوادمي</t>
        </is>
      </c>
      <c r="D297" t="inlineStr">
        <is>
          <t>كلا الفترتين</t>
        </is>
      </c>
      <c r="E297" t="n">
        <v>1366</v>
      </c>
      <c r="F297" t="b">
        <v>1</v>
      </c>
      <c r="G297">
        <f>HYPERLINK("https://www.google.com/maps/search/?api=1&amp;query=23.9083372,44.6317067", "View Map")</f>
        <v/>
      </c>
    </row>
    <row r="298">
      <c r="A298" t="inlineStr">
        <is>
          <t xml:space="preserve">   مسجد/غرب ساجر /محمد شويفين .</t>
        </is>
      </c>
      <c r="B298" t="inlineStr">
        <is>
          <t>KFM2020766090287</t>
        </is>
      </c>
      <c r="C298" t="inlineStr">
        <is>
          <t>الدوادمي</t>
        </is>
      </c>
      <c r="D298" t="inlineStr">
        <is>
          <t>كلا الفترتين</t>
        </is>
      </c>
      <c r="E298" t="n">
        <v>1361</v>
      </c>
      <c r="F298" t="b">
        <v>1</v>
      </c>
      <c r="G298">
        <f>HYPERLINK("https://www.google.com/maps/search/?api=1&amp;query=25.19385663,44.59463217", "View Map")</f>
        <v/>
      </c>
    </row>
    <row r="299">
      <c r="A299" t="inlineStr">
        <is>
          <t xml:space="preserve">      مـسـجـد ابوهريم بالرين .</t>
        </is>
      </c>
      <c r="B299" t="inlineStr">
        <is>
          <t>AES2020896528540</t>
        </is>
      </c>
      <c r="C299" t="inlineStr">
        <is>
          <t>الرين</t>
        </is>
      </c>
      <c r="D299" t="inlineStr">
        <is>
          <t>كلا الفترتين</t>
        </is>
      </c>
      <c r="E299" t="n">
        <v>1359</v>
      </c>
      <c r="F299" t="b">
        <v>0</v>
      </c>
      <c r="G299">
        <f>HYPERLINK("https://www.google.com/maps/search/?api=1&amp;query=23.63565897,45.36229877", "View Map")</f>
        <v/>
      </c>
    </row>
    <row r="300">
      <c r="A300" t="inlineStr">
        <is>
          <t xml:space="preserve">   المسجد الجامع بالحيد .</t>
        </is>
      </c>
      <c r="B300" t="inlineStr">
        <is>
          <t>KFM2020660223805</t>
        </is>
      </c>
      <c r="C300" t="inlineStr">
        <is>
          <t>الدوادمي</t>
        </is>
      </c>
      <c r="D300" t="inlineStr">
        <is>
          <t>كلا الفترتين</t>
        </is>
      </c>
      <c r="E300" t="n">
        <v>1349</v>
      </c>
      <c r="F300" t="b">
        <v>1</v>
      </c>
      <c r="G300">
        <f>HYPERLINK("https://www.google.com/maps/search/?api=1&amp;query=24.87218407,43.80006349", "View Map")</f>
        <v/>
      </c>
    </row>
    <row r="301">
      <c r="A301" t="inlineStr">
        <is>
          <t xml:space="preserve">   جامع  الربوة .</t>
        </is>
      </c>
      <c r="B301" t="inlineStr">
        <is>
          <t>AEC2020830570126</t>
        </is>
      </c>
      <c r="C301" t="inlineStr">
        <is>
          <t>الرين</t>
        </is>
      </c>
      <c r="D301" t="inlineStr">
        <is>
          <t>كلا الفترتين</t>
        </is>
      </c>
      <c r="E301" t="n">
        <v>1348</v>
      </c>
      <c r="F301" t="b">
        <v>0</v>
      </c>
      <c r="G301">
        <f>HYPERLINK("https://www.google.com/maps/search/?api=1&amp;query=22.60686196,44.8777475", "View Map")</f>
        <v/>
      </c>
    </row>
    <row r="302">
      <c r="A302" t="inlineStr">
        <is>
          <t>ﺍﻭﻗﺎﻑ ﻭﻤﺴﺎﺠﺩ ﺍﻟﺭﻴﻥ .</t>
        </is>
      </c>
      <c r="B302" t="inlineStr">
        <is>
          <t>KFM2020660196919</t>
        </is>
      </c>
      <c r="C302" t="inlineStr">
        <is>
          <t>الرين</t>
        </is>
      </c>
      <c r="D302" t="inlineStr">
        <is>
          <t>كلا الفترتين</t>
        </is>
      </c>
      <c r="E302" t="n">
        <v>1344</v>
      </c>
      <c r="F302" t="b">
        <v>0</v>
      </c>
      <c r="G302">
        <f>HYPERLINK("https://www.google.com/maps/search/?api=1&amp;query=23.53573018,45.50690058", "View Map")</f>
        <v/>
      </c>
    </row>
    <row r="303">
      <c r="A303" t="inlineStr">
        <is>
          <t xml:space="preserve">   مسجد/حسين عبدالله الاسعدي .</t>
        </is>
      </c>
      <c r="B303" t="inlineStr">
        <is>
          <t>KFM2020660123162</t>
        </is>
      </c>
      <c r="C303" t="inlineStr">
        <is>
          <t>الدوادمي</t>
        </is>
      </c>
      <c r="D303" t="inlineStr">
        <is>
          <t>كلا الفترتين</t>
        </is>
      </c>
      <c r="E303" t="n">
        <v>1336</v>
      </c>
      <c r="F303" t="b">
        <v>1</v>
      </c>
      <c r="G303">
        <f>HYPERLINK("https://www.google.com/maps/search/?api=1&amp;query=25.18606944,44.59945533", "View Map")</f>
        <v/>
      </c>
    </row>
    <row r="304">
      <c r="A304" t="inlineStr">
        <is>
          <t xml:space="preserve">   اوقاف الحصاه / مسجد الناصريه .</t>
        </is>
      </c>
      <c r="B304" t="inlineStr">
        <is>
          <t>AES2020896448415</t>
        </is>
      </c>
      <c r="C304" t="inlineStr">
        <is>
          <t>الرين</t>
        </is>
      </c>
      <c r="D304" t="inlineStr">
        <is>
          <t>كلا الفترتين</t>
        </is>
      </c>
      <c r="E304" t="n">
        <v>1336</v>
      </c>
      <c r="F304" t="b">
        <v>0</v>
      </c>
      <c r="G304">
        <f>HYPERLINK("https://www.google.com/maps/search/?api=1&amp;query=23.0840646,45.02244813", "View Map")</f>
        <v/>
      </c>
    </row>
    <row r="305">
      <c r="A305" t="inlineStr">
        <is>
          <t xml:space="preserve">   اوقاف القويعيه/جامع زعيفان بصماخ .</t>
        </is>
      </c>
      <c r="B305" t="inlineStr">
        <is>
          <t>AEC2020830574166</t>
        </is>
      </c>
      <c r="C305" t="inlineStr">
        <is>
          <t>الرين</t>
        </is>
      </c>
      <c r="D305" t="inlineStr">
        <is>
          <t>كلا الفترتين</t>
        </is>
      </c>
      <c r="E305" t="n">
        <v>1335</v>
      </c>
      <c r="F305" t="b">
        <v>1</v>
      </c>
      <c r="G305">
        <f>HYPERLINK("https://www.google.com/maps/search/?api=1&amp;query=22.98002353,45.44134153", "View Map")</f>
        <v/>
      </c>
    </row>
    <row r="306">
      <c r="A306" t="inlineStr">
        <is>
          <t xml:space="preserve">      جامع مزعل .</t>
        </is>
      </c>
      <c r="B306" t="inlineStr">
        <is>
          <t>KFM2020766107121</t>
        </is>
      </c>
      <c r="C306" t="inlineStr">
        <is>
          <t>القويعية</t>
        </is>
      </c>
      <c r="D306" t="inlineStr">
        <is>
          <t>كلا الفترتين</t>
        </is>
      </c>
      <c r="E306" t="n">
        <v>1335</v>
      </c>
      <c r="F306" t="b">
        <v>1</v>
      </c>
      <c r="G306">
        <f>HYPERLINK("https://www.google.com/maps/search/?api=1&amp;query=24.01020428,45.19748755", "View Map")</f>
        <v/>
      </c>
    </row>
    <row r="307">
      <c r="A307" t="inlineStr">
        <is>
          <t>ﻭﺯﺍﺭﺓﺍﻻﻭﻗﺎﻑ ـ ﺍﻭﻗﺎﻑ ﺴﺎﺠﺭ .</t>
        </is>
      </c>
      <c r="B307" t="inlineStr">
        <is>
          <t>SMR2420861005317</t>
        </is>
      </c>
      <c r="C307" t="inlineStr">
        <is>
          <t>الدوادمي</t>
        </is>
      </c>
      <c r="D307" t="inlineStr">
        <is>
          <t>كلا الفترتين</t>
        </is>
      </c>
      <c r="E307" t="n">
        <v>1333</v>
      </c>
      <c r="F307" t="b">
        <v>1</v>
      </c>
      <c r="G307">
        <f>HYPERLINK("https://www.google.com/maps/search/?api=1&amp;query=25.20932453,44.59794706", "View Map")</f>
        <v/>
      </c>
    </row>
    <row r="308">
      <c r="A308" t="inlineStr">
        <is>
          <t xml:space="preserve">   مسجد      المنصور   0 .</t>
        </is>
      </c>
      <c r="B308" t="inlineStr">
        <is>
          <t>KFM2020760082651</t>
        </is>
      </c>
      <c r="C308" t="inlineStr">
        <is>
          <t>الدوادمي</t>
        </is>
      </c>
      <c r="D308" t="inlineStr">
        <is>
          <t>كلا الفترتين</t>
        </is>
      </c>
      <c r="E308" t="n">
        <v>1333</v>
      </c>
      <c r="F308" t="b">
        <v>1</v>
      </c>
      <c r="G308">
        <f>HYPERLINK("https://www.google.com/maps/search/?api=1&amp;query=24.49680345,44.38447465", "View Map")</f>
        <v/>
      </c>
    </row>
    <row r="309">
      <c r="A309" t="inlineStr">
        <is>
          <t xml:space="preserve">   مسجدهجرةالوسط .</t>
        </is>
      </c>
      <c r="B309" t="inlineStr">
        <is>
          <t>AEC2020830565774</t>
        </is>
      </c>
      <c r="C309" t="inlineStr">
        <is>
          <t>المزاحمية</t>
        </is>
      </c>
      <c r="D309" t="inlineStr">
        <is>
          <t>كلا الفترتين</t>
        </is>
      </c>
      <c r="E309" t="n">
        <v>1328</v>
      </c>
      <c r="F309" t="b">
        <v>0</v>
      </c>
      <c r="G309">
        <f>HYPERLINK("https://www.google.com/maps/search/?api=1&amp;query=24.13935333,46.19373947", "View Map")</f>
        <v/>
      </c>
    </row>
    <row r="310">
      <c r="A310" t="inlineStr">
        <is>
          <t>وقاف ومساجد الرين .</t>
        </is>
      </c>
      <c r="B310" t="inlineStr">
        <is>
          <t>KFM2020660150160</t>
        </is>
      </c>
      <c r="C310" t="inlineStr">
        <is>
          <t>الرين</t>
        </is>
      </c>
      <c r="D310" t="inlineStr">
        <is>
          <t>كلا الفترتين</t>
        </is>
      </c>
      <c r="E310" t="n">
        <v>1322</v>
      </c>
      <c r="F310" t="b">
        <v>0</v>
      </c>
      <c r="G310">
        <f>HYPERLINK("https://www.google.com/maps/search/?api=1&amp;query=23.54523402,45.50866128", "View Map")</f>
        <v/>
      </c>
    </row>
    <row r="311">
      <c r="A311" t="inlineStr">
        <is>
          <t xml:space="preserve">   مسجد الواضحه في مسرح بالحصاة .</t>
        </is>
      </c>
      <c r="B311" t="inlineStr">
        <is>
          <t>AES2020896451199</t>
        </is>
      </c>
      <c r="C311" t="inlineStr">
        <is>
          <t>الرين</t>
        </is>
      </c>
      <c r="D311" t="inlineStr">
        <is>
          <t>كلا الفترتين</t>
        </is>
      </c>
      <c r="E311" t="n">
        <v>1321</v>
      </c>
      <c r="F311" t="b">
        <v>0</v>
      </c>
      <c r="G311">
        <f>HYPERLINK("https://www.google.com/maps/search/?api=1&amp;query=22.64484319,44.79941371", "View Map")</f>
        <v/>
      </c>
    </row>
    <row r="312">
      <c r="A312" t="inlineStr">
        <is>
          <t xml:space="preserve">   مسجد/روابينجد الغربيالقحطاني .</t>
        </is>
      </c>
      <c r="B312" t="inlineStr">
        <is>
          <t>AES2020896461564</t>
        </is>
      </c>
      <c r="C312" t="inlineStr">
        <is>
          <t>المزاحمية</t>
        </is>
      </c>
      <c r="D312" t="inlineStr">
        <is>
          <t>كلا الفترتين</t>
        </is>
      </c>
      <c r="E312" t="n">
        <v>1316</v>
      </c>
      <c r="F312" t="b">
        <v>0</v>
      </c>
      <c r="G312">
        <f>HYPERLINK("https://www.google.com/maps/search/?api=1&amp;query=24.4433005,46.10886165", "View Map")</f>
        <v/>
      </c>
    </row>
    <row r="313">
      <c r="A313" t="inlineStr">
        <is>
          <t xml:space="preserve">   مسجد    مخطط     471    عفيف .</t>
        </is>
      </c>
      <c r="B313" t="inlineStr">
        <is>
          <t>AES2120896601665</t>
        </is>
      </c>
      <c r="C313" t="inlineStr">
        <is>
          <t>عفيف</t>
        </is>
      </c>
      <c r="D313" t="inlineStr">
        <is>
          <t>كلا الفترتين</t>
        </is>
      </c>
      <c r="E313" t="n">
        <v>1314</v>
      </c>
      <c r="F313" t="b">
        <v>0</v>
      </c>
      <c r="G313">
        <f>HYPERLINK("https://www.google.com/maps/search/?api=1&amp;query=23.89088619,42.89513887", "View Map")</f>
        <v/>
      </c>
    </row>
    <row r="314">
      <c r="A314" t="inlineStr">
        <is>
          <t xml:space="preserve">      مسجد الاوقاف الروضه .</t>
        </is>
      </c>
      <c r="B314" t="inlineStr">
        <is>
          <t>AES2020896350232</t>
        </is>
      </c>
      <c r="C314" t="inlineStr">
        <is>
          <t>القويعية</t>
        </is>
      </c>
      <c r="D314" t="inlineStr">
        <is>
          <t>كلا الفترتين</t>
        </is>
      </c>
      <c r="E314" t="n">
        <v>1313</v>
      </c>
      <c r="F314" t="b">
        <v>0</v>
      </c>
      <c r="G314">
        <f>HYPERLINK("https://www.google.com/maps/search/?api=1&amp;query=24.33667782,45.79779409", "View Map")</f>
        <v/>
      </c>
    </row>
    <row r="315">
      <c r="A315" t="inlineStr">
        <is>
          <t xml:space="preserve">   مسجد المشنوطية .</t>
        </is>
      </c>
      <c r="B315" t="inlineStr">
        <is>
          <t>AEC2120830595949</t>
        </is>
      </c>
      <c r="C315" t="inlineStr">
        <is>
          <t>الدوادمي</t>
        </is>
      </c>
      <c r="D315" t="inlineStr">
        <is>
          <t>كلا الفترتين</t>
        </is>
      </c>
      <c r="E315" t="n">
        <v>1307</v>
      </c>
      <c r="F315" t="b">
        <v>0</v>
      </c>
      <c r="G315">
        <f>HYPERLINK("https://www.google.com/maps/search/?api=1&amp;query=25.40020482,44.15474261", "View Map")</f>
        <v/>
      </c>
    </row>
    <row r="316">
      <c r="A316" t="inlineStr">
        <is>
          <t xml:space="preserve">      مسجدالآمام فيصل بن تركي .</t>
        </is>
      </c>
      <c r="B316" t="inlineStr">
        <is>
          <t>KFM2020660191496</t>
        </is>
      </c>
      <c r="C316" t="inlineStr">
        <is>
          <t>ضرما</t>
        </is>
      </c>
      <c r="D316" t="inlineStr">
        <is>
          <t>كلا الفترتين</t>
        </is>
      </c>
      <c r="E316" t="n">
        <v>1304</v>
      </c>
      <c r="F316" t="b">
        <v>1</v>
      </c>
      <c r="G316">
        <f>HYPERLINK("https://www.google.com/maps/search/?api=1&amp;query=24.61034417,46.12456146", "View Map")</f>
        <v/>
      </c>
    </row>
    <row r="317">
      <c r="A317" t="inlineStr">
        <is>
          <t>ﺍﻭﻗﺎﻑ ﻭﻤﺴﺎﺠﺩ ﺍﻟﻤﺯﺍﺤﻤﻴﻩ .</t>
        </is>
      </c>
      <c r="B317" t="inlineStr">
        <is>
          <t>KFM2020660203707</t>
        </is>
      </c>
      <c r="C317" t="inlineStr">
        <is>
          <t>المزاحمية</t>
        </is>
      </c>
      <c r="D317" t="inlineStr">
        <is>
          <t>كلا الفترتين</t>
        </is>
      </c>
      <c r="E317" t="n">
        <v>1302</v>
      </c>
      <c r="F317" t="b">
        <v>1</v>
      </c>
      <c r="G317">
        <f>HYPERLINK("https://www.google.com/maps/search/?api=1&amp;query=24.45672382,46.27073222", "View Map")</f>
        <v/>
      </c>
    </row>
    <row r="318">
      <c r="A318" t="inlineStr">
        <is>
          <t xml:space="preserve">   مسجد/مخطط الفيصلية  جلوى .</t>
        </is>
      </c>
      <c r="B318" t="inlineStr">
        <is>
          <t>MMF2420801283174</t>
        </is>
      </c>
      <c r="C318" t="inlineStr">
        <is>
          <t>الدوادمي</t>
        </is>
      </c>
      <c r="D318" t="inlineStr">
        <is>
          <t>كلا الفترتين</t>
        </is>
      </c>
      <c r="E318" t="n">
        <v>1294</v>
      </c>
      <c r="F318" t="b">
        <v>0</v>
      </c>
      <c r="G318">
        <f>HYPERLINK("https://www.google.com/maps/search/?api=1&amp;query=24.5826705,43.54882333", "View Map")</f>
        <v/>
      </c>
    </row>
    <row r="319">
      <c r="A319" t="inlineStr">
        <is>
          <t>مسجد      منيرة     بنوارة .</t>
        </is>
      </c>
      <c r="B319" t="inlineStr">
        <is>
          <t>KFM2020660177279</t>
        </is>
      </c>
      <c r="C319" t="inlineStr">
        <is>
          <t>المزاحمية</t>
        </is>
      </c>
      <c r="D319" t="inlineStr">
        <is>
          <t>كلا الفترتين</t>
        </is>
      </c>
      <c r="E319" t="n">
        <v>1291</v>
      </c>
      <c r="F319" t="b">
        <v>1</v>
      </c>
      <c r="G319">
        <f>HYPERLINK("https://www.google.com/maps/search/?api=1&amp;query=24.45989258,46.29394155", "View Map")</f>
        <v/>
      </c>
    </row>
    <row r="320">
      <c r="A320" t="inlineStr">
        <is>
          <t>ﺍﻭﻗﺎﻑ ﻭﻤﺴﺎﺠﺩ ﺍﻟﻤﺯﺍﺤﻤﻴﻩ .</t>
        </is>
      </c>
      <c r="B320" t="inlineStr">
        <is>
          <t>KFM2020660225570</t>
        </is>
      </c>
      <c r="C320" t="inlineStr">
        <is>
          <t>المزاحمية</t>
        </is>
      </c>
      <c r="D320" t="inlineStr">
        <is>
          <t>كلا الفترتين</t>
        </is>
      </c>
      <c r="E320" t="n">
        <v>1291</v>
      </c>
      <c r="F320" t="b">
        <v>0</v>
      </c>
      <c r="G320">
        <f>HYPERLINK("https://www.google.com/maps/search/?api=1&amp;query=24.48144511,46.27451997", "View Map")</f>
        <v/>
      </c>
    </row>
    <row r="321">
      <c r="A321" t="inlineStr">
        <is>
          <t xml:space="preserve">   جامع  صبحاء .</t>
        </is>
      </c>
      <c r="B321" t="inlineStr">
        <is>
          <t>KFM2120660252107</t>
        </is>
      </c>
      <c r="C321" t="inlineStr">
        <is>
          <t>القويعية</t>
        </is>
      </c>
      <c r="D321" t="inlineStr">
        <is>
          <t>كلا الفترتين</t>
        </is>
      </c>
      <c r="E321" t="n">
        <v>1291</v>
      </c>
      <c r="F321" t="b">
        <v>0</v>
      </c>
      <c r="G321">
        <f>HYPERLINK("https://www.google.com/maps/search/?api=1&amp;query=23.25306255,44.64946744", "View Map")</f>
        <v/>
      </c>
    </row>
    <row r="322">
      <c r="A322" t="inlineStr">
        <is>
          <t xml:space="preserve">      مسجد/حمود ناصر الجهيمى .</t>
        </is>
      </c>
      <c r="B322" t="inlineStr">
        <is>
          <t>KFM2020766152309</t>
        </is>
      </c>
      <c r="C322" t="inlineStr">
        <is>
          <t>ضرما</t>
        </is>
      </c>
      <c r="D322" t="inlineStr">
        <is>
          <t>كلا الفترتين</t>
        </is>
      </c>
      <c r="E322" t="n">
        <v>1290</v>
      </c>
      <c r="F322" t="b">
        <v>0</v>
      </c>
      <c r="G322">
        <f>HYPERLINK("https://www.google.com/maps/search/?api=1&amp;query=24.49870293,46.13917281", "View Map")</f>
        <v/>
      </c>
    </row>
    <row r="323">
      <c r="A323" t="inlineStr">
        <is>
          <t xml:space="preserve">   اوقاف الرين / مسجدالرضوان .</t>
        </is>
      </c>
      <c r="B323" t="inlineStr">
        <is>
          <t>AES2120896571700</t>
        </is>
      </c>
      <c r="C323" t="inlineStr">
        <is>
          <t>الرين</t>
        </is>
      </c>
      <c r="D323" t="inlineStr">
        <is>
          <t>كلا الفترتين</t>
        </is>
      </c>
      <c r="E323" t="n">
        <v>1287</v>
      </c>
      <c r="F323" t="b">
        <v>0</v>
      </c>
      <c r="G323">
        <f>HYPERLINK("https://www.google.com/maps/search/?api=1&amp;query=23.34092367,45.25286413", "View Map")</f>
        <v/>
      </c>
    </row>
    <row r="324">
      <c r="A324" t="inlineStr">
        <is>
          <t xml:space="preserve">   اوقاف الرين/مسجد ابن وقيان .</t>
        </is>
      </c>
      <c r="B324" t="inlineStr">
        <is>
          <t>AES2020896528097</t>
        </is>
      </c>
      <c r="C324" t="inlineStr">
        <is>
          <t>الرين</t>
        </is>
      </c>
      <c r="D324" t="inlineStr">
        <is>
          <t>كلا الفترتين</t>
        </is>
      </c>
      <c r="E324" t="n">
        <v>1284</v>
      </c>
      <c r="F324" t="b">
        <v>0</v>
      </c>
      <c r="G324">
        <f>HYPERLINK("https://www.google.com/maps/search/?api=1&amp;query=23.63128899,45.29929992", "View Map")</f>
        <v/>
      </c>
    </row>
    <row r="325">
      <c r="A325" t="inlineStr">
        <is>
          <t xml:space="preserve">   اوقاف القويعيه مسجد جامع قيران .</t>
        </is>
      </c>
      <c r="B325" t="inlineStr">
        <is>
          <t>SMR2320661028083</t>
        </is>
      </c>
      <c r="C325" t="inlineStr">
        <is>
          <t>الرين</t>
        </is>
      </c>
      <c r="D325" t="inlineStr">
        <is>
          <t>كلا الفترتين</t>
        </is>
      </c>
      <c r="E325" t="n">
        <v>1280</v>
      </c>
      <c r="F325" t="b">
        <v>0</v>
      </c>
      <c r="G325">
        <f>HYPERLINK("https://www.google.com/maps/search/?api=1&amp;query=22.75861218,44.39511158", "View Map")</f>
        <v/>
      </c>
    </row>
    <row r="326">
      <c r="A326" t="inlineStr">
        <is>
          <t xml:space="preserve">       مسجد فهم بالسالميه .</t>
        </is>
      </c>
      <c r="B326" t="inlineStr">
        <is>
          <t>AES2020896471745</t>
        </is>
      </c>
      <c r="C326" t="inlineStr">
        <is>
          <t>القويعية</t>
        </is>
      </c>
      <c r="D326" t="inlineStr">
        <is>
          <t>كلا الفترتين</t>
        </is>
      </c>
      <c r="E326" t="n">
        <v>1279</v>
      </c>
      <c r="F326" t="b">
        <v>0</v>
      </c>
      <c r="G326">
        <f>HYPERLINK("https://www.google.com/maps/search/?api=1&amp;query=24.33329118,45.78963676", "View Map")</f>
        <v/>
      </c>
    </row>
    <row r="327">
      <c r="A327" t="inlineStr">
        <is>
          <t xml:space="preserve">   مسجد/سعودبن فهدبن عبدالعزيز .</t>
        </is>
      </c>
      <c r="B327" t="inlineStr">
        <is>
          <t>KFM2020760203346</t>
        </is>
      </c>
      <c r="C327" t="inlineStr">
        <is>
          <t>ضرما</t>
        </is>
      </c>
      <c r="D327" t="inlineStr">
        <is>
          <t>كلا الفترتين</t>
        </is>
      </c>
      <c r="E327" t="n">
        <v>1277</v>
      </c>
      <c r="F327" t="b">
        <v>0</v>
      </c>
      <c r="G327">
        <f>HYPERLINK("https://www.google.com/maps/search/?api=1&amp;query=24.53325093,46.13602671", "View Map")</f>
        <v/>
      </c>
    </row>
    <row r="328">
      <c r="A328" t="inlineStr">
        <is>
          <t xml:space="preserve">     جامع  مسجد عين الصوينع .</t>
        </is>
      </c>
      <c r="B328" t="inlineStr">
        <is>
          <t>KFM2020660173225</t>
        </is>
      </c>
      <c r="C328" t="inlineStr">
        <is>
          <t>الدوادمي</t>
        </is>
      </c>
      <c r="D328" t="inlineStr">
        <is>
          <t>كلا الفترتين</t>
        </is>
      </c>
      <c r="E328" t="n">
        <v>1276</v>
      </c>
      <c r="F328" t="b">
        <v>1</v>
      </c>
      <c r="G328">
        <f>HYPERLINK("https://www.google.com/maps/search/?api=1&amp;query=25.45096778,44.42772427", "View Map")</f>
        <v/>
      </c>
    </row>
    <row r="329">
      <c r="A329" t="inlineStr">
        <is>
          <t xml:space="preserve">   اوقاف الحصاة/مسجدمخطط وادي الركا .</t>
        </is>
      </c>
      <c r="B329" t="inlineStr">
        <is>
          <t>AES2120896536265</t>
        </is>
      </c>
      <c r="C329" t="inlineStr">
        <is>
          <t>الرين</t>
        </is>
      </c>
      <c r="D329" t="inlineStr">
        <is>
          <t>كلا الفترتين</t>
        </is>
      </c>
      <c r="E329" t="n">
        <v>1275</v>
      </c>
      <c r="F329" t="b">
        <v>0</v>
      </c>
      <c r="G329">
        <f>HYPERLINK("https://www.google.com/maps/search/?api=1&amp;query=22.48780746,44.5087281", "View Map")</f>
        <v/>
      </c>
    </row>
    <row r="330">
      <c r="A330" t="inlineStr">
        <is>
          <t xml:space="preserve">   مسجدابو حنيفة م851/ رقم (32)عفيف .</t>
        </is>
      </c>
      <c r="B330" t="inlineStr">
        <is>
          <t>KFM2120660265128</t>
        </is>
      </c>
      <c r="C330" t="inlineStr">
        <is>
          <t>عفيف</t>
        </is>
      </c>
      <c r="D330" t="inlineStr">
        <is>
          <t>كلا الفترتين</t>
        </is>
      </c>
      <c r="E330" t="n">
        <v>1274</v>
      </c>
      <c r="F330" t="b">
        <v>0</v>
      </c>
      <c r="G330">
        <f>HYPERLINK("https://www.google.com/maps/search/?api=1&amp;query=23.88145787,42.88846746", "View Map")</f>
        <v/>
      </c>
    </row>
    <row r="331">
      <c r="A331" t="inlineStr">
        <is>
          <t xml:space="preserve">   اوقاف الحصاة/مسجدمويسل .</t>
        </is>
      </c>
      <c r="B331" t="inlineStr">
        <is>
          <t>AEC2020830562267</t>
        </is>
      </c>
      <c r="C331" t="inlineStr">
        <is>
          <t>القويعية</t>
        </is>
      </c>
      <c r="D331" t="inlineStr">
        <is>
          <t>كلا الفترتين</t>
        </is>
      </c>
      <c r="E331" t="n">
        <v>1273</v>
      </c>
      <c r="F331" t="b">
        <v>0</v>
      </c>
      <c r="G331">
        <f>HYPERLINK("https://www.google.com/maps/search/?api=1&amp;query=22.59503046,44.67905066", "View Map")</f>
        <v/>
      </c>
    </row>
    <row r="332">
      <c r="A332" t="inlineStr">
        <is>
          <t xml:space="preserve">   اوقاف الرين مسجد الضيغمية .</t>
        </is>
      </c>
      <c r="B332" t="inlineStr">
        <is>
          <t>KFM2020766167726</t>
        </is>
      </c>
      <c r="C332" t="inlineStr">
        <is>
          <t>الرين</t>
        </is>
      </c>
      <c r="D332" t="inlineStr">
        <is>
          <t>كلا الفترتين</t>
        </is>
      </c>
      <c r="E332" t="n">
        <v>1272</v>
      </c>
      <c r="F332" t="b">
        <v>0</v>
      </c>
      <c r="G332">
        <f>HYPERLINK("https://www.google.com/maps/search/?api=1&amp;query=23.56112708,45.60324459", "View Map")</f>
        <v/>
      </c>
    </row>
    <row r="333">
      <c r="A333" t="inlineStr">
        <is>
          <t>ﻭﺯﺍﺭﺓﺍﻻﻭﻗﺎﻑ ـ ﺍﻭﻗﺎﻑ ﻋﻓﻴﻑ .</t>
        </is>
      </c>
      <c r="B333" t="inlineStr">
        <is>
          <t>ECC2420841079718</t>
        </is>
      </c>
      <c r="C333" t="inlineStr">
        <is>
          <t>عفيف</t>
        </is>
      </c>
      <c r="D333" t="inlineStr">
        <is>
          <t>كلا الفترتين</t>
        </is>
      </c>
      <c r="E333" t="n">
        <v>1266</v>
      </c>
      <c r="F333" t="b">
        <v>1</v>
      </c>
      <c r="G333">
        <f>HYPERLINK("https://www.google.com/maps/search/?api=1&amp;query=23.91826117,42.93859601", "View Map")</f>
        <v/>
      </c>
    </row>
    <row r="334">
      <c r="A334" t="inlineStr">
        <is>
          <t xml:space="preserve">        مسجد   المرقبيه .</t>
        </is>
      </c>
      <c r="B334" t="inlineStr">
        <is>
          <t>AES2120896585388</t>
        </is>
      </c>
      <c r="C334" t="inlineStr">
        <is>
          <t>الدوادمي</t>
        </is>
      </c>
      <c r="D334" t="inlineStr">
        <is>
          <t>كلا الفترتين</t>
        </is>
      </c>
      <c r="E334" t="n">
        <v>1265</v>
      </c>
      <c r="F334" t="b">
        <v>0</v>
      </c>
      <c r="G334">
        <f>HYPERLINK("https://www.google.com/maps/search/?api=1&amp;query=25.01227312,43.5215894", "View Map")</f>
        <v/>
      </c>
    </row>
    <row r="335">
      <c r="A335" t="inlineStr">
        <is>
          <t xml:space="preserve">   الاوقاف    جامع      العنان .</t>
        </is>
      </c>
      <c r="B335" t="inlineStr">
        <is>
          <t>AES2120896552472</t>
        </is>
      </c>
      <c r="C335" t="inlineStr">
        <is>
          <t>القويعية</t>
        </is>
      </c>
      <c r="D335" t="inlineStr">
        <is>
          <t>كلا الفترتين</t>
        </is>
      </c>
      <c r="E335" t="n">
        <v>1265</v>
      </c>
      <c r="F335" t="b">
        <v>0</v>
      </c>
      <c r="G335">
        <f>HYPERLINK("https://www.google.com/maps/search/?api=1&amp;query=23.85230047,45.33289949", "View Map")</f>
        <v/>
      </c>
    </row>
    <row r="336">
      <c r="A336" t="inlineStr">
        <is>
          <t>ﻭﺯﺍﺭﺓﺍﻻﻭﻗﺎﻑ ـ ﺍﻭﻗﺎﻑ ﺍﻟﺩﻭﺍﺩﻤﻲ .</t>
        </is>
      </c>
      <c r="B336" t="inlineStr">
        <is>
          <t>KFM2020660172346</t>
        </is>
      </c>
      <c r="C336" t="inlineStr">
        <is>
          <t>الدوادمي</t>
        </is>
      </c>
      <c r="D336" t="inlineStr">
        <is>
          <t>كلا الفترتين</t>
        </is>
      </c>
      <c r="E336" t="n">
        <v>1264</v>
      </c>
      <c r="F336" t="b">
        <v>0</v>
      </c>
      <c r="G336">
        <f>HYPERLINK("https://www.google.com/maps/search/?api=1&amp;query=24.5408922,44.41220806", "View Map")</f>
        <v/>
      </c>
    </row>
    <row r="337">
      <c r="A337" t="inlineStr">
        <is>
          <t xml:space="preserve">   اوفاف الحصاة/ مسجد برودان القديم .</t>
        </is>
      </c>
      <c r="B337" t="inlineStr">
        <is>
          <t>KFM2020766154991</t>
        </is>
      </c>
      <c r="C337" t="inlineStr">
        <is>
          <t>الرين</t>
        </is>
      </c>
      <c r="D337" t="inlineStr">
        <is>
          <t>كلا الفترتين</t>
        </is>
      </c>
      <c r="E337" t="n">
        <v>1263</v>
      </c>
      <c r="F337" t="b">
        <v>0</v>
      </c>
      <c r="G337">
        <f>HYPERLINK("https://www.google.com/maps/search/?api=1&amp;query=22.5225554,45.08737836", "View Map")</f>
        <v/>
      </c>
    </row>
    <row r="338">
      <c r="A338" t="inlineStr">
        <is>
          <t xml:space="preserve">   مسجد بن مشنوطه .</t>
        </is>
      </c>
      <c r="B338" t="inlineStr">
        <is>
          <t>KFM2020760149222</t>
        </is>
      </c>
      <c r="C338" t="inlineStr">
        <is>
          <t>الدوادمي</t>
        </is>
      </c>
      <c r="D338" t="inlineStr">
        <is>
          <t>كلا الفترتين</t>
        </is>
      </c>
      <c r="E338" t="n">
        <v>1263</v>
      </c>
      <c r="F338" t="b">
        <v>0</v>
      </c>
      <c r="G338">
        <f>HYPERLINK("https://www.google.com/maps/search/?api=1&amp;query=25.26241282,44.21773332", "View Map")</f>
        <v/>
      </c>
    </row>
    <row r="339">
      <c r="A339" t="inlineStr">
        <is>
          <t xml:space="preserve">   مسجد/مسفر حنيف  القحطاني .</t>
        </is>
      </c>
      <c r="B339" t="inlineStr">
        <is>
          <t>AES2120896612181</t>
        </is>
      </c>
      <c r="C339" t="inlineStr">
        <is>
          <t>القويعية</t>
        </is>
      </c>
      <c r="D339" t="inlineStr">
        <is>
          <t>كلا الفترتين</t>
        </is>
      </c>
      <c r="E339" t="n">
        <v>1260</v>
      </c>
      <c r="F339" t="b">
        <v>0</v>
      </c>
      <c r="G339">
        <f>HYPERLINK("https://www.google.com/maps/search/?api=1&amp;query=23.25990736,44.64970997", "View Map")</f>
        <v/>
      </c>
    </row>
    <row r="340">
      <c r="A340" t="inlineStr">
        <is>
          <t>ﻭﺯﺍﺭﺓﺍﻻﻭﻗﺎﻑ ـ ﺍﻭﻗﺎﻑ ﺴﺎﺠﺭ .</t>
        </is>
      </c>
      <c r="B340" t="inlineStr">
        <is>
          <t>KFM2120660241406</t>
        </is>
      </c>
      <c r="C340" t="inlineStr">
        <is>
          <t>الدوادمي</t>
        </is>
      </c>
      <c r="D340" t="inlineStr">
        <is>
          <t>كلا الفترتين</t>
        </is>
      </c>
      <c r="E340" t="n">
        <v>1256</v>
      </c>
      <c r="F340" t="b">
        <v>0</v>
      </c>
      <c r="G340">
        <f>HYPERLINK("https://www.google.com/maps/search/?api=1&amp;query=25.20792934,44.59124785", "View Map")</f>
        <v/>
      </c>
    </row>
    <row r="341">
      <c r="A341" t="inlineStr">
        <is>
          <t>ﺍﻭﻗﺎﻑ ﻭﻤﺴﺎﺠﺩ ﺍﻟﻤﺯﺍﺤﻤﻴﻩ .</t>
        </is>
      </c>
      <c r="B341" t="inlineStr">
        <is>
          <t>AES2020896523796</t>
        </is>
      </c>
      <c r="C341" t="inlineStr">
        <is>
          <t>المزاحمية</t>
        </is>
      </c>
      <c r="D341" t="inlineStr">
        <is>
          <t>كلا الفترتين</t>
        </is>
      </c>
      <c r="E341" t="n">
        <v>1251</v>
      </c>
      <c r="F341" t="b">
        <v>0</v>
      </c>
      <c r="G341">
        <f>HYPERLINK("https://www.google.com/maps/search/?api=1&amp;query=24.45845423,46.26727099", "View Map")</f>
        <v/>
      </c>
    </row>
    <row r="342">
      <c r="A342" t="inlineStr">
        <is>
          <t xml:space="preserve">      مسجد الحزيميه .</t>
        </is>
      </c>
      <c r="B342" t="inlineStr">
        <is>
          <t>KFM2020766075887</t>
        </is>
      </c>
      <c r="C342" t="inlineStr">
        <is>
          <t>المزاحمية</t>
        </is>
      </c>
      <c r="D342" t="inlineStr">
        <is>
          <t>كلا الفترتين</t>
        </is>
      </c>
      <c r="E342" t="n">
        <v>1246</v>
      </c>
      <c r="F342" t="b">
        <v>0</v>
      </c>
      <c r="G342">
        <f>HYPERLINK("https://www.google.com/maps/search/?api=1&amp;query=24.47994898,46.29202814", "View Map")</f>
        <v/>
      </c>
    </row>
    <row r="343">
      <c r="A343" t="inlineStr">
        <is>
          <t xml:space="preserve">   جامع      الأرطاوي   الشمالي .</t>
        </is>
      </c>
      <c r="B343" t="inlineStr">
        <is>
          <t>KFM2120660265013</t>
        </is>
      </c>
      <c r="C343" t="inlineStr">
        <is>
          <t>القويعية</t>
        </is>
      </c>
      <c r="D343" t="inlineStr">
        <is>
          <t>كلا الفترتين</t>
        </is>
      </c>
      <c r="E343" t="n">
        <v>1244</v>
      </c>
      <c r="F343" t="b">
        <v>0</v>
      </c>
      <c r="G343">
        <f>HYPERLINK("https://www.google.com/maps/search/?api=1&amp;query=23.41699307,44.93941507", "View Map")</f>
        <v/>
      </c>
    </row>
    <row r="344">
      <c r="A344" t="inlineStr">
        <is>
          <t xml:space="preserve">      مسجد محمد بن بداح .</t>
        </is>
      </c>
      <c r="B344" t="inlineStr">
        <is>
          <t>KFM2020760051317</t>
        </is>
      </c>
      <c r="C344" t="inlineStr">
        <is>
          <t>الدوادمي</t>
        </is>
      </c>
      <c r="D344" t="inlineStr">
        <is>
          <t>كلا الفترتين</t>
        </is>
      </c>
      <c r="E344" t="n">
        <v>1243</v>
      </c>
      <c r="F344" t="b">
        <v>0</v>
      </c>
      <c r="G344">
        <f>HYPERLINK("https://www.google.com/maps/search/?api=1&amp;query=24.53636425,44.27916263", "View Map")</f>
        <v/>
      </c>
    </row>
    <row r="345">
      <c r="A345" t="inlineStr">
        <is>
          <t>ﺃﻭﻗﺎﻑ ﻭﻤﺴﺎﺠﺩ ﺍﻟﻗﻭﻴﻌﻴﻩ .</t>
        </is>
      </c>
      <c r="B345" t="inlineStr">
        <is>
          <t>LYE2020830037340</t>
        </is>
      </c>
      <c r="C345" t="inlineStr">
        <is>
          <t>القويعية</t>
        </is>
      </c>
      <c r="D345" t="inlineStr">
        <is>
          <t>كلا الفترتين</t>
        </is>
      </c>
      <c r="E345" t="n">
        <v>1242</v>
      </c>
      <c r="F345" t="b">
        <v>0</v>
      </c>
      <c r="G345">
        <f>HYPERLINK("https://www.google.com/maps/search/?api=1&amp;query=24.07626638,45.30074534", "View Map")</f>
        <v/>
      </c>
    </row>
    <row r="346">
      <c r="A346" t="inlineStr">
        <is>
          <t xml:space="preserve">   اوقاف الزاحميه .</t>
        </is>
      </c>
      <c r="B346" t="inlineStr">
        <is>
          <t>AES2120896546232</t>
        </is>
      </c>
      <c r="C346" t="inlineStr">
        <is>
          <t>القويعية</t>
        </is>
      </c>
      <c r="D346" t="inlineStr">
        <is>
          <t>كلا الفترتين</t>
        </is>
      </c>
      <c r="E346" t="n">
        <v>1242</v>
      </c>
      <c r="F346" t="b">
        <v>0</v>
      </c>
      <c r="G346">
        <f>HYPERLINK("https://www.google.com/maps/search/?api=1&amp;query=24.41826514,45.71191409", "View Map")</f>
        <v/>
      </c>
    </row>
    <row r="347">
      <c r="A347" t="inlineStr">
        <is>
          <t xml:space="preserve">   مسجدعبدالرحمن الشنيفي حي الاوبيرق .</t>
        </is>
      </c>
      <c r="B347" t="inlineStr">
        <is>
          <t>KFM2020660158808</t>
        </is>
      </c>
      <c r="C347" t="inlineStr">
        <is>
          <t>ضرما</t>
        </is>
      </c>
      <c r="D347" t="inlineStr">
        <is>
          <t>كلا الفترتين</t>
        </is>
      </c>
      <c r="E347" t="n">
        <v>1241</v>
      </c>
      <c r="F347" t="b">
        <v>1</v>
      </c>
      <c r="G347">
        <f>HYPERLINK("https://www.google.com/maps/search/?api=1&amp;query=24.61397403,46.10444194", "View Map")</f>
        <v/>
      </c>
    </row>
    <row r="348">
      <c r="A348" t="inlineStr">
        <is>
          <t xml:space="preserve">      مسجد .</t>
        </is>
      </c>
      <c r="B348" t="inlineStr">
        <is>
          <t>KFM2020660208413</t>
        </is>
      </c>
      <c r="C348" t="inlineStr">
        <is>
          <t>الدوادمي</t>
        </is>
      </c>
      <c r="D348" t="inlineStr">
        <is>
          <t>كلا الفترتين</t>
        </is>
      </c>
      <c r="E348" t="n">
        <v>1236</v>
      </c>
      <c r="F348" t="b">
        <v>0</v>
      </c>
      <c r="G348">
        <f>HYPERLINK("https://www.google.com/maps/search/?api=1&amp;query=25.06669122,44.70053791", "View Map")</f>
        <v/>
      </c>
    </row>
    <row r="349">
      <c r="A349" t="inlineStr">
        <is>
          <t xml:space="preserve">   اوقاف القويعيه - حماد فهد غيث .</t>
        </is>
      </c>
      <c r="B349" t="inlineStr">
        <is>
          <t>AES2020896462832</t>
        </is>
      </c>
      <c r="C349" t="inlineStr">
        <is>
          <t>الرين</t>
        </is>
      </c>
      <c r="D349" t="inlineStr">
        <is>
          <t>كلا الفترتين</t>
        </is>
      </c>
      <c r="E349" t="n">
        <v>1236</v>
      </c>
      <c r="F349" t="b">
        <v>0</v>
      </c>
      <c r="G349">
        <f>HYPERLINK("https://www.google.com/maps/search/?api=1&amp;query=22.61213618,45.06822492", "View Map")</f>
        <v/>
      </c>
    </row>
    <row r="350">
      <c r="A350" t="inlineStr">
        <is>
          <t>ﻭﺯﺍﺭﺓﺍﻻﻭﻗﺎﻑ _ﺍﻭﻗﺎﻑ ﺍﻟﺠﻤﺵ .</t>
        </is>
      </c>
      <c r="B350" t="inlineStr">
        <is>
          <t>DZG2020850053515</t>
        </is>
      </c>
      <c r="C350" t="inlineStr">
        <is>
          <t>الدوادمي</t>
        </is>
      </c>
      <c r="D350" t="inlineStr">
        <is>
          <t>كلا الفترتين</t>
        </is>
      </c>
      <c r="E350" t="n">
        <v>1236</v>
      </c>
      <c r="F350" t="b">
        <v>0</v>
      </c>
      <c r="G350">
        <f>HYPERLINK("https://www.google.com/maps/search/?api=1&amp;query=24.69517765,43.70745903", "View Map")</f>
        <v/>
      </c>
    </row>
    <row r="351">
      <c r="A351" t="inlineStr">
        <is>
          <t xml:space="preserve">   مسجد   جامع   قرية  ثرب        0 .</t>
        </is>
      </c>
      <c r="B351" t="inlineStr">
        <is>
          <t>KFM2020660209839</t>
        </is>
      </c>
      <c r="C351" t="inlineStr">
        <is>
          <t>المهد</t>
        </is>
      </c>
      <c r="D351" t="inlineStr">
        <is>
          <t>كلا الفترتين</t>
        </is>
      </c>
      <c r="E351" t="n">
        <v>1235</v>
      </c>
      <c r="F351" t="b">
        <v>1</v>
      </c>
      <c r="G351">
        <f>HYPERLINK("https://www.google.com/maps/search/?api=1&amp;query=24.23117298,41.73661888", "View Map")</f>
        <v/>
      </c>
    </row>
    <row r="352">
      <c r="A352" t="inlineStr">
        <is>
          <t xml:space="preserve">   مسجد/عسيلة غرب .</t>
        </is>
      </c>
      <c r="B352" t="inlineStr">
        <is>
          <t>KFM2120660265113</t>
        </is>
      </c>
      <c r="C352" t="inlineStr">
        <is>
          <t>الدوادمي</t>
        </is>
      </c>
      <c r="D352" t="inlineStr">
        <is>
          <t>كلا الفترتين</t>
        </is>
      </c>
      <c r="E352" t="n">
        <v>1235</v>
      </c>
      <c r="F352" t="b">
        <v>0</v>
      </c>
      <c r="G352">
        <f>HYPERLINK("https://www.google.com/maps/search/?api=1&amp;query=25.10616019,44.67717816", "View Map")</f>
        <v/>
      </c>
    </row>
    <row r="353">
      <c r="A353" t="inlineStr">
        <is>
          <t xml:space="preserve">   المسجد    الجامع    بوادي عصيل .</t>
        </is>
      </c>
      <c r="B353" t="inlineStr">
        <is>
          <t>KFM2020660192488</t>
        </is>
      </c>
      <c r="C353" t="inlineStr">
        <is>
          <t>القويعية</t>
        </is>
      </c>
      <c r="D353" t="inlineStr">
        <is>
          <t>كلا الفترتين</t>
        </is>
      </c>
      <c r="E353" t="n">
        <v>1234</v>
      </c>
      <c r="F353" t="b">
        <v>1</v>
      </c>
      <c r="G353">
        <f>HYPERLINK("https://www.google.com/maps/search/?api=1&amp;query=23.6103233,44.4867038", "View Map")</f>
        <v/>
      </c>
    </row>
    <row r="354">
      <c r="A354" t="inlineStr">
        <is>
          <t>مسجد الجابرية .</t>
        </is>
      </c>
      <c r="B354" t="inlineStr">
        <is>
          <t>KFM2020766162505</t>
        </is>
      </c>
      <c r="C354" t="inlineStr">
        <is>
          <t>القويعية</t>
        </is>
      </c>
      <c r="D354" t="inlineStr">
        <is>
          <t>كلا الفترتين</t>
        </is>
      </c>
      <c r="E354" t="n">
        <v>1234</v>
      </c>
      <c r="F354" t="b">
        <v>0</v>
      </c>
      <c r="G354">
        <f>HYPERLINK("https://www.google.com/maps/search/?api=1&amp;query=24.30419788,45.82768897", "View Map")</f>
        <v/>
      </c>
    </row>
    <row r="355">
      <c r="A355" t="inlineStr">
        <is>
          <t xml:space="preserve">   مسجد التوحيد .</t>
        </is>
      </c>
      <c r="B355" t="inlineStr">
        <is>
          <t>KFM2020766096078</t>
        </is>
      </c>
      <c r="C355" t="inlineStr">
        <is>
          <t>الدوادمي</t>
        </is>
      </c>
      <c r="D355" t="inlineStr">
        <is>
          <t>كلا الفترتين</t>
        </is>
      </c>
      <c r="E355" t="n">
        <v>1226</v>
      </c>
      <c r="F355" t="b">
        <v>0</v>
      </c>
      <c r="G355">
        <f>HYPERLINK("https://www.google.com/maps/search/?api=1&amp;query=25.06963126,44.69718296", "View Map")</f>
        <v/>
      </c>
    </row>
    <row r="356">
      <c r="A356" t="inlineStr">
        <is>
          <t xml:space="preserve">   مسجدصقرة/غرب الطريق العام .</t>
        </is>
      </c>
      <c r="B356" t="inlineStr">
        <is>
          <t>AES2120896537718</t>
        </is>
      </c>
      <c r="C356" t="inlineStr">
        <is>
          <t>الدوادمي</t>
        </is>
      </c>
      <c r="D356" t="inlineStr">
        <is>
          <t>كلا الفترتين</t>
        </is>
      </c>
      <c r="E356" t="n">
        <v>1221</v>
      </c>
      <c r="F356" t="b">
        <v>0</v>
      </c>
      <c r="G356">
        <f>HYPERLINK("https://www.google.com/maps/search/?api=1&amp;query=24.31091066,43.72977028", "View Map")</f>
        <v/>
      </c>
    </row>
    <row r="357">
      <c r="A357" t="inlineStr">
        <is>
          <t xml:space="preserve">   مسجد/حي العلوة بالقرين .</t>
        </is>
      </c>
      <c r="B357" t="inlineStr">
        <is>
          <t>KFM2020766102060</t>
        </is>
      </c>
      <c r="C357" t="inlineStr">
        <is>
          <t>الدوادمي</t>
        </is>
      </c>
      <c r="D357" t="inlineStr">
        <is>
          <t>كلا الفترتين</t>
        </is>
      </c>
      <c r="E357" t="n">
        <v>1219</v>
      </c>
      <c r="F357" t="b">
        <v>0</v>
      </c>
      <c r="G357">
        <f>HYPERLINK("https://www.google.com/maps/search/?api=1&amp;query=24.7146553,43.76642967", "View Map")</f>
        <v/>
      </c>
    </row>
    <row r="358">
      <c r="A358" t="inlineStr">
        <is>
          <t xml:space="preserve">   اوقاف القويعيه ـ المسجد الشمالي .</t>
        </is>
      </c>
      <c r="B358" t="inlineStr">
        <is>
          <t>AES2020896299786</t>
        </is>
      </c>
      <c r="C358" t="inlineStr">
        <is>
          <t>القويعية</t>
        </is>
      </c>
      <c r="D358" t="inlineStr">
        <is>
          <t>كلا الفترتين</t>
        </is>
      </c>
      <c r="E358" t="n">
        <v>1218</v>
      </c>
      <c r="F358" t="b">
        <v>0</v>
      </c>
      <c r="G358">
        <f>HYPERLINK("https://www.google.com/maps/search/?api=1&amp;query=24.27453971,45.18168505", "View Map")</f>
        <v/>
      </c>
    </row>
    <row r="359">
      <c r="A359" t="inlineStr">
        <is>
          <t>ﺍﻭﻗﺎﻑ ﻭﻤﺴﺎﺠﺩ ﺍﻟﺭﻴﻥ .</t>
        </is>
      </c>
      <c r="B359" t="inlineStr">
        <is>
          <t>KFM2020766163530</t>
        </is>
      </c>
      <c r="C359" t="inlineStr">
        <is>
          <t>الرين</t>
        </is>
      </c>
      <c r="D359" t="inlineStr">
        <is>
          <t>كلا الفترتين</t>
        </is>
      </c>
      <c r="E359" t="n">
        <v>1218</v>
      </c>
      <c r="F359" t="b">
        <v>0</v>
      </c>
      <c r="G359">
        <f>HYPERLINK("https://www.google.com/maps/search/?api=1&amp;query=23.28722765,45.58563223", "View Map")</f>
        <v/>
      </c>
    </row>
    <row r="360">
      <c r="A360" t="inlineStr">
        <is>
          <t>ﻭﺯﺍﺭﺓﺍﻷﻭﻗﺎﻑ _ ﺍﻭﻗﺎﻑ ﺍﻟﺭﻭﻴﻀﻩ .</t>
        </is>
      </c>
      <c r="B360" t="inlineStr">
        <is>
          <t>SMR2320761031276</t>
        </is>
      </c>
      <c r="C360" t="inlineStr">
        <is>
          <t>القويعية</t>
        </is>
      </c>
      <c r="D360" t="inlineStr">
        <is>
          <t>كلا الفترتين</t>
        </is>
      </c>
      <c r="E360" t="n">
        <v>1214</v>
      </c>
      <c r="F360" t="b">
        <v>0</v>
      </c>
      <c r="G360">
        <f>HYPERLINK("https://www.google.com/maps/search/?api=1&amp;query=23.78397548,44.78167713", "View Map")</f>
        <v/>
      </c>
    </row>
    <row r="361">
      <c r="A361" t="inlineStr">
        <is>
          <t xml:space="preserve">   مسجد عفريه - اوقاف المزاحميه .</t>
        </is>
      </c>
      <c r="B361" t="inlineStr">
        <is>
          <t>KFM2020766066292</t>
        </is>
      </c>
      <c r="C361" t="inlineStr">
        <is>
          <t>القويعية</t>
        </is>
      </c>
      <c r="D361" t="inlineStr">
        <is>
          <t>كلا الفترتين</t>
        </is>
      </c>
      <c r="E361" t="n">
        <v>1213</v>
      </c>
      <c r="F361" t="b">
        <v>1</v>
      </c>
      <c r="G361">
        <f>HYPERLINK("https://www.google.com/maps/search/?api=1&amp;query=24.55576503,45.68443363", "View Map")</f>
        <v/>
      </c>
    </row>
    <row r="362">
      <c r="A362" t="inlineStr">
        <is>
          <t xml:space="preserve">   أوقاف الرين .</t>
        </is>
      </c>
      <c r="B362" t="inlineStr">
        <is>
          <t>AES2020896373937</t>
        </is>
      </c>
      <c r="C362" t="inlineStr">
        <is>
          <t>الرين</t>
        </is>
      </c>
      <c r="D362" t="inlineStr">
        <is>
          <t>كلا الفترتين</t>
        </is>
      </c>
      <c r="E362" t="n">
        <v>1211</v>
      </c>
      <c r="F362" t="b">
        <v>0</v>
      </c>
      <c r="G362">
        <f>HYPERLINK("https://www.google.com/maps/search/?api=1&amp;query=23.54869278,45.47526191", "View Map")</f>
        <v/>
      </c>
    </row>
    <row r="363">
      <c r="A363" t="inlineStr">
        <is>
          <t xml:space="preserve">     مـسـجـد الجزع (اوقاف القويعيه) .</t>
        </is>
      </c>
      <c r="B363" t="inlineStr">
        <is>
          <t>AES2020896468011</t>
        </is>
      </c>
      <c r="C363" t="inlineStr">
        <is>
          <t>الرين</t>
        </is>
      </c>
      <c r="D363" t="inlineStr">
        <is>
          <t>كلا الفترتين</t>
        </is>
      </c>
      <c r="E363" t="n">
        <v>1209</v>
      </c>
      <c r="F363" t="b">
        <v>0</v>
      </c>
      <c r="G363">
        <f>HYPERLINK("https://www.google.com/maps/search/?api=1&amp;query=23.5482424,45.47887658", "View Map")</f>
        <v/>
      </c>
    </row>
    <row r="364">
      <c r="A364" t="inlineStr">
        <is>
          <t xml:space="preserve">   مسجدقريةالبطين زبن رحيم العضياني .</t>
        </is>
      </c>
      <c r="B364" t="inlineStr">
        <is>
          <t>AES2020896441489</t>
        </is>
      </c>
      <c r="C364" t="inlineStr">
        <is>
          <t>الدوادمي</t>
        </is>
      </c>
      <c r="D364" t="inlineStr">
        <is>
          <t>كلا الفترتين</t>
        </is>
      </c>
      <c r="E364" t="n">
        <v>1208</v>
      </c>
      <c r="F364" t="b">
        <v>0</v>
      </c>
      <c r="G364">
        <f>HYPERLINK("https://www.google.com/maps/search/?api=1&amp;query=24.20917421,43.3479982", "View Map")</f>
        <v/>
      </c>
    </row>
    <row r="365">
      <c r="A365" t="inlineStr">
        <is>
          <t>ﺃﻭﻗﺎﻑ ﻭﻤﺴﺎﺠﺩ ﺍﻟﻗﻭﻴﻌﻴﻩ .</t>
        </is>
      </c>
      <c r="B365" t="inlineStr">
        <is>
          <t>GTR2420895401548</t>
        </is>
      </c>
      <c r="C365" t="inlineStr">
        <is>
          <t>الرين</t>
        </is>
      </c>
      <c r="D365" t="inlineStr">
        <is>
          <t>كلا الفترتين</t>
        </is>
      </c>
      <c r="E365" t="n">
        <v>1206</v>
      </c>
      <c r="F365" t="b">
        <v>0</v>
      </c>
      <c r="G365">
        <f>HYPERLINK("https://www.google.com/maps/search/?api=1&amp;query=22.51474677,44.79891135", "View Map")</f>
        <v/>
      </c>
    </row>
    <row r="366">
      <c r="A366" t="inlineStr">
        <is>
          <t xml:space="preserve">   مسجد/ العنود محمد  الزامل .</t>
        </is>
      </c>
      <c r="B366" t="inlineStr">
        <is>
          <t>AES2120896535607</t>
        </is>
      </c>
      <c r="C366" t="inlineStr">
        <is>
          <t>المزاحمية</t>
        </is>
      </c>
      <c r="D366" t="inlineStr">
        <is>
          <t>كلا الفترتين</t>
        </is>
      </c>
      <c r="E366" t="n">
        <v>1206</v>
      </c>
      <c r="F366" t="b">
        <v>0</v>
      </c>
      <c r="G366">
        <f>HYPERLINK("https://www.google.com/maps/search/?api=1&amp;query=24.46051,46.27504", "View Map")</f>
        <v/>
      </c>
    </row>
    <row r="367">
      <c r="A367" t="inlineStr">
        <is>
          <t>مسجدالشيخ سعد       ال ثنيان .</t>
        </is>
      </c>
      <c r="B367" t="inlineStr">
        <is>
          <t>KFM2020660200311</t>
        </is>
      </c>
      <c r="C367" t="inlineStr">
        <is>
          <t>المزاحمية</t>
        </is>
      </c>
      <c r="D367" t="inlineStr">
        <is>
          <t>كلا الفترتين</t>
        </is>
      </c>
      <c r="E367" t="n">
        <v>1200</v>
      </c>
      <c r="F367" t="b">
        <v>0</v>
      </c>
      <c r="G367">
        <f>HYPERLINK("https://www.google.com/maps/search/?api=1&amp;query=24.48222178,46.26497088", "View Map")</f>
        <v/>
      </c>
    </row>
    <row r="368">
      <c r="A368" t="inlineStr">
        <is>
          <t xml:space="preserve">   اوقاف القويعيةمسجدالتوحيدبالربوه .</t>
        </is>
      </c>
      <c r="B368" t="inlineStr">
        <is>
          <t>KFM2020660050239</t>
        </is>
      </c>
      <c r="C368" t="inlineStr">
        <is>
          <t>القويعية</t>
        </is>
      </c>
      <c r="D368" t="inlineStr">
        <is>
          <t>كلا الفترتين</t>
        </is>
      </c>
      <c r="E368" t="n">
        <v>1199</v>
      </c>
      <c r="F368" t="b">
        <v>0</v>
      </c>
      <c r="G368">
        <f>HYPERLINK("https://www.google.com/maps/search/?api=1&amp;query=24.07596081,45.2990933", "View Map")</f>
        <v/>
      </c>
    </row>
    <row r="369">
      <c r="A369" t="inlineStr">
        <is>
          <t xml:space="preserve">    مـسـجـد الوفراه(اوقاف القويعيه) .</t>
        </is>
      </c>
      <c r="B369" t="inlineStr">
        <is>
          <t>AES2120896539394</t>
        </is>
      </c>
      <c r="C369" t="inlineStr">
        <is>
          <t>الرين</t>
        </is>
      </c>
      <c r="D369" t="inlineStr">
        <is>
          <t>كلا الفترتين</t>
        </is>
      </c>
      <c r="E369" t="n">
        <v>1196</v>
      </c>
      <c r="F369" t="b">
        <v>0</v>
      </c>
      <c r="G369">
        <f>HYPERLINK("https://www.google.com/maps/search/?api=1&amp;query=23.54912626,45.51715621", "View Map")</f>
        <v/>
      </c>
    </row>
    <row r="370">
      <c r="A370" t="inlineStr">
        <is>
          <t xml:space="preserve">   اوقاف القويعيه مسجدفرعة الروضه .</t>
        </is>
      </c>
      <c r="B370" t="inlineStr">
        <is>
          <t>SMR2020856052061</t>
        </is>
      </c>
      <c r="C370" t="inlineStr">
        <is>
          <t>القويعية</t>
        </is>
      </c>
      <c r="D370" t="inlineStr">
        <is>
          <t>كلا الفترتين</t>
        </is>
      </c>
      <c r="E370" t="n">
        <v>1192</v>
      </c>
      <c r="F370" t="b">
        <v>0</v>
      </c>
      <c r="G370">
        <f>HYPERLINK("https://www.google.com/maps/search/?api=1&amp;query=23.82978216,45.64601368", "View Map")</f>
        <v/>
      </c>
    </row>
    <row r="371">
      <c r="A371" t="inlineStr">
        <is>
          <t>وقاف القويعيه .</t>
        </is>
      </c>
      <c r="B371" t="inlineStr">
        <is>
          <t>KFM2120660240457</t>
        </is>
      </c>
      <c r="C371" t="inlineStr">
        <is>
          <t>القويعية</t>
        </is>
      </c>
      <c r="D371" t="inlineStr">
        <is>
          <t>كلا الفترتين</t>
        </is>
      </c>
      <c r="E371" t="n">
        <v>1190</v>
      </c>
      <c r="F371" t="b">
        <v>0</v>
      </c>
      <c r="G371">
        <f>HYPERLINK("https://www.google.com/maps/search/?api=1&amp;query=24.08258881,45.3255726", "View Map")</f>
        <v/>
      </c>
    </row>
    <row r="372">
      <c r="A372" t="inlineStr">
        <is>
          <t xml:space="preserve">   مسجد/     حنس       الكرشمي .</t>
        </is>
      </c>
      <c r="B372" t="inlineStr">
        <is>
          <t>AES2020896446116</t>
        </is>
      </c>
      <c r="C372" t="inlineStr">
        <is>
          <t>الدوادمي</t>
        </is>
      </c>
      <c r="D372" t="inlineStr">
        <is>
          <t>كلا الفترتين</t>
        </is>
      </c>
      <c r="E372" t="n">
        <v>1188</v>
      </c>
      <c r="F372" t="b">
        <v>0</v>
      </c>
      <c r="G372">
        <f>HYPERLINK("https://www.google.com/maps/search/?api=1&amp;query=24.81573066,43.60415136", "View Map")</f>
        <v/>
      </c>
    </row>
    <row r="373">
      <c r="A373" t="inlineStr">
        <is>
          <t xml:space="preserve">   اوقاف المزاحميه/مسجدالعماير .</t>
        </is>
      </c>
      <c r="B373" t="inlineStr">
        <is>
          <t>GTR2320890757489</t>
        </is>
      </c>
      <c r="C373" t="inlineStr">
        <is>
          <t>القويعية</t>
        </is>
      </c>
      <c r="D373" t="inlineStr">
        <is>
          <t>كلا الفترتين</t>
        </is>
      </c>
      <c r="E373" t="n">
        <v>1184</v>
      </c>
      <c r="F373" t="b">
        <v>0</v>
      </c>
      <c r="G373">
        <f>HYPERLINK("https://www.google.com/maps/search/?api=1&amp;query=24.46845405,45.74127366", "View Map")</f>
        <v/>
      </c>
    </row>
    <row r="374">
      <c r="A374" t="inlineStr">
        <is>
          <t>مسجد الصهيب الجديد             . .</t>
        </is>
      </c>
      <c r="B374" t="inlineStr">
        <is>
          <t>KFM2020766093713</t>
        </is>
      </c>
      <c r="C374" t="inlineStr">
        <is>
          <t>عفيف</t>
        </is>
      </c>
      <c r="D374" t="inlineStr">
        <is>
          <t>كلا الفترتين</t>
        </is>
      </c>
      <c r="E374" t="n">
        <v>1182</v>
      </c>
      <c r="F374" t="b">
        <v>0</v>
      </c>
      <c r="G374">
        <f>HYPERLINK("https://www.google.com/maps/search/?api=1&amp;query=23.9101412,42.903208", "View Map")</f>
        <v/>
      </c>
    </row>
    <row r="375">
      <c r="A375" t="inlineStr">
        <is>
          <t xml:space="preserve">   مسجد      جامع      الحدباء .</t>
        </is>
      </c>
      <c r="B375" t="inlineStr">
        <is>
          <t>KFM2020766086281</t>
        </is>
      </c>
      <c r="C375" t="inlineStr">
        <is>
          <t>الدوادمي</t>
        </is>
      </c>
      <c r="D375" t="inlineStr">
        <is>
          <t>كلا الفترتين</t>
        </is>
      </c>
      <c r="E375" t="n">
        <v>1180</v>
      </c>
      <c r="F375" t="b">
        <v>0</v>
      </c>
      <c r="G375">
        <f>HYPERLINK("https://www.google.com/maps/search/?api=1&amp;query=24.71060743,43.67882326", "View Map")</f>
        <v/>
      </c>
    </row>
    <row r="376">
      <c r="A376" t="inlineStr">
        <is>
          <t>وزارة الاوقاف .</t>
        </is>
      </c>
      <c r="B376" t="inlineStr">
        <is>
          <t>AEC2020830030263</t>
        </is>
      </c>
      <c r="C376" t="inlineStr">
        <is>
          <t>الدوادمي</t>
        </is>
      </c>
      <c r="D376" t="inlineStr">
        <is>
          <t>كلا الفترتين</t>
        </is>
      </c>
      <c r="E376" t="n">
        <v>1180</v>
      </c>
      <c r="F376" t="b">
        <v>0</v>
      </c>
      <c r="G376">
        <f>HYPERLINK("https://www.google.com/maps/search/?api=1&amp;query=24.54301349,43.58684846", "View Map")</f>
        <v/>
      </c>
    </row>
    <row r="377">
      <c r="A377" t="inlineStr">
        <is>
          <t xml:space="preserve">      مسجد بنهريس .</t>
        </is>
      </c>
      <c r="B377" t="inlineStr">
        <is>
          <t>AES2020896527388</t>
        </is>
      </c>
      <c r="C377" t="inlineStr">
        <is>
          <t>ضرما</t>
        </is>
      </c>
      <c r="D377" t="inlineStr">
        <is>
          <t>كلا الفترتين</t>
        </is>
      </c>
      <c r="E377" t="n">
        <v>1176</v>
      </c>
      <c r="F377" t="b">
        <v>0</v>
      </c>
      <c r="G377">
        <f>HYPERLINK("https://www.google.com/maps/search/?api=1&amp;query=24.59843146,46.13351142", "View Map")</f>
        <v/>
      </c>
    </row>
    <row r="378">
      <c r="A378" t="inlineStr">
        <is>
          <t xml:space="preserve">   مسجد نايفية مخيط .</t>
        </is>
      </c>
      <c r="B378" t="inlineStr">
        <is>
          <t>AES2020896438328</t>
        </is>
      </c>
      <c r="C378" t="inlineStr">
        <is>
          <t>عفيف</t>
        </is>
      </c>
      <c r="D378" t="inlineStr">
        <is>
          <t>كلا الفترتين</t>
        </is>
      </c>
      <c r="E378" t="n">
        <v>1174</v>
      </c>
      <c r="F378" t="b">
        <v>0</v>
      </c>
      <c r="G378">
        <f>HYPERLINK("https://www.google.com/maps/search/?api=1&amp;query=24.31319167,42.77989", "View Map")</f>
        <v/>
      </c>
    </row>
    <row r="379">
      <c r="A379" t="inlineStr">
        <is>
          <t xml:space="preserve">   مسجد      بن تيمية  المروج .</t>
        </is>
      </c>
      <c r="B379" t="inlineStr">
        <is>
          <t>KFM2020660225566</t>
        </is>
      </c>
      <c r="C379" t="inlineStr">
        <is>
          <t>المزاحمية</t>
        </is>
      </c>
      <c r="D379" t="inlineStr">
        <is>
          <t>كلا الفترتين</t>
        </is>
      </c>
      <c r="E379" t="n">
        <v>1173</v>
      </c>
      <c r="F379" t="b">
        <v>0</v>
      </c>
      <c r="G379">
        <f>HYPERLINK("https://www.google.com/maps/search/?api=1&amp;query=24.47706295,46.27303775", "View Map")</f>
        <v/>
      </c>
    </row>
    <row r="380">
      <c r="A380" t="inlineStr">
        <is>
          <t xml:space="preserve"> اوقاف المزاحميه/ مسجد هجره العناديه .</t>
        </is>
      </c>
      <c r="B380" t="inlineStr">
        <is>
          <t>KFM2020660233169</t>
        </is>
      </c>
      <c r="C380" t="inlineStr">
        <is>
          <t>المزاحمية</t>
        </is>
      </c>
      <c r="D380" t="inlineStr">
        <is>
          <t>كلا الفترتين</t>
        </is>
      </c>
      <c r="E380" t="n">
        <v>1169</v>
      </c>
      <c r="F380" t="b">
        <v>0</v>
      </c>
      <c r="G380">
        <f>HYPERLINK("https://www.google.com/maps/search/?api=1&amp;query=24.49387947,45.82209246", "View Map")</f>
        <v/>
      </c>
    </row>
    <row r="381">
      <c r="A381" t="inlineStr">
        <is>
          <t xml:space="preserve">   مسجد المستجده الجامع .</t>
        </is>
      </c>
      <c r="B381" t="inlineStr">
        <is>
          <t>KFM2020766077051</t>
        </is>
      </c>
      <c r="C381" t="inlineStr">
        <is>
          <t>الدوادمي</t>
        </is>
      </c>
      <c r="D381" t="inlineStr">
        <is>
          <t>كلا الفترتين</t>
        </is>
      </c>
      <c r="E381" t="n">
        <v>1168</v>
      </c>
      <c r="F381" t="b">
        <v>0</v>
      </c>
      <c r="G381">
        <f>HYPERLINK("https://www.google.com/maps/search/?api=1&amp;query=24.50983412,43.78630565", "View Map")</f>
        <v/>
      </c>
    </row>
    <row r="382">
      <c r="A382" t="inlineStr">
        <is>
          <t xml:space="preserve">   مسجد      ابن سويد  //////////// .</t>
        </is>
      </c>
      <c r="B382" t="inlineStr">
        <is>
          <t>AES2020896446051</t>
        </is>
      </c>
      <c r="C382" t="inlineStr">
        <is>
          <t>الدوادمي</t>
        </is>
      </c>
      <c r="D382" t="inlineStr">
        <is>
          <t>كلا الفترتين</t>
        </is>
      </c>
      <c r="E382" t="n">
        <v>1168</v>
      </c>
      <c r="F382" t="b">
        <v>0</v>
      </c>
      <c r="G382">
        <f>HYPERLINK("https://www.google.com/maps/search/?api=1&amp;query=24.86204555,43.80042127", "View Map")</f>
        <v/>
      </c>
    </row>
    <row r="383">
      <c r="A383" t="inlineStr">
        <is>
          <t>أوقاف ومساجد القويعيه .</t>
        </is>
      </c>
      <c r="B383" t="inlineStr">
        <is>
          <t>AES2020896462729</t>
        </is>
      </c>
      <c r="C383" t="inlineStr">
        <is>
          <t>الرين</t>
        </is>
      </c>
      <c r="D383" t="inlineStr">
        <is>
          <t>مساءا</t>
        </is>
      </c>
      <c r="E383" t="n">
        <v>1167</v>
      </c>
      <c r="F383" t="b">
        <v>0</v>
      </c>
      <c r="G383">
        <f>HYPERLINK("https://www.google.com/maps/search/?api=1&amp;query=22.61255931,45.06739983", "View Map")</f>
        <v/>
      </c>
    </row>
    <row r="384">
      <c r="A384" t="inlineStr">
        <is>
          <t xml:space="preserve">   اوقاف القويعية مسجد ام حرمل .</t>
        </is>
      </c>
      <c r="B384" t="inlineStr">
        <is>
          <t>AES2120896546361</t>
        </is>
      </c>
      <c r="C384" t="inlineStr">
        <is>
          <t>القويعية</t>
        </is>
      </c>
      <c r="D384" t="inlineStr">
        <is>
          <t>كلا الفترتين</t>
        </is>
      </c>
      <c r="E384" t="n">
        <v>1162</v>
      </c>
      <c r="F384" t="b">
        <v>0</v>
      </c>
      <c r="G384">
        <f>HYPERLINK("https://www.google.com/maps/search/?api=1&amp;query=24.10567892,45.3408084", "View Map")</f>
        <v/>
      </c>
    </row>
    <row r="385">
      <c r="A385" t="inlineStr">
        <is>
          <t xml:space="preserve">   مسجدجامع النغر .</t>
        </is>
      </c>
      <c r="B385" t="inlineStr">
        <is>
          <t>AES2020896532699</t>
        </is>
      </c>
      <c r="C385" t="inlineStr">
        <is>
          <t>الرين</t>
        </is>
      </c>
      <c r="D385" t="inlineStr">
        <is>
          <t>كلا الفترتين</t>
        </is>
      </c>
      <c r="E385" t="n">
        <v>1161</v>
      </c>
      <c r="F385" t="b">
        <v>0</v>
      </c>
      <c r="G385">
        <f>HYPERLINK("https://www.google.com/maps/search/?api=1&amp;query=22.72430293,44.88148387", "View Map")</f>
        <v/>
      </c>
    </row>
    <row r="386">
      <c r="A386" t="inlineStr">
        <is>
          <t xml:space="preserve">   مسجد أبوبكر الصديق .</t>
        </is>
      </c>
      <c r="B386" t="inlineStr">
        <is>
          <t>AES2020896447429</t>
        </is>
      </c>
      <c r="C386" t="inlineStr">
        <is>
          <t>الدوادمي</t>
        </is>
      </c>
      <c r="D386" t="inlineStr">
        <is>
          <t>كلا الفترتين</t>
        </is>
      </c>
      <c r="E386" t="n">
        <v>1160</v>
      </c>
      <c r="F386" t="b">
        <v>0</v>
      </c>
      <c r="G386">
        <f>HYPERLINK("https://www.google.com/maps/search/?api=1&amp;query=24.77385839,43.69834094", "View Map")</f>
        <v/>
      </c>
    </row>
    <row r="387">
      <c r="A387" t="inlineStr">
        <is>
          <t xml:space="preserve">   مسجد .</t>
        </is>
      </c>
      <c r="B387" t="inlineStr">
        <is>
          <t>KFM2020660192382</t>
        </is>
      </c>
      <c r="C387" t="inlineStr">
        <is>
          <t>الدوادمي</t>
        </is>
      </c>
      <c r="D387" t="inlineStr">
        <is>
          <t>كلا الفترتين</t>
        </is>
      </c>
      <c r="E387" t="n">
        <v>1159</v>
      </c>
      <c r="F387" t="b">
        <v>0</v>
      </c>
      <c r="G387">
        <f>HYPERLINK("https://www.google.com/maps/search/?api=1&amp;query=24.56569688,44.44488161", "View Map")</f>
        <v/>
      </c>
    </row>
    <row r="388">
      <c r="A388" t="inlineStr">
        <is>
          <t xml:space="preserve">   مسجد      ال شايع   بصبحاء .</t>
        </is>
      </c>
      <c r="B388" t="inlineStr">
        <is>
          <t>MMF2220801085448</t>
        </is>
      </c>
      <c r="C388" t="inlineStr">
        <is>
          <t>القويعية</t>
        </is>
      </c>
      <c r="D388" t="inlineStr">
        <is>
          <t>كلا الفترتين</t>
        </is>
      </c>
      <c r="E388" t="n">
        <v>1157</v>
      </c>
      <c r="F388" t="b">
        <v>0</v>
      </c>
      <c r="G388">
        <f>HYPERLINK("https://www.google.com/maps/search/?api=1&amp;query=23.26244133,44.64854909", "View Map")</f>
        <v/>
      </c>
    </row>
    <row r="389">
      <c r="A389" t="inlineStr">
        <is>
          <t xml:space="preserve">   مسجد/     عقاب      الدلبحي .</t>
        </is>
      </c>
      <c r="B389" t="inlineStr">
        <is>
          <t>KFM2020766086220</t>
        </is>
      </c>
      <c r="C389" t="inlineStr">
        <is>
          <t>الدوادمي</t>
        </is>
      </c>
      <c r="D389" t="inlineStr">
        <is>
          <t>كلا الفترتين</t>
        </is>
      </c>
      <c r="E389" t="n">
        <v>1156</v>
      </c>
      <c r="F389" t="b">
        <v>0</v>
      </c>
      <c r="G389">
        <f>HYPERLINK("https://www.google.com/maps/search/?api=1&amp;query=24.66476194,43.66649705", "View Map")</f>
        <v/>
      </c>
    </row>
    <row r="390">
      <c r="A390" t="inlineStr">
        <is>
          <t xml:space="preserve">   مسجد      هارون     حي الا ندلس .</t>
        </is>
      </c>
      <c r="B390" t="inlineStr">
        <is>
          <t>KFM2020660209348</t>
        </is>
      </c>
      <c r="C390" t="inlineStr">
        <is>
          <t>المزاحمية</t>
        </is>
      </c>
      <c r="D390" t="inlineStr">
        <is>
          <t>كلا الفترتين</t>
        </is>
      </c>
      <c r="E390" t="n">
        <v>1155</v>
      </c>
      <c r="F390" t="b">
        <v>0</v>
      </c>
      <c r="G390">
        <f>HYPERLINK("https://www.google.com/maps/search/?api=1&amp;query=24.46402186,46.27714305", "View Map")</f>
        <v/>
      </c>
    </row>
    <row r="391">
      <c r="A391" t="inlineStr">
        <is>
          <t xml:space="preserve">      الاوقاف مسجد ام سريحه .</t>
        </is>
      </c>
      <c r="B391" t="inlineStr">
        <is>
          <t>SMR2020850048732</t>
        </is>
      </c>
      <c r="C391" t="inlineStr">
        <is>
          <t>القويعية</t>
        </is>
      </c>
      <c r="D391" t="inlineStr">
        <is>
          <t>كلا الفترتين</t>
        </is>
      </c>
      <c r="E391" t="n">
        <v>1153</v>
      </c>
      <c r="F391" t="b">
        <v>0</v>
      </c>
      <c r="G391">
        <f>HYPERLINK("https://www.google.com/maps/search/?api=1&amp;query=24.04319253,45.25161055", "View Map")</f>
        <v/>
      </c>
    </row>
    <row r="392">
      <c r="A392" t="inlineStr">
        <is>
          <t xml:space="preserve">   جامع البرود الجديد .</t>
        </is>
      </c>
      <c r="B392" t="inlineStr">
        <is>
          <t>KFM2020660202854</t>
        </is>
      </c>
      <c r="C392" t="inlineStr">
        <is>
          <t>الدوادمي</t>
        </is>
      </c>
      <c r="D392" t="inlineStr">
        <is>
          <t>كلا الفترتين</t>
        </is>
      </c>
      <c r="E392" t="n">
        <v>1151</v>
      </c>
      <c r="F392" t="b">
        <v>0</v>
      </c>
      <c r="G392">
        <f>HYPERLINK("https://www.google.com/maps/search/?api=1&amp;query=25.07899236,44.61324798", "View Map")</f>
        <v/>
      </c>
    </row>
    <row r="393">
      <c r="A393" t="inlineStr">
        <is>
          <t>ﺃﻭﻗﺎﻑ ﻭﻤﺴﺎﺠﺩ ﺍﻟﻗﻭﻴﻌﻴﻩ .</t>
        </is>
      </c>
      <c r="B393" t="inlineStr">
        <is>
          <t>AES2020896400892</t>
        </is>
      </c>
      <c r="C393" t="inlineStr">
        <is>
          <t>القويعية</t>
        </is>
      </c>
      <c r="D393" t="inlineStr">
        <is>
          <t>كلا الفترتين</t>
        </is>
      </c>
      <c r="E393" t="n">
        <v>1150</v>
      </c>
      <c r="F393" t="b">
        <v>0</v>
      </c>
      <c r="G393">
        <f>HYPERLINK("https://www.google.com/maps/search/?api=1&amp;query=24.34626391,45.8062911", "View Map")</f>
        <v/>
      </c>
    </row>
    <row r="394">
      <c r="A394" t="inlineStr">
        <is>
          <t xml:space="preserve">   مسجد مشرفه .</t>
        </is>
      </c>
      <c r="B394" t="inlineStr">
        <is>
          <t>KFM2020766099570</t>
        </is>
      </c>
      <c r="C394" t="inlineStr">
        <is>
          <t>الدوادمي</t>
        </is>
      </c>
      <c r="D394" t="inlineStr">
        <is>
          <t>كلا الفترتين</t>
        </is>
      </c>
      <c r="E394" t="n">
        <v>1148</v>
      </c>
      <c r="F394" t="b">
        <v>0</v>
      </c>
      <c r="G394">
        <f>HYPERLINK("https://www.google.com/maps/search/?api=1&amp;query=24.28682192,43.73175809", "View Map")</f>
        <v/>
      </c>
    </row>
    <row r="395">
      <c r="A395" t="inlineStr">
        <is>
          <t xml:space="preserve">    مـسـجـد الشفاء (اوقاف القويعيه) .</t>
        </is>
      </c>
      <c r="B395" t="inlineStr">
        <is>
          <t>AES2020896467925</t>
        </is>
      </c>
      <c r="C395" t="inlineStr">
        <is>
          <t>الرين</t>
        </is>
      </c>
      <c r="D395" t="inlineStr">
        <is>
          <t>كلا الفترتين</t>
        </is>
      </c>
      <c r="E395" t="n">
        <v>1147</v>
      </c>
      <c r="F395" t="b">
        <v>0</v>
      </c>
      <c r="G395">
        <f>HYPERLINK("https://www.google.com/maps/search/?api=1&amp;query=23.49517153,45.522449", "View Map")</f>
        <v/>
      </c>
    </row>
    <row r="396">
      <c r="A396" t="inlineStr">
        <is>
          <t xml:space="preserve">   مسجدأبوبكرالصديق .</t>
        </is>
      </c>
      <c r="B396" t="inlineStr">
        <is>
          <t>KFM2020766090281</t>
        </is>
      </c>
      <c r="C396" t="inlineStr">
        <is>
          <t>الدوادمي</t>
        </is>
      </c>
      <c r="D396" t="inlineStr">
        <is>
          <t>كلا الفترتين</t>
        </is>
      </c>
      <c r="E396" t="n">
        <v>1147</v>
      </c>
      <c r="F396" t="b">
        <v>1</v>
      </c>
      <c r="G396">
        <f>HYPERLINK("https://www.google.com/maps/search/?api=1&amp;query=25.19333282,44.59811952", "View Map")</f>
        <v/>
      </c>
    </row>
    <row r="397">
      <c r="A397" t="inlineStr">
        <is>
          <t>ﻭﺯﺍﺭﺓﺍﻻﻭﻗﺎﻑ ـ ﺍﻭﻗﺎﻑ ﺍﻟﺩﻭﺍﺩﻤﻲ .</t>
        </is>
      </c>
      <c r="B397" t="inlineStr">
        <is>
          <t>KFM2020660171148</t>
        </is>
      </c>
      <c r="C397" t="inlineStr">
        <is>
          <t>الدوادمي</t>
        </is>
      </c>
      <c r="D397" t="inlineStr">
        <is>
          <t>كلا الفترتين</t>
        </is>
      </c>
      <c r="E397" t="n">
        <v>1146</v>
      </c>
      <c r="F397" t="b">
        <v>0</v>
      </c>
      <c r="G397">
        <f>HYPERLINK("https://www.google.com/maps/search/?api=1&amp;query=24.61838167,44.07259833", "View Map")</f>
        <v/>
      </c>
    </row>
    <row r="398">
      <c r="A398" t="inlineStr">
        <is>
          <t xml:space="preserve">   مسجد عبدالرحمن بن عوف .</t>
        </is>
      </c>
      <c r="B398" t="inlineStr">
        <is>
          <t>KFM2020766090311</t>
        </is>
      </c>
      <c r="C398" t="inlineStr">
        <is>
          <t>الدوادمي</t>
        </is>
      </c>
      <c r="D398" t="inlineStr">
        <is>
          <t>كلا الفترتين</t>
        </is>
      </c>
      <c r="E398" t="n">
        <v>1146</v>
      </c>
      <c r="F398" t="b">
        <v>1</v>
      </c>
      <c r="G398">
        <f>HYPERLINK("https://www.google.com/maps/search/?api=1&amp;query=25.18699055,44.58080549", "View Map")</f>
        <v/>
      </c>
    </row>
    <row r="399">
      <c r="A399" t="inlineStr">
        <is>
          <t xml:space="preserve">   مسجد/حمادة جبلة .</t>
        </is>
      </c>
      <c r="B399" t="inlineStr">
        <is>
          <t>AES2020896446732</t>
        </is>
      </c>
      <c r="C399" t="inlineStr">
        <is>
          <t>الدوادمي</t>
        </is>
      </c>
      <c r="D399" t="inlineStr">
        <is>
          <t>كلا الفترتين</t>
        </is>
      </c>
      <c r="E399" t="n">
        <v>1146</v>
      </c>
      <c r="F399" t="b">
        <v>0</v>
      </c>
      <c r="G399">
        <f>HYPERLINK("https://www.google.com/maps/search/?api=1&amp;query=24.81194067,43.80421887", "View Map")</f>
        <v/>
      </c>
    </row>
    <row r="400">
      <c r="A400" t="inlineStr">
        <is>
          <t xml:space="preserve">   المسجد الجنوبى ـ اوقاف القويعيه .</t>
        </is>
      </c>
      <c r="B400" t="inlineStr">
        <is>
          <t>AES2020896460910</t>
        </is>
      </c>
      <c r="C400" t="inlineStr">
        <is>
          <t>الرين</t>
        </is>
      </c>
      <c r="D400" t="inlineStr">
        <is>
          <t>كلا الفترتين</t>
        </is>
      </c>
      <c r="E400" t="n">
        <v>1145</v>
      </c>
      <c r="F400" t="b">
        <v>0</v>
      </c>
      <c r="G400">
        <f>HYPERLINK("https://www.google.com/maps/search/?api=1&amp;query=22.81362301,45.41484123", "View Map")</f>
        <v/>
      </c>
    </row>
    <row r="401">
      <c r="A401" t="inlineStr">
        <is>
          <t>وزارةالا وقاف اوقاف عفيف .</t>
        </is>
      </c>
      <c r="B401" t="inlineStr">
        <is>
          <t>KFM2020660171100</t>
        </is>
      </c>
      <c r="C401" t="inlineStr">
        <is>
          <t>عفيف</t>
        </is>
      </c>
      <c r="D401" t="inlineStr">
        <is>
          <t>كلا الفترتين</t>
        </is>
      </c>
      <c r="E401" t="n">
        <v>1145</v>
      </c>
      <c r="F401" t="b">
        <v>0</v>
      </c>
      <c r="G401">
        <f>HYPERLINK("https://www.google.com/maps/search/?api=1&amp;query=24.14780953,43.22879394", "View Map")</f>
        <v/>
      </c>
    </row>
    <row r="402">
      <c r="A402" t="inlineStr">
        <is>
          <t xml:space="preserve">   اوقاف القويعيه /جامع الامار .</t>
        </is>
      </c>
      <c r="B402" t="inlineStr">
        <is>
          <t>KFM2020760140460</t>
        </is>
      </c>
      <c r="C402" t="inlineStr">
        <is>
          <t>القويعية</t>
        </is>
      </c>
      <c r="D402" t="inlineStr">
        <is>
          <t>كلا الفترتين</t>
        </is>
      </c>
      <c r="E402" t="n">
        <v>1142</v>
      </c>
      <c r="F402" t="b">
        <v>0</v>
      </c>
      <c r="G402">
        <f>HYPERLINK("https://www.google.com/maps/search/?api=1&amp;query=23.764479,45.08108117", "View Map")</f>
        <v/>
      </c>
    </row>
    <row r="403">
      <c r="A403" t="inlineStr">
        <is>
          <t xml:space="preserve">   مسجد ام الطلح ـ اوقاف المزاحميه .</t>
        </is>
      </c>
      <c r="B403" t="inlineStr">
        <is>
          <t>KFM2020660225483</t>
        </is>
      </c>
      <c r="C403" t="inlineStr">
        <is>
          <t>القويعية</t>
        </is>
      </c>
      <c r="D403" t="inlineStr">
        <is>
          <t>كلا الفترتين</t>
        </is>
      </c>
      <c r="E403" t="n">
        <v>1142</v>
      </c>
      <c r="F403" t="b">
        <v>0</v>
      </c>
      <c r="G403">
        <f>HYPERLINK("https://www.google.com/maps/search/?api=1&amp;query=24.39985146,45.84711054", "View Map")</f>
        <v/>
      </c>
    </row>
    <row r="404">
      <c r="A404" t="inlineStr">
        <is>
          <t xml:space="preserve">   جامع  التسرير .</t>
        </is>
      </c>
      <c r="B404" t="inlineStr">
        <is>
          <t>KFM2020660131275</t>
        </is>
      </c>
      <c r="C404" t="inlineStr">
        <is>
          <t>الدوادمي</t>
        </is>
      </c>
      <c r="D404" t="inlineStr">
        <is>
          <t>كلا الفترتين</t>
        </is>
      </c>
      <c r="E404" t="n">
        <v>1140</v>
      </c>
      <c r="F404" t="b">
        <v>0</v>
      </c>
      <c r="G404">
        <f>HYPERLINK("https://www.google.com/maps/search/?api=1&amp;query=25.08225566,44.28410885", "View Map")</f>
        <v/>
      </c>
    </row>
    <row r="405">
      <c r="A405" t="inlineStr">
        <is>
          <t xml:space="preserve">   جامع      السيحاني  //////////// .</t>
        </is>
      </c>
      <c r="B405" t="inlineStr">
        <is>
          <t>KFM2020660204112</t>
        </is>
      </c>
      <c r="C405" t="inlineStr">
        <is>
          <t>الدوادمي</t>
        </is>
      </c>
      <c r="D405" t="inlineStr">
        <is>
          <t>كلا الفترتين</t>
        </is>
      </c>
      <c r="E405" t="n">
        <v>1140</v>
      </c>
      <c r="F405" t="b">
        <v>1</v>
      </c>
      <c r="G405">
        <f>HYPERLINK("https://www.google.com/maps/search/?api=1&amp;query=24.53277053,44.4336796", "View Map")</f>
        <v/>
      </c>
    </row>
    <row r="406">
      <c r="A406" t="inlineStr">
        <is>
          <t>ﻭﺯﺍﺭﺓﺍﻻﻭﻗﺎﻑ ـ ﺍﻭﻗﺎﻑ ﺍﻟﺩﻭﺍﺩﻤﻲ .</t>
        </is>
      </c>
      <c r="B406" t="inlineStr">
        <is>
          <t>AEC2020830564390</t>
        </is>
      </c>
      <c r="C406" t="inlineStr">
        <is>
          <t>الدوادمي</t>
        </is>
      </c>
      <c r="D406" t="inlineStr">
        <is>
          <t>كلا الفترتين</t>
        </is>
      </c>
      <c r="E406" t="n">
        <v>1139</v>
      </c>
      <c r="F406" t="b">
        <v>1</v>
      </c>
      <c r="G406">
        <f>HYPERLINK("https://www.google.com/maps/search/?api=1&amp;query=24.95639376,43.9318159", "View Map")</f>
        <v/>
      </c>
    </row>
    <row r="407">
      <c r="A407" t="inlineStr">
        <is>
          <t>ﻭﺯﺍﺭﺓﺍﻻﻭﻗﺎﻑ _ﺍﻭﻗﺎﻑ ﺍﻟﺠﻤﺵ .</t>
        </is>
      </c>
      <c r="B407" t="inlineStr">
        <is>
          <t>KFM2020660172901</t>
        </is>
      </c>
      <c r="C407" t="inlineStr">
        <is>
          <t>الدوادمي</t>
        </is>
      </c>
      <c r="D407" t="inlineStr">
        <is>
          <t>كلا الفترتين</t>
        </is>
      </c>
      <c r="E407" t="n">
        <v>1137</v>
      </c>
      <c r="F407" t="b">
        <v>1</v>
      </c>
      <c r="G407">
        <f>HYPERLINK("https://www.google.com/maps/search/?api=1&amp;query=24.72213032,43.79925855", "View Map")</f>
        <v/>
      </c>
    </row>
    <row r="408">
      <c r="A408" t="inlineStr">
        <is>
          <t xml:space="preserve">      مسجد الرفيعه بالسر .</t>
        </is>
      </c>
      <c r="B408" t="inlineStr">
        <is>
          <t>KFM2020660204489</t>
        </is>
      </c>
      <c r="C408" t="inlineStr">
        <is>
          <t>الدوادمي</t>
        </is>
      </c>
      <c r="D408" t="inlineStr">
        <is>
          <t>كلا الفترتين</t>
        </is>
      </c>
      <c r="E408" t="n">
        <v>1134</v>
      </c>
      <c r="F408" t="b">
        <v>1</v>
      </c>
      <c r="G408">
        <f>HYPERLINK("https://www.google.com/maps/search/?api=1&amp;query=25.16181981,44.58827158", "View Map")</f>
        <v/>
      </c>
    </row>
    <row r="409">
      <c r="A409" t="inlineStr">
        <is>
          <t>ﻭﺯﺍﺭﺓﺍﻻﻭﻗﺎﻑ _ ﺍﻭﻗﺎﻑ ﺍﻟﺒﺠﺎﺩﻴﻩ .</t>
        </is>
      </c>
      <c r="B409" t="inlineStr">
        <is>
          <t>KFM2120660252064</t>
        </is>
      </c>
      <c r="C409" t="inlineStr">
        <is>
          <t>الدوادمي</t>
        </is>
      </c>
      <c r="D409" t="inlineStr">
        <is>
          <t>كلا الفترتين</t>
        </is>
      </c>
      <c r="E409" t="n">
        <v>1134</v>
      </c>
      <c r="F409" t="b">
        <v>0</v>
      </c>
      <c r="G409">
        <f>HYPERLINK("https://www.google.com/maps/search/?api=1&amp;query=24.33848034,43.86157832", "View Map")</f>
        <v/>
      </c>
    </row>
    <row r="410">
      <c r="A410" t="inlineStr">
        <is>
          <t>ﻭﺯﺍﺭﺓﺍﻻﻭﻗﺎﻑ ـ ﺍﻭﻗﺎﻑ ﺍﻟﺩﻭﺍﺩﻤﻲ .</t>
        </is>
      </c>
      <c r="B410" t="inlineStr">
        <is>
          <t>KFM2020660176323</t>
        </is>
      </c>
      <c r="C410" t="inlineStr">
        <is>
          <t>الدوادمي</t>
        </is>
      </c>
      <c r="D410" t="inlineStr">
        <is>
          <t>كلا الفترتين</t>
        </is>
      </c>
      <c r="E410" t="n">
        <v>1133</v>
      </c>
      <c r="F410" t="b">
        <v>1</v>
      </c>
      <c r="G410">
        <f>HYPERLINK("https://www.google.com/maps/search/?api=1&amp;query=24.53293944,44.40189975", "View Map")</f>
        <v/>
      </c>
    </row>
    <row r="411">
      <c r="A411" t="inlineStr">
        <is>
          <t xml:space="preserve">   مسجد      اسامة     زيد .</t>
        </is>
      </c>
      <c r="B411" t="inlineStr">
        <is>
          <t>KFM2020660161309</t>
        </is>
      </c>
      <c r="C411" t="inlineStr">
        <is>
          <t>القويعية</t>
        </is>
      </c>
      <c r="D411" t="inlineStr">
        <is>
          <t>كلا الفترتين</t>
        </is>
      </c>
      <c r="E411" t="n">
        <v>1133</v>
      </c>
      <c r="F411" t="b">
        <v>0</v>
      </c>
      <c r="G411">
        <f>HYPERLINK("https://www.google.com/maps/search/?api=1&amp;query=24.08997225,45.30382836", "View Map")</f>
        <v/>
      </c>
    </row>
    <row r="412">
      <c r="A412" t="inlineStr">
        <is>
          <t xml:space="preserve">   جامع  مسجد  قرية  اليوسفية ثرب 0 .</t>
        </is>
      </c>
      <c r="B412" t="inlineStr">
        <is>
          <t>SMR2320761022542</t>
        </is>
      </c>
      <c r="C412" t="inlineStr">
        <is>
          <t>المهد</t>
        </is>
      </c>
      <c r="D412" t="inlineStr">
        <is>
          <t>كلا الفترتين</t>
        </is>
      </c>
      <c r="E412" t="n">
        <v>1132</v>
      </c>
      <c r="F412" t="b">
        <v>0</v>
      </c>
      <c r="G412">
        <f>HYPERLINK("https://www.google.com/maps/search/?api=1&amp;query=24.20984616,41.97424905", "View Map")</f>
        <v/>
      </c>
    </row>
    <row r="413">
      <c r="A413" t="inlineStr">
        <is>
          <t xml:space="preserve">   اوقاف المزاحميه/جامع هجره الخلايق .</t>
        </is>
      </c>
      <c r="B413" t="inlineStr">
        <is>
          <t>KFM2020660206895</t>
        </is>
      </c>
      <c r="C413" t="inlineStr">
        <is>
          <t>القويعية</t>
        </is>
      </c>
      <c r="D413" t="inlineStr">
        <is>
          <t>كلا الفترتين</t>
        </is>
      </c>
      <c r="E413" t="n">
        <v>1132</v>
      </c>
      <c r="F413" t="b">
        <v>0</v>
      </c>
      <c r="G413">
        <f>HYPERLINK("https://www.google.com/maps/search/?api=1&amp;query=24.52395443,45.63768934", "View Map")</f>
        <v/>
      </c>
    </row>
    <row r="414">
      <c r="A414" t="inlineStr">
        <is>
          <t xml:space="preserve">      المسجد الجامع الكبير .</t>
        </is>
      </c>
      <c r="B414" t="inlineStr">
        <is>
          <t>KFM2020660204189</t>
        </is>
      </c>
      <c r="C414" t="inlineStr">
        <is>
          <t>الدوادمي</t>
        </is>
      </c>
      <c r="D414" t="inlineStr">
        <is>
          <t>كلا الفترتين</t>
        </is>
      </c>
      <c r="E414" t="n">
        <v>1131</v>
      </c>
      <c r="F414" t="b">
        <v>1</v>
      </c>
      <c r="G414">
        <f>HYPERLINK("https://www.google.com/maps/search/?api=1&amp;query=24.4955568,44.38286592", "View Map")</f>
        <v/>
      </c>
    </row>
    <row r="415">
      <c r="A415" t="inlineStr">
        <is>
          <t xml:space="preserve">  اوقاف القويعية مسجدالبيان بالصاخن .</t>
        </is>
      </c>
      <c r="B415" t="inlineStr">
        <is>
          <t>AEC2020830327783</t>
        </is>
      </c>
      <c r="C415" t="inlineStr">
        <is>
          <t>الرين</t>
        </is>
      </c>
      <c r="D415" t="inlineStr">
        <is>
          <t>كلا الفترتين</t>
        </is>
      </c>
      <c r="E415" t="n">
        <v>1131</v>
      </c>
      <c r="F415" t="b">
        <v>1</v>
      </c>
      <c r="G415">
        <f>HYPERLINK("https://www.google.com/maps/search/?api=1&amp;query=22.76548877,45.26076219", "View Map")</f>
        <v/>
      </c>
    </row>
    <row r="416">
      <c r="A416" t="inlineStr">
        <is>
          <t xml:space="preserve">      محمد عبدالله القضيع .</t>
        </is>
      </c>
      <c r="B416" t="inlineStr">
        <is>
          <t>KFM2020660227396</t>
        </is>
      </c>
      <c r="C416" t="inlineStr">
        <is>
          <t>القويعية</t>
        </is>
      </c>
      <c r="D416" t="inlineStr">
        <is>
          <t>كلا الفترتين</t>
        </is>
      </c>
      <c r="E416" t="n">
        <v>1125</v>
      </c>
      <c r="F416" t="b">
        <v>0</v>
      </c>
      <c r="G416">
        <f>HYPERLINK("https://www.google.com/maps/search/?api=1&amp;query=23.73834033,45.15783323", "View Map")</f>
        <v/>
      </c>
    </row>
    <row r="417">
      <c r="A417" t="inlineStr">
        <is>
          <t xml:space="preserve">   أوقاف المزاحمية .</t>
        </is>
      </c>
      <c r="B417" t="inlineStr">
        <is>
          <t>GTR2320892224178</t>
        </is>
      </c>
      <c r="C417" t="inlineStr">
        <is>
          <t>القويعية</t>
        </is>
      </c>
      <c r="D417" t="inlineStr">
        <is>
          <t>كلا الفترتين</t>
        </is>
      </c>
      <c r="E417" t="n">
        <v>1124</v>
      </c>
      <c r="F417" t="b">
        <v>0</v>
      </c>
      <c r="G417">
        <f>HYPERLINK("https://www.google.com/maps/search/?api=1&amp;query=24.31184379,45.8233528", "View Map")</f>
        <v/>
      </c>
    </row>
    <row r="418">
      <c r="A418" t="inlineStr">
        <is>
          <t>ﻭﺯﺍﺭﺓﺍﻟﺒﻟﺩﻴﺎﺕ ﻡﻗﺭﻭﻱ ﺍﻟﺠﻤﺵ .</t>
        </is>
      </c>
      <c r="B418" t="inlineStr">
        <is>
          <t>ECC2320831055389</t>
        </is>
      </c>
      <c r="C418" t="inlineStr">
        <is>
          <t>الدوادمي</t>
        </is>
      </c>
      <c r="D418" t="inlineStr">
        <is>
          <t>كلا الفترتين</t>
        </is>
      </c>
      <c r="E418" t="n">
        <v>1124</v>
      </c>
      <c r="F418" t="b">
        <v>0</v>
      </c>
      <c r="G418">
        <f>HYPERLINK("https://www.google.com/maps/search/?api=1&amp;query=25.13643382,43.47864151", "View Map")</f>
        <v/>
      </c>
    </row>
    <row r="419">
      <c r="A419" t="inlineStr">
        <is>
          <t xml:space="preserve">   مسجد      الشيخ     الحمود وسيله .</t>
        </is>
      </c>
      <c r="B419" t="inlineStr">
        <is>
          <t>KFM2020660228282</t>
        </is>
      </c>
      <c r="C419" t="inlineStr">
        <is>
          <t>المزاحمية</t>
        </is>
      </c>
      <c r="D419" t="inlineStr">
        <is>
          <t>مساءا</t>
        </is>
      </c>
      <c r="E419" t="n">
        <v>1124</v>
      </c>
      <c r="F419" t="b">
        <v>0</v>
      </c>
      <c r="G419">
        <f>HYPERLINK("https://www.google.com/maps/search/?api=1&amp;query=24.49145973,46.31139581", "View Map")</f>
        <v/>
      </c>
    </row>
    <row r="420">
      <c r="A420" t="inlineStr">
        <is>
          <t xml:space="preserve">   اوقاف الحصاة/مسجدالمنتزه .</t>
        </is>
      </c>
      <c r="B420" t="inlineStr">
        <is>
          <t>AEC2020830309153</t>
        </is>
      </c>
      <c r="C420" t="inlineStr">
        <is>
          <t>الرين</t>
        </is>
      </c>
      <c r="D420" t="inlineStr">
        <is>
          <t>كلا الفترتين</t>
        </is>
      </c>
      <c r="E420" t="n">
        <v>1122</v>
      </c>
      <c r="F420" t="b">
        <v>0</v>
      </c>
      <c r="G420">
        <f>HYPERLINK("https://www.google.com/maps/search/?api=1&amp;query=22.67442649,44.73603511", "View Map")</f>
        <v/>
      </c>
    </row>
    <row r="421">
      <c r="A421" t="inlineStr">
        <is>
          <t xml:space="preserve">    مسجد/     عيسى      هليل .</t>
        </is>
      </c>
      <c r="B421" t="inlineStr">
        <is>
          <t>KFM2020766086249</t>
        </is>
      </c>
      <c r="C421" t="inlineStr">
        <is>
          <t>الدوادمي</t>
        </is>
      </c>
      <c r="D421" t="inlineStr">
        <is>
          <t>كلا الفترتين</t>
        </is>
      </c>
      <c r="E421" t="n">
        <v>1121</v>
      </c>
      <c r="F421" t="b">
        <v>0</v>
      </c>
      <c r="G421">
        <f>HYPERLINK("https://www.google.com/maps/search/?api=1&amp;query=24.46956001,43.86736823", "View Map")</f>
        <v/>
      </c>
    </row>
    <row r="422">
      <c r="A422" t="inlineStr">
        <is>
          <t>مسجد الامير سعد بن خالد بالفياض .</t>
        </is>
      </c>
      <c r="B422" t="inlineStr">
        <is>
          <t>AES2020896446937</t>
        </is>
      </c>
      <c r="C422" t="inlineStr">
        <is>
          <t>الرين</t>
        </is>
      </c>
      <c r="D422" t="inlineStr">
        <is>
          <t>كلا الفترتين</t>
        </is>
      </c>
      <c r="E422" t="n">
        <v>1120</v>
      </c>
      <c r="F422" t="b">
        <v>0</v>
      </c>
      <c r="G422">
        <f>HYPERLINK("https://www.google.com/maps/search/?api=1&amp;query=22.48379003,44.91095822", "View Map")</f>
        <v/>
      </c>
    </row>
    <row r="423">
      <c r="A423" t="inlineStr">
        <is>
          <t xml:space="preserve">                 مسجد/ابوبكر الصديق .</t>
        </is>
      </c>
      <c r="B423" t="inlineStr">
        <is>
          <t>KFM2120760244302</t>
        </is>
      </c>
      <c r="C423" t="inlineStr">
        <is>
          <t>الدوادمي</t>
        </is>
      </c>
      <c r="D423" t="inlineStr">
        <is>
          <t>كلا الفترتين</t>
        </is>
      </c>
      <c r="E423" t="n">
        <v>1119</v>
      </c>
      <c r="F423" t="b">
        <v>0</v>
      </c>
      <c r="G423">
        <f>HYPERLINK("https://www.google.com/maps/search/?api=1&amp;query=24.20045799,43.84274351", "View Map")</f>
        <v/>
      </c>
    </row>
    <row r="424">
      <c r="A424" t="inlineStr">
        <is>
          <t xml:space="preserve">   مسجد/حي الزهور بالقرين .</t>
        </is>
      </c>
      <c r="B424" t="inlineStr">
        <is>
          <t>ECC2020811054245</t>
        </is>
      </c>
      <c r="C424" t="inlineStr">
        <is>
          <t>الدوادمي</t>
        </is>
      </c>
      <c r="D424" t="inlineStr">
        <is>
          <t>كلا الفترتين</t>
        </is>
      </c>
      <c r="E424" t="n">
        <v>1119</v>
      </c>
      <c r="F424" t="b">
        <v>1</v>
      </c>
      <c r="G424">
        <f>HYPERLINK("https://www.google.com/maps/search/?api=1&amp;query=24.73269898,43.79220649", "View Map")</f>
        <v/>
      </c>
    </row>
    <row r="425">
      <c r="A425" t="inlineStr">
        <is>
          <t xml:space="preserve">   مسجدمخطط 412 .</t>
        </is>
      </c>
      <c r="B425" t="inlineStr">
        <is>
          <t>KFM2020766085402</t>
        </is>
      </c>
      <c r="C425" t="inlineStr">
        <is>
          <t>عفيف</t>
        </is>
      </c>
      <c r="D425" t="inlineStr">
        <is>
          <t>كلا الفترتين</t>
        </is>
      </c>
      <c r="E425" t="n">
        <v>1117</v>
      </c>
      <c r="F425" t="b">
        <v>0</v>
      </c>
      <c r="G425">
        <f>HYPERLINK("https://www.google.com/maps/search/?api=1&amp;query=23.88451333,42.91173705", "View Map")</f>
        <v/>
      </c>
    </row>
    <row r="426">
      <c r="A426" t="inlineStr">
        <is>
          <t xml:space="preserve">   جــا مـع الـثـنـدوة .</t>
        </is>
      </c>
      <c r="B426" t="inlineStr">
        <is>
          <t>KFM2020766162228</t>
        </is>
      </c>
      <c r="C426" t="inlineStr">
        <is>
          <t>الدوادمي</t>
        </is>
      </c>
      <c r="D426" t="inlineStr">
        <is>
          <t>كلا الفترتين</t>
        </is>
      </c>
      <c r="E426" t="n">
        <v>1115</v>
      </c>
      <c r="F426" t="b">
        <v>0</v>
      </c>
      <c r="G426">
        <f>HYPERLINK("https://www.google.com/maps/search/?api=1&amp;query=25.02341321,44.39828746", "View Map")</f>
        <v/>
      </c>
    </row>
    <row r="427">
      <c r="A427" t="inlineStr">
        <is>
          <t xml:space="preserve">   مسجد/     الجحفه    //////// .</t>
        </is>
      </c>
      <c r="B427" t="inlineStr">
        <is>
          <t>KFM2120660252073</t>
        </is>
      </c>
      <c r="C427" t="inlineStr">
        <is>
          <t>الدوادمي</t>
        </is>
      </c>
      <c r="D427" t="inlineStr">
        <is>
          <t>كلا الفترتين</t>
        </is>
      </c>
      <c r="E427" t="n">
        <v>1113</v>
      </c>
      <c r="F427" t="b">
        <v>0</v>
      </c>
      <c r="G427">
        <f>HYPERLINK("https://www.google.com/maps/search/?api=1&amp;query=25.12988871,43.4877019", "View Map")</f>
        <v/>
      </c>
    </row>
    <row r="428">
      <c r="A428" t="inlineStr">
        <is>
          <t xml:space="preserve">   مسجد      النابية   اوقاف الحصاة .</t>
        </is>
      </c>
      <c r="B428" t="inlineStr">
        <is>
          <t>ECC2020820017217</t>
        </is>
      </c>
      <c r="C428" t="inlineStr">
        <is>
          <t>الرين</t>
        </is>
      </c>
      <c r="D428" t="inlineStr">
        <is>
          <t>كلا الفترتين</t>
        </is>
      </c>
      <c r="E428" t="n">
        <v>1111</v>
      </c>
      <c r="F428" t="b">
        <v>0</v>
      </c>
      <c r="G428">
        <f>HYPERLINK("https://www.google.com/maps/search/?api=1&amp;query=22.52428968,44.8090174", "View Map")</f>
        <v/>
      </c>
    </row>
    <row r="429">
      <c r="A429" t="inlineStr">
        <is>
          <t xml:space="preserve">   جامع/ جفن الجديد .</t>
        </is>
      </c>
      <c r="B429" t="inlineStr">
        <is>
          <t>KFM2020660153754</t>
        </is>
      </c>
      <c r="C429" t="inlineStr">
        <is>
          <t>الدوادمي</t>
        </is>
      </c>
      <c r="D429" t="inlineStr">
        <is>
          <t>كلا الفترتين</t>
        </is>
      </c>
      <c r="E429" t="n">
        <v>1111</v>
      </c>
      <c r="F429" t="b">
        <v>1</v>
      </c>
      <c r="G429">
        <f>HYPERLINK("https://www.google.com/maps/search/?api=1&amp;query=25.28375449,44.56906662", "View Map")</f>
        <v/>
      </c>
    </row>
    <row r="430">
      <c r="A430" t="inlineStr">
        <is>
          <t xml:space="preserve">   مسجد/ مسفر مجمش القحطانى .</t>
        </is>
      </c>
      <c r="B430" t="inlineStr">
        <is>
          <t>AEC2020830536983</t>
        </is>
      </c>
      <c r="C430" t="inlineStr">
        <is>
          <t>القويعية</t>
        </is>
      </c>
      <c r="D430" t="inlineStr">
        <is>
          <t>كلا الفترتين</t>
        </is>
      </c>
      <c r="E430" t="n">
        <v>1110</v>
      </c>
      <c r="F430" t="b">
        <v>0</v>
      </c>
      <c r="G430">
        <f>HYPERLINK("https://www.google.com/maps/search/?api=1&amp;query=23.84568173,45.64976864", "View Map")</f>
        <v/>
      </c>
    </row>
    <row r="431">
      <c r="A431" t="inlineStr">
        <is>
          <t xml:space="preserve">      جامع الرفايع .</t>
        </is>
      </c>
      <c r="B431" t="inlineStr">
        <is>
          <t>KFM2020766163490</t>
        </is>
      </c>
      <c r="C431" t="inlineStr">
        <is>
          <t>الرين</t>
        </is>
      </c>
      <c r="D431" t="inlineStr">
        <is>
          <t>كلا الفترتين</t>
        </is>
      </c>
      <c r="E431" t="n">
        <v>1110</v>
      </c>
      <c r="F431" t="b">
        <v>0</v>
      </c>
      <c r="G431">
        <f>HYPERLINK("https://www.google.com/maps/search/?api=1&amp;query=23.56960813,45.56637803", "View Map")</f>
        <v/>
      </c>
    </row>
    <row r="432">
      <c r="A432" t="inlineStr">
        <is>
          <t xml:space="preserve">   اوقاف الرين مسجدهجرةالغشبه .</t>
        </is>
      </c>
      <c r="B432" t="inlineStr">
        <is>
          <t>AES2020896528479</t>
        </is>
      </c>
      <c r="C432" t="inlineStr">
        <is>
          <t>الرين</t>
        </is>
      </c>
      <c r="D432" t="inlineStr">
        <is>
          <t>كلا الفترتين</t>
        </is>
      </c>
      <c r="E432" t="n">
        <v>1110</v>
      </c>
      <c r="F432" t="b">
        <v>0</v>
      </c>
      <c r="G432">
        <f>HYPERLINK("https://www.google.com/maps/search/?api=1&amp;query=23.66041123,45.38733481", "View Map")</f>
        <v/>
      </c>
    </row>
    <row r="433">
      <c r="A433" t="inlineStr">
        <is>
          <t xml:space="preserve">   مسجد  بدايع  العضيان  الشمالي  0 .</t>
        </is>
      </c>
      <c r="B433" t="inlineStr">
        <is>
          <t>KFM2020660233524</t>
        </is>
      </c>
      <c r="C433" t="inlineStr">
        <is>
          <t>عفيف</t>
        </is>
      </c>
      <c r="D433" t="inlineStr">
        <is>
          <t>مساءا</t>
        </is>
      </c>
      <c r="E433" t="n">
        <v>1107</v>
      </c>
      <c r="F433" t="b">
        <v>0</v>
      </c>
      <c r="G433">
        <f>HYPERLINK("https://www.google.com/maps/search/?api=1&amp;query=24.3484842,43.27362424", "View Map")</f>
        <v/>
      </c>
    </row>
    <row r="434">
      <c r="A434" t="inlineStr">
        <is>
          <t xml:space="preserve">   مصلىالعيدبالبرود .</t>
        </is>
      </c>
      <c r="B434" t="inlineStr">
        <is>
          <t>KFM2020766085501</t>
        </is>
      </c>
      <c r="C434" t="inlineStr">
        <is>
          <t>الدوادمي</t>
        </is>
      </c>
      <c r="D434" t="inlineStr">
        <is>
          <t>كلا الفترتين</t>
        </is>
      </c>
      <c r="E434" t="n">
        <v>1106</v>
      </c>
      <c r="F434" t="b">
        <v>1</v>
      </c>
      <c r="G434">
        <f>HYPERLINK("https://www.google.com/maps/search/?api=1&amp;query=25.07936054,44.61354989", "View Map")</f>
        <v/>
      </c>
    </row>
    <row r="435">
      <c r="A435" t="inlineStr">
        <is>
          <t xml:space="preserve">   مسجد      ابي       الا ندلس .</t>
        </is>
      </c>
      <c r="B435" t="inlineStr">
        <is>
          <t>KFM2020660199633</t>
        </is>
      </c>
      <c r="C435" t="inlineStr">
        <is>
          <t>المزاحمية</t>
        </is>
      </c>
      <c r="D435" t="inlineStr">
        <is>
          <t>كلا الفترتين</t>
        </is>
      </c>
      <c r="E435" t="n">
        <v>1106</v>
      </c>
      <c r="F435" t="b">
        <v>0</v>
      </c>
      <c r="G435">
        <f>HYPERLINK("https://www.google.com/maps/search/?api=1&amp;query=24.46509299,46.28382652", "View Map")</f>
        <v/>
      </c>
    </row>
    <row r="436">
      <c r="A436" t="inlineStr">
        <is>
          <t xml:space="preserve">      مسجد الجامع الجديد .</t>
        </is>
      </c>
      <c r="B436" t="inlineStr">
        <is>
          <t>KFM2020660188181</t>
        </is>
      </c>
      <c r="C436" t="inlineStr">
        <is>
          <t>عفيف</t>
        </is>
      </c>
      <c r="D436" t="inlineStr">
        <is>
          <t>صباحا</t>
        </is>
      </c>
      <c r="E436" t="n">
        <v>1106</v>
      </c>
      <c r="F436" t="b">
        <v>0</v>
      </c>
      <c r="G436">
        <f>HYPERLINK("https://www.google.com/maps/search/?api=1&amp;query=23.913949,42.92772947", "View Map")</f>
        <v/>
      </c>
    </row>
    <row r="437">
      <c r="A437" t="inlineStr">
        <is>
          <t xml:space="preserve">   جامع      الحميدي   (509) .</t>
        </is>
      </c>
      <c r="B437" t="inlineStr">
        <is>
          <t>KFM2020660192453</t>
        </is>
      </c>
      <c r="C437" t="inlineStr">
        <is>
          <t>الدوادمي</t>
        </is>
      </c>
      <c r="D437" t="inlineStr">
        <is>
          <t>كلا الفترتين</t>
        </is>
      </c>
      <c r="E437" t="n">
        <v>1106</v>
      </c>
      <c r="F437" t="b">
        <v>0</v>
      </c>
      <c r="G437">
        <f>HYPERLINK("https://www.google.com/maps/search/?api=1&amp;query=24.54456886,44.43271592", "View Map")</f>
        <v/>
      </c>
    </row>
    <row r="438">
      <c r="A438" t="inlineStr">
        <is>
          <t xml:space="preserve">      مسجد الاشعريه الكبير .</t>
        </is>
      </c>
      <c r="B438" t="inlineStr">
        <is>
          <t>KFM2020766085404</t>
        </is>
      </c>
      <c r="C438" t="inlineStr">
        <is>
          <t>عفيف</t>
        </is>
      </c>
      <c r="D438" t="inlineStr">
        <is>
          <t>كلا الفترتين</t>
        </is>
      </c>
      <c r="E438" t="n">
        <v>1105</v>
      </c>
      <c r="F438" t="b">
        <v>0</v>
      </c>
      <c r="G438">
        <f>HYPERLINK("https://www.google.com/maps/search/?api=1&amp;query=24.35646327,43.00163222", "View Map")</f>
        <v/>
      </c>
    </row>
    <row r="439">
      <c r="A439" t="inlineStr">
        <is>
          <t xml:space="preserve">   اوقاف الحصاه مسجدالفرعه بخيم .</t>
        </is>
      </c>
      <c r="B439" t="inlineStr">
        <is>
          <t>AES2020896532635</t>
        </is>
      </c>
      <c r="C439" t="inlineStr">
        <is>
          <t>الرين</t>
        </is>
      </c>
      <c r="D439" t="inlineStr">
        <is>
          <t>كلا الفترتين</t>
        </is>
      </c>
      <c r="E439" t="n">
        <v>1104</v>
      </c>
      <c r="F439" t="b">
        <v>0</v>
      </c>
      <c r="G439">
        <f>HYPERLINK("https://www.google.com/maps/search/?api=1&amp;query=22.75626,44.90633", "View Map")</f>
        <v/>
      </c>
    </row>
    <row r="440">
      <c r="A440" t="inlineStr">
        <is>
          <t xml:space="preserve">   مسجد  جامع قرية  الحامدية ثرب  0 .</t>
        </is>
      </c>
      <c r="B440" t="inlineStr">
        <is>
          <t>KFM2120660265061</t>
        </is>
      </c>
      <c r="C440" t="inlineStr">
        <is>
          <t>المهد</t>
        </is>
      </c>
      <c r="D440" t="inlineStr">
        <is>
          <t>كلا الفترتين</t>
        </is>
      </c>
      <c r="E440" t="n">
        <v>1103</v>
      </c>
      <c r="F440" t="b">
        <v>0</v>
      </c>
      <c r="G440">
        <f>HYPERLINK("https://www.google.com/maps/search/?api=1&amp;query=24.37711887,42.08170429", "View Map")</f>
        <v/>
      </c>
    </row>
    <row r="441">
      <c r="A441" t="inlineStr">
        <is>
          <t xml:space="preserve">   مسجد/زيدمحمدضيف القحطانى .</t>
        </is>
      </c>
      <c r="B441" t="inlineStr">
        <is>
          <t>AES2020896454071</t>
        </is>
      </c>
      <c r="C441" t="inlineStr">
        <is>
          <t>القويعية</t>
        </is>
      </c>
      <c r="D441" t="inlineStr">
        <is>
          <t>كلا الفترتين</t>
        </is>
      </c>
      <c r="E441" t="n">
        <v>1099</v>
      </c>
      <c r="F441" t="b">
        <v>0</v>
      </c>
      <c r="G441">
        <f>HYPERLINK("https://www.google.com/maps/search/?api=1&amp;query=23.84512147,44.99447452", "View Map")</f>
        <v/>
      </c>
    </row>
    <row r="442">
      <c r="A442" t="inlineStr">
        <is>
          <t>وزارةالا وقاف اوقاف الدوادمي .</t>
        </is>
      </c>
      <c r="B442" t="inlineStr">
        <is>
          <t>KFM2020660204339</t>
        </is>
      </c>
      <c r="C442" t="inlineStr">
        <is>
          <t>الدوادمي</t>
        </is>
      </c>
      <c r="D442" t="inlineStr">
        <is>
          <t>كلا الفترتين</t>
        </is>
      </c>
      <c r="E442" t="n">
        <v>1098</v>
      </c>
      <c r="F442" t="b">
        <v>0</v>
      </c>
      <c r="G442">
        <f>HYPERLINK("https://www.google.com/maps/search/?api=1&amp;query=24.50972325,44.3747644", "View Map")</f>
        <v/>
      </c>
    </row>
    <row r="443">
      <c r="A443" t="inlineStr">
        <is>
          <t xml:space="preserve">   مسجد      فهد       152 مخطط .</t>
        </is>
      </c>
      <c r="B443" t="inlineStr">
        <is>
          <t>KFM2020660168496</t>
        </is>
      </c>
      <c r="C443" t="inlineStr">
        <is>
          <t>المزاحمية</t>
        </is>
      </c>
      <c r="D443" t="inlineStr">
        <is>
          <t>كلا الفترتين</t>
        </is>
      </c>
      <c r="E443" t="n">
        <v>1098</v>
      </c>
      <c r="F443" t="b">
        <v>0</v>
      </c>
      <c r="G443">
        <f>HYPERLINK("https://www.google.com/maps/search/?api=1&amp;query=24.46597606,46.26709091", "View Map")</f>
        <v/>
      </c>
    </row>
    <row r="444">
      <c r="A444" t="inlineStr">
        <is>
          <t>ﻭﺯﺍﺭﺓﺍﻻﻭﻗﺎﻑ _ ﺍﻭﻗﺎﻑ ﺍﻟﺒﺠﺎﺩﻴﻩ .</t>
        </is>
      </c>
      <c r="B444" t="inlineStr">
        <is>
          <t>AES2020896452249</t>
        </is>
      </c>
      <c r="C444" t="inlineStr">
        <is>
          <t>الدوادمي</t>
        </is>
      </c>
      <c r="D444" t="inlineStr">
        <is>
          <t>كلا الفترتين</t>
        </is>
      </c>
      <c r="E444" t="n">
        <v>1096</v>
      </c>
      <c r="F444" t="b">
        <v>0</v>
      </c>
      <c r="G444">
        <f>HYPERLINK("https://www.google.com/maps/search/?api=1&amp;query=24.27177365,43.70090151", "View Map")</f>
        <v/>
      </c>
    </row>
    <row r="445">
      <c r="A445" t="inlineStr">
        <is>
          <t xml:space="preserve">   اوقاف القويعية مسجدالناصرية .</t>
        </is>
      </c>
      <c r="B445" t="inlineStr">
        <is>
          <t>AES2020896269845</t>
        </is>
      </c>
      <c r="C445" t="inlineStr">
        <is>
          <t>القويعية</t>
        </is>
      </c>
      <c r="D445" t="inlineStr">
        <is>
          <t>كلا الفترتين</t>
        </is>
      </c>
      <c r="E445" t="n">
        <v>1094</v>
      </c>
      <c r="F445" t="b">
        <v>0</v>
      </c>
      <c r="G445">
        <f>HYPERLINK("https://www.google.com/maps/search/?api=1&amp;query=23.98125405,45.0572309", "View Map")</f>
        <v/>
      </c>
    </row>
    <row r="446">
      <c r="A446" t="inlineStr">
        <is>
          <t xml:space="preserve">   جامع/     الحماده   سلمي .</t>
        </is>
      </c>
      <c r="B446" t="inlineStr">
        <is>
          <t>KFM2020660153794</t>
        </is>
      </c>
      <c r="C446" t="inlineStr">
        <is>
          <t>الدوادمي</t>
        </is>
      </c>
      <c r="D446" t="inlineStr">
        <is>
          <t>كلا الفترتين</t>
        </is>
      </c>
      <c r="E446" t="n">
        <v>1091</v>
      </c>
      <c r="F446" t="b">
        <v>0</v>
      </c>
      <c r="G446">
        <f>HYPERLINK("https://www.google.com/maps/search/?api=1&amp;query=24.52258545,43.60045123", "View Map")</f>
        <v/>
      </c>
    </row>
    <row r="447">
      <c r="A447" t="inlineStr">
        <is>
          <t xml:space="preserve">   مسجد/ ضيف الله سعود العتيبي .</t>
        </is>
      </c>
      <c r="B447" t="inlineStr">
        <is>
          <t>KFM2020766096059</t>
        </is>
      </c>
      <c r="C447" t="inlineStr">
        <is>
          <t>الدوادمي</t>
        </is>
      </c>
      <c r="D447" t="inlineStr">
        <is>
          <t>كلا الفترتين</t>
        </is>
      </c>
      <c r="E447" t="n">
        <v>1091</v>
      </c>
      <c r="F447" t="b">
        <v>1</v>
      </c>
      <c r="G447">
        <f>HYPERLINK("https://www.google.com/maps/search/?api=1&amp;query=25.10946853,44.68382297", "View Map")</f>
        <v/>
      </c>
    </row>
    <row r="448">
      <c r="A448" t="inlineStr">
        <is>
          <t>ﺃﻭﻗﺎﻑ ﻭﻤﺴﺎﺠﺩ ﺍﻟﻗﻭﻴﻌﻴﻩ .</t>
        </is>
      </c>
      <c r="B448" t="inlineStr">
        <is>
          <t>AEC2020830322510</t>
        </is>
      </c>
      <c r="C448" t="inlineStr">
        <is>
          <t>الرين</t>
        </is>
      </c>
      <c r="D448" t="inlineStr">
        <is>
          <t>كلا الفترتين</t>
        </is>
      </c>
      <c r="E448" t="n">
        <v>1084</v>
      </c>
      <c r="F448" t="b">
        <v>0</v>
      </c>
      <c r="G448">
        <f>HYPERLINK("https://www.google.com/maps/search/?api=1&amp;query=22.73749652,45.03240146", "View Map")</f>
        <v/>
      </c>
    </row>
    <row r="449">
      <c r="A449" t="inlineStr">
        <is>
          <t>ﺃﻭﻗﺎﻑ ﻭﻤﺴﺎﺠﺩ ﺍﻟﻗﻭﻴﻌﻴﻩ .</t>
        </is>
      </c>
      <c r="B449" t="inlineStr">
        <is>
          <t>AEC2020830541058</t>
        </is>
      </c>
      <c r="C449" t="inlineStr">
        <is>
          <t>الرين</t>
        </is>
      </c>
      <c r="D449" t="inlineStr">
        <is>
          <t>كلا الفترتين</t>
        </is>
      </c>
      <c r="E449" t="n">
        <v>1081</v>
      </c>
      <c r="F449" t="b">
        <v>0</v>
      </c>
      <c r="G449">
        <f>HYPERLINK("https://www.google.com/maps/search/?api=1&amp;query=23.64613163,45.13994929", "View Map")</f>
        <v/>
      </c>
    </row>
    <row r="450">
      <c r="A450" t="inlineStr">
        <is>
          <t xml:space="preserve">   مسجد      عايض      النخيش .</t>
        </is>
      </c>
      <c r="B450" t="inlineStr">
        <is>
          <t>KFM2020760084911</t>
        </is>
      </c>
      <c r="C450" t="inlineStr">
        <is>
          <t>الدوادمي</t>
        </is>
      </c>
      <c r="D450" t="inlineStr">
        <is>
          <t>كلا الفترتين</t>
        </is>
      </c>
      <c r="E450" t="n">
        <v>1080</v>
      </c>
      <c r="F450" t="b">
        <v>0</v>
      </c>
      <c r="G450">
        <f>HYPERLINK("https://www.google.com/maps/search/?api=1&amp;query=24.30623169,43.75494914", "View Map")</f>
        <v/>
      </c>
    </row>
    <row r="451">
      <c r="A451" t="inlineStr">
        <is>
          <t xml:space="preserve">      مـسـجـد الابيرق .</t>
        </is>
      </c>
      <c r="B451" t="inlineStr">
        <is>
          <t>KFM2020766116434</t>
        </is>
      </c>
      <c r="C451" t="inlineStr">
        <is>
          <t>ضرما</t>
        </is>
      </c>
      <c r="D451" t="inlineStr">
        <is>
          <t>كلا الفترتين</t>
        </is>
      </c>
      <c r="E451" t="n">
        <v>1078</v>
      </c>
      <c r="F451" t="b">
        <v>0</v>
      </c>
      <c r="G451">
        <f>HYPERLINK("https://www.google.com/maps/search/?api=1&amp;query=24.61059289,46.10492703", "View Map")</f>
        <v/>
      </c>
    </row>
    <row r="452">
      <c r="A452" t="inlineStr">
        <is>
          <t>ﺍﻭﻗﺎﻑ ﻭﻤﺴﺎﺠﺩ ﻀﺭﻤﺎء .</t>
        </is>
      </c>
      <c r="B452" t="inlineStr">
        <is>
          <t>SMR2220761003021</t>
        </is>
      </c>
      <c r="C452" t="inlineStr">
        <is>
          <t>ضرما</t>
        </is>
      </c>
      <c r="D452" t="inlineStr">
        <is>
          <t>كلا الفترتين</t>
        </is>
      </c>
      <c r="E452" t="n">
        <v>1078</v>
      </c>
      <c r="F452" t="b">
        <v>0</v>
      </c>
      <c r="G452">
        <f>HYPERLINK("https://www.google.com/maps/search/?api=1&amp;query=24.5908024,46.13035834", "View Map")</f>
        <v/>
      </c>
    </row>
    <row r="453">
      <c r="A453" t="inlineStr">
        <is>
          <t xml:space="preserve">    اوقاف القويعيه / مسجد الحنو .</t>
        </is>
      </c>
      <c r="B453" t="inlineStr">
        <is>
          <t>AES2120896575335</t>
        </is>
      </c>
      <c r="C453" t="inlineStr">
        <is>
          <t>الرين</t>
        </is>
      </c>
      <c r="D453" t="inlineStr">
        <is>
          <t>كلا الفترتين</t>
        </is>
      </c>
      <c r="E453" t="n">
        <v>1074</v>
      </c>
      <c r="F453" t="b">
        <v>0</v>
      </c>
      <c r="G453">
        <f>HYPERLINK("https://www.google.com/maps/search/?api=1&amp;query=23.55542064,45.57166013", "View Map")</f>
        <v/>
      </c>
    </row>
    <row r="454">
      <c r="A454" t="inlineStr">
        <is>
          <t xml:space="preserve">   مسجد القفيه .</t>
        </is>
      </c>
      <c r="B454" t="inlineStr">
        <is>
          <t>AEC2020830311769</t>
        </is>
      </c>
      <c r="C454" t="inlineStr">
        <is>
          <t>المزاحمية</t>
        </is>
      </c>
      <c r="D454" t="inlineStr">
        <is>
          <t>كلا الفترتين</t>
        </is>
      </c>
      <c r="E454" t="n">
        <v>1072</v>
      </c>
      <c r="F454" t="b">
        <v>0</v>
      </c>
      <c r="G454">
        <f>HYPERLINK("https://www.google.com/maps/search/?api=1&amp;query=24.16121583,46.2229782", "View Map")</f>
        <v/>
      </c>
    </row>
    <row r="455">
      <c r="A455" t="inlineStr">
        <is>
          <t>ﺃﻭﻗﺎﻑ ﻭﻤﺴﺎﺠﺩ ﺍﻟﻗﻭﻴﻌﻴﻩ .</t>
        </is>
      </c>
      <c r="B455" t="inlineStr">
        <is>
          <t>LYE2020830238423</t>
        </is>
      </c>
      <c r="C455" t="inlineStr">
        <is>
          <t>القويعية</t>
        </is>
      </c>
      <c r="D455" t="inlineStr">
        <is>
          <t>كلا الفترتين</t>
        </is>
      </c>
      <c r="E455" t="n">
        <v>1072</v>
      </c>
      <c r="F455" t="b">
        <v>0</v>
      </c>
      <c r="G455">
        <f>HYPERLINK("https://www.google.com/maps/search/?api=1&amp;query=24.07626638,45.30074534", "View Map")</f>
        <v/>
      </c>
    </row>
    <row r="456">
      <c r="A456" t="inlineStr">
        <is>
          <t xml:space="preserve">      مسجد بويريده الصغير .</t>
        </is>
      </c>
      <c r="B456" t="inlineStr">
        <is>
          <t>SMR2220661017704</t>
        </is>
      </c>
      <c r="C456" t="inlineStr">
        <is>
          <t>الدوادمي</t>
        </is>
      </c>
      <c r="D456" t="inlineStr">
        <is>
          <t>كلا الفترتين</t>
        </is>
      </c>
      <c r="E456" t="n">
        <v>1070</v>
      </c>
      <c r="F456" t="b">
        <v>0</v>
      </c>
      <c r="G456">
        <f>HYPERLINK("https://www.google.com/maps/search/?api=1&amp;query=24.50687074,44.39894575", "View Map")</f>
        <v/>
      </c>
    </row>
    <row r="457">
      <c r="A457" t="inlineStr">
        <is>
          <t xml:space="preserve">   اوقاف الحصاة/مسجد البراحة .</t>
        </is>
      </c>
      <c r="B457" t="inlineStr">
        <is>
          <t>AES2320896632413</t>
        </is>
      </c>
      <c r="C457" t="inlineStr">
        <is>
          <t>الرين</t>
        </is>
      </c>
      <c r="D457" t="inlineStr">
        <is>
          <t>كلا الفترتين</t>
        </is>
      </c>
      <c r="E457" t="n">
        <v>1068</v>
      </c>
      <c r="F457" t="b">
        <v>0</v>
      </c>
      <c r="G457">
        <f>HYPERLINK("https://www.google.com/maps/search/?api=1&amp;query=22.80417473,45.16692418", "View Map")</f>
        <v/>
      </c>
    </row>
    <row r="458">
      <c r="A458" t="inlineStr">
        <is>
          <t xml:space="preserve">   مسجد      عبدالله   الربيعان .</t>
        </is>
      </c>
      <c r="B458" t="inlineStr">
        <is>
          <t>AES2120896593692</t>
        </is>
      </c>
      <c r="C458" t="inlineStr">
        <is>
          <t>الدوادمي</t>
        </is>
      </c>
      <c r="D458" t="inlineStr">
        <is>
          <t>كلا الفترتين</t>
        </is>
      </c>
      <c r="E458" t="n">
        <v>1067</v>
      </c>
      <c r="F458" t="b">
        <v>0</v>
      </c>
      <c r="G458">
        <f>HYPERLINK("https://www.google.com/maps/search/?api=1&amp;query=25.01599089,43.82372243", "View Map")</f>
        <v/>
      </c>
    </row>
    <row r="459">
      <c r="A459" t="inlineStr">
        <is>
          <t xml:space="preserve">   مسجد      شجاع      السهلي .</t>
        </is>
      </c>
      <c r="B459" t="inlineStr">
        <is>
          <t>KFM2020760153415</t>
        </is>
      </c>
      <c r="C459" t="inlineStr">
        <is>
          <t>ضرما</t>
        </is>
      </c>
      <c r="D459" t="inlineStr">
        <is>
          <t>كلا الفترتين</t>
        </is>
      </c>
      <c r="E459" t="n">
        <v>1067</v>
      </c>
      <c r="F459" t="b">
        <v>0</v>
      </c>
      <c r="G459">
        <f>HYPERLINK("https://www.google.com/maps/search/?api=1&amp;query=24.50641069,46.36330946", "View Map")</f>
        <v/>
      </c>
    </row>
    <row r="460">
      <c r="A460" t="inlineStr">
        <is>
          <t xml:space="preserve">   مسجد      عسيله     مويسل .</t>
        </is>
      </c>
      <c r="B460" t="inlineStr">
        <is>
          <t>SMR2020856076013</t>
        </is>
      </c>
      <c r="C460" t="inlineStr">
        <is>
          <t>القويعية</t>
        </is>
      </c>
      <c r="D460" t="inlineStr">
        <is>
          <t>كلا الفترتين</t>
        </is>
      </c>
      <c r="E460" t="n">
        <v>1066</v>
      </c>
      <c r="F460" t="b">
        <v>0</v>
      </c>
      <c r="G460">
        <f>HYPERLINK("https://www.google.com/maps/search/?api=1&amp;query=23.8552267,44.72813365", "View Map")</f>
        <v/>
      </c>
    </row>
    <row r="461">
      <c r="A461" t="inlineStr">
        <is>
          <t>وزارةالا وقاف اوقاف البجاديه .</t>
        </is>
      </c>
      <c r="B461" t="inlineStr">
        <is>
          <t>KFM2120660238366</t>
        </is>
      </c>
      <c r="C461" t="inlineStr">
        <is>
          <t>الدوادمي</t>
        </is>
      </c>
      <c r="D461" t="inlineStr">
        <is>
          <t>كلا الفترتين</t>
        </is>
      </c>
      <c r="E461" t="n">
        <v>1065</v>
      </c>
      <c r="F461" t="b">
        <v>0</v>
      </c>
      <c r="G461">
        <f>HYPERLINK("https://www.google.com/maps/search/?api=1&amp;query=24.30908078,43.75929999", "View Map")</f>
        <v/>
      </c>
    </row>
    <row r="462">
      <c r="A462" t="inlineStr">
        <is>
          <t xml:space="preserve">   مسجد  جامع  قرية الصميماء ثرب  0 .</t>
        </is>
      </c>
      <c r="B462" t="inlineStr">
        <is>
          <t>KFM2120660265062</t>
        </is>
      </c>
      <c r="C462" t="inlineStr">
        <is>
          <t>المهد</t>
        </is>
      </c>
      <c r="D462" t="inlineStr">
        <is>
          <t>كلا الفترتين</t>
        </is>
      </c>
      <c r="E462" t="n">
        <v>1062</v>
      </c>
      <c r="F462" t="b">
        <v>0</v>
      </c>
      <c r="G462">
        <f>HYPERLINK("https://www.google.com/maps/search/?api=1&amp;query=24.31763446,42.00134245", "View Map")</f>
        <v/>
      </c>
    </row>
    <row r="463">
      <c r="A463" t="inlineStr">
        <is>
          <t xml:space="preserve">   مسجد      حمد       الخنفري .</t>
        </is>
      </c>
      <c r="B463" t="inlineStr">
        <is>
          <t>AES2120896611179</t>
        </is>
      </c>
      <c r="C463" t="inlineStr">
        <is>
          <t>القويعية</t>
        </is>
      </c>
      <c r="D463" t="inlineStr">
        <is>
          <t>كلا الفترتين</t>
        </is>
      </c>
      <c r="E463" t="n">
        <v>1062</v>
      </c>
      <c r="F463" t="b">
        <v>0</v>
      </c>
      <c r="G463">
        <f>HYPERLINK("https://www.google.com/maps/search/?api=1&amp;query=23.17014983,44.83726282", "View Map")</f>
        <v/>
      </c>
    </row>
    <row r="464">
      <c r="A464" t="inlineStr">
        <is>
          <t>ﻭﺯﺍﺭﺓﺍﻷﻭﻗﺎﻑ _ ﺍﻭﻗﺎﻑ ﺍﻟﺭﻭﻴﻀﻩ .</t>
        </is>
      </c>
      <c r="B464" t="inlineStr">
        <is>
          <t>AES2120896565853</t>
        </is>
      </c>
      <c r="C464" t="inlineStr">
        <is>
          <t>القويعية</t>
        </is>
      </c>
      <c r="D464" t="inlineStr">
        <is>
          <t>كلا الفترتين</t>
        </is>
      </c>
      <c r="E464" t="n">
        <v>1060</v>
      </c>
      <c r="F464" t="b">
        <v>0</v>
      </c>
      <c r="G464">
        <f>HYPERLINK("https://www.google.com/maps/search/?api=1&amp;query=23.45462212,44.95014209", "View Map")</f>
        <v/>
      </c>
    </row>
    <row r="465">
      <c r="A465" t="inlineStr">
        <is>
          <t xml:space="preserve">   مسجد الربواء بالدخل المحدود .</t>
        </is>
      </c>
      <c r="B465" t="inlineStr">
        <is>
          <t>KFM2020766167125</t>
        </is>
      </c>
      <c r="C465" t="inlineStr">
        <is>
          <t>القويعية</t>
        </is>
      </c>
      <c r="D465" t="inlineStr">
        <is>
          <t>كلا الفترتين</t>
        </is>
      </c>
      <c r="E465" t="n">
        <v>1059</v>
      </c>
      <c r="F465" t="b">
        <v>0</v>
      </c>
      <c r="G465">
        <f>HYPERLINK("https://www.google.com/maps/search/?api=1&amp;query=23.78313373,44.78872573", "View Map")</f>
        <v/>
      </c>
    </row>
    <row r="466">
      <c r="A466" t="inlineStr">
        <is>
          <t xml:space="preserve">   اوقاف     الرين     السلا م .</t>
        </is>
      </c>
      <c r="B466" t="inlineStr">
        <is>
          <t>KFM2020766155778</t>
        </is>
      </c>
      <c r="C466" t="inlineStr">
        <is>
          <t>الرين</t>
        </is>
      </c>
      <c r="D466" t="inlineStr">
        <is>
          <t>كلا الفترتين</t>
        </is>
      </c>
      <c r="E466" t="n">
        <v>1059</v>
      </c>
      <c r="F466" t="b">
        <v>0</v>
      </c>
      <c r="G466">
        <f>HYPERLINK("https://www.google.com/maps/search/?api=1&amp;query=22.92526333,45.46919829", "View Map")</f>
        <v/>
      </c>
    </row>
    <row r="467">
      <c r="A467" t="inlineStr">
        <is>
          <t xml:space="preserve">   اوقاف     القويعيه  القويعيه .</t>
        </is>
      </c>
      <c r="B467" t="inlineStr">
        <is>
          <t>AEC2020830324516</t>
        </is>
      </c>
      <c r="C467" t="inlineStr">
        <is>
          <t>القويعية</t>
        </is>
      </c>
      <c r="D467" t="inlineStr">
        <is>
          <t>كلا الفترتين</t>
        </is>
      </c>
      <c r="E467" t="n">
        <v>1057</v>
      </c>
      <c r="F467" t="b">
        <v>0</v>
      </c>
      <c r="G467">
        <f>HYPERLINK("https://www.google.com/maps/search/?api=1&amp;query=24.33715447,45.80375785", "View Map")</f>
        <v/>
      </c>
    </row>
    <row r="468">
      <c r="A468" t="inlineStr">
        <is>
          <t xml:space="preserve">   مسجد الشاميه .</t>
        </is>
      </c>
      <c r="B468" t="inlineStr">
        <is>
          <t>AES2120896585776</t>
        </is>
      </c>
      <c r="C468" t="inlineStr">
        <is>
          <t>الدوادمي</t>
        </is>
      </c>
      <c r="D468" t="inlineStr">
        <is>
          <t>كلا الفترتين</t>
        </is>
      </c>
      <c r="E468" t="n">
        <v>1056</v>
      </c>
      <c r="F468" t="b">
        <v>0</v>
      </c>
      <c r="G468">
        <f>HYPERLINK("https://www.google.com/maps/search/?api=1&amp;query=24.55031868,43.87626377", "View Map")</f>
        <v/>
      </c>
    </row>
    <row r="469">
      <c r="A469" t="inlineStr">
        <is>
          <t>وقاف ومساجد الرين .</t>
        </is>
      </c>
      <c r="B469" t="inlineStr">
        <is>
          <t>KFM2020766163522</t>
        </is>
      </c>
      <c r="C469" t="inlineStr">
        <is>
          <t>الرين</t>
        </is>
      </c>
      <c r="D469" t="inlineStr">
        <is>
          <t>كلا الفترتين</t>
        </is>
      </c>
      <c r="E469" t="n">
        <v>1054</v>
      </c>
      <c r="F469" t="b">
        <v>0</v>
      </c>
      <c r="G469">
        <f>HYPERLINK("https://www.google.com/maps/search/?api=1&amp;query=23.2494467,45.56749194", "View Map")</f>
        <v/>
      </c>
    </row>
    <row r="470">
      <c r="A470" t="inlineStr">
        <is>
          <t xml:space="preserve">   مـسـجـد العليا   بالرين .</t>
        </is>
      </c>
      <c r="B470" t="inlineStr">
        <is>
          <t>AES2020896216053</t>
        </is>
      </c>
      <c r="C470" t="inlineStr">
        <is>
          <t>الرين</t>
        </is>
      </c>
      <c r="D470" t="inlineStr">
        <is>
          <t>كلا الفترتين</t>
        </is>
      </c>
      <c r="E470" t="n">
        <v>1053</v>
      </c>
      <c r="F470" t="b">
        <v>0</v>
      </c>
      <c r="G470">
        <f>HYPERLINK("https://www.google.com/maps/search/?api=1&amp;query=23.670903,45.39047607", "View Map")</f>
        <v/>
      </c>
    </row>
    <row r="471">
      <c r="A471" t="inlineStr">
        <is>
          <t xml:space="preserve">   اوقاف     القويعيه  الملك فيصل .</t>
        </is>
      </c>
      <c r="B471" t="inlineStr">
        <is>
          <t>KFM2020660208179</t>
        </is>
      </c>
      <c r="C471" t="inlineStr">
        <is>
          <t>القويعية</t>
        </is>
      </c>
      <c r="D471" t="inlineStr">
        <is>
          <t>مساءا</t>
        </is>
      </c>
      <c r="E471" t="n">
        <v>1051</v>
      </c>
      <c r="F471" t="b">
        <v>1</v>
      </c>
      <c r="G471">
        <f>HYPERLINK("https://www.google.com/maps/search/?api=1&amp;query=24.0588756,45.27448845", "View Map")</f>
        <v/>
      </c>
    </row>
    <row r="472">
      <c r="A472" t="inlineStr">
        <is>
          <t xml:space="preserve">   مسجد      المفلحيه  . .</t>
        </is>
      </c>
      <c r="B472" t="inlineStr">
        <is>
          <t>MMF2320801107145</t>
        </is>
      </c>
      <c r="C472" t="inlineStr">
        <is>
          <t>الدوادمي</t>
        </is>
      </c>
      <c r="D472" t="inlineStr">
        <is>
          <t>كلا الفترتين</t>
        </is>
      </c>
      <c r="E472" t="n">
        <v>1049</v>
      </c>
      <c r="F472" t="b">
        <v>0</v>
      </c>
      <c r="G472">
        <f>HYPERLINK("https://www.google.com/maps/search/?api=1&amp;query=24.628415,43.536805", "View Map")</f>
        <v/>
      </c>
    </row>
    <row r="473">
      <c r="A473" t="inlineStr">
        <is>
          <t xml:space="preserve">   مسجد خف المخطط 123 .</t>
        </is>
      </c>
      <c r="B473" t="inlineStr">
        <is>
          <t>KFM2020766077766</t>
        </is>
      </c>
      <c r="C473" t="inlineStr">
        <is>
          <t>الدوادمي</t>
        </is>
      </c>
      <c r="D473" t="inlineStr">
        <is>
          <t>كلا الفترتين</t>
        </is>
      </c>
      <c r="E473" t="n">
        <v>1048</v>
      </c>
      <c r="F473" t="b">
        <v>0</v>
      </c>
      <c r="G473">
        <f>HYPERLINK("https://www.google.com/maps/search/?api=1&amp;query=24.92728503,44.71200101", "View Map")</f>
        <v/>
      </c>
    </row>
    <row r="474">
      <c r="A474" t="inlineStr">
        <is>
          <t xml:space="preserve">   مسجد عائشة بنت الصديق .</t>
        </is>
      </c>
      <c r="B474" t="inlineStr">
        <is>
          <t>KFM2020660208356</t>
        </is>
      </c>
      <c r="C474" t="inlineStr">
        <is>
          <t>الدوادمي</t>
        </is>
      </c>
      <c r="D474" t="inlineStr">
        <is>
          <t>كلا الفترتين</t>
        </is>
      </c>
      <c r="E474" t="n">
        <v>1047</v>
      </c>
      <c r="F474" t="b">
        <v>0</v>
      </c>
      <c r="G474">
        <f>HYPERLINK("https://www.google.com/maps/search/?api=1&amp;query=25.19072757,44.6044387", "View Map")</f>
        <v/>
      </c>
    </row>
    <row r="475">
      <c r="A475" t="inlineStr">
        <is>
          <t>ﻭﺯﺍﺭﺓﺍﻻﻭﻗﺎﻑ ـ ﺍﻭﻗﺎﻑ ﺴﺎﺠﺭ .</t>
        </is>
      </c>
      <c r="B475" t="inlineStr">
        <is>
          <t>MMF2320801153190</t>
        </is>
      </c>
      <c r="C475" t="inlineStr">
        <is>
          <t>الدوادمي</t>
        </is>
      </c>
      <c r="D475" t="inlineStr">
        <is>
          <t>كلا الفترتين</t>
        </is>
      </c>
      <c r="E475" t="n">
        <v>1045</v>
      </c>
      <c r="F475" t="b">
        <v>0</v>
      </c>
      <c r="G475">
        <f>HYPERLINK("https://www.google.com/maps/search/?api=1&amp;query=25.20501397,44.59849397", "View Map")</f>
        <v/>
      </c>
    </row>
    <row r="476">
      <c r="A476" t="inlineStr">
        <is>
          <t xml:space="preserve">   أوقاف القويعيه/مسجد خديجة .</t>
        </is>
      </c>
      <c r="B476" t="inlineStr">
        <is>
          <t>KFM2020660229552</t>
        </is>
      </c>
      <c r="C476" t="inlineStr">
        <is>
          <t>القويعية</t>
        </is>
      </c>
      <c r="D476" t="inlineStr">
        <is>
          <t>كلا الفترتين</t>
        </is>
      </c>
      <c r="E476" t="n">
        <v>1044</v>
      </c>
      <c r="F476" t="b">
        <v>0</v>
      </c>
      <c r="G476">
        <f>HYPERLINK("https://www.google.com/maps/search/?api=1&amp;query=24.08917096,45.30063389", "View Map")</f>
        <v/>
      </c>
    </row>
    <row r="477">
      <c r="A477" t="inlineStr">
        <is>
          <t xml:space="preserve">   مسجد      سليمان    الثنيان .</t>
        </is>
      </c>
      <c r="B477" t="inlineStr">
        <is>
          <t>KFM2020660200603</t>
        </is>
      </c>
      <c r="C477" t="inlineStr">
        <is>
          <t>المزاحمية</t>
        </is>
      </c>
      <c r="D477" t="inlineStr">
        <is>
          <t>كلا الفترتين</t>
        </is>
      </c>
      <c r="E477" t="n">
        <v>1044</v>
      </c>
      <c r="F477" t="b">
        <v>0</v>
      </c>
      <c r="G477">
        <f>HYPERLINK("https://www.google.com/maps/search/?api=1&amp;query=24.49231809,46.26368629", "View Map")</f>
        <v/>
      </c>
    </row>
    <row r="478">
      <c r="A478" t="inlineStr">
        <is>
          <t xml:space="preserve">  اوقاف القويعيه/ مسجد هجره الزباره .</t>
        </is>
      </c>
      <c r="B478" t="inlineStr">
        <is>
          <t>KFM2020660124284</t>
        </is>
      </c>
      <c r="C478" t="inlineStr">
        <is>
          <t>الرين</t>
        </is>
      </c>
      <c r="D478" t="inlineStr">
        <is>
          <t>كلا الفترتين</t>
        </is>
      </c>
      <c r="E478" t="n">
        <v>1042</v>
      </c>
      <c r="F478" t="b">
        <v>0</v>
      </c>
      <c r="G478">
        <f>HYPERLINK("https://www.google.com/maps/search/?api=1&amp;query=23.55115381,45.54038151", "View Map")</f>
        <v/>
      </c>
    </row>
    <row r="479">
      <c r="A479" t="inlineStr">
        <is>
          <t xml:space="preserve">   جــامـع العفج  (اوقاف القويعي .</t>
        </is>
      </c>
      <c r="B479" t="inlineStr">
        <is>
          <t>KFM2020660196374</t>
        </is>
      </c>
      <c r="C479" t="inlineStr">
        <is>
          <t>الرين</t>
        </is>
      </c>
      <c r="D479" t="inlineStr">
        <is>
          <t>كلا الفترتين</t>
        </is>
      </c>
      <c r="E479" t="n">
        <v>1042</v>
      </c>
      <c r="F479" t="b">
        <v>0</v>
      </c>
      <c r="G479">
        <f>HYPERLINK("https://www.google.com/maps/search/?api=1&amp;query=23.56620755,45.60836529", "View Map")</f>
        <v/>
      </c>
    </row>
    <row r="480">
      <c r="A480" t="inlineStr">
        <is>
          <t>ﺍﻭﻗﺎﻑ ﻭﻤﺴﺎﺠﺩ ﺍﻟﺭﻴﻥ .</t>
        </is>
      </c>
      <c r="B480" t="inlineStr">
        <is>
          <t>AES2120896575089</t>
        </is>
      </c>
      <c r="C480" t="inlineStr">
        <is>
          <t>الرين</t>
        </is>
      </c>
      <c r="D480" t="inlineStr">
        <is>
          <t>كلا الفترتين</t>
        </is>
      </c>
      <c r="E480" t="n">
        <v>1039</v>
      </c>
      <c r="F480" t="b">
        <v>0</v>
      </c>
      <c r="G480">
        <f>HYPERLINK("https://www.google.com/maps/search/?api=1&amp;query=23.27130064,45.22166751", "View Map")</f>
        <v/>
      </c>
    </row>
    <row r="481">
      <c r="A481" t="inlineStr">
        <is>
          <t>مسجد ملفي شميس  السميري .</t>
        </is>
      </c>
      <c r="B481" t="inlineStr">
        <is>
          <t>KFM2020766093689</t>
        </is>
      </c>
      <c r="C481" t="inlineStr">
        <is>
          <t>عفيف</t>
        </is>
      </c>
      <c r="D481" t="inlineStr">
        <is>
          <t>كلا الفترتين</t>
        </is>
      </c>
      <c r="E481" t="n">
        <v>1037</v>
      </c>
      <c r="F481" t="b">
        <v>0</v>
      </c>
      <c r="G481">
        <f>HYPERLINK("https://www.google.com/maps/search/?api=1&amp;query=23.87524101,42.90851051", "View Map")</f>
        <v/>
      </c>
    </row>
    <row r="482">
      <c r="A482" t="inlineStr">
        <is>
          <t xml:space="preserve">    جــامـع الحلوه (اوقاف القويعيه) .</t>
        </is>
      </c>
      <c r="B482" t="inlineStr">
        <is>
          <t>AES2020896333044</t>
        </is>
      </c>
      <c r="C482" t="inlineStr">
        <is>
          <t>الرين</t>
        </is>
      </c>
      <c r="D482" t="inlineStr">
        <is>
          <t>كلا الفترتين</t>
        </is>
      </c>
      <c r="E482" t="n">
        <v>1037</v>
      </c>
      <c r="F482" t="b">
        <v>0</v>
      </c>
      <c r="G482">
        <f>HYPERLINK("https://www.google.com/maps/search/?api=1&amp;query=23.65536317,45.39125613", "View Map")</f>
        <v/>
      </c>
    </row>
    <row r="483">
      <c r="A483" t="inlineStr">
        <is>
          <t>ﻭﺯﺍﺭﺓﺍﻻﻭﻗﺎﻑ ـ ﺍﻭﻗﺎﻑ ﺴﺎﺠﺭ .</t>
        </is>
      </c>
      <c r="B483" t="inlineStr">
        <is>
          <t>ECC2320831055029</t>
        </is>
      </c>
      <c r="C483" t="inlineStr">
        <is>
          <t>الدوادمي</t>
        </is>
      </c>
      <c r="D483" t="inlineStr">
        <is>
          <t>كلا الفترتين</t>
        </is>
      </c>
      <c r="E483" t="n">
        <v>1037</v>
      </c>
      <c r="F483" t="b">
        <v>1</v>
      </c>
      <c r="G483">
        <f>HYPERLINK("https://www.google.com/maps/search/?api=1&amp;query=25.1569913,44.60630394", "View Map")</f>
        <v/>
      </c>
    </row>
    <row r="484">
      <c r="A484" t="inlineStr">
        <is>
          <t xml:space="preserve"> اوقاف القويعيه - مسجدابار بالحرمليه .</t>
        </is>
      </c>
      <c r="B484" t="inlineStr">
        <is>
          <t>AES2020896298893</t>
        </is>
      </c>
      <c r="C484" t="inlineStr">
        <is>
          <t>القويعية</t>
        </is>
      </c>
      <c r="D484" t="inlineStr">
        <is>
          <t>كلا الفترتين</t>
        </is>
      </c>
      <c r="E484" t="n">
        <v>1036</v>
      </c>
      <c r="F484" t="b">
        <v>0</v>
      </c>
      <c r="G484">
        <f>HYPERLINK("https://www.google.com/maps/search/?api=1&amp;query=24.24892357,45.16546891", "View Map")</f>
        <v/>
      </c>
    </row>
    <row r="485">
      <c r="A485" t="inlineStr">
        <is>
          <t xml:space="preserve">   مسجد/الاميرمتعب      بالقاعيه .</t>
        </is>
      </c>
      <c r="B485" t="inlineStr">
        <is>
          <t>KFM2020660171176</t>
        </is>
      </c>
      <c r="C485" t="inlineStr">
        <is>
          <t>الدوادمي</t>
        </is>
      </c>
      <c r="D485" t="inlineStr">
        <is>
          <t>كلا الفترتين</t>
        </is>
      </c>
      <c r="E485" t="n">
        <v>1034</v>
      </c>
      <c r="F485" t="b">
        <v>0</v>
      </c>
      <c r="G485">
        <f>HYPERLINK("https://www.google.com/maps/search/?api=1&amp;query=24.31017508,43.50979521", "View Map")</f>
        <v/>
      </c>
    </row>
    <row r="486">
      <c r="A486" t="inlineStr">
        <is>
          <t xml:space="preserve">   مسجد      ام رديهة  /////// .</t>
        </is>
      </c>
      <c r="B486" t="inlineStr">
        <is>
          <t>AES2020896531045</t>
        </is>
      </c>
      <c r="C486" t="inlineStr">
        <is>
          <t>الدوادمي</t>
        </is>
      </c>
      <c r="D486" t="inlineStr">
        <is>
          <t>كلا الفترتين</t>
        </is>
      </c>
      <c r="E486" t="n">
        <v>1033</v>
      </c>
      <c r="F486" t="b">
        <v>0</v>
      </c>
      <c r="G486">
        <f>HYPERLINK("https://www.google.com/maps/search/?api=1&amp;query=24.66012752,43.64279789", "View Map")</f>
        <v/>
      </c>
    </row>
    <row r="487">
      <c r="A487" t="inlineStr">
        <is>
          <t xml:space="preserve">   اوقاف القويعيه/مسجدمسفرعريج .</t>
        </is>
      </c>
      <c r="B487" t="inlineStr">
        <is>
          <t>AES2020896460470</t>
        </is>
      </c>
      <c r="C487" t="inlineStr">
        <is>
          <t>القويعية</t>
        </is>
      </c>
      <c r="D487" t="inlineStr">
        <is>
          <t>كلا الفترتين</t>
        </is>
      </c>
      <c r="E487" t="n">
        <v>1030</v>
      </c>
      <c r="F487" t="b">
        <v>0</v>
      </c>
      <c r="G487">
        <f>HYPERLINK("https://www.google.com/maps/search/?api=1&amp;query=24.33064733,45.7602704", "View Map")</f>
        <v/>
      </c>
    </row>
    <row r="488">
      <c r="A488" t="inlineStr">
        <is>
          <t xml:space="preserve">   مسجدهجرةبدائع ذوي زياد .</t>
        </is>
      </c>
      <c r="B488" t="inlineStr">
        <is>
          <t>KFM2020766146025</t>
        </is>
      </c>
      <c r="C488" t="inlineStr">
        <is>
          <t>ضرما</t>
        </is>
      </c>
      <c r="D488" t="inlineStr">
        <is>
          <t>كلا الفترتين</t>
        </is>
      </c>
      <c r="E488" t="n">
        <v>1030</v>
      </c>
      <c r="F488" t="b">
        <v>0</v>
      </c>
      <c r="G488">
        <f>HYPERLINK("https://www.google.com/maps/search/?api=1&amp;query=24.73419814,45.79676895", "View Map")</f>
        <v/>
      </c>
    </row>
    <row r="489">
      <c r="A489" t="inlineStr">
        <is>
          <t xml:space="preserve">   مسجد حي السليمانية بالقرين .</t>
        </is>
      </c>
      <c r="B489" t="inlineStr">
        <is>
          <t>AES2020896450318</t>
        </is>
      </c>
      <c r="C489" t="inlineStr">
        <is>
          <t>الدوادمي</t>
        </is>
      </c>
      <c r="D489" t="inlineStr">
        <is>
          <t>كلا الفترتين</t>
        </is>
      </c>
      <c r="E489" t="n">
        <v>1027</v>
      </c>
      <c r="F489" t="b">
        <v>0</v>
      </c>
      <c r="G489">
        <f>HYPERLINK("https://www.google.com/maps/search/?api=1&amp;query=24.72948303,43.78543133", "View Map")</f>
        <v/>
      </c>
    </row>
    <row r="490">
      <c r="A490" t="inlineStr">
        <is>
          <t xml:space="preserve">   جامع.     ابن       نومه .</t>
        </is>
      </c>
      <c r="B490" t="inlineStr">
        <is>
          <t>AES2020896318166</t>
        </is>
      </c>
      <c r="C490" t="inlineStr">
        <is>
          <t>القويعية</t>
        </is>
      </c>
      <c r="D490" t="inlineStr">
        <is>
          <t>كلا الفترتين</t>
        </is>
      </c>
      <c r="E490" t="n">
        <v>1026</v>
      </c>
      <c r="F490" t="b">
        <v>0</v>
      </c>
      <c r="G490">
        <f>HYPERLINK("https://www.google.com/maps/search/?api=1&amp;query=24.34899879,45.80779992", "View Map")</f>
        <v/>
      </c>
    </row>
    <row r="491">
      <c r="A491" t="inlineStr">
        <is>
          <t xml:space="preserve">   فهيد سعيد عوير / مسجد اهلي .</t>
        </is>
      </c>
      <c r="B491" t="inlineStr">
        <is>
          <t>AES2020896463117</t>
        </is>
      </c>
      <c r="C491" t="inlineStr">
        <is>
          <t>الرين</t>
        </is>
      </c>
      <c r="D491" t="inlineStr">
        <is>
          <t>كلا الفترتين</t>
        </is>
      </c>
      <c r="E491" t="n">
        <v>1021</v>
      </c>
      <c r="F491" t="b">
        <v>0</v>
      </c>
      <c r="G491">
        <f>HYPERLINK("https://www.google.com/maps/search/?api=1&amp;query=22.79998449,45.16158818", "View Map")</f>
        <v/>
      </c>
    </row>
    <row r="492">
      <c r="A492" t="inlineStr">
        <is>
          <t>ﻭﺯﺍﺭﺓﺍﻻﻭﻗﺎﻑ ـ ﺍﻭﻗﺎﻑ ﺍﻟﺩﻭﺍﺩﻤﻲ .</t>
        </is>
      </c>
      <c r="B492" t="inlineStr">
        <is>
          <t>KFM2020660224607</t>
        </is>
      </c>
      <c r="C492" t="inlineStr">
        <is>
          <t>الدوادمي</t>
        </is>
      </c>
      <c r="D492" t="inlineStr">
        <is>
          <t>كلا الفترتين</t>
        </is>
      </c>
      <c r="E492" t="n">
        <v>1021</v>
      </c>
      <c r="F492" t="b">
        <v>0</v>
      </c>
      <c r="G492">
        <f>HYPERLINK("https://www.google.com/maps/search/?api=1&amp;query=24.48673631,44.3841789", "View Map")</f>
        <v/>
      </c>
    </row>
    <row r="493">
      <c r="A493" t="inlineStr">
        <is>
          <t xml:space="preserve">   جامع      الدخل     بمزعل .</t>
        </is>
      </c>
      <c r="B493" t="inlineStr">
        <is>
          <t>KFM2020660234255</t>
        </is>
      </c>
      <c r="C493" t="inlineStr">
        <is>
          <t>القويعية</t>
        </is>
      </c>
      <c r="D493" t="inlineStr">
        <is>
          <t>كلا الفترتين</t>
        </is>
      </c>
      <c r="E493" t="n">
        <v>1016</v>
      </c>
      <c r="F493" t="b">
        <v>0</v>
      </c>
      <c r="G493">
        <f>HYPERLINK("https://www.google.com/maps/search/?api=1&amp;query=23.98850851,45.16562836", "View Map")</f>
        <v/>
      </c>
    </row>
    <row r="494">
      <c r="A494" t="inlineStr">
        <is>
          <t xml:space="preserve">   مسجد      النداح    //////// .</t>
        </is>
      </c>
      <c r="B494" t="inlineStr">
        <is>
          <t>KFM2020760082761</t>
        </is>
      </c>
      <c r="C494" t="inlineStr">
        <is>
          <t>الدوادمي</t>
        </is>
      </c>
      <c r="D494" t="inlineStr">
        <is>
          <t>كلا الفترتين</t>
        </is>
      </c>
      <c r="E494" t="n">
        <v>1013</v>
      </c>
      <c r="F494" t="b">
        <v>1</v>
      </c>
      <c r="G494">
        <f>HYPERLINK("https://www.google.com/maps/search/?api=1&amp;query=24.45988799,44.35890947", "View Map")</f>
        <v/>
      </c>
    </row>
    <row r="495">
      <c r="A495" t="inlineStr">
        <is>
          <t xml:space="preserve">   اوقاف القويعيه /مسجدالورود .</t>
        </is>
      </c>
      <c r="B495" t="inlineStr">
        <is>
          <t>KFM2020660210079</t>
        </is>
      </c>
      <c r="C495" t="inlineStr">
        <is>
          <t>القويعية</t>
        </is>
      </c>
      <c r="D495" t="inlineStr">
        <is>
          <t>كلا الفترتين</t>
        </is>
      </c>
      <c r="E495" t="n">
        <v>1011</v>
      </c>
      <c r="F495" t="b">
        <v>0</v>
      </c>
      <c r="G495">
        <f>HYPERLINK("https://www.google.com/maps/search/?api=1&amp;query=24.06606922,45.29991077", "View Map")</f>
        <v/>
      </c>
    </row>
    <row r="496">
      <c r="A496" t="inlineStr">
        <is>
          <t xml:space="preserve">   مسجد/خزام (وزاره الاوقاف والمساجد .</t>
        </is>
      </c>
      <c r="B496" t="inlineStr">
        <is>
          <t>KFM2020660204196</t>
        </is>
      </c>
      <c r="C496" t="inlineStr">
        <is>
          <t>الدوادمي</t>
        </is>
      </c>
      <c r="D496" t="inlineStr">
        <is>
          <t>كلا الفترتين</t>
        </is>
      </c>
      <c r="E496" t="n">
        <v>1010</v>
      </c>
      <c r="F496" t="b">
        <v>0</v>
      </c>
      <c r="G496">
        <f>HYPERLINK("https://www.google.com/maps/search/?api=1&amp;query=25.19855617,44.20171961", "View Map")</f>
        <v/>
      </c>
    </row>
    <row r="497">
      <c r="A497" t="inlineStr">
        <is>
          <t>ﺍﻭﻗﺎﻑ ﻭﻤﺴﺎﺠﺩ ﺍﻟﻤﺯﺍﺤﻤﻴﻩ .</t>
        </is>
      </c>
      <c r="B497" t="inlineStr">
        <is>
          <t>ECC2320831078202</t>
        </is>
      </c>
      <c r="C497" t="inlineStr">
        <is>
          <t>المزاحمية</t>
        </is>
      </c>
      <c r="D497" t="inlineStr">
        <is>
          <t>صباحا</t>
        </is>
      </c>
      <c r="E497" t="n">
        <v>1009</v>
      </c>
      <c r="F497" t="b">
        <v>0</v>
      </c>
      <c r="G497">
        <f>HYPERLINK("https://www.google.com/maps/search/?api=1&amp;query=24.48466457,46.26776487", "View Map")</f>
        <v/>
      </c>
    </row>
    <row r="498">
      <c r="A498" t="inlineStr">
        <is>
          <t xml:space="preserve">   مسجد/     الشويميه  /////// .</t>
        </is>
      </c>
      <c r="B498" t="inlineStr">
        <is>
          <t>AES2020896471461</t>
        </is>
      </c>
      <c r="C498" t="inlineStr">
        <is>
          <t>الدوادمي</t>
        </is>
      </c>
      <c r="D498" t="inlineStr">
        <is>
          <t>كلا الفترتين</t>
        </is>
      </c>
      <c r="E498" t="n">
        <v>1004</v>
      </c>
      <c r="F498" t="b">
        <v>0</v>
      </c>
      <c r="G498">
        <f>HYPERLINK("https://www.google.com/maps/search/?api=1&amp;query=24.59975,43.53307639", "View Map")</f>
        <v/>
      </c>
    </row>
    <row r="499">
      <c r="A499" t="inlineStr">
        <is>
          <t xml:space="preserve">   مسجد/محمدعبدالمحسن الحنتوشي .</t>
        </is>
      </c>
      <c r="B499" t="inlineStr">
        <is>
          <t>ECC2020811086123</t>
        </is>
      </c>
      <c r="C499" t="inlineStr">
        <is>
          <t>الدوادمي</t>
        </is>
      </c>
      <c r="D499" t="inlineStr">
        <is>
          <t>كلا الفترتين</t>
        </is>
      </c>
      <c r="E499" t="n">
        <v>1004</v>
      </c>
      <c r="F499" t="b">
        <v>1</v>
      </c>
      <c r="G499">
        <f>HYPERLINK("https://www.google.com/maps/search/?api=1&amp;query=25.19341282,44.60036332", "View Map")</f>
        <v/>
      </c>
    </row>
    <row r="500">
      <c r="A500" t="inlineStr">
        <is>
          <t xml:space="preserve">   مسجد/حي الصحافة بالقرين .</t>
        </is>
      </c>
      <c r="B500" t="inlineStr">
        <is>
          <t>AES2020896525138</t>
        </is>
      </c>
      <c r="C500" t="inlineStr">
        <is>
          <t>الدوادمي</t>
        </is>
      </c>
      <c r="D500" t="inlineStr">
        <is>
          <t>كلا الفترتين</t>
        </is>
      </c>
      <c r="E500" t="n">
        <v>1001</v>
      </c>
      <c r="F500" t="b">
        <v>0</v>
      </c>
      <c r="G500">
        <f>HYPERLINK("https://www.google.com/maps/search/?api=1&amp;query=24.73576653,43.78585325", "View Map")</f>
        <v/>
      </c>
    </row>
    <row r="501">
      <c r="A501" t="inlineStr">
        <is>
          <t xml:space="preserve">   اوقاف المزاحميه ـ مسجدحى الزهره .</t>
        </is>
      </c>
      <c r="B501" t="inlineStr">
        <is>
          <t>KFM2020660208948</t>
        </is>
      </c>
      <c r="C501" t="inlineStr">
        <is>
          <t>القويعية</t>
        </is>
      </c>
      <c r="D501" t="inlineStr">
        <is>
          <t>كلا الفترتين</t>
        </is>
      </c>
      <c r="E501" t="n">
        <v>1000</v>
      </c>
      <c r="F501" t="b">
        <v>0</v>
      </c>
      <c r="G501">
        <f>HYPERLINK("https://www.google.com/maps/search/?api=1&amp;query=24.34791713,45.82786863", "View Map")</f>
        <v/>
      </c>
    </row>
    <row r="502">
      <c r="A502" t="inlineStr">
        <is>
          <t xml:space="preserve">   مسجد      الا برار   بعروى .</t>
        </is>
      </c>
      <c r="B502" t="inlineStr">
        <is>
          <t>KFM2020660199291</t>
        </is>
      </c>
      <c r="C502" t="inlineStr">
        <is>
          <t>الدوادمي</t>
        </is>
      </c>
      <c r="D502" t="inlineStr">
        <is>
          <t>كلا الفترتين</t>
        </is>
      </c>
      <c r="E502" t="n">
        <v>995</v>
      </c>
      <c r="F502" t="b">
        <v>1</v>
      </c>
      <c r="G502">
        <f>HYPERLINK("https://www.google.com/maps/search/?api=1&amp;query=23.90913394,44.6342597", "View Map")</f>
        <v/>
      </c>
    </row>
    <row r="503">
      <c r="A503" t="inlineStr">
        <is>
          <t>ﺍﻭﻗﺎﻑ ﻭﻤﺴﺎﺠﺩ ﺍﻟﻤﺯﺍﺤﻤﻴﻩ .</t>
        </is>
      </c>
      <c r="B503" t="inlineStr">
        <is>
          <t>SMR2020765006018</t>
        </is>
      </c>
      <c r="C503" t="inlineStr">
        <is>
          <t>المزاحمية</t>
        </is>
      </c>
      <c r="D503" t="inlineStr">
        <is>
          <t>كلا الفترتين</t>
        </is>
      </c>
      <c r="E503" t="n">
        <v>995</v>
      </c>
      <c r="F503" t="b">
        <v>0</v>
      </c>
      <c r="G503">
        <f>HYPERLINK("https://www.google.com/maps/search/?api=1&amp;query=24.46187138,46.25674231", "View Map")</f>
        <v/>
      </c>
    </row>
    <row r="504">
      <c r="A504" t="inlineStr">
        <is>
          <t>ﺍﻭﻗﺎﻑ ﻭﻤﺴﺎﺠﺩ ﺍﻟﺭﻴﻥ .</t>
        </is>
      </c>
      <c r="B504" t="inlineStr">
        <is>
          <t>KFM2020766163489</t>
        </is>
      </c>
      <c r="C504" t="inlineStr">
        <is>
          <t>الرين</t>
        </is>
      </c>
      <c r="D504" t="inlineStr">
        <is>
          <t>كلا الفترتين</t>
        </is>
      </c>
      <c r="E504" t="n">
        <v>993</v>
      </c>
      <c r="F504" t="b">
        <v>0</v>
      </c>
      <c r="G504">
        <f>HYPERLINK("https://www.google.com/maps/search/?api=1&amp;query=23.5311592,45.51496745", "View Map")</f>
        <v/>
      </c>
    </row>
    <row r="505">
      <c r="A505" t="inlineStr">
        <is>
          <t>ﻭﺯﺍﺭﺓﺍﻻﻭﻗﺎﻑ ـ ﺍﻭﻗﺎﻑ ﺴﺎﺠﺭ .</t>
        </is>
      </c>
      <c r="B505" t="inlineStr">
        <is>
          <t>KFM2020760208815</t>
        </is>
      </c>
      <c r="C505" t="inlineStr">
        <is>
          <t>الدوادمي</t>
        </is>
      </c>
      <c r="D505" t="inlineStr">
        <is>
          <t>كلا الفترتين</t>
        </is>
      </c>
      <c r="E505" t="n">
        <v>992</v>
      </c>
      <c r="F505" t="b">
        <v>1</v>
      </c>
      <c r="G505">
        <f>HYPERLINK("https://www.google.com/maps/search/?api=1&amp;query=25.37763757,44.44068938", "View Map")</f>
        <v/>
      </c>
    </row>
    <row r="506">
      <c r="A506" t="inlineStr">
        <is>
          <t xml:space="preserve">   اوقاف الرين مسجد جامع العناديه .</t>
        </is>
      </c>
      <c r="B506" t="inlineStr">
        <is>
          <t>AES2120896601156</t>
        </is>
      </c>
      <c r="C506" t="inlineStr">
        <is>
          <t>الرين</t>
        </is>
      </c>
      <c r="D506" t="inlineStr">
        <is>
          <t>كلا الفترتين</t>
        </is>
      </c>
      <c r="E506" t="n">
        <v>992</v>
      </c>
      <c r="F506" t="b">
        <v>0</v>
      </c>
      <c r="G506">
        <f>HYPERLINK("https://www.google.com/maps/search/?api=1&amp;query=23.35940114,45.56717064", "View Map")</f>
        <v/>
      </c>
    </row>
    <row r="507">
      <c r="A507" t="inlineStr">
        <is>
          <t xml:space="preserve">   جامع / المغزل .</t>
        </is>
      </c>
      <c r="B507" t="inlineStr">
        <is>
          <t>KFM2120660248773</t>
        </is>
      </c>
      <c r="C507" t="inlineStr">
        <is>
          <t>الدوادمي</t>
        </is>
      </c>
      <c r="D507" t="inlineStr">
        <is>
          <t>كلا الفترتين</t>
        </is>
      </c>
      <c r="E507" t="n">
        <v>990</v>
      </c>
      <c r="F507" t="b">
        <v>1</v>
      </c>
      <c r="G507">
        <f>HYPERLINK("https://www.google.com/maps/search/?api=1&amp;query=25.1701483,44.22521572", "View Map")</f>
        <v/>
      </c>
    </row>
    <row r="508">
      <c r="A508" t="inlineStr">
        <is>
          <t xml:space="preserve">   اوقاف الرين /مسجدالزايديه .</t>
        </is>
      </c>
      <c r="B508" t="inlineStr">
        <is>
          <t>AES2020896525027</t>
        </is>
      </c>
      <c r="C508" t="inlineStr">
        <is>
          <t>الرين</t>
        </is>
      </c>
      <c r="D508" t="inlineStr">
        <is>
          <t>كلا الفترتين</t>
        </is>
      </c>
      <c r="E508" t="n">
        <v>990</v>
      </c>
      <c r="F508" t="b">
        <v>0</v>
      </c>
      <c r="G508">
        <f>HYPERLINK("https://www.google.com/maps/search/?api=1&amp;query=23.47821488,45.76748388", "View Map")</f>
        <v/>
      </c>
    </row>
    <row r="509">
      <c r="A509" t="inlineStr">
        <is>
          <t xml:space="preserve">   مسجد/     حي السعديهوزارةالاوقاف .</t>
        </is>
      </c>
      <c r="B509" t="inlineStr">
        <is>
          <t>MMF2420801306772</t>
        </is>
      </c>
      <c r="C509" t="inlineStr">
        <is>
          <t>الدوادمي</t>
        </is>
      </c>
      <c r="D509" t="inlineStr">
        <is>
          <t>كلا الفترتين</t>
        </is>
      </c>
      <c r="E509" t="n">
        <v>989</v>
      </c>
      <c r="F509" t="b">
        <v>0</v>
      </c>
      <c r="G509">
        <f>HYPERLINK("https://www.google.com/maps/search/?api=1&amp;query=24.73173517,43.77935401", "View Map")</f>
        <v/>
      </c>
    </row>
    <row r="510">
      <c r="A510" t="inlineStr">
        <is>
          <t xml:space="preserve">   مسجد رقم2 بالمخطط 906 حي الأندلس .</t>
        </is>
      </c>
      <c r="B510" t="inlineStr">
        <is>
          <t>AES2020896529528</t>
        </is>
      </c>
      <c r="C510" t="inlineStr">
        <is>
          <t>الرين</t>
        </is>
      </c>
      <c r="D510" t="inlineStr">
        <is>
          <t>كلا الفترتين</t>
        </is>
      </c>
      <c r="E510" t="n">
        <v>989</v>
      </c>
      <c r="F510" t="b">
        <v>0</v>
      </c>
      <c r="G510">
        <f>HYPERLINK("https://www.google.com/maps/search/?api=1&amp;query=23.22779555,45.53071492", "View Map")</f>
        <v/>
      </c>
    </row>
    <row r="511">
      <c r="A511" t="inlineStr">
        <is>
          <t xml:space="preserve"> اوقاف القويعيه/مسجدعبدالعزيزالحاضر .</t>
        </is>
      </c>
      <c r="B511" t="inlineStr">
        <is>
          <t>AES2020896279782</t>
        </is>
      </c>
      <c r="C511" t="inlineStr">
        <is>
          <t>القويعية</t>
        </is>
      </c>
      <c r="D511" t="inlineStr">
        <is>
          <t>صباحا</t>
        </is>
      </c>
      <c r="E511" t="n">
        <v>985</v>
      </c>
      <c r="F511" t="b">
        <v>0</v>
      </c>
      <c r="G511">
        <f>HYPERLINK("https://www.google.com/maps/search/?api=1&amp;query=24.06628541,45.05062219", "View Map")</f>
        <v/>
      </c>
    </row>
    <row r="512">
      <c r="A512" t="inlineStr">
        <is>
          <t xml:space="preserve">   مسجد هويلة .          . .</t>
        </is>
      </c>
      <c r="B512" t="inlineStr">
        <is>
          <t>KFM2020660189662</t>
        </is>
      </c>
      <c r="C512" t="inlineStr">
        <is>
          <t>الدوادمي</t>
        </is>
      </c>
      <c r="D512" t="inlineStr">
        <is>
          <t>كلا الفترتين</t>
        </is>
      </c>
      <c r="E512" t="n">
        <v>979</v>
      </c>
      <c r="F512" t="b">
        <v>0</v>
      </c>
      <c r="G512">
        <f>HYPERLINK("https://www.google.com/maps/search/?api=1&amp;query=24.50384924,44.391134", "View Map")</f>
        <v/>
      </c>
    </row>
    <row r="513">
      <c r="A513" t="inlineStr">
        <is>
          <t xml:space="preserve">   مسجد/مفرس بداي باين .</t>
        </is>
      </c>
      <c r="B513" t="inlineStr">
        <is>
          <t>KFM2020766077189</t>
        </is>
      </c>
      <c r="C513" t="inlineStr">
        <is>
          <t>الدوادمي</t>
        </is>
      </c>
      <c r="D513" t="inlineStr">
        <is>
          <t>كلا الفترتين</t>
        </is>
      </c>
      <c r="E513" t="n">
        <v>978</v>
      </c>
      <c r="F513" t="b">
        <v>0</v>
      </c>
      <c r="G513">
        <f>HYPERLINK("https://www.google.com/maps/search/?api=1&amp;query=24.52822667,43.900095", "View Map")</f>
        <v/>
      </c>
    </row>
    <row r="514">
      <c r="A514" t="inlineStr">
        <is>
          <t xml:space="preserve">    مسجد/     الهلاليه   الجامع .</t>
        </is>
      </c>
      <c r="B514" t="inlineStr">
        <is>
          <t>KFM2020766102024</t>
        </is>
      </c>
      <c r="C514" t="inlineStr">
        <is>
          <t>الدوادمي</t>
        </is>
      </c>
      <c r="D514" t="inlineStr">
        <is>
          <t>كلا الفترتين</t>
        </is>
      </c>
      <c r="E514" t="n">
        <v>977</v>
      </c>
      <c r="F514" t="b">
        <v>0</v>
      </c>
      <c r="G514">
        <f>HYPERLINK("https://www.google.com/maps/search/?api=1&amp;query=24.59398158,43.62714307", "View Map")</f>
        <v/>
      </c>
    </row>
    <row r="515">
      <c r="A515" t="inlineStr">
        <is>
          <t xml:space="preserve">   مسجد      وثيلا ن    بعروى .</t>
        </is>
      </c>
      <c r="B515" t="inlineStr">
        <is>
          <t>AES2020896249991</t>
        </is>
      </c>
      <c r="C515" t="inlineStr">
        <is>
          <t>القويعية</t>
        </is>
      </c>
      <c r="D515" t="inlineStr">
        <is>
          <t>كلا الفترتين</t>
        </is>
      </c>
      <c r="E515" t="n">
        <v>976</v>
      </c>
      <c r="F515" t="b">
        <v>0</v>
      </c>
      <c r="G515">
        <f>HYPERLINK("https://www.google.com/maps/search/?api=1&amp;query=23.76516473,44.72807497", "View Map")</f>
        <v/>
      </c>
    </row>
    <row r="516">
      <c r="A516" t="inlineStr">
        <is>
          <t>ﻭﺯﺍﺭﺓﺍﻻﻭﻗﺎﻑ ـ ﺍﻭﻗﺎﻑ ﺍﻟﺩﻭﺍﺩﻤﻲ .</t>
        </is>
      </c>
      <c r="B516" t="inlineStr">
        <is>
          <t>KFM2120660267432</t>
        </is>
      </c>
      <c r="C516" t="inlineStr">
        <is>
          <t>الدوادمي</t>
        </is>
      </c>
      <c r="D516" t="inlineStr">
        <is>
          <t>كلا الفترتين</t>
        </is>
      </c>
      <c r="E516" t="n">
        <v>975</v>
      </c>
      <c r="F516" t="b">
        <v>1</v>
      </c>
      <c r="G516">
        <f>HYPERLINK("https://www.google.com/maps/search/?api=1&amp;query=24.52590159,44.39200649", "View Map")</f>
        <v/>
      </c>
    </row>
    <row r="517">
      <c r="A517" t="inlineStr">
        <is>
          <t xml:space="preserve">   جامع      الرفيعة   /// .</t>
        </is>
      </c>
      <c r="B517" t="inlineStr">
        <is>
          <t>KFM2020660223729</t>
        </is>
      </c>
      <c r="C517" t="inlineStr">
        <is>
          <t>الدوادمي</t>
        </is>
      </c>
      <c r="D517" t="inlineStr">
        <is>
          <t>كلا الفترتين</t>
        </is>
      </c>
      <c r="E517" t="n">
        <v>975</v>
      </c>
      <c r="F517" t="b">
        <v>0</v>
      </c>
      <c r="G517">
        <f>HYPERLINK("https://www.google.com/maps/search/?api=1&amp;query=24.29126221,43.68498399", "View Map")</f>
        <v/>
      </c>
    </row>
    <row r="518">
      <c r="A518" t="inlineStr">
        <is>
          <t xml:space="preserve">   مسجد      الشبح     عفيف .</t>
        </is>
      </c>
      <c r="B518" t="inlineStr">
        <is>
          <t>KFM2120660264989</t>
        </is>
      </c>
      <c r="C518" t="inlineStr">
        <is>
          <t>عفيف</t>
        </is>
      </c>
      <c r="D518" t="inlineStr">
        <is>
          <t>كلا الفترتين</t>
        </is>
      </c>
      <c r="E518" t="n">
        <v>973</v>
      </c>
      <c r="F518" t="b">
        <v>0</v>
      </c>
      <c r="G518">
        <f>HYPERLINK("https://www.google.com/maps/search/?api=1&amp;query=23.91677189,42.93534483", "View Map")</f>
        <v/>
      </c>
    </row>
    <row r="519">
      <c r="A519" t="inlineStr">
        <is>
          <t>ﻭﺯﺍﺭﺓﺍﻻﻭﻗﺎﻑ ـ ﺍﻭﻗﺎﻑ ﺍﻟﺩﻭﺍﺩﻤﻲ .</t>
        </is>
      </c>
      <c r="B519" t="inlineStr">
        <is>
          <t>MMF2020800111745</t>
        </is>
      </c>
      <c r="C519" t="inlineStr">
        <is>
          <t>الدوادمي</t>
        </is>
      </c>
      <c r="D519" t="inlineStr">
        <is>
          <t>كلا الفترتين</t>
        </is>
      </c>
      <c r="E519" t="n">
        <v>973</v>
      </c>
      <c r="F519" t="b">
        <v>1</v>
      </c>
      <c r="G519">
        <f>HYPERLINK("https://www.google.com/maps/search/?api=1&amp;query=24.56182285,44.45489738", "View Map")</f>
        <v/>
      </c>
    </row>
    <row r="520">
      <c r="A520" t="inlineStr">
        <is>
          <t xml:space="preserve">   جامع  عجاج .</t>
        </is>
      </c>
      <c r="B520" t="inlineStr">
        <is>
          <t>KFM2020766162413</t>
        </is>
      </c>
      <c r="C520" t="inlineStr">
        <is>
          <t>المزاحمية</t>
        </is>
      </c>
      <c r="D520" t="inlineStr">
        <is>
          <t>كلا الفترتين</t>
        </is>
      </c>
      <c r="E520" t="n">
        <v>971</v>
      </c>
      <c r="F520" t="b">
        <v>0</v>
      </c>
      <c r="G520">
        <f>HYPERLINK("https://www.google.com/maps/search/?api=1&amp;query=24.16795866,46.43924405", "View Map")</f>
        <v/>
      </c>
    </row>
    <row r="521">
      <c r="A521" t="inlineStr">
        <is>
          <t xml:space="preserve">   مسجد الطريق العام /م 487 .</t>
        </is>
      </c>
      <c r="B521" t="inlineStr">
        <is>
          <t>KFM2020660156064</t>
        </is>
      </c>
      <c r="C521" t="inlineStr">
        <is>
          <t>الدوادمي</t>
        </is>
      </c>
      <c r="D521" t="inlineStr">
        <is>
          <t>كلا الفترتين</t>
        </is>
      </c>
      <c r="E521" t="n">
        <v>971</v>
      </c>
      <c r="F521" t="b">
        <v>0</v>
      </c>
      <c r="G521">
        <f>HYPERLINK("https://www.google.com/maps/search/?api=1&amp;query=24.52434182,44.42230074", "View Map")</f>
        <v/>
      </c>
    </row>
    <row r="522">
      <c r="A522" t="inlineStr">
        <is>
          <t>مسجد / هاجر .</t>
        </is>
      </c>
      <c r="B522" t="inlineStr">
        <is>
          <t>KFM2020660171083</t>
        </is>
      </c>
      <c r="C522" t="inlineStr">
        <is>
          <t>الدوادمي</t>
        </is>
      </c>
      <c r="D522" t="inlineStr">
        <is>
          <t>كلا الفترتين</t>
        </is>
      </c>
      <c r="E522" t="n">
        <v>969</v>
      </c>
      <c r="F522" t="b">
        <v>0</v>
      </c>
      <c r="G522">
        <f>HYPERLINK("https://www.google.com/maps/search/?api=1&amp;query=25.19885511,44.59492049", "View Map")</f>
        <v/>
      </c>
    </row>
    <row r="523">
      <c r="A523" t="inlineStr">
        <is>
          <t xml:space="preserve">   جامع/ الحي الشمالي .</t>
        </is>
      </c>
      <c r="B523" t="inlineStr">
        <is>
          <t>KFM2120660241438</t>
        </is>
      </c>
      <c r="C523" t="inlineStr">
        <is>
          <t>الدوادمي</t>
        </is>
      </c>
      <c r="D523" t="inlineStr">
        <is>
          <t>كلا الفترتين</t>
        </is>
      </c>
      <c r="E523" t="n">
        <v>968</v>
      </c>
      <c r="F523" t="b">
        <v>1</v>
      </c>
      <c r="G523">
        <f>HYPERLINK("https://www.google.com/maps/search/?api=1&amp;query=24.5322159,44.41345395", "View Map")</f>
        <v/>
      </c>
    </row>
    <row r="524">
      <c r="A524" t="inlineStr">
        <is>
          <t xml:space="preserve">   مسجد هجره الوسيطى .</t>
        </is>
      </c>
      <c r="B524" t="inlineStr">
        <is>
          <t>SMR2220761006113</t>
        </is>
      </c>
      <c r="C524" t="inlineStr">
        <is>
          <t>المزاحمية</t>
        </is>
      </c>
      <c r="D524" t="inlineStr">
        <is>
          <t>كلا الفترتين</t>
        </is>
      </c>
      <c r="E524" t="n">
        <v>968</v>
      </c>
      <c r="F524" t="b">
        <v>0</v>
      </c>
      <c r="G524">
        <f>HYPERLINK("https://www.google.com/maps/search/?api=1&amp;query=24.13628627,46.31287803", "View Map")</f>
        <v/>
      </c>
    </row>
    <row r="525">
      <c r="A525" t="inlineStr">
        <is>
          <t>ﻭﺯﺍﺭﺓﺍﻻﻭﻗﺎﻑ _ﺍﻭﻗﺎﻑ ﺍﻟﺠﻤﺵ .</t>
        </is>
      </c>
      <c r="B525" t="inlineStr">
        <is>
          <t>LYE2020830251149</t>
        </is>
      </c>
      <c r="C525" t="inlineStr">
        <is>
          <t>الدوادمي</t>
        </is>
      </c>
      <c r="D525" t="inlineStr">
        <is>
          <t>كلا الفترتين</t>
        </is>
      </c>
      <c r="E525" t="n">
        <v>966</v>
      </c>
      <c r="F525" t="b">
        <v>0</v>
      </c>
      <c r="G525">
        <f>HYPERLINK("https://www.google.com/maps/search/?api=1&amp;query=25.13643382,43.47864151", "View Map")</f>
        <v/>
      </c>
    </row>
    <row r="526">
      <c r="A526" t="inlineStr">
        <is>
          <t xml:space="preserve">   مسجد / عمير بن وهـب .</t>
        </is>
      </c>
      <c r="B526" t="inlineStr">
        <is>
          <t>KFM2020760113823</t>
        </is>
      </c>
      <c r="C526" t="inlineStr">
        <is>
          <t>الدوادمي</t>
        </is>
      </c>
      <c r="D526" t="inlineStr">
        <is>
          <t>كلا الفترتين</t>
        </is>
      </c>
      <c r="E526" t="n">
        <v>960</v>
      </c>
      <c r="F526" t="b">
        <v>0</v>
      </c>
      <c r="G526">
        <f>HYPERLINK("https://www.google.com/maps/search/?api=1&amp;query=24.54456886,44.43271592", "View Map")</f>
        <v/>
      </c>
    </row>
    <row r="527">
      <c r="A527" t="inlineStr">
        <is>
          <t xml:space="preserve">   مسجد      ال مفرج   ا .</t>
        </is>
      </c>
      <c r="B527" t="inlineStr">
        <is>
          <t>AES2020896061524</t>
        </is>
      </c>
      <c r="C527" t="inlineStr">
        <is>
          <t>المزاحمية</t>
        </is>
      </c>
      <c r="D527" t="inlineStr">
        <is>
          <t>كلا الفترتين</t>
        </is>
      </c>
      <c r="E527" t="n">
        <v>959</v>
      </c>
      <c r="F527" t="b">
        <v>0</v>
      </c>
      <c r="G527">
        <f>HYPERLINK("https://www.google.com/maps/search/?api=1&amp;query=24.49253937,46.32304037", "View Map")</f>
        <v/>
      </c>
    </row>
    <row r="528">
      <c r="A528" t="inlineStr">
        <is>
          <t>ﻭﺯﺍﺭﺓﺍﻷﻭﻗﺎﻑ _ ﺍﻭﻗﺎﻑ ﺍﻟﺭﻭﻴﻀﻩ .</t>
        </is>
      </c>
      <c r="B528" t="inlineStr">
        <is>
          <t>AES2020896464333</t>
        </is>
      </c>
      <c r="C528" t="inlineStr">
        <is>
          <t>القويعية</t>
        </is>
      </c>
      <c r="D528" t="inlineStr">
        <is>
          <t>كلا الفترتين</t>
        </is>
      </c>
      <c r="E528" t="n">
        <v>959</v>
      </c>
      <c r="F528" t="b">
        <v>0</v>
      </c>
      <c r="G528">
        <f>HYPERLINK("https://www.google.com/maps/search/?api=1&amp;query=23.76429,44.75222", "View Map")</f>
        <v/>
      </c>
    </row>
    <row r="529">
      <c r="A529" t="inlineStr">
        <is>
          <t xml:space="preserve">   مسجد/ المسعد الشرقي الجنوبي .</t>
        </is>
      </c>
      <c r="B529" t="inlineStr">
        <is>
          <t>KFM2120660241396</t>
        </is>
      </c>
      <c r="C529" t="inlineStr">
        <is>
          <t>الدوادمي</t>
        </is>
      </c>
      <c r="D529" t="inlineStr">
        <is>
          <t>كلا الفترتين</t>
        </is>
      </c>
      <c r="E529" t="n">
        <v>958</v>
      </c>
      <c r="F529" t="b">
        <v>0</v>
      </c>
      <c r="G529">
        <f>HYPERLINK("https://www.google.com/maps/search/?api=1&amp;query=25.17470718,44.60185859", "View Map")</f>
        <v/>
      </c>
    </row>
    <row r="530">
      <c r="A530" t="inlineStr">
        <is>
          <t xml:space="preserve">   مسجد/ فيحان  سليمان .</t>
        </is>
      </c>
      <c r="B530" t="inlineStr">
        <is>
          <t>KFM2020660208378</t>
        </is>
      </c>
      <c r="C530" t="inlineStr">
        <is>
          <t>الدوادمي</t>
        </is>
      </c>
      <c r="D530" t="inlineStr">
        <is>
          <t>كلا الفترتين</t>
        </is>
      </c>
      <c r="E530" t="n">
        <v>953</v>
      </c>
      <c r="F530" t="b">
        <v>0</v>
      </c>
      <c r="G530">
        <f>HYPERLINK("https://www.google.com/maps/search/?api=1&amp;query=25.1667258,44.57622133", "View Map")</f>
        <v/>
      </c>
    </row>
    <row r="531">
      <c r="A531" t="inlineStr">
        <is>
          <t xml:space="preserve">   أوقاف القويعية/مسجد أم المؤمنين .</t>
        </is>
      </c>
      <c r="B531" t="inlineStr">
        <is>
          <t>KFM2020660224588</t>
        </is>
      </c>
      <c r="C531" t="inlineStr">
        <is>
          <t>القويعية</t>
        </is>
      </c>
      <c r="D531" t="inlineStr">
        <is>
          <t>مساءا</t>
        </is>
      </c>
      <c r="E531" t="n">
        <v>950</v>
      </c>
      <c r="F531" t="b">
        <v>0</v>
      </c>
      <c r="G531">
        <f>HYPERLINK("https://www.google.com/maps/search/?api=1&amp;query=24.077962,45.27994122", "View Map")</f>
        <v/>
      </c>
    </row>
    <row r="532">
      <c r="A532" t="inlineStr">
        <is>
          <t xml:space="preserve">   مســـجد/جامع الوجاه .</t>
        </is>
      </c>
      <c r="B532" t="inlineStr">
        <is>
          <t>KFM2020760205236</t>
        </is>
      </c>
      <c r="C532" t="inlineStr">
        <is>
          <t>المزاحمية</t>
        </is>
      </c>
      <c r="D532" t="inlineStr">
        <is>
          <t>كلا الفترتين</t>
        </is>
      </c>
      <c r="E532" t="n">
        <v>947</v>
      </c>
      <c r="F532" t="b">
        <v>0</v>
      </c>
      <c r="G532">
        <f>HYPERLINK("https://www.google.com/maps/search/?api=1&amp;query=24.13847835,46.31380971", "View Map")</f>
        <v/>
      </c>
    </row>
    <row r="533">
      <c r="A533" t="inlineStr">
        <is>
          <t xml:space="preserve">   مـسـجـد جربوع سعدالضعيف القحطانى .</t>
        </is>
      </c>
      <c r="B533" t="inlineStr">
        <is>
          <t>AEC2020830322384</t>
        </is>
      </c>
      <c r="C533" t="inlineStr">
        <is>
          <t>الرين</t>
        </is>
      </c>
      <c r="D533" t="inlineStr">
        <is>
          <t>كلا الفترتين</t>
        </is>
      </c>
      <c r="E533" t="n">
        <v>944</v>
      </c>
      <c r="F533" t="b">
        <v>0</v>
      </c>
      <c r="G533">
        <f>HYPERLINK("https://www.google.com/maps/search/?api=1&amp;query=22.6656814,44.73859422", "View Map")</f>
        <v/>
      </c>
    </row>
    <row r="534">
      <c r="A534" t="inlineStr">
        <is>
          <t>ﺃﻭﻗﺎﻑ ﻭﻤﺴﺎﺠﺩ ﺍﻟﻗﻭﻴﻌﻴﻩ .</t>
        </is>
      </c>
      <c r="B534" t="inlineStr">
        <is>
          <t>KFM2020766167793</t>
        </is>
      </c>
      <c r="C534" t="inlineStr">
        <is>
          <t>القويعية</t>
        </is>
      </c>
      <c r="D534" t="inlineStr">
        <is>
          <t>كلا الفترتين</t>
        </is>
      </c>
      <c r="E534" t="n">
        <v>943</v>
      </c>
      <c r="F534" t="b">
        <v>0</v>
      </c>
      <c r="G534">
        <f>HYPERLINK("https://www.google.com/maps/search/?api=1&amp;query=24.06072941,45.27745289", "View Map")</f>
        <v/>
      </c>
    </row>
    <row r="535">
      <c r="A535" t="inlineStr">
        <is>
          <t xml:space="preserve">   مسجد/عمر بن الخطاب بجنوبي القرين .</t>
        </is>
      </c>
      <c r="B535" t="inlineStr">
        <is>
          <t>AES2020896448555</t>
        </is>
      </c>
      <c r="C535" t="inlineStr">
        <is>
          <t>الدوادمي</t>
        </is>
      </c>
      <c r="D535" t="inlineStr">
        <is>
          <t>كلا الفترتين</t>
        </is>
      </c>
      <c r="E535" t="n">
        <v>941</v>
      </c>
      <c r="F535" t="b">
        <v>0</v>
      </c>
      <c r="G535">
        <f>HYPERLINK("https://www.google.com/maps/search/?api=1&amp;query=24.72971959,43.79185502", "View Map")</f>
        <v/>
      </c>
    </row>
    <row r="536">
      <c r="A536" t="inlineStr">
        <is>
          <t xml:space="preserve">      مسجد الابرقيه بالسر .</t>
        </is>
      </c>
      <c r="B536" t="inlineStr">
        <is>
          <t>KFM2020760210408</t>
        </is>
      </c>
      <c r="C536" t="inlineStr">
        <is>
          <t>الدوادمي</t>
        </is>
      </c>
      <c r="D536" t="inlineStr">
        <is>
          <t>كلا الفترتين</t>
        </is>
      </c>
      <c r="E536" t="n">
        <v>941</v>
      </c>
      <c r="F536" t="b">
        <v>1</v>
      </c>
      <c r="G536">
        <f>HYPERLINK("https://www.google.com/maps/search/?api=1&amp;query=25.33984738,44.51033243", "View Map")</f>
        <v/>
      </c>
    </row>
    <row r="537">
      <c r="A537" t="inlineStr">
        <is>
          <t xml:space="preserve">   مسجد      الروضه    ///// .</t>
        </is>
      </c>
      <c r="B537" t="inlineStr">
        <is>
          <t>KFM2020660172444</t>
        </is>
      </c>
      <c r="C537" t="inlineStr">
        <is>
          <t>الدوادمي</t>
        </is>
      </c>
      <c r="D537" t="inlineStr">
        <is>
          <t>كلا الفترتين</t>
        </is>
      </c>
      <c r="E537" t="n">
        <v>936</v>
      </c>
      <c r="F537" t="b">
        <v>1</v>
      </c>
      <c r="G537">
        <f>HYPERLINK("https://www.google.com/maps/search/?api=1&amp;query=24.49590651,44.36771317", "View Map")</f>
        <v/>
      </c>
    </row>
    <row r="538">
      <c r="A538" t="inlineStr">
        <is>
          <t>ﻭﺯﺍﺭﺓﺍﻻﻭﻗﺎﻑ ـ ﺍﻭﻗﺎﻑ ﺍﻟﺩﻭﺍﺩﻤﻲ .</t>
        </is>
      </c>
      <c r="B538" t="inlineStr">
        <is>
          <t>MMF2420801338588</t>
        </is>
      </c>
      <c r="C538" t="inlineStr">
        <is>
          <t>الدوادمي</t>
        </is>
      </c>
      <c r="D538" t="inlineStr">
        <is>
          <t>كلا الفترتين</t>
        </is>
      </c>
      <c r="E538" t="n">
        <v>935</v>
      </c>
      <c r="F538" t="b">
        <v>0</v>
      </c>
      <c r="G538">
        <f>HYPERLINK("https://www.google.com/maps/search/?api=1&amp;query=24.90250444,44.55066916", "View Map")</f>
        <v/>
      </c>
    </row>
    <row r="539">
      <c r="A539" t="inlineStr">
        <is>
          <t xml:space="preserve">      مـسـجـد ديــــراب .</t>
        </is>
      </c>
      <c r="B539" t="inlineStr">
        <is>
          <t>KFM2020660209357</t>
        </is>
      </c>
      <c r="C539" t="inlineStr">
        <is>
          <t>ضرما</t>
        </is>
      </c>
      <c r="D539" t="inlineStr">
        <is>
          <t>كلا الفترتين</t>
        </is>
      </c>
      <c r="E539" t="n">
        <v>935</v>
      </c>
      <c r="F539" t="b">
        <v>0</v>
      </c>
      <c r="G539">
        <f>HYPERLINK("https://www.google.com/maps/search/?api=1&amp;query=24.42102165,46.57391049", "View Map")</f>
        <v/>
      </c>
    </row>
    <row r="540">
      <c r="A540" t="inlineStr">
        <is>
          <t xml:space="preserve">       مسجد الحى الجنوبى بالمطط الجد .</t>
        </is>
      </c>
      <c r="B540" t="inlineStr">
        <is>
          <t>KFM2020760058295</t>
        </is>
      </c>
      <c r="C540" t="inlineStr">
        <is>
          <t>الدوادمي</t>
        </is>
      </c>
      <c r="D540" t="inlineStr">
        <is>
          <t>كلا الفترتين</t>
        </is>
      </c>
      <c r="E540" t="n">
        <v>933</v>
      </c>
      <c r="F540" t="b">
        <v>1</v>
      </c>
      <c r="G540">
        <f>HYPERLINK("https://www.google.com/maps/search/?api=1&amp;query=24.27338534,44.18764969", "View Map")</f>
        <v/>
      </c>
    </row>
    <row r="541">
      <c r="A541" t="inlineStr">
        <is>
          <t xml:space="preserve">   مسجد النميص    صبحاء .</t>
        </is>
      </c>
      <c r="B541" t="inlineStr">
        <is>
          <t>KFM2020660192438</t>
        </is>
      </c>
      <c r="C541" t="inlineStr">
        <is>
          <t>القويعية</t>
        </is>
      </c>
      <c r="D541" t="inlineStr">
        <is>
          <t>كلا الفترتين</t>
        </is>
      </c>
      <c r="E541" t="n">
        <v>932</v>
      </c>
      <c r="F541" t="b">
        <v>0</v>
      </c>
      <c r="G541">
        <f>HYPERLINK("https://www.google.com/maps/search/?api=1&amp;query=23.27092907,44.65791758", "View Map")</f>
        <v/>
      </c>
    </row>
    <row r="542">
      <c r="A542" t="inlineStr">
        <is>
          <t xml:space="preserve">   مسجد      زايد      القحطاني .</t>
        </is>
      </c>
      <c r="B542" t="inlineStr">
        <is>
          <t>AEC2020830532147</t>
        </is>
      </c>
      <c r="C542" t="inlineStr">
        <is>
          <t>المزاحمية</t>
        </is>
      </c>
      <c r="D542" t="inlineStr">
        <is>
          <t>كلا الفترتين</t>
        </is>
      </c>
      <c r="E542" t="n">
        <v>931</v>
      </c>
      <c r="F542" t="b">
        <v>0</v>
      </c>
      <c r="G542">
        <f>HYPERLINK("https://www.google.com/maps/search/?api=1&amp;query=24.51657862,46.27337911", "View Map")</f>
        <v/>
      </c>
    </row>
    <row r="543">
      <c r="A543" t="inlineStr">
        <is>
          <t>ﺃﻭﻗﺎﻑ ﻭﻤﺴﺎﺠﺩ ﺍﻟﻗﻭﻴﻌﻴﻩ .</t>
        </is>
      </c>
      <c r="B543" t="inlineStr">
        <is>
          <t>AES2120896537095</t>
        </is>
      </c>
      <c r="C543" t="inlineStr">
        <is>
          <t>القويعية</t>
        </is>
      </c>
      <c r="D543" t="inlineStr">
        <is>
          <t>كلا الفترتين</t>
        </is>
      </c>
      <c r="E543" t="n">
        <v>929</v>
      </c>
      <c r="F543" t="b">
        <v>0</v>
      </c>
      <c r="G543">
        <f>HYPERLINK("https://www.google.com/maps/search/?api=1&amp;query=24.38118145,45.89925775", "View Map")</f>
        <v/>
      </c>
    </row>
    <row r="544">
      <c r="A544" t="inlineStr">
        <is>
          <t xml:space="preserve">       مسجد هجر5 سماح/الجامع .</t>
        </is>
      </c>
      <c r="B544" t="inlineStr">
        <is>
          <t>AEC2020830239831</t>
        </is>
      </c>
      <c r="C544" t="inlineStr">
        <is>
          <t>القويعية</t>
        </is>
      </c>
      <c r="D544" t="inlineStr">
        <is>
          <t>كلا الفترتين</t>
        </is>
      </c>
      <c r="E544" t="n">
        <v>926</v>
      </c>
      <c r="F544" t="b">
        <v>0</v>
      </c>
      <c r="G544">
        <f>HYPERLINK("https://www.google.com/maps/search/?api=1&amp;query=24.1745913,44.95231593", "View Map")</f>
        <v/>
      </c>
    </row>
    <row r="545">
      <c r="A545" t="inlineStr">
        <is>
          <t xml:space="preserve">      الاوقاف (مسجد فالح فعاسا) .</t>
        </is>
      </c>
      <c r="B545" t="inlineStr">
        <is>
          <t>AES2020896453939</t>
        </is>
      </c>
      <c r="C545" t="inlineStr">
        <is>
          <t>القويعية</t>
        </is>
      </c>
      <c r="D545" t="inlineStr">
        <is>
          <t>كلا الفترتين</t>
        </is>
      </c>
      <c r="E545" t="n">
        <v>926</v>
      </c>
      <c r="F545" t="b">
        <v>0</v>
      </c>
      <c r="G545">
        <f>HYPERLINK("https://www.google.com/maps/search/?api=1&amp;query=23.7320364,45.15953822", "View Map")</f>
        <v/>
      </c>
    </row>
    <row r="546">
      <c r="A546" t="inlineStr">
        <is>
          <t xml:space="preserve">   مسجد جامع دباس  (دباس دايغ العتي .</t>
        </is>
      </c>
      <c r="B546" t="inlineStr">
        <is>
          <t>KFM2020660233525</t>
        </is>
      </c>
      <c r="C546" t="inlineStr">
        <is>
          <t>عفيف</t>
        </is>
      </c>
      <c r="D546" t="inlineStr">
        <is>
          <t>مساءا</t>
        </is>
      </c>
      <c r="E546" t="n">
        <v>926</v>
      </c>
      <c r="F546" t="b">
        <v>1</v>
      </c>
      <c r="G546">
        <f>HYPERLINK("https://www.google.com/maps/search/?api=1&amp;query=23.90203359,42.90467772", "View Map")</f>
        <v/>
      </c>
    </row>
    <row r="547">
      <c r="A547" t="inlineStr">
        <is>
          <t xml:space="preserve">   مسجد      بن دهره   مسجد بن دهره .</t>
        </is>
      </c>
      <c r="B547" t="inlineStr">
        <is>
          <t>KFM2020766065441</t>
        </is>
      </c>
      <c r="C547" t="inlineStr">
        <is>
          <t>المزاحمية</t>
        </is>
      </c>
      <c r="D547" t="inlineStr">
        <is>
          <t>كلا الفترتين</t>
        </is>
      </c>
      <c r="E547" t="n">
        <v>925</v>
      </c>
      <c r="F547" t="b">
        <v>0</v>
      </c>
      <c r="G547">
        <f>HYPERLINK("https://www.google.com/maps/search/?api=1&amp;query=24.47553407,46.24784001", "View Map")</f>
        <v/>
      </c>
    </row>
    <row r="548">
      <c r="A548" t="inlineStr">
        <is>
          <t>ﺍﻭﻗﺎﻑ ﻭﻤﺴﺎﺠﺩ ﺍﻟﺭﻴﻥ .</t>
        </is>
      </c>
      <c r="B548" t="inlineStr">
        <is>
          <t>KFM2020760229623</t>
        </is>
      </c>
      <c r="C548" t="inlineStr">
        <is>
          <t>الرين</t>
        </is>
      </c>
      <c r="D548" t="inlineStr">
        <is>
          <t>كلا الفترتين</t>
        </is>
      </c>
      <c r="E548" t="n">
        <v>925</v>
      </c>
      <c r="F548" t="b">
        <v>0</v>
      </c>
      <c r="G548">
        <f>HYPERLINK("https://www.google.com/maps/search/?api=1&amp;query=23.07742028,45.5044392", "View Map")</f>
        <v/>
      </c>
    </row>
    <row r="549">
      <c r="A549" t="inlineStr">
        <is>
          <t xml:space="preserve">     مسجد      صالحية الكراشمة .</t>
        </is>
      </c>
      <c r="B549" t="inlineStr">
        <is>
          <t>SMR2020850102558</t>
        </is>
      </c>
      <c r="C549" t="inlineStr">
        <is>
          <t>الدوادمي</t>
        </is>
      </c>
      <c r="D549" t="inlineStr">
        <is>
          <t>كلا الفترتين</t>
        </is>
      </c>
      <c r="E549" t="n">
        <v>923</v>
      </c>
      <c r="F549" t="b">
        <v>0</v>
      </c>
      <c r="G549">
        <f>HYPERLINK("https://www.google.com/maps/search/?api=1&amp;query=24.61128709,44.31625732", "View Map")</f>
        <v/>
      </c>
    </row>
    <row r="550">
      <c r="A550" t="inlineStr">
        <is>
          <t xml:space="preserve">   مسجد/الدارة .</t>
        </is>
      </c>
      <c r="B550" t="inlineStr">
        <is>
          <t>AES2120896546939</t>
        </is>
      </c>
      <c r="C550" t="inlineStr">
        <is>
          <t>الدوادمي</t>
        </is>
      </c>
      <c r="D550" t="inlineStr">
        <is>
          <t>كلا الفترتين</t>
        </is>
      </c>
      <c r="E550" t="n">
        <v>921</v>
      </c>
      <c r="F550" t="b">
        <v>0</v>
      </c>
      <c r="G550">
        <f>HYPERLINK("https://www.google.com/maps/search/?api=1&amp;query=25.0572599,44.42532722", "View Map")</f>
        <v/>
      </c>
    </row>
    <row r="551">
      <c r="A551" t="inlineStr">
        <is>
          <t xml:space="preserve">    مسجد/     صقره      بالبحاديه .</t>
        </is>
      </c>
      <c r="B551" t="inlineStr">
        <is>
          <t>SMR2220661004065</t>
        </is>
      </c>
      <c r="C551" t="inlineStr">
        <is>
          <t>الدوادمي</t>
        </is>
      </c>
      <c r="D551" t="inlineStr">
        <is>
          <t>كلا الفترتين</t>
        </is>
      </c>
      <c r="E551" t="n">
        <v>921</v>
      </c>
      <c r="F551" t="b">
        <v>0</v>
      </c>
      <c r="G551">
        <f>HYPERLINK("https://www.google.com/maps/search/?api=1&amp;query=24.31121696,43.7289501", "View Map")</f>
        <v/>
      </c>
    </row>
    <row r="552">
      <c r="A552" t="inlineStr">
        <is>
          <t>ﻭﺯﺍﺭﺓﺍﻻﻭﻗﺎﻑ _ﺍﻭﻗﺎﻑ ﺍﻟﺠﻤﺵ .</t>
        </is>
      </c>
      <c r="B552" t="inlineStr">
        <is>
          <t>ECC2020811047483</t>
        </is>
      </c>
      <c r="C552" t="inlineStr">
        <is>
          <t>الدوادمي</t>
        </is>
      </c>
      <c r="D552" t="inlineStr">
        <is>
          <t>كلا الفترتين</t>
        </is>
      </c>
      <c r="E552" t="n">
        <v>920</v>
      </c>
      <c r="F552" t="b">
        <v>0</v>
      </c>
      <c r="G552">
        <f>HYPERLINK("https://www.google.com/maps/search/?api=1&amp;query=24.80455128,43.72560615", "View Map")</f>
        <v/>
      </c>
    </row>
    <row r="553">
      <c r="A553" t="inlineStr">
        <is>
          <t xml:space="preserve">      جامع الوسطى بالسديرى .</t>
        </is>
      </c>
      <c r="B553" t="inlineStr">
        <is>
          <t>AEC2020830538441</t>
        </is>
      </c>
      <c r="C553" t="inlineStr">
        <is>
          <t>القويعية</t>
        </is>
      </c>
      <c r="D553" t="inlineStr">
        <is>
          <t>كلا الفترتين</t>
        </is>
      </c>
      <c r="E553" t="n">
        <v>920</v>
      </c>
      <c r="F553" t="b">
        <v>0</v>
      </c>
      <c r="G553">
        <f>HYPERLINK("https://www.google.com/maps/search/?api=1&amp;query=24.12490721,45.13303074", "View Map")</f>
        <v/>
      </c>
    </row>
    <row r="554">
      <c r="A554" t="inlineStr">
        <is>
          <t xml:space="preserve">   اوقاف القويعيه /مسجدالرفائع .</t>
        </is>
      </c>
      <c r="B554" t="inlineStr">
        <is>
          <t>AES2020896162317</t>
        </is>
      </c>
      <c r="C554" t="inlineStr">
        <is>
          <t>القويعية</t>
        </is>
      </c>
      <c r="D554" t="inlineStr">
        <is>
          <t>كلا الفترتين</t>
        </is>
      </c>
      <c r="E554" t="n">
        <v>920</v>
      </c>
      <c r="F554" t="b">
        <v>0</v>
      </c>
      <c r="G554">
        <f>HYPERLINK("https://www.google.com/maps/search/?api=1&amp;query=24.36507001,45.28321109", "View Map")</f>
        <v/>
      </c>
    </row>
    <row r="555">
      <c r="A555" t="inlineStr">
        <is>
          <t xml:space="preserve">   اوقاف القويعيه  الزهوه الجله .</t>
        </is>
      </c>
      <c r="B555" t="inlineStr">
        <is>
          <t>AES2020896317386</t>
        </is>
      </c>
      <c r="C555" t="inlineStr">
        <is>
          <t>القويعية</t>
        </is>
      </c>
      <c r="D555" t="inlineStr">
        <is>
          <t>كلا الفترتين</t>
        </is>
      </c>
      <c r="E555" t="n">
        <v>919</v>
      </c>
      <c r="F555" t="b">
        <v>0</v>
      </c>
      <c r="G555">
        <f>HYPERLINK("https://www.google.com/maps/search/?api=1&amp;query=24.25702379,45.76039617", "View Map")</f>
        <v/>
      </c>
    </row>
    <row r="556">
      <c r="A556" t="inlineStr">
        <is>
          <t xml:space="preserve">    مسجد/ علي زيد بخيت المرشدي .</t>
        </is>
      </c>
      <c r="B556" t="inlineStr">
        <is>
          <t>AES2020896398494</t>
        </is>
      </c>
      <c r="C556" t="inlineStr">
        <is>
          <t>الدوادمي</t>
        </is>
      </c>
      <c r="D556" t="inlineStr">
        <is>
          <t>كلا الفترتين</t>
        </is>
      </c>
      <c r="E556" t="n">
        <v>918</v>
      </c>
      <c r="F556" t="b">
        <v>0</v>
      </c>
      <c r="G556">
        <f>HYPERLINK("https://www.google.com/maps/search/?api=1&amp;query=24.6636712,43.7850472", "View Map")</f>
        <v/>
      </c>
    </row>
    <row r="557">
      <c r="A557" t="inlineStr">
        <is>
          <t xml:space="preserve">   اوقاف     ومساجد    الرين .</t>
        </is>
      </c>
      <c r="B557" t="inlineStr">
        <is>
          <t>SMR2020856138755</t>
        </is>
      </c>
      <c r="C557" t="inlineStr">
        <is>
          <t>الرين</t>
        </is>
      </c>
      <c r="D557" t="inlineStr">
        <is>
          <t>كلا الفترتين</t>
        </is>
      </c>
      <c r="E557" t="n">
        <v>915</v>
      </c>
      <c r="F557" t="b">
        <v>0</v>
      </c>
      <c r="G557">
        <f>HYPERLINK("https://www.google.com/maps/search/?api=1&amp;query=23.22887655,45.55541257", "View Map")</f>
        <v/>
      </c>
    </row>
    <row r="558">
      <c r="A558" t="inlineStr">
        <is>
          <t>مسجد ام رضمه .</t>
        </is>
      </c>
      <c r="B558" t="inlineStr">
        <is>
          <t>AEC2020830323445</t>
        </is>
      </c>
      <c r="C558" t="inlineStr">
        <is>
          <t>الدوادمي</t>
        </is>
      </c>
      <c r="D558" t="inlineStr">
        <is>
          <t>كلا الفترتين</t>
        </is>
      </c>
      <c r="E558" t="n">
        <v>915</v>
      </c>
      <c r="F558" t="b">
        <v>0</v>
      </c>
      <c r="G558">
        <f>HYPERLINK("https://www.google.com/maps/search/?api=1&amp;query=25.21572754,44.25220967", "View Map")</f>
        <v/>
      </c>
    </row>
    <row r="559">
      <c r="A559" t="inlineStr">
        <is>
          <t xml:space="preserve">      مسجد المحطه .</t>
        </is>
      </c>
      <c r="B559" t="inlineStr">
        <is>
          <t>KFM2020760082919</t>
        </is>
      </c>
      <c r="C559" t="inlineStr">
        <is>
          <t>الدوادمي</t>
        </is>
      </c>
      <c r="D559" t="inlineStr">
        <is>
          <t>كلا الفترتين</t>
        </is>
      </c>
      <c r="E559" t="n">
        <v>914</v>
      </c>
      <c r="F559" t="b">
        <v>0</v>
      </c>
      <c r="G559">
        <f>HYPERLINK("https://www.google.com/maps/search/?api=1&amp;query=24.49771298,44.37919287", "View Map")</f>
        <v/>
      </c>
    </row>
    <row r="560">
      <c r="A560" t="inlineStr">
        <is>
          <t xml:space="preserve">       جامع السكران الجديد .</t>
        </is>
      </c>
      <c r="B560" t="inlineStr">
        <is>
          <t>KFM2020660153693</t>
        </is>
      </c>
      <c r="C560" t="inlineStr">
        <is>
          <t>الدوادمي</t>
        </is>
      </c>
      <c r="D560" t="inlineStr">
        <is>
          <t>كلا الفترتين</t>
        </is>
      </c>
      <c r="E560" t="n">
        <v>911</v>
      </c>
      <c r="F560" t="b">
        <v>1</v>
      </c>
      <c r="G560">
        <f>HYPERLINK("https://www.google.com/maps/search/?api=1&amp;query=25.27284107,44.57736159", "View Map")</f>
        <v/>
      </c>
    </row>
    <row r="561">
      <c r="A561" t="inlineStr">
        <is>
          <t xml:space="preserve">   مسجد      عبدالله   622 مخطط .</t>
        </is>
      </c>
      <c r="B561" t="inlineStr">
        <is>
          <t>SMR2020850055553</t>
        </is>
      </c>
      <c r="C561" t="inlineStr">
        <is>
          <t>الدوادمي</t>
        </is>
      </c>
      <c r="D561" t="inlineStr">
        <is>
          <t>كلا الفترتين</t>
        </is>
      </c>
      <c r="E561" t="n">
        <v>911</v>
      </c>
      <c r="F561" t="b">
        <v>1</v>
      </c>
      <c r="G561">
        <f>HYPERLINK("https://www.google.com/maps/search/?api=1&amp;query=24.53208793,44.41648194", "View Map")</f>
        <v/>
      </c>
    </row>
    <row r="562">
      <c r="A562" t="inlineStr">
        <is>
          <t xml:space="preserve">   مسجد/منازل العجرفي .</t>
        </is>
      </c>
      <c r="B562" t="inlineStr">
        <is>
          <t>AES2020896408281</t>
        </is>
      </c>
      <c r="C562" t="inlineStr">
        <is>
          <t>الدوادمي</t>
        </is>
      </c>
      <c r="D562" t="inlineStr">
        <is>
          <t>مساءا</t>
        </is>
      </c>
      <c r="E562" t="n">
        <v>911</v>
      </c>
      <c r="F562" t="b">
        <v>0</v>
      </c>
      <c r="G562">
        <f>HYPERLINK("https://www.google.com/maps/search/?api=1&amp;query=24.69607948,43.73967302", "View Map")</f>
        <v/>
      </c>
    </row>
    <row r="563">
      <c r="A563" t="inlineStr">
        <is>
          <t xml:space="preserve">   مسجد  الجامع  باللنسيات .</t>
        </is>
      </c>
      <c r="B563" t="inlineStr">
        <is>
          <t>SMR2220661004040</t>
        </is>
      </c>
      <c r="C563" t="inlineStr">
        <is>
          <t>عفيف</t>
        </is>
      </c>
      <c r="D563" t="inlineStr">
        <is>
          <t>كلا الفترتين</t>
        </is>
      </c>
      <c r="E563" t="n">
        <v>911</v>
      </c>
      <c r="F563" t="b">
        <v>0</v>
      </c>
      <c r="G563">
        <f>HYPERLINK("https://www.google.com/maps/search/?api=1&amp;query=23.6606,42.58", "View Map")</f>
        <v/>
      </c>
    </row>
    <row r="564">
      <c r="A564" t="inlineStr">
        <is>
          <t xml:space="preserve">   اوقاف المزاحميه / جامع القراره .</t>
        </is>
      </c>
      <c r="B564" t="inlineStr">
        <is>
          <t>KFM2020660206888</t>
        </is>
      </c>
      <c r="C564" t="inlineStr">
        <is>
          <t>القويعية</t>
        </is>
      </c>
      <c r="D564" t="inlineStr">
        <is>
          <t>كلا الفترتين</t>
        </is>
      </c>
      <c r="E564" t="n">
        <v>910</v>
      </c>
      <c r="F564" t="b">
        <v>0</v>
      </c>
      <c r="G564">
        <f>HYPERLINK("https://www.google.com/maps/search/?api=1&amp;query=24.41647821,45.88275526", "View Map")</f>
        <v/>
      </c>
    </row>
    <row r="565">
      <c r="A565" t="inlineStr">
        <is>
          <t>ﻭﺯﺍﺭﺓﺍﻻﻭﻗﺎﻑ _ ﺍﻭﻗﺎﻑ ﺍﻟﺒﺠﺎﺩﻴﻩ .</t>
        </is>
      </c>
      <c r="B565" t="inlineStr">
        <is>
          <t>KFM2020660223746</t>
        </is>
      </c>
      <c r="C565" t="inlineStr">
        <is>
          <t>الدوادمي</t>
        </is>
      </c>
      <c r="D565" t="inlineStr">
        <is>
          <t>مساءا</t>
        </is>
      </c>
      <c r="E565" t="n">
        <v>907</v>
      </c>
      <c r="F565" t="b">
        <v>1</v>
      </c>
      <c r="G565">
        <f>HYPERLINK("https://www.google.com/maps/search/?api=1&amp;query=24.20045799,43.84274351", "View Map")</f>
        <v/>
      </c>
    </row>
    <row r="566">
      <c r="A566" t="inlineStr">
        <is>
          <t xml:space="preserve">   مسجد      هجرة      ////// .</t>
        </is>
      </c>
      <c r="B566" t="inlineStr">
        <is>
          <t>KFM2020760136460</t>
        </is>
      </c>
      <c r="C566" t="inlineStr">
        <is>
          <t>الدوادمي</t>
        </is>
      </c>
      <c r="D566" t="inlineStr">
        <is>
          <t>كلا الفترتين</t>
        </is>
      </c>
      <c r="E566" t="n">
        <v>907</v>
      </c>
      <c r="F566" t="b">
        <v>0</v>
      </c>
      <c r="G566">
        <f>HYPERLINK("https://www.google.com/maps/search/?api=1&amp;query=24.45646052,44.70920896", "View Map")</f>
        <v/>
      </c>
    </row>
    <row r="567">
      <c r="A567" t="inlineStr">
        <is>
          <t>مسجد قرية الاطويلة .</t>
        </is>
      </c>
      <c r="B567" t="inlineStr">
        <is>
          <t>AES2120896611939</t>
        </is>
      </c>
      <c r="C567" t="inlineStr">
        <is>
          <t>عفيف</t>
        </is>
      </c>
      <c r="D567" t="inlineStr">
        <is>
          <t>مساءا</t>
        </is>
      </c>
      <c r="E567" t="n">
        <v>904</v>
      </c>
      <c r="F567" t="b">
        <v>0</v>
      </c>
      <c r="G567">
        <f>HYPERLINK("https://www.google.com/maps/search/?api=1&amp;query=23.61330341,42.21746714", "View Map")</f>
        <v/>
      </c>
    </row>
    <row r="568">
      <c r="A568" t="inlineStr">
        <is>
          <t xml:space="preserve">       مسجد بعيثرانه بسنام .</t>
        </is>
      </c>
      <c r="B568" t="inlineStr">
        <is>
          <t>SMR2420868027037</t>
        </is>
      </c>
      <c r="C568" t="inlineStr">
        <is>
          <t>القويعية</t>
        </is>
      </c>
      <c r="D568" t="inlineStr">
        <is>
          <t>كلا الفترتين</t>
        </is>
      </c>
      <c r="E568" t="n">
        <v>904</v>
      </c>
      <c r="F568" t="b">
        <v>0</v>
      </c>
      <c r="G568">
        <f>HYPERLINK("https://www.google.com/maps/search/?api=1&amp;query=23.66821,44.73170167", "View Map")</f>
        <v/>
      </c>
    </row>
    <row r="569">
      <c r="A569" t="inlineStr">
        <is>
          <t xml:space="preserve">      مسجد الشيخ عبدالله ابوزيد .</t>
        </is>
      </c>
      <c r="B569" t="inlineStr">
        <is>
          <t>KFM2020660189738</t>
        </is>
      </c>
      <c r="C569" t="inlineStr">
        <is>
          <t>الدوادمي</t>
        </is>
      </c>
      <c r="D569" t="inlineStr">
        <is>
          <t>كلا الفترتين</t>
        </is>
      </c>
      <c r="E569" t="n">
        <v>899</v>
      </c>
      <c r="F569" t="b">
        <v>0</v>
      </c>
      <c r="G569">
        <f>HYPERLINK("https://www.google.com/maps/search/?api=1&amp;query=24.50242314,44.38778873", "View Map")</f>
        <v/>
      </c>
    </row>
    <row r="570">
      <c r="A570" t="inlineStr">
        <is>
          <t xml:space="preserve">   المسجد الكبير بالارطاوى .</t>
        </is>
      </c>
      <c r="B570" t="inlineStr">
        <is>
          <t>KFM2020660176266</t>
        </is>
      </c>
      <c r="C570" t="inlineStr">
        <is>
          <t>الدوادمي</t>
        </is>
      </c>
      <c r="D570" t="inlineStr">
        <is>
          <t>كلا الفترتين</t>
        </is>
      </c>
      <c r="E570" t="n">
        <v>899</v>
      </c>
      <c r="F570" t="b">
        <v>0</v>
      </c>
      <c r="G570">
        <f>HYPERLINK("https://www.google.com/maps/search/?api=1&amp;query=25.37826036,44.4947739", "View Map")</f>
        <v/>
      </c>
    </row>
    <row r="571">
      <c r="A571" t="inlineStr">
        <is>
          <t xml:space="preserve">   مسجد      طلحه      عبيد الله .</t>
        </is>
      </c>
      <c r="B571" t="inlineStr">
        <is>
          <t>KFM2020660172380</t>
        </is>
      </c>
      <c r="C571" t="inlineStr">
        <is>
          <t>الدوادمي</t>
        </is>
      </c>
      <c r="D571" t="inlineStr">
        <is>
          <t>كلا الفترتين</t>
        </is>
      </c>
      <c r="E571" t="n">
        <v>898</v>
      </c>
      <c r="F571" t="b">
        <v>1</v>
      </c>
      <c r="G571">
        <f>HYPERLINK("https://www.google.com/maps/search/?api=1&amp;query=24.70557921,44.89272263", "View Map")</f>
        <v/>
      </c>
    </row>
    <row r="572">
      <c r="A572" t="inlineStr">
        <is>
          <t xml:space="preserve">   أوقاف القويعية/مسجداللهده .</t>
        </is>
      </c>
      <c r="B572" t="inlineStr">
        <is>
          <t>KFM2020766159931</t>
        </is>
      </c>
      <c r="C572" t="inlineStr">
        <is>
          <t>الرين</t>
        </is>
      </c>
      <c r="D572" t="inlineStr">
        <is>
          <t>كلا الفترتين</t>
        </is>
      </c>
      <c r="E572" t="n">
        <v>895</v>
      </c>
      <c r="F572" t="b">
        <v>0</v>
      </c>
      <c r="G572">
        <f>HYPERLINK("https://www.google.com/maps/search/?api=1&amp;query=22.84170198,44.97746229", "View Map")</f>
        <v/>
      </c>
    </row>
    <row r="573">
      <c r="A573" t="inlineStr">
        <is>
          <t>ﺃﻭﻗﺎﻑ ﻭﻤﺴﺎﺠﺩ ﺍﻟﻗﻭﻴﻌﻴﻩ .</t>
        </is>
      </c>
      <c r="B573" t="inlineStr">
        <is>
          <t>GTR2320892220639</t>
        </is>
      </c>
      <c r="C573" t="inlineStr">
        <is>
          <t>القويعية</t>
        </is>
      </c>
      <c r="D573" t="inlineStr">
        <is>
          <t>كلا الفترتين</t>
        </is>
      </c>
      <c r="E573" t="n">
        <v>895</v>
      </c>
      <c r="F573" t="b">
        <v>0</v>
      </c>
      <c r="G573">
        <f>HYPERLINK("https://www.google.com/maps/search/?api=1&amp;query=24.09542405,45.3058757", "View Map")</f>
        <v/>
      </c>
    </row>
    <row r="574">
      <c r="A574" t="inlineStr">
        <is>
          <t xml:space="preserve">   مسجد الهويمل .</t>
        </is>
      </c>
      <c r="B574" t="inlineStr">
        <is>
          <t>KFM2120660265045</t>
        </is>
      </c>
      <c r="C574" t="inlineStr">
        <is>
          <t>الدوادمي</t>
        </is>
      </c>
      <c r="D574" t="inlineStr">
        <is>
          <t>كلا الفترتين</t>
        </is>
      </c>
      <c r="E574" t="n">
        <v>895</v>
      </c>
      <c r="F574" t="b">
        <v>0</v>
      </c>
      <c r="G574">
        <f>HYPERLINK("https://www.google.com/maps/search/?api=1&amp;query=25.18412565,44.59703076", "View Map")</f>
        <v/>
      </c>
    </row>
    <row r="575">
      <c r="A575" t="inlineStr">
        <is>
          <t xml:space="preserve">      مسجد/بندر حميان حمود .</t>
        </is>
      </c>
      <c r="B575" t="inlineStr">
        <is>
          <t>KFM2020660129416</t>
        </is>
      </c>
      <c r="C575" t="inlineStr">
        <is>
          <t>الدوادمي</t>
        </is>
      </c>
      <c r="D575" t="inlineStr">
        <is>
          <t>مساءا</t>
        </is>
      </c>
      <c r="E575" t="n">
        <v>894</v>
      </c>
      <c r="F575" t="b">
        <v>1</v>
      </c>
      <c r="G575">
        <f>HYPERLINK("https://www.google.com/maps/search/?api=1&amp;query=25.17998354,44.59820068", "View Map")</f>
        <v/>
      </c>
    </row>
    <row r="576">
      <c r="A576" t="inlineStr">
        <is>
          <t xml:space="preserve">   اوقاف القويعيه .</t>
        </is>
      </c>
      <c r="B576" t="inlineStr">
        <is>
          <t>AES2020896161859</t>
        </is>
      </c>
      <c r="C576" t="inlineStr">
        <is>
          <t>القويعية</t>
        </is>
      </c>
      <c r="D576" t="inlineStr">
        <is>
          <t>كلا الفترتين</t>
        </is>
      </c>
      <c r="E576" t="n">
        <v>894</v>
      </c>
      <c r="F576" t="b">
        <v>0</v>
      </c>
      <c r="G576">
        <f>HYPERLINK("https://www.google.com/maps/search/?api=1&amp;query=24.13331271,45.15689465", "View Map")</f>
        <v/>
      </c>
    </row>
    <row r="577">
      <c r="A577" t="inlineStr">
        <is>
          <t xml:space="preserve">   مسجد/ماجد محمد      العصبمي .</t>
        </is>
      </c>
      <c r="B577" t="inlineStr">
        <is>
          <t>KFM2020760210462</t>
        </is>
      </c>
      <c r="C577" t="inlineStr">
        <is>
          <t>الدوادمي</t>
        </is>
      </c>
      <c r="D577" t="inlineStr">
        <is>
          <t>كلا الفترتين</t>
        </is>
      </c>
      <c r="E577" t="n">
        <v>893</v>
      </c>
      <c r="F577" t="b">
        <v>0</v>
      </c>
      <c r="G577">
        <f>HYPERLINK("https://www.google.com/maps/search/?api=1&amp;query=24.77881143,44.86716716", "View Map")</f>
        <v/>
      </c>
    </row>
    <row r="578">
      <c r="A578" t="inlineStr">
        <is>
          <t xml:space="preserve">   مسجد فيضة الريشيه .</t>
        </is>
      </c>
      <c r="B578" t="inlineStr">
        <is>
          <t>AES2120896586094</t>
        </is>
      </c>
      <c r="C578" t="inlineStr">
        <is>
          <t>الدوادمي</t>
        </is>
      </c>
      <c r="D578" t="inlineStr">
        <is>
          <t>كلا الفترتين</t>
        </is>
      </c>
      <c r="E578" t="n">
        <v>893</v>
      </c>
      <c r="F578" t="b">
        <v>0</v>
      </c>
      <c r="G578">
        <f>HYPERLINK("https://www.google.com/maps/search/?api=1&amp;query=24.19650406,43.51631903", "View Map")</f>
        <v/>
      </c>
    </row>
    <row r="579">
      <c r="A579" t="inlineStr">
        <is>
          <t xml:space="preserve">   مسجد بدر شبيب المطيرى .</t>
        </is>
      </c>
      <c r="B579" t="inlineStr">
        <is>
          <t>KFM2020660233602</t>
        </is>
      </c>
      <c r="C579" t="inlineStr">
        <is>
          <t>الدوادمي</t>
        </is>
      </c>
      <c r="D579" t="inlineStr">
        <is>
          <t>كلا الفترتين</t>
        </is>
      </c>
      <c r="E579" t="n">
        <v>890</v>
      </c>
      <c r="F579" t="b">
        <v>1</v>
      </c>
      <c r="G579">
        <f>HYPERLINK("https://www.google.com/maps/search/?api=1&amp;query=25.3767129,44.50719616", "View Map")</f>
        <v/>
      </c>
    </row>
    <row r="580">
      <c r="A580" t="inlineStr">
        <is>
          <t>ﻭﺯﺍﺭﺓﺍﻻﻭﻗﺎﻑ _ﺍﻭﻗﺎﻑ ﺍﻟﺠﻤﺵ .</t>
        </is>
      </c>
      <c r="B580" t="inlineStr">
        <is>
          <t>KFM2020766086202</t>
        </is>
      </c>
      <c r="C580" t="inlineStr">
        <is>
          <t>الدوادمي</t>
        </is>
      </c>
      <c r="D580" t="inlineStr">
        <is>
          <t>كلا الفترتين</t>
        </is>
      </c>
      <c r="E580" t="n">
        <v>889</v>
      </c>
      <c r="F580" t="b">
        <v>0</v>
      </c>
      <c r="G580">
        <f>HYPERLINK("https://www.google.com/maps/search/?api=1&amp;query=24.66678089,43.70601006", "View Map")</f>
        <v/>
      </c>
    </row>
    <row r="581">
      <c r="A581" t="inlineStr">
        <is>
          <t xml:space="preserve">   مسجد ام سلمه - اوقاف القويعيه .</t>
        </is>
      </c>
      <c r="B581" t="inlineStr">
        <is>
          <t>AES2020896370934</t>
        </is>
      </c>
      <c r="C581" t="inlineStr">
        <is>
          <t>الرين</t>
        </is>
      </c>
      <c r="D581" t="inlineStr">
        <is>
          <t>كلا الفترتين</t>
        </is>
      </c>
      <c r="E581" t="n">
        <v>889</v>
      </c>
      <c r="F581" t="b">
        <v>0</v>
      </c>
      <c r="G581">
        <f>HYPERLINK("https://www.google.com/maps/search/?api=1&amp;query=23.65669962,45.39022498", "View Map")</f>
        <v/>
      </c>
    </row>
    <row r="582">
      <c r="A582" t="inlineStr">
        <is>
          <t xml:space="preserve">   مسجد  صالح ناصر     القريني .</t>
        </is>
      </c>
      <c r="B582" t="inlineStr">
        <is>
          <t>KFM2020660209442</t>
        </is>
      </c>
      <c r="C582" t="inlineStr">
        <is>
          <t>المزاحمية</t>
        </is>
      </c>
      <c r="D582" t="inlineStr">
        <is>
          <t>كلا الفترتين</t>
        </is>
      </c>
      <c r="E582" t="n">
        <v>887</v>
      </c>
      <c r="F582" t="b">
        <v>0</v>
      </c>
      <c r="G582">
        <f>HYPERLINK("https://www.google.com/maps/search/?api=1&amp;query=24.46268905,46.26676751", "View Map")</f>
        <v/>
      </c>
    </row>
    <row r="583">
      <c r="A583" t="inlineStr">
        <is>
          <t xml:space="preserve">   مسجـــد قرية المنصوره .</t>
        </is>
      </c>
      <c r="B583" t="inlineStr">
        <is>
          <t>AES2320896629429</t>
        </is>
      </c>
      <c r="C583" t="inlineStr">
        <is>
          <t>عفيف</t>
        </is>
      </c>
      <c r="D583" t="inlineStr">
        <is>
          <t>كلا الفترتين</t>
        </is>
      </c>
      <c r="E583" t="n">
        <v>886</v>
      </c>
      <c r="F583" t="b">
        <v>0</v>
      </c>
      <c r="G583">
        <f>HYPERLINK("https://www.google.com/maps/search/?api=1&amp;query=23.86725652,42.70127491", "View Map")</f>
        <v/>
      </c>
    </row>
    <row r="584">
      <c r="A584" t="inlineStr">
        <is>
          <t xml:space="preserve">   مسجد/عبدالهادي بن هملان .</t>
        </is>
      </c>
      <c r="B584" t="inlineStr">
        <is>
          <t>KFM2020766162240</t>
        </is>
      </c>
      <c r="C584" t="inlineStr">
        <is>
          <t>القويعية</t>
        </is>
      </c>
      <c r="D584" t="inlineStr">
        <is>
          <t>كلا الفترتين</t>
        </is>
      </c>
      <c r="E584" t="n">
        <v>884</v>
      </c>
      <c r="F584" t="b">
        <v>0</v>
      </c>
      <c r="G584">
        <f>HYPERLINK("https://www.google.com/maps/search/?api=1&amp;query=23.71830434,44.66689367", "View Map")</f>
        <v/>
      </c>
    </row>
    <row r="585">
      <c r="A585" t="inlineStr">
        <is>
          <t xml:space="preserve">   مسجد/ مجمع ساجر التجاري .</t>
        </is>
      </c>
      <c r="B585" t="inlineStr">
        <is>
          <t>KFM2020660233475</t>
        </is>
      </c>
      <c r="C585" t="inlineStr">
        <is>
          <t>الدوادمي</t>
        </is>
      </c>
      <c r="D585" t="inlineStr">
        <is>
          <t>كلا الفترتين</t>
        </is>
      </c>
      <c r="E585" t="n">
        <v>883</v>
      </c>
      <c r="F585" t="b">
        <v>0</v>
      </c>
      <c r="G585">
        <f>HYPERLINK("https://www.google.com/maps/search/?api=1&amp;query=25.19697171,44.60392723", "View Map")</f>
        <v/>
      </c>
    </row>
    <row r="586">
      <c r="A586" t="inlineStr">
        <is>
          <t xml:space="preserve">   مسجـــــد جلوي ظافر القحطاني .</t>
        </is>
      </c>
      <c r="B586" t="inlineStr">
        <is>
          <t>KFM2020766075885</t>
        </is>
      </c>
      <c r="C586" t="inlineStr">
        <is>
          <t>المزاحمية</t>
        </is>
      </c>
      <c r="D586" t="inlineStr">
        <is>
          <t>كلا الفترتين</t>
        </is>
      </c>
      <c r="E586" t="n">
        <v>877</v>
      </c>
      <c r="F586" t="b">
        <v>0</v>
      </c>
      <c r="G586">
        <f>HYPERLINK("https://www.google.com/maps/search/?api=1&amp;query=24.4820828,46.27771797", "View Map")</f>
        <v/>
      </c>
    </row>
    <row r="587">
      <c r="A587" t="inlineStr">
        <is>
          <t>ﻭﺯﺍﺭﺓﺍﻻﻭﻗﺎﻑ ـ ﺍﻭﻗﺎﻑ ﺍﻟﺩﻭﺍﺩﻤﻲ .</t>
        </is>
      </c>
      <c r="B587" t="inlineStr">
        <is>
          <t>KFM2020660192458</t>
        </is>
      </c>
      <c r="C587" t="inlineStr">
        <is>
          <t>الدوادمي</t>
        </is>
      </c>
      <c r="D587" t="inlineStr">
        <is>
          <t>كلا الفترتين</t>
        </is>
      </c>
      <c r="E587" t="n">
        <v>875</v>
      </c>
      <c r="F587" t="b">
        <v>0</v>
      </c>
      <c r="G587">
        <f>HYPERLINK("https://www.google.com/maps/search/?api=1&amp;query=24.54456886,44.43271592", "View Map")</f>
        <v/>
      </c>
    </row>
    <row r="588">
      <c r="A588" t="inlineStr">
        <is>
          <t xml:space="preserve">   مسجد / عبدالعزيز القعيط .</t>
        </is>
      </c>
      <c r="B588" t="inlineStr">
        <is>
          <t>KFM2020660233226</t>
        </is>
      </c>
      <c r="C588" t="inlineStr">
        <is>
          <t>ضرما</t>
        </is>
      </c>
      <c r="D588" t="inlineStr">
        <is>
          <t>كلا الفترتين</t>
        </is>
      </c>
      <c r="E588" t="n">
        <v>875</v>
      </c>
      <c r="F588" t="b">
        <v>0</v>
      </c>
      <c r="G588">
        <f>HYPERLINK("https://www.google.com/maps/search/?api=1&amp;query=24.50587939,46.35950958", "View Map")</f>
        <v/>
      </c>
    </row>
    <row r="589">
      <c r="A589" t="inlineStr">
        <is>
          <t>ﻭﺯﺍﺭﺓﺍﻻﻭﻗﺎﻑ _ﺍﻭﻗﺎﻑ ﺍﻟﺠﻤﺵ .</t>
        </is>
      </c>
      <c r="B589" t="inlineStr">
        <is>
          <t>KFM2020660223762</t>
        </is>
      </c>
      <c r="C589" t="inlineStr">
        <is>
          <t>الدوادمي</t>
        </is>
      </c>
      <c r="D589" t="inlineStr">
        <is>
          <t>كلا الفترتين</t>
        </is>
      </c>
      <c r="E589" t="n">
        <v>873</v>
      </c>
      <c r="F589" t="b">
        <v>0</v>
      </c>
      <c r="G589">
        <f>HYPERLINK("https://www.google.com/maps/search/?api=1&amp;query=24.5379034,43.57332105", "View Map")</f>
        <v/>
      </c>
    </row>
    <row r="590">
      <c r="A590" t="inlineStr">
        <is>
          <t xml:space="preserve">   أوقاف المزحمية/مسجدهجرةالضياغم .</t>
        </is>
      </c>
      <c r="B590" t="inlineStr">
        <is>
          <t>KFM2020766154956</t>
        </is>
      </c>
      <c r="C590" t="inlineStr">
        <is>
          <t>القويعية</t>
        </is>
      </c>
      <c r="D590" t="inlineStr">
        <is>
          <t>كلا الفترتين</t>
        </is>
      </c>
      <c r="E590" t="n">
        <v>873</v>
      </c>
      <c r="F590" t="b">
        <v>0</v>
      </c>
      <c r="G590">
        <f>HYPERLINK("https://www.google.com/maps/search/?api=1&amp;query=24.51560447,45.68748505", "View Map")</f>
        <v/>
      </c>
    </row>
    <row r="591">
      <c r="A591" t="inlineStr">
        <is>
          <t xml:space="preserve">   جامع      الدسمه    //////////// .</t>
        </is>
      </c>
      <c r="B591" t="inlineStr">
        <is>
          <t>KFM2020660176207</t>
        </is>
      </c>
      <c r="C591" t="inlineStr">
        <is>
          <t>الدوادمي</t>
        </is>
      </c>
      <c r="D591" t="inlineStr">
        <is>
          <t>كلا الفترتين</t>
        </is>
      </c>
      <c r="E591" t="n">
        <v>866</v>
      </c>
      <c r="F591" t="b">
        <v>1</v>
      </c>
      <c r="G591">
        <f>HYPERLINK("https://www.google.com/maps/search/?api=1&amp;query=24.46176493,44.51351203", "View Map")</f>
        <v/>
      </c>
    </row>
    <row r="592">
      <c r="A592" t="inlineStr">
        <is>
          <t xml:space="preserve">   اوقاف الحصاة/مسجدبرزان .</t>
        </is>
      </c>
      <c r="B592" t="inlineStr">
        <is>
          <t>AES2020896462734</t>
        </is>
      </c>
      <c r="C592" t="inlineStr">
        <is>
          <t>الرين</t>
        </is>
      </c>
      <c r="D592" t="inlineStr">
        <is>
          <t>كلا الفترتين</t>
        </is>
      </c>
      <c r="E592" t="n">
        <v>862</v>
      </c>
      <c r="F592" t="b">
        <v>0</v>
      </c>
      <c r="G592">
        <f>HYPERLINK("https://www.google.com/maps/search/?api=1&amp;query=22.61451635,44.88182585", "View Map")</f>
        <v/>
      </c>
    </row>
    <row r="593">
      <c r="A593" t="inlineStr">
        <is>
          <t xml:space="preserve">   وزاره الاوقاف (مسجد المطاوي ) .</t>
        </is>
      </c>
      <c r="B593" t="inlineStr">
        <is>
          <t>KFM2020660233596</t>
        </is>
      </c>
      <c r="C593" t="inlineStr">
        <is>
          <t>الدوادمي</t>
        </is>
      </c>
      <c r="D593" t="inlineStr">
        <is>
          <t>كلا الفترتين</t>
        </is>
      </c>
      <c r="E593" t="n">
        <v>861</v>
      </c>
      <c r="F593" t="b">
        <v>0</v>
      </c>
      <c r="G593">
        <f>HYPERLINK("https://www.google.com/maps/search/?api=1&amp;query=25.35972704,44.52849029", "View Map")</f>
        <v/>
      </c>
    </row>
    <row r="594">
      <c r="A594" t="inlineStr">
        <is>
          <t xml:space="preserve">   جامع  القنزعية .</t>
        </is>
      </c>
      <c r="B594" t="inlineStr">
        <is>
          <t>KFM2020660189975</t>
        </is>
      </c>
      <c r="C594" t="inlineStr">
        <is>
          <t>الدوادمي</t>
        </is>
      </c>
      <c r="D594" t="inlineStr">
        <is>
          <t>كلا الفترتين</t>
        </is>
      </c>
      <c r="E594" t="n">
        <v>859</v>
      </c>
      <c r="F594" t="b">
        <v>0</v>
      </c>
      <c r="G594">
        <f>HYPERLINK("https://www.google.com/maps/search/?api=1&amp;query=24.59762074,44.47119891", "View Map")</f>
        <v/>
      </c>
    </row>
    <row r="595">
      <c r="A595" t="inlineStr">
        <is>
          <t xml:space="preserve">   مسجد/المنصور بالفيضه .</t>
        </is>
      </c>
      <c r="B595" t="inlineStr">
        <is>
          <t>KFM2120660241407</t>
        </is>
      </c>
      <c r="C595" t="inlineStr">
        <is>
          <t>الدوادمي</t>
        </is>
      </c>
      <c r="D595" t="inlineStr">
        <is>
          <t>كلا الفترتين</t>
        </is>
      </c>
      <c r="E595" t="n">
        <v>854</v>
      </c>
      <c r="F595" t="b">
        <v>1</v>
      </c>
      <c r="G595">
        <f>HYPERLINK("https://www.google.com/maps/search/?api=1&amp;query=25.33652116,44.46278233", "View Map")</f>
        <v/>
      </c>
    </row>
    <row r="596">
      <c r="A596" t="inlineStr">
        <is>
          <t xml:space="preserve">   مسجد/الأساعده .</t>
        </is>
      </c>
      <c r="B596" t="inlineStr">
        <is>
          <t>KFM2020660202855</t>
        </is>
      </c>
      <c r="C596" t="inlineStr">
        <is>
          <t>الدوادمي</t>
        </is>
      </c>
      <c r="D596" t="inlineStr">
        <is>
          <t>كلا الفترتين</t>
        </is>
      </c>
      <c r="E596" t="n">
        <v>854</v>
      </c>
      <c r="F596" t="b">
        <v>1</v>
      </c>
      <c r="G596">
        <f>HYPERLINK("https://www.google.com/maps/search/?api=1&amp;query=25.16692583,44.58236343", "View Map")</f>
        <v/>
      </c>
    </row>
    <row r="597">
      <c r="A597" t="inlineStr">
        <is>
          <t>ﻭﺯﺍﺭﺓﺍﻻﻭﻗﺎﻑ ـ ﺍﻭﻗﺎﻑ ﺍﻟﺩﻭﺍﺩﻤﻲ .</t>
        </is>
      </c>
      <c r="B597" t="inlineStr">
        <is>
          <t>KFM2020660204076</t>
        </is>
      </c>
      <c r="C597" t="inlineStr">
        <is>
          <t>الدوادمي</t>
        </is>
      </c>
      <c r="D597" t="inlineStr">
        <is>
          <t>كلا الفترتين</t>
        </is>
      </c>
      <c r="E597" t="n">
        <v>852</v>
      </c>
      <c r="F597" t="b">
        <v>1</v>
      </c>
      <c r="G597">
        <f>HYPERLINK("https://www.google.com/maps/search/?api=1&amp;query=24.5520837,44.42524255", "View Map")</f>
        <v/>
      </c>
    </row>
    <row r="598">
      <c r="A598" t="inlineStr">
        <is>
          <t>ﻭﺯﺍﺭﺓﺍﻻﻭﻗﺎﻑ ـ ﺍﻭﻗﺎﻑ ﺍﻟﺩﻭﺍﺩﻤﻲ .</t>
        </is>
      </c>
      <c r="B598" t="inlineStr">
        <is>
          <t>KFM2020760231840</t>
        </is>
      </c>
      <c r="C598" t="inlineStr">
        <is>
          <t>الدوادمي</t>
        </is>
      </c>
      <c r="D598" t="inlineStr">
        <is>
          <t>كلا الفترتين</t>
        </is>
      </c>
      <c r="E598" t="n">
        <v>850</v>
      </c>
      <c r="F598" t="b">
        <v>0</v>
      </c>
      <c r="G598">
        <f>HYPERLINK("https://www.google.com/maps/search/?api=1&amp;query=24.54875576,44.42736767", "View Map")</f>
        <v/>
      </c>
    </row>
    <row r="599">
      <c r="A599" t="inlineStr">
        <is>
          <t xml:space="preserve">   مسجد/صنيتان قاعد نوير .</t>
        </is>
      </c>
      <c r="B599" t="inlineStr">
        <is>
          <t>SMR2020850076358</t>
        </is>
      </c>
      <c r="C599" t="inlineStr">
        <is>
          <t>القويعية</t>
        </is>
      </c>
      <c r="D599" t="inlineStr">
        <is>
          <t>كلا الفترتين</t>
        </is>
      </c>
      <c r="E599" t="n">
        <v>849</v>
      </c>
      <c r="F599" t="b">
        <v>0</v>
      </c>
      <c r="G599">
        <f>HYPERLINK("https://www.google.com/maps/search/?api=1&amp;query=23.47268564,44.36219286", "View Map")</f>
        <v/>
      </c>
    </row>
    <row r="600">
      <c r="A600" t="inlineStr">
        <is>
          <t xml:space="preserve">       مسجد عبلاء الرفيعه .</t>
        </is>
      </c>
      <c r="B600" t="inlineStr">
        <is>
          <t>AES2020896463874</t>
        </is>
      </c>
      <c r="C600" t="inlineStr">
        <is>
          <t>الدوادمي</t>
        </is>
      </c>
      <c r="D600" t="inlineStr">
        <is>
          <t>كلا الفترتين</t>
        </is>
      </c>
      <c r="E600" t="n">
        <v>846</v>
      </c>
      <c r="F600" t="b">
        <v>0</v>
      </c>
      <c r="G600">
        <f>HYPERLINK("https://www.google.com/maps/search/?api=1&amp;query=24.98001827,43.65246534", "View Map")</f>
        <v/>
      </c>
    </row>
    <row r="601">
      <c r="A601" t="inlineStr">
        <is>
          <t xml:space="preserve">   جامع      الا مير    محمد بن تركي .</t>
        </is>
      </c>
      <c r="B601" t="inlineStr">
        <is>
          <t>KFM2020660209316</t>
        </is>
      </c>
      <c r="C601" t="inlineStr">
        <is>
          <t>ضرما</t>
        </is>
      </c>
      <c r="D601" t="inlineStr">
        <is>
          <t>كلا الفترتين</t>
        </is>
      </c>
      <c r="E601" t="n">
        <v>844</v>
      </c>
      <c r="F601" t="b">
        <v>0</v>
      </c>
      <c r="G601">
        <f>HYPERLINK("https://www.google.com/maps/search/?api=1&amp;query=24.48143694,46.39563982", "View Map")</f>
        <v/>
      </c>
    </row>
    <row r="602">
      <c r="A602" t="inlineStr">
        <is>
          <t xml:space="preserve">   مسجد/ تركى  سداح  محيا .</t>
        </is>
      </c>
      <c r="B602" t="inlineStr">
        <is>
          <t>KFM2020766077147</t>
        </is>
      </c>
      <c r="C602" t="inlineStr">
        <is>
          <t>الدوادمي</t>
        </is>
      </c>
      <c r="D602" t="inlineStr">
        <is>
          <t>كلا الفترتين</t>
        </is>
      </c>
      <c r="E602" t="n">
        <v>843</v>
      </c>
      <c r="F602" t="b">
        <v>0</v>
      </c>
      <c r="G602">
        <f>HYPERLINK("https://www.google.com/maps/search/?api=1&amp;query=25.18924563,44.60347064", "View Map")</f>
        <v/>
      </c>
    </row>
    <row r="603">
      <c r="A603" t="inlineStr">
        <is>
          <t xml:space="preserve">   مسجد/معجب  شمروخ  عجاب .</t>
        </is>
      </c>
      <c r="B603" t="inlineStr">
        <is>
          <t>KFM2020766077753</t>
        </is>
      </c>
      <c r="C603" t="inlineStr">
        <is>
          <t>الدوادمي</t>
        </is>
      </c>
      <c r="D603" t="inlineStr">
        <is>
          <t>كلا الفترتين</t>
        </is>
      </c>
      <c r="E603" t="n">
        <v>841</v>
      </c>
      <c r="F603" t="b">
        <v>0</v>
      </c>
      <c r="G603">
        <f>HYPERLINK("https://www.google.com/maps/search/?api=1&amp;query=25.17406758,44.59624707", "View Map")</f>
        <v/>
      </c>
    </row>
    <row r="604">
      <c r="A604" t="inlineStr">
        <is>
          <t>ﻭﺯﺍﺭﺓﺍﻻﻭﻗﺎﻑ ـ ﺍﻭﻗﺎﻑ ﺴﺎﺠﺭ .</t>
        </is>
      </c>
      <c r="B604" t="inlineStr">
        <is>
          <t>AES2020896446895</t>
        </is>
      </c>
      <c r="C604" t="inlineStr">
        <is>
          <t>الدوادمي</t>
        </is>
      </c>
      <c r="D604" t="inlineStr">
        <is>
          <t>كلا الفترتين</t>
        </is>
      </c>
      <c r="E604" t="n">
        <v>841</v>
      </c>
      <c r="F604" t="b">
        <v>0</v>
      </c>
      <c r="G604">
        <f>HYPERLINK("https://www.google.com/maps/search/?api=1&amp;query=25.05458,44.70662", "View Map")</f>
        <v/>
      </c>
    </row>
    <row r="605">
      <c r="A605" t="inlineStr">
        <is>
          <t xml:space="preserve">   اوقاف الحصاة/مسجدلحسه بالحصاة .</t>
        </is>
      </c>
      <c r="B605" t="inlineStr">
        <is>
          <t>AES2020896448216</t>
        </is>
      </c>
      <c r="C605" t="inlineStr">
        <is>
          <t>الرين</t>
        </is>
      </c>
      <c r="D605" t="inlineStr">
        <is>
          <t>كلا الفترتين</t>
        </is>
      </c>
      <c r="E605" t="n">
        <v>841</v>
      </c>
      <c r="F605" t="b">
        <v>0</v>
      </c>
      <c r="G605">
        <f>HYPERLINK("https://www.google.com/maps/search/?api=1&amp;query=22.51801633,44.94757355", "View Map")</f>
        <v/>
      </c>
    </row>
    <row r="606">
      <c r="A606" t="inlineStr">
        <is>
          <t xml:space="preserve">   اوقاف الرين جامع المغيدر .</t>
        </is>
      </c>
      <c r="B606" t="inlineStr">
        <is>
          <t>AES2120896574558</t>
        </is>
      </c>
      <c r="C606" t="inlineStr">
        <is>
          <t>الرين</t>
        </is>
      </c>
      <c r="D606" t="inlineStr">
        <is>
          <t>كلا الفترتين</t>
        </is>
      </c>
      <c r="E606" t="n">
        <v>839</v>
      </c>
      <c r="F606" t="b">
        <v>0</v>
      </c>
      <c r="G606">
        <f>HYPERLINK("https://www.google.com/maps/search/?api=1&amp;query=23.08364035,45.25194438", "View Map")</f>
        <v/>
      </c>
    </row>
    <row r="607">
      <c r="A607" t="inlineStr">
        <is>
          <t xml:space="preserve">   مسجد      الحي      بالسليمانيه .</t>
        </is>
      </c>
      <c r="B607" t="inlineStr">
        <is>
          <t>AES2020896054493</t>
        </is>
      </c>
      <c r="C607" t="inlineStr">
        <is>
          <t>الدوادمي</t>
        </is>
      </c>
      <c r="D607" t="inlineStr">
        <is>
          <t>كلا الفترتين</t>
        </is>
      </c>
      <c r="E607" t="n">
        <v>839</v>
      </c>
      <c r="F607" t="b">
        <v>0</v>
      </c>
      <c r="G607">
        <f>HYPERLINK("https://www.google.com/maps/search/?api=1&amp;query=25.10192141,43.815345", "View Map")</f>
        <v/>
      </c>
    </row>
    <row r="608">
      <c r="A608" t="inlineStr">
        <is>
          <t>مبنى مغسله الموتى قرية السريحية0 .</t>
        </is>
      </c>
      <c r="B608" t="inlineStr">
        <is>
          <t>GTR2320890752436</t>
        </is>
      </c>
      <c r="C608" t="inlineStr">
        <is>
          <t>المهد</t>
        </is>
      </c>
      <c r="D608" t="inlineStr">
        <is>
          <t>مساءا</t>
        </is>
      </c>
      <c r="E608" t="n">
        <v>838</v>
      </c>
      <c r="F608" t="b">
        <v>0</v>
      </c>
      <c r="G608">
        <f>HYPERLINK("https://www.google.com/maps/search/?api=1&amp;query=23.89447586,42.06457268", "View Map")</f>
        <v/>
      </c>
    </row>
    <row r="609">
      <c r="A609" t="inlineStr">
        <is>
          <t xml:space="preserve">   جامع ابو  بكرالصديق بهجرةالفيحاء .</t>
        </is>
      </c>
      <c r="B609" t="inlineStr">
        <is>
          <t>KFM2020660192416</t>
        </is>
      </c>
      <c r="C609" t="inlineStr">
        <is>
          <t>القويعية</t>
        </is>
      </c>
      <c r="D609" t="inlineStr">
        <is>
          <t>مساءا</t>
        </is>
      </c>
      <c r="E609" t="n">
        <v>838</v>
      </c>
      <c r="F609" t="b">
        <v>0</v>
      </c>
      <c r="G609">
        <f>HYPERLINK("https://www.google.com/maps/search/?api=1&amp;query=23.8114714,44.83836985", "View Map")</f>
        <v/>
      </c>
    </row>
    <row r="610">
      <c r="A610" t="inlineStr">
        <is>
          <t xml:space="preserve">    مسجد عبدالمحسن خميس  جابرالعصيمى .</t>
        </is>
      </c>
      <c r="B610" t="inlineStr">
        <is>
          <t>SMR2020850108738</t>
        </is>
      </c>
      <c r="C610" t="inlineStr">
        <is>
          <t>الدوادمي</t>
        </is>
      </c>
      <c r="D610" t="inlineStr">
        <is>
          <t>كلا الفترتين</t>
        </is>
      </c>
      <c r="E610" t="n">
        <v>837</v>
      </c>
      <c r="F610" t="b">
        <v>0</v>
      </c>
      <c r="G610">
        <f>HYPERLINK("https://www.google.com/maps/search/?api=1&amp;query=24.46623982,44.35806758", "View Map")</f>
        <v/>
      </c>
    </row>
    <row r="611">
      <c r="A611" t="inlineStr">
        <is>
          <t xml:space="preserve">   مسجد      ابوشيح    حى ابوشيح .</t>
        </is>
      </c>
      <c r="B611" t="inlineStr">
        <is>
          <t>KFM2020766162189</t>
        </is>
      </c>
      <c r="C611" t="inlineStr">
        <is>
          <t>الدوادمي</t>
        </is>
      </c>
      <c r="D611" t="inlineStr">
        <is>
          <t>كلا الفترتين</t>
        </is>
      </c>
      <c r="E611" t="n">
        <v>834</v>
      </c>
      <c r="F611" t="b">
        <v>1</v>
      </c>
      <c r="G611">
        <f>HYPERLINK("https://www.google.com/maps/search/?api=1&amp;query=24.7369979,44.2965343", "View Map")</f>
        <v/>
      </c>
    </row>
    <row r="612">
      <c r="A612" t="inlineStr">
        <is>
          <t xml:space="preserve">    اوقاف الرين/مسجدام سدرةبالرواما .</t>
        </is>
      </c>
      <c r="B612" t="inlineStr">
        <is>
          <t>SMR2020850072265</t>
        </is>
      </c>
      <c r="C612" t="inlineStr">
        <is>
          <t>الرين</t>
        </is>
      </c>
      <c r="D612" t="inlineStr">
        <is>
          <t>مساءا</t>
        </is>
      </c>
      <c r="E612" t="n">
        <v>833</v>
      </c>
      <c r="F612" t="b">
        <v>0</v>
      </c>
      <c r="G612">
        <f>HYPERLINK("https://www.google.com/maps/search/?api=1&amp;query=23.61098766,45.43640809", "View Map")</f>
        <v/>
      </c>
    </row>
    <row r="613">
      <c r="A613" t="inlineStr">
        <is>
          <t xml:space="preserve">   مسجدلجع .</t>
        </is>
      </c>
      <c r="B613" t="inlineStr">
        <is>
          <t>KFM2020660196364</t>
        </is>
      </c>
      <c r="C613" t="inlineStr">
        <is>
          <t>الرين</t>
        </is>
      </c>
      <c r="D613" t="inlineStr">
        <is>
          <t>صباحا</t>
        </is>
      </c>
      <c r="E613" t="n">
        <v>831</v>
      </c>
      <c r="F613" t="b">
        <v>1</v>
      </c>
      <c r="G613">
        <f>HYPERLINK("https://www.google.com/maps/search/?api=1&amp;query=23.24768865,45.56059288", "View Map")</f>
        <v/>
      </c>
    </row>
    <row r="614">
      <c r="A614" t="inlineStr">
        <is>
          <t>ﻭﺯﺍﺭﺓﺍﻻﻭﻗﺎﻑ ـ ﺍﻭﻗﺎﻑ ﺍﻟﺩﻭﺍﺩﻤﻲ .</t>
        </is>
      </c>
      <c r="B614" t="inlineStr">
        <is>
          <t>SMR2020850038827</t>
        </is>
      </c>
      <c r="C614" t="inlineStr">
        <is>
          <t>الدوادمي</t>
        </is>
      </c>
      <c r="D614" t="inlineStr">
        <is>
          <t>كلا الفترتين</t>
        </is>
      </c>
      <c r="E614" t="n">
        <v>828</v>
      </c>
      <c r="F614" t="b">
        <v>1</v>
      </c>
      <c r="G614">
        <f>HYPERLINK("https://www.google.com/maps/search/?api=1&amp;query=24.70065778,44.29033148", "View Map")</f>
        <v/>
      </c>
    </row>
    <row r="615">
      <c r="A615" t="inlineStr">
        <is>
          <t xml:space="preserve">   اوقاف الرين  بادية الغبيش .</t>
        </is>
      </c>
      <c r="B615" t="inlineStr">
        <is>
          <t>AES2020896532250</t>
        </is>
      </c>
      <c r="C615" t="inlineStr">
        <is>
          <t>الرين</t>
        </is>
      </c>
      <c r="D615" t="inlineStr">
        <is>
          <t>كلا الفترتين</t>
        </is>
      </c>
      <c r="E615" t="n">
        <v>826</v>
      </c>
      <c r="F615" t="b">
        <v>0</v>
      </c>
      <c r="G615">
        <f>HYPERLINK("https://www.google.com/maps/search/?api=1&amp;query=23.60422969,45.70175845", "View Map")</f>
        <v/>
      </c>
    </row>
    <row r="616">
      <c r="A616" t="inlineStr">
        <is>
          <t xml:space="preserve">   مسجد عسيله الشرقي .</t>
        </is>
      </c>
      <c r="B616" t="inlineStr">
        <is>
          <t>KFM2020660153886</t>
        </is>
      </c>
      <c r="C616" t="inlineStr">
        <is>
          <t>الدوادمي</t>
        </is>
      </c>
      <c r="D616" t="inlineStr">
        <is>
          <t>كلا الفترتين</t>
        </is>
      </c>
      <c r="E616" t="n">
        <v>826</v>
      </c>
      <c r="F616" t="b">
        <v>1</v>
      </c>
      <c r="G616">
        <f>HYPERLINK("https://www.google.com/maps/search/?api=1&amp;query=25.11077649,44.67668749", "View Map")</f>
        <v/>
      </c>
    </row>
    <row r="617">
      <c r="A617" t="inlineStr">
        <is>
          <t xml:space="preserve">   اوقاف القويعيه/مسجدسعدبن وقاص .</t>
        </is>
      </c>
      <c r="B617" t="inlineStr">
        <is>
          <t>KFM2020766107195</t>
        </is>
      </c>
      <c r="C617" t="inlineStr">
        <is>
          <t>القويعية</t>
        </is>
      </c>
      <c r="D617" t="inlineStr">
        <is>
          <t>كلا الفترتين</t>
        </is>
      </c>
      <c r="E617" t="n">
        <v>823</v>
      </c>
      <c r="F617" t="b">
        <v>0</v>
      </c>
      <c r="G617">
        <f>HYPERLINK("https://www.google.com/maps/search/?api=1&amp;query=24.07152363,45.28004902", "View Map")</f>
        <v/>
      </c>
    </row>
    <row r="618">
      <c r="A618" t="inlineStr">
        <is>
          <t xml:space="preserve">   اوقاف القويعيه /مسجدالقصوريه .</t>
        </is>
      </c>
      <c r="B618" t="inlineStr">
        <is>
          <t>AES2120896544264</t>
        </is>
      </c>
      <c r="C618" t="inlineStr">
        <is>
          <t>القويعية</t>
        </is>
      </c>
      <c r="D618" t="inlineStr">
        <is>
          <t>كلا الفترتين</t>
        </is>
      </c>
      <c r="E618" t="n">
        <v>822</v>
      </c>
      <c r="F618" t="b">
        <v>0</v>
      </c>
      <c r="G618">
        <f>HYPERLINK("https://www.google.com/maps/search/?api=1&amp;query=24.38748964,45.51610831", "View Map")</f>
        <v/>
      </c>
    </row>
    <row r="619">
      <c r="A619" t="inlineStr">
        <is>
          <t xml:space="preserve">   مسجد      جامع      طحي .</t>
        </is>
      </c>
      <c r="B619" t="inlineStr">
        <is>
          <t>KFM2020660192436</t>
        </is>
      </c>
      <c r="C619" t="inlineStr">
        <is>
          <t>القويعية</t>
        </is>
      </c>
      <c r="D619" t="inlineStr">
        <is>
          <t>مساءا</t>
        </is>
      </c>
      <c r="E619" t="n">
        <v>821</v>
      </c>
      <c r="F619" t="b">
        <v>1</v>
      </c>
      <c r="G619">
        <f>HYPERLINK("https://www.google.com/maps/search/?api=1&amp;query=23.7045444,44.68671604", "View Map")</f>
        <v/>
      </c>
    </row>
    <row r="620">
      <c r="A620" t="inlineStr">
        <is>
          <t xml:space="preserve">   مسجد عمر بن الخطاب .</t>
        </is>
      </c>
      <c r="B620" t="inlineStr">
        <is>
          <t>KFM2020660126671</t>
        </is>
      </c>
      <c r="C620" t="inlineStr">
        <is>
          <t>الدوادمي</t>
        </is>
      </c>
      <c r="D620" t="inlineStr">
        <is>
          <t>كلا الفترتين</t>
        </is>
      </c>
      <c r="E620" t="n">
        <v>819</v>
      </c>
      <c r="F620" t="b">
        <v>1</v>
      </c>
      <c r="G620">
        <f>HYPERLINK("https://www.google.com/maps/search/?api=1&amp;query=25.49227438,44.41025467", "View Map")</f>
        <v/>
      </c>
    </row>
    <row r="621">
      <c r="A621" t="inlineStr">
        <is>
          <t xml:space="preserve">   مسجد/     زبارة     /سمارالكرشمي .</t>
        </is>
      </c>
      <c r="B621" t="inlineStr">
        <is>
          <t>MMF2420801283164</t>
        </is>
      </c>
      <c r="C621" t="inlineStr">
        <is>
          <t>الدوادمي</t>
        </is>
      </c>
      <c r="D621" t="inlineStr">
        <is>
          <t>كلا الفترتين</t>
        </is>
      </c>
      <c r="E621" t="n">
        <v>818</v>
      </c>
      <c r="F621" t="b">
        <v>0</v>
      </c>
      <c r="G621">
        <f>HYPERLINK("https://www.google.com/maps/search/?api=1&amp;query=24.84593604,43.51668282", "View Map")</f>
        <v/>
      </c>
    </row>
    <row r="622">
      <c r="A622" t="inlineStr">
        <is>
          <t>وزارةالأ وقاف اوقاف نفي .</t>
        </is>
      </c>
      <c r="B622" t="inlineStr">
        <is>
          <t>AES2020896025955</t>
        </is>
      </c>
      <c r="C622" t="inlineStr">
        <is>
          <t>الدوادمي</t>
        </is>
      </c>
      <c r="D622" t="inlineStr">
        <is>
          <t>كلا الفترتين</t>
        </is>
      </c>
      <c r="E622" t="n">
        <v>816</v>
      </c>
      <c r="F622" t="b">
        <v>0</v>
      </c>
      <c r="G622">
        <f>HYPERLINK("https://www.google.com/maps/search/?api=1&amp;query=25.01688057,43.83679136", "View Map")</f>
        <v/>
      </c>
    </row>
    <row r="623">
      <c r="A623" t="inlineStr">
        <is>
          <t xml:space="preserve">      مـسـجـد الصالحيه بالرين .</t>
        </is>
      </c>
      <c r="B623" t="inlineStr">
        <is>
          <t>AES2020896459252</t>
        </is>
      </c>
      <c r="C623" t="inlineStr">
        <is>
          <t>الرين</t>
        </is>
      </c>
      <c r="D623" t="inlineStr">
        <is>
          <t>كلا الفترتين</t>
        </is>
      </c>
      <c r="E623" t="n">
        <v>815</v>
      </c>
      <c r="F623" t="b">
        <v>0</v>
      </c>
      <c r="G623">
        <f>HYPERLINK("https://www.google.com/maps/search/?api=1&amp;query=23.6259477,45.40687317", "View Map")</f>
        <v/>
      </c>
    </row>
    <row r="624">
      <c r="A624" t="inlineStr">
        <is>
          <t xml:space="preserve">    مسجد  هجرة  مطربة .</t>
        </is>
      </c>
      <c r="B624" t="inlineStr">
        <is>
          <t>KFM2020766098714</t>
        </is>
      </c>
      <c r="C624" t="inlineStr">
        <is>
          <t>عفيف</t>
        </is>
      </c>
      <c r="D624" t="inlineStr">
        <is>
          <t>كلا الفترتين</t>
        </is>
      </c>
      <c r="E624" t="n">
        <v>814</v>
      </c>
      <c r="F624" t="b">
        <v>0</v>
      </c>
      <c r="G624">
        <f>HYPERLINK("https://www.google.com/maps/search/?api=1&amp;query=23.95301571,42.85675406", "View Map")</f>
        <v/>
      </c>
    </row>
    <row r="625">
      <c r="A625" t="inlineStr">
        <is>
          <t>مسجد ابن ظبية .</t>
        </is>
      </c>
      <c r="B625" t="inlineStr">
        <is>
          <t>KFM2020766065214</t>
        </is>
      </c>
      <c r="C625" t="inlineStr">
        <is>
          <t>القويعية</t>
        </is>
      </c>
      <c r="D625" t="inlineStr">
        <is>
          <t>مساءا</t>
        </is>
      </c>
      <c r="E625" t="n">
        <v>813</v>
      </c>
      <c r="F625" t="b">
        <v>0</v>
      </c>
      <c r="G625">
        <f>HYPERLINK("https://www.google.com/maps/search/?api=1&amp;query=24.34164789,45.83899876", "View Map")</f>
        <v/>
      </c>
    </row>
    <row r="626">
      <c r="A626" t="inlineStr">
        <is>
          <t>ﻭﺯﺍﺭﺓﺍﻷﻭﻗﺎﻑ _ ﺍﻭﻗﺎﻑ ﺍﻟﺭﻭﻴﻀﻩ .</t>
        </is>
      </c>
      <c r="B626" t="inlineStr">
        <is>
          <t>AES2120896563529</t>
        </is>
      </c>
      <c r="C626" t="inlineStr">
        <is>
          <t>القويعية</t>
        </is>
      </c>
      <c r="D626" t="inlineStr">
        <is>
          <t>مساءا</t>
        </is>
      </c>
      <c r="E626" t="n">
        <v>811</v>
      </c>
      <c r="F626" t="b">
        <v>0</v>
      </c>
      <c r="G626">
        <f>HYPERLINK("https://www.google.com/maps/search/?api=1&amp;query=23.61969235,44.76419941", "View Map")</f>
        <v/>
      </c>
    </row>
    <row r="627">
      <c r="A627" t="inlineStr">
        <is>
          <t xml:space="preserve">   مسجد سليمان عبدالعزيز النشوان .</t>
        </is>
      </c>
      <c r="B627" t="inlineStr">
        <is>
          <t>KFM2020660209314</t>
        </is>
      </c>
      <c r="C627" t="inlineStr">
        <is>
          <t>ضرما</t>
        </is>
      </c>
      <c r="D627" t="inlineStr">
        <is>
          <t>مساءا</t>
        </is>
      </c>
      <c r="E627" t="n">
        <v>808</v>
      </c>
      <c r="F627" t="b">
        <v>0</v>
      </c>
      <c r="G627">
        <f>HYPERLINK("https://www.google.com/maps/search/?api=1&amp;query=24.42306649,46.54314319", "View Map")</f>
        <v/>
      </c>
    </row>
    <row r="628">
      <c r="A628" t="inlineStr">
        <is>
          <t xml:space="preserve">   اوقاف     القويعيه  محمدبن عبدال .</t>
        </is>
      </c>
      <c r="B628" t="inlineStr">
        <is>
          <t>KFM2020766107142</t>
        </is>
      </c>
      <c r="C628" t="inlineStr">
        <is>
          <t>القويعية</t>
        </is>
      </c>
      <c r="D628" t="inlineStr">
        <is>
          <t>كلا الفترتين</t>
        </is>
      </c>
      <c r="E628" t="n">
        <v>805</v>
      </c>
      <c r="F628" t="b">
        <v>0</v>
      </c>
      <c r="G628">
        <f>HYPERLINK("https://www.google.com/maps/search/?api=1&amp;query=24.0701539,45.2920595", "View Map")</f>
        <v/>
      </c>
    </row>
    <row r="629">
      <c r="A629" t="inlineStr">
        <is>
          <t>ﻭﺯﺍﺭﺓﺍﻻﻭﻗﺎﻑ ـ ﺍﻭﻗﺎﻑ ﺍﻟﺩﻭﺍﺩﻤﻲ .</t>
        </is>
      </c>
      <c r="B629" t="inlineStr">
        <is>
          <t>MMF2020800114170</t>
        </is>
      </c>
      <c r="C629" t="inlineStr">
        <is>
          <t>الدوادمي</t>
        </is>
      </c>
      <c r="D629" t="inlineStr">
        <is>
          <t>كلا الفترتين</t>
        </is>
      </c>
      <c r="E629" t="n">
        <v>803</v>
      </c>
      <c r="F629" t="b">
        <v>0</v>
      </c>
      <c r="G629">
        <f>HYPERLINK("https://www.google.com/maps/search/?api=1&amp;query=24.57046526,44.45297732", "View Map")</f>
        <v/>
      </c>
    </row>
    <row r="630">
      <c r="A630" t="inlineStr">
        <is>
          <t xml:space="preserve">   مسجد الديريه .</t>
        </is>
      </c>
      <c r="B630" t="inlineStr">
        <is>
          <t>KFM2120660241412</t>
        </is>
      </c>
      <c r="C630" t="inlineStr">
        <is>
          <t>الدوادمي</t>
        </is>
      </c>
      <c r="D630" t="inlineStr">
        <is>
          <t>كلا الفترتين</t>
        </is>
      </c>
      <c r="E630" t="n">
        <v>801</v>
      </c>
      <c r="F630" t="b">
        <v>0</v>
      </c>
      <c r="G630">
        <f>HYPERLINK("https://www.google.com/maps/search/?api=1&amp;query=25.2129764,44.22070627", "View Map")</f>
        <v/>
      </c>
    </row>
    <row r="631">
      <c r="A631" t="inlineStr">
        <is>
          <t xml:space="preserve">     مســـــجد عـــوض  التــــوم .</t>
        </is>
      </c>
      <c r="B631" t="inlineStr">
        <is>
          <t>AES2120896582024</t>
        </is>
      </c>
      <c r="C631" t="inlineStr">
        <is>
          <t>الدوادمي</t>
        </is>
      </c>
      <c r="D631" t="inlineStr">
        <is>
          <t>صباحا</t>
        </is>
      </c>
      <c r="E631" t="n">
        <v>801</v>
      </c>
      <c r="F631" t="b">
        <v>0</v>
      </c>
      <c r="G631">
        <f>HYPERLINK("https://www.google.com/maps/search/?api=1&amp;query=25.07184317,44.70193392", "View Map")</f>
        <v/>
      </c>
    </row>
    <row r="632">
      <c r="A632" t="inlineStr">
        <is>
          <t xml:space="preserve">   مسجد الهرجابيه ـ اوقاف القويعيه .</t>
        </is>
      </c>
      <c r="B632" t="inlineStr">
        <is>
          <t>SMR2220661006298</t>
        </is>
      </c>
      <c r="C632" t="inlineStr">
        <is>
          <t>الرين</t>
        </is>
      </c>
      <c r="D632" t="inlineStr">
        <is>
          <t>مساءا</t>
        </is>
      </c>
      <c r="E632" t="n">
        <v>800</v>
      </c>
      <c r="F632" t="b">
        <v>1</v>
      </c>
      <c r="G632">
        <f>HYPERLINK("https://www.google.com/maps/search/?api=1&amp;query=22.7913333,45.0354997", "View Map")</f>
        <v/>
      </c>
    </row>
    <row r="633">
      <c r="A633" t="inlineStr">
        <is>
          <t xml:space="preserve">   الجامع الجديد بجريسه .</t>
        </is>
      </c>
      <c r="B633" t="inlineStr">
        <is>
          <t>SMR2020850115041</t>
        </is>
      </c>
      <c r="C633" t="inlineStr">
        <is>
          <t>الدوادمي</t>
        </is>
      </c>
      <c r="D633" t="inlineStr">
        <is>
          <t>كلا الفترتين</t>
        </is>
      </c>
      <c r="E633" t="n">
        <v>797</v>
      </c>
      <c r="F633" t="b">
        <v>0</v>
      </c>
      <c r="G633">
        <f>HYPERLINK("https://www.google.com/maps/search/?api=1&amp;query=24.43484835,44.2568614", "View Map")</f>
        <v/>
      </c>
    </row>
    <row r="634">
      <c r="A634" t="inlineStr">
        <is>
          <t>ﻭﺯﺍﺭﺓﺍﻷﻭﻗﺎﻑ _ ﺍﻭﻗﺎﻑ ﺍﻟﺭﻭﻴﻀﻩ .</t>
        </is>
      </c>
      <c r="B634" t="inlineStr">
        <is>
          <t>AES2020896464493</t>
        </is>
      </c>
      <c r="C634" t="inlineStr">
        <is>
          <t>القويعية</t>
        </is>
      </c>
      <c r="D634" t="inlineStr">
        <is>
          <t>كلا الفترتين</t>
        </is>
      </c>
      <c r="E634" t="n">
        <v>795</v>
      </c>
      <c r="F634" t="b">
        <v>0</v>
      </c>
      <c r="G634">
        <f>HYPERLINK("https://www.google.com/maps/search/?api=1&amp;query=23.76429,44.75222", "View Map")</f>
        <v/>
      </c>
    </row>
    <row r="635">
      <c r="A635" t="inlineStr">
        <is>
          <t xml:space="preserve">      مسجد الحار5 الشماليه بمصد5 .</t>
        </is>
      </c>
      <c r="B635" t="inlineStr">
        <is>
          <t>KFM2020760058333</t>
        </is>
      </c>
      <c r="C635" t="inlineStr">
        <is>
          <t>الدوادمي</t>
        </is>
      </c>
      <c r="D635" t="inlineStr">
        <is>
          <t>كلا الفترتين</t>
        </is>
      </c>
      <c r="E635" t="n">
        <v>794</v>
      </c>
      <c r="F635" t="b">
        <v>1</v>
      </c>
      <c r="G635">
        <f>HYPERLINK("https://www.google.com/maps/search/?api=1&amp;query=24.53853447,44.27143806", "View Map")</f>
        <v/>
      </c>
    </row>
    <row r="636">
      <c r="A636" t="inlineStr">
        <is>
          <t xml:space="preserve">   مسجد .</t>
        </is>
      </c>
      <c r="B636" t="inlineStr">
        <is>
          <t>KFM2020760082801</t>
        </is>
      </c>
      <c r="C636" t="inlineStr">
        <is>
          <t>الدوادمي</t>
        </is>
      </c>
      <c r="D636" t="inlineStr">
        <is>
          <t>كلا الفترتين</t>
        </is>
      </c>
      <c r="E636" t="n">
        <v>793</v>
      </c>
      <c r="F636" t="b">
        <v>0</v>
      </c>
      <c r="G636">
        <f>HYPERLINK("https://www.google.com/maps/search/?api=1&amp;query=24.51329197,44.37699739", "View Map")</f>
        <v/>
      </c>
    </row>
    <row r="637">
      <c r="A637" t="inlineStr">
        <is>
          <t>مسجد .</t>
        </is>
      </c>
      <c r="B637" t="inlineStr">
        <is>
          <t>ECC2020810688141</t>
        </is>
      </c>
      <c r="C637" t="inlineStr">
        <is>
          <t>الدوادمي</t>
        </is>
      </c>
      <c r="D637" t="inlineStr">
        <is>
          <t>مساءا</t>
        </is>
      </c>
      <c r="E637" t="n">
        <v>792</v>
      </c>
      <c r="F637" t="b">
        <v>1</v>
      </c>
      <c r="G637">
        <f>HYPERLINK("https://www.google.com/maps/search/?api=1&amp;query=24.5164214,44.37374979", "View Map")</f>
        <v/>
      </c>
    </row>
    <row r="638">
      <c r="A638" t="inlineStr">
        <is>
          <t>مسجد عبدالرحمن مطلق الرويس .</t>
        </is>
      </c>
      <c r="B638" t="inlineStr">
        <is>
          <t>KFM2020760051355</t>
        </is>
      </c>
      <c r="C638" t="inlineStr">
        <is>
          <t>الدوادمي</t>
        </is>
      </c>
      <c r="D638" t="inlineStr">
        <is>
          <t>كلا الفترتين</t>
        </is>
      </c>
      <c r="E638" t="n">
        <v>791</v>
      </c>
      <c r="F638" t="b">
        <v>1</v>
      </c>
      <c r="G638">
        <f>HYPERLINK("https://www.google.com/maps/search/?api=1&amp;query=24.53278433,44.28076299", "View Map")</f>
        <v/>
      </c>
    </row>
    <row r="639">
      <c r="A639" t="inlineStr">
        <is>
          <t xml:space="preserve">  اوقاف القويعيه/مسجد عشيران الغربي .</t>
        </is>
      </c>
      <c r="B639" t="inlineStr">
        <is>
          <t>AEC2020830529041</t>
        </is>
      </c>
      <c r="C639" t="inlineStr">
        <is>
          <t>القويعية</t>
        </is>
      </c>
      <c r="D639" t="inlineStr">
        <is>
          <t>مساءا</t>
        </is>
      </c>
      <c r="E639" t="n">
        <v>789</v>
      </c>
      <c r="F639" t="b">
        <v>0</v>
      </c>
      <c r="G639">
        <f>HYPERLINK("https://www.google.com/maps/search/?api=1&amp;query=24.15187082,45.28216069", "View Map")</f>
        <v/>
      </c>
    </row>
    <row r="640">
      <c r="A640" t="inlineStr">
        <is>
          <t xml:space="preserve">   مسجد      على بن    بنفى .</t>
        </is>
      </c>
      <c r="B640" t="inlineStr">
        <is>
          <t>AES2020896081750</t>
        </is>
      </c>
      <c r="C640" t="inlineStr">
        <is>
          <t>الدوادمي</t>
        </is>
      </c>
      <c r="D640" t="inlineStr">
        <is>
          <t>مساءا</t>
        </is>
      </c>
      <c r="E640" t="n">
        <v>784</v>
      </c>
      <c r="F640" t="b">
        <v>0</v>
      </c>
      <c r="G640">
        <f>HYPERLINK("https://www.google.com/maps/search/?api=1&amp;query=25.02457623,43.81349745", "View Map")</f>
        <v/>
      </c>
    </row>
    <row r="641">
      <c r="A641" t="inlineStr">
        <is>
          <t xml:space="preserve"> اوقاف القويعيه/جامع الخنيقيه العليا .</t>
        </is>
      </c>
      <c r="B641" t="inlineStr">
        <is>
          <t>KFM2020766148249</t>
        </is>
      </c>
      <c r="C641" t="inlineStr">
        <is>
          <t>القويعية</t>
        </is>
      </c>
      <c r="D641" t="inlineStr">
        <is>
          <t>كلا الفترتين</t>
        </is>
      </c>
      <c r="E641" t="n">
        <v>784</v>
      </c>
      <c r="F641" t="b">
        <v>1</v>
      </c>
      <c r="G641">
        <f>HYPERLINK("https://www.google.com/maps/search/?api=1&amp;query=24.26456449,45.07546099", "View Map")</f>
        <v/>
      </c>
    </row>
    <row r="642">
      <c r="A642" t="inlineStr">
        <is>
          <t>وقاف ومساجد ضرماء .</t>
        </is>
      </c>
      <c r="B642" t="inlineStr">
        <is>
          <t>KFM2020660200022</t>
        </is>
      </c>
      <c r="C642" t="inlineStr">
        <is>
          <t>ضرما</t>
        </is>
      </c>
      <c r="D642" t="inlineStr">
        <is>
          <t>مساءا</t>
        </is>
      </c>
      <c r="E642" t="n">
        <v>782</v>
      </c>
      <c r="F642" t="b">
        <v>0</v>
      </c>
      <c r="G642">
        <f>HYPERLINK("https://www.google.com/maps/search/?api=1&amp;query=24.59191803,46.14981991", "View Map")</f>
        <v/>
      </c>
    </row>
    <row r="643">
      <c r="A643" t="inlineStr">
        <is>
          <t xml:space="preserve">   مسجد / برزان .</t>
        </is>
      </c>
      <c r="B643" t="inlineStr">
        <is>
          <t>AEC2020830312149</t>
        </is>
      </c>
      <c r="C643" t="inlineStr">
        <is>
          <t>الدوادمي</t>
        </is>
      </c>
      <c r="D643" t="inlineStr">
        <is>
          <t>كلا الفترتين</t>
        </is>
      </c>
      <c r="E643" t="n">
        <v>779</v>
      </c>
      <c r="F643" t="b">
        <v>1</v>
      </c>
      <c r="G643">
        <f>HYPERLINK("https://www.google.com/maps/search/?api=1&amp;query=25.48557793,44.4026885", "View Map")</f>
        <v/>
      </c>
    </row>
    <row r="644">
      <c r="A644" t="inlineStr">
        <is>
          <t xml:space="preserve">      مسجد الصقر5 .</t>
        </is>
      </c>
      <c r="B644" t="inlineStr">
        <is>
          <t>AES2120896609912</t>
        </is>
      </c>
      <c r="C644" t="inlineStr">
        <is>
          <t>عفيف</t>
        </is>
      </c>
      <c r="D644" t="inlineStr">
        <is>
          <t>مساءا</t>
        </is>
      </c>
      <c r="E644" t="n">
        <v>778</v>
      </c>
      <c r="F644" t="b">
        <v>0</v>
      </c>
      <c r="G644">
        <f>HYPERLINK("https://www.google.com/maps/search/?api=1&amp;query=24.22769,42.70057167", "View Map")</f>
        <v/>
      </c>
    </row>
    <row r="645">
      <c r="A645" t="inlineStr">
        <is>
          <t xml:space="preserve">   مسجد  مخطط  861 ق ( 20 ) عفيف  0 .</t>
        </is>
      </c>
      <c r="B645" t="inlineStr">
        <is>
          <t>MMF2420701010113</t>
        </is>
      </c>
      <c r="C645" t="inlineStr">
        <is>
          <t>عفيف</t>
        </is>
      </c>
      <c r="D645" t="inlineStr">
        <is>
          <t>كلا الفترتين</t>
        </is>
      </c>
      <c r="E645" t="n">
        <v>776</v>
      </c>
      <c r="F645" t="b">
        <v>0</v>
      </c>
      <c r="G645">
        <f>HYPERLINK("https://www.google.com/maps/search/?api=1&amp;query=23.87418717,42.90512872", "View Map")</f>
        <v/>
      </c>
    </row>
    <row r="646">
      <c r="A646" t="inlineStr">
        <is>
          <t>ﻭﺯﺍﺭﺓﺍﻻﻭﻗﺎﻑ ـ ﺍﻭﻗﺎﻑ ﺍﻟﺩﻭﺍﺩﻤﻲ .</t>
        </is>
      </c>
      <c r="B646" t="inlineStr">
        <is>
          <t>ECC2020810888291</t>
        </is>
      </c>
      <c r="C646" t="inlineStr">
        <is>
          <t>الدوادمي</t>
        </is>
      </c>
      <c r="D646" t="inlineStr">
        <is>
          <t>كلا الفترتين</t>
        </is>
      </c>
      <c r="E646" t="n">
        <v>774</v>
      </c>
      <c r="F646" t="b">
        <v>0</v>
      </c>
      <c r="G646">
        <f>HYPERLINK("https://www.google.com/maps/search/?api=1&amp;query=24.49901271,44.36178485", "View Map")</f>
        <v/>
      </c>
    </row>
    <row r="647">
      <c r="A647" t="inlineStr">
        <is>
          <t xml:space="preserve">    اوقاف الرويضة/مسجد هجرة السبيل .</t>
        </is>
      </c>
      <c r="B647" t="inlineStr">
        <is>
          <t>KFM2020760229660</t>
        </is>
      </c>
      <c r="C647" t="inlineStr">
        <is>
          <t>القويعية</t>
        </is>
      </c>
      <c r="D647" t="inlineStr">
        <is>
          <t>كلا الفترتين</t>
        </is>
      </c>
      <c r="E647" t="n">
        <v>772</v>
      </c>
      <c r="F647" t="b">
        <v>0</v>
      </c>
      <c r="G647">
        <f>HYPERLINK("https://www.google.com/maps/search/?api=1&amp;query=22.7965328,44.50710119", "View Map")</f>
        <v/>
      </c>
    </row>
    <row r="648">
      <c r="A648" t="inlineStr">
        <is>
          <t xml:space="preserve">   مسجد      قاعد      المقاطي .</t>
        </is>
      </c>
      <c r="B648" t="inlineStr">
        <is>
          <t>KFM2020760082706</t>
        </is>
      </c>
      <c r="C648" t="inlineStr">
        <is>
          <t>الدوادمي</t>
        </is>
      </c>
      <c r="D648" t="inlineStr">
        <is>
          <t>كلا الفترتين</t>
        </is>
      </c>
      <c r="E648" t="n">
        <v>772</v>
      </c>
      <c r="F648" t="b">
        <v>0</v>
      </c>
      <c r="G648">
        <f>HYPERLINK("https://www.google.com/maps/search/?api=1&amp;query=24.53839163,44.41077419", "View Map")</f>
        <v/>
      </c>
    </row>
    <row r="649">
      <c r="A649" t="inlineStr">
        <is>
          <t xml:space="preserve">      مسجد الالسليم .</t>
        </is>
      </c>
      <c r="B649" t="inlineStr">
        <is>
          <t>KFM2020766146008</t>
        </is>
      </c>
      <c r="C649" t="inlineStr">
        <is>
          <t>ضرما</t>
        </is>
      </c>
      <c r="D649" t="inlineStr">
        <is>
          <t>مساءا</t>
        </is>
      </c>
      <c r="E649" t="n">
        <v>768</v>
      </c>
      <c r="F649" t="b">
        <v>0</v>
      </c>
      <c r="G649">
        <f>HYPERLINK("https://www.google.com/maps/search/?api=1&amp;query=24.59345711,46.13034935", "View Map")</f>
        <v/>
      </c>
    </row>
    <row r="650">
      <c r="A650" t="inlineStr">
        <is>
          <t xml:space="preserve">   مسجد/السليميه الجنوبي .</t>
        </is>
      </c>
      <c r="B650" t="inlineStr">
        <is>
          <t>KFM2020660131278</t>
        </is>
      </c>
      <c r="C650" t="inlineStr">
        <is>
          <t>الدوادمي</t>
        </is>
      </c>
      <c r="D650" t="inlineStr">
        <is>
          <t>كلا الفترتين</t>
        </is>
      </c>
      <c r="E650" t="n">
        <v>766</v>
      </c>
      <c r="F650" t="b">
        <v>0</v>
      </c>
      <c r="G650">
        <f>HYPERLINK("https://www.google.com/maps/search/?api=1&amp;query=25.15037726,44.24668188", "View Map")</f>
        <v/>
      </c>
    </row>
    <row r="651">
      <c r="A651" t="inlineStr">
        <is>
          <t xml:space="preserve">   مسجد منيع صنيدح الروقي .</t>
        </is>
      </c>
      <c r="B651" t="inlineStr">
        <is>
          <t>KFM2020760147252</t>
        </is>
      </c>
      <c r="C651" t="inlineStr">
        <is>
          <t>الدوادمي</t>
        </is>
      </c>
      <c r="D651" t="inlineStr">
        <is>
          <t>مساءا</t>
        </is>
      </c>
      <c r="E651" t="n">
        <v>766</v>
      </c>
      <c r="F651" t="b">
        <v>0</v>
      </c>
      <c r="G651">
        <f>HYPERLINK("https://www.google.com/maps/search/?api=1&amp;query=24.62085471,43.63686909", "View Map")</f>
        <v/>
      </c>
    </row>
    <row r="652">
      <c r="A652" t="inlineStr">
        <is>
          <t xml:space="preserve">   اوقاف القويعيه .</t>
        </is>
      </c>
      <c r="B652" t="inlineStr">
        <is>
          <t>AES2020896296054</t>
        </is>
      </c>
      <c r="C652" t="inlineStr">
        <is>
          <t>القويعية</t>
        </is>
      </c>
      <c r="D652" t="inlineStr">
        <is>
          <t>كلا الفترتين</t>
        </is>
      </c>
      <c r="E652" t="n">
        <v>766</v>
      </c>
      <c r="F652" t="b">
        <v>0</v>
      </c>
      <c r="G652">
        <f>HYPERLINK("https://www.google.com/maps/search/?api=1&amp;query=24.09989104,45.3415926", "View Map")</f>
        <v/>
      </c>
    </row>
    <row r="653">
      <c r="A653" t="inlineStr">
        <is>
          <t xml:space="preserve">    مسجد /حاره محمد .</t>
        </is>
      </c>
      <c r="B653" t="inlineStr">
        <is>
          <t>KFM2020766065310</t>
        </is>
      </c>
      <c r="C653" t="inlineStr">
        <is>
          <t>المزاحمية</t>
        </is>
      </c>
      <c r="D653" t="inlineStr">
        <is>
          <t>صباحا</t>
        </is>
      </c>
      <c r="E653" t="n">
        <v>764</v>
      </c>
      <c r="F653" t="b">
        <v>0</v>
      </c>
      <c r="G653">
        <f>HYPERLINK("https://www.google.com/maps/search/?api=1&amp;query=24.47171586,46.25176565", "View Map")</f>
        <v/>
      </c>
    </row>
    <row r="654">
      <c r="A654" t="inlineStr">
        <is>
          <t xml:space="preserve">   مسجد بلال بن رباح .</t>
        </is>
      </c>
      <c r="B654" t="inlineStr">
        <is>
          <t>KFM2020660177274</t>
        </is>
      </c>
      <c r="C654" t="inlineStr">
        <is>
          <t>المزاحمية</t>
        </is>
      </c>
      <c r="D654" t="inlineStr">
        <is>
          <t>صباحا</t>
        </is>
      </c>
      <c r="E654" t="n">
        <v>764</v>
      </c>
      <c r="F654" t="b">
        <v>0</v>
      </c>
      <c r="G654">
        <f>HYPERLINK("https://www.google.com/maps/search/?api=1&amp;query=24.47380076,46.2697589", "View Map")</f>
        <v/>
      </c>
    </row>
    <row r="655">
      <c r="A655" t="inlineStr">
        <is>
          <t>مسجد .</t>
        </is>
      </c>
      <c r="B655" t="inlineStr">
        <is>
          <t>SMR2020765006378</t>
        </is>
      </c>
      <c r="C655" t="inlineStr">
        <is>
          <t>الدوادمي</t>
        </is>
      </c>
      <c r="D655" t="inlineStr">
        <is>
          <t>كلا الفترتين</t>
        </is>
      </c>
      <c r="E655" t="n">
        <v>763</v>
      </c>
      <c r="F655" t="b">
        <v>0</v>
      </c>
      <c r="G655">
        <f>HYPERLINK("https://www.google.com/maps/search/?api=1&amp;query=24.54225559,44.40253415", "View Map")</f>
        <v/>
      </c>
    </row>
    <row r="656">
      <c r="A656" t="inlineStr">
        <is>
          <t xml:space="preserve">   مسجد / سعود عبدالرحمن الجبرين .</t>
        </is>
      </c>
      <c r="B656" t="inlineStr">
        <is>
          <t>KFM2020660177166</t>
        </is>
      </c>
      <c r="C656" t="inlineStr">
        <is>
          <t>المزاحمية</t>
        </is>
      </c>
      <c r="D656" t="inlineStr">
        <is>
          <t>مساءا</t>
        </is>
      </c>
      <c r="E656" t="n">
        <v>761</v>
      </c>
      <c r="F656" t="b">
        <v>1</v>
      </c>
      <c r="G656">
        <f>HYPERLINK("https://www.google.com/maps/search/?api=1&amp;query=24.43083316,45.98640449", "View Map")</f>
        <v/>
      </c>
    </row>
    <row r="657">
      <c r="A657" t="inlineStr">
        <is>
          <t xml:space="preserve">   مسجد   حفصه  مخطط  252  عفيف .</t>
        </is>
      </c>
      <c r="B657" t="inlineStr">
        <is>
          <t>KFM2120660248772</t>
        </is>
      </c>
      <c r="C657" t="inlineStr">
        <is>
          <t>عفيف</t>
        </is>
      </c>
      <c r="D657" t="inlineStr">
        <is>
          <t>صباحا</t>
        </is>
      </c>
      <c r="E657" t="n">
        <v>760</v>
      </c>
      <c r="F657" t="b">
        <v>0</v>
      </c>
      <c r="G657">
        <f>HYPERLINK("https://www.google.com/maps/search/?api=1&amp;query=23.88965716,42.90253802", "View Map")</f>
        <v/>
      </c>
    </row>
    <row r="658">
      <c r="A658" t="inlineStr">
        <is>
          <t xml:space="preserve">    مـسـجـدالمعموره(اوقاف القويعيه) .</t>
        </is>
      </c>
      <c r="B658" t="inlineStr">
        <is>
          <t>AES2120896537334</t>
        </is>
      </c>
      <c r="C658" t="inlineStr">
        <is>
          <t>القويعية</t>
        </is>
      </c>
      <c r="D658" t="inlineStr">
        <is>
          <t>صباحا</t>
        </is>
      </c>
      <c r="E658" t="n">
        <v>759</v>
      </c>
      <c r="F658" t="b">
        <v>0</v>
      </c>
      <c r="G658">
        <f>HYPERLINK("https://www.google.com/maps/search/?api=1&amp;query=24.36076564,45.86575957", "View Map")</f>
        <v/>
      </c>
    </row>
    <row r="659">
      <c r="A659" t="inlineStr">
        <is>
          <t xml:space="preserve">   اوقاف الرين /مسجدالمحمديه .</t>
        </is>
      </c>
      <c r="B659" t="inlineStr">
        <is>
          <t>KFM2120660247456</t>
        </is>
      </c>
      <c r="C659" t="inlineStr">
        <is>
          <t>الرين</t>
        </is>
      </c>
      <c r="D659" t="inlineStr">
        <is>
          <t>مساءا</t>
        </is>
      </c>
      <c r="E659" t="n">
        <v>758</v>
      </c>
      <c r="F659" t="b">
        <v>0</v>
      </c>
      <c r="G659">
        <f>HYPERLINK("https://www.google.com/maps/search/?api=1&amp;query=23.21597384,45.43638283", "View Map")</f>
        <v/>
      </c>
    </row>
    <row r="660">
      <c r="A660" t="inlineStr">
        <is>
          <t>ﻭﺯﺍﺭﺓﺍﻻﻭﻗﺎﻑ ـ ﺍﻭﻗﺎﻑ ﺍﻟﺩﻭﺍﺩﻤﻲ .</t>
        </is>
      </c>
      <c r="B660" t="inlineStr">
        <is>
          <t>KFM2020760154725</t>
        </is>
      </c>
      <c r="C660" t="inlineStr">
        <is>
          <t>الدوادمي</t>
        </is>
      </c>
      <c r="D660" t="inlineStr">
        <is>
          <t>كلا الفترتين</t>
        </is>
      </c>
      <c r="E660" t="n">
        <v>756</v>
      </c>
      <c r="F660" t="b">
        <v>0</v>
      </c>
      <c r="G660">
        <f>HYPERLINK("https://www.google.com/maps/search/?api=1&amp;query=24.50237073,44.34834525", "View Map")</f>
        <v/>
      </c>
    </row>
    <row r="661">
      <c r="A661" t="inlineStr">
        <is>
          <t>ﺃﻭﻗﺎﻑ ﻭﻤﺴﺎﺠﺩ ﺍﻟﻗﻭﻴﻌﻴﻩ .</t>
        </is>
      </c>
      <c r="B661" t="inlineStr">
        <is>
          <t>AEC2020830249967</t>
        </is>
      </c>
      <c r="C661" t="inlineStr">
        <is>
          <t>القويعية</t>
        </is>
      </c>
      <c r="D661" t="inlineStr">
        <is>
          <t>مساءا</t>
        </is>
      </c>
      <c r="E661" t="n">
        <v>753</v>
      </c>
      <c r="F661" t="b">
        <v>1</v>
      </c>
      <c r="G661">
        <f>HYPERLINK("https://www.google.com/maps/search/?api=1&amp;query=24.07626638,45.30074534", "View Map")</f>
        <v/>
      </c>
    </row>
    <row r="662">
      <c r="A662" t="inlineStr">
        <is>
          <t xml:space="preserve">   اوقاف القويعيه/جامع حفيرا صماخ .</t>
        </is>
      </c>
      <c r="B662" t="inlineStr">
        <is>
          <t>KFM2020766155820</t>
        </is>
      </c>
      <c r="C662" t="inlineStr">
        <is>
          <t>الرين</t>
        </is>
      </c>
      <c r="D662" t="inlineStr">
        <is>
          <t>مساءا</t>
        </is>
      </c>
      <c r="E662" t="n">
        <v>747</v>
      </c>
      <c r="F662" t="b">
        <v>0</v>
      </c>
      <c r="G662">
        <f>HYPERLINK("https://www.google.com/maps/search/?api=1&amp;query=22.87784727,45.45739442", "View Map")</f>
        <v/>
      </c>
    </row>
    <row r="663">
      <c r="A663" t="inlineStr">
        <is>
          <t xml:space="preserve">   مسجدنايف  مسفر العصيمي .</t>
        </is>
      </c>
      <c r="B663" t="inlineStr">
        <is>
          <t>AES2120896610335</t>
        </is>
      </c>
      <c r="C663" t="inlineStr">
        <is>
          <t>القويعية</t>
        </is>
      </c>
      <c r="D663" t="inlineStr">
        <is>
          <t>مساءا</t>
        </is>
      </c>
      <c r="E663" t="n">
        <v>745</v>
      </c>
      <c r="F663" t="b">
        <v>0</v>
      </c>
      <c r="G663">
        <f>HYPERLINK("https://www.google.com/maps/search/?api=1&amp;query=23.71525877,44.64512601", "View Map")</f>
        <v/>
      </c>
    </row>
    <row r="664">
      <c r="A664" t="inlineStr">
        <is>
          <t xml:space="preserve">   مسجدجامع المخطط 779 الحوميات   0 .</t>
        </is>
      </c>
      <c r="B664" t="inlineStr">
        <is>
          <t>KFM2020660189645</t>
        </is>
      </c>
      <c r="C664" t="inlineStr">
        <is>
          <t>عفيف</t>
        </is>
      </c>
      <c r="D664" t="inlineStr">
        <is>
          <t>صباحا</t>
        </is>
      </c>
      <c r="E664" t="n">
        <v>744</v>
      </c>
      <c r="F664" t="b">
        <v>0</v>
      </c>
      <c r="G664">
        <f>HYPERLINK("https://www.google.com/maps/search/?api=1&amp;query=23.06165972,42.86639306", "View Map")</f>
        <v/>
      </c>
    </row>
    <row r="665">
      <c r="A665" t="inlineStr">
        <is>
          <t xml:space="preserve">            مسجد العلياء .</t>
        </is>
      </c>
      <c r="B665" t="inlineStr">
        <is>
          <t>KFM2020660171082</t>
        </is>
      </c>
      <c r="C665" t="inlineStr">
        <is>
          <t>الدوادمي</t>
        </is>
      </c>
      <c r="D665" t="inlineStr">
        <is>
          <t>كلا الفترتين</t>
        </is>
      </c>
      <c r="E665" t="n">
        <v>738</v>
      </c>
      <c r="F665" t="b">
        <v>0</v>
      </c>
      <c r="G665">
        <f>HYPERLINK("https://www.google.com/maps/search/?api=1&amp;query=25.17746811,44.60132013", "View Map")</f>
        <v/>
      </c>
    </row>
    <row r="666">
      <c r="A666" t="inlineStr">
        <is>
          <t xml:space="preserve">      اوقاف القويعيه ـ جامع المثناه .</t>
        </is>
      </c>
      <c r="B666" t="inlineStr">
        <is>
          <t>KFM2020766077793</t>
        </is>
      </c>
      <c r="C666" t="inlineStr">
        <is>
          <t>الرين</t>
        </is>
      </c>
      <c r="D666" t="inlineStr">
        <is>
          <t>مساءا</t>
        </is>
      </c>
      <c r="E666" t="n">
        <v>736</v>
      </c>
      <c r="F666" t="b">
        <v>0</v>
      </c>
      <c r="G666">
        <f>HYPERLINK("https://www.google.com/maps/search/?api=1&amp;query=23.56533475,45.45149249", "View Map")</f>
        <v/>
      </c>
    </row>
    <row r="667">
      <c r="A667" t="inlineStr">
        <is>
          <t>ﻤﻜﺘﺏ ﺍﻻﻭﻗﺎﻑ ﻭﺍﻟﻤﺴﺎﺠﺩ .</t>
        </is>
      </c>
      <c r="B667" t="inlineStr">
        <is>
          <t>AES2120896608685</t>
        </is>
      </c>
      <c r="C667" t="inlineStr">
        <is>
          <t>القويعية</t>
        </is>
      </c>
      <c r="D667" t="inlineStr">
        <is>
          <t>كلا الفترتين</t>
        </is>
      </c>
      <c r="E667" t="n">
        <v>735</v>
      </c>
      <c r="F667" t="b">
        <v>0</v>
      </c>
      <c r="G667">
        <f>HYPERLINK("https://www.google.com/maps/search/?api=1&amp;query=24.09442143,45.89106511", "View Map")</f>
        <v/>
      </c>
    </row>
    <row r="668">
      <c r="A668" t="inlineStr">
        <is>
          <t xml:space="preserve">   مســــجد جــامع الرمثـــي .</t>
        </is>
      </c>
      <c r="B668" t="inlineStr">
        <is>
          <t>KFM2020660233603</t>
        </is>
      </c>
      <c r="C668" t="inlineStr">
        <is>
          <t>الدوادمي</t>
        </is>
      </c>
      <c r="D668" t="inlineStr">
        <is>
          <t>كلا الفترتين</t>
        </is>
      </c>
      <c r="E668" t="n">
        <v>735</v>
      </c>
      <c r="F668" t="b">
        <v>1</v>
      </c>
      <c r="G668">
        <f>HYPERLINK("https://www.google.com/maps/search/?api=1&amp;query=25.37883621,44.46317791", "View Map")</f>
        <v/>
      </c>
    </row>
    <row r="669">
      <c r="A669" t="inlineStr">
        <is>
          <t>مقر القسم النسائي بنوارة .</t>
        </is>
      </c>
      <c r="B669" t="inlineStr">
        <is>
          <t>AES2020896062654</t>
        </is>
      </c>
      <c r="C669" t="inlineStr">
        <is>
          <t>المزاحمية</t>
        </is>
      </c>
      <c r="D669" t="inlineStr">
        <is>
          <t>صباحا</t>
        </is>
      </c>
      <c r="E669" t="n">
        <v>733</v>
      </c>
      <c r="F669" t="b">
        <v>0</v>
      </c>
      <c r="G669">
        <f>HYPERLINK("https://www.google.com/maps/search/?api=1&amp;query=24.46633171,46.29407999", "View Map")</f>
        <v/>
      </c>
    </row>
    <row r="670">
      <c r="A670" t="inlineStr">
        <is>
          <t xml:space="preserve">   مسجد/ مـخـطط   بالدوادمي .</t>
        </is>
      </c>
      <c r="B670" t="inlineStr">
        <is>
          <t>SMR2020850028702</t>
        </is>
      </c>
      <c r="C670" t="inlineStr">
        <is>
          <t>الدوادمي</t>
        </is>
      </c>
      <c r="D670" t="inlineStr">
        <is>
          <t>كلا الفترتين</t>
        </is>
      </c>
      <c r="E670" t="n">
        <v>733</v>
      </c>
      <c r="F670" t="b">
        <v>1</v>
      </c>
      <c r="G670">
        <f>HYPERLINK("https://www.google.com/maps/search/?api=1&amp;query=24.5440669,44.4306552", "View Map")</f>
        <v/>
      </c>
    </row>
    <row r="671">
      <c r="A671" t="inlineStr">
        <is>
          <t xml:space="preserve">   مسجد الريان .</t>
        </is>
      </c>
      <c r="B671" t="inlineStr">
        <is>
          <t>KFM2020766098772</t>
        </is>
      </c>
      <c r="C671" t="inlineStr">
        <is>
          <t>الدوادمي</t>
        </is>
      </c>
      <c r="D671" t="inlineStr">
        <is>
          <t>كلا الفترتين</t>
        </is>
      </c>
      <c r="E671" t="n">
        <v>731</v>
      </c>
      <c r="F671" t="b">
        <v>0</v>
      </c>
      <c r="G671">
        <f>HYPERLINK("https://www.google.com/maps/search/?api=1&amp;query=25.07539509,44.70075041", "View Map")</f>
        <v/>
      </c>
    </row>
    <row r="672">
      <c r="A672" t="inlineStr">
        <is>
          <t xml:space="preserve">   مسجد الفرقان .</t>
        </is>
      </c>
      <c r="B672" t="inlineStr">
        <is>
          <t>KFM2020660204216</t>
        </is>
      </c>
      <c r="C672" t="inlineStr">
        <is>
          <t>الدوادمي</t>
        </is>
      </c>
      <c r="D672" t="inlineStr">
        <is>
          <t>كلا الفترتين</t>
        </is>
      </c>
      <c r="E672" t="n">
        <v>729</v>
      </c>
      <c r="F672" t="b">
        <v>1</v>
      </c>
      <c r="G672">
        <f>HYPERLINK("https://www.google.com/maps/search/?api=1&amp;query=24.98558652,44.7264751", "View Map")</f>
        <v/>
      </c>
    </row>
    <row r="673">
      <c r="A673" t="inlineStr">
        <is>
          <t>ﺃﻭﻗﺎﻑ ﻭﻤﺴﺎﺠﺩ ﺍﻟﻗﻭﻴﻌﻴﻩ .</t>
        </is>
      </c>
      <c r="B673" t="inlineStr">
        <is>
          <t>AES2020896461430</t>
        </is>
      </c>
      <c r="C673" t="inlineStr">
        <is>
          <t>الرين</t>
        </is>
      </c>
      <c r="D673" t="inlineStr">
        <is>
          <t>مساءا</t>
        </is>
      </c>
      <c r="E673" t="n">
        <v>728</v>
      </c>
      <c r="F673" t="b">
        <v>0</v>
      </c>
      <c r="G673">
        <f>HYPERLINK("https://www.google.com/maps/search/?api=1&amp;query=22.83947199,44.95270293", "View Map")</f>
        <v/>
      </c>
    </row>
    <row r="674">
      <c r="A674" t="inlineStr">
        <is>
          <t>ﻭﺯﺍﺭﺓﺍﻷﻭﻗﺎﻑ _ ﺍﻭﻗﺎﻑ ﺍﻟﺭﻭﻴﻀﻩ .</t>
        </is>
      </c>
      <c r="B674" t="inlineStr">
        <is>
          <t>KFM2020660173283</t>
        </is>
      </c>
      <c r="C674" t="inlineStr">
        <is>
          <t>القويعية</t>
        </is>
      </c>
      <c r="D674" t="inlineStr">
        <is>
          <t>مساءا</t>
        </is>
      </c>
      <c r="E674" t="n">
        <v>728</v>
      </c>
      <c r="F674" t="b">
        <v>0</v>
      </c>
      <c r="G674">
        <f>HYPERLINK("https://www.google.com/maps/search/?api=1&amp;query=23.76429,44.75222", "View Map")</f>
        <v/>
      </c>
    </row>
    <row r="675">
      <c r="A675" t="inlineStr">
        <is>
          <t xml:space="preserve">    مسجد الامير بعرجاء .</t>
        </is>
      </c>
      <c r="B675" t="inlineStr">
        <is>
          <t>AEC2020830315637</t>
        </is>
      </c>
      <c r="C675" t="inlineStr">
        <is>
          <t>الدوادمي</t>
        </is>
      </c>
      <c r="D675" t="inlineStr">
        <is>
          <t>كلا الفترتين</t>
        </is>
      </c>
      <c r="E675" t="n">
        <v>728</v>
      </c>
      <c r="F675" t="b">
        <v>0</v>
      </c>
      <c r="G675">
        <f>HYPERLINK("https://www.google.com/maps/search/?api=1&amp;query=24.72428311,44.28965175", "View Map")</f>
        <v/>
      </c>
    </row>
    <row r="676">
      <c r="A676" t="inlineStr">
        <is>
          <t xml:space="preserve">   اوقاف الرين .</t>
        </is>
      </c>
      <c r="B676" t="inlineStr">
        <is>
          <t>AES2020896531571</t>
        </is>
      </c>
      <c r="C676" t="inlineStr">
        <is>
          <t>الرين</t>
        </is>
      </c>
      <c r="D676" t="inlineStr">
        <is>
          <t>مساءا</t>
        </is>
      </c>
      <c r="E676" t="n">
        <v>724</v>
      </c>
      <c r="F676" t="b">
        <v>0</v>
      </c>
      <c r="G676">
        <f>HYPERLINK("https://www.google.com/maps/search/?api=1&amp;query=23.6133689,45.72104088", "View Map")</f>
        <v/>
      </c>
    </row>
    <row r="677">
      <c r="A677" t="inlineStr">
        <is>
          <t xml:space="preserve">      مسجد جزاء بن على .</t>
        </is>
      </c>
      <c r="B677" t="inlineStr">
        <is>
          <t>MMF2020800247536</t>
        </is>
      </c>
      <c r="C677" t="inlineStr">
        <is>
          <t>الدوادمي</t>
        </is>
      </c>
      <c r="D677" t="inlineStr">
        <is>
          <t>كلا الفترتين</t>
        </is>
      </c>
      <c r="E677" t="n">
        <v>724</v>
      </c>
      <c r="F677" t="b">
        <v>1</v>
      </c>
      <c r="G677">
        <f>HYPERLINK("https://www.google.com/maps/search/?api=1&amp;query=24.53662283,44.27582667", "View Map")</f>
        <v/>
      </c>
    </row>
    <row r="678">
      <c r="A678" t="inlineStr">
        <is>
          <t xml:space="preserve">   مسجد .</t>
        </is>
      </c>
      <c r="B678" t="inlineStr">
        <is>
          <t>SMR2020850119873</t>
        </is>
      </c>
      <c r="C678" t="inlineStr">
        <is>
          <t>الدوادمي</t>
        </is>
      </c>
      <c r="D678" t="inlineStr">
        <is>
          <t>كلا الفترتين</t>
        </is>
      </c>
      <c r="E678" t="n">
        <v>723</v>
      </c>
      <c r="F678" t="b">
        <v>0</v>
      </c>
      <c r="G678">
        <f>HYPERLINK("https://www.google.com/maps/search/?api=1&amp;query=24.55444197,44.26472534", "View Map")</f>
        <v/>
      </c>
    </row>
    <row r="679">
      <c r="A679" t="inlineStr">
        <is>
          <t xml:space="preserve">    مسجد مستشفى القويعية الجديد .</t>
        </is>
      </c>
      <c r="B679" t="inlineStr">
        <is>
          <t>KFM2020660208811</t>
        </is>
      </c>
      <c r="C679" t="inlineStr">
        <is>
          <t>القويعية</t>
        </is>
      </c>
      <c r="D679" t="inlineStr">
        <is>
          <t>صباحا</t>
        </is>
      </c>
      <c r="E679" t="n">
        <v>721</v>
      </c>
      <c r="F679" t="b">
        <v>0</v>
      </c>
      <c r="G679">
        <f>HYPERLINK("https://www.google.com/maps/search/?api=1&amp;query=24.0819817,45.32265652", "View Map")</f>
        <v/>
      </c>
    </row>
    <row r="680">
      <c r="A680" t="inlineStr">
        <is>
          <t>مسجد فراج العصيمي بالدوادمي .</t>
        </is>
      </c>
      <c r="B680" t="inlineStr">
        <is>
          <t>ECC2020811058835</t>
        </is>
      </c>
      <c r="C680" t="inlineStr">
        <is>
          <t>الدوادمي</t>
        </is>
      </c>
      <c r="D680" t="inlineStr">
        <is>
          <t>كلا الفترتين</t>
        </is>
      </c>
      <c r="E680" t="n">
        <v>718</v>
      </c>
      <c r="F680" t="b">
        <v>1</v>
      </c>
      <c r="G680">
        <f>HYPERLINK("https://www.google.com/maps/search/?api=1&amp;query=24.54225559,44.40253415", "View Map")</f>
        <v/>
      </c>
    </row>
    <row r="681">
      <c r="A681" t="inlineStr">
        <is>
          <t>ﻭﺯﺍﺭﺓﺍﻷﻭﻗﺎﻑ _ ﺍﻭﻗﺎﻑ ﺍﻟﺭﻭﻴﻀﻩ .</t>
        </is>
      </c>
      <c r="B681" t="inlineStr">
        <is>
          <t>KFM2020760202533</t>
        </is>
      </c>
      <c r="C681" t="inlineStr">
        <is>
          <t>القويعية</t>
        </is>
      </c>
      <c r="D681" t="inlineStr">
        <is>
          <t>مساءا</t>
        </is>
      </c>
      <c r="E681" t="n">
        <v>717</v>
      </c>
      <c r="F681" t="b">
        <v>0</v>
      </c>
      <c r="G681">
        <f>HYPERLINK("https://www.google.com/maps/search/?api=1&amp;query=23.25153,44.77399167", "View Map")</f>
        <v/>
      </c>
    </row>
    <row r="682">
      <c r="A682" t="inlineStr">
        <is>
          <t xml:space="preserve">   مسجد الراجحي الشارع العام  عفيف .</t>
        </is>
      </c>
      <c r="B682" t="inlineStr">
        <is>
          <t>KFM2120660265028</t>
        </is>
      </c>
      <c r="C682" t="inlineStr">
        <is>
          <t>عفيف</t>
        </is>
      </c>
      <c r="D682" t="inlineStr">
        <is>
          <t>كلا الفترتين</t>
        </is>
      </c>
      <c r="E682" t="n">
        <v>716</v>
      </c>
      <c r="F682" t="b">
        <v>1</v>
      </c>
      <c r="G682">
        <f>HYPERLINK("https://www.google.com/maps/search/?api=1&amp;query=23.91393466,42.92605712", "View Map")</f>
        <v/>
      </c>
    </row>
    <row r="683">
      <c r="A683" t="inlineStr">
        <is>
          <t>ﻭﺯﺍﺭﺓﺍﻻﻭﻗﺎﻑ ـ ﺍﻭﻗﺎﻑ ﺍﻟﺩﻭﺍﺩﻤﻲ .</t>
        </is>
      </c>
      <c r="B683" t="inlineStr">
        <is>
          <t>MMF2420801338539</t>
        </is>
      </c>
      <c r="C683" t="inlineStr">
        <is>
          <t>الدوادمي</t>
        </is>
      </c>
      <c r="D683" t="inlineStr">
        <is>
          <t>كلا الفترتين</t>
        </is>
      </c>
      <c r="E683" t="n">
        <v>716</v>
      </c>
      <c r="F683" t="b">
        <v>0</v>
      </c>
      <c r="G683">
        <f>HYPERLINK("https://www.google.com/maps/search/?api=1&amp;query=24.54971815,44.40286216", "View Map")</f>
        <v/>
      </c>
    </row>
    <row r="684">
      <c r="A684" t="inlineStr">
        <is>
          <t>ﻭﺯﺍﺭﺓﺍﻻﻭﻗﺎﻑ ـ ﺍﻭﻗﺎﻑ ﺍﻟﺩﻭﺍﺩﻤﻲ .</t>
        </is>
      </c>
      <c r="B684" t="inlineStr">
        <is>
          <t>KFM2020760058665</t>
        </is>
      </c>
      <c r="C684" t="inlineStr">
        <is>
          <t>الدوادمي</t>
        </is>
      </c>
      <c r="D684" t="inlineStr">
        <is>
          <t>مساءا</t>
        </is>
      </c>
      <c r="E684" t="n">
        <v>714</v>
      </c>
      <c r="F684" t="b">
        <v>1</v>
      </c>
      <c r="G684">
        <f>HYPERLINK("https://www.google.com/maps/search/?api=1&amp;query=24.53839163,44.41077419", "View Map")</f>
        <v/>
      </c>
    </row>
    <row r="685">
      <c r="A685" t="inlineStr">
        <is>
          <t xml:space="preserve">   مسجـــد المرقبيه .</t>
        </is>
      </c>
      <c r="B685" t="inlineStr">
        <is>
          <t>SMR2020856079581</t>
        </is>
      </c>
      <c r="C685" t="inlineStr">
        <is>
          <t>القويعية</t>
        </is>
      </c>
      <c r="D685" t="inlineStr">
        <is>
          <t>مساءا</t>
        </is>
      </c>
      <c r="E685" t="n">
        <v>714</v>
      </c>
      <c r="F685" t="b">
        <v>0</v>
      </c>
      <c r="G685">
        <f>HYPERLINK("https://www.google.com/maps/search/?api=1&amp;query=23.43349076,44.9710337", "View Map")</f>
        <v/>
      </c>
    </row>
    <row r="686">
      <c r="A686" t="inlineStr">
        <is>
          <t xml:space="preserve">   اوقاف القويعيه مسجدام طلح .</t>
        </is>
      </c>
      <c r="B686" t="inlineStr">
        <is>
          <t>SMR2020850089725</t>
        </is>
      </c>
      <c r="C686" t="inlineStr">
        <is>
          <t>القويعية</t>
        </is>
      </c>
      <c r="D686" t="inlineStr">
        <is>
          <t>مساءا</t>
        </is>
      </c>
      <c r="E686" t="n">
        <v>713</v>
      </c>
      <c r="F686" t="b">
        <v>0</v>
      </c>
      <c r="G686">
        <f>HYPERLINK("https://www.google.com/maps/search/?api=1&amp;query=23.84588714,45.64911287", "View Map")</f>
        <v/>
      </c>
    </row>
    <row r="687">
      <c r="A687" t="inlineStr">
        <is>
          <t xml:space="preserve">   مسجد   زمزم  عفيف .</t>
        </is>
      </c>
      <c r="B687" t="inlineStr">
        <is>
          <t>KFM2020660212185</t>
        </is>
      </c>
      <c r="C687" t="inlineStr">
        <is>
          <t>عفيف</t>
        </is>
      </c>
      <c r="D687" t="inlineStr">
        <is>
          <t>مساءا</t>
        </is>
      </c>
      <c r="E687" t="n">
        <v>712</v>
      </c>
      <c r="F687" t="b">
        <v>0</v>
      </c>
      <c r="G687">
        <f>HYPERLINK("https://www.google.com/maps/search/?api=1&amp;query=23.91786806,42.9353135", "View Map")</f>
        <v/>
      </c>
    </row>
    <row r="688">
      <c r="A688" t="inlineStr">
        <is>
          <t xml:space="preserve">   مسجدابوبكرالصديق بالشرمية .</t>
        </is>
      </c>
      <c r="B688" t="inlineStr">
        <is>
          <t>AES2020896464867</t>
        </is>
      </c>
      <c r="C688" t="inlineStr">
        <is>
          <t>القويعية</t>
        </is>
      </c>
      <c r="D688" t="inlineStr">
        <is>
          <t>مساءا</t>
        </is>
      </c>
      <c r="E688" t="n">
        <v>712</v>
      </c>
      <c r="F688" t="b">
        <v>0</v>
      </c>
      <c r="G688">
        <f>HYPERLINK("https://www.google.com/maps/search/?api=1&amp;query=23.80160264,44.87578751", "View Map")</f>
        <v/>
      </c>
    </row>
    <row r="689">
      <c r="A689" t="inlineStr">
        <is>
          <t xml:space="preserve"> أوقاف القويعيه - مسجدالرقميه بدساس .</t>
        </is>
      </c>
      <c r="B689" t="inlineStr">
        <is>
          <t>AES2120896575115</t>
        </is>
      </c>
      <c r="C689" t="inlineStr">
        <is>
          <t>الرين</t>
        </is>
      </c>
      <c r="D689" t="inlineStr">
        <is>
          <t>مساءا</t>
        </is>
      </c>
      <c r="E689" t="n">
        <v>709</v>
      </c>
      <c r="F689" t="b">
        <v>0</v>
      </c>
      <c r="G689">
        <f>HYPERLINK("https://www.google.com/maps/search/?api=1&amp;query=23.29451198,45.16536592", "View Map")</f>
        <v/>
      </c>
    </row>
    <row r="690">
      <c r="A690" t="inlineStr">
        <is>
          <t xml:space="preserve">   مسجد      المنح     94 بالمزاحمي .</t>
        </is>
      </c>
      <c r="B690" t="inlineStr">
        <is>
          <t>KFM2020660177223</t>
        </is>
      </c>
      <c r="C690" t="inlineStr">
        <is>
          <t>المزاحمية</t>
        </is>
      </c>
      <c r="D690" t="inlineStr">
        <is>
          <t>صباحا</t>
        </is>
      </c>
      <c r="E690" t="n">
        <v>709</v>
      </c>
      <c r="F690" t="b">
        <v>0</v>
      </c>
      <c r="G690">
        <f>HYPERLINK("https://www.google.com/maps/search/?api=1&amp;query=24.47411963,46.26569852", "View Map")</f>
        <v/>
      </c>
    </row>
    <row r="691">
      <c r="A691" t="inlineStr">
        <is>
          <t>ﺍﻭﻗﺎﻑ ﻭﻤﺴﺎﺠﺩ ﻀﺭﻤﺎء .</t>
        </is>
      </c>
      <c r="B691" t="inlineStr">
        <is>
          <t>SMR2020865036513</t>
        </is>
      </c>
      <c r="C691" t="inlineStr">
        <is>
          <t>ضرما</t>
        </is>
      </c>
      <c r="D691" t="inlineStr">
        <is>
          <t>مساءا</t>
        </is>
      </c>
      <c r="E691" t="n">
        <v>708</v>
      </c>
      <c r="F691" t="b">
        <v>0</v>
      </c>
      <c r="G691">
        <f>HYPERLINK("https://www.google.com/maps/search/?api=1&amp;query=24.58178629,46.14885065", "View Map")</f>
        <v/>
      </c>
    </row>
    <row r="692">
      <c r="A692" t="inlineStr">
        <is>
          <t>ﺃﻭﻗﺎﻑ ﻭﻤﺴﺎﺠﺩ ﺍﻟﻗﻭﻴﻌﻴﻩ .</t>
        </is>
      </c>
      <c r="B692" t="inlineStr">
        <is>
          <t>AES2120896612529</t>
        </is>
      </c>
      <c r="C692" t="inlineStr">
        <is>
          <t>القويعية</t>
        </is>
      </c>
      <c r="D692" t="inlineStr">
        <is>
          <t>مساءا</t>
        </is>
      </c>
      <c r="E692" t="n">
        <v>706</v>
      </c>
      <c r="F692" t="b">
        <v>0</v>
      </c>
      <c r="G692">
        <f>HYPERLINK("https://www.google.com/maps/search/?api=1&amp;query=24.08927063,45.29323712", "View Map")</f>
        <v/>
      </c>
    </row>
    <row r="693">
      <c r="A693" t="inlineStr">
        <is>
          <t>ﺍﻭﻗﺎﻑ ﻭﻤﺴﺎﺠﺩ ﺍﻟﺭﻴﻥ .</t>
        </is>
      </c>
      <c r="B693" t="inlineStr">
        <is>
          <t>SMR2020850099556</t>
        </is>
      </c>
      <c r="C693" t="inlineStr">
        <is>
          <t>الرين</t>
        </is>
      </c>
      <c r="D693" t="inlineStr">
        <is>
          <t>مساءا</t>
        </is>
      </c>
      <c r="E693" t="n">
        <v>704</v>
      </c>
      <c r="F693" t="b">
        <v>1</v>
      </c>
      <c r="G693">
        <f>HYPERLINK("https://www.google.com/maps/search/?api=1&amp;query=23.58089921,45.596801", "View Map")</f>
        <v/>
      </c>
    </row>
    <row r="694">
      <c r="A694" t="inlineStr">
        <is>
          <t xml:space="preserve">   مسجدالجامع بالدحو .</t>
        </is>
      </c>
      <c r="B694" t="inlineStr">
        <is>
          <t>KFM2020766075828</t>
        </is>
      </c>
      <c r="C694" t="inlineStr">
        <is>
          <t>القويعية</t>
        </is>
      </c>
      <c r="D694" t="inlineStr">
        <is>
          <t>مساءا</t>
        </is>
      </c>
      <c r="E694" t="n">
        <v>703</v>
      </c>
      <c r="F694" t="b">
        <v>0</v>
      </c>
      <c r="G694">
        <f>HYPERLINK("https://www.google.com/maps/search/?api=1&amp;query=24.18114498,45.88567522", "View Map")</f>
        <v/>
      </c>
    </row>
    <row r="695">
      <c r="A695" t="inlineStr">
        <is>
          <t xml:space="preserve">   مسجد      فانون     0 .</t>
        </is>
      </c>
      <c r="B695" t="inlineStr">
        <is>
          <t>KFM2020660225213</t>
        </is>
      </c>
      <c r="C695" t="inlineStr">
        <is>
          <t>الدوادمي</t>
        </is>
      </c>
      <c r="D695" t="inlineStr">
        <is>
          <t>مساءا</t>
        </is>
      </c>
      <c r="E695" t="n">
        <v>703</v>
      </c>
      <c r="F695" t="b">
        <v>0</v>
      </c>
      <c r="G695">
        <f>HYPERLINK("https://www.google.com/maps/search/?api=1&amp;query=24.512779,44.39554229", "View Map")</f>
        <v/>
      </c>
    </row>
    <row r="696">
      <c r="A696" t="inlineStr">
        <is>
          <t>ﻭﺯﺍﺭﺓﺍﻻﻭﻗﺎﻑ ـ ﺍﻭﻗﺎﻑ ﺍﻟﺩﻭﺍﺩﻤﻲ .</t>
        </is>
      </c>
      <c r="B696" t="inlineStr">
        <is>
          <t>KFM2020660176206</t>
        </is>
      </c>
      <c r="C696" t="inlineStr">
        <is>
          <t>الدوادمي</t>
        </is>
      </c>
      <c r="D696" t="inlineStr">
        <is>
          <t>كلا الفترتين</t>
        </is>
      </c>
      <c r="E696" t="n">
        <v>701</v>
      </c>
      <c r="F696" t="b">
        <v>0</v>
      </c>
      <c r="G696">
        <f>HYPERLINK("https://www.google.com/maps/search/?api=1&amp;query=24.54890768,44.41565382", "View Map")</f>
        <v/>
      </c>
    </row>
    <row r="697">
      <c r="A697" t="inlineStr">
        <is>
          <t>ﺍﻭﻗﺎﻑ ﻭﻤﺴﺎﺠﺩ ﻀﺭﻤﺎء .</t>
        </is>
      </c>
      <c r="B697" t="inlineStr">
        <is>
          <t>AEC2020720016022</t>
        </is>
      </c>
      <c r="C697" t="inlineStr">
        <is>
          <t>ضرما</t>
        </is>
      </c>
      <c r="D697" t="inlineStr">
        <is>
          <t>صباحا</t>
        </is>
      </c>
      <c r="E697" t="n">
        <v>697</v>
      </c>
      <c r="F697" t="b">
        <v>0</v>
      </c>
      <c r="G697">
        <f>HYPERLINK("https://www.google.com/maps/search/?api=1&amp;query=24.58132669,46.15331029", "View Map")</f>
        <v/>
      </c>
    </row>
    <row r="698">
      <c r="A698" t="inlineStr">
        <is>
          <t xml:space="preserve">   جامع      الخفق     المزاحمية .</t>
        </is>
      </c>
      <c r="B698" t="inlineStr">
        <is>
          <t>KFM2020660228318</t>
        </is>
      </c>
      <c r="C698" t="inlineStr">
        <is>
          <t>القويعية</t>
        </is>
      </c>
      <c r="D698" t="inlineStr">
        <is>
          <t>مساءا</t>
        </is>
      </c>
      <c r="E698" t="n">
        <v>696</v>
      </c>
      <c r="F698" t="b">
        <v>0</v>
      </c>
      <c r="G698">
        <f>HYPERLINK("https://www.google.com/maps/search/?api=1&amp;query=24.28118212,45.83269258", "View Map")</f>
        <v/>
      </c>
    </row>
    <row r="699">
      <c r="A699" t="inlineStr">
        <is>
          <t xml:space="preserve">      مـسـجـد عبدالله سعد الزمامى .</t>
        </is>
      </c>
      <c r="B699" t="inlineStr">
        <is>
          <t>AEC2020830524735</t>
        </is>
      </c>
      <c r="C699" t="inlineStr">
        <is>
          <t>ضرما</t>
        </is>
      </c>
      <c r="D699" t="inlineStr">
        <is>
          <t>مساءا</t>
        </is>
      </c>
      <c r="E699" t="n">
        <v>695</v>
      </c>
      <c r="F699" t="b">
        <v>1</v>
      </c>
      <c r="G699">
        <f>HYPERLINK("https://www.google.com/maps/search/?api=1&amp;query=24.48880287,46.36998394", "View Map")</f>
        <v/>
      </c>
    </row>
    <row r="700">
      <c r="A700" t="inlineStr">
        <is>
          <t xml:space="preserve">   جامع المصلوم .</t>
        </is>
      </c>
      <c r="B700" t="inlineStr">
        <is>
          <t>KFM2020766093738</t>
        </is>
      </c>
      <c r="C700" t="inlineStr">
        <is>
          <t>الدوادمي</t>
        </is>
      </c>
      <c r="D700" t="inlineStr">
        <is>
          <t>مساءا</t>
        </is>
      </c>
      <c r="E700" t="n">
        <v>695</v>
      </c>
      <c r="F700" t="b">
        <v>0</v>
      </c>
      <c r="G700">
        <f>HYPERLINK("https://www.google.com/maps/search/?api=1&amp;query=23.95004269,43.71666431", "View Map")</f>
        <v/>
      </c>
    </row>
    <row r="701">
      <c r="A701" t="inlineStr">
        <is>
          <t>ﻭﺯﺍﺭﺓﺍﻻﻭﻗﺎﻑ ـ ﺍﻭﻗﺎﻑ ﺍﻟﺩﻭﺍﺩﻤﻲ .</t>
        </is>
      </c>
      <c r="B701" t="inlineStr">
        <is>
          <t>ECC2020810702560</t>
        </is>
      </c>
      <c r="C701" t="inlineStr">
        <is>
          <t>الدوادمي</t>
        </is>
      </c>
      <c r="D701" t="inlineStr">
        <is>
          <t>كلا الفترتين</t>
        </is>
      </c>
      <c r="E701" t="n">
        <v>692</v>
      </c>
      <c r="F701" t="b">
        <v>0</v>
      </c>
      <c r="G701">
        <f>HYPERLINK("https://www.google.com/maps/search/?api=1&amp;query=24.56953108,44.45371624", "View Map")</f>
        <v/>
      </c>
    </row>
    <row r="702">
      <c r="A702" t="inlineStr">
        <is>
          <t xml:space="preserve">   مسجد حبيب بن زيد مخطط 817 عفيف 0 .</t>
        </is>
      </c>
      <c r="B702" t="inlineStr">
        <is>
          <t>KFM2020660212327</t>
        </is>
      </c>
      <c r="C702" t="inlineStr">
        <is>
          <t>عفيف</t>
        </is>
      </c>
      <c r="D702" t="inlineStr">
        <is>
          <t>مساءا</t>
        </is>
      </c>
      <c r="E702" t="n">
        <v>692</v>
      </c>
      <c r="F702" t="b">
        <v>0</v>
      </c>
      <c r="G702">
        <f>HYPERLINK("https://www.google.com/maps/search/?api=1&amp;query=23.91767046,42.91636982", "View Map")</f>
        <v/>
      </c>
    </row>
    <row r="703">
      <c r="A703" t="inlineStr">
        <is>
          <t>ﻭﺯﺍﺭﺓﺍﻻﻭﻗﺎﻑ ـ ﺍﻭﻗﺎﻑ ﺴﺎﺠﺭ .</t>
        </is>
      </c>
      <c r="B703" t="inlineStr">
        <is>
          <t>GTR2320890753055</t>
        </is>
      </c>
      <c r="C703" t="inlineStr">
        <is>
          <t>الدوادمي</t>
        </is>
      </c>
      <c r="D703" t="inlineStr">
        <is>
          <t>كلا الفترتين</t>
        </is>
      </c>
      <c r="E703" t="n">
        <v>686</v>
      </c>
      <c r="F703" t="b">
        <v>0</v>
      </c>
      <c r="G703">
        <f>HYPERLINK("https://www.google.com/maps/search/?api=1&amp;query=25.20792934,44.59124785", "View Map")</f>
        <v/>
      </c>
    </row>
    <row r="704">
      <c r="A704" t="inlineStr">
        <is>
          <t xml:space="preserve">   اوقاف     الرين مسجدة .</t>
        </is>
      </c>
      <c r="B704" t="inlineStr">
        <is>
          <t>KFM2020660209990</t>
        </is>
      </c>
      <c r="C704" t="inlineStr">
        <is>
          <t>الرين</t>
        </is>
      </c>
      <c r="D704" t="inlineStr">
        <is>
          <t>مساءا</t>
        </is>
      </c>
      <c r="E704" t="n">
        <v>685</v>
      </c>
      <c r="F704" t="b">
        <v>0</v>
      </c>
      <c r="G704">
        <f>HYPERLINK("https://www.google.com/maps/search/?api=1&amp;query=23.46339127,45.79299603", "View Map")</f>
        <v/>
      </c>
    </row>
    <row r="705">
      <c r="A705" t="inlineStr">
        <is>
          <t>ﻭﺯﺍﺭﺓﺍﻻﻭﻗﺎﻑ ـ ﺍﻭﻗﺎﻑ ﺍﻟﺩﻭﺍﺩﻤﻲ .</t>
        </is>
      </c>
      <c r="B705" t="inlineStr">
        <is>
          <t>KFM2020760208852</t>
        </is>
      </c>
      <c r="C705" t="inlineStr">
        <is>
          <t>الدوادمي</t>
        </is>
      </c>
      <c r="D705" t="inlineStr">
        <is>
          <t>كلا الفترتين</t>
        </is>
      </c>
      <c r="E705" t="n">
        <v>684</v>
      </c>
      <c r="F705" t="b">
        <v>0</v>
      </c>
      <c r="G705">
        <f>HYPERLINK("https://www.google.com/maps/search/?api=1&amp;query=24.55884528,44.460481", "View Map")</f>
        <v/>
      </c>
    </row>
    <row r="706">
      <c r="A706" t="inlineStr">
        <is>
          <t xml:space="preserve">   مسجد      حي        ///// .</t>
        </is>
      </c>
      <c r="B706" t="inlineStr">
        <is>
          <t>KFM2120660241336</t>
        </is>
      </c>
      <c r="C706" t="inlineStr">
        <is>
          <t>الدوادمي</t>
        </is>
      </c>
      <c r="D706" t="inlineStr">
        <is>
          <t>مساءا</t>
        </is>
      </c>
      <c r="E706" t="n">
        <v>682</v>
      </c>
      <c r="F706" t="b">
        <v>0</v>
      </c>
      <c r="G706">
        <f>HYPERLINK("https://www.google.com/maps/search/?api=1&amp;query=24.68103038,44.37509624", "View Map")</f>
        <v/>
      </c>
    </row>
    <row r="707">
      <c r="A707" t="inlineStr">
        <is>
          <t xml:space="preserve">   مسجدالعركزيةبالبعيثران حي اللهيب .</t>
        </is>
      </c>
      <c r="B707" t="inlineStr">
        <is>
          <t>AEC2020830326226</t>
        </is>
      </c>
      <c r="C707" t="inlineStr">
        <is>
          <t>القويعية</t>
        </is>
      </c>
      <c r="D707" t="inlineStr">
        <is>
          <t>صباحا</t>
        </is>
      </c>
      <c r="E707" t="n">
        <v>682</v>
      </c>
      <c r="F707" t="b">
        <v>0</v>
      </c>
      <c r="G707">
        <f>HYPERLINK("https://www.google.com/maps/search/?api=1&amp;query=23.97951531,45.26272859", "View Map")</f>
        <v/>
      </c>
    </row>
    <row r="708">
      <c r="A708" t="inlineStr">
        <is>
          <t xml:space="preserve">   جامع/     مصعب      (مسجد الصناع .</t>
        </is>
      </c>
      <c r="B708" t="inlineStr">
        <is>
          <t>KFM2020660192384</t>
        </is>
      </c>
      <c r="C708" t="inlineStr">
        <is>
          <t>الدوادمي</t>
        </is>
      </c>
      <c r="D708" t="inlineStr">
        <is>
          <t>كلا الفترتين</t>
        </is>
      </c>
      <c r="E708" t="n">
        <v>681</v>
      </c>
      <c r="F708" t="b">
        <v>0</v>
      </c>
      <c r="G708">
        <f>HYPERLINK("https://www.google.com/maps/search/?api=1&amp;query=24.49543017,44.3764906", "View Map")</f>
        <v/>
      </c>
    </row>
    <row r="709">
      <c r="A709" t="inlineStr">
        <is>
          <t xml:space="preserve">   مسجد      مخطط 960  . .</t>
        </is>
      </c>
      <c r="B709" t="inlineStr">
        <is>
          <t>KFM2020760135935</t>
        </is>
      </c>
      <c r="C709" t="inlineStr">
        <is>
          <t>الدوادمي</t>
        </is>
      </c>
      <c r="D709" t="inlineStr">
        <is>
          <t>كلا الفترتين</t>
        </is>
      </c>
      <c r="E709" t="n">
        <v>680</v>
      </c>
      <c r="F709" t="b">
        <v>0</v>
      </c>
      <c r="G709">
        <f>HYPERLINK("https://www.google.com/maps/search/?api=1&amp;query=24.55618761,44.4447462", "View Map")</f>
        <v/>
      </c>
    </row>
    <row r="710">
      <c r="A710" t="inlineStr">
        <is>
          <t xml:space="preserve">   اوقاف القويعيةمسجدهجرةال طراد .</t>
        </is>
      </c>
      <c r="B710" t="inlineStr">
        <is>
          <t>AES2020896158806</t>
        </is>
      </c>
      <c r="C710" t="inlineStr">
        <is>
          <t>القويعية</t>
        </is>
      </c>
      <c r="D710" t="inlineStr">
        <is>
          <t>مساءا</t>
        </is>
      </c>
      <c r="E710" t="n">
        <v>676</v>
      </c>
      <c r="F710" t="b">
        <v>0</v>
      </c>
      <c r="G710">
        <f>HYPERLINK("https://www.google.com/maps/search/?api=1&amp;query=24.40544702,45.26413087", "View Map")</f>
        <v/>
      </c>
    </row>
    <row r="711">
      <c r="A711" t="inlineStr">
        <is>
          <t xml:space="preserve">     مســـجد الصمهــوديـه .</t>
        </is>
      </c>
      <c r="B711" t="inlineStr">
        <is>
          <t>AES2120896609969</t>
        </is>
      </c>
      <c r="C711" t="inlineStr">
        <is>
          <t>الدوادمي</t>
        </is>
      </c>
      <c r="D711" t="inlineStr">
        <is>
          <t>كلا الفترتين</t>
        </is>
      </c>
      <c r="E711" t="n">
        <v>675</v>
      </c>
      <c r="F711" t="b">
        <v>0</v>
      </c>
      <c r="G711">
        <f>HYPERLINK("https://www.google.com/maps/search/?api=1&amp;query=24.63165926,44.32615387", "View Map")</f>
        <v/>
      </c>
    </row>
    <row r="712">
      <c r="A712" t="inlineStr">
        <is>
          <t xml:space="preserve">   اوقاف القويعيه / مسجدمحمدالهويمل .</t>
        </is>
      </c>
      <c r="B712" t="inlineStr">
        <is>
          <t>AEC2020830325385</t>
        </is>
      </c>
      <c r="C712" t="inlineStr">
        <is>
          <t>القويعية</t>
        </is>
      </c>
      <c r="D712" t="inlineStr">
        <is>
          <t>مساءا</t>
        </is>
      </c>
      <c r="E712" t="n">
        <v>674</v>
      </c>
      <c r="F712" t="b">
        <v>1</v>
      </c>
      <c r="G712">
        <f>HYPERLINK("https://www.google.com/maps/search/?api=1&amp;query=24.12678662,45.33086767", "View Map")</f>
        <v/>
      </c>
    </row>
    <row r="713">
      <c r="A713" t="inlineStr">
        <is>
          <t>مكتب أوقاف الجمش .</t>
        </is>
      </c>
      <c r="B713" t="inlineStr">
        <is>
          <t>AES2020896456967</t>
        </is>
      </c>
      <c r="C713" t="inlineStr">
        <is>
          <t>الدوادمي</t>
        </is>
      </c>
      <c r="D713" t="inlineStr">
        <is>
          <t>صباحا</t>
        </is>
      </c>
      <c r="E713" t="n">
        <v>673</v>
      </c>
      <c r="F713" t="b">
        <v>0</v>
      </c>
      <c r="G713">
        <f>HYPERLINK("https://www.google.com/maps/search/?api=1&amp;query=24.6769992,43.69130423", "View Map")</f>
        <v/>
      </c>
    </row>
    <row r="714">
      <c r="A714" t="inlineStr">
        <is>
          <t xml:space="preserve">       مسجد شمال الامار5 .</t>
        </is>
      </c>
      <c r="B714" t="inlineStr">
        <is>
          <t>KFM2020660224601</t>
        </is>
      </c>
      <c r="C714" t="inlineStr">
        <is>
          <t>الدوادمي</t>
        </is>
      </c>
      <c r="D714" t="inlineStr">
        <is>
          <t>كلا الفترتين</t>
        </is>
      </c>
      <c r="E714" t="n">
        <v>668</v>
      </c>
      <c r="F714" t="b">
        <v>1</v>
      </c>
      <c r="G714">
        <f>HYPERLINK("https://www.google.com/maps/search/?api=1&amp;query=24.50703751,44.39278844", "View Map")</f>
        <v/>
      </c>
    </row>
    <row r="715">
      <c r="A715" t="inlineStr">
        <is>
          <t>ﺍﻻﻭﻗﺎﻑ ﻭﺍﻟﻤﺴﺎﺠﺩ ﺒﺎﻟﻤﻬﺩ .</t>
        </is>
      </c>
      <c r="B715" t="inlineStr">
        <is>
          <t>ECC2020811056136</t>
        </is>
      </c>
      <c r="C715" t="inlineStr">
        <is>
          <t>عفيف</t>
        </is>
      </c>
      <c r="D715" t="inlineStr">
        <is>
          <t>مساءا</t>
        </is>
      </c>
      <c r="E715" t="n">
        <v>667</v>
      </c>
      <c r="F715" t="b">
        <v>0</v>
      </c>
      <c r="G715">
        <f>HYPERLINK("https://www.google.com/maps/search/?api=1&amp;query=23.69554211,42.19709338", "View Map")</f>
        <v/>
      </c>
    </row>
    <row r="716">
      <c r="A716" t="inlineStr">
        <is>
          <t xml:space="preserve">   مسجد بلال بن رباح .</t>
        </is>
      </c>
      <c r="B716" t="inlineStr">
        <is>
          <t>KFM2020660176276</t>
        </is>
      </c>
      <c r="C716" t="inlineStr">
        <is>
          <t>الدوادمي</t>
        </is>
      </c>
      <c r="D716" t="inlineStr">
        <is>
          <t>كلا الفترتين</t>
        </is>
      </c>
      <c r="E716" t="n">
        <v>664</v>
      </c>
      <c r="F716" t="b">
        <v>0</v>
      </c>
      <c r="G716">
        <f>HYPERLINK("https://www.google.com/maps/search/?api=1&amp;query=25.18067713,44.61079514", "View Map")</f>
        <v/>
      </c>
    </row>
    <row r="717">
      <c r="A717" t="inlineStr">
        <is>
          <t>ﻭﺯﺍﺭﺓﺍﻻﻭﻗﺎﻑ ـ ﺍﻭﻗﺎﻑ ﺍﻟﺩﻭﺍﺩﻤﻲ .</t>
        </is>
      </c>
      <c r="B717" t="inlineStr">
        <is>
          <t>AEC2020830005301</t>
        </is>
      </c>
      <c r="C717" t="inlineStr">
        <is>
          <t>الدوادمي</t>
        </is>
      </c>
      <c r="D717" t="inlineStr">
        <is>
          <t>كلا الفترتين</t>
        </is>
      </c>
      <c r="E717" t="n">
        <v>660</v>
      </c>
      <c r="F717" t="b">
        <v>0</v>
      </c>
      <c r="G717">
        <f>HYPERLINK("https://www.google.com/maps/search/?api=1&amp;query=24.49637837,44.35010036", "View Map")</f>
        <v/>
      </c>
    </row>
    <row r="718">
      <c r="A718" t="inlineStr">
        <is>
          <t>ﻭﺯﺍﺭﺓﺍﻻﻭﻗﺎﻑ ـ ﺍﻭﻗﺎﻑ ﺴﺎﺠﺭ .</t>
        </is>
      </c>
      <c r="B718" t="inlineStr">
        <is>
          <t>KFM2020660123166</t>
        </is>
      </c>
      <c r="C718" t="inlineStr">
        <is>
          <t>الدوادمي</t>
        </is>
      </c>
      <c r="D718" t="inlineStr">
        <is>
          <t>كلا الفترتين</t>
        </is>
      </c>
      <c r="E718" t="n">
        <v>658</v>
      </c>
      <c r="F718" t="b">
        <v>0</v>
      </c>
      <c r="G718">
        <f>HYPERLINK("https://www.google.com/maps/search/?api=1&amp;query=25.18613687,44.59332824", "View Map")</f>
        <v/>
      </c>
    </row>
    <row r="719">
      <c r="A719" t="inlineStr">
        <is>
          <t>ﻭﺯﺍﺭﺓﺍﻻﻭﻗﺎﻑ ـ ﺍﻭﻗﺎﻑ ﺍﻟﺩﻭﺍﺩﻤﻲ .</t>
        </is>
      </c>
      <c r="B719" t="inlineStr">
        <is>
          <t>AEC2020830294559</t>
        </is>
      </c>
      <c r="C719" t="inlineStr">
        <is>
          <t>الدوادمي</t>
        </is>
      </c>
      <c r="D719" t="inlineStr">
        <is>
          <t>كلا الفترتين</t>
        </is>
      </c>
      <c r="E719" t="n">
        <v>656</v>
      </c>
      <c r="F719" t="b">
        <v>0</v>
      </c>
      <c r="G719">
        <f>HYPERLINK("https://www.google.com/maps/search/?api=1&amp;query=24.54141059,44.39427093", "View Map")</f>
        <v/>
      </c>
    </row>
    <row r="720">
      <c r="A720" t="inlineStr">
        <is>
          <t xml:space="preserve">   اوقاف القويعيه /مسجدالملكخالد .</t>
        </is>
      </c>
      <c r="B720" t="inlineStr">
        <is>
          <t>KFM2020660229507</t>
        </is>
      </c>
      <c r="C720" t="inlineStr">
        <is>
          <t>القويعية</t>
        </is>
      </c>
      <c r="D720" t="inlineStr">
        <is>
          <t>صباحا</t>
        </is>
      </c>
      <c r="E720" t="n">
        <v>656</v>
      </c>
      <c r="F720" t="b">
        <v>0</v>
      </c>
      <c r="G720">
        <f>HYPERLINK("https://www.google.com/maps/search/?api=1&amp;query=24.08329289,45.29422444", "View Map")</f>
        <v/>
      </c>
    </row>
    <row r="721">
      <c r="A721" t="inlineStr">
        <is>
          <t xml:space="preserve">   مسجد      ام سعد    نوارة .</t>
        </is>
      </c>
      <c r="B721" t="inlineStr">
        <is>
          <t>KFM2020660209328</t>
        </is>
      </c>
      <c r="C721" t="inlineStr">
        <is>
          <t>المزاحمية</t>
        </is>
      </c>
      <c r="D721" t="inlineStr">
        <is>
          <t>مساءا</t>
        </is>
      </c>
      <c r="E721" t="n">
        <v>656</v>
      </c>
      <c r="F721" t="b">
        <v>0</v>
      </c>
      <c r="G721">
        <f>HYPERLINK("https://www.google.com/maps/search/?api=1&amp;query=24.4639533,46.29718319", "View Map")</f>
        <v/>
      </c>
    </row>
    <row r="722">
      <c r="A722" t="inlineStr">
        <is>
          <t>ﻭﺯﺍﺭﺓﺍﻻﻭﻗﺎﻑ ـ ﺍﻭﻗﺎﻑ ﺍﻟﺩﻭﺍﺩﻤﻲ .</t>
        </is>
      </c>
      <c r="B722" t="inlineStr">
        <is>
          <t>KFM2020760240674</t>
        </is>
      </c>
      <c r="C722" t="inlineStr">
        <is>
          <t>الدوادمي</t>
        </is>
      </c>
      <c r="D722" t="inlineStr">
        <is>
          <t>كلا الفترتين</t>
        </is>
      </c>
      <c r="E722" t="n">
        <v>649</v>
      </c>
      <c r="F722" t="b">
        <v>0</v>
      </c>
      <c r="G722">
        <f>HYPERLINK("https://www.google.com/maps/search/?api=1&amp;query=24.56397091,44.45486024", "View Map")</f>
        <v/>
      </c>
    </row>
    <row r="723">
      <c r="A723" t="inlineStr">
        <is>
          <t xml:space="preserve">   أوقاف     القويعية  الفوارةالقدي .</t>
        </is>
      </c>
      <c r="B723" t="inlineStr">
        <is>
          <t>AES2120896574567</t>
        </is>
      </c>
      <c r="C723" t="inlineStr">
        <is>
          <t>الرين</t>
        </is>
      </c>
      <c r="D723" t="inlineStr">
        <is>
          <t>كلا الفترتين</t>
        </is>
      </c>
      <c r="E723" t="n">
        <v>648</v>
      </c>
      <c r="F723" t="b">
        <v>0</v>
      </c>
      <c r="G723">
        <f>HYPERLINK("https://www.google.com/maps/search/?api=1&amp;query=23.26961212,45.21605028", "View Map")</f>
        <v/>
      </c>
    </row>
    <row r="724">
      <c r="A724" t="inlineStr">
        <is>
          <t xml:space="preserve">      مسجد حى المرقب .</t>
        </is>
      </c>
      <c r="B724" t="inlineStr">
        <is>
          <t>KFM2020660209447</t>
        </is>
      </c>
      <c r="C724" t="inlineStr">
        <is>
          <t>المزاحمية</t>
        </is>
      </c>
      <c r="D724" t="inlineStr">
        <is>
          <t>مساءا</t>
        </is>
      </c>
      <c r="E724" t="n">
        <v>648</v>
      </c>
      <c r="F724" t="b">
        <v>0</v>
      </c>
      <c r="G724">
        <f>HYPERLINK("https://www.google.com/maps/search/?api=1&amp;query=24.46737424,46.27584948", "View Map")</f>
        <v/>
      </c>
    </row>
    <row r="725">
      <c r="A725" t="inlineStr">
        <is>
          <t xml:space="preserve">   جامع      الرويس    //////////// .</t>
        </is>
      </c>
      <c r="B725" t="inlineStr">
        <is>
          <t>KFM2020660189659</t>
        </is>
      </c>
      <c r="C725" t="inlineStr">
        <is>
          <t>الدوادمي</t>
        </is>
      </c>
      <c r="D725" t="inlineStr">
        <is>
          <t>كلا الفترتين</t>
        </is>
      </c>
      <c r="E725" t="n">
        <v>647</v>
      </c>
      <c r="F725" t="b">
        <v>0</v>
      </c>
      <c r="G725">
        <f>HYPERLINK("https://www.google.com/maps/search/?api=1&amp;query=24.5225874,44.4028628", "View Map")</f>
        <v/>
      </c>
    </row>
    <row r="726">
      <c r="A726" t="inlineStr">
        <is>
          <t xml:space="preserve">   اوقاف الحصاة/مسجد صرير .</t>
        </is>
      </c>
      <c r="B726" t="inlineStr">
        <is>
          <t>AES2020896531024</t>
        </is>
      </c>
      <c r="C726" t="inlineStr">
        <is>
          <t>الرين</t>
        </is>
      </c>
      <c r="D726" t="inlineStr">
        <is>
          <t>مساءا</t>
        </is>
      </c>
      <c r="E726" t="n">
        <v>647</v>
      </c>
      <c r="F726" t="b">
        <v>0</v>
      </c>
      <c r="G726">
        <f>HYPERLINK("https://www.google.com/maps/search/?api=1&amp;query=22.5701631,44.81443639", "View Map")</f>
        <v/>
      </c>
    </row>
    <row r="727">
      <c r="A727" t="inlineStr">
        <is>
          <t xml:space="preserve">   اوقاف المزاحميه /مسجدالشيخ مترك .</t>
        </is>
      </c>
      <c r="B727" t="inlineStr">
        <is>
          <t>KFM2020660175941</t>
        </is>
      </c>
      <c r="C727" t="inlineStr">
        <is>
          <t>القويعية</t>
        </is>
      </c>
      <c r="D727" t="inlineStr">
        <is>
          <t>مساءا</t>
        </is>
      </c>
      <c r="E727" t="n">
        <v>644</v>
      </c>
      <c r="F727" t="b">
        <v>0</v>
      </c>
      <c r="G727">
        <f>HYPERLINK("https://www.google.com/maps/search/?api=1&amp;query=24.34722966,45.83066239", "View Map")</f>
        <v/>
      </c>
    </row>
    <row r="728">
      <c r="A728" t="inlineStr">
        <is>
          <t xml:space="preserve">   مسجد      رقم3      حي طويق .</t>
        </is>
      </c>
      <c r="B728" t="inlineStr">
        <is>
          <t>KFM2020660225572</t>
        </is>
      </c>
      <c r="C728" t="inlineStr">
        <is>
          <t>المزاحمية</t>
        </is>
      </c>
      <c r="D728" t="inlineStr">
        <is>
          <t>مساءا</t>
        </is>
      </c>
      <c r="E728" t="n">
        <v>644</v>
      </c>
      <c r="F728" t="b">
        <v>0</v>
      </c>
      <c r="G728">
        <f>HYPERLINK("https://www.google.com/maps/search/?api=1&amp;query=24.47240618,46.28943317", "View Map")</f>
        <v/>
      </c>
    </row>
    <row r="729">
      <c r="A729" t="inlineStr">
        <is>
          <t xml:space="preserve">   مسجد      الا برار   . .</t>
        </is>
      </c>
      <c r="B729" t="inlineStr">
        <is>
          <t>KFM2020766086226</t>
        </is>
      </c>
      <c r="C729" t="inlineStr">
        <is>
          <t>الدوادمي</t>
        </is>
      </c>
      <c r="D729" t="inlineStr">
        <is>
          <t>كلا الفترتين</t>
        </is>
      </c>
      <c r="E729" t="n">
        <v>641</v>
      </c>
      <c r="F729" t="b">
        <v>0</v>
      </c>
      <c r="G729">
        <f>HYPERLINK("https://www.google.com/maps/search/?api=1&amp;query=24.70100767,44.2950344", "View Map")</f>
        <v/>
      </c>
    </row>
    <row r="730">
      <c r="A730" t="inlineStr">
        <is>
          <t xml:space="preserve">      مسجد مرقان بخيلان الاوقاف .</t>
        </is>
      </c>
      <c r="B730" t="inlineStr">
        <is>
          <t>AES2120896546005</t>
        </is>
      </c>
      <c r="C730" t="inlineStr">
        <is>
          <t>القويعية</t>
        </is>
      </c>
      <c r="D730" t="inlineStr">
        <is>
          <t>كلا الفترتين</t>
        </is>
      </c>
      <c r="E730" t="n">
        <v>633</v>
      </c>
      <c r="F730" t="b">
        <v>0</v>
      </c>
      <c r="G730">
        <f>HYPERLINK("https://www.google.com/maps/search/?api=1&amp;query=24.05429017,44.94011753", "View Map")</f>
        <v/>
      </c>
    </row>
    <row r="731">
      <c r="A731" t="inlineStr">
        <is>
          <t xml:space="preserve">    مسجد      العامريه .</t>
        </is>
      </c>
      <c r="B731" t="inlineStr">
        <is>
          <t>AES2020896340422</t>
        </is>
      </c>
      <c r="C731" t="inlineStr">
        <is>
          <t>الدوادمي</t>
        </is>
      </c>
      <c r="D731" t="inlineStr">
        <is>
          <t>مساءا</t>
        </is>
      </c>
      <c r="E731" t="n">
        <v>632</v>
      </c>
      <c r="F731" t="b">
        <v>0</v>
      </c>
      <c r="G731">
        <f>HYPERLINK("https://www.google.com/maps/search/?api=1&amp;query=24.61227656,43.59234052", "View Map")</f>
        <v/>
      </c>
    </row>
    <row r="732">
      <c r="A732" t="inlineStr">
        <is>
          <t xml:space="preserve">   مسجد المسبر الجنوبى .</t>
        </is>
      </c>
      <c r="B732" t="inlineStr">
        <is>
          <t>AEC2020830565772</t>
        </is>
      </c>
      <c r="C732" t="inlineStr">
        <is>
          <t>المزاحمية</t>
        </is>
      </c>
      <c r="D732" t="inlineStr">
        <is>
          <t>مساءا</t>
        </is>
      </c>
      <c r="E732" t="n">
        <v>630</v>
      </c>
      <c r="F732" t="b">
        <v>0</v>
      </c>
      <c r="G732">
        <f>HYPERLINK("https://www.google.com/maps/search/?api=1&amp;query=24.1438262,46.20031372", "View Map")</f>
        <v/>
      </c>
    </row>
    <row r="733">
      <c r="A733" t="inlineStr">
        <is>
          <t xml:space="preserve">   مسجد      عمر       بالشرميه .</t>
        </is>
      </c>
      <c r="B733" t="inlineStr">
        <is>
          <t>KFM2020766090387</t>
        </is>
      </c>
      <c r="C733" t="inlineStr">
        <is>
          <t>القويعية</t>
        </is>
      </c>
      <c r="D733" t="inlineStr">
        <is>
          <t>مساءا</t>
        </is>
      </c>
      <c r="E733" t="n">
        <v>629</v>
      </c>
      <c r="F733" t="b">
        <v>0</v>
      </c>
      <c r="G733">
        <f>HYPERLINK("https://www.google.com/maps/search/?api=1&amp;query=23.79907856,44.88557183", "View Map")</f>
        <v/>
      </c>
    </row>
    <row r="734">
      <c r="A734" t="inlineStr">
        <is>
          <t xml:space="preserve">   مسجدسلمان الفارسى .</t>
        </is>
      </c>
      <c r="B734" t="inlineStr">
        <is>
          <t>KFM2020660190688</t>
        </is>
      </c>
      <c r="C734" t="inlineStr">
        <is>
          <t>القويعية</t>
        </is>
      </c>
      <c r="D734" t="inlineStr">
        <is>
          <t>صباحا</t>
        </is>
      </c>
      <c r="E734" t="n">
        <v>626</v>
      </c>
      <c r="F734" t="b">
        <v>0</v>
      </c>
      <c r="G734">
        <f>HYPERLINK("https://www.google.com/maps/search/?api=1&amp;query=24.07702216,45.29751483", "View Map")</f>
        <v/>
      </c>
    </row>
    <row r="735">
      <c r="A735" t="inlineStr">
        <is>
          <t xml:space="preserve">   مسجد/الايمان .</t>
        </is>
      </c>
      <c r="B735" t="inlineStr">
        <is>
          <t>MMF2420801296606</t>
        </is>
      </c>
      <c r="C735" t="inlineStr">
        <is>
          <t>الدوادمي</t>
        </is>
      </c>
      <c r="D735" t="inlineStr">
        <is>
          <t>صباحا</t>
        </is>
      </c>
      <c r="E735" t="n">
        <v>624</v>
      </c>
      <c r="F735" t="b">
        <v>0</v>
      </c>
      <c r="G735">
        <f>HYPERLINK("https://www.google.com/maps/search/?api=1&amp;query=24.61608404,43.65553571", "View Map")</f>
        <v/>
      </c>
    </row>
    <row r="736">
      <c r="A736" t="inlineStr">
        <is>
          <t>الأوقاف والمساجد/السريحية _الحمادة .</t>
        </is>
      </c>
      <c r="B736" t="inlineStr">
        <is>
          <t>KFM2020860519983</t>
        </is>
      </c>
      <c r="C736" t="inlineStr">
        <is>
          <t>المهد</t>
        </is>
      </c>
      <c r="D736" t="inlineStr">
        <is>
          <t>مساءا</t>
        </is>
      </c>
      <c r="E736" t="n">
        <v>623</v>
      </c>
      <c r="F736" t="b">
        <v>0</v>
      </c>
      <c r="G736">
        <f>HYPERLINK("https://www.google.com/maps/search/?api=1&amp;query=23.93626333,42.09927833", "View Map")</f>
        <v/>
      </c>
    </row>
    <row r="737">
      <c r="A737" t="inlineStr">
        <is>
          <t xml:space="preserve">   مسجد  / جامع   ام المدابغ .</t>
        </is>
      </c>
      <c r="B737" t="inlineStr">
        <is>
          <t>AES2120896611129</t>
        </is>
      </c>
      <c r="C737" t="inlineStr">
        <is>
          <t>المهد</t>
        </is>
      </c>
      <c r="D737" t="inlineStr">
        <is>
          <t>مساءا</t>
        </is>
      </c>
      <c r="E737" t="n">
        <v>622</v>
      </c>
      <c r="F737" t="b">
        <v>0</v>
      </c>
      <c r="G737">
        <f>HYPERLINK("https://www.google.com/maps/search/?api=1&amp;query=24.44016569,41.85807789", "View Map")</f>
        <v/>
      </c>
    </row>
    <row r="738">
      <c r="A738" t="inlineStr">
        <is>
          <t xml:space="preserve">   جامع الصدر الاعلى .</t>
        </is>
      </c>
      <c r="B738" t="inlineStr">
        <is>
          <t>AEC2020830569502</t>
        </is>
      </c>
      <c r="C738" t="inlineStr">
        <is>
          <t>المزاحمية</t>
        </is>
      </c>
      <c r="D738" t="inlineStr">
        <is>
          <t>مساءا</t>
        </is>
      </c>
      <c r="E738" t="n">
        <v>621</v>
      </c>
      <c r="F738" t="b">
        <v>1</v>
      </c>
      <c r="G738">
        <f>HYPERLINK("https://www.google.com/maps/search/?api=1&amp;query=23.99478786,46.11261661", "View Map")</f>
        <v/>
      </c>
    </row>
    <row r="739">
      <c r="A739" t="inlineStr">
        <is>
          <t xml:space="preserve">   مسجد      مرزوق     بنواره .</t>
        </is>
      </c>
      <c r="B739" t="inlineStr">
        <is>
          <t>KFM2020660206834</t>
        </is>
      </c>
      <c r="C739" t="inlineStr">
        <is>
          <t>المزاحمية</t>
        </is>
      </c>
      <c r="D739" t="inlineStr">
        <is>
          <t>مساءا</t>
        </is>
      </c>
      <c r="E739" t="n">
        <v>620</v>
      </c>
      <c r="F739" t="b">
        <v>1</v>
      </c>
      <c r="G739">
        <f>HYPERLINK("https://www.google.com/maps/search/?api=1&amp;query=24.47357178,46.30125989", "View Map")</f>
        <v/>
      </c>
    </row>
    <row r="740">
      <c r="A740" t="inlineStr">
        <is>
          <t>ﻭﺯﺍﺭﺓﺍﻻﻭﻗﺎﻑ ـ ﺍﻭﻗﺎﻑ ﺍﻟﺩﻭﺍﺩﻤﻲ .</t>
        </is>
      </c>
      <c r="B740" t="inlineStr">
        <is>
          <t>KFM2020760058322</t>
        </is>
      </c>
      <c r="C740" t="inlineStr">
        <is>
          <t>الدوادمي</t>
        </is>
      </c>
      <c r="D740" t="inlineStr">
        <is>
          <t>كلا الفترتين</t>
        </is>
      </c>
      <c r="E740" t="n">
        <v>620</v>
      </c>
      <c r="F740" t="b">
        <v>0</v>
      </c>
      <c r="G740">
        <f>HYPERLINK("https://www.google.com/maps/search/?api=1&amp;query=24.49640596,44.35814961", "View Map")</f>
        <v/>
      </c>
    </row>
    <row r="741">
      <c r="A741" t="inlineStr">
        <is>
          <t xml:space="preserve">   مسجد البدرانيه بالسر ارطاوى .</t>
        </is>
      </c>
      <c r="B741" t="inlineStr">
        <is>
          <t>AES2020896454948</t>
        </is>
      </c>
      <c r="C741" t="inlineStr">
        <is>
          <t>الدوادمي</t>
        </is>
      </c>
      <c r="D741" t="inlineStr">
        <is>
          <t>مساءا</t>
        </is>
      </c>
      <c r="E741" t="n">
        <v>620</v>
      </c>
      <c r="F741" t="b">
        <v>0</v>
      </c>
      <c r="G741">
        <f>HYPERLINK("https://www.google.com/maps/search/?api=1&amp;query=25.470731,44.47353109", "View Map")</f>
        <v/>
      </c>
    </row>
    <row r="742">
      <c r="A742" t="inlineStr">
        <is>
          <t xml:space="preserve">   مسجد/الشفا(شمال التسرير) .</t>
        </is>
      </c>
      <c r="B742" t="inlineStr">
        <is>
          <t>AES2020896455399</t>
        </is>
      </c>
      <c r="C742" t="inlineStr">
        <is>
          <t>الدوادمي</t>
        </is>
      </c>
      <c r="D742" t="inlineStr">
        <is>
          <t>كلا الفترتين</t>
        </is>
      </c>
      <c r="E742" t="n">
        <v>619</v>
      </c>
      <c r="F742" t="b">
        <v>0</v>
      </c>
      <c r="G742">
        <f>HYPERLINK("https://www.google.com/maps/search/?api=1&amp;query=25.15730211,44.23234969", "View Map")</f>
        <v/>
      </c>
    </row>
    <row r="743">
      <c r="A743" t="inlineStr">
        <is>
          <t xml:space="preserve">   مسجد هجرة الجديدة ـ الفويلق .</t>
        </is>
      </c>
      <c r="B743" t="inlineStr">
        <is>
          <t>AES2320896631424</t>
        </is>
      </c>
      <c r="C743" t="inlineStr">
        <is>
          <t>القويعية</t>
        </is>
      </c>
      <c r="D743" t="inlineStr">
        <is>
          <t>مساءا</t>
        </is>
      </c>
      <c r="E743" t="n">
        <v>619</v>
      </c>
      <c r="F743" t="b">
        <v>0</v>
      </c>
      <c r="G743">
        <f>HYPERLINK("https://www.google.com/maps/search/?api=1&amp;query=24.40055501,45.32537801", "View Map")</f>
        <v/>
      </c>
    </row>
    <row r="744">
      <c r="A744" t="inlineStr">
        <is>
          <t xml:space="preserve">      مسجد هذال .</t>
        </is>
      </c>
      <c r="B744" t="inlineStr">
        <is>
          <t>MMF2020800247562</t>
        </is>
      </c>
      <c r="C744" t="inlineStr">
        <is>
          <t>الدوادمي</t>
        </is>
      </c>
      <c r="D744" t="inlineStr">
        <is>
          <t>كلا الفترتين</t>
        </is>
      </c>
      <c r="E744" t="n">
        <v>619</v>
      </c>
      <c r="F744" t="b">
        <v>1</v>
      </c>
      <c r="G744">
        <f>HYPERLINK("https://www.google.com/maps/search/?api=1&amp;query=24.53336497,44.27820182", "View Map")</f>
        <v/>
      </c>
    </row>
    <row r="745">
      <c r="A745" t="inlineStr">
        <is>
          <t xml:space="preserve">       مسجد مخطط 310 .</t>
        </is>
      </c>
      <c r="B745" t="inlineStr">
        <is>
          <t>KFM2020766099453</t>
        </is>
      </c>
      <c r="C745" t="inlineStr">
        <is>
          <t>عفيف</t>
        </is>
      </c>
      <c r="D745" t="inlineStr">
        <is>
          <t>مساءا</t>
        </is>
      </c>
      <c r="E745" t="n">
        <v>618</v>
      </c>
      <c r="F745" t="b">
        <v>0</v>
      </c>
      <c r="G745">
        <f>HYPERLINK("https://www.google.com/maps/search/?api=1&amp;query=23.90508652,42.89932751", "View Map")</f>
        <v/>
      </c>
    </row>
    <row r="746">
      <c r="A746" t="inlineStr">
        <is>
          <t>ﻭﺯﺍﺭﺓﺍﻻﻭﻗﺎﻑ ـ ﺍﻭﻗﺎﻑ ﺴﺎﺠﺭ .</t>
        </is>
      </c>
      <c r="B746" t="inlineStr">
        <is>
          <t>ECC2320831055025</t>
        </is>
      </c>
      <c r="C746" t="inlineStr">
        <is>
          <t>الدوادمي</t>
        </is>
      </c>
      <c r="D746" t="inlineStr">
        <is>
          <t>كلا الفترتين</t>
        </is>
      </c>
      <c r="E746" t="n">
        <v>618</v>
      </c>
      <c r="F746" t="b">
        <v>0</v>
      </c>
      <c r="G746">
        <f>HYPERLINK("https://www.google.com/maps/search/?api=1&amp;query=25.17430785,44.60339883", "View Map")</f>
        <v/>
      </c>
    </row>
    <row r="747">
      <c r="A747" t="inlineStr">
        <is>
          <t>ﻭﺯﺍﺭﺓﺍﻻﻭﻗﺎﻑ ـ ﺍﻭﻗﺎﻑ ﺴﺎﺠﺭ .</t>
        </is>
      </c>
      <c r="B747" t="inlineStr">
        <is>
          <t>AES2120896581726</t>
        </is>
      </c>
      <c r="C747" t="inlineStr">
        <is>
          <t>الدوادمي</t>
        </is>
      </c>
      <c r="D747" t="inlineStr">
        <is>
          <t>كلا الفترتين</t>
        </is>
      </c>
      <c r="E747" t="n">
        <v>618</v>
      </c>
      <c r="F747" t="b">
        <v>0</v>
      </c>
      <c r="G747">
        <f>HYPERLINK("https://www.google.com/maps/search/?api=1&amp;query=24.91739269,44.56987026", "View Map")</f>
        <v/>
      </c>
    </row>
    <row r="748">
      <c r="A748" t="inlineStr">
        <is>
          <t xml:space="preserve">   مساجدالمزاحميةم/مسفرداهم ال سعد .</t>
        </is>
      </c>
      <c r="B748" t="inlineStr">
        <is>
          <t>KFM2120861246873</t>
        </is>
      </c>
      <c r="C748" t="inlineStr">
        <is>
          <t>القويعية</t>
        </is>
      </c>
      <c r="D748" t="inlineStr">
        <is>
          <t>مساءا</t>
        </is>
      </c>
      <c r="E748" t="n">
        <v>618</v>
      </c>
      <c r="F748" t="b">
        <v>0</v>
      </c>
      <c r="G748">
        <f>HYPERLINK("https://www.google.com/maps/search/?api=1&amp;query=24.33781745,45.57134572", "View Map")</f>
        <v/>
      </c>
    </row>
    <row r="749">
      <c r="A749" t="inlineStr">
        <is>
          <t>ﻭﺯﺍﺭﺓﺍﻻﻭﻗﺎﻑ ـ ﺍﻭﻗﺎﻑ ﺴﺎﺠﺭ .</t>
        </is>
      </c>
      <c r="B749" t="inlineStr">
        <is>
          <t>LYE2020830250723</t>
        </is>
      </c>
      <c r="C749" t="inlineStr">
        <is>
          <t>الدوادمي</t>
        </is>
      </c>
      <c r="D749" t="inlineStr">
        <is>
          <t>كلا الفترتين</t>
        </is>
      </c>
      <c r="E749" t="n">
        <v>617</v>
      </c>
      <c r="F749" t="b">
        <v>0</v>
      </c>
      <c r="G749">
        <f>HYPERLINK("https://www.google.com/maps/search/?api=1&amp;query=25.20501397,44.59849397", "View Map")</f>
        <v/>
      </c>
    </row>
    <row r="750">
      <c r="A750" t="inlineStr">
        <is>
          <t>أوقاف ومساجد القويعيه .</t>
        </is>
      </c>
      <c r="B750" t="inlineStr">
        <is>
          <t>AES2020896472236</t>
        </is>
      </c>
      <c r="C750" t="inlineStr">
        <is>
          <t>الرين</t>
        </is>
      </c>
      <c r="D750" t="inlineStr">
        <is>
          <t>مساءا</t>
        </is>
      </c>
      <c r="E750" t="n">
        <v>616</v>
      </c>
      <c r="F750" t="b">
        <v>0</v>
      </c>
      <c r="G750">
        <f>HYPERLINK("https://www.google.com/maps/search/?api=1&amp;query=22.76675583,44.92749862", "View Map")</f>
        <v/>
      </c>
    </row>
    <row r="751">
      <c r="A751" t="inlineStr">
        <is>
          <t xml:space="preserve">   مسجد محمد سعود الجبيري .</t>
        </is>
      </c>
      <c r="B751" t="inlineStr">
        <is>
          <t>AES2020896407084</t>
        </is>
      </c>
      <c r="C751" t="inlineStr">
        <is>
          <t>القويعية</t>
        </is>
      </c>
      <c r="D751" t="inlineStr">
        <is>
          <t>مساءا</t>
        </is>
      </c>
      <c r="E751" t="n">
        <v>614</v>
      </c>
      <c r="F751" t="b">
        <v>0</v>
      </c>
      <c r="G751">
        <f>HYPERLINK("https://www.google.com/maps/search/?api=1&amp;query=23.93147259,45.16274743", "View Map")</f>
        <v/>
      </c>
    </row>
    <row r="752">
      <c r="A752" t="inlineStr">
        <is>
          <t>اوقاف ومساجد مسجد الرجع .</t>
        </is>
      </c>
      <c r="B752" t="inlineStr">
        <is>
          <t>AES2020896460951</t>
        </is>
      </c>
      <c r="C752" t="inlineStr">
        <is>
          <t>الرين</t>
        </is>
      </c>
      <c r="D752" t="inlineStr">
        <is>
          <t>مساءا</t>
        </is>
      </c>
      <c r="E752" t="n">
        <v>611</v>
      </c>
      <c r="F752" t="b">
        <v>0</v>
      </c>
      <c r="G752">
        <f>HYPERLINK("https://www.google.com/maps/search/?api=1&amp;query=22.84500215,44.95958403", "View Map")</f>
        <v/>
      </c>
    </row>
    <row r="753">
      <c r="A753" t="inlineStr">
        <is>
          <t xml:space="preserve">      مـسـجـد سعد الشنيفى .</t>
        </is>
      </c>
      <c r="B753" t="inlineStr">
        <is>
          <t>MMF2020801021626</t>
        </is>
      </c>
      <c r="C753" t="inlineStr">
        <is>
          <t>ضرما</t>
        </is>
      </c>
      <c r="D753" t="inlineStr">
        <is>
          <t>صباحا</t>
        </is>
      </c>
      <c r="E753" t="n">
        <v>611</v>
      </c>
      <c r="F753" t="b">
        <v>1</v>
      </c>
      <c r="G753">
        <f>HYPERLINK("https://www.google.com/maps/search/?api=1&amp;query=24.59225114,46.14475156", "View Map")</f>
        <v/>
      </c>
    </row>
    <row r="754">
      <c r="A754" t="inlineStr">
        <is>
          <t xml:space="preserve">   مسجد      فيضة      //////////// .</t>
        </is>
      </c>
      <c r="B754" t="inlineStr">
        <is>
          <t>KFM2120660238351</t>
        </is>
      </c>
      <c r="C754" t="inlineStr">
        <is>
          <t>الدوادمي</t>
        </is>
      </c>
      <c r="D754" t="inlineStr">
        <is>
          <t>كلا الفترتين</t>
        </is>
      </c>
      <c r="E754" t="n">
        <v>611</v>
      </c>
      <c r="F754" t="b">
        <v>1</v>
      </c>
      <c r="G754">
        <f>HYPERLINK("https://www.google.com/maps/search/?api=1&amp;query=24.33907538,44.80788009", "View Map")</f>
        <v/>
      </c>
    </row>
    <row r="755">
      <c r="A755" t="inlineStr">
        <is>
          <t xml:space="preserve">   مسجد  هجرة   الغالبية  زريبة   0 .</t>
        </is>
      </c>
      <c r="B755" t="inlineStr">
        <is>
          <t>KFM2020766102235</t>
        </is>
      </c>
      <c r="C755" t="inlineStr">
        <is>
          <t>عفيف</t>
        </is>
      </c>
      <c r="D755" t="inlineStr">
        <is>
          <t>مساءا</t>
        </is>
      </c>
      <c r="E755" t="n">
        <v>609</v>
      </c>
      <c r="F755" t="b">
        <v>0</v>
      </c>
      <c r="G755">
        <f>HYPERLINK("https://www.google.com/maps/search/?api=1&amp;query=24.24754709,42.37477814", "View Map")</f>
        <v/>
      </c>
    </row>
    <row r="756">
      <c r="A756" t="inlineStr">
        <is>
          <t>ﺍﻭﻗﺎﻑ ﻭﻤﺴﺎﺠﺩ ﺍﻟﻤﺯﺍﺤﻤﻴﻩ .</t>
        </is>
      </c>
      <c r="B756" t="inlineStr">
        <is>
          <t>SMR2220761016781</t>
        </is>
      </c>
      <c r="C756" t="inlineStr">
        <is>
          <t>المزاحمية</t>
        </is>
      </c>
      <c r="D756" t="inlineStr">
        <is>
          <t>مساءا</t>
        </is>
      </c>
      <c r="E756" t="n">
        <v>608</v>
      </c>
      <c r="F756" t="b">
        <v>1</v>
      </c>
      <c r="G756">
        <f>HYPERLINK("https://www.google.com/maps/search/?api=1&amp;query=24.48731486,46.25788611", "View Map")</f>
        <v/>
      </c>
    </row>
    <row r="757">
      <c r="A757" t="inlineStr">
        <is>
          <t xml:space="preserve">      مسجد زياد العقيلى .</t>
        </is>
      </c>
      <c r="B757" t="inlineStr">
        <is>
          <t>SMR2220661004042</t>
        </is>
      </c>
      <c r="C757" t="inlineStr">
        <is>
          <t>عفيف</t>
        </is>
      </c>
      <c r="D757" t="inlineStr">
        <is>
          <t>مساءا</t>
        </is>
      </c>
      <c r="E757" t="n">
        <v>607</v>
      </c>
      <c r="F757" t="b">
        <v>0</v>
      </c>
      <c r="G757">
        <f>HYPERLINK("https://www.google.com/maps/search/?api=1&amp;query=23.90450825,42.90811335", "View Map")</f>
        <v/>
      </c>
    </row>
    <row r="758">
      <c r="A758" t="inlineStr">
        <is>
          <t>ﺃﻭﻗﺎﻑ ﻭﻤﺴﺎﺠﺩ ﺍﻟﻗﻭﻴﻌﻴﻩ .</t>
        </is>
      </c>
      <c r="B758" t="inlineStr">
        <is>
          <t>AEC2020830541093</t>
        </is>
      </c>
      <c r="C758" t="inlineStr">
        <is>
          <t>القويعية</t>
        </is>
      </c>
      <c r="D758" t="inlineStr">
        <is>
          <t>مساءا</t>
        </is>
      </c>
      <c r="E758" t="n">
        <v>604</v>
      </c>
      <c r="F758" t="b">
        <v>0</v>
      </c>
      <c r="G758">
        <f>HYPERLINK("https://www.google.com/maps/search/?api=1&amp;query=24.19918893,45.87847073", "View Map")</f>
        <v/>
      </c>
    </row>
    <row r="759">
      <c r="A759" t="inlineStr">
        <is>
          <t xml:space="preserve">   جامع      الرفايع   . .</t>
        </is>
      </c>
      <c r="B759" t="inlineStr">
        <is>
          <t>KFM2120660241365</t>
        </is>
      </c>
      <c r="C759" t="inlineStr">
        <is>
          <t>القويعية</t>
        </is>
      </c>
      <c r="D759" t="inlineStr">
        <is>
          <t>مساءا</t>
        </is>
      </c>
      <c r="E759" t="n">
        <v>603</v>
      </c>
      <c r="F759" t="b">
        <v>1</v>
      </c>
      <c r="G759">
        <f>HYPERLINK("https://www.google.com/maps/search/?api=1&amp;query=23.49114061,44.38875764", "View Map")</f>
        <v/>
      </c>
    </row>
    <row r="760">
      <c r="A760" t="inlineStr">
        <is>
          <t xml:space="preserve">   مسجد ابونيان .</t>
        </is>
      </c>
      <c r="B760" t="inlineStr">
        <is>
          <t>KFM2020660191464</t>
        </is>
      </c>
      <c r="C760" t="inlineStr">
        <is>
          <t>ضرما</t>
        </is>
      </c>
      <c r="D760" t="inlineStr">
        <is>
          <t>مساءا</t>
        </is>
      </c>
      <c r="E760" t="n">
        <v>601</v>
      </c>
      <c r="F760" t="b">
        <v>0</v>
      </c>
      <c r="G760">
        <f>HYPERLINK("https://www.google.com/maps/search/?api=1&amp;query=24.59490287,46.13604467", "View Map")</f>
        <v/>
      </c>
    </row>
    <row r="761">
      <c r="A761" t="inlineStr">
        <is>
          <t xml:space="preserve">   مسجد  مستشفي  العام  عفيف      0 .</t>
        </is>
      </c>
      <c r="B761" t="inlineStr">
        <is>
          <t>KFM2020660212326</t>
        </is>
      </c>
      <c r="C761" t="inlineStr">
        <is>
          <t>عفيف</t>
        </is>
      </c>
      <c r="D761" t="inlineStr">
        <is>
          <t>مساءا</t>
        </is>
      </c>
      <c r="E761" t="n">
        <v>596</v>
      </c>
      <c r="F761" t="b">
        <v>0</v>
      </c>
      <c r="G761">
        <f>HYPERLINK("https://www.google.com/maps/search/?api=1&amp;query=23.90502954,42.91094077", "View Map")</f>
        <v/>
      </c>
    </row>
    <row r="762">
      <c r="A762" t="inlineStr">
        <is>
          <t xml:space="preserve">   مسجد/نهضة الشريف    الاوقاف .</t>
        </is>
      </c>
      <c r="B762" t="inlineStr">
        <is>
          <t>SMR2320661022550</t>
        </is>
      </c>
      <c r="C762" t="inlineStr">
        <is>
          <t>الدوادمي</t>
        </is>
      </c>
      <c r="D762" t="inlineStr">
        <is>
          <t>مساءا</t>
        </is>
      </c>
      <c r="E762" t="n">
        <v>593</v>
      </c>
      <c r="F762" t="b">
        <v>1</v>
      </c>
      <c r="G762">
        <f>HYPERLINK("https://www.google.com/maps/search/?api=1&amp;query=24.70509199,43.75473471", "View Map")</f>
        <v/>
      </c>
    </row>
    <row r="763">
      <c r="A763" t="inlineStr">
        <is>
          <t xml:space="preserve">   مسجد ال طرجم بالفويسة .</t>
        </is>
      </c>
      <c r="B763" t="inlineStr">
        <is>
          <t>LYE2020830242100</t>
        </is>
      </c>
      <c r="C763" t="inlineStr">
        <is>
          <t>القويعية</t>
        </is>
      </c>
      <c r="D763" t="inlineStr">
        <is>
          <t>مساءا</t>
        </is>
      </c>
      <c r="E763" t="n">
        <v>593</v>
      </c>
      <c r="F763" t="b">
        <v>1</v>
      </c>
      <c r="G763">
        <f>HYPERLINK("https://www.google.com/maps/search/?api=1&amp;query=23.95047145,45.53092153", "View Map")</f>
        <v/>
      </c>
    </row>
    <row r="764">
      <c r="A764" t="inlineStr">
        <is>
          <t>مسجد الصدر بالحصاه .</t>
        </is>
      </c>
      <c r="B764" t="inlineStr">
        <is>
          <t>AEC2020830529318</t>
        </is>
      </c>
      <c r="C764" t="inlineStr">
        <is>
          <t>الرين</t>
        </is>
      </c>
      <c r="D764" t="inlineStr">
        <is>
          <t>مساءا</t>
        </is>
      </c>
      <c r="E764" t="n">
        <v>593</v>
      </c>
      <c r="F764" t="b">
        <v>0</v>
      </c>
      <c r="G764">
        <f>HYPERLINK("https://www.google.com/maps/search/?api=1&amp;query=22.97114925,45.00906323", "View Map")</f>
        <v/>
      </c>
    </row>
    <row r="765">
      <c r="A765" t="inlineStr">
        <is>
          <t xml:space="preserve">   مسجد هجرة العسيبي .</t>
        </is>
      </c>
      <c r="B765" t="inlineStr">
        <is>
          <t>KFM2020766138417</t>
        </is>
      </c>
      <c r="C765" t="inlineStr">
        <is>
          <t>عفيف</t>
        </is>
      </c>
      <c r="D765" t="inlineStr">
        <is>
          <t>مساءا</t>
        </is>
      </c>
      <c r="E765" t="n">
        <v>591</v>
      </c>
      <c r="F765" t="b">
        <v>0</v>
      </c>
      <c r="G765">
        <f>HYPERLINK("https://www.google.com/maps/search/?api=1&amp;query=23.98518504,42.47067286", "View Map")</f>
        <v/>
      </c>
    </row>
    <row r="766">
      <c r="A766" t="inlineStr">
        <is>
          <t xml:space="preserve">   مسجد حي النهضة اوقاف القويعية .</t>
        </is>
      </c>
      <c r="B766" t="inlineStr">
        <is>
          <t>SMR2020856071129</t>
        </is>
      </c>
      <c r="C766" t="inlineStr">
        <is>
          <t>القويعية</t>
        </is>
      </c>
      <c r="D766" t="inlineStr">
        <is>
          <t>مساءا</t>
        </is>
      </c>
      <c r="E766" t="n">
        <v>590</v>
      </c>
      <c r="F766" t="b">
        <v>0</v>
      </c>
      <c r="G766">
        <f>HYPERLINK("https://www.google.com/maps/search/?api=1&amp;query=23.82978216,45.64601368", "View Map")</f>
        <v/>
      </c>
    </row>
    <row r="767">
      <c r="A767" t="inlineStr">
        <is>
          <t xml:space="preserve">   مسجـــد   حميـــد   0 .</t>
        </is>
      </c>
      <c r="B767" t="inlineStr">
        <is>
          <t>KFM2020760082678</t>
        </is>
      </c>
      <c r="C767" t="inlineStr">
        <is>
          <t>الدوادمي</t>
        </is>
      </c>
      <c r="D767" t="inlineStr">
        <is>
          <t>كلا الفترتين</t>
        </is>
      </c>
      <c r="E767" t="n">
        <v>589</v>
      </c>
      <c r="F767" t="b">
        <v>1</v>
      </c>
      <c r="G767">
        <f>HYPERLINK("https://www.google.com/maps/search/?api=1&amp;query=24.52132293,44.4159675", "View Map")</f>
        <v/>
      </c>
    </row>
    <row r="768">
      <c r="A768" t="inlineStr">
        <is>
          <t xml:space="preserve">   جامع سويلمفي        حلبان .</t>
        </is>
      </c>
      <c r="B768" t="inlineStr">
        <is>
          <t>KFM2120660241366</t>
        </is>
      </c>
      <c r="C768" t="inlineStr">
        <is>
          <t>القويعية</t>
        </is>
      </c>
      <c r="D768" t="inlineStr">
        <is>
          <t>مساءا</t>
        </is>
      </c>
      <c r="E768" t="n">
        <v>588</v>
      </c>
      <c r="F768" t="b">
        <v>1</v>
      </c>
      <c r="G768">
        <f>HYPERLINK("https://www.google.com/maps/search/?api=1&amp;query=23.47946687,44.37419879", "View Map")</f>
        <v/>
      </c>
    </row>
    <row r="769">
      <c r="A769" t="inlineStr">
        <is>
          <t xml:space="preserve">   مسجد      أم طلحه   ------------ .</t>
        </is>
      </c>
      <c r="B769" t="inlineStr">
        <is>
          <t>KFM2120660252181</t>
        </is>
      </c>
      <c r="C769" t="inlineStr">
        <is>
          <t>الدوادمي</t>
        </is>
      </c>
      <c r="D769" t="inlineStr">
        <is>
          <t>مساءا</t>
        </is>
      </c>
      <c r="E769" t="n">
        <v>587</v>
      </c>
      <c r="F769" t="b">
        <v>0</v>
      </c>
      <c r="G769">
        <f>HYPERLINK("https://www.google.com/maps/search/?api=1&amp;query=24.67961814,43.65892596", "View Map")</f>
        <v/>
      </c>
    </row>
    <row r="770">
      <c r="A770" t="inlineStr">
        <is>
          <t xml:space="preserve">   مسجد      حمد       وسيله 2 .</t>
        </is>
      </c>
      <c r="B770" t="inlineStr">
        <is>
          <t>KFM2020766065324</t>
        </is>
      </c>
      <c r="C770" t="inlineStr">
        <is>
          <t>المزاحمية</t>
        </is>
      </c>
      <c r="D770" t="inlineStr">
        <is>
          <t>مساءا</t>
        </is>
      </c>
      <c r="E770" t="n">
        <v>587</v>
      </c>
      <c r="F770" t="b">
        <v>1</v>
      </c>
      <c r="G770">
        <f>HYPERLINK("https://www.google.com/maps/search/?api=1&amp;query=24.49695313,46.31127005", "View Map")</f>
        <v/>
      </c>
    </row>
    <row r="771">
      <c r="A771" t="inlineStr">
        <is>
          <t xml:space="preserve">      مـسـجـد زيدحسين بن حواش .</t>
        </is>
      </c>
      <c r="B771" t="inlineStr">
        <is>
          <t>AES2020896462916</t>
        </is>
      </c>
      <c r="C771" t="inlineStr">
        <is>
          <t>الرين</t>
        </is>
      </c>
      <c r="D771" t="inlineStr">
        <is>
          <t>مساءا</t>
        </is>
      </c>
      <c r="E771" t="n">
        <v>584</v>
      </c>
      <c r="F771" t="b">
        <v>0</v>
      </c>
      <c r="G771">
        <f>HYPERLINK("https://www.google.com/maps/search/?api=1&amp;query=22.73426532,45.03370402", "View Map")</f>
        <v/>
      </c>
    </row>
    <row r="772">
      <c r="A772" t="inlineStr">
        <is>
          <t>ﻭﺯﺍﺭﺓﺍﻻﻭﻗﺎﻑ ـ ﺍﻭﻗﺎﻑ ﺍﻟﺩﻭﺍﺩﻤﻲ .</t>
        </is>
      </c>
      <c r="B772" t="inlineStr">
        <is>
          <t>ECC2420841079845</t>
        </is>
      </c>
      <c r="C772" t="inlineStr">
        <is>
          <t>الدوادمي</t>
        </is>
      </c>
      <c r="D772" t="inlineStr">
        <is>
          <t>كلا الفترتين</t>
        </is>
      </c>
      <c r="E772" t="n">
        <v>584</v>
      </c>
      <c r="F772" t="b">
        <v>0</v>
      </c>
      <c r="G772">
        <f>HYPERLINK("https://www.google.com/maps/search/?api=1&amp;query=24.55182054,44.4140892", "View Map")</f>
        <v/>
      </c>
    </row>
    <row r="773">
      <c r="A773" t="inlineStr">
        <is>
          <t xml:space="preserve">   مسجد جامع قرية محامة العقالية  0 .</t>
        </is>
      </c>
      <c r="B773" t="inlineStr">
        <is>
          <t>KFM2020766084586</t>
        </is>
      </c>
      <c r="C773" t="inlineStr">
        <is>
          <t>عفيف</t>
        </is>
      </c>
      <c r="D773" t="inlineStr">
        <is>
          <t>مساءا</t>
        </is>
      </c>
      <c r="E773" t="n">
        <v>583</v>
      </c>
      <c r="F773" t="b">
        <v>0</v>
      </c>
      <c r="G773">
        <f>HYPERLINK("https://www.google.com/maps/search/?api=1&amp;query=24.43843781,42.17207021", "View Map")</f>
        <v/>
      </c>
    </row>
    <row r="774">
      <c r="A774" t="inlineStr">
        <is>
          <t>مسجد المعتلاء بالحصاه .</t>
        </is>
      </c>
      <c r="B774" t="inlineStr">
        <is>
          <t>ECC2320831018538</t>
        </is>
      </c>
      <c r="C774" t="inlineStr">
        <is>
          <t>الرين</t>
        </is>
      </c>
      <c r="D774" t="inlineStr">
        <is>
          <t>مساءا</t>
        </is>
      </c>
      <c r="E774" t="n">
        <v>583</v>
      </c>
      <c r="F774" t="b">
        <v>0</v>
      </c>
      <c r="G774">
        <f>HYPERLINK("https://www.google.com/maps/search/?api=1&amp;query=22.47940739,44.90790395", "View Map")</f>
        <v/>
      </c>
    </row>
    <row r="775">
      <c r="A775" t="inlineStr">
        <is>
          <t xml:space="preserve">   مسجد/     العزيزيه  وزارة الا وقا .</t>
        </is>
      </c>
      <c r="B775" t="inlineStr">
        <is>
          <t>KFM2020766102139</t>
        </is>
      </c>
      <c r="C775" t="inlineStr">
        <is>
          <t>الدوادمي</t>
        </is>
      </c>
      <c r="D775" t="inlineStr">
        <is>
          <t>مساءا</t>
        </is>
      </c>
      <c r="E775" t="n">
        <v>582</v>
      </c>
      <c r="F775" t="b">
        <v>0</v>
      </c>
      <c r="G775">
        <f>HYPERLINK("https://www.google.com/maps/search/?api=1&amp;query=25.15814231,43.47909935", "View Map")</f>
        <v/>
      </c>
    </row>
    <row r="776">
      <c r="A776" t="inlineStr">
        <is>
          <t xml:space="preserve">   مسجد      نورة      بن هريس .</t>
        </is>
      </c>
      <c r="B776" t="inlineStr">
        <is>
          <t>KFM2020766098211</t>
        </is>
      </c>
      <c r="C776" t="inlineStr">
        <is>
          <t>المزاحمية</t>
        </is>
      </c>
      <c r="D776" t="inlineStr">
        <is>
          <t>مساءا</t>
        </is>
      </c>
      <c r="E776" t="n">
        <v>582</v>
      </c>
      <c r="F776" t="b">
        <v>0</v>
      </c>
      <c r="G776">
        <f>HYPERLINK("https://www.google.com/maps/search/?api=1&amp;query=24.45616384,46.26639022", "View Map")</f>
        <v/>
      </c>
    </row>
    <row r="777">
      <c r="A777" t="inlineStr">
        <is>
          <t xml:space="preserve">   مسجد المباري بالجمش .</t>
        </is>
      </c>
      <c r="B777" t="inlineStr">
        <is>
          <t>AEC2020830566253</t>
        </is>
      </c>
      <c r="C777" t="inlineStr">
        <is>
          <t>الدوادمي</t>
        </is>
      </c>
      <c r="D777" t="inlineStr">
        <is>
          <t>مساءا</t>
        </is>
      </c>
      <c r="E777" t="n">
        <v>582</v>
      </c>
      <c r="F777" t="b">
        <v>0</v>
      </c>
      <c r="G777">
        <f>HYPERLINK("https://www.google.com/maps/search/?api=1&amp;query=24.92799129,43.59300034", "View Map")</f>
        <v/>
      </c>
    </row>
    <row r="778">
      <c r="A778" t="inlineStr">
        <is>
          <t xml:space="preserve">   مسجد      فيضة      //////////// .</t>
        </is>
      </c>
      <c r="B778" t="inlineStr">
        <is>
          <t>MMF2020800077670</t>
        </is>
      </c>
      <c r="C778" t="inlineStr">
        <is>
          <t>الدوادمي</t>
        </is>
      </c>
      <c r="D778" t="inlineStr">
        <is>
          <t>كلا الفترتين</t>
        </is>
      </c>
      <c r="E778" t="n">
        <v>581</v>
      </c>
      <c r="F778" t="b">
        <v>0</v>
      </c>
      <c r="G778">
        <f>HYPERLINK("https://www.google.com/maps/search/?api=1&amp;query=24.33986748,44.80249837", "View Map")</f>
        <v/>
      </c>
    </row>
    <row r="779">
      <c r="A779" t="inlineStr">
        <is>
          <t xml:space="preserve">      مسجد الجويعد .</t>
        </is>
      </c>
      <c r="B779" t="inlineStr">
        <is>
          <t>KFM2020760082575</t>
        </is>
      </c>
      <c r="C779" t="inlineStr">
        <is>
          <t>الدوادمي</t>
        </is>
      </c>
      <c r="D779" t="inlineStr">
        <is>
          <t>كلا الفترتين</t>
        </is>
      </c>
      <c r="E779" t="n">
        <v>581</v>
      </c>
      <c r="F779" t="b">
        <v>0</v>
      </c>
      <c r="G779">
        <f>HYPERLINK("https://www.google.com/maps/search/?api=1&amp;query=24.50900937,44.39214396", "View Map")</f>
        <v/>
      </c>
    </row>
    <row r="780">
      <c r="A780" t="inlineStr">
        <is>
          <t xml:space="preserve">   مسجد رفايع الدسمه .</t>
        </is>
      </c>
      <c r="B780" t="inlineStr">
        <is>
          <t>SMR2020850103386</t>
        </is>
      </c>
      <c r="C780" t="inlineStr">
        <is>
          <t>الدوادمي</t>
        </is>
      </c>
      <c r="D780" t="inlineStr">
        <is>
          <t>مساءا</t>
        </is>
      </c>
      <c r="E780" t="n">
        <v>579</v>
      </c>
      <c r="F780" t="b">
        <v>0</v>
      </c>
      <c r="G780">
        <f>HYPERLINK("https://www.google.com/maps/search/?api=1&amp;query=24.48202453,44.56350069", "View Map")</f>
        <v/>
      </c>
    </row>
    <row r="781">
      <c r="A781" t="inlineStr">
        <is>
          <t xml:space="preserve">   مسجد      السيباني  السيباني .</t>
        </is>
      </c>
      <c r="B781" t="inlineStr">
        <is>
          <t>KFM2020660200035</t>
        </is>
      </c>
      <c r="C781" t="inlineStr">
        <is>
          <t>ضرما</t>
        </is>
      </c>
      <c r="D781" t="inlineStr">
        <is>
          <t>مساءا</t>
        </is>
      </c>
      <c r="E781" t="n">
        <v>578</v>
      </c>
      <c r="F781" t="b">
        <v>0</v>
      </c>
      <c r="G781">
        <f>HYPERLINK("https://www.google.com/maps/search/?api=1&amp;query=24.51482157,46.13381503", "View Map")</f>
        <v/>
      </c>
    </row>
    <row r="782">
      <c r="A782" t="inlineStr">
        <is>
          <t xml:space="preserve">              مسجد مخلدالتوم .</t>
        </is>
      </c>
      <c r="B782" t="inlineStr">
        <is>
          <t>AES2120896573420</t>
        </is>
      </c>
      <c r="C782" t="inlineStr">
        <is>
          <t>الدوادمي</t>
        </is>
      </c>
      <c r="D782" t="inlineStr">
        <is>
          <t>مساءا</t>
        </is>
      </c>
      <c r="E782" t="n">
        <v>577</v>
      </c>
      <c r="F782" t="b">
        <v>0</v>
      </c>
      <c r="G782">
        <f>HYPERLINK("https://www.google.com/maps/search/?api=1&amp;query=25.07941817,44.69805022", "View Map")</f>
        <v/>
      </c>
    </row>
    <row r="783">
      <c r="A783" t="inlineStr">
        <is>
          <t xml:space="preserve">   اوقاف ومساجد الرين - مسجد شلاح .</t>
        </is>
      </c>
      <c r="B783" t="inlineStr">
        <is>
          <t>KFM2020660115176</t>
        </is>
      </c>
      <c r="C783" t="inlineStr">
        <is>
          <t>الرين</t>
        </is>
      </c>
      <c r="D783" t="inlineStr">
        <is>
          <t>صباحا</t>
        </is>
      </c>
      <c r="E783" t="n">
        <v>575</v>
      </c>
      <c r="F783" t="b">
        <v>0</v>
      </c>
      <c r="G783">
        <f>HYPERLINK("https://www.google.com/maps/search/?api=1&amp;query=23.36856577,45.39373398", "View Map")</f>
        <v/>
      </c>
    </row>
    <row r="784">
      <c r="A784" t="inlineStr">
        <is>
          <t xml:space="preserve">   اوقاف القويعيه /مسجدهجرةالوسيطى .</t>
        </is>
      </c>
      <c r="B784" t="inlineStr">
        <is>
          <t>AES2120896589950</t>
        </is>
      </c>
      <c r="C784" t="inlineStr">
        <is>
          <t>القويعية</t>
        </is>
      </c>
      <c r="D784" t="inlineStr">
        <is>
          <t>مساءا</t>
        </is>
      </c>
      <c r="E784" t="n">
        <v>574</v>
      </c>
      <c r="F784" t="b">
        <v>0</v>
      </c>
      <c r="G784">
        <f>HYPERLINK("https://www.google.com/maps/search/?api=1&amp;query=24.35335131,45.3092263", "View Map")</f>
        <v/>
      </c>
    </row>
    <row r="785">
      <c r="A785" t="inlineStr">
        <is>
          <t xml:space="preserve">    مسجد      محامة     بن    زريبه .</t>
        </is>
      </c>
      <c r="B785" t="inlineStr">
        <is>
          <t>KFM2020660204270</t>
        </is>
      </c>
      <c r="C785" t="inlineStr">
        <is>
          <t>عفيف</t>
        </is>
      </c>
      <c r="D785" t="inlineStr">
        <is>
          <t>مساءا</t>
        </is>
      </c>
      <c r="E785" t="n">
        <v>574</v>
      </c>
      <c r="F785" t="b">
        <v>0</v>
      </c>
      <c r="G785">
        <f>HYPERLINK("https://www.google.com/maps/search/?api=1&amp;query=24.33102572,42.36840387", "View Map")</f>
        <v/>
      </c>
    </row>
    <row r="786">
      <c r="A786" t="inlineStr">
        <is>
          <t>أوقاف ومساجد القويعيه .</t>
        </is>
      </c>
      <c r="B786" t="inlineStr">
        <is>
          <t>AEC2020830545107</t>
        </is>
      </c>
      <c r="C786" t="inlineStr">
        <is>
          <t>القويعية</t>
        </is>
      </c>
      <c r="D786" t="inlineStr">
        <is>
          <t>مساءا</t>
        </is>
      </c>
      <c r="E786" t="n">
        <v>573</v>
      </c>
      <c r="F786" t="b">
        <v>0</v>
      </c>
      <c r="G786">
        <f>HYPERLINK("https://www.google.com/maps/search/?api=1&amp;query=24.34713145,45.29221221", "View Map")</f>
        <v/>
      </c>
    </row>
    <row r="787">
      <c r="A787" t="inlineStr">
        <is>
          <t>وقاف ومساجد الرين .</t>
        </is>
      </c>
      <c r="B787" t="inlineStr">
        <is>
          <t>AEC2020830289918</t>
        </is>
      </c>
      <c r="C787" t="inlineStr">
        <is>
          <t>الرين</t>
        </is>
      </c>
      <c r="D787" t="inlineStr">
        <is>
          <t>مساءا</t>
        </is>
      </c>
      <c r="E787" t="n">
        <v>572</v>
      </c>
      <c r="F787" t="b">
        <v>0</v>
      </c>
      <c r="G787">
        <f>HYPERLINK("https://www.google.com/maps/search/?api=1&amp;query=23.620749,45.40663027", "View Map")</f>
        <v/>
      </c>
    </row>
    <row r="788">
      <c r="A788" t="inlineStr">
        <is>
          <t xml:space="preserve">   مسجد      العدوه    . .</t>
        </is>
      </c>
      <c r="B788" t="inlineStr">
        <is>
          <t>AES2120896610157</t>
        </is>
      </c>
      <c r="C788" t="inlineStr">
        <is>
          <t>الدوادمي</t>
        </is>
      </c>
      <c r="D788" t="inlineStr">
        <is>
          <t>مساءا</t>
        </is>
      </c>
      <c r="E788" t="n">
        <v>572</v>
      </c>
      <c r="F788" t="b">
        <v>0</v>
      </c>
      <c r="G788">
        <f>HYPERLINK("https://www.google.com/maps/search/?api=1&amp;query=24.20140775,43.84549765", "View Map")</f>
        <v/>
      </c>
    </row>
    <row r="789">
      <c r="A789" t="inlineStr">
        <is>
          <t xml:space="preserve">   اوقاف الحصاة/جامع دراويش الجديد .</t>
        </is>
      </c>
      <c r="B789" t="inlineStr">
        <is>
          <t>KFM2020766159936</t>
        </is>
      </c>
      <c r="C789" t="inlineStr">
        <is>
          <t>الرين</t>
        </is>
      </c>
      <c r="D789" t="inlineStr">
        <is>
          <t>مساءا</t>
        </is>
      </c>
      <c r="E789" t="n">
        <v>572</v>
      </c>
      <c r="F789" t="b">
        <v>0</v>
      </c>
      <c r="G789">
        <f>HYPERLINK("https://www.google.com/maps/search/?api=1&amp;query=22.6687062,44.73166938", "View Map")</f>
        <v/>
      </c>
    </row>
    <row r="790">
      <c r="A790" t="inlineStr">
        <is>
          <t xml:space="preserve">      جامع عليان .</t>
        </is>
      </c>
      <c r="B790" t="inlineStr">
        <is>
          <t>AES2120896609966</t>
        </is>
      </c>
      <c r="C790" t="inlineStr">
        <is>
          <t>القويعية</t>
        </is>
      </c>
      <c r="D790" t="inlineStr">
        <is>
          <t>مساءا</t>
        </is>
      </c>
      <c r="E790" t="n">
        <v>571</v>
      </c>
      <c r="F790" t="b">
        <v>0</v>
      </c>
      <c r="G790">
        <f>HYPERLINK("https://www.google.com/maps/search/?api=1&amp;query=23.761085,44.50477299", "View Map")</f>
        <v/>
      </c>
    </row>
    <row r="791">
      <c r="A791" t="inlineStr">
        <is>
          <t>ﻭﺯﺍﺭﺓﺍﻻﻭﻗﺎﻑ _ﺍﻭﻗﺎﻑ ﺍﻟﺠﻤﺵ .</t>
        </is>
      </c>
      <c r="B791" t="inlineStr">
        <is>
          <t>KFM2020766102018</t>
        </is>
      </c>
      <c r="C791" t="inlineStr">
        <is>
          <t>الدوادمي</t>
        </is>
      </c>
      <c r="D791" t="inlineStr">
        <is>
          <t>مساءا</t>
        </is>
      </c>
      <c r="E791" t="n">
        <v>570</v>
      </c>
      <c r="F791" t="b">
        <v>1</v>
      </c>
      <c r="G791">
        <f>HYPERLINK("https://www.google.com/maps/search/?api=1&amp;query=24.67280515,43.66033968", "View Map")</f>
        <v/>
      </c>
    </row>
    <row r="792">
      <c r="A792" t="inlineStr">
        <is>
          <t xml:space="preserve">    مسجد / مصده الجنوبي .</t>
        </is>
      </c>
      <c r="B792" t="inlineStr">
        <is>
          <t>SMR2020850106829</t>
        </is>
      </c>
      <c r="C792" t="inlineStr">
        <is>
          <t>الدوادمي</t>
        </is>
      </c>
      <c r="D792" t="inlineStr">
        <is>
          <t>كلا الفترتين</t>
        </is>
      </c>
      <c r="E792" t="n">
        <v>570</v>
      </c>
      <c r="F792" t="b">
        <v>0</v>
      </c>
      <c r="G792">
        <f>HYPERLINK("https://www.google.com/maps/search/?api=1&amp;query=24.52523711,44.28189732", "View Map")</f>
        <v/>
      </c>
    </row>
    <row r="793">
      <c r="A793" t="inlineStr">
        <is>
          <t xml:space="preserve">      مسجد الاخضر .</t>
        </is>
      </c>
      <c r="B793" t="inlineStr">
        <is>
          <t>KFM2020660229563</t>
        </is>
      </c>
      <c r="C793" t="inlineStr">
        <is>
          <t>القويعية</t>
        </is>
      </c>
      <c r="D793" t="inlineStr">
        <is>
          <t>صباحا</t>
        </is>
      </c>
      <c r="E793" t="n">
        <v>569</v>
      </c>
      <c r="F793" t="b">
        <v>0</v>
      </c>
      <c r="G793">
        <f>HYPERLINK("https://www.google.com/maps/search/?api=1&amp;query=24.21437039,45.10144483", "View Map")</f>
        <v/>
      </c>
    </row>
    <row r="794">
      <c r="A794" t="inlineStr">
        <is>
          <t xml:space="preserve">   اوقاف القويعيه مسجدام حزم .</t>
        </is>
      </c>
      <c r="B794" t="inlineStr">
        <is>
          <t>SMR2020856072298</t>
        </is>
      </c>
      <c r="C794" t="inlineStr">
        <is>
          <t>الرين</t>
        </is>
      </c>
      <c r="D794" t="inlineStr">
        <is>
          <t>مساءا</t>
        </is>
      </c>
      <c r="E794" t="n">
        <v>569</v>
      </c>
      <c r="F794" t="b">
        <v>0</v>
      </c>
      <c r="G794">
        <f>HYPERLINK("https://www.google.com/maps/search/?api=1&amp;query=23.7606316,45.66205152", "View Map")</f>
        <v/>
      </c>
    </row>
    <row r="795">
      <c r="A795" t="inlineStr">
        <is>
          <t>مسجد المحسن خلف بلدية الدوادمي .</t>
        </is>
      </c>
      <c r="B795" t="inlineStr">
        <is>
          <t>KFM2020660189751</t>
        </is>
      </c>
      <c r="C795" t="inlineStr">
        <is>
          <t>الدوادمي</t>
        </is>
      </c>
      <c r="D795" t="inlineStr">
        <is>
          <t>مساءا</t>
        </is>
      </c>
      <c r="E795" t="n">
        <v>568</v>
      </c>
      <c r="F795" t="b">
        <v>0</v>
      </c>
      <c r="G795">
        <f>HYPERLINK("https://www.google.com/maps/search/?api=1&amp;query=24.4977101,44.38097031", "View Map")</f>
        <v/>
      </c>
    </row>
    <row r="796">
      <c r="A796" t="inlineStr">
        <is>
          <t xml:space="preserve">   مسجد      محيميد    النخيش .</t>
        </is>
      </c>
      <c r="B796" t="inlineStr">
        <is>
          <t>KFM2120660238372</t>
        </is>
      </c>
      <c r="C796" t="inlineStr">
        <is>
          <t>الدوادمي</t>
        </is>
      </c>
      <c r="D796" t="inlineStr">
        <is>
          <t>مساءا</t>
        </is>
      </c>
      <c r="E796" t="n">
        <v>564</v>
      </c>
      <c r="F796" t="b">
        <v>1</v>
      </c>
      <c r="G796">
        <f>HYPERLINK("https://www.google.com/maps/search/?api=1&amp;query=24.2926481,43.75233461", "View Map")</f>
        <v/>
      </c>
    </row>
    <row r="797">
      <c r="A797" t="inlineStr">
        <is>
          <t>ﻭﺯﺍﺭﺓﺍﻻﻭﻗﺎﻑ _ﺍﻭﻗﺎﻑ ﺍﻟﺠﻤﺵ .</t>
        </is>
      </c>
      <c r="B797" t="inlineStr">
        <is>
          <t>KFM2020766077089</t>
        </is>
      </c>
      <c r="C797" t="inlineStr">
        <is>
          <t>الدوادمي</t>
        </is>
      </c>
      <c r="D797" t="inlineStr">
        <is>
          <t>مساءا</t>
        </is>
      </c>
      <c r="E797" t="n">
        <v>564</v>
      </c>
      <c r="F797" t="b">
        <v>0</v>
      </c>
      <c r="G797">
        <f>HYPERLINK("https://www.google.com/maps/search/?api=1&amp;query=24.54969595,43.62206058", "View Map")</f>
        <v/>
      </c>
    </row>
    <row r="798">
      <c r="A798" t="inlineStr">
        <is>
          <t xml:space="preserve">   مسجد/ محمد فالح القحطاني .</t>
        </is>
      </c>
      <c r="B798" t="inlineStr">
        <is>
          <t>AEC2020830566352</t>
        </is>
      </c>
      <c r="C798" t="inlineStr">
        <is>
          <t>المزاحمية</t>
        </is>
      </c>
      <c r="D798" t="inlineStr">
        <is>
          <t>مساءا</t>
        </is>
      </c>
      <c r="E798" t="n">
        <v>562</v>
      </c>
      <c r="F798" t="b">
        <v>0</v>
      </c>
      <c r="G798">
        <f>HYPERLINK("https://www.google.com/maps/search/?api=1&amp;query=24.16322961,46.22191463", "View Map")</f>
        <v/>
      </c>
    </row>
    <row r="799">
      <c r="A799" t="inlineStr">
        <is>
          <t xml:space="preserve">   مسجد  جامع  قرية  الذكره       0 .</t>
        </is>
      </c>
      <c r="B799" t="inlineStr">
        <is>
          <t>KFM2120660265064</t>
        </is>
      </c>
      <c r="C799" t="inlineStr">
        <is>
          <t>المهد</t>
        </is>
      </c>
      <c r="D799" t="inlineStr">
        <is>
          <t>مساءا</t>
        </is>
      </c>
      <c r="E799" t="n">
        <v>562</v>
      </c>
      <c r="F799" t="b">
        <v>0</v>
      </c>
      <c r="G799">
        <f>HYPERLINK("https://www.google.com/maps/search/?api=1&amp;query=24.30993577,42.09035105", "View Map")</f>
        <v/>
      </c>
    </row>
    <row r="800">
      <c r="A800" t="inlineStr">
        <is>
          <t xml:space="preserve">   مسجد عبدالله بن حمد .</t>
        </is>
      </c>
      <c r="B800" t="inlineStr">
        <is>
          <t>KFM2020660190690</t>
        </is>
      </c>
      <c r="C800" t="inlineStr">
        <is>
          <t>القويعية</t>
        </is>
      </c>
      <c r="D800" t="inlineStr">
        <is>
          <t>مساءا</t>
        </is>
      </c>
      <c r="E800" t="n">
        <v>559</v>
      </c>
      <c r="F800" t="b">
        <v>1</v>
      </c>
      <c r="G800">
        <f>HYPERLINK("https://www.google.com/maps/search/?api=1&amp;query=24.04849356,45.2583506", "View Map")</f>
        <v/>
      </c>
    </row>
    <row r="801">
      <c r="A801" t="inlineStr">
        <is>
          <t xml:space="preserve">    جــامـع الناصفه(اوقاف القويعيه) .</t>
        </is>
      </c>
      <c r="B801" t="inlineStr">
        <is>
          <t>KFM2020766163511</t>
        </is>
      </c>
      <c r="C801" t="inlineStr">
        <is>
          <t>الرين</t>
        </is>
      </c>
      <c r="D801" t="inlineStr">
        <is>
          <t>مساءا</t>
        </is>
      </c>
      <c r="E801" t="n">
        <v>557</v>
      </c>
      <c r="F801" t="b">
        <v>1</v>
      </c>
      <c r="G801">
        <f>HYPERLINK("https://www.google.com/maps/search/?api=1&amp;query=23.61764317,45.40762776", "View Map")</f>
        <v/>
      </c>
    </row>
    <row r="802">
      <c r="A802" t="inlineStr">
        <is>
          <t>أوقاف ومساجد القويعيه .</t>
        </is>
      </c>
      <c r="B802" t="inlineStr">
        <is>
          <t>AES2020896526911</t>
        </is>
      </c>
      <c r="C802" t="inlineStr">
        <is>
          <t>الرين</t>
        </is>
      </c>
      <c r="D802" t="inlineStr">
        <is>
          <t>صباحا</t>
        </is>
      </c>
      <c r="E802" t="n">
        <v>557</v>
      </c>
      <c r="F802" t="b">
        <v>0</v>
      </c>
      <c r="G802">
        <f>HYPERLINK("https://www.google.com/maps/search/?api=1&amp;query=22.57396852,45.02457714", "View Map")</f>
        <v/>
      </c>
    </row>
    <row r="803">
      <c r="A803" t="inlineStr">
        <is>
          <t xml:space="preserve">   مسجد/     هجرة      ///////// .</t>
        </is>
      </c>
      <c r="B803" t="inlineStr">
        <is>
          <t>ECC2020811107689</t>
        </is>
      </c>
      <c r="C803" t="inlineStr">
        <is>
          <t>الدوادمي</t>
        </is>
      </c>
      <c r="D803" t="inlineStr">
        <is>
          <t>مساءا</t>
        </is>
      </c>
      <c r="E803" t="n">
        <v>555</v>
      </c>
      <c r="F803" t="b">
        <v>0</v>
      </c>
      <c r="G803">
        <f>HYPERLINK("https://www.google.com/maps/search/?api=1&amp;query=25.13072014,43.65808396", "View Map")</f>
        <v/>
      </c>
    </row>
    <row r="804">
      <c r="A804" t="inlineStr">
        <is>
          <t>ﻭﺯﺍﺭﺓﺍﻻﻭﻗﺎﻑ ـ ﺍﻭﻗﺎﻑ ﺍﻟﺩﻭﺍﺩﻤﻲ .</t>
        </is>
      </c>
      <c r="B804" t="inlineStr">
        <is>
          <t>KFM2020760145863</t>
        </is>
      </c>
      <c r="C804" t="inlineStr">
        <is>
          <t>الدوادمي</t>
        </is>
      </c>
      <c r="D804" t="inlineStr">
        <is>
          <t>مساءا</t>
        </is>
      </c>
      <c r="E804" t="n">
        <v>555</v>
      </c>
      <c r="F804" t="b">
        <v>1</v>
      </c>
      <c r="G804">
        <f>HYPERLINK("https://www.google.com/maps/search/?api=1&amp;query=24.52465644,45.03134405", "View Map")</f>
        <v/>
      </c>
    </row>
    <row r="805">
      <c r="A805" t="inlineStr">
        <is>
          <t xml:space="preserve">   اوقاف القويعيه .</t>
        </is>
      </c>
      <c r="B805" t="inlineStr">
        <is>
          <t>KFM2020660229508</t>
        </is>
      </c>
      <c r="C805" t="inlineStr">
        <is>
          <t>القويعية</t>
        </is>
      </c>
      <c r="D805" t="inlineStr">
        <is>
          <t>مساءا</t>
        </is>
      </c>
      <c r="E805" t="n">
        <v>555</v>
      </c>
      <c r="F805" t="b">
        <v>0</v>
      </c>
      <c r="G805">
        <f>HYPERLINK("https://www.google.com/maps/search/?api=1&amp;query=24.08168544,45.29155644", "View Map")</f>
        <v/>
      </c>
    </row>
    <row r="806">
      <c r="A806" t="inlineStr">
        <is>
          <t>ﺍﻭﻗﺎﻑ ﻭﻤﺴﺎﺠﺩ ﺍﻟﺭﻴﻥ .</t>
        </is>
      </c>
      <c r="B806" t="inlineStr">
        <is>
          <t>ECC2020820008600</t>
        </is>
      </c>
      <c r="C806" t="inlineStr">
        <is>
          <t>المزاحمية</t>
        </is>
      </c>
      <c r="D806" t="inlineStr">
        <is>
          <t>مساءا</t>
        </is>
      </c>
      <c r="E806" t="n">
        <v>550</v>
      </c>
      <c r="F806" t="b">
        <v>0</v>
      </c>
      <c r="G806">
        <f>HYPERLINK("https://www.google.com/maps/search/?api=1&amp;query=24.45073409,46.30022976", "View Map")</f>
        <v/>
      </c>
    </row>
    <row r="807">
      <c r="A807" t="inlineStr">
        <is>
          <t xml:space="preserve">   مسجد عبدالرحمن حسن النفيسة .</t>
        </is>
      </c>
      <c r="B807" t="inlineStr">
        <is>
          <t>KFM2020660191446</t>
        </is>
      </c>
      <c r="C807" t="inlineStr">
        <is>
          <t>ضرما</t>
        </is>
      </c>
      <c r="D807" t="inlineStr">
        <is>
          <t>صباحا</t>
        </is>
      </c>
      <c r="E807" t="n">
        <v>547</v>
      </c>
      <c r="F807" t="b">
        <v>0</v>
      </c>
      <c r="G807">
        <f>HYPERLINK("https://www.google.com/maps/search/?api=1&amp;query=24.68171638,46.00471098", "View Map")</f>
        <v/>
      </c>
    </row>
    <row r="808">
      <c r="A808" t="inlineStr">
        <is>
          <t xml:space="preserve">   جامع      ام طلحه   صماخ .</t>
        </is>
      </c>
      <c r="B808" t="inlineStr">
        <is>
          <t>KFM2020766154997</t>
        </is>
      </c>
      <c r="C808" t="inlineStr">
        <is>
          <t>الرين</t>
        </is>
      </c>
      <c r="D808" t="inlineStr">
        <is>
          <t>مساءا</t>
        </is>
      </c>
      <c r="E808" t="n">
        <v>545</v>
      </c>
      <c r="F808" t="b">
        <v>0</v>
      </c>
      <c r="G808">
        <f>HYPERLINK("https://www.google.com/maps/search/?api=1&amp;query=22.92876782,45.45121733", "View Map")</f>
        <v/>
      </c>
    </row>
    <row r="809">
      <c r="A809" t="inlineStr">
        <is>
          <t xml:space="preserve">   مسجد      الخريجي   بعروى .</t>
        </is>
      </c>
      <c r="B809" t="inlineStr">
        <is>
          <t>KFM2120660238396</t>
        </is>
      </c>
      <c r="C809" t="inlineStr">
        <is>
          <t>الدوادمي</t>
        </is>
      </c>
      <c r="D809" t="inlineStr">
        <is>
          <t>صباحا</t>
        </is>
      </c>
      <c r="E809" t="n">
        <v>545</v>
      </c>
      <c r="F809" t="b">
        <v>0</v>
      </c>
      <c r="G809">
        <f>HYPERLINK("https://www.google.com/maps/search/?api=1&amp;query=23.90865358,44.63741883", "View Map")</f>
        <v/>
      </c>
    </row>
    <row r="810">
      <c r="A810" t="inlineStr">
        <is>
          <t xml:space="preserve">   مسجد      شراره     ا .</t>
        </is>
      </c>
      <c r="B810" t="inlineStr">
        <is>
          <t>KFM2020766086174</t>
        </is>
      </c>
      <c r="C810" t="inlineStr">
        <is>
          <t>الدوادمي</t>
        </is>
      </c>
      <c r="D810" t="inlineStr">
        <is>
          <t>كلا الفترتين</t>
        </is>
      </c>
      <c r="E810" t="n">
        <v>543</v>
      </c>
      <c r="F810" t="b">
        <v>0</v>
      </c>
      <c r="G810">
        <f>HYPERLINK("https://www.google.com/maps/search/?api=1&amp;query=24.25659228,43.74397213", "View Map")</f>
        <v/>
      </c>
    </row>
    <row r="811">
      <c r="A811" t="inlineStr">
        <is>
          <t xml:space="preserve">   مسجد/     الفاخريه .</t>
        </is>
      </c>
      <c r="B811" t="inlineStr">
        <is>
          <t>KFM2120660252065</t>
        </is>
      </c>
      <c r="C811" t="inlineStr">
        <is>
          <t>الدوادمي</t>
        </is>
      </c>
      <c r="D811" t="inlineStr">
        <is>
          <t>صباحا</t>
        </is>
      </c>
      <c r="E811" t="n">
        <v>543</v>
      </c>
      <c r="F811" t="b">
        <v>0</v>
      </c>
      <c r="G811">
        <f>HYPERLINK("https://www.google.com/maps/search/?api=1&amp;query=25.09031,43.52543889", "View Map")</f>
        <v/>
      </c>
    </row>
    <row r="812">
      <c r="A812" t="inlineStr">
        <is>
          <t>ﺍﻭﻗﺎﻑ ﻭﻤﺴﺎﺠﺩ ﺍﻟﺭﻴﻥ .</t>
        </is>
      </c>
      <c r="B812" t="inlineStr">
        <is>
          <t>LYE2020830080064</t>
        </is>
      </c>
      <c r="C812" t="inlineStr">
        <is>
          <t>القويعية</t>
        </is>
      </c>
      <c r="D812" t="inlineStr">
        <is>
          <t>صباحا</t>
        </is>
      </c>
      <c r="E812" t="n">
        <v>543</v>
      </c>
      <c r="F812" t="b">
        <v>0</v>
      </c>
      <c r="G812">
        <f>HYPERLINK("https://www.google.com/maps/search/?api=1&amp;query=24.08258881,45.3255726", "View Map")</f>
        <v/>
      </c>
    </row>
    <row r="813">
      <c r="A813" t="inlineStr">
        <is>
          <t xml:space="preserve">      مسجد/عبدالله الطخيس .</t>
        </is>
      </c>
      <c r="B813" t="inlineStr">
        <is>
          <t>SMR2020850119667</t>
        </is>
      </c>
      <c r="C813" t="inlineStr">
        <is>
          <t>الدوادمي</t>
        </is>
      </c>
      <c r="D813" t="inlineStr">
        <is>
          <t>كلا الفترتين</t>
        </is>
      </c>
      <c r="E813" t="n">
        <v>542</v>
      </c>
      <c r="F813" t="b">
        <v>0</v>
      </c>
      <c r="G813">
        <f>HYPERLINK("https://www.google.com/maps/search/?api=1&amp;query=24.47208822,44.34718941", "View Map")</f>
        <v/>
      </c>
    </row>
    <row r="814">
      <c r="A814" t="inlineStr">
        <is>
          <t xml:space="preserve">   مسجد بن العمى  في سنام .</t>
        </is>
      </c>
      <c r="B814" t="inlineStr">
        <is>
          <t>KFM2120660241386</t>
        </is>
      </c>
      <c r="C814" t="inlineStr">
        <is>
          <t>القويعية</t>
        </is>
      </c>
      <c r="D814" t="inlineStr">
        <is>
          <t>مساءا</t>
        </is>
      </c>
      <c r="E814" t="n">
        <v>542</v>
      </c>
      <c r="F814" t="b">
        <v>0</v>
      </c>
      <c r="G814">
        <f>HYPERLINK("https://www.google.com/maps/search/?api=1&amp;query=23.65360023,44.7417381", "View Map")</f>
        <v/>
      </c>
    </row>
    <row r="815">
      <c r="A815" t="inlineStr">
        <is>
          <t xml:space="preserve">   اوقاف المزاحميه .</t>
        </is>
      </c>
      <c r="B815" t="inlineStr">
        <is>
          <t>KFM2020760153423</t>
        </is>
      </c>
      <c r="C815" t="inlineStr">
        <is>
          <t>القويعية</t>
        </is>
      </c>
      <c r="D815" t="inlineStr">
        <is>
          <t>صباحا</t>
        </is>
      </c>
      <c r="E815" t="n">
        <v>540</v>
      </c>
      <c r="F815" t="b">
        <v>0</v>
      </c>
      <c r="G815">
        <f>HYPERLINK("https://www.google.com/maps/search/?api=1&amp;query=24.33303742,45.81854412", "View Map")</f>
        <v/>
      </c>
    </row>
    <row r="816">
      <c r="A816" t="inlineStr">
        <is>
          <t>جامع قرية فيضة عفيف .</t>
        </is>
      </c>
      <c r="B816" t="inlineStr">
        <is>
          <t>SMR2320661022526</t>
        </is>
      </c>
      <c r="C816" t="inlineStr">
        <is>
          <t>عفيف</t>
        </is>
      </c>
      <c r="D816" t="inlineStr">
        <is>
          <t>مساءا</t>
        </is>
      </c>
      <c r="E816" t="n">
        <v>540</v>
      </c>
      <c r="F816" t="b">
        <v>0</v>
      </c>
      <c r="G816">
        <f>HYPERLINK("https://www.google.com/maps/search/?api=1&amp;query=23.90021174,42.85317638", "View Map")</f>
        <v/>
      </c>
    </row>
    <row r="817">
      <c r="A817" t="inlineStr">
        <is>
          <t xml:space="preserve">   جامع      الغطغط    حصه السديري .</t>
        </is>
      </c>
      <c r="B817" t="inlineStr">
        <is>
          <t>KFM2020660225500</t>
        </is>
      </c>
      <c r="C817" t="inlineStr">
        <is>
          <t>المزاحمية</t>
        </is>
      </c>
      <c r="D817" t="inlineStr">
        <is>
          <t>مساءا</t>
        </is>
      </c>
      <c r="E817" t="n">
        <v>540</v>
      </c>
      <c r="F817" t="b">
        <v>0</v>
      </c>
      <c r="G817">
        <f>HYPERLINK("https://www.google.com/maps/search/?api=1&amp;query=24.47564708,46.25107348", "View Map")</f>
        <v/>
      </c>
    </row>
    <row r="818">
      <c r="A818" t="inlineStr">
        <is>
          <t xml:space="preserve">   اوقاف الحصاةجامع ام اثله .</t>
        </is>
      </c>
      <c r="B818" t="inlineStr">
        <is>
          <t>AES2020896452167</t>
        </is>
      </c>
      <c r="C818" t="inlineStr">
        <is>
          <t>الرين</t>
        </is>
      </c>
      <c r="D818" t="inlineStr">
        <is>
          <t>مساءا</t>
        </is>
      </c>
      <c r="E818" t="n">
        <v>536</v>
      </c>
      <c r="F818" t="b">
        <v>0</v>
      </c>
      <c r="G818">
        <f>HYPERLINK("https://www.google.com/maps/search/?api=1&amp;query=22.76857842,45.27250317", "View Map")</f>
        <v/>
      </c>
    </row>
    <row r="819">
      <c r="A819" t="inlineStr">
        <is>
          <t xml:space="preserve">    مـسـجـد العزيزيه(اوقاف القويعيه) .</t>
        </is>
      </c>
      <c r="B819" t="inlineStr">
        <is>
          <t>AES2020896346946</t>
        </is>
      </c>
      <c r="C819" t="inlineStr">
        <is>
          <t>الرين</t>
        </is>
      </c>
      <c r="D819" t="inlineStr">
        <is>
          <t>مساءا</t>
        </is>
      </c>
      <c r="E819" t="n">
        <v>535</v>
      </c>
      <c r="F819" t="b">
        <v>0</v>
      </c>
      <c r="G819">
        <f>HYPERLINK("https://www.google.com/maps/search/?api=1&amp;query=23.59269361,45.43421135", "View Map")</f>
        <v/>
      </c>
    </row>
    <row r="820">
      <c r="A820" t="inlineStr">
        <is>
          <t xml:space="preserve">   مسجد/روضة جهام الجامع .</t>
        </is>
      </c>
      <c r="B820" t="inlineStr">
        <is>
          <t>KFM2020766086275</t>
        </is>
      </c>
      <c r="C820" t="inlineStr">
        <is>
          <t>الدوادمي</t>
        </is>
      </c>
      <c r="D820" t="inlineStr">
        <is>
          <t>مساءا</t>
        </is>
      </c>
      <c r="E820" t="n">
        <v>535</v>
      </c>
      <c r="F820" t="b">
        <v>0</v>
      </c>
      <c r="G820">
        <f>HYPERLINK("https://www.google.com/maps/search/?api=1&amp;query=24.56983232,43.74511661", "View Map")</f>
        <v/>
      </c>
    </row>
    <row r="821">
      <c r="A821" t="inlineStr">
        <is>
          <t xml:space="preserve">   مسجد      الظاهرية  //////////// .</t>
        </is>
      </c>
      <c r="B821" t="inlineStr">
        <is>
          <t>SMR2320761033523</t>
        </is>
      </c>
      <c r="C821" t="inlineStr">
        <is>
          <t>الدوادمي</t>
        </is>
      </c>
      <c r="D821" t="inlineStr">
        <is>
          <t>مساءا</t>
        </is>
      </c>
      <c r="E821" t="n">
        <v>534</v>
      </c>
      <c r="F821" t="b">
        <v>0</v>
      </c>
      <c r="G821">
        <f>HYPERLINK("https://www.google.com/maps/search/?api=1&amp;query=24.50362486,43.60630685", "View Map")</f>
        <v/>
      </c>
    </row>
    <row r="822">
      <c r="A822" t="inlineStr">
        <is>
          <t>ﻭﺯﺍﺭﺓﺍﻷﻭﻗﺎﻑ _ ﺍﻭﻗﺎﻑ ﺍﻟﺭﻭﻴﻀﻩ .</t>
        </is>
      </c>
      <c r="B822" t="inlineStr">
        <is>
          <t>KFM2020760202539</t>
        </is>
      </c>
      <c r="C822" t="inlineStr">
        <is>
          <t>القويعية</t>
        </is>
      </c>
      <c r="D822" t="inlineStr">
        <is>
          <t>مساءا</t>
        </is>
      </c>
      <c r="E822" t="n">
        <v>534</v>
      </c>
      <c r="F822" t="b">
        <v>0</v>
      </c>
      <c r="G822">
        <f>HYPERLINK("https://www.google.com/maps/search/?api=1&amp;query=23.25990736,44.64970997", "View Map")</f>
        <v/>
      </c>
    </row>
    <row r="823">
      <c r="A823" t="inlineStr">
        <is>
          <t xml:space="preserve">    مسجد/ نايف سلطان .</t>
        </is>
      </c>
      <c r="B823" t="inlineStr">
        <is>
          <t>AES2020896450478</t>
        </is>
      </c>
      <c r="C823" t="inlineStr">
        <is>
          <t>الدوادمي</t>
        </is>
      </c>
      <c r="D823" t="inlineStr">
        <is>
          <t>مساءا</t>
        </is>
      </c>
      <c r="E823" t="n">
        <v>533</v>
      </c>
      <c r="F823" t="b">
        <v>0</v>
      </c>
      <c r="G823">
        <f>HYPERLINK("https://www.google.com/maps/search/?api=1&amp;query=24.53529618,43.29960306", "View Map")</f>
        <v/>
      </c>
    </row>
    <row r="824">
      <c r="A824" t="inlineStr">
        <is>
          <t xml:space="preserve">      مسجد جاره .</t>
        </is>
      </c>
      <c r="B824" t="inlineStr">
        <is>
          <t>KFM2020766152390</t>
        </is>
      </c>
      <c r="C824" t="inlineStr">
        <is>
          <t>القويعية</t>
        </is>
      </c>
      <c r="D824" t="inlineStr">
        <is>
          <t>مساءا</t>
        </is>
      </c>
      <c r="E824" t="n">
        <v>532</v>
      </c>
      <c r="F824" t="b">
        <v>0</v>
      </c>
      <c r="G824">
        <f>HYPERLINK("https://www.google.com/maps/search/?api=1&amp;query=23.98776049,45.18537162", "View Map")</f>
        <v/>
      </c>
    </row>
    <row r="825">
      <c r="A825" t="inlineStr">
        <is>
          <t>ﻭﺯﺍﺭﺓﺍﻻﻭﻗﺎﻑ _ ﺍﻭﻗﺎﻑ ﺍﻟﺒﺠﺎﺩﻴﻩ .</t>
        </is>
      </c>
      <c r="B825" t="inlineStr">
        <is>
          <t>AES2120896592615</t>
        </is>
      </c>
      <c r="C825" t="inlineStr">
        <is>
          <t>الدوادمي</t>
        </is>
      </c>
      <c r="D825" t="inlineStr">
        <is>
          <t>مساءا</t>
        </is>
      </c>
      <c r="E825" t="n">
        <v>531</v>
      </c>
      <c r="F825" t="b">
        <v>0</v>
      </c>
      <c r="G825">
        <f>HYPERLINK("https://www.google.com/maps/search/?api=1&amp;query=24.28399902,43.7268151", "View Map")</f>
        <v/>
      </c>
    </row>
    <row r="826">
      <c r="A826" t="inlineStr">
        <is>
          <t xml:space="preserve">   جامع هجرة النيصية .</t>
        </is>
      </c>
      <c r="B826" t="inlineStr">
        <is>
          <t>AES2020896440722</t>
        </is>
      </c>
      <c r="C826" t="inlineStr">
        <is>
          <t>عفيف</t>
        </is>
      </c>
      <c r="D826" t="inlineStr">
        <is>
          <t>مساءا</t>
        </is>
      </c>
      <c r="E826" t="n">
        <v>531</v>
      </c>
      <c r="F826" t="b">
        <v>0</v>
      </c>
      <c r="G826">
        <f>HYPERLINK("https://www.google.com/maps/search/?api=1&amp;query=24.28148313,43.12882459", "View Map")</f>
        <v/>
      </c>
    </row>
    <row r="827">
      <c r="A827" t="inlineStr">
        <is>
          <t>ﺍﻭﻗﺎﻑ ﻭﻤﺴﺎﺠﺩ ﺍﻟﺭﻴﻥ .</t>
        </is>
      </c>
      <c r="B827" t="inlineStr">
        <is>
          <t>KFM2020766163484</t>
        </is>
      </c>
      <c r="C827" t="inlineStr">
        <is>
          <t>الرين</t>
        </is>
      </c>
      <c r="D827" t="inlineStr">
        <is>
          <t>صباحا</t>
        </is>
      </c>
      <c r="E827" t="n">
        <v>529</v>
      </c>
      <c r="F827" t="b">
        <v>0</v>
      </c>
      <c r="G827">
        <f>HYPERLINK("https://www.google.com/maps/search/?api=1&amp;query=23.53535133,45.51626102", "View Map")</f>
        <v/>
      </c>
    </row>
    <row r="828">
      <c r="A828" t="inlineStr">
        <is>
          <t xml:space="preserve">   جامع      الشواة .</t>
        </is>
      </c>
      <c r="B828" t="inlineStr">
        <is>
          <t>KFM2020760227481</t>
        </is>
      </c>
      <c r="C828" t="inlineStr">
        <is>
          <t>القويعية</t>
        </is>
      </c>
      <c r="D828" t="inlineStr">
        <is>
          <t>مساءا</t>
        </is>
      </c>
      <c r="E828" t="n">
        <v>527</v>
      </c>
      <c r="F828" t="b">
        <v>1</v>
      </c>
      <c r="G828">
        <f>HYPERLINK("https://www.google.com/maps/search/?api=1&amp;query=23.74358378,44.40237344", "View Map")</f>
        <v/>
      </c>
    </row>
    <row r="829">
      <c r="A829" t="inlineStr">
        <is>
          <t>مسجد نهضةالحلاج .</t>
        </is>
      </c>
      <c r="B829" t="inlineStr">
        <is>
          <t>AES2120896602536</t>
        </is>
      </c>
      <c r="C829" t="inlineStr">
        <is>
          <t>الدوادمي</t>
        </is>
      </c>
      <c r="D829" t="inlineStr">
        <is>
          <t>مساءا</t>
        </is>
      </c>
      <c r="E829" t="n">
        <v>524</v>
      </c>
      <c r="F829" t="b">
        <v>0</v>
      </c>
      <c r="G829">
        <f>HYPERLINK("https://www.google.com/maps/search/?api=1&amp;query=25.06482884,43.90129065", "View Map")</f>
        <v/>
      </c>
    </row>
    <row r="830">
      <c r="A830" t="inlineStr">
        <is>
          <t xml:space="preserve">   مسجد/ سعد محمد الزامل .</t>
        </is>
      </c>
      <c r="B830" t="inlineStr">
        <is>
          <t>KFM2020660229500</t>
        </is>
      </c>
      <c r="C830" t="inlineStr">
        <is>
          <t>المزاحمية</t>
        </is>
      </c>
      <c r="D830" t="inlineStr">
        <is>
          <t>صباحا</t>
        </is>
      </c>
      <c r="E830" t="n">
        <v>522</v>
      </c>
      <c r="F830" t="b">
        <v>0</v>
      </c>
      <c r="G830">
        <f>HYPERLINK("https://www.google.com/maps/search/?api=1&amp;query=24.44211885,46.26818143", "View Map")</f>
        <v/>
      </c>
    </row>
    <row r="831">
      <c r="A831" t="inlineStr">
        <is>
          <t xml:space="preserve">      مـسـجـد /مطلق بن ذعار .</t>
        </is>
      </c>
      <c r="B831" t="inlineStr">
        <is>
          <t>KFM2020766148284</t>
        </is>
      </c>
      <c r="C831" t="inlineStr">
        <is>
          <t>ضرما</t>
        </is>
      </c>
      <c r="D831" t="inlineStr">
        <is>
          <t>مساءا</t>
        </is>
      </c>
      <c r="E831" t="n">
        <v>522</v>
      </c>
      <c r="F831" t="b">
        <v>0</v>
      </c>
      <c r="G831">
        <f>HYPERLINK("https://www.google.com/maps/search/?api=1&amp;query=24.48536113,46.16329956", "View Map")</f>
        <v/>
      </c>
    </row>
    <row r="832">
      <c r="A832" t="inlineStr">
        <is>
          <t>أوقاف ومساجد القويعيه .</t>
        </is>
      </c>
      <c r="B832" t="inlineStr">
        <is>
          <t>AEC2020830327919</t>
        </is>
      </c>
      <c r="C832" t="inlineStr">
        <is>
          <t>الرين</t>
        </is>
      </c>
      <c r="D832" t="inlineStr">
        <is>
          <t>مساءا</t>
        </is>
      </c>
      <c r="E832" t="n">
        <v>521</v>
      </c>
      <c r="F832" t="b">
        <v>0</v>
      </c>
      <c r="G832">
        <f>HYPERLINK("https://www.google.com/maps/search/?api=1&amp;query=22.79358294,45.16866691", "View Map")</f>
        <v/>
      </c>
    </row>
    <row r="833">
      <c r="A833" t="inlineStr">
        <is>
          <t xml:space="preserve">   مسجد      هجره      بالجدعاء .</t>
        </is>
      </c>
      <c r="B833" t="inlineStr">
        <is>
          <t>AES2120896609162</t>
        </is>
      </c>
      <c r="C833" t="inlineStr">
        <is>
          <t>القويعية</t>
        </is>
      </c>
      <c r="D833" t="inlineStr">
        <is>
          <t>مساءا</t>
        </is>
      </c>
      <c r="E833" t="n">
        <v>519</v>
      </c>
      <c r="F833" t="b">
        <v>0</v>
      </c>
      <c r="G833">
        <f>HYPERLINK("https://www.google.com/maps/search/?api=1&amp;query=23.19184429,44.72036127", "View Map")</f>
        <v/>
      </c>
    </row>
    <row r="834">
      <c r="A834" t="inlineStr">
        <is>
          <t xml:space="preserve">   اوقاف مسجدعمربن خطاب .</t>
        </is>
      </c>
      <c r="B834" t="inlineStr">
        <is>
          <t>KFM2020766167702</t>
        </is>
      </c>
      <c r="C834" t="inlineStr">
        <is>
          <t>القويعية</t>
        </is>
      </c>
      <c r="D834" t="inlineStr">
        <is>
          <t>صباحا</t>
        </is>
      </c>
      <c r="E834" t="n">
        <v>518</v>
      </c>
      <c r="F834" t="b">
        <v>1</v>
      </c>
      <c r="G834">
        <f>HYPERLINK("https://www.google.com/maps/search/?api=1&amp;query=23.99056126,45.15889324", "View Map")</f>
        <v/>
      </c>
    </row>
    <row r="835">
      <c r="A835" t="inlineStr">
        <is>
          <t xml:space="preserve">   مسجدالخزاميه .</t>
        </is>
      </c>
      <c r="B835" t="inlineStr">
        <is>
          <t>AES2120896594506</t>
        </is>
      </c>
      <c r="C835" t="inlineStr">
        <is>
          <t>الدوادمي</t>
        </is>
      </c>
      <c r="D835" t="inlineStr">
        <is>
          <t>كلا الفترتين</t>
        </is>
      </c>
      <c r="E835" t="n">
        <v>518</v>
      </c>
      <c r="F835" t="b">
        <v>0</v>
      </c>
      <c r="G835">
        <f>HYPERLINK("https://www.google.com/maps/search/?api=1&amp;query=25.27543177,44.18779181", "View Map")</f>
        <v/>
      </c>
    </row>
    <row r="836">
      <c r="A836" t="inlineStr">
        <is>
          <t>وقاف ومساجد الرين .</t>
        </is>
      </c>
      <c r="B836" t="inlineStr">
        <is>
          <t>AES2020896446537</t>
        </is>
      </c>
      <c r="C836" t="inlineStr">
        <is>
          <t>الرين</t>
        </is>
      </c>
      <c r="D836" t="inlineStr">
        <is>
          <t>مساءا</t>
        </is>
      </c>
      <c r="E836" t="n">
        <v>517</v>
      </c>
      <c r="F836" t="b">
        <v>0</v>
      </c>
      <c r="G836">
        <f>HYPERLINK("https://www.google.com/maps/search/?api=1&amp;query=23.80520178,45.28348957", "View Map")</f>
        <v/>
      </c>
    </row>
    <row r="837">
      <c r="A837" t="inlineStr">
        <is>
          <t xml:space="preserve">   مسجد      مطربة     ------------ .</t>
        </is>
      </c>
      <c r="B837" t="inlineStr">
        <is>
          <t>AES2020896470772</t>
        </is>
      </c>
      <c r="C837" t="inlineStr">
        <is>
          <t>الدوادمي</t>
        </is>
      </c>
      <c r="D837" t="inlineStr">
        <is>
          <t>صباحا</t>
        </is>
      </c>
      <c r="E837" t="n">
        <v>517</v>
      </c>
      <c r="F837" t="b">
        <v>0</v>
      </c>
      <c r="G837">
        <f>HYPERLINK("https://www.google.com/maps/search/?api=1&amp;query=24.6665016,43.7096997", "View Map")</f>
        <v/>
      </c>
    </row>
    <row r="838">
      <c r="A838" t="inlineStr">
        <is>
          <t xml:space="preserve">    مسجد مقعد نويشي مخطط 865 رقم281 .</t>
        </is>
      </c>
      <c r="B838" t="inlineStr">
        <is>
          <t>KFM2020660231821</t>
        </is>
      </c>
      <c r="C838" t="inlineStr">
        <is>
          <t>عفيف</t>
        </is>
      </c>
      <c r="D838" t="inlineStr">
        <is>
          <t>مساءا</t>
        </is>
      </c>
      <c r="E838" t="n">
        <v>516</v>
      </c>
      <c r="F838" t="b">
        <v>0</v>
      </c>
      <c r="G838">
        <f>HYPERLINK("https://www.google.com/maps/search/?api=1&amp;query=23.92308943,42.90868594", "View Map")</f>
        <v/>
      </c>
    </row>
    <row r="839">
      <c r="A839" t="inlineStr">
        <is>
          <t xml:space="preserve">   اوقاف المزاحميه/  مسجد الرفيعه .</t>
        </is>
      </c>
      <c r="B839" t="inlineStr">
        <is>
          <t>AES2020896523851</t>
        </is>
      </c>
      <c r="C839" t="inlineStr">
        <is>
          <t>القويعية</t>
        </is>
      </c>
      <c r="D839" t="inlineStr">
        <is>
          <t>مساءا</t>
        </is>
      </c>
      <c r="E839" t="n">
        <v>515</v>
      </c>
      <c r="F839" t="b">
        <v>0</v>
      </c>
      <c r="G839">
        <f>HYPERLINK("https://www.google.com/maps/search/?api=1&amp;query=24.47032893,45.69454849", "View Map")</f>
        <v/>
      </c>
    </row>
    <row r="840">
      <c r="A840" t="inlineStr">
        <is>
          <t xml:space="preserve">   جامع      لجعه      بلجعه .</t>
        </is>
      </c>
      <c r="B840" t="inlineStr">
        <is>
          <t>KFM2020660173266</t>
        </is>
      </c>
      <c r="C840" t="inlineStr">
        <is>
          <t>القويعية</t>
        </is>
      </c>
      <c r="D840" t="inlineStr">
        <is>
          <t>مساءا</t>
        </is>
      </c>
      <c r="E840" t="n">
        <v>514</v>
      </c>
      <c r="F840" t="b">
        <v>0</v>
      </c>
      <c r="G840">
        <f>HYPERLINK("https://www.google.com/maps/search/?api=1&amp;query=23.68218636,44.88669807", "View Map")</f>
        <v/>
      </c>
    </row>
    <row r="841">
      <c r="A841" t="inlineStr">
        <is>
          <t>وقاف ومساجد الرين .</t>
        </is>
      </c>
      <c r="B841" t="inlineStr">
        <is>
          <t>KFM2020660150062</t>
        </is>
      </c>
      <c r="C841" t="inlineStr">
        <is>
          <t>الرين</t>
        </is>
      </c>
      <c r="D841" t="inlineStr">
        <is>
          <t>صباحا</t>
        </is>
      </c>
      <c r="E841" t="n">
        <v>513</v>
      </c>
      <c r="F841" t="b">
        <v>0</v>
      </c>
      <c r="G841">
        <f>HYPERLINK("https://www.google.com/maps/search/?api=1&amp;query=23.54366195,45.50526378", "View Map")</f>
        <v/>
      </c>
    </row>
    <row r="842">
      <c r="A842" t="inlineStr">
        <is>
          <t xml:space="preserve">   مسجد جامع الامير/سلطان بالبجاديه .</t>
        </is>
      </c>
      <c r="B842" t="inlineStr">
        <is>
          <t>KFM2020660208960</t>
        </is>
      </c>
      <c r="C842" t="inlineStr">
        <is>
          <t>الدوادمي</t>
        </is>
      </c>
      <c r="D842" t="inlineStr">
        <is>
          <t>مساءا</t>
        </is>
      </c>
      <c r="E842" t="n">
        <v>512</v>
      </c>
      <c r="F842" t="b">
        <v>0</v>
      </c>
      <c r="G842">
        <f>HYPERLINK("https://www.google.com/maps/search/?api=1&amp;query=24.29648426,43.74034792", "View Map")</f>
        <v/>
      </c>
    </row>
    <row r="843">
      <c r="A843" t="inlineStr">
        <is>
          <t xml:space="preserve">   أوقاف القويعيه/مسجد حي الرفاع .</t>
        </is>
      </c>
      <c r="B843" t="inlineStr">
        <is>
          <t>AEC2020830230759</t>
        </is>
      </c>
      <c r="C843" t="inlineStr">
        <is>
          <t>القويعية</t>
        </is>
      </c>
      <c r="D843" t="inlineStr">
        <is>
          <t>مساءا</t>
        </is>
      </c>
      <c r="E843" t="n">
        <v>510</v>
      </c>
      <c r="F843" t="b">
        <v>0</v>
      </c>
      <c r="G843">
        <f>HYPERLINK("https://www.google.com/maps/search/?api=1&amp;query=23.77203431,45.08441392", "View Map")</f>
        <v/>
      </c>
    </row>
    <row r="844">
      <c r="A844" t="inlineStr">
        <is>
          <t xml:space="preserve">   مسجد/ناصر عبدالله   الغازي .</t>
        </is>
      </c>
      <c r="B844" t="inlineStr">
        <is>
          <t>KFM2020660177221</t>
        </is>
      </c>
      <c r="C844" t="inlineStr">
        <is>
          <t>المزاحمية</t>
        </is>
      </c>
      <c r="D844" t="inlineStr">
        <is>
          <t>مساءا</t>
        </is>
      </c>
      <c r="E844" t="n">
        <v>509</v>
      </c>
      <c r="F844" t="b">
        <v>0</v>
      </c>
      <c r="G844">
        <f>HYPERLINK("https://www.google.com/maps/search/?api=1&amp;query=24.47258463,46.27360047", "View Map")</f>
        <v/>
      </c>
    </row>
    <row r="845">
      <c r="A845" t="inlineStr">
        <is>
          <t>ﺃﻭﻗﺎﻑ ﻭﻤﺴﺎﺠﺩ ﺍﻟﻗﻭﻴﻌﻴﻩ .</t>
        </is>
      </c>
      <c r="B845" t="inlineStr">
        <is>
          <t>AES2020896531486</t>
        </is>
      </c>
      <c r="C845" t="inlineStr">
        <is>
          <t>القويعية</t>
        </is>
      </c>
      <c r="D845" t="inlineStr">
        <is>
          <t>مساءا</t>
        </is>
      </c>
      <c r="E845" t="n">
        <v>508</v>
      </c>
      <c r="F845" t="b">
        <v>0</v>
      </c>
      <c r="G845">
        <f>HYPERLINK("https://www.google.com/maps/search/?api=1&amp;query=24.36746763,45.31252312", "View Map")</f>
        <v/>
      </c>
    </row>
    <row r="846">
      <c r="A846" t="inlineStr">
        <is>
          <t>ﻭﺯﺍﺭﺓﺍﻻﻭﻗﺎﻑ _ ﺍﻭﻗﺎﻑ ﺍﻟﺒﺠﺎﺩﻴﻩ .</t>
        </is>
      </c>
      <c r="B846" t="inlineStr">
        <is>
          <t>KFM2020660188204</t>
        </is>
      </c>
      <c r="C846" t="inlineStr">
        <is>
          <t>الدوادمي</t>
        </is>
      </c>
      <c r="D846" t="inlineStr">
        <is>
          <t>مساءا</t>
        </is>
      </c>
      <c r="E846" t="n">
        <v>508</v>
      </c>
      <c r="F846" t="b">
        <v>0</v>
      </c>
      <c r="G846">
        <f>HYPERLINK("https://www.google.com/maps/search/?api=1&amp;query=24.30176787,43.77260116", "View Map")</f>
        <v/>
      </c>
    </row>
    <row r="847">
      <c r="A847" t="inlineStr">
        <is>
          <t xml:space="preserve">   اوقاف القويعيه/مسجد الصناعية .</t>
        </is>
      </c>
      <c r="B847" t="inlineStr">
        <is>
          <t>KFM2020660190643</t>
        </is>
      </c>
      <c r="C847" t="inlineStr">
        <is>
          <t>القويعية</t>
        </is>
      </c>
      <c r="D847" t="inlineStr">
        <is>
          <t>مساءا</t>
        </is>
      </c>
      <c r="E847" t="n">
        <v>508</v>
      </c>
      <c r="F847" t="b">
        <v>1</v>
      </c>
      <c r="G847">
        <f>HYPERLINK("https://www.google.com/maps/search/?api=1&amp;query=24.06659416,45.30539948", "View Map")</f>
        <v/>
      </c>
    </row>
    <row r="848">
      <c r="A848" t="inlineStr">
        <is>
          <t xml:space="preserve">     اوقاف القويعية/مسجدسليمان شعف .</t>
        </is>
      </c>
      <c r="B848" t="inlineStr">
        <is>
          <t>KFM2020760105703</t>
        </is>
      </c>
      <c r="C848" t="inlineStr">
        <is>
          <t>القويعية</t>
        </is>
      </c>
      <c r="D848" t="inlineStr">
        <is>
          <t>صباحا</t>
        </is>
      </c>
      <c r="E848" t="n">
        <v>507</v>
      </c>
      <c r="F848" t="b">
        <v>0</v>
      </c>
      <c r="G848">
        <f>HYPERLINK("https://www.google.com/maps/search/?api=1&amp;query=24.08666354,45.29394596", "View Map")</f>
        <v/>
      </c>
    </row>
    <row r="849">
      <c r="A849" t="inlineStr">
        <is>
          <t xml:space="preserve">   مسجد/حي منيفة بالقرين .</t>
        </is>
      </c>
      <c r="B849" t="inlineStr">
        <is>
          <t>AES2020896450558</t>
        </is>
      </c>
      <c r="C849" t="inlineStr">
        <is>
          <t>الدوادمي</t>
        </is>
      </c>
      <c r="D849" t="inlineStr">
        <is>
          <t>مساءا</t>
        </is>
      </c>
      <c r="E849" t="n">
        <v>506</v>
      </c>
      <c r="F849" t="b">
        <v>0</v>
      </c>
      <c r="G849">
        <f>HYPERLINK("https://www.google.com/maps/search/?api=1&amp;query=24.72402381,43.78053252", "View Map")</f>
        <v/>
      </c>
    </row>
    <row r="850">
      <c r="A850" t="inlineStr">
        <is>
          <t xml:space="preserve">   اوقاف القويعية/جامع الخيس .</t>
        </is>
      </c>
      <c r="B850" t="inlineStr">
        <is>
          <t>AES2120896605989</t>
        </is>
      </c>
      <c r="C850" t="inlineStr">
        <is>
          <t>القويعية</t>
        </is>
      </c>
      <c r="D850" t="inlineStr">
        <is>
          <t>مساءا</t>
        </is>
      </c>
      <c r="E850" t="n">
        <v>506</v>
      </c>
      <c r="F850" t="b">
        <v>0</v>
      </c>
      <c r="G850">
        <f>HYPERLINK("https://www.google.com/maps/search/?api=1&amp;query=24.25719351,45.01630337", "View Map")</f>
        <v/>
      </c>
    </row>
    <row r="851">
      <c r="A851" t="inlineStr">
        <is>
          <t xml:space="preserve">   مسجدالثقفي ببدايع الدلابحه .</t>
        </is>
      </c>
      <c r="B851" t="inlineStr">
        <is>
          <t>AES2120896616297</t>
        </is>
      </c>
      <c r="C851" t="inlineStr">
        <is>
          <t>الدوادمي</t>
        </is>
      </c>
      <c r="D851" t="inlineStr">
        <is>
          <t>مساءا</t>
        </is>
      </c>
      <c r="E851" t="n">
        <v>506</v>
      </c>
      <c r="F851" t="b">
        <v>0</v>
      </c>
      <c r="G851">
        <f>HYPERLINK("https://www.google.com/maps/search/?api=1&amp;query=24.69454404,43.6958487", "View Map")</f>
        <v/>
      </c>
    </row>
    <row r="852">
      <c r="A852" t="inlineStr">
        <is>
          <t xml:space="preserve">   مسجــد جامع بريده .</t>
        </is>
      </c>
      <c r="B852" t="inlineStr">
        <is>
          <t>KFM2020766162202</t>
        </is>
      </c>
      <c r="C852" t="inlineStr">
        <is>
          <t>عفيف</t>
        </is>
      </c>
      <c r="D852" t="inlineStr">
        <is>
          <t>مساءا</t>
        </is>
      </c>
      <c r="E852" t="n">
        <v>505</v>
      </c>
      <c r="F852" t="b">
        <v>0</v>
      </c>
      <c r="G852">
        <f>HYPERLINK("https://www.google.com/maps/search/?api=1&amp;query=24.40700261,43.23196378", "View Map")</f>
        <v/>
      </c>
    </row>
    <row r="853">
      <c r="A853" t="inlineStr">
        <is>
          <t xml:space="preserve">   اوقاف القويعيه .</t>
        </is>
      </c>
      <c r="B853" t="inlineStr">
        <is>
          <t>AES2020896162293</t>
        </is>
      </c>
      <c r="C853" t="inlineStr">
        <is>
          <t>القويعية</t>
        </is>
      </c>
      <c r="D853" t="inlineStr">
        <is>
          <t>مساءا</t>
        </is>
      </c>
      <c r="E853" t="n">
        <v>505</v>
      </c>
      <c r="F853" t="b">
        <v>0</v>
      </c>
      <c r="G853">
        <f>HYPERLINK("https://www.google.com/maps/search/?api=1&amp;query=24.35064893,45.30014278", "View Map")</f>
        <v/>
      </c>
    </row>
    <row r="854">
      <c r="A854" t="inlineStr">
        <is>
          <t xml:space="preserve">   مسجد - القاع بالبرود .</t>
        </is>
      </c>
      <c r="B854" t="inlineStr">
        <is>
          <t>AES2120896591647</t>
        </is>
      </c>
      <c r="C854" t="inlineStr">
        <is>
          <t>الدوادمي</t>
        </is>
      </c>
      <c r="D854" t="inlineStr">
        <is>
          <t>مساءا</t>
        </is>
      </c>
      <c r="E854" t="n">
        <v>504</v>
      </c>
      <c r="F854" t="b">
        <v>0</v>
      </c>
      <c r="G854">
        <f>HYPERLINK("https://www.google.com/maps/search/?api=1&amp;query=25.07141452,44.61971288", "View Map")</f>
        <v/>
      </c>
    </row>
    <row r="855">
      <c r="A855" t="inlineStr">
        <is>
          <t>ﺍﻭﻗﺎﻑ ﻭﻤﺴﺎﺠﺩ ﺍﻟﺭﻴﻥ .</t>
        </is>
      </c>
      <c r="B855" t="inlineStr">
        <is>
          <t>AEC2020830204355</t>
        </is>
      </c>
      <c r="C855" t="inlineStr">
        <is>
          <t>الرين</t>
        </is>
      </c>
      <c r="D855" t="inlineStr">
        <is>
          <t>مساءا</t>
        </is>
      </c>
      <c r="E855" t="n">
        <v>503</v>
      </c>
      <c r="F855" t="b">
        <v>0</v>
      </c>
      <c r="G855">
        <f>HYPERLINK("https://www.google.com/maps/search/?api=1&amp;query=23.55020741,45.91417585", "View Map")</f>
        <v/>
      </c>
    </row>
    <row r="856">
      <c r="A856" t="inlineStr">
        <is>
          <t xml:space="preserve">   المسحد     الجامع    بالفقاره .</t>
        </is>
      </c>
      <c r="B856" t="inlineStr">
        <is>
          <t>KFM2020766098735</t>
        </is>
      </c>
      <c r="C856" t="inlineStr">
        <is>
          <t>الدوادمي</t>
        </is>
      </c>
      <c r="D856" t="inlineStr">
        <is>
          <t>مساءا</t>
        </is>
      </c>
      <c r="E856" t="n">
        <v>503</v>
      </c>
      <c r="F856" t="b">
        <v>0</v>
      </c>
      <c r="G856">
        <f>HYPERLINK("https://www.google.com/maps/search/?api=1&amp;query=24.54857599,43.92962647", "View Map")</f>
        <v/>
      </c>
    </row>
    <row r="857">
      <c r="A857" t="inlineStr">
        <is>
          <t>ﺃﻭﻗﺎﻑ ﻭﻤﺴﺎﺠﺩ ﺍﻟﻗﻭﻴﻌﻴﻩ .</t>
        </is>
      </c>
      <c r="B857" t="inlineStr">
        <is>
          <t>LYE2020830079702</t>
        </is>
      </c>
      <c r="C857" t="inlineStr">
        <is>
          <t>القويعية</t>
        </is>
      </c>
      <c r="D857" t="inlineStr">
        <is>
          <t>مساءا</t>
        </is>
      </c>
      <c r="E857" t="n">
        <v>503</v>
      </c>
      <c r="F857" t="b">
        <v>0</v>
      </c>
      <c r="G857">
        <f>HYPERLINK("https://www.google.com/maps/search/?api=1&amp;query=24.08031582,45.33186385", "View Map")</f>
        <v/>
      </c>
    </row>
    <row r="858">
      <c r="A858" t="inlineStr">
        <is>
          <t>أوقاف ومساجد القويعيه .</t>
        </is>
      </c>
      <c r="B858" t="inlineStr">
        <is>
          <t>AES2020896453721</t>
        </is>
      </c>
      <c r="C858" t="inlineStr">
        <is>
          <t>القويعية</t>
        </is>
      </c>
      <c r="D858" t="inlineStr">
        <is>
          <t>مساءا</t>
        </is>
      </c>
      <c r="E858" t="n">
        <v>501</v>
      </c>
      <c r="F858" t="b">
        <v>0</v>
      </c>
      <c r="G858">
        <f>HYPERLINK("https://www.google.com/maps/search/?api=1&amp;query=23.87722354,45.00571076", "View Map")</f>
        <v/>
      </c>
    </row>
    <row r="859">
      <c r="A859" t="inlineStr">
        <is>
          <t xml:space="preserve">   مسجد البديع .</t>
        </is>
      </c>
      <c r="B859" t="inlineStr">
        <is>
          <t>KFM2020660200150</t>
        </is>
      </c>
      <c r="C859" t="inlineStr">
        <is>
          <t>ضرما</t>
        </is>
      </c>
      <c r="D859" t="inlineStr">
        <is>
          <t>مساءا</t>
        </is>
      </c>
      <c r="E859" t="n">
        <v>501</v>
      </c>
      <c r="F859" t="b">
        <v>0</v>
      </c>
      <c r="G859">
        <f>HYPERLINK("https://www.google.com/maps/search/?api=1&amp;query=24.59671314,46.13215887", "View Map")</f>
        <v/>
      </c>
    </row>
    <row r="860">
      <c r="A860" t="inlineStr">
        <is>
          <t xml:space="preserve">   مسجد      النابيه   الرفايع .</t>
        </is>
      </c>
      <c r="B860" t="inlineStr">
        <is>
          <t>AEC2020830309305</t>
        </is>
      </c>
      <c r="C860" t="inlineStr">
        <is>
          <t>الدوادمي</t>
        </is>
      </c>
      <c r="D860" t="inlineStr">
        <is>
          <t>مساءا</t>
        </is>
      </c>
      <c r="E860" t="n">
        <v>501</v>
      </c>
      <c r="F860" t="b">
        <v>0</v>
      </c>
      <c r="G860">
        <f>HYPERLINK("https://www.google.com/maps/search/?api=1&amp;query=24.6322996,43.67855968", "View Map")</f>
        <v/>
      </c>
    </row>
    <row r="861">
      <c r="A861" t="inlineStr">
        <is>
          <t xml:space="preserve">   اوقاف القويعيه/مسجد بلدةالخالدية .</t>
        </is>
      </c>
      <c r="B861" t="inlineStr">
        <is>
          <t>KFM2020766163410</t>
        </is>
      </c>
      <c r="C861" t="inlineStr">
        <is>
          <t>القويعية</t>
        </is>
      </c>
      <c r="D861" t="inlineStr">
        <is>
          <t>مساءا</t>
        </is>
      </c>
      <c r="E861" t="n">
        <v>500</v>
      </c>
      <c r="F861" t="b">
        <v>0</v>
      </c>
      <c r="G861">
        <f>HYPERLINK("https://www.google.com/maps/search/?api=1&amp;query=23.99182515,45.16695113", "View Map")</f>
        <v/>
      </c>
    </row>
    <row r="862">
      <c r="A862" t="inlineStr">
        <is>
          <t xml:space="preserve">      مسجد غزاى طحى .</t>
        </is>
      </c>
      <c r="B862" t="inlineStr">
        <is>
          <t>KFM2120660299594</t>
        </is>
      </c>
      <c r="C862" t="inlineStr">
        <is>
          <t>الدوادمي</t>
        </is>
      </c>
      <c r="D862" t="inlineStr">
        <is>
          <t>مساءا</t>
        </is>
      </c>
      <c r="E862" t="n">
        <v>500</v>
      </c>
      <c r="F862" t="b">
        <v>0</v>
      </c>
      <c r="G862">
        <f>HYPERLINK("https://www.google.com/maps/search/?api=1&amp;query=24.73012832,44.30650819", "View Map")</f>
        <v/>
      </c>
    </row>
    <row r="863">
      <c r="A863" t="inlineStr">
        <is>
          <t>ﻭﺯﺍﺭﺓﺍﻷﻭﻗﺎﻑ _ ﺍﻭﻗﺎﻑ ﺍﻟﺭﻭﻴﻀﻩ .</t>
        </is>
      </c>
      <c r="B863" t="inlineStr">
        <is>
          <t>SMR2020765006381</t>
        </is>
      </c>
      <c r="C863" t="inlineStr">
        <is>
          <t>القويعية</t>
        </is>
      </c>
      <c r="D863" t="inlineStr">
        <is>
          <t>مساءا</t>
        </is>
      </c>
      <c r="E863" t="n">
        <v>500</v>
      </c>
      <c r="F863" t="b">
        <v>0</v>
      </c>
      <c r="G863">
        <f>HYPERLINK("https://www.google.com/maps/search/?api=1&amp;query=23.76152936,44.75952636", "View Map")</f>
        <v/>
      </c>
    </row>
    <row r="864">
      <c r="A864" t="inlineStr">
        <is>
          <t xml:space="preserve">   مسجد مرزوق سالم .</t>
        </is>
      </c>
      <c r="B864" t="inlineStr">
        <is>
          <t>AEC2020830323430</t>
        </is>
      </c>
      <c r="C864" t="inlineStr">
        <is>
          <t>الرين</t>
        </is>
      </c>
      <c r="D864" t="inlineStr">
        <is>
          <t>مساءا</t>
        </is>
      </c>
      <c r="E864" t="n">
        <v>498</v>
      </c>
      <c r="F864" t="b">
        <v>0</v>
      </c>
      <c r="G864">
        <f>HYPERLINK("https://www.google.com/maps/search/?api=1&amp;query=22.80026605,45.18175536", "View Map")</f>
        <v/>
      </c>
    </row>
    <row r="865">
      <c r="A865" t="inlineStr">
        <is>
          <t>ﻭﺯﺍﺭﺓﺍﻷﻭﻗﺎﻑ _ﺍﻭﻗﺎﻑ ﻨﻓﻲ .</t>
        </is>
      </c>
      <c r="B865" t="inlineStr">
        <is>
          <t>AES2020896448525</t>
        </is>
      </c>
      <c r="C865" t="inlineStr">
        <is>
          <t>الدوادمي</t>
        </is>
      </c>
      <c r="D865" t="inlineStr">
        <is>
          <t>مساءا</t>
        </is>
      </c>
      <c r="E865" t="n">
        <v>498</v>
      </c>
      <c r="F865" t="b">
        <v>0</v>
      </c>
      <c r="G865">
        <f>HYPERLINK("https://www.google.com/maps/search/?api=1&amp;query=25.16792333,43.529505", "View Map")</f>
        <v/>
      </c>
    </row>
    <row r="866">
      <c r="A866" t="inlineStr">
        <is>
          <t xml:space="preserve">   مسجد مخطط 853 عفيف قطعة 32     0 .</t>
        </is>
      </c>
      <c r="B866" t="inlineStr">
        <is>
          <t>KFM2020766162059</t>
        </is>
      </c>
      <c r="C866" t="inlineStr">
        <is>
          <t>عفيف</t>
        </is>
      </c>
      <c r="D866" t="inlineStr">
        <is>
          <t>مساءا</t>
        </is>
      </c>
      <c r="E866" t="n">
        <v>496</v>
      </c>
      <c r="F866" t="b">
        <v>0</v>
      </c>
      <c r="G866">
        <f>HYPERLINK("https://www.google.com/maps/search/?api=1&amp;query=23.88693493,42.88246885", "View Map")</f>
        <v/>
      </c>
    </row>
    <row r="867">
      <c r="A867" t="inlineStr">
        <is>
          <t xml:space="preserve">   اوقاف الزاحميه /مسجدالشفاوي .</t>
        </is>
      </c>
      <c r="B867" t="inlineStr">
        <is>
          <t>AES2020896473147</t>
        </is>
      </c>
      <c r="C867" t="inlineStr">
        <is>
          <t>القويعية</t>
        </is>
      </c>
      <c r="D867" t="inlineStr">
        <is>
          <t>مساءا</t>
        </is>
      </c>
      <c r="E867" t="n">
        <v>496</v>
      </c>
      <c r="F867" t="b">
        <v>0</v>
      </c>
      <c r="G867">
        <f>HYPERLINK("https://www.google.com/maps/search/?api=1&amp;query=24.22451334,45.84338253", "View Map")</f>
        <v/>
      </c>
    </row>
    <row r="868">
      <c r="A868" t="inlineStr">
        <is>
          <t xml:space="preserve">   مسجد/     الحارة    //////// .</t>
        </is>
      </c>
      <c r="B868" t="inlineStr">
        <is>
          <t>AES2020896447918</t>
        </is>
      </c>
      <c r="C868" t="inlineStr">
        <is>
          <t>الدوادمي</t>
        </is>
      </c>
      <c r="D868" t="inlineStr">
        <is>
          <t>مساءا</t>
        </is>
      </c>
      <c r="E868" t="n">
        <v>496</v>
      </c>
      <c r="F868" t="b">
        <v>0</v>
      </c>
      <c r="G868">
        <f>HYPERLINK("https://www.google.com/maps/search/?api=1&amp;query=24.3788611,43.63188566", "View Map")</f>
        <v/>
      </c>
    </row>
    <row r="869">
      <c r="A869" t="inlineStr">
        <is>
          <t xml:space="preserve">   مسجد      رشاشه     ------------ .</t>
        </is>
      </c>
      <c r="B869" t="inlineStr">
        <is>
          <t>AES2020896448507</t>
        </is>
      </c>
      <c r="C869" t="inlineStr">
        <is>
          <t>الدوادمي</t>
        </is>
      </c>
      <c r="D869" t="inlineStr">
        <is>
          <t>مساءا</t>
        </is>
      </c>
      <c r="E869" t="n">
        <v>492</v>
      </c>
      <c r="F869" t="b">
        <v>0</v>
      </c>
      <c r="G869">
        <f>HYPERLINK("https://www.google.com/maps/search/?api=1&amp;query=24.77907231,43.7833067", "View Map")</f>
        <v/>
      </c>
    </row>
    <row r="870">
      <c r="A870" t="inlineStr">
        <is>
          <t xml:space="preserve">   اوقاف القويعيه .</t>
        </is>
      </c>
      <c r="B870" t="inlineStr">
        <is>
          <t>KFM2020766167745</t>
        </is>
      </c>
      <c r="C870" t="inlineStr">
        <is>
          <t>القويعية</t>
        </is>
      </c>
      <c r="D870" t="inlineStr">
        <is>
          <t>صباحا</t>
        </is>
      </c>
      <c r="E870" t="n">
        <v>492</v>
      </c>
      <c r="F870" t="b">
        <v>0</v>
      </c>
      <c r="G870">
        <f>HYPERLINK("https://www.google.com/maps/search/?api=1&amp;query=24.05640003,45.27006798", "View Map")</f>
        <v/>
      </c>
    </row>
    <row r="871">
      <c r="A871" t="inlineStr">
        <is>
          <t xml:space="preserve">   اوقاف القويعيه /مسجدالجمعيه .</t>
        </is>
      </c>
      <c r="B871" t="inlineStr">
        <is>
          <t>AES2020896525154</t>
        </is>
      </c>
      <c r="C871" t="inlineStr">
        <is>
          <t>القويعية</t>
        </is>
      </c>
      <c r="D871" t="inlineStr">
        <is>
          <t>مساءا</t>
        </is>
      </c>
      <c r="E871" t="n">
        <v>492</v>
      </c>
      <c r="F871" t="b">
        <v>0</v>
      </c>
      <c r="G871">
        <f>HYPERLINK("https://www.google.com/maps/search/?api=1&amp;query=24.37945649,45.32120438", "View Map")</f>
        <v/>
      </c>
    </row>
    <row r="872">
      <c r="A872" t="inlineStr">
        <is>
          <t xml:space="preserve">   جامع    ابوجلال .</t>
        </is>
      </c>
      <c r="B872" t="inlineStr">
        <is>
          <t>KFM2020660188317</t>
        </is>
      </c>
      <c r="C872" t="inlineStr">
        <is>
          <t>الدوادمي</t>
        </is>
      </c>
      <c r="D872" t="inlineStr">
        <is>
          <t>مساءا</t>
        </is>
      </c>
      <c r="E872" t="n">
        <v>490</v>
      </c>
      <c r="F872" t="b">
        <v>0</v>
      </c>
      <c r="G872">
        <f>HYPERLINK("https://www.google.com/maps/search/?api=1&amp;query=25.14524404,43.48093463", "View Map")</f>
        <v/>
      </c>
    </row>
    <row r="873">
      <c r="A873" t="inlineStr">
        <is>
          <t xml:space="preserve">   مسجد      ابن       عذل .</t>
        </is>
      </c>
      <c r="B873" t="inlineStr">
        <is>
          <t>KFM2020660199464</t>
        </is>
      </c>
      <c r="C873" t="inlineStr">
        <is>
          <t>المزاحمية</t>
        </is>
      </c>
      <c r="D873" t="inlineStr">
        <is>
          <t>مساءا</t>
        </is>
      </c>
      <c r="E873" t="n">
        <v>490</v>
      </c>
      <c r="F873" t="b">
        <v>0</v>
      </c>
      <c r="G873">
        <f>HYPERLINK("https://www.google.com/maps/search/?api=1&amp;query=24.48866389,46.26807007", "View Map")</f>
        <v/>
      </c>
    </row>
    <row r="874">
      <c r="A874" t="inlineStr">
        <is>
          <t xml:space="preserve">   مسجد      عبدالله   البخرا .</t>
        </is>
      </c>
      <c r="B874" t="inlineStr">
        <is>
          <t>AEC2020830558426</t>
        </is>
      </c>
      <c r="C874" t="inlineStr">
        <is>
          <t>المزاحمية</t>
        </is>
      </c>
      <c r="D874" t="inlineStr">
        <is>
          <t>مساءا</t>
        </is>
      </c>
      <c r="E874" t="n">
        <v>488</v>
      </c>
      <c r="F874" t="b">
        <v>0</v>
      </c>
      <c r="G874">
        <f>HYPERLINK("https://www.google.com/maps/search/?api=1&amp;query=24.15258246,46.09772254", "View Map")</f>
        <v/>
      </c>
    </row>
    <row r="875">
      <c r="A875" t="inlineStr">
        <is>
          <t>ﺍﻭﻗﺎﻑ ﻭﻤﺴﺎﺠﺩ ﺍﻟﺭﻴﻥ .</t>
        </is>
      </c>
      <c r="B875" t="inlineStr">
        <is>
          <t>SMR2420861001343</t>
        </is>
      </c>
      <c r="C875" t="inlineStr">
        <is>
          <t>الرين</t>
        </is>
      </c>
      <c r="D875" t="inlineStr">
        <is>
          <t>مساءا</t>
        </is>
      </c>
      <c r="E875" t="n">
        <v>487</v>
      </c>
      <c r="F875" t="b">
        <v>0</v>
      </c>
      <c r="G875">
        <f>HYPERLINK("https://www.google.com/maps/search/?api=1&amp;query=23.50897741,45.51404219", "View Map")</f>
        <v/>
      </c>
    </row>
    <row r="876">
      <c r="A876" t="inlineStr">
        <is>
          <t xml:space="preserve">   مسجد/ سالم محمد الاعمى .</t>
        </is>
      </c>
      <c r="B876" t="inlineStr">
        <is>
          <t>AEC2020830304431</t>
        </is>
      </c>
      <c r="C876" t="inlineStr">
        <is>
          <t>القويعية</t>
        </is>
      </c>
      <c r="D876" t="inlineStr">
        <is>
          <t>مساءا</t>
        </is>
      </c>
      <c r="E876" t="n">
        <v>487</v>
      </c>
      <c r="F876" t="b">
        <v>0</v>
      </c>
      <c r="G876">
        <f>HYPERLINK("https://www.google.com/maps/search/?api=1&amp;query=23.64956018,44.75453311", "View Map")</f>
        <v/>
      </c>
    </row>
    <row r="877">
      <c r="A877" t="inlineStr">
        <is>
          <t xml:space="preserve">   مسجد/     الرديفه   الرشاء .</t>
        </is>
      </c>
      <c r="B877" t="inlineStr">
        <is>
          <t>AES2120896586223</t>
        </is>
      </c>
      <c r="C877" t="inlineStr">
        <is>
          <t>الدوادمي</t>
        </is>
      </c>
      <c r="D877" t="inlineStr">
        <is>
          <t>مساءا</t>
        </is>
      </c>
      <c r="E877" t="n">
        <v>486</v>
      </c>
      <c r="F877" t="b">
        <v>0</v>
      </c>
      <c r="G877">
        <f>HYPERLINK("https://www.google.com/maps/search/?api=1&amp;query=24.51366727,43.89593635", "View Map")</f>
        <v/>
      </c>
    </row>
    <row r="878">
      <c r="A878" t="inlineStr">
        <is>
          <t xml:space="preserve">   مسجد حي الزايدية فيضة عفيف     0 .</t>
        </is>
      </c>
      <c r="B878" t="inlineStr">
        <is>
          <t>SMR2020856030718</t>
        </is>
      </c>
      <c r="C878" t="inlineStr">
        <is>
          <t>عفيف</t>
        </is>
      </c>
      <c r="D878" t="inlineStr">
        <is>
          <t>مساءا</t>
        </is>
      </c>
      <c r="E878" t="n">
        <v>486</v>
      </c>
      <c r="F878" t="b">
        <v>0</v>
      </c>
      <c r="G878">
        <f>HYPERLINK("https://www.google.com/maps/search/?api=1&amp;query=23.90363968,42.87705407", "View Map")</f>
        <v/>
      </c>
    </row>
    <row r="879">
      <c r="A879" t="inlineStr">
        <is>
          <t xml:space="preserve">   اوقاف الرين /مسجدسعدبن معاد .</t>
        </is>
      </c>
      <c r="B879" t="inlineStr">
        <is>
          <t>KFM2020660150158</t>
        </is>
      </c>
      <c r="C879" t="inlineStr">
        <is>
          <t>الرين</t>
        </is>
      </c>
      <c r="D879" t="inlineStr">
        <is>
          <t>مساءا</t>
        </is>
      </c>
      <c r="E879" t="n">
        <v>485</v>
      </c>
      <c r="F879" t="b">
        <v>0</v>
      </c>
      <c r="G879">
        <f>HYPERLINK("https://www.google.com/maps/search/?api=1&amp;query=23.54114103,45.50679278", "View Map")</f>
        <v/>
      </c>
    </row>
    <row r="880">
      <c r="A880" t="inlineStr">
        <is>
          <t>ﺍﻭﻗﺎﻑ ﻭﻤﺴﺎﺠﺩ ﺍﻟﻤﺯﺍﺤﻤﻴﻩ .</t>
        </is>
      </c>
      <c r="B880" t="inlineStr">
        <is>
          <t>AES2020896062615</t>
        </is>
      </c>
      <c r="C880" t="inlineStr">
        <is>
          <t>المزاحمية</t>
        </is>
      </c>
      <c r="D880" t="inlineStr">
        <is>
          <t>صباحا</t>
        </is>
      </c>
      <c r="E880" t="n">
        <v>483</v>
      </c>
      <c r="F880" t="b">
        <v>0</v>
      </c>
      <c r="G880">
        <f>HYPERLINK("https://www.google.com/maps/search/?api=1&amp;query=24.45537065,46.25714656", "View Map")</f>
        <v/>
      </c>
    </row>
    <row r="881">
      <c r="A881" t="inlineStr">
        <is>
          <t>أوقاف ومساجد القويعيه .</t>
        </is>
      </c>
      <c r="B881" t="inlineStr">
        <is>
          <t>AEC2020830572633</t>
        </is>
      </c>
      <c r="C881" t="inlineStr">
        <is>
          <t>الرين</t>
        </is>
      </c>
      <c r="D881" t="inlineStr">
        <is>
          <t>مساءا</t>
        </is>
      </c>
      <c r="E881" t="n">
        <v>483</v>
      </c>
      <c r="F881" t="b">
        <v>0</v>
      </c>
      <c r="G881">
        <f>HYPERLINK("https://www.google.com/maps/search/?api=1&amp;query=22.46959617,44.92868215", "View Map")</f>
        <v/>
      </c>
    </row>
    <row r="882">
      <c r="A882" t="inlineStr">
        <is>
          <t xml:space="preserve">   مسجد العليا .</t>
        </is>
      </c>
      <c r="B882" t="inlineStr">
        <is>
          <t>AES2020896446741</t>
        </is>
      </c>
      <c r="C882" t="inlineStr">
        <is>
          <t>الدوادمي</t>
        </is>
      </c>
      <c r="D882" t="inlineStr">
        <is>
          <t>مساءا</t>
        </is>
      </c>
      <c r="E882" t="n">
        <v>482</v>
      </c>
      <c r="F882" t="b">
        <v>0</v>
      </c>
      <c r="G882">
        <f>HYPERLINK("https://www.google.com/maps/search/?api=1&amp;query=24.79101228,43.77163996", "View Map")</f>
        <v/>
      </c>
    </row>
    <row r="883">
      <c r="A883" t="inlineStr">
        <is>
          <t xml:space="preserve">   مسجد المدابله .</t>
        </is>
      </c>
      <c r="B883" t="inlineStr">
        <is>
          <t>KFM2020660191429</t>
        </is>
      </c>
      <c r="C883" t="inlineStr">
        <is>
          <t>ضرما</t>
        </is>
      </c>
      <c r="D883" t="inlineStr">
        <is>
          <t>مساءا</t>
        </is>
      </c>
      <c r="E883" t="n">
        <v>482</v>
      </c>
      <c r="F883" t="b">
        <v>0</v>
      </c>
      <c r="G883">
        <f>HYPERLINK("https://www.google.com/maps/search/?api=1&amp;query=24.6048959,46.12251237", "View Map")</f>
        <v/>
      </c>
    </row>
    <row r="884">
      <c r="A884" t="inlineStr">
        <is>
          <t xml:space="preserve">   مسجد عبد الرحمن محمدالحميد .</t>
        </is>
      </c>
      <c r="B884" t="inlineStr">
        <is>
          <t>AES2020896338907</t>
        </is>
      </c>
      <c r="C884" t="inlineStr">
        <is>
          <t>ضرما</t>
        </is>
      </c>
      <c r="D884" t="inlineStr">
        <is>
          <t>مساءا</t>
        </is>
      </c>
      <c r="E884" t="n">
        <v>481</v>
      </c>
      <c r="F884" t="b">
        <v>0</v>
      </c>
      <c r="G884">
        <f>HYPERLINK("https://www.google.com/maps/search/?api=1&amp;query=24.58602379,46.13305328", "View Map")</f>
        <v/>
      </c>
    </row>
    <row r="885">
      <c r="A885" t="inlineStr">
        <is>
          <t xml:space="preserve">   مسجد/     معاذ      رضي الله عنه .</t>
        </is>
      </c>
      <c r="B885" t="inlineStr">
        <is>
          <t>AES2120896586253</t>
        </is>
      </c>
      <c r="C885" t="inlineStr">
        <is>
          <t>الدوادمي</t>
        </is>
      </c>
      <c r="D885" t="inlineStr">
        <is>
          <t>مساءا</t>
        </is>
      </c>
      <c r="E885" t="n">
        <v>481</v>
      </c>
      <c r="F885" t="b">
        <v>0</v>
      </c>
      <c r="G885">
        <f>HYPERLINK("https://www.google.com/maps/search/?api=1&amp;query=24.57900219,43.73358805", "View Map")</f>
        <v/>
      </c>
    </row>
    <row r="886">
      <c r="A886" t="inlineStr">
        <is>
          <t xml:space="preserve">   مسجد      الجرفية   ///// .</t>
        </is>
      </c>
      <c r="B886" t="inlineStr">
        <is>
          <t>ECC2020811047392</t>
        </is>
      </c>
      <c r="C886" t="inlineStr">
        <is>
          <t>الدوادمي</t>
        </is>
      </c>
      <c r="D886" t="inlineStr">
        <is>
          <t>مساءا</t>
        </is>
      </c>
      <c r="E886" t="n">
        <v>481</v>
      </c>
      <c r="F886" t="b">
        <v>0</v>
      </c>
      <c r="G886">
        <f>HYPERLINK("https://www.google.com/maps/search/?api=1&amp;query=24.55304779,43.6257283", "View Map")</f>
        <v/>
      </c>
    </row>
    <row r="887">
      <c r="A887" t="inlineStr">
        <is>
          <t xml:space="preserve">   اوقاف المزاحميه مسجد صهيدالقرارة .</t>
        </is>
      </c>
      <c r="B887" t="inlineStr">
        <is>
          <t>AEC2020830575288</t>
        </is>
      </c>
      <c r="C887" t="inlineStr">
        <is>
          <t>القويعية</t>
        </is>
      </c>
      <c r="D887" t="inlineStr">
        <is>
          <t>مساءا</t>
        </is>
      </c>
      <c r="E887" t="n">
        <v>481</v>
      </c>
      <c r="F887" t="b">
        <v>0</v>
      </c>
      <c r="G887">
        <f>HYPERLINK("https://www.google.com/maps/search/?api=1&amp;query=24.38066598,45.89888045", "View Map")</f>
        <v/>
      </c>
    </row>
    <row r="888">
      <c r="A888" t="inlineStr">
        <is>
          <t xml:space="preserve">    مـسـجـد الناصر (اوقاف القويعيه) .</t>
        </is>
      </c>
      <c r="B888" t="inlineStr">
        <is>
          <t>AES2020896527797</t>
        </is>
      </c>
      <c r="C888" t="inlineStr">
        <is>
          <t>الرين</t>
        </is>
      </c>
      <c r="D888" t="inlineStr">
        <is>
          <t>مساءا</t>
        </is>
      </c>
      <c r="E888" t="n">
        <v>480</v>
      </c>
      <c r="F888" t="b">
        <v>0</v>
      </c>
      <c r="G888">
        <f>HYPERLINK("https://www.google.com/maps/search/?api=1&amp;query=23.60311794,45.44275742", "View Map")</f>
        <v/>
      </c>
    </row>
    <row r="889">
      <c r="A889" t="inlineStr">
        <is>
          <t xml:space="preserve">   أوقاف القويعية-مسجدالشتلانية .</t>
        </is>
      </c>
      <c r="B889" t="inlineStr">
        <is>
          <t>KFM2020766163439</t>
        </is>
      </c>
      <c r="C889" t="inlineStr">
        <is>
          <t>القويعية</t>
        </is>
      </c>
      <c r="D889" t="inlineStr">
        <is>
          <t>مساءا</t>
        </is>
      </c>
      <c r="E889" t="n">
        <v>479</v>
      </c>
      <c r="F889" t="b">
        <v>0</v>
      </c>
      <c r="G889">
        <f>HYPERLINK("https://www.google.com/maps/search/?api=1&amp;query=24.12262963,45.1025702", "View Map")</f>
        <v/>
      </c>
    </row>
    <row r="890">
      <c r="A890" t="inlineStr">
        <is>
          <t>ﻭﺯﺍﺭﺓﺍﻷﻭﻗﺎﻑ _ ﺍﻭﻗﺎﻑ ﺍﻟﺭﻭﻴﻀﻩ .</t>
        </is>
      </c>
      <c r="B890" t="inlineStr">
        <is>
          <t>AES2120896590446</t>
        </is>
      </c>
      <c r="C890" t="inlineStr">
        <is>
          <t>القويعية</t>
        </is>
      </c>
      <c r="D890" t="inlineStr">
        <is>
          <t>مساءا</t>
        </is>
      </c>
      <c r="E890" t="n">
        <v>479</v>
      </c>
      <c r="F890" t="b">
        <v>0</v>
      </c>
      <c r="G890">
        <f>HYPERLINK("https://www.google.com/maps/search/?api=1&amp;query=23.78627,44.78729", "View Map")</f>
        <v/>
      </c>
    </row>
    <row r="891">
      <c r="A891" t="inlineStr">
        <is>
          <t xml:space="preserve">   مسجد سعدالمبدل .</t>
        </is>
      </c>
      <c r="B891" t="inlineStr">
        <is>
          <t>AES2020896336984</t>
        </is>
      </c>
      <c r="C891" t="inlineStr">
        <is>
          <t>ضرما</t>
        </is>
      </c>
      <c r="D891" t="inlineStr">
        <is>
          <t>مساءا</t>
        </is>
      </c>
      <c r="E891" t="n">
        <v>478</v>
      </c>
      <c r="F891" t="b">
        <v>0</v>
      </c>
      <c r="G891">
        <f>HYPERLINK("https://www.google.com/maps/search/?api=1&amp;query=24.57926808,46.12416894", "View Map")</f>
        <v/>
      </c>
    </row>
    <row r="892">
      <c r="A892" t="inlineStr">
        <is>
          <t xml:space="preserve">   مسجداباالعبلان .</t>
        </is>
      </c>
      <c r="B892" t="inlineStr">
        <is>
          <t>AEC2020830295730</t>
        </is>
      </c>
      <c r="C892" t="inlineStr">
        <is>
          <t>القويعية</t>
        </is>
      </c>
      <c r="D892" t="inlineStr">
        <is>
          <t>مساءا</t>
        </is>
      </c>
      <c r="E892" t="n">
        <v>478</v>
      </c>
      <c r="F892" t="b">
        <v>0</v>
      </c>
      <c r="G892">
        <f>HYPERLINK("https://www.google.com/maps/search/?api=1&amp;query=23.78573111,44.75119938", "View Map")</f>
        <v/>
      </c>
    </row>
    <row r="893">
      <c r="A893" t="inlineStr">
        <is>
          <t>ﺃﻭﻗﺎﻑ ﻭﻤﺴﺎﺠﺩ ﺍﻟﻗﻭﻴﻌﻴﻩ .</t>
        </is>
      </c>
      <c r="B893" t="inlineStr">
        <is>
          <t>KFM2020660229554</t>
        </is>
      </c>
      <c r="C893" t="inlineStr">
        <is>
          <t>القويعية</t>
        </is>
      </c>
      <c r="D893" t="inlineStr">
        <is>
          <t>مساءا</t>
        </is>
      </c>
      <c r="E893" t="n">
        <v>477</v>
      </c>
      <c r="F893" t="b">
        <v>0</v>
      </c>
      <c r="G893">
        <f>HYPERLINK("https://www.google.com/maps/search/?api=1&amp;query=24.07630528,45.30232724", "View Map")</f>
        <v/>
      </c>
    </row>
    <row r="894">
      <c r="A894" t="inlineStr">
        <is>
          <t>وزارةالا وقاف اوقاف الدوادمي .</t>
        </is>
      </c>
      <c r="B894" t="inlineStr">
        <is>
          <t>KFM2020760135892</t>
        </is>
      </c>
      <c r="C894" t="inlineStr">
        <is>
          <t>الدوادمي</t>
        </is>
      </c>
      <c r="D894" t="inlineStr">
        <is>
          <t>مساءا</t>
        </is>
      </c>
      <c r="E894" t="n">
        <v>476</v>
      </c>
      <c r="F894" t="b">
        <v>0</v>
      </c>
      <c r="G894">
        <f>HYPERLINK("https://www.google.com/maps/search/?api=1&amp;query=24.56047046,44.45260427", "View Map")</f>
        <v/>
      </c>
    </row>
    <row r="895">
      <c r="A895" t="inlineStr">
        <is>
          <t xml:space="preserve">   مسجد عبدالله ضيف الله مخطط 252 0 .</t>
        </is>
      </c>
      <c r="B895" t="inlineStr">
        <is>
          <t>KFM2020766099480</t>
        </is>
      </c>
      <c r="C895" t="inlineStr">
        <is>
          <t>عفيف</t>
        </is>
      </c>
      <c r="D895" t="inlineStr">
        <is>
          <t>مساءا</t>
        </is>
      </c>
      <c r="E895" t="n">
        <v>476</v>
      </c>
      <c r="F895" t="b">
        <v>0</v>
      </c>
      <c r="G895">
        <f>HYPERLINK("https://www.google.com/maps/search/?api=1&amp;query=23.89482429,42.90301134", "View Map")</f>
        <v/>
      </c>
    </row>
    <row r="896">
      <c r="A896" t="inlineStr">
        <is>
          <t xml:space="preserve">   مسجد البخراء .</t>
        </is>
      </c>
      <c r="B896" t="inlineStr">
        <is>
          <t>AEC2020830316198</t>
        </is>
      </c>
      <c r="C896" t="inlineStr">
        <is>
          <t>المزاحمية</t>
        </is>
      </c>
      <c r="D896" t="inlineStr">
        <is>
          <t>مساءا</t>
        </is>
      </c>
      <c r="E896" t="n">
        <v>476</v>
      </c>
      <c r="F896" t="b">
        <v>0</v>
      </c>
      <c r="G896">
        <f>HYPERLINK("https://www.google.com/maps/search/?api=1&amp;query=24.16755707,46.18794035", "View Map")</f>
        <v/>
      </c>
    </row>
    <row r="897">
      <c r="A897" t="inlineStr">
        <is>
          <t xml:space="preserve">   اوقاف القويعيه/مسجدنوره الشريف .</t>
        </is>
      </c>
      <c r="B897" t="inlineStr">
        <is>
          <t>KFM2020760184495</t>
        </is>
      </c>
      <c r="C897" t="inlineStr">
        <is>
          <t>القويعية</t>
        </is>
      </c>
      <c r="D897" t="inlineStr">
        <is>
          <t>مساءا</t>
        </is>
      </c>
      <c r="E897" t="n">
        <v>474</v>
      </c>
      <c r="F897" t="b">
        <v>0</v>
      </c>
      <c r="G897">
        <f>HYPERLINK("https://www.google.com/maps/search/?api=1&amp;query=24.06276681,45.28998364", "View Map")</f>
        <v/>
      </c>
    </row>
    <row r="898">
      <c r="A898" t="inlineStr">
        <is>
          <t xml:space="preserve">   مسجد      المثناه   الا وقاف .</t>
        </is>
      </c>
      <c r="B898" t="inlineStr">
        <is>
          <t>AES2120896609231</t>
        </is>
      </c>
      <c r="C898" t="inlineStr">
        <is>
          <t>الدوادمي</t>
        </is>
      </c>
      <c r="D898" t="inlineStr">
        <is>
          <t>مساءا</t>
        </is>
      </c>
      <c r="E898" t="n">
        <v>473</v>
      </c>
      <c r="F898" t="b">
        <v>0</v>
      </c>
      <c r="G898">
        <f>HYPERLINK("https://www.google.com/maps/search/?api=1&amp;query=24.53850248,43.94190747", "View Map")</f>
        <v/>
      </c>
    </row>
    <row r="899">
      <c r="A899" t="inlineStr">
        <is>
          <t xml:space="preserve">   مسجد عمر بن عبدالعزيز .</t>
        </is>
      </c>
      <c r="B899" t="inlineStr">
        <is>
          <t>KFM2020660173289</t>
        </is>
      </c>
      <c r="C899" t="inlineStr">
        <is>
          <t>القويعية</t>
        </is>
      </c>
      <c r="D899" t="inlineStr">
        <is>
          <t>مساءا</t>
        </is>
      </c>
      <c r="E899" t="n">
        <v>473</v>
      </c>
      <c r="F899" t="b">
        <v>0</v>
      </c>
      <c r="G899">
        <f>HYPERLINK("https://www.google.com/maps/search/?api=1&amp;query=23.78046024,44.7980036", "View Map")</f>
        <v/>
      </c>
    </row>
    <row r="900">
      <c r="A900" t="inlineStr">
        <is>
          <t xml:space="preserve">   أوقاف القويعيه/مسجد الا يمان .</t>
        </is>
      </c>
      <c r="B900" t="inlineStr">
        <is>
          <t>KFM2020760184537</t>
        </is>
      </c>
      <c r="C900" t="inlineStr">
        <is>
          <t>القويعية</t>
        </is>
      </c>
      <c r="D900" t="inlineStr">
        <is>
          <t>مساءا</t>
        </is>
      </c>
      <c r="E900" t="n">
        <v>471</v>
      </c>
      <c r="F900" t="b">
        <v>0</v>
      </c>
      <c r="G900">
        <f>HYPERLINK("https://www.google.com/maps/search/?api=1&amp;query=24.09291253,45.30080909", "View Map")</f>
        <v/>
      </c>
    </row>
    <row r="901">
      <c r="A901" t="inlineStr">
        <is>
          <t xml:space="preserve">   جامع      الفرعة    بعسيلان .</t>
        </is>
      </c>
      <c r="B901" t="inlineStr">
        <is>
          <t>AES2020896373887</t>
        </is>
      </c>
      <c r="C901" t="inlineStr">
        <is>
          <t>الرين</t>
        </is>
      </c>
      <c r="D901" t="inlineStr">
        <is>
          <t>مساءا</t>
        </is>
      </c>
      <c r="E901" t="n">
        <v>471</v>
      </c>
      <c r="F901" t="b">
        <v>0</v>
      </c>
      <c r="G901">
        <f>HYPERLINK("https://www.google.com/maps/search/?api=1&amp;query=23.67236601,45.33092061", "View Map")</f>
        <v/>
      </c>
    </row>
    <row r="902">
      <c r="A902" t="inlineStr">
        <is>
          <t xml:space="preserve">   مسجد      الروسان   0 .</t>
        </is>
      </c>
      <c r="B902" t="inlineStr">
        <is>
          <t>MMF2220801095304</t>
        </is>
      </c>
      <c r="C902" t="inlineStr">
        <is>
          <t>المزاحمية</t>
        </is>
      </c>
      <c r="D902" t="inlineStr">
        <is>
          <t>مساءا</t>
        </is>
      </c>
      <c r="E902" t="n">
        <v>471</v>
      </c>
      <c r="F902" t="b">
        <v>0</v>
      </c>
      <c r="G902">
        <f>HYPERLINK("https://www.google.com/maps/search/?api=1&amp;query=24.47634391,46.24195482", "View Map")</f>
        <v/>
      </c>
    </row>
    <row r="903">
      <c r="A903" t="inlineStr">
        <is>
          <t xml:space="preserve">   مسجد   مخطط   412   عفيف       0 .</t>
        </is>
      </c>
      <c r="B903" t="inlineStr">
        <is>
          <t>KFM2120660264987</t>
        </is>
      </c>
      <c r="C903" t="inlineStr">
        <is>
          <t>عفيف</t>
        </is>
      </c>
      <c r="D903" t="inlineStr">
        <is>
          <t>مساءا</t>
        </is>
      </c>
      <c r="E903" t="n">
        <v>470</v>
      </c>
      <c r="F903" t="b">
        <v>0</v>
      </c>
      <c r="G903">
        <f>HYPERLINK("https://www.google.com/maps/search/?api=1&amp;query=23.88255453,42.91331173", "View Map")</f>
        <v/>
      </c>
    </row>
    <row r="904">
      <c r="A904" t="inlineStr">
        <is>
          <t>مسجد مخطط 865 قطعة ( 18  )عفيف 0 .</t>
        </is>
      </c>
      <c r="B904" t="inlineStr">
        <is>
          <t>KFM2020766093720</t>
        </is>
      </c>
      <c r="C904" t="inlineStr">
        <is>
          <t>عفيف</t>
        </is>
      </c>
      <c r="D904" t="inlineStr">
        <is>
          <t>مساءا</t>
        </is>
      </c>
      <c r="E904" t="n">
        <v>470</v>
      </c>
      <c r="F904" t="b">
        <v>0</v>
      </c>
      <c r="G904">
        <f>HYPERLINK("https://www.google.com/maps/search/?api=1&amp;query=23.92613614,42.91262371", "View Map")</f>
        <v/>
      </c>
    </row>
    <row r="905">
      <c r="A905" t="inlineStr">
        <is>
          <t xml:space="preserve">    مسجد / متعب بن حمود المطيري .</t>
        </is>
      </c>
      <c r="B905" t="inlineStr">
        <is>
          <t>KFM2020766087234</t>
        </is>
      </c>
      <c r="C905" t="inlineStr">
        <is>
          <t>عفيف</t>
        </is>
      </c>
      <c r="D905" t="inlineStr">
        <is>
          <t>مساءا</t>
        </is>
      </c>
      <c r="E905" t="n">
        <v>469</v>
      </c>
      <c r="F905" t="b">
        <v>0</v>
      </c>
      <c r="G905">
        <f>HYPERLINK("https://www.google.com/maps/search/?api=1&amp;query=24.4741982,42.16461233", "View Map")</f>
        <v/>
      </c>
    </row>
    <row r="906">
      <c r="A906" t="inlineStr">
        <is>
          <t xml:space="preserve">   مسجد جامع بدائع العضيان الغربي 0 .</t>
        </is>
      </c>
      <c r="B906" t="inlineStr">
        <is>
          <t>KFM2020766085486</t>
        </is>
      </c>
      <c r="C906" t="inlineStr">
        <is>
          <t>عفيف</t>
        </is>
      </c>
      <c r="D906" t="inlineStr">
        <is>
          <t>مساءا</t>
        </is>
      </c>
      <c r="E906" t="n">
        <v>468</v>
      </c>
      <c r="F906" t="b">
        <v>1</v>
      </c>
      <c r="G906">
        <f>HYPERLINK("https://www.google.com/maps/search/?api=1&amp;query=24.3521358,43.25142824", "View Map")</f>
        <v/>
      </c>
    </row>
    <row r="907">
      <c r="A907" t="inlineStr">
        <is>
          <t xml:space="preserve">      جامع بيضاء فثيل .</t>
        </is>
      </c>
      <c r="B907" t="inlineStr">
        <is>
          <t>AES2020896454093</t>
        </is>
      </c>
      <c r="C907" t="inlineStr">
        <is>
          <t>القويعية</t>
        </is>
      </c>
      <c r="D907" t="inlineStr">
        <is>
          <t>مساءا</t>
        </is>
      </c>
      <c r="E907" t="n">
        <v>468</v>
      </c>
      <c r="F907" t="b">
        <v>0</v>
      </c>
      <c r="G907">
        <f>HYPERLINK("https://www.google.com/maps/search/?api=1&amp;query=23.82280479,45.04893285", "View Map")</f>
        <v/>
      </c>
    </row>
    <row r="908">
      <c r="A908" t="inlineStr">
        <is>
          <t>ﺃﻭﻗﺎﻑ ﻭﻤﺴﺎﺠﺩ ﺍﻟﻗﻭﻴﻌﻴﻩ .</t>
        </is>
      </c>
      <c r="B908" t="inlineStr">
        <is>
          <t>AES2020896531593</t>
        </is>
      </c>
      <c r="C908" t="inlineStr">
        <is>
          <t>الرين</t>
        </is>
      </c>
      <c r="D908" t="inlineStr">
        <is>
          <t>مساءا</t>
        </is>
      </c>
      <c r="E908" t="n">
        <v>466</v>
      </c>
      <c r="F908" t="b">
        <v>0</v>
      </c>
      <c r="G908">
        <f>HYPERLINK("https://www.google.com/maps/search/?api=1&amp;query=23.81900057,45.27319487", "View Map")</f>
        <v/>
      </c>
    </row>
    <row r="909">
      <c r="A909" t="inlineStr">
        <is>
          <t xml:space="preserve">   مسجد/     حي الماضي //// .</t>
        </is>
      </c>
      <c r="B909" t="inlineStr">
        <is>
          <t>KFM2020766106774</t>
        </is>
      </c>
      <c r="C909" t="inlineStr">
        <is>
          <t>الدوادمي</t>
        </is>
      </c>
      <c r="D909" t="inlineStr">
        <is>
          <t>مساءا</t>
        </is>
      </c>
      <c r="E909" t="n">
        <v>466</v>
      </c>
      <c r="F909" t="b">
        <v>1</v>
      </c>
      <c r="G909">
        <f>HYPERLINK("https://www.google.com/maps/search/?api=1&amp;query=24.73908897,43.78706358", "View Map")</f>
        <v/>
      </c>
    </row>
    <row r="910">
      <c r="A910" t="inlineStr">
        <is>
          <t xml:space="preserve">   اوقاف القويعية/مسجدالحماده بمزعل .</t>
        </is>
      </c>
      <c r="B910" t="inlineStr">
        <is>
          <t>KFM2020660190706</t>
        </is>
      </c>
      <c r="C910" t="inlineStr">
        <is>
          <t>القويعية</t>
        </is>
      </c>
      <c r="D910" t="inlineStr">
        <is>
          <t>مساءا</t>
        </is>
      </c>
      <c r="E910" t="n">
        <v>466</v>
      </c>
      <c r="F910" t="b">
        <v>0</v>
      </c>
      <c r="G910">
        <f>HYPERLINK("https://www.google.com/maps/search/?api=1&amp;query=24.00603144,45.19362641", "View Map")</f>
        <v/>
      </c>
    </row>
    <row r="911">
      <c r="A911" t="inlineStr">
        <is>
          <t xml:space="preserve">   اوقاف الرين /مسجدالعيينه بصماخ .</t>
        </is>
      </c>
      <c r="B911" t="inlineStr">
        <is>
          <t>AEC2020830267265</t>
        </is>
      </c>
      <c r="C911" t="inlineStr">
        <is>
          <t>الرين</t>
        </is>
      </c>
      <c r="D911" t="inlineStr">
        <is>
          <t>مساءا</t>
        </is>
      </c>
      <c r="E911" t="n">
        <v>465</v>
      </c>
      <c r="F911" t="b">
        <v>0</v>
      </c>
      <c r="G911">
        <f>HYPERLINK("https://www.google.com/maps/search/?api=1&amp;query=22.97482144,45.44647989", "View Map")</f>
        <v/>
      </c>
    </row>
    <row r="912">
      <c r="A912" t="inlineStr">
        <is>
          <t>مسجد هديب مرشد مطر المطيري .</t>
        </is>
      </c>
      <c r="B912" t="inlineStr">
        <is>
          <t>AES2120896611125</t>
        </is>
      </c>
      <c r="C912" t="inlineStr">
        <is>
          <t>المهد</t>
        </is>
      </c>
      <c r="D912" t="inlineStr">
        <is>
          <t>مساءا</t>
        </is>
      </c>
      <c r="E912" t="n">
        <v>465</v>
      </c>
      <c r="F912" t="b">
        <v>0</v>
      </c>
      <c r="G912">
        <f>HYPERLINK("https://www.google.com/maps/search/?api=1&amp;query=24.49082033,42.07394761", "View Map")</f>
        <v/>
      </c>
    </row>
    <row r="913">
      <c r="A913" t="inlineStr">
        <is>
          <t xml:space="preserve">   جامع حمود ناصر الجهيمى .</t>
        </is>
      </c>
      <c r="B913" t="inlineStr">
        <is>
          <t>KFM2020660191517</t>
        </is>
      </c>
      <c r="C913" t="inlineStr">
        <is>
          <t>ضرما</t>
        </is>
      </c>
      <c r="D913" t="inlineStr">
        <is>
          <t>مساءا</t>
        </is>
      </c>
      <c r="E913" t="n">
        <v>464</v>
      </c>
      <c r="F913" t="b">
        <v>0</v>
      </c>
      <c r="G913">
        <f>HYPERLINK("https://www.google.com/maps/search/?api=1&amp;query=24.49870293,46.13917281", "View Map")</f>
        <v/>
      </c>
    </row>
    <row r="914">
      <c r="A914" t="inlineStr">
        <is>
          <t xml:space="preserve">   مسجد الخفيفية الجديد .</t>
        </is>
      </c>
      <c r="B914" t="inlineStr">
        <is>
          <t>KFM2020660210709</t>
        </is>
      </c>
      <c r="C914" t="inlineStr">
        <is>
          <t>الدوادمي</t>
        </is>
      </c>
      <c r="D914" t="inlineStr">
        <is>
          <t>مساءا</t>
        </is>
      </c>
      <c r="E914" t="n">
        <v>463</v>
      </c>
      <c r="F914" t="b">
        <v>0</v>
      </c>
      <c r="G914">
        <f>HYPERLINK("https://www.google.com/maps/search/?api=1&amp;query=24.91256888,44.72028515", "View Map")</f>
        <v/>
      </c>
    </row>
    <row r="915">
      <c r="A915" t="inlineStr">
        <is>
          <t xml:space="preserve">   المسجد الجامع .</t>
        </is>
      </c>
      <c r="B915" t="inlineStr">
        <is>
          <t>KFM2020766086234</t>
        </is>
      </c>
      <c r="C915" t="inlineStr">
        <is>
          <t>الدوادمي</t>
        </is>
      </c>
      <c r="D915" t="inlineStr">
        <is>
          <t>مساءا</t>
        </is>
      </c>
      <c r="E915" t="n">
        <v>463</v>
      </c>
      <c r="F915" t="b">
        <v>0</v>
      </c>
      <c r="G915">
        <f>HYPERLINK("https://www.google.com/maps/search/?api=1&amp;query=24.16534709,43.81235621", "View Map")</f>
        <v/>
      </c>
    </row>
    <row r="916">
      <c r="A916" t="inlineStr">
        <is>
          <t>ﻭﺯﺍﺭﺓﺍﻻﻭﻗﺎﻑ _ﺍﻭﻗﺎﻑ ﺍﻟﺠﻤﺵ .</t>
        </is>
      </c>
      <c r="B916" t="inlineStr">
        <is>
          <t>MMF2320801154446</t>
        </is>
      </c>
      <c r="C916" t="inlineStr">
        <is>
          <t>الدوادمي</t>
        </is>
      </c>
      <c r="D916" t="inlineStr">
        <is>
          <t>مساءا</t>
        </is>
      </c>
      <c r="E916" t="n">
        <v>462</v>
      </c>
      <c r="F916" t="b">
        <v>0</v>
      </c>
      <c r="G916">
        <f>HYPERLINK("https://www.google.com/maps/search/?api=1&amp;query=24.67852572,43.65852073", "View Map")</f>
        <v/>
      </c>
    </row>
    <row r="917">
      <c r="A917" t="inlineStr">
        <is>
          <t>ﺍﻭﻗﺎﻑ ﻭﻤﺴﺎﺠﺩ ﺍﻟﺭﻴﻥ .</t>
        </is>
      </c>
      <c r="B917" t="inlineStr">
        <is>
          <t>AES2120896592928</t>
        </is>
      </c>
      <c r="C917" t="inlineStr">
        <is>
          <t>الرين</t>
        </is>
      </c>
      <c r="D917" t="inlineStr">
        <is>
          <t>مساءا</t>
        </is>
      </c>
      <c r="E917" t="n">
        <v>461</v>
      </c>
      <c r="F917" t="b">
        <v>0</v>
      </c>
      <c r="G917">
        <f>HYPERLINK("https://www.google.com/maps/search/?api=1&amp;query=23.48544892,45.51119453", "View Map")</f>
        <v/>
      </c>
    </row>
    <row r="918">
      <c r="A918" t="inlineStr">
        <is>
          <t xml:space="preserve">   جامع/النميص .</t>
        </is>
      </c>
      <c r="B918" t="inlineStr">
        <is>
          <t>KFM2020766133923</t>
        </is>
      </c>
      <c r="C918" t="inlineStr">
        <is>
          <t>القويعية</t>
        </is>
      </c>
      <c r="D918" t="inlineStr">
        <is>
          <t>مساءا</t>
        </is>
      </c>
      <c r="E918" t="n">
        <v>461</v>
      </c>
      <c r="F918" t="b">
        <v>0</v>
      </c>
      <c r="G918">
        <f>HYPERLINK("https://www.google.com/maps/search/?api=1&amp;query=23.26799332,44.65533402", "View Map")</f>
        <v/>
      </c>
    </row>
    <row r="919">
      <c r="A919" t="inlineStr">
        <is>
          <t xml:space="preserve">   مسجد      حي        ////// .</t>
        </is>
      </c>
      <c r="B919" t="inlineStr">
        <is>
          <t>KFM2020660225191</t>
        </is>
      </c>
      <c r="C919" t="inlineStr">
        <is>
          <t>الدوادمي</t>
        </is>
      </c>
      <c r="D919" t="inlineStr">
        <is>
          <t>مساءا</t>
        </is>
      </c>
      <c r="E919" t="n">
        <v>461</v>
      </c>
      <c r="F919" t="b">
        <v>0</v>
      </c>
      <c r="G919">
        <f>HYPERLINK("https://www.google.com/maps/search/?api=1&amp;query=24.51921092,44.41136858", "View Map")</f>
        <v/>
      </c>
    </row>
    <row r="920">
      <c r="A920" t="inlineStr">
        <is>
          <t xml:space="preserve">   مسجد الوريكيه .</t>
        </is>
      </c>
      <c r="B920" t="inlineStr">
        <is>
          <t>MMF2320801107211</t>
        </is>
      </c>
      <c r="C920" t="inlineStr">
        <is>
          <t>الدوادمي</t>
        </is>
      </c>
      <c r="D920" t="inlineStr">
        <is>
          <t>صباحا</t>
        </is>
      </c>
      <c r="E920" t="n">
        <v>460</v>
      </c>
      <c r="F920" t="b">
        <v>0</v>
      </c>
      <c r="G920">
        <f>HYPERLINK("https://www.google.com/maps/search/?api=1&amp;query=24.37638097,43.68690951", "View Map")</f>
        <v/>
      </c>
    </row>
    <row r="921">
      <c r="A921" t="inlineStr">
        <is>
          <t xml:space="preserve">   جامع المستجده بصبحاء .</t>
        </is>
      </c>
      <c r="B921" t="inlineStr">
        <is>
          <t>KFM2020766154143</t>
        </is>
      </c>
      <c r="C921" t="inlineStr">
        <is>
          <t>القويعية</t>
        </is>
      </c>
      <c r="D921" t="inlineStr">
        <is>
          <t>مساءا</t>
        </is>
      </c>
      <c r="E921" t="n">
        <v>459</v>
      </c>
      <c r="F921" t="b">
        <v>0</v>
      </c>
      <c r="G921">
        <f>HYPERLINK("https://www.google.com/maps/search/?api=1&amp;query=23.2875401,44.66480803", "View Map")</f>
        <v/>
      </c>
    </row>
    <row r="922">
      <c r="A922" t="inlineStr">
        <is>
          <t xml:space="preserve">   مسجد      بدايع     الدلبحه .</t>
        </is>
      </c>
      <c r="B922" t="inlineStr">
        <is>
          <t>AES2020896471248</t>
        </is>
      </c>
      <c r="C922" t="inlineStr">
        <is>
          <t>الدوادمي</t>
        </is>
      </c>
      <c r="D922" t="inlineStr">
        <is>
          <t>مساءا</t>
        </is>
      </c>
      <c r="E922" t="n">
        <v>458</v>
      </c>
      <c r="F922" t="b">
        <v>0</v>
      </c>
      <c r="G922">
        <f>HYPERLINK("https://www.google.com/maps/search/?api=1&amp;query=24.70104132,43.69786592", "View Map")</f>
        <v/>
      </c>
    </row>
    <row r="923">
      <c r="A923" t="inlineStr">
        <is>
          <t xml:space="preserve">   مسجد      عبد العزيزالهزاع .</t>
        </is>
      </c>
      <c r="B923" t="inlineStr">
        <is>
          <t>KFM2020660209344</t>
        </is>
      </c>
      <c r="C923" t="inlineStr">
        <is>
          <t>المزاحمية</t>
        </is>
      </c>
      <c r="D923" t="inlineStr">
        <is>
          <t>مساءا</t>
        </is>
      </c>
      <c r="E923" t="n">
        <v>458</v>
      </c>
      <c r="F923" t="b">
        <v>0</v>
      </c>
      <c r="G923">
        <f>HYPERLINK("https://www.google.com/maps/search/?api=1&amp;query=24.46587334,46.28198574", "View Map")</f>
        <v/>
      </c>
    </row>
    <row r="924">
      <c r="A924" t="inlineStr">
        <is>
          <t>مسجد رياض الصالحين .</t>
        </is>
      </c>
      <c r="B924" t="inlineStr">
        <is>
          <t>SMR2020850049511</t>
        </is>
      </c>
      <c r="C924" t="inlineStr">
        <is>
          <t>القويعية</t>
        </is>
      </c>
      <c r="D924" t="inlineStr">
        <is>
          <t>مساءا</t>
        </is>
      </c>
      <c r="E924" t="n">
        <v>457</v>
      </c>
      <c r="F924" t="b">
        <v>1</v>
      </c>
      <c r="G924">
        <f>HYPERLINK("https://www.google.com/maps/search/?api=1&amp;query=23.99056126,45.15889324", "View Map")</f>
        <v/>
      </c>
    </row>
    <row r="925">
      <c r="A925" t="inlineStr">
        <is>
          <t xml:space="preserve">       مسجد ابوعشر5 .</t>
        </is>
      </c>
      <c r="B925" t="inlineStr">
        <is>
          <t>SMR2220661012439</t>
        </is>
      </c>
      <c r="C925" t="inlineStr">
        <is>
          <t>عفيف</t>
        </is>
      </c>
      <c r="D925" t="inlineStr">
        <is>
          <t>مساءا</t>
        </is>
      </c>
      <c r="E925" t="n">
        <v>457</v>
      </c>
      <c r="F925" t="b">
        <v>0</v>
      </c>
      <c r="G925">
        <f>HYPERLINK("https://www.google.com/maps/search/?api=1&amp;query=24.1255451,43.29048674", "View Map")</f>
        <v/>
      </c>
    </row>
    <row r="926">
      <c r="A926" t="inlineStr">
        <is>
          <t>ﻭﺯﺍﺭﺓﺍﻻﻭﻗﺎﻑ ـ ﺍﻭﻗﺎﻑ ﺍﻟﺩﻭﺍﺩﻤﻲ .</t>
        </is>
      </c>
      <c r="B926" t="inlineStr">
        <is>
          <t>MMF2020800017036</t>
        </is>
      </c>
      <c r="C926" t="inlineStr">
        <is>
          <t>الدوادمي</t>
        </is>
      </c>
      <c r="D926" t="inlineStr">
        <is>
          <t>مساءا</t>
        </is>
      </c>
      <c r="E926" t="n">
        <v>457</v>
      </c>
      <c r="F926" t="b">
        <v>0</v>
      </c>
      <c r="G926">
        <f>HYPERLINK("https://www.google.com/maps/search/?api=1&amp;query=24.49640596,44.35814961", "View Map")</f>
        <v/>
      </c>
    </row>
    <row r="927">
      <c r="A927" t="inlineStr">
        <is>
          <t xml:space="preserve">       مسجد/ عبيد صلاح المغيرى .</t>
        </is>
      </c>
      <c r="B927" t="inlineStr">
        <is>
          <t>KFM2020766093791</t>
        </is>
      </c>
      <c r="C927" t="inlineStr">
        <is>
          <t>عفيف</t>
        </is>
      </c>
      <c r="D927" t="inlineStr">
        <is>
          <t>مساءا</t>
        </is>
      </c>
      <c r="E927" t="n">
        <v>456</v>
      </c>
      <c r="F927" t="b">
        <v>0</v>
      </c>
      <c r="G927">
        <f>HYPERLINK("https://www.google.com/maps/search/?api=1&amp;query=23.8981095,42.90910727", "View Map")</f>
        <v/>
      </c>
    </row>
    <row r="928">
      <c r="A928" t="inlineStr">
        <is>
          <t xml:space="preserve">   مسجد      آل سياف   بلجعه .</t>
        </is>
      </c>
      <c r="B928" t="inlineStr">
        <is>
          <t>KFM2020660199370</t>
        </is>
      </c>
      <c r="C928" t="inlineStr">
        <is>
          <t>القويعية</t>
        </is>
      </c>
      <c r="D928" t="inlineStr">
        <is>
          <t>مساءا</t>
        </is>
      </c>
      <c r="E928" t="n">
        <v>456</v>
      </c>
      <c r="F928" t="b">
        <v>1</v>
      </c>
      <c r="G928">
        <f>HYPERLINK("https://www.google.com/maps/search/?api=1&amp;query=23.67905012,44.87950586", "View Map")</f>
        <v/>
      </c>
    </row>
    <row r="929">
      <c r="A929" t="inlineStr">
        <is>
          <t xml:space="preserve">   مسجد بحي السليمانيةغرب 476 ق 68 .</t>
        </is>
      </c>
      <c r="B929" t="inlineStr">
        <is>
          <t>KFM2020660212189</t>
        </is>
      </c>
      <c r="C929" t="inlineStr">
        <is>
          <t>عفيف</t>
        </is>
      </c>
      <c r="D929" t="inlineStr">
        <is>
          <t>مساءا</t>
        </is>
      </c>
      <c r="E929" t="n">
        <v>456</v>
      </c>
      <c r="F929" t="b">
        <v>1</v>
      </c>
      <c r="G929">
        <f>HYPERLINK("https://www.google.com/maps/search/?api=1&amp;query=23.92746777,42.91571749", "View Map")</f>
        <v/>
      </c>
    </row>
    <row r="930">
      <c r="A930" t="inlineStr">
        <is>
          <t xml:space="preserve">   مسجد حى العين بمحافظة ضرماء .</t>
        </is>
      </c>
      <c r="B930" t="inlineStr">
        <is>
          <t>KFM2020660191405</t>
        </is>
      </c>
      <c r="C930" t="inlineStr">
        <is>
          <t>ضرما</t>
        </is>
      </c>
      <c r="D930" t="inlineStr">
        <is>
          <t>مساءا</t>
        </is>
      </c>
      <c r="E930" t="n">
        <v>455</v>
      </c>
      <c r="F930" t="b">
        <v>0</v>
      </c>
      <c r="G930">
        <f>HYPERLINK("https://www.google.com/maps/search/?api=1&amp;query=24.5959729,46.12615422", "View Map")</f>
        <v/>
      </c>
    </row>
    <row r="931">
      <c r="A931" t="inlineStr">
        <is>
          <t xml:space="preserve">       مسجد/دباس دايخ العتيبى .</t>
        </is>
      </c>
      <c r="B931" t="inlineStr">
        <is>
          <t>KFM2020660192379</t>
        </is>
      </c>
      <c r="C931" t="inlineStr">
        <is>
          <t>عفيف</t>
        </is>
      </c>
      <c r="D931" t="inlineStr">
        <is>
          <t>صباحا</t>
        </is>
      </c>
      <c r="E931" t="n">
        <v>455</v>
      </c>
      <c r="F931" t="b">
        <v>0</v>
      </c>
      <c r="G931">
        <f>HYPERLINK("https://www.google.com/maps/search/?api=1&amp;query=23.90181706,42.90450222", "View Map")</f>
        <v/>
      </c>
    </row>
    <row r="932">
      <c r="A932" t="inlineStr">
        <is>
          <t xml:space="preserve">   مسجد/ العذب  بالجمش .</t>
        </is>
      </c>
      <c r="B932" t="inlineStr">
        <is>
          <t>AES2020896471469</t>
        </is>
      </c>
      <c r="C932" t="inlineStr">
        <is>
          <t>الدوادمي</t>
        </is>
      </c>
      <c r="D932" t="inlineStr">
        <is>
          <t>مساءا</t>
        </is>
      </c>
      <c r="E932" t="n">
        <v>454</v>
      </c>
      <c r="F932" t="b">
        <v>0</v>
      </c>
      <c r="G932">
        <f>HYPERLINK("https://www.google.com/maps/search/?api=1&amp;query=24.6728341,43.62776953", "View Map")</f>
        <v/>
      </c>
    </row>
    <row r="933">
      <c r="A933" t="inlineStr">
        <is>
          <t>ﻭﺯﺍﺭﺓﺍﻷﻭﻗﺎﻑ _ﺍﻭﻗﺎﻑ ﻨﻓﻲ .</t>
        </is>
      </c>
      <c r="B933" t="inlineStr">
        <is>
          <t>AEC2020830079231</t>
        </is>
      </c>
      <c r="C933" t="inlineStr">
        <is>
          <t>الدوادمي</t>
        </is>
      </c>
      <c r="D933" t="inlineStr">
        <is>
          <t>مساءا</t>
        </is>
      </c>
      <c r="E933" t="n">
        <v>454</v>
      </c>
      <c r="F933" t="b">
        <v>0</v>
      </c>
      <c r="G933">
        <f>HYPERLINK("https://www.google.com/maps/search/?api=1&amp;query=25.01683487,43.8275509", "View Map")</f>
        <v/>
      </c>
    </row>
    <row r="934">
      <c r="A934" t="inlineStr">
        <is>
          <t xml:space="preserve">   مسجد      عبدالعزيز باالمزاحميه .</t>
        </is>
      </c>
      <c r="B934" t="inlineStr">
        <is>
          <t>KFM2020660225567</t>
        </is>
      </c>
      <c r="C934" t="inlineStr">
        <is>
          <t>المزاحمية</t>
        </is>
      </c>
      <c r="D934" t="inlineStr">
        <is>
          <t>صباحا</t>
        </is>
      </c>
      <c r="E934" t="n">
        <v>454</v>
      </c>
      <c r="F934" t="b">
        <v>0</v>
      </c>
      <c r="G934">
        <f>HYPERLINK("https://www.google.com/maps/search/?api=1&amp;query=24.47678497,46.27644237", "View Map")</f>
        <v/>
      </c>
    </row>
    <row r="935">
      <c r="A935" t="inlineStr">
        <is>
          <t xml:space="preserve">   جامع      الديرة    الديرة .</t>
        </is>
      </c>
      <c r="B935" t="inlineStr">
        <is>
          <t>KFM2120660240461</t>
        </is>
      </c>
      <c r="C935" t="inlineStr">
        <is>
          <t>القويعية</t>
        </is>
      </c>
      <c r="D935" t="inlineStr">
        <is>
          <t>صباحا</t>
        </is>
      </c>
      <c r="E935" t="n">
        <v>454</v>
      </c>
      <c r="F935" t="b">
        <v>0</v>
      </c>
      <c r="G935">
        <f>HYPERLINK("https://www.google.com/maps/search/?api=1&amp;query=24.05111449,45.25328379", "View Map")</f>
        <v/>
      </c>
    </row>
    <row r="936">
      <c r="A936" t="inlineStr">
        <is>
          <t>ﻭﺯﺍﺭﺓﺍﻻﻭﻗﺎﻑ ـ ﺍﻭﻗﺎﻑ ﺍﻟﺩﻭﺍﺩﻤﻲ .</t>
        </is>
      </c>
      <c r="B936" t="inlineStr">
        <is>
          <t>LYE2020830250208</t>
        </is>
      </c>
      <c r="C936" t="inlineStr">
        <is>
          <t>الدوادمي</t>
        </is>
      </c>
      <c r="D936" t="inlineStr">
        <is>
          <t>مساءا</t>
        </is>
      </c>
      <c r="E936" t="n">
        <v>453</v>
      </c>
      <c r="F936" t="b">
        <v>0</v>
      </c>
      <c r="G936">
        <f>HYPERLINK("https://www.google.com/maps/search/?api=1&amp;query=25.13643382,43.47864151", "View Map")</f>
        <v/>
      </c>
    </row>
    <row r="937">
      <c r="A937" t="inlineStr">
        <is>
          <t xml:space="preserve">   مسجد/سعيد مجلد بصبحاء .</t>
        </is>
      </c>
      <c r="B937" t="inlineStr">
        <is>
          <t>AES2020896124444</t>
        </is>
      </c>
      <c r="C937" t="inlineStr">
        <is>
          <t>القويعية</t>
        </is>
      </c>
      <c r="D937" t="inlineStr">
        <is>
          <t>مساءا</t>
        </is>
      </c>
      <c r="E937" t="n">
        <v>453</v>
      </c>
      <c r="F937" t="b">
        <v>0</v>
      </c>
      <c r="G937">
        <f>HYPERLINK("https://www.google.com/maps/search/?api=1&amp;query=23.26027854,44.64979408", "View Map")</f>
        <v/>
      </c>
    </row>
    <row r="938">
      <c r="A938" t="inlineStr">
        <is>
          <t xml:space="preserve">   مسجد المحرق  عيد مسعود القحطاني .</t>
        </is>
      </c>
      <c r="B938" t="inlineStr">
        <is>
          <t>KFM2020766077198</t>
        </is>
      </c>
      <c r="C938" t="inlineStr">
        <is>
          <t>القويعية</t>
        </is>
      </c>
      <c r="D938" t="inlineStr">
        <is>
          <t>مساءا</t>
        </is>
      </c>
      <c r="E938" t="n">
        <v>452</v>
      </c>
      <c r="F938" t="b">
        <v>0</v>
      </c>
      <c r="G938">
        <f>HYPERLINK("https://www.google.com/maps/search/?api=1&amp;query=23.22733295,44.69133866", "View Map")</f>
        <v/>
      </c>
    </row>
    <row r="939">
      <c r="A939" t="inlineStr">
        <is>
          <t xml:space="preserve">   مسجد ابراهيم العمران بوسيله .</t>
        </is>
      </c>
      <c r="B939" t="inlineStr">
        <is>
          <t>AES2020896062769</t>
        </is>
      </c>
      <c r="C939" t="inlineStr">
        <is>
          <t>المزاحمية</t>
        </is>
      </c>
      <c r="D939" t="inlineStr">
        <is>
          <t>مساءا</t>
        </is>
      </c>
      <c r="E939" t="n">
        <v>452</v>
      </c>
      <c r="F939" t="b">
        <v>0</v>
      </c>
      <c r="G939">
        <f>HYPERLINK("https://www.google.com/maps/search/?api=1&amp;query=24.4871515,46.32104372", "View Map")</f>
        <v/>
      </c>
    </row>
    <row r="940">
      <c r="A940" t="inlineStr">
        <is>
          <t xml:space="preserve">   مسجد      مطلق      الشيباني .</t>
        </is>
      </c>
      <c r="B940" t="inlineStr">
        <is>
          <t>AES2120896593355</t>
        </is>
      </c>
      <c r="C940" t="inlineStr">
        <is>
          <t>القويعية</t>
        </is>
      </c>
      <c r="D940" t="inlineStr">
        <is>
          <t>مساءا</t>
        </is>
      </c>
      <c r="E940" t="n">
        <v>451</v>
      </c>
      <c r="F940" t="b">
        <v>0</v>
      </c>
      <c r="G940">
        <f>HYPERLINK("https://www.google.com/maps/search/?api=1&amp;query=23.51919022,43.75418106", "View Map")</f>
        <v/>
      </c>
    </row>
    <row r="941">
      <c r="A941" t="inlineStr">
        <is>
          <t xml:space="preserve">   مسجد      الثامريه  عبدالله/محمد .</t>
        </is>
      </c>
      <c r="B941" t="inlineStr">
        <is>
          <t>AES2020896451581</t>
        </is>
      </c>
      <c r="C941" t="inlineStr">
        <is>
          <t>الدوادمي</t>
        </is>
      </c>
      <c r="D941" t="inlineStr">
        <is>
          <t>مساءا</t>
        </is>
      </c>
      <c r="E941" t="n">
        <v>450</v>
      </c>
      <c r="F941" t="b">
        <v>0</v>
      </c>
      <c r="G941">
        <f>HYPERLINK("https://www.google.com/maps/search/?api=1&amp;query=24.36772988,43.63462479", "View Map")</f>
        <v/>
      </c>
    </row>
    <row r="942">
      <c r="A942" t="inlineStr">
        <is>
          <t xml:space="preserve">   مسجد .</t>
        </is>
      </c>
      <c r="B942" t="inlineStr">
        <is>
          <t>AES2020896438552</t>
        </is>
      </c>
      <c r="C942" t="inlineStr">
        <is>
          <t>الدوادمي</t>
        </is>
      </c>
      <c r="D942" t="inlineStr">
        <is>
          <t>مساءا</t>
        </is>
      </c>
      <c r="E942" t="n">
        <v>450</v>
      </c>
      <c r="F942" t="b">
        <v>0</v>
      </c>
      <c r="G942">
        <f>HYPERLINK("https://www.google.com/maps/search/?api=1&amp;query=24.29273094,43.74232446", "View Map")</f>
        <v/>
      </c>
    </row>
    <row r="943">
      <c r="A943" t="inlineStr">
        <is>
          <t xml:space="preserve">    مسجد/ رجاء  ناشر  المطيري .</t>
        </is>
      </c>
      <c r="B943" t="inlineStr">
        <is>
          <t>AES2120896609015</t>
        </is>
      </c>
      <c r="C943" t="inlineStr">
        <is>
          <t>المهد</t>
        </is>
      </c>
      <c r="D943" t="inlineStr">
        <is>
          <t>مساءا</t>
        </is>
      </c>
      <c r="E943" t="n">
        <v>449</v>
      </c>
      <c r="F943" t="b">
        <v>0</v>
      </c>
      <c r="G943">
        <f>HYPERLINK("https://www.google.com/maps/search/?api=1&amp;query=24.49549191,42.07846528", "View Map")</f>
        <v/>
      </c>
    </row>
    <row r="944">
      <c r="A944" t="inlineStr">
        <is>
          <t xml:space="preserve">      مسجد ابو حميد .</t>
        </is>
      </c>
      <c r="B944" t="inlineStr">
        <is>
          <t>AES2020896407241</t>
        </is>
      </c>
      <c r="C944" t="inlineStr">
        <is>
          <t>الرين</t>
        </is>
      </c>
      <c r="D944" t="inlineStr">
        <is>
          <t>مساءا</t>
        </is>
      </c>
      <c r="E944" t="n">
        <v>449</v>
      </c>
      <c r="F944" t="b">
        <v>0</v>
      </c>
      <c r="G944">
        <f>HYPERLINK("https://www.google.com/maps/search/?api=1&amp;query=23.55466389,45.92471023", "View Map")</f>
        <v/>
      </c>
    </row>
    <row r="945">
      <c r="A945" t="inlineStr">
        <is>
          <t xml:space="preserve">   مسجد      عطيه      بالقرين .</t>
        </is>
      </c>
      <c r="B945" t="inlineStr">
        <is>
          <t>ECC2020810934433</t>
        </is>
      </c>
      <c r="C945" t="inlineStr">
        <is>
          <t>الدوادمي</t>
        </is>
      </c>
      <c r="D945" t="inlineStr">
        <is>
          <t>مساءا</t>
        </is>
      </c>
      <c r="E945" t="n">
        <v>448</v>
      </c>
      <c r="F945" t="b">
        <v>0</v>
      </c>
      <c r="G945">
        <f>HYPERLINK("https://www.google.com/maps/search/?api=1&amp;query=24.68058382,43.75219548", "View Map")</f>
        <v/>
      </c>
    </row>
    <row r="946">
      <c r="A946" t="inlineStr">
        <is>
          <t>ﺍﻭﻗﺎﻑ ﻭﻤﺴﺎﺠﺩ ﺍﻟﺭﻴﻥ .</t>
        </is>
      </c>
      <c r="B946" t="inlineStr">
        <is>
          <t>AES2120896575329</t>
        </is>
      </c>
      <c r="C946" t="inlineStr">
        <is>
          <t>الرين</t>
        </is>
      </c>
      <c r="D946" t="inlineStr">
        <is>
          <t>مساءا</t>
        </is>
      </c>
      <c r="E946" t="n">
        <v>448</v>
      </c>
      <c r="F946" t="b">
        <v>0</v>
      </c>
      <c r="G946">
        <f>HYPERLINK("https://www.google.com/maps/search/?api=1&amp;query=23.35208286,45.38442427", "View Map")</f>
        <v/>
      </c>
    </row>
    <row r="947">
      <c r="A947" t="inlineStr">
        <is>
          <t xml:space="preserve">     اوقاف المزاحميه/ جامع الصيهد .</t>
        </is>
      </c>
      <c r="B947" t="inlineStr">
        <is>
          <t>AES2120896545389</t>
        </is>
      </c>
      <c r="C947" t="inlineStr">
        <is>
          <t>القويعية</t>
        </is>
      </c>
      <c r="D947" t="inlineStr">
        <is>
          <t>مساءا</t>
        </is>
      </c>
      <c r="E947" t="n">
        <v>447</v>
      </c>
      <c r="F947" t="b">
        <v>0</v>
      </c>
      <c r="G947">
        <f>HYPERLINK("https://www.google.com/maps/search/?api=1&amp;query=24.48721276,45.80034587", "View Map")</f>
        <v/>
      </c>
    </row>
    <row r="948">
      <c r="A948" t="inlineStr">
        <is>
          <t xml:space="preserve">   مسجد صقر طراد مخطط 853 عفيف    0 .</t>
        </is>
      </c>
      <c r="B948" t="inlineStr">
        <is>
          <t>KFM2020766162054</t>
        </is>
      </c>
      <c r="C948" t="inlineStr">
        <is>
          <t>عفيف</t>
        </is>
      </c>
      <c r="D948" t="inlineStr">
        <is>
          <t>مساءا</t>
        </is>
      </c>
      <c r="E948" t="n">
        <v>446</v>
      </c>
      <c r="F948" t="b">
        <v>0</v>
      </c>
      <c r="G948">
        <f>HYPERLINK("https://www.google.com/maps/search/?api=1&amp;query=23.88262388,42.88173985", "View Map")</f>
        <v/>
      </c>
    </row>
    <row r="949">
      <c r="A949" t="inlineStr">
        <is>
          <t xml:space="preserve">   اوقاف القويعيةجامع دسمان .</t>
        </is>
      </c>
      <c r="B949" t="inlineStr">
        <is>
          <t>AEC2020830576593</t>
        </is>
      </c>
      <c r="C949" t="inlineStr">
        <is>
          <t>القويعية</t>
        </is>
      </c>
      <c r="D949" t="inlineStr">
        <is>
          <t>مساءا</t>
        </is>
      </c>
      <c r="E949" t="n">
        <v>446</v>
      </c>
      <c r="F949" t="b">
        <v>0</v>
      </c>
      <c r="G949">
        <f>HYPERLINK("https://www.google.com/maps/search/?api=1&amp;query=24.22366552,44.90031108", "View Map")</f>
        <v/>
      </c>
    </row>
    <row r="950">
      <c r="A950" t="inlineStr">
        <is>
          <t>ﻭﺯﺍﺭﺓﺍﻻﻭﻗﺎﻑ _ﺍﻭﻗﺎﻑ ﺸﺒﻴﺭﻤﻩ .</t>
        </is>
      </c>
      <c r="B950" t="inlineStr">
        <is>
          <t>AES2120896538248</t>
        </is>
      </c>
      <c r="C950" t="inlineStr">
        <is>
          <t>الدوادمي</t>
        </is>
      </c>
      <c r="D950" t="inlineStr">
        <is>
          <t>مساءا</t>
        </is>
      </c>
      <c r="E950" t="n">
        <v>445</v>
      </c>
      <c r="F950" t="b">
        <v>0</v>
      </c>
      <c r="G950">
        <f>HYPERLINK("https://www.google.com/maps/search/?api=1&amp;query=24.69775833,43.546615", "View Map")</f>
        <v/>
      </c>
    </row>
    <row r="951">
      <c r="A951" t="inlineStr">
        <is>
          <t xml:space="preserve">      بريكان بن مجلد (مسجد) .</t>
        </is>
      </c>
      <c r="B951" t="inlineStr">
        <is>
          <t>AEC2020830521966</t>
        </is>
      </c>
      <c r="C951" t="inlineStr">
        <is>
          <t>القويعية</t>
        </is>
      </c>
      <c r="D951" t="inlineStr">
        <is>
          <t>مساءا</t>
        </is>
      </c>
      <c r="E951" t="n">
        <v>444</v>
      </c>
      <c r="F951" t="b">
        <v>0</v>
      </c>
      <c r="G951">
        <f>HYPERLINK("https://www.google.com/maps/search/?api=1&amp;query=24.34656673,45.81275897", "View Map")</f>
        <v/>
      </c>
    </row>
    <row r="952">
      <c r="A952" t="inlineStr">
        <is>
          <t xml:space="preserve">   مسجد عبدالعزيز العبدان مخطط .817 .</t>
        </is>
      </c>
      <c r="B952" t="inlineStr">
        <is>
          <t>KFM2020660212188</t>
        </is>
      </c>
      <c r="C952" t="inlineStr">
        <is>
          <t>عفيف</t>
        </is>
      </c>
      <c r="D952" t="inlineStr">
        <is>
          <t>صباحا</t>
        </is>
      </c>
      <c r="E952" t="n">
        <v>442</v>
      </c>
      <c r="F952" t="b">
        <v>0</v>
      </c>
      <c r="G952">
        <f>HYPERLINK("https://www.google.com/maps/search/?api=1&amp;query=23.92166739,42.91744421", "View Map")</f>
        <v/>
      </c>
    </row>
    <row r="953">
      <c r="A953" t="inlineStr">
        <is>
          <t>ﻭﺯﺍﺭﺓﺍﻻﻭﻗﺎﻑ _ﺍﻭﻗﺎﻑ ﺸﺒﻴﺭﻤﻩ .</t>
        </is>
      </c>
      <c r="B953" t="inlineStr">
        <is>
          <t>AES2120896610677</t>
        </is>
      </c>
      <c r="C953" t="inlineStr">
        <is>
          <t>الدوادمي</t>
        </is>
      </c>
      <c r="D953" t="inlineStr">
        <is>
          <t>مساءا</t>
        </is>
      </c>
      <c r="E953" t="n">
        <v>442</v>
      </c>
      <c r="F953" t="b">
        <v>0</v>
      </c>
      <c r="G953">
        <f>HYPERLINK("https://www.google.com/maps/search/?api=1&amp;query=24.63477975,43.63843791", "View Map")</f>
        <v/>
      </c>
    </row>
    <row r="954">
      <c r="A954" t="inlineStr">
        <is>
          <t>وزارة الشؤون الإسلامية والدعوة والإرشاد .</t>
        </is>
      </c>
      <c r="B954" t="inlineStr">
        <is>
          <t>ECC2020810934218</t>
        </is>
      </c>
      <c r="C954" t="inlineStr">
        <is>
          <t>القويعية</t>
        </is>
      </c>
      <c r="D954" t="inlineStr">
        <is>
          <t>مساءا</t>
        </is>
      </c>
      <c r="E954" t="n">
        <v>442</v>
      </c>
      <c r="F954" t="b">
        <v>0</v>
      </c>
      <c r="G954">
        <f>HYPERLINK("https://www.google.com/maps/search/?api=1&amp;query=23.76244006,45.08238373", "View Map")</f>
        <v/>
      </c>
    </row>
    <row r="955">
      <c r="A955" t="inlineStr">
        <is>
          <t xml:space="preserve">   مسجد      برزان     الا وقاف .</t>
        </is>
      </c>
      <c r="B955" t="inlineStr">
        <is>
          <t>AES2120896536599</t>
        </is>
      </c>
      <c r="C955" t="inlineStr">
        <is>
          <t>الدوادمي</t>
        </is>
      </c>
      <c r="D955" t="inlineStr">
        <is>
          <t>مساءا</t>
        </is>
      </c>
      <c r="E955" t="n">
        <v>441</v>
      </c>
      <c r="F955" t="b">
        <v>0</v>
      </c>
      <c r="G955">
        <f>HYPERLINK("https://www.google.com/maps/search/?api=1&amp;query=24.31194049,43.77924656", "View Map")</f>
        <v/>
      </c>
    </row>
    <row r="956">
      <c r="A956" t="inlineStr">
        <is>
          <t xml:space="preserve">      مسجد الصقيران .</t>
        </is>
      </c>
      <c r="B956" t="inlineStr">
        <is>
          <t>KFM2020660155931</t>
        </is>
      </c>
      <c r="C956" t="inlineStr">
        <is>
          <t>الدوادمي</t>
        </is>
      </c>
      <c r="D956" t="inlineStr">
        <is>
          <t>مساءا</t>
        </is>
      </c>
      <c r="E956" t="n">
        <v>441</v>
      </c>
      <c r="F956" t="b">
        <v>1</v>
      </c>
      <c r="G956">
        <f>HYPERLINK("https://www.google.com/maps/search/?api=1&amp;query=24.49224742,44.38380309", "View Map")</f>
        <v/>
      </c>
    </row>
    <row r="957">
      <c r="A957" t="inlineStr">
        <is>
          <t xml:space="preserve">   المسجد الجنوبى بالفيضيه .</t>
        </is>
      </c>
      <c r="B957" t="inlineStr">
        <is>
          <t>SMR2220661016801</t>
        </is>
      </c>
      <c r="C957" t="inlineStr">
        <is>
          <t>الدوادمي</t>
        </is>
      </c>
      <c r="D957" t="inlineStr">
        <is>
          <t>كلا الفترتين</t>
        </is>
      </c>
      <c r="E957" t="n">
        <v>440</v>
      </c>
      <c r="F957" t="b">
        <v>0</v>
      </c>
      <c r="G957">
        <f>HYPERLINK("https://www.google.com/maps/search/?api=1&amp;query=25.33263494,44.46582435", "View Map")</f>
        <v/>
      </c>
    </row>
    <row r="958">
      <c r="A958" t="inlineStr">
        <is>
          <t xml:space="preserve">   مسجد      هجرة         الصفوية .</t>
        </is>
      </c>
      <c r="B958" t="inlineStr">
        <is>
          <t>KFM2020660233470</t>
        </is>
      </c>
      <c r="C958" t="inlineStr">
        <is>
          <t>عفيف</t>
        </is>
      </c>
      <c r="D958" t="inlineStr">
        <is>
          <t>مساءا</t>
        </is>
      </c>
      <c r="E958" t="n">
        <v>439</v>
      </c>
      <c r="F958" t="b">
        <v>0</v>
      </c>
      <c r="G958">
        <f>HYPERLINK("https://www.google.com/maps/search/?api=1&amp;query=24.42435852,42.69141906", "View Map")</f>
        <v/>
      </c>
    </row>
    <row r="959">
      <c r="A959" t="inlineStr">
        <is>
          <t xml:space="preserve">   اوقاف الرين .</t>
        </is>
      </c>
      <c r="B959" t="inlineStr">
        <is>
          <t>AES2020896362631</t>
        </is>
      </c>
      <c r="C959" t="inlineStr">
        <is>
          <t>الرين</t>
        </is>
      </c>
      <c r="D959" t="inlineStr">
        <is>
          <t>مساءا</t>
        </is>
      </c>
      <c r="E959" t="n">
        <v>439</v>
      </c>
      <c r="F959" t="b">
        <v>0</v>
      </c>
      <c r="G959">
        <f>HYPERLINK("https://www.google.com/maps/search/?api=1&amp;query=23.49220473,45.52424705", "View Map")</f>
        <v/>
      </c>
    </row>
    <row r="960">
      <c r="A960" t="inlineStr">
        <is>
          <t xml:space="preserve">   مسجد صالحية بن سهيه .</t>
        </is>
      </c>
      <c r="B960" t="inlineStr">
        <is>
          <t>KFM2020766107224</t>
        </is>
      </c>
      <c r="C960" t="inlineStr">
        <is>
          <t>الدوادمي</t>
        </is>
      </c>
      <c r="D960" t="inlineStr">
        <is>
          <t>مساءا</t>
        </is>
      </c>
      <c r="E960" t="n">
        <v>438</v>
      </c>
      <c r="F960" t="b">
        <v>0</v>
      </c>
      <c r="G960">
        <f>HYPERLINK("https://www.google.com/maps/search/?api=1&amp;query=24.60801368,43.59883087", "View Map")</f>
        <v/>
      </c>
    </row>
    <row r="961">
      <c r="A961" t="inlineStr">
        <is>
          <t xml:space="preserve">   مسجد      هجرة      بعيثرانه .</t>
        </is>
      </c>
      <c r="B961" t="inlineStr">
        <is>
          <t>AES2120896610571</t>
        </is>
      </c>
      <c r="C961" t="inlineStr">
        <is>
          <t>القويعية</t>
        </is>
      </c>
      <c r="D961" t="inlineStr">
        <is>
          <t>مساءا</t>
        </is>
      </c>
      <c r="E961" t="n">
        <v>438</v>
      </c>
      <c r="F961" t="b">
        <v>0</v>
      </c>
      <c r="G961">
        <f>HYPERLINK("https://www.google.com/maps/search/?api=1&amp;query=23.82836783,44.37040469", "View Map")</f>
        <v/>
      </c>
    </row>
    <row r="962">
      <c r="A962" t="inlineStr">
        <is>
          <t xml:space="preserve">   مسجد/ ابراهيم سيف الجبيري .</t>
        </is>
      </c>
      <c r="B962" t="inlineStr">
        <is>
          <t>AES2020896453987</t>
        </is>
      </c>
      <c r="C962" t="inlineStr">
        <is>
          <t>القويعية</t>
        </is>
      </c>
      <c r="D962" t="inlineStr">
        <is>
          <t>مساءا</t>
        </is>
      </c>
      <c r="E962" t="n">
        <v>438</v>
      </c>
      <c r="F962" t="b">
        <v>0</v>
      </c>
      <c r="G962">
        <f>HYPERLINK("https://www.google.com/maps/search/?api=1&amp;query=23.98849305,45.18212367", "View Map")</f>
        <v/>
      </c>
    </row>
    <row r="963">
      <c r="A963" t="inlineStr">
        <is>
          <t xml:space="preserve">   مسجد      محمد      قصور المقبل .</t>
        </is>
      </c>
      <c r="B963" t="inlineStr">
        <is>
          <t>AES2020896319578</t>
        </is>
      </c>
      <c r="C963" t="inlineStr">
        <is>
          <t>ضرما</t>
        </is>
      </c>
      <c r="D963" t="inlineStr">
        <is>
          <t>مساءا</t>
        </is>
      </c>
      <c r="E963" t="n">
        <v>437</v>
      </c>
      <c r="F963" t="b">
        <v>0</v>
      </c>
      <c r="G963">
        <f>HYPERLINK("https://www.google.com/maps/search/?api=1&amp;query=24.5109488,46.37716494", "View Map")</f>
        <v/>
      </c>
    </row>
    <row r="964">
      <c r="A964" t="inlineStr">
        <is>
          <t xml:space="preserve">   مسجد البادريه .</t>
        </is>
      </c>
      <c r="B964" t="inlineStr">
        <is>
          <t>KFM2020766086231</t>
        </is>
      </c>
      <c r="C964" t="inlineStr">
        <is>
          <t>الدوادمي</t>
        </is>
      </c>
      <c r="D964" t="inlineStr">
        <is>
          <t>مساءا</t>
        </is>
      </c>
      <c r="E964" t="n">
        <v>437</v>
      </c>
      <c r="F964" t="b">
        <v>0</v>
      </c>
      <c r="G964">
        <f>HYPERLINK("https://www.google.com/maps/search/?api=1&amp;query=24.68614109,43.724303", "View Map")</f>
        <v/>
      </c>
    </row>
    <row r="965">
      <c r="A965" t="inlineStr">
        <is>
          <t xml:space="preserve">   مسجد      عبدالرحمن بمخطط622/ .</t>
        </is>
      </c>
      <c r="B965" t="inlineStr">
        <is>
          <t>KFM2020660172378</t>
        </is>
      </c>
      <c r="C965" t="inlineStr">
        <is>
          <t>الدوادمي</t>
        </is>
      </c>
      <c r="D965" t="inlineStr">
        <is>
          <t>صباحا</t>
        </is>
      </c>
      <c r="E965" t="n">
        <v>437</v>
      </c>
      <c r="F965" t="b">
        <v>0</v>
      </c>
      <c r="G965">
        <f>HYPERLINK("https://www.google.com/maps/search/?api=1&amp;query=24.65371119,44.84644253", "View Map")</f>
        <v/>
      </c>
    </row>
    <row r="966">
      <c r="A966" t="inlineStr">
        <is>
          <t>ﻭﺯﺍﺭﺓﺍﻻﻭﻗﺎﻑ _ﺍﻭﻗﺎﻑ ﺍﻟﺠﻤﺵ .</t>
        </is>
      </c>
      <c r="B966" t="inlineStr">
        <is>
          <t>MMF2420801307596</t>
        </is>
      </c>
      <c r="C966" t="inlineStr">
        <is>
          <t>الدوادمي</t>
        </is>
      </c>
      <c r="D966" t="inlineStr">
        <is>
          <t>مساءا</t>
        </is>
      </c>
      <c r="E966" t="n">
        <v>437</v>
      </c>
      <c r="F966" t="b">
        <v>0</v>
      </c>
      <c r="G966">
        <f>HYPERLINK("https://www.google.com/maps/search/?api=1&amp;query=24.71659265,43.79040719", "View Map")</f>
        <v/>
      </c>
    </row>
    <row r="967">
      <c r="A967" t="inlineStr">
        <is>
          <t xml:space="preserve">      مـسـجـد جزالا الجديد(الاوقاف) .</t>
        </is>
      </c>
      <c r="B967" t="inlineStr">
        <is>
          <t>AES2020896036673</t>
        </is>
      </c>
      <c r="C967" t="inlineStr">
        <is>
          <t>القويعية</t>
        </is>
      </c>
      <c r="D967" t="inlineStr">
        <is>
          <t>مساءا</t>
        </is>
      </c>
      <c r="E967" t="n">
        <v>437</v>
      </c>
      <c r="F967" t="b">
        <v>0</v>
      </c>
      <c r="G967">
        <f>HYPERLINK("https://www.google.com/maps/search/?api=1&amp;query=23.9893458,45.11420791", "View Map")</f>
        <v/>
      </c>
    </row>
    <row r="968">
      <c r="A968" t="inlineStr">
        <is>
          <t xml:space="preserve">   مسجد      عبدالله   الا كلبي .</t>
        </is>
      </c>
      <c r="B968" t="inlineStr">
        <is>
          <t>AES2020896460578</t>
        </is>
      </c>
      <c r="C968" t="inlineStr">
        <is>
          <t>ضرما</t>
        </is>
      </c>
      <c r="D968" t="inlineStr">
        <is>
          <t>مساءا</t>
        </is>
      </c>
      <c r="E968" t="n">
        <v>437</v>
      </c>
      <c r="F968" t="b">
        <v>0</v>
      </c>
      <c r="G968">
        <f>HYPERLINK("https://www.google.com/maps/search/?api=1&amp;query=24.50753869,46.3718704", "View Map")</f>
        <v/>
      </c>
    </row>
    <row r="969">
      <c r="A969" t="inlineStr">
        <is>
          <t>ﺍﻭﻗﺎﻑ ﻭﻤﺴﺎﺠﺩ ﺍﻟﺭﻴﻥ .</t>
        </is>
      </c>
      <c r="B969" t="inlineStr">
        <is>
          <t>DZG2020850053978</t>
        </is>
      </c>
      <c r="C969" t="inlineStr">
        <is>
          <t>القويعية</t>
        </is>
      </c>
      <c r="D969" t="inlineStr">
        <is>
          <t>مساءا</t>
        </is>
      </c>
      <c r="E969" t="n">
        <v>436</v>
      </c>
      <c r="F969" t="b">
        <v>0</v>
      </c>
      <c r="G969">
        <f>HYPERLINK("https://www.google.com/maps/search/?api=1&amp;query=24.08258881,45.3255726", "View Map")</f>
        <v/>
      </c>
    </row>
    <row r="970">
      <c r="A970" t="inlineStr">
        <is>
          <t>ﻭﺯﺍﺭﺓﺍﻻﻭﻗﺎﻑ _ﺍﻭﻗﺎﻑ ﺍﻟﺠﻤﺵ .</t>
        </is>
      </c>
      <c r="B970" t="inlineStr">
        <is>
          <t>AES2020896457512</t>
        </is>
      </c>
      <c r="C970" t="inlineStr">
        <is>
          <t>الدوادمي</t>
        </is>
      </c>
      <c r="D970" t="inlineStr">
        <is>
          <t>مساءا</t>
        </is>
      </c>
      <c r="E970" t="n">
        <v>434</v>
      </c>
      <c r="F970" t="b">
        <v>0</v>
      </c>
      <c r="G970">
        <f>HYPERLINK("https://www.google.com/maps/search/?api=1&amp;query=24.63477975,43.63843791", "View Map")</f>
        <v/>
      </c>
    </row>
    <row r="971">
      <c r="A971" t="inlineStr">
        <is>
          <t xml:space="preserve">   اوقاف القويعيه .</t>
        </is>
      </c>
      <c r="B971" t="inlineStr">
        <is>
          <t>AES2020896528155</t>
        </is>
      </c>
      <c r="C971" t="inlineStr">
        <is>
          <t>الرين</t>
        </is>
      </c>
      <c r="D971" t="inlineStr">
        <is>
          <t>مساءا</t>
        </is>
      </c>
      <c r="E971" t="n">
        <v>432</v>
      </c>
      <c r="F971" t="b">
        <v>0</v>
      </c>
      <c r="G971">
        <f>HYPERLINK("https://www.google.com/maps/search/?api=1&amp;query=23.4936959,45.52746302", "View Map")</f>
        <v/>
      </c>
    </row>
    <row r="972">
      <c r="A972" t="inlineStr">
        <is>
          <t xml:space="preserve">     اوقاف المزاحميه/ مسجد القاسمه .</t>
        </is>
      </c>
      <c r="B972" t="inlineStr">
        <is>
          <t>AES2120896546260</t>
        </is>
      </c>
      <c r="C972" t="inlineStr">
        <is>
          <t>المزاحمية</t>
        </is>
      </c>
      <c r="D972" t="inlineStr">
        <is>
          <t>مساءا</t>
        </is>
      </c>
      <c r="E972" t="n">
        <v>431</v>
      </c>
      <c r="F972" t="b">
        <v>0</v>
      </c>
      <c r="G972">
        <f>HYPERLINK("https://www.google.com/maps/search/?api=1&amp;query=24.44779832,45.82856932", "View Map")</f>
        <v/>
      </c>
    </row>
    <row r="973">
      <c r="A973" t="inlineStr">
        <is>
          <t xml:space="preserve">   مسجد      الامير     عبدالعزيز .</t>
        </is>
      </c>
      <c r="B973" t="inlineStr">
        <is>
          <t>KFM2020660233534</t>
        </is>
      </c>
      <c r="C973" t="inlineStr">
        <is>
          <t>الدوادمي</t>
        </is>
      </c>
      <c r="D973" t="inlineStr">
        <is>
          <t>صباحا</t>
        </is>
      </c>
      <c r="E973" t="n">
        <v>431</v>
      </c>
      <c r="F973" t="b">
        <v>0</v>
      </c>
      <c r="G973">
        <f>HYPERLINK("https://www.google.com/maps/search/?api=1&amp;query=24.69591121,44.30393957", "View Map")</f>
        <v/>
      </c>
    </row>
    <row r="974">
      <c r="A974" t="inlineStr">
        <is>
          <t xml:space="preserve">   مسجد      الجامع    باقران .</t>
        </is>
      </c>
      <c r="B974" t="inlineStr">
        <is>
          <t>KFM2020660150064</t>
        </is>
      </c>
      <c r="C974" t="inlineStr">
        <is>
          <t>الرين</t>
        </is>
      </c>
      <c r="D974" t="inlineStr">
        <is>
          <t>مساءا</t>
        </is>
      </c>
      <c r="E974" t="n">
        <v>430</v>
      </c>
      <c r="F974" t="b">
        <v>0</v>
      </c>
      <c r="G974">
        <f>HYPERLINK("https://www.google.com/maps/search/?api=1&amp;query=23.23903622,45.4105217", "View Map")</f>
        <v/>
      </c>
    </row>
    <row r="975">
      <c r="A975" t="inlineStr">
        <is>
          <t>ﻭﺯﺍﺭﺓﺍﻻﻭﻗﺎﻑ ـ ﺍﻭﻗﺎﻑ ﻋﻓﻴﻑ .</t>
        </is>
      </c>
      <c r="B975" t="inlineStr">
        <is>
          <t>AES2020896466640</t>
        </is>
      </c>
      <c r="C975" t="inlineStr">
        <is>
          <t>الدوادمي</t>
        </is>
      </c>
      <c r="D975" t="inlineStr">
        <is>
          <t>مساءا</t>
        </is>
      </c>
      <c r="E975" t="n">
        <v>430</v>
      </c>
      <c r="F975" t="b">
        <v>0</v>
      </c>
      <c r="G975">
        <f>HYPERLINK("https://www.google.com/maps/search/?api=1&amp;query=24.66443002,43.6415956", "View Map")</f>
        <v/>
      </c>
    </row>
    <row r="976">
      <c r="A976" t="inlineStr">
        <is>
          <t xml:space="preserve">   مسجد رقم 4 بمخطط 152بالمزاحميه .</t>
        </is>
      </c>
      <c r="B976" t="inlineStr">
        <is>
          <t>AES2020896461883</t>
        </is>
      </c>
      <c r="C976" t="inlineStr">
        <is>
          <t>المزاحمية</t>
        </is>
      </c>
      <c r="D976" t="inlineStr">
        <is>
          <t>مساءا</t>
        </is>
      </c>
      <c r="E976" t="n">
        <v>430</v>
      </c>
      <c r="F976" t="b">
        <v>0</v>
      </c>
      <c r="G976">
        <f>HYPERLINK("https://www.google.com/maps/search/?api=1&amp;query=24.46323689,46.27010026", "View Map")</f>
        <v/>
      </c>
    </row>
    <row r="977">
      <c r="A977" t="inlineStr">
        <is>
          <t xml:space="preserve">   مسجد/السبيعي .</t>
        </is>
      </c>
      <c r="B977" t="inlineStr">
        <is>
          <t>KFM2020660208977</t>
        </is>
      </c>
      <c r="C977" t="inlineStr">
        <is>
          <t>الدوادمي</t>
        </is>
      </c>
      <c r="D977" t="inlineStr">
        <is>
          <t>مساءا</t>
        </is>
      </c>
      <c r="E977" t="n">
        <v>429</v>
      </c>
      <c r="F977" t="b">
        <v>0</v>
      </c>
      <c r="G977">
        <f>HYPERLINK("https://www.google.com/maps/search/?api=1&amp;query=25.10328843,44.68050291", "View Map")</f>
        <v/>
      </c>
    </row>
    <row r="978">
      <c r="A978" t="inlineStr">
        <is>
          <t xml:space="preserve"> جامع/الاميرسعدبن خالد بهجرة ال مقوي .</t>
        </is>
      </c>
      <c r="B978" t="inlineStr">
        <is>
          <t>KFM2120660260722</t>
        </is>
      </c>
      <c r="C978" t="inlineStr">
        <is>
          <t>المزاحمية</t>
        </is>
      </c>
      <c r="D978" t="inlineStr">
        <is>
          <t>مساءا</t>
        </is>
      </c>
      <c r="E978" t="n">
        <v>428</v>
      </c>
      <c r="F978" t="b">
        <v>0</v>
      </c>
      <c r="G978">
        <f>HYPERLINK("https://www.google.com/maps/search/?api=1&amp;query=24.14292632,46.32122338", "View Map")</f>
        <v/>
      </c>
    </row>
    <row r="979">
      <c r="A979" t="inlineStr">
        <is>
          <t xml:space="preserve">   مسجد      ابوزيد    ابوزيد .</t>
        </is>
      </c>
      <c r="B979" t="inlineStr">
        <is>
          <t>KFM2020660204182</t>
        </is>
      </c>
      <c r="C979" t="inlineStr">
        <is>
          <t>الدوادمي</t>
        </is>
      </c>
      <c r="D979" t="inlineStr">
        <is>
          <t>مساءا</t>
        </is>
      </c>
      <c r="E979" t="n">
        <v>428</v>
      </c>
      <c r="F979" t="b">
        <v>1</v>
      </c>
      <c r="G979">
        <f>HYPERLINK("https://www.google.com/maps/search/?api=1&amp;query=24.49316076,44.38408946", "View Map")</f>
        <v/>
      </c>
    </row>
    <row r="980">
      <c r="A980" t="inlineStr">
        <is>
          <t xml:space="preserve">   مسجد      شيخ       ابن تيميه .</t>
        </is>
      </c>
      <c r="B980" t="inlineStr">
        <is>
          <t>KFM2020760082316</t>
        </is>
      </c>
      <c r="C980" t="inlineStr">
        <is>
          <t>الدوادمي</t>
        </is>
      </c>
      <c r="D980" t="inlineStr">
        <is>
          <t>مساءا</t>
        </is>
      </c>
      <c r="E980" t="n">
        <v>428</v>
      </c>
      <c r="F980" t="b">
        <v>0</v>
      </c>
      <c r="G980">
        <f>HYPERLINK("https://www.google.com/maps/search/?api=1&amp;query=24.50445841,44.40135291", "View Map")</f>
        <v/>
      </c>
    </row>
    <row r="981">
      <c r="A981" t="inlineStr">
        <is>
          <t xml:space="preserve">      مـسـجـد الخرميه بالرين .</t>
        </is>
      </c>
      <c r="B981" t="inlineStr">
        <is>
          <t>AES2120896539242</t>
        </is>
      </c>
      <c r="C981" t="inlineStr">
        <is>
          <t>الرين</t>
        </is>
      </c>
      <c r="D981" t="inlineStr">
        <is>
          <t>صباحا</t>
        </is>
      </c>
      <c r="E981" t="n">
        <v>426</v>
      </c>
      <c r="F981" t="b">
        <v>0</v>
      </c>
      <c r="G981">
        <f>HYPERLINK("https://www.google.com/maps/search/?api=1&amp;query=23.5531045,45.46610883", "View Map")</f>
        <v/>
      </c>
    </row>
    <row r="982">
      <c r="A982" t="inlineStr">
        <is>
          <t xml:space="preserve">   اوقاف القويعيه /مسجدالزبير .</t>
        </is>
      </c>
      <c r="B982" t="inlineStr">
        <is>
          <t>KFM2020660166400</t>
        </is>
      </c>
      <c r="C982" t="inlineStr">
        <is>
          <t>القويعية</t>
        </is>
      </c>
      <c r="D982" t="inlineStr">
        <is>
          <t>مساءا</t>
        </is>
      </c>
      <c r="E982" t="n">
        <v>426</v>
      </c>
      <c r="F982" t="b">
        <v>0</v>
      </c>
      <c r="G982">
        <f>HYPERLINK("https://www.google.com/maps/search/?api=1&amp;query=24.08744384,45.30158854", "View Map")</f>
        <v/>
      </c>
    </row>
    <row r="983">
      <c r="A983" t="inlineStr">
        <is>
          <t>جزاء محسن الحربي .</t>
        </is>
      </c>
      <c r="B983" t="inlineStr">
        <is>
          <t>ECC2020811054845</t>
        </is>
      </c>
      <c r="C983" t="inlineStr">
        <is>
          <t>القويعية</t>
        </is>
      </c>
      <c r="D983" t="inlineStr">
        <is>
          <t>مساءا</t>
        </is>
      </c>
      <c r="E983" t="n">
        <v>426</v>
      </c>
      <c r="F983" t="b">
        <v>0</v>
      </c>
      <c r="G983">
        <f>HYPERLINK("https://www.google.com/maps/search/?api=1&amp;query=23.76244006,45.08238373", "View Map")</f>
        <v/>
      </c>
    </row>
    <row r="984">
      <c r="A984" t="inlineStr">
        <is>
          <t xml:space="preserve">      مسجد الحاره الشماليه بساجر .</t>
        </is>
      </c>
      <c r="B984" t="inlineStr">
        <is>
          <t>AES2120896546586</t>
        </is>
      </c>
      <c r="C984" t="inlineStr">
        <is>
          <t>الدوادمي</t>
        </is>
      </c>
      <c r="D984" t="inlineStr">
        <is>
          <t>مساءا</t>
        </is>
      </c>
      <c r="E984" t="n">
        <v>424</v>
      </c>
      <c r="F984" t="b">
        <v>0</v>
      </c>
      <c r="G984">
        <f>HYPERLINK("https://www.google.com/maps/search/?api=1&amp;query=25.19492095,44.59996192", "View Map")</f>
        <v/>
      </c>
    </row>
    <row r="985">
      <c r="A985" t="inlineStr">
        <is>
          <t>ﻭﺯﺍﺭﺓﺍﻻﻭﻗﺎﻑ ـ ﺍﻭﻗﺎﻑ ﺴﺎﺠﺭ .</t>
        </is>
      </c>
      <c r="B985" t="inlineStr">
        <is>
          <t>KFM2020660153936</t>
        </is>
      </c>
      <c r="C985" t="inlineStr">
        <is>
          <t>الدوادمي</t>
        </is>
      </c>
      <c r="D985" t="inlineStr">
        <is>
          <t>مساءا</t>
        </is>
      </c>
      <c r="E985" t="n">
        <v>424</v>
      </c>
      <c r="F985" t="b">
        <v>0</v>
      </c>
      <c r="G985">
        <f>HYPERLINK("https://www.google.com/maps/search/?api=1&amp;query=25.12097333,44.67006", "View Map")</f>
        <v/>
      </c>
    </row>
    <row r="986">
      <c r="A986" t="inlineStr">
        <is>
          <t xml:space="preserve">   مسجد الجديدبالمخطط /2ض  بالرويضة .</t>
        </is>
      </c>
      <c r="B986" t="inlineStr">
        <is>
          <t>KFM2020660173284</t>
        </is>
      </c>
      <c r="C986" t="inlineStr">
        <is>
          <t>القويعية</t>
        </is>
      </c>
      <c r="D986" t="inlineStr">
        <is>
          <t>صباحا</t>
        </is>
      </c>
      <c r="E986" t="n">
        <v>421</v>
      </c>
      <c r="F986" t="b">
        <v>0</v>
      </c>
      <c r="G986">
        <f>HYPERLINK("https://www.google.com/maps/search/?api=1&amp;query=23.78143916,44.79259522", "View Map")</f>
        <v/>
      </c>
    </row>
    <row r="987">
      <c r="A987" t="inlineStr">
        <is>
          <t xml:space="preserve">   مسجد      عسيلة     الوسطى .</t>
        </is>
      </c>
      <c r="B987" t="inlineStr">
        <is>
          <t>MMF2420801282934</t>
        </is>
      </c>
      <c r="C987" t="inlineStr">
        <is>
          <t>الدوادمي</t>
        </is>
      </c>
      <c r="D987" t="inlineStr">
        <is>
          <t>مساءا</t>
        </is>
      </c>
      <c r="E987" t="n">
        <v>420</v>
      </c>
      <c r="F987" t="b">
        <v>0</v>
      </c>
      <c r="G987">
        <f>HYPERLINK("https://www.google.com/maps/search/?api=1&amp;query=24.07605232,43.51779344", "View Map")</f>
        <v/>
      </c>
    </row>
    <row r="988">
      <c r="A988" t="inlineStr">
        <is>
          <t>ﺃﻭﻗﺎﻑ ﻭﻤﺴﺎﺠﺩ ﺍﻟﻗﻭﻴﻌﻴﻩ .</t>
        </is>
      </c>
      <c r="B988" t="inlineStr">
        <is>
          <t>KFM2120660240455</t>
        </is>
      </c>
      <c r="C988" t="inlineStr">
        <is>
          <t>القويعية</t>
        </is>
      </c>
      <c r="D988" t="inlineStr">
        <is>
          <t>صباحا</t>
        </is>
      </c>
      <c r="E988" t="n">
        <v>419</v>
      </c>
      <c r="F988" t="b">
        <v>0</v>
      </c>
      <c r="G988">
        <f>HYPERLINK("https://www.google.com/maps/search/?api=1&amp;query=24.08073409,45.30910952", "View Map")</f>
        <v/>
      </c>
    </row>
    <row r="989">
      <c r="A989" t="inlineStr">
        <is>
          <t xml:space="preserve">   مسجد سعيد بن جبير عفيف         . .</t>
        </is>
      </c>
      <c r="B989" t="inlineStr">
        <is>
          <t>KFM2120660265031</t>
        </is>
      </c>
      <c r="C989" t="inlineStr">
        <is>
          <t>عفيف</t>
        </is>
      </c>
      <c r="D989" t="inlineStr">
        <is>
          <t>صباحا</t>
        </is>
      </c>
      <c r="E989" t="n">
        <v>419</v>
      </c>
      <c r="F989" t="b">
        <v>0</v>
      </c>
      <c r="G989">
        <f>HYPERLINK("https://www.google.com/maps/search/?api=1&amp;query=23.89591599,42.91074307", "View Map")</f>
        <v/>
      </c>
    </row>
    <row r="990">
      <c r="A990" t="inlineStr">
        <is>
          <t>مسجد .</t>
        </is>
      </c>
      <c r="B990" t="inlineStr">
        <is>
          <t>SMR2020850043004</t>
        </is>
      </c>
      <c r="C990" t="inlineStr">
        <is>
          <t>الدوادمي</t>
        </is>
      </c>
      <c r="D990" t="inlineStr">
        <is>
          <t>مساءا</t>
        </is>
      </c>
      <c r="E990" t="n">
        <v>419</v>
      </c>
      <c r="F990" t="b">
        <v>0</v>
      </c>
      <c r="G990">
        <f>HYPERLINK("https://www.google.com/maps/search/?api=1&amp;query=24.2135803,44.73928016", "View Map")</f>
        <v/>
      </c>
    </row>
    <row r="991">
      <c r="A991" t="inlineStr">
        <is>
          <t xml:space="preserve">     اوقاف الرين/مسجدالفياح بعنان .</t>
        </is>
      </c>
      <c r="B991" t="inlineStr">
        <is>
          <t>AES2020896158398</t>
        </is>
      </c>
      <c r="C991" t="inlineStr">
        <is>
          <t>الرين</t>
        </is>
      </c>
      <c r="D991" t="inlineStr">
        <is>
          <t>صباحا</t>
        </is>
      </c>
      <c r="E991" t="n">
        <v>418</v>
      </c>
      <c r="F991" t="b">
        <v>0</v>
      </c>
      <c r="G991">
        <f>HYPERLINK("https://www.google.com/maps/search/?api=1&amp;query=23.80876136,45.25760658", "View Map")</f>
        <v/>
      </c>
    </row>
    <row r="992">
      <c r="A992" t="inlineStr">
        <is>
          <t xml:space="preserve">     جــامـع عسيله (اوقاف القويعيه) .</t>
        </is>
      </c>
      <c r="B992" t="inlineStr">
        <is>
          <t>AES2020896528594</t>
        </is>
      </c>
      <c r="C992" t="inlineStr">
        <is>
          <t>الرين</t>
        </is>
      </c>
      <c r="D992" t="inlineStr">
        <is>
          <t>مساءا</t>
        </is>
      </c>
      <c r="E992" t="n">
        <v>418</v>
      </c>
      <c r="F992" t="b">
        <v>0</v>
      </c>
      <c r="G992">
        <f>HYPERLINK("https://www.google.com/maps/search/?api=1&amp;query=23.69539384,45.34277337", "View Map")</f>
        <v/>
      </c>
    </row>
    <row r="993">
      <c r="A993" t="inlineStr">
        <is>
          <t>ﺃﻭﻗﺎﻑ ﻭﻤﺴﺎﺠﺩ ﺍﻟﻗﻭﻴﻌﻴﻩ .</t>
        </is>
      </c>
      <c r="B993" t="inlineStr">
        <is>
          <t>AES2120896546899</t>
        </is>
      </c>
      <c r="C993" t="inlineStr">
        <is>
          <t>القويعية</t>
        </is>
      </c>
      <c r="D993" t="inlineStr">
        <is>
          <t>مساءا</t>
        </is>
      </c>
      <c r="E993" t="n">
        <v>416</v>
      </c>
      <c r="F993" t="b">
        <v>0</v>
      </c>
      <c r="G993">
        <f>HYPERLINK("https://www.google.com/maps/search/?api=1&amp;query=24.41046154,45.27156892", "View Map")</f>
        <v/>
      </c>
    </row>
    <row r="994">
      <c r="A994" t="inlineStr">
        <is>
          <t xml:space="preserve">   مسجد الحى الشمالى .</t>
        </is>
      </c>
      <c r="B994" t="inlineStr">
        <is>
          <t>KFM2020766099449</t>
        </is>
      </c>
      <c r="C994" t="inlineStr">
        <is>
          <t>عفيف</t>
        </is>
      </c>
      <c r="D994" t="inlineStr">
        <is>
          <t>صباحا</t>
        </is>
      </c>
      <c r="E994" t="n">
        <v>415</v>
      </c>
      <c r="F994" t="b">
        <v>0</v>
      </c>
      <c r="G994">
        <f>HYPERLINK("https://www.google.com/maps/search/?api=1&amp;query=23.90664407,42.90713494", "View Map")</f>
        <v/>
      </c>
    </row>
    <row r="995">
      <c r="A995" t="inlineStr">
        <is>
          <t xml:space="preserve">   مسجد /     دغيثر    بن سعد .</t>
        </is>
      </c>
      <c r="B995" t="inlineStr">
        <is>
          <t>KFM2020660204134</t>
        </is>
      </c>
      <c r="C995" t="inlineStr">
        <is>
          <t>الدوادمي</t>
        </is>
      </c>
      <c r="D995" t="inlineStr">
        <is>
          <t>مساءا</t>
        </is>
      </c>
      <c r="E995" t="n">
        <v>414</v>
      </c>
      <c r="F995" t="b">
        <v>1</v>
      </c>
      <c r="G995">
        <f>HYPERLINK("https://www.google.com/maps/search/?api=1&amp;query=24.50785092,44.3850194", "View Map")</f>
        <v/>
      </c>
    </row>
    <row r="996">
      <c r="A996" t="inlineStr">
        <is>
          <t xml:space="preserve">   مسجد      الخزان    بالقرينيه .</t>
        </is>
      </c>
      <c r="B996" t="inlineStr">
        <is>
          <t>KFM2020660209341</t>
        </is>
      </c>
      <c r="C996" t="inlineStr">
        <is>
          <t>المزاحمية</t>
        </is>
      </c>
      <c r="D996" t="inlineStr">
        <is>
          <t>صباحا</t>
        </is>
      </c>
      <c r="E996" t="n">
        <v>414</v>
      </c>
      <c r="F996" t="b">
        <v>0</v>
      </c>
      <c r="G996">
        <f>HYPERLINK("https://www.google.com/maps/search/?api=1&amp;query=24.47774972,46.28249701", "View Map")</f>
        <v/>
      </c>
    </row>
    <row r="997">
      <c r="A997" t="inlineStr">
        <is>
          <t xml:space="preserve">   أوقاف القويعية/مسجدهجرة أبومروة .</t>
        </is>
      </c>
      <c r="B997" t="inlineStr">
        <is>
          <t>SMR2020850089779</t>
        </is>
      </c>
      <c r="C997" t="inlineStr">
        <is>
          <t>القويعية</t>
        </is>
      </c>
      <c r="D997" t="inlineStr">
        <is>
          <t>صباحا</t>
        </is>
      </c>
      <c r="E997" t="n">
        <v>414</v>
      </c>
      <c r="F997" t="b">
        <v>0</v>
      </c>
      <c r="G997">
        <f>HYPERLINK("https://www.google.com/maps/search/?api=1&amp;query=24.10567892,45.3408084", "View Map")</f>
        <v/>
      </c>
    </row>
    <row r="998">
      <c r="A998" t="inlineStr">
        <is>
          <t xml:space="preserve">      مسجد الخزيم .</t>
        </is>
      </c>
      <c r="B998" t="inlineStr">
        <is>
          <t>KFM2020766075883</t>
        </is>
      </c>
      <c r="C998" t="inlineStr">
        <is>
          <t>المزاحمية</t>
        </is>
      </c>
      <c r="D998" t="inlineStr">
        <is>
          <t>صباحا</t>
        </is>
      </c>
      <c r="E998" t="n">
        <v>413</v>
      </c>
      <c r="F998" t="b">
        <v>0</v>
      </c>
      <c r="G998">
        <f>HYPERLINK("https://www.google.com/maps/search/?api=1&amp;query=24.48362796,46.27811323", "View Map")</f>
        <v/>
      </c>
    </row>
    <row r="999">
      <c r="A999" t="inlineStr">
        <is>
          <t>ﻭﺯﺍﺭﺓﺍﻻﻭﻗﺎﻑ ـ ﺍﻭﻗﺎﻑ ﺍﻟﺩﻭﺍﺩﻤﻲ .</t>
        </is>
      </c>
      <c r="B999" t="inlineStr">
        <is>
          <t>MMF2420801338391</t>
        </is>
      </c>
      <c r="C999" t="inlineStr">
        <is>
          <t>الدوادمي</t>
        </is>
      </c>
      <c r="D999" t="inlineStr">
        <is>
          <t>مساءا</t>
        </is>
      </c>
      <c r="E999" t="n">
        <v>413</v>
      </c>
      <c r="F999" t="b">
        <v>0</v>
      </c>
      <c r="G999">
        <f>HYPERLINK("https://www.google.com/maps/search/?api=1&amp;query=24.53879032,44.40860467", "View Map")</f>
        <v/>
      </c>
    </row>
    <row r="1000">
      <c r="A1000" t="inlineStr">
        <is>
          <t xml:space="preserve">   اوقاف المزاحمية مسجد هجرة البيان .</t>
        </is>
      </c>
      <c r="B1000" t="inlineStr">
        <is>
          <t>KFM2020766075756</t>
        </is>
      </c>
      <c r="C1000" t="inlineStr">
        <is>
          <t>القويعية</t>
        </is>
      </c>
      <c r="D1000" t="inlineStr">
        <is>
          <t>صباحا</t>
        </is>
      </c>
      <c r="E1000" t="n">
        <v>410</v>
      </c>
      <c r="F1000" t="b">
        <v>0</v>
      </c>
      <c r="G1000">
        <f>HYPERLINK("https://www.google.com/maps/search/?api=1&amp;query=24.23067443,45.77344479", "View Map")</f>
        <v/>
      </c>
    </row>
    <row r="1001">
      <c r="A1001" t="inlineStr">
        <is>
          <t xml:space="preserve">   مسجد .</t>
        </is>
      </c>
      <c r="B1001" t="inlineStr">
        <is>
          <t>KFM2020760135950</t>
        </is>
      </c>
      <c r="C1001" t="inlineStr">
        <is>
          <t>الدوادمي</t>
        </is>
      </c>
      <c r="D1001" t="inlineStr">
        <is>
          <t>مساءا</t>
        </is>
      </c>
      <c r="E1001" t="n">
        <v>409</v>
      </c>
      <c r="F1001" t="b">
        <v>0</v>
      </c>
      <c r="G1001">
        <f>HYPERLINK("https://www.google.com/maps/search/?api=1&amp;query=24.51519258,44.38269998", "View Map")</f>
        <v/>
      </c>
    </row>
    <row r="1002">
      <c r="A1002" t="inlineStr">
        <is>
          <t xml:space="preserve">   مسجد شرق ارطاوي المطران .</t>
        </is>
      </c>
      <c r="B1002" t="inlineStr">
        <is>
          <t>KFM2020660208454</t>
        </is>
      </c>
      <c r="C1002" t="inlineStr">
        <is>
          <t>الدوادمي</t>
        </is>
      </c>
      <c r="D1002" t="inlineStr">
        <is>
          <t>صباحا</t>
        </is>
      </c>
      <c r="E1002" t="n">
        <v>409</v>
      </c>
      <c r="F1002" t="b">
        <v>0</v>
      </c>
      <c r="G1002">
        <f>HYPERLINK("https://www.google.com/maps/search/?api=1&amp;query=25.37757874,44.50922853", "View Map")</f>
        <v/>
      </c>
    </row>
    <row r="1003">
      <c r="A1003" t="inlineStr">
        <is>
          <t xml:space="preserve">   مسجد مستشفى البجاديةالعام .</t>
        </is>
      </c>
      <c r="B1003" t="inlineStr">
        <is>
          <t>AES2020896450941</t>
        </is>
      </c>
      <c r="C1003" t="inlineStr">
        <is>
          <t>الدوادمي</t>
        </is>
      </c>
      <c r="D1003" t="inlineStr">
        <is>
          <t>مساءا</t>
        </is>
      </c>
      <c r="E1003" t="n">
        <v>408</v>
      </c>
      <c r="F1003" t="b">
        <v>0</v>
      </c>
      <c r="G1003">
        <f>HYPERLINK("https://www.google.com/maps/search/?api=1&amp;query=24.30572994,43.76523383", "View Map")</f>
        <v/>
      </c>
    </row>
    <row r="1004">
      <c r="A1004" t="inlineStr">
        <is>
          <t xml:space="preserve">   مسجد      مخطط 960  . .</t>
        </is>
      </c>
      <c r="B1004" t="inlineStr">
        <is>
          <t>KFM2020660189973</t>
        </is>
      </c>
      <c r="C1004" t="inlineStr">
        <is>
          <t>الدوادمي</t>
        </is>
      </c>
      <c r="D1004" t="inlineStr">
        <is>
          <t>مساءا</t>
        </is>
      </c>
      <c r="E1004" t="n">
        <v>406</v>
      </c>
      <c r="F1004" t="b">
        <v>0</v>
      </c>
      <c r="G1004">
        <f>HYPERLINK("https://www.google.com/maps/search/?api=1&amp;query=24.56569688,44.44488161", "View Map")</f>
        <v/>
      </c>
    </row>
    <row r="1005">
      <c r="A1005" t="inlineStr">
        <is>
          <t xml:space="preserve">   اوقاف     الرين     ام سريحه .</t>
        </is>
      </c>
      <c r="B1005" t="inlineStr">
        <is>
          <t>KFM2020766154992</t>
        </is>
      </c>
      <c r="C1005" t="inlineStr">
        <is>
          <t>الرين</t>
        </is>
      </c>
      <c r="D1005" t="inlineStr">
        <is>
          <t>مساءا</t>
        </is>
      </c>
      <c r="E1005" t="n">
        <v>405</v>
      </c>
      <c r="F1005" t="b">
        <v>0</v>
      </c>
      <c r="G1005">
        <f>HYPERLINK("https://www.google.com/maps/search/?api=1&amp;query=23.06613079,45.43973354", "View Map")</f>
        <v/>
      </c>
    </row>
    <row r="1006">
      <c r="A1006" t="inlineStr">
        <is>
          <t xml:space="preserve">   مسجد الحضينى بساجر .</t>
        </is>
      </c>
      <c r="B1006" t="inlineStr">
        <is>
          <t>AES2120896573528</t>
        </is>
      </c>
      <c r="C1006" t="inlineStr">
        <is>
          <t>الدوادمي</t>
        </is>
      </c>
      <c r="D1006" t="inlineStr">
        <is>
          <t>مساءا</t>
        </is>
      </c>
      <c r="E1006" t="n">
        <v>402</v>
      </c>
      <c r="F1006" t="b">
        <v>0</v>
      </c>
      <c r="G1006">
        <f>HYPERLINK("https://www.google.com/maps/search/?api=1&amp;query=25.1782965,44.60029172", "View Map")</f>
        <v/>
      </c>
    </row>
    <row r="1007">
      <c r="A1007" t="inlineStr">
        <is>
          <t>ﻭﺯﺍﺭﺓﺍﻻﻭﻗﺎﻑ ـ ﺍﻭﻗﺎﻑ ﺍﻟﺩﻭﺍﺩﻤﻲ .</t>
        </is>
      </c>
      <c r="B1007" t="inlineStr">
        <is>
          <t>AEC2020830004554</t>
        </is>
      </c>
      <c r="C1007" t="inlineStr">
        <is>
          <t>الدوادمي</t>
        </is>
      </c>
      <c r="D1007" t="inlineStr">
        <is>
          <t>مساءا</t>
        </is>
      </c>
      <c r="E1007" t="n">
        <v>399</v>
      </c>
      <c r="F1007" t="b">
        <v>0</v>
      </c>
      <c r="G1007">
        <f>HYPERLINK("https://www.google.com/maps/search/?api=1&amp;query=24.54225559,44.40253415", "View Map")</f>
        <v/>
      </c>
    </row>
    <row r="1008">
      <c r="A1008" t="inlineStr">
        <is>
          <t xml:space="preserve">   مسجد أم رضمه .</t>
        </is>
      </c>
      <c r="B1008" t="inlineStr">
        <is>
          <t>SMR2220761015036</t>
        </is>
      </c>
      <c r="C1008" t="inlineStr">
        <is>
          <t>الدوادمي</t>
        </is>
      </c>
      <c r="D1008" t="inlineStr">
        <is>
          <t>صباحا</t>
        </is>
      </c>
      <c r="E1008" t="n">
        <v>399</v>
      </c>
      <c r="F1008" t="b">
        <v>0</v>
      </c>
      <c r="G1008">
        <f>HYPERLINK("https://www.google.com/maps/search/?api=1&amp;query=24.69088488,43.69553046", "View Map")</f>
        <v/>
      </c>
    </row>
    <row r="1009">
      <c r="A1009" t="inlineStr">
        <is>
          <t xml:space="preserve">   مسجد/مقبولمقبل      العتيبي .</t>
        </is>
      </c>
      <c r="B1009" t="inlineStr">
        <is>
          <t>AES2120896537789</t>
        </is>
      </c>
      <c r="C1009" t="inlineStr">
        <is>
          <t>الدوادمي</t>
        </is>
      </c>
      <c r="D1009" t="inlineStr">
        <is>
          <t>مساءا</t>
        </is>
      </c>
      <c r="E1009" t="n">
        <v>398</v>
      </c>
      <c r="F1009" t="b">
        <v>0</v>
      </c>
      <c r="G1009">
        <f>HYPERLINK("https://www.google.com/maps/search/?api=1&amp;query=24.29413225,43.67441934", "View Map")</f>
        <v/>
      </c>
    </row>
    <row r="1010">
      <c r="A1010" t="inlineStr">
        <is>
          <t xml:space="preserve">   مسجد      التقوى    //// .</t>
        </is>
      </c>
      <c r="B1010" t="inlineStr">
        <is>
          <t>KFM2020760082921</t>
        </is>
      </c>
      <c r="C1010" t="inlineStr">
        <is>
          <t>الدوادمي</t>
        </is>
      </c>
      <c r="D1010" t="inlineStr">
        <is>
          <t>صباحا</t>
        </is>
      </c>
      <c r="E1010" t="n">
        <v>397</v>
      </c>
      <c r="F1010" t="b">
        <v>0</v>
      </c>
      <c r="G1010">
        <f>HYPERLINK("https://www.google.com/maps/search/?api=1&amp;query=24.54456886,44.43271592", "View Map")</f>
        <v/>
      </c>
    </row>
    <row r="1011">
      <c r="A1011" t="inlineStr">
        <is>
          <t xml:space="preserve">   اوقاف الحصاة/جامع الخشبي .</t>
        </is>
      </c>
      <c r="B1011" t="inlineStr">
        <is>
          <t>AES2020896448207</t>
        </is>
      </c>
      <c r="C1011" t="inlineStr">
        <is>
          <t>الرين</t>
        </is>
      </c>
      <c r="D1011" t="inlineStr">
        <is>
          <t>صباحا</t>
        </is>
      </c>
      <c r="E1011" t="n">
        <v>395</v>
      </c>
      <c r="F1011" t="b">
        <v>0</v>
      </c>
      <c r="G1011">
        <f>HYPERLINK("https://www.google.com/maps/search/?api=1&amp;query=22.48739232,45.0480052", "View Map")</f>
        <v/>
      </c>
    </row>
    <row r="1012">
      <c r="A1012" t="inlineStr">
        <is>
          <t xml:space="preserve">    مسجد العليا .</t>
        </is>
      </c>
      <c r="B1012" t="inlineStr">
        <is>
          <t>ECC2020811047439</t>
        </is>
      </c>
      <c r="C1012" t="inlineStr">
        <is>
          <t>الدوادمي</t>
        </is>
      </c>
      <c r="D1012" t="inlineStr">
        <is>
          <t>صباحا</t>
        </is>
      </c>
      <c r="E1012" t="n">
        <v>392</v>
      </c>
      <c r="F1012" t="b">
        <v>1</v>
      </c>
      <c r="G1012">
        <f>HYPERLINK("https://www.google.com/maps/search/?api=1&amp;query=24.7383765,43.78606097", "View Map")</f>
        <v/>
      </c>
    </row>
    <row r="1013">
      <c r="A1013" t="inlineStr">
        <is>
          <t xml:space="preserve">   جامع كبشان .</t>
        </is>
      </c>
      <c r="B1013" t="inlineStr">
        <is>
          <t>KFM2020766093778</t>
        </is>
      </c>
      <c r="C1013" t="inlineStr">
        <is>
          <t>الدوادمي</t>
        </is>
      </c>
      <c r="D1013" t="inlineStr">
        <is>
          <t>صباحا</t>
        </is>
      </c>
      <c r="E1013" t="n">
        <v>391</v>
      </c>
      <c r="F1013" t="b">
        <v>0</v>
      </c>
      <c r="G1013">
        <f>HYPERLINK("https://www.google.com/maps/search/?api=1&amp;query=24.20045799,43.84274351", "View Map")</f>
        <v/>
      </c>
    </row>
    <row r="1014">
      <c r="A1014" t="inlineStr">
        <is>
          <t xml:space="preserve">   مسجد      العتبان   0 .</t>
        </is>
      </c>
      <c r="B1014" t="inlineStr">
        <is>
          <t>AES2020896077649</t>
        </is>
      </c>
      <c r="C1014" t="inlineStr">
        <is>
          <t>المزاحمية</t>
        </is>
      </c>
      <c r="D1014" t="inlineStr">
        <is>
          <t>مساءا</t>
        </is>
      </c>
      <c r="E1014" t="n">
        <v>391</v>
      </c>
      <c r="F1014" t="b">
        <v>0</v>
      </c>
      <c r="G1014">
        <f>HYPERLINK("https://www.google.com/maps/search/?api=1&amp;query=24.48058668,46.27972122", "View Map")</f>
        <v/>
      </c>
    </row>
    <row r="1015">
      <c r="A1015" t="inlineStr">
        <is>
          <t xml:space="preserve">   مسجد      منيره     الرويس .</t>
        </is>
      </c>
      <c r="B1015" t="inlineStr">
        <is>
          <t>KFM2020660210720</t>
        </is>
      </c>
      <c r="C1015" t="inlineStr">
        <is>
          <t>الدوادمي</t>
        </is>
      </c>
      <c r="D1015" t="inlineStr">
        <is>
          <t>مساءا</t>
        </is>
      </c>
      <c r="E1015" t="n">
        <v>391</v>
      </c>
      <c r="F1015" t="b">
        <v>1</v>
      </c>
      <c r="G1015">
        <f>HYPERLINK("https://www.google.com/maps/search/?api=1&amp;query=24.49792005,44.36773392", "View Map")</f>
        <v/>
      </c>
    </row>
    <row r="1016">
      <c r="A1016" t="inlineStr">
        <is>
          <t>ﻭﺯﺍﺭﺓﺍﻻﻭﻗﺎﻑ ـ ﺍﻭﻗﺎﻑ ﺍﻟﺩﻭﺍﺩﻤﻲ .</t>
        </is>
      </c>
      <c r="B1016" t="inlineStr">
        <is>
          <t>KFM2020860519985</t>
        </is>
      </c>
      <c r="C1016" t="inlineStr">
        <is>
          <t>الدوادمي</t>
        </is>
      </c>
      <c r="D1016" t="inlineStr">
        <is>
          <t>مساءا</t>
        </is>
      </c>
      <c r="E1016" t="n">
        <v>390</v>
      </c>
      <c r="F1016" t="b">
        <v>1</v>
      </c>
      <c r="G1016">
        <f>HYPERLINK("https://www.google.com/maps/search/?api=1&amp;query=24.51175657,44.37008994", "View Map")</f>
        <v/>
      </c>
    </row>
    <row r="1017">
      <c r="A1017" t="inlineStr">
        <is>
          <t xml:space="preserve">   مسجد مشعل سعد الحنتوشي .</t>
        </is>
      </c>
      <c r="B1017" t="inlineStr">
        <is>
          <t>AES2020896447072</t>
        </is>
      </c>
      <c r="C1017" t="inlineStr">
        <is>
          <t>الدوادمي</t>
        </is>
      </c>
      <c r="D1017" t="inlineStr">
        <is>
          <t>مساءا</t>
        </is>
      </c>
      <c r="E1017" t="n">
        <v>388</v>
      </c>
      <c r="F1017" t="b">
        <v>0</v>
      </c>
      <c r="G1017">
        <f>HYPERLINK("https://www.google.com/maps/search/?api=1&amp;query=25.1802458,44.55879448", "View Map")</f>
        <v/>
      </c>
    </row>
    <row r="1018">
      <c r="A1018" t="inlineStr">
        <is>
          <t xml:space="preserve">       مسجد القرنه .</t>
        </is>
      </c>
      <c r="B1018" t="inlineStr">
        <is>
          <t>KFM2020660172428</t>
        </is>
      </c>
      <c r="C1018" t="inlineStr">
        <is>
          <t>الدوادمي</t>
        </is>
      </c>
      <c r="D1018" t="inlineStr">
        <is>
          <t>مساءا</t>
        </is>
      </c>
      <c r="E1018" t="n">
        <v>383</v>
      </c>
      <c r="F1018" t="b">
        <v>0</v>
      </c>
      <c r="G1018">
        <f>HYPERLINK("https://www.google.com/maps/search/?api=1&amp;query=24.71758362,44.75222567", "View Map")</f>
        <v/>
      </c>
    </row>
    <row r="1019">
      <c r="A1019" t="inlineStr">
        <is>
          <t xml:space="preserve">   مسجد الطويل في روضة الطويل .</t>
        </is>
      </c>
      <c r="B1019" t="inlineStr">
        <is>
          <t>KFM2020766090285</t>
        </is>
      </c>
      <c r="C1019" t="inlineStr">
        <is>
          <t>الدوادمي</t>
        </is>
      </c>
      <c r="D1019" t="inlineStr">
        <is>
          <t>مساءا</t>
        </is>
      </c>
      <c r="E1019" t="n">
        <v>382</v>
      </c>
      <c r="F1019" t="b">
        <v>0</v>
      </c>
      <c r="G1019">
        <f>HYPERLINK("https://www.google.com/maps/search/?api=1&amp;query=25.22087238,44.5550596", "View Map")</f>
        <v/>
      </c>
    </row>
    <row r="1020">
      <c r="A1020" t="inlineStr">
        <is>
          <t xml:space="preserve">   جامع      الصاهد    سعد ماضي .</t>
        </is>
      </c>
      <c r="B1020" t="inlineStr">
        <is>
          <t>KFM2020660204103</t>
        </is>
      </c>
      <c r="C1020" t="inlineStr">
        <is>
          <t>الدوادمي</t>
        </is>
      </c>
      <c r="D1020" t="inlineStr">
        <is>
          <t>مساءا</t>
        </is>
      </c>
      <c r="E1020" t="n">
        <v>382</v>
      </c>
      <c r="F1020" t="b">
        <v>1</v>
      </c>
      <c r="G1020">
        <f>HYPERLINK("https://www.google.com/maps/search/?api=1&amp;query=24.5338014,44.26879178", "View Map")</f>
        <v/>
      </c>
    </row>
    <row r="1021">
      <c r="A1021" t="inlineStr">
        <is>
          <t xml:space="preserve">   اوقاف القويعيه / مسجدام اثله .</t>
        </is>
      </c>
      <c r="B1021" t="inlineStr">
        <is>
          <t>AES2120896615331</t>
        </is>
      </c>
      <c r="C1021" t="inlineStr">
        <is>
          <t>الرين</t>
        </is>
      </c>
      <c r="D1021" t="inlineStr">
        <is>
          <t>صباحا</t>
        </is>
      </c>
      <c r="E1021" t="n">
        <v>381</v>
      </c>
      <c r="F1021" t="b">
        <v>0</v>
      </c>
      <c r="G1021">
        <f>HYPERLINK("https://www.google.com/maps/search/?api=1&amp;query=22.76910854,45.27231453", "View Map")</f>
        <v/>
      </c>
    </row>
    <row r="1022">
      <c r="A1022" t="inlineStr">
        <is>
          <t xml:space="preserve">   اوقاف الحصاة/مسجدالنباه .</t>
        </is>
      </c>
      <c r="B1022" t="inlineStr">
        <is>
          <t>AES2020896452043</t>
        </is>
      </c>
      <c r="C1022" t="inlineStr">
        <is>
          <t>الرين</t>
        </is>
      </c>
      <c r="D1022" t="inlineStr">
        <is>
          <t>مساءا</t>
        </is>
      </c>
      <c r="E1022" t="n">
        <v>381</v>
      </c>
      <c r="F1022" t="b">
        <v>0</v>
      </c>
      <c r="G1022">
        <f>HYPERLINK("https://www.google.com/maps/search/?api=1&amp;query=22.80294086,45.15472506", "View Map")</f>
        <v/>
      </c>
    </row>
    <row r="1023">
      <c r="A1023" t="inlineStr">
        <is>
          <t xml:space="preserve">   مسجد      مخطط ج 139حلبان .</t>
        </is>
      </c>
      <c r="B1023" t="inlineStr">
        <is>
          <t>KFM2020760185774</t>
        </is>
      </c>
      <c r="C1023" t="inlineStr">
        <is>
          <t>القويعية</t>
        </is>
      </c>
      <c r="D1023" t="inlineStr">
        <is>
          <t>صباحا</t>
        </is>
      </c>
      <c r="E1023" t="n">
        <v>381</v>
      </c>
      <c r="F1023" t="b">
        <v>0</v>
      </c>
      <c r="G1023">
        <f>HYPERLINK("https://www.google.com/maps/search/?api=1&amp;query=23.47397549,44.37246952", "View Map")</f>
        <v/>
      </c>
    </row>
    <row r="1024">
      <c r="A1024" t="inlineStr">
        <is>
          <t>ﻭﺯﺍﺭﺓﺍﻻﻭﻗﺎﻑ ـ ﺍﻭﻗﺎﻑ ﺴﺎﺠﺭ .</t>
        </is>
      </c>
      <c r="B1024" t="inlineStr">
        <is>
          <t>KFM2020766085363</t>
        </is>
      </c>
      <c r="C1024" t="inlineStr">
        <is>
          <t>الدوادمي</t>
        </is>
      </c>
      <c r="D1024" t="inlineStr">
        <is>
          <t>مساءا</t>
        </is>
      </c>
      <c r="E1024" t="n">
        <v>380</v>
      </c>
      <c r="F1024" t="b">
        <v>1</v>
      </c>
      <c r="G1024">
        <f>HYPERLINK("https://www.google.com/maps/search/?api=1&amp;query=25.18203577,44.59809175", "View Map")</f>
        <v/>
      </c>
    </row>
    <row r="1025">
      <c r="A1025" t="inlineStr">
        <is>
          <t xml:space="preserve">      اوقاف الرين/مسجد منى الجبر .</t>
        </is>
      </c>
      <c r="B1025" t="inlineStr">
        <is>
          <t>AES2020896527622</t>
        </is>
      </c>
      <c r="C1025" t="inlineStr">
        <is>
          <t>الرين</t>
        </is>
      </c>
      <c r="D1025" t="inlineStr">
        <is>
          <t>صباحا</t>
        </is>
      </c>
      <c r="E1025" t="n">
        <v>380</v>
      </c>
      <c r="F1025" t="b">
        <v>0</v>
      </c>
      <c r="G1025">
        <f>HYPERLINK("https://www.google.com/maps/search/?api=1&amp;query=23.51337617,45.51952191", "View Map")</f>
        <v/>
      </c>
    </row>
    <row r="1026">
      <c r="A1026" t="inlineStr">
        <is>
          <t xml:space="preserve">   مسجد القويسه .</t>
        </is>
      </c>
      <c r="B1026" t="inlineStr">
        <is>
          <t>AES2120896566657</t>
        </is>
      </c>
      <c r="C1026" t="inlineStr">
        <is>
          <t>القويعية</t>
        </is>
      </c>
      <c r="D1026" t="inlineStr">
        <is>
          <t>صباحا</t>
        </is>
      </c>
      <c r="E1026" t="n">
        <v>380</v>
      </c>
      <c r="F1026" t="b">
        <v>0</v>
      </c>
      <c r="G1026">
        <f>HYPERLINK("https://www.google.com/maps/search/?api=1&amp;query=23.95976446,45.56275782", "View Map")</f>
        <v/>
      </c>
    </row>
    <row r="1027">
      <c r="A1027" t="inlineStr">
        <is>
          <t xml:space="preserve">   مسجد العيديه .</t>
        </is>
      </c>
      <c r="B1027" t="inlineStr">
        <is>
          <t>KFM2020660204325</t>
        </is>
      </c>
      <c r="C1027" t="inlineStr">
        <is>
          <t>الدوادمي</t>
        </is>
      </c>
      <c r="D1027" t="inlineStr">
        <is>
          <t>مساءا</t>
        </is>
      </c>
      <c r="E1027" t="n">
        <v>372</v>
      </c>
      <c r="F1027" t="b">
        <v>0</v>
      </c>
      <c r="G1027">
        <f>HYPERLINK("https://www.google.com/maps/search/?api=1&amp;query=25.25060308,44.15936034", "View Map")</f>
        <v/>
      </c>
    </row>
    <row r="1028">
      <c r="A1028" t="inlineStr">
        <is>
          <t xml:space="preserve">   اوقاف الحصاة/مسجدحي الزهور .</t>
        </is>
      </c>
      <c r="B1028" t="inlineStr">
        <is>
          <t>AES2020896532271</t>
        </is>
      </c>
      <c r="C1028" t="inlineStr">
        <is>
          <t>الرين</t>
        </is>
      </c>
      <c r="D1028" t="inlineStr">
        <is>
          <t>صباحا</t>
        </is>
      </c>
      <c r="E1028" t="n">
        <v>371</v>
      </c>
      <c r="F1028" t="b">
        <v>0</v>
      </c>
      <c r="G1028">
        <f>HYPERLINK("https://www.google.com/maps/search/?api=1&amp;query=22.84226193,44.95323294", "View Map")</f>
        <v/>
      </c>
    </row>
    <row r="1029">
      <c r="A1029" t="inlineStr">
        <is>
          <t xml:space="preserve">   مسجد/ضيف الله ساير الحميدان .</t>
        </is>
      </c>
      <c r="B1029" t="inlineStr">
        <is>
          <t>AES2120896573586</t>
        </is>
      </c>
      <c r="C1029" t="inlineStr">
        <is>
          <t>الدوادمي</t>
        </is>
      </c>
      <c r="D1029" t="inlineStr">
        <is>
          <t>مساءا</t>
        </is>
      </c>
      <c r="E1029" t="n">
        <v>370</v>
      </c>
      <c r="F1029" t="b">
        <v>0</v>
      </c>
      <c r="G1029">
        <f>HYPERLINK("https://www.google.com/maps/search/?api=1&amp;query=25.20184668,44.59350255", "View Map")</f>
        <v/>
      </c>
    </row>
    <row r="1030">
      <c r="A1030" t="inlineStr">
        <is>
          <t xml:space="preserve">   مسجد/ارطاوي الرقاص  شرق رقم (2) .</t>
        </is>
      </c>
      <c r="B1030" t="inlineStr">
        <is>
          <t>KFM2020766098790</t>
        </is>
      </c>
      <c r="C1030" t="inlineStr">
        <is>
          <t>الدوادمي</t>
        </is>
      </c>
      <c r="D1030" t="inlineStr">
        <is>
          <t>مساءا</t>
        </is>
      </c>
      <c r="E1030" t="n">
        <v>370</v>
      </c>
      <c r="F1030" t="b">
        <v>0</v>
      </c>
      <c r="G1030">
        <f>HYPERLINK("https://www.google.com/maps/search/?api=1&amp;query=25.06151833,44.70792793", "View Map")</f>
        <v/>
      </c>
    </row>
    <row r="1031">
      <c r="A1031" t="inlineStr">
        <is>
          <t xml:space="preserve">   مسجد الناصريه/وزاره الا وقاف والم .</t>
        </is>
      </c>
      <c r="B1031" t="inlineStr">
        <is>
          <t>KFM2020760189043</t>
        </is>
      </c>
      <c r="C1031" t="inlineStr">
        <is>
          <t>الدوادمي</t>
        </is>
      </c>
      <c r="D1031" t="inlineStr">
        <is>
          <t>مساءا</t>
        </is>
      </c>
      <c r="E1031" t="n">
        <v>370</v>
      </c>
      <c r="F1031" t="b">
        <v>1</v>
      </c>
      <c r="G1031">
        <f>HYPERLINK("https://www.google.com/maps/search/?api=1&amp;query=25.45599881,44.39350676", "View Map")</f>
        <v/>
      </c>
    </row>
    <row r="1032">
      <c r="A1032" t="inlineStr">
        <is>
          <t>ﻭﺯﺍﺭﺓﺍﻻﻭﻗﺎﻑ ـ ﺍﻭﻗﺎﻑ ﺍﻟﺩﻭﺍﺩﻤﻲ .</t>
        </is>
      </c>
      <c r="B1032" t="inlineStr">
        <is>
          <t>AEC2020830108373</t>
        </is>
      </c>
      <c r="C1032" t="inlineStr">
        <is>
          <t>الدوادمي</t>
        </is>
      </c>
      <c r="D1032" t="inlineStr">
        <is>
          <t>مساءا</t>
        </is>
      </c>
      <c r="E1032" t="n">
        <v>370</v>
      </c>
      <c r="F1032" t="b">
        <v>0</v>
      </c>
      <c r="G1032">
        <f>HYPERLINK("https://www.google.com/maps/search/?api=1&amp;query=24.49637837,44.35010036", "View Map")</f>
        <v/>
      </c>
    </row>
    <row r="1033">
      <c r="A1033" t="inlineStr">
        <is>
          <t xml:space="preserve">   مسجدام حزم/جميلان    عاتق .</t>
        </is>
      </c>
      <c r="B1033" t="inlineStr">
        <is>
          <t>AES2120896610076</t>
        </is>
      </c>
      <c r="C1033" t="inlineStr">
        <is>
          <t>الدوادمي</t>
        </is>
      </c>
      <c r="D1033" t="inlineStr">
        <is>
          <t>مساءا</t>
        </is>
      </c>
      <c r="E1033" t="n">
        <v>367</v>
      </c>
      <c r="F1033" t="b">
        <v>0</v>
      </c>
      <c r="G1033">
        <f>HYPERLINK("https://www.google.com/maps/search/?api=1&amp;query=24.71788497,44.29090511", "View Map")</f>
        <v/>
      </c>
    </row>
    <row r="1034">
      <c r="A1034" t="inlineStr">
        <is>
          <t>مسجد التوحيد بالرفيعه .</t>
        </is>
      </c>
      <c r="B1034" t="inlineStr">
        <is>
          <t>KFM2020660204488</t>
        </is>
      </c>
      <c r="C1034" t="inlineStr">
        <is>
          <t>الدوادمي</t>
        </is>
      </c>
      <c r="D1034" t="inlineStr">
        <is>
          <t>مساءا</t>
        </is>
      </c>
      <c r="E1034" t="n">
        <v>367</v>
      </c>
      <c r="F1034" t="b">
        <v>0</v>
      </c>
      <c r="G1034">
        <f>HYPERLINK("https://www.google.com/maps/search/?api=1&amp;query=25.15912025,44.59080021", "View Map")</f>
        <v/>
      </c>
    </row>
    <row r="1035">
      <c r="A1035" t="inlineStr">
        <is>
          <t xml:space="preserve">   مسجد الحصيني .</t>
        </is>
      </c>
      <c r="B1035" t="inlineStr">
        <is>
          <t>KFM2020660173181</t>
        </is>
      </c>
      <c r="C1035" t="inlineStr">
        <is>
          <t>الدوادمي</t>
        </is>
      </c>
      <c r="D1035" t="inlineStr">
        <is>
          <t>مساءا</t>
        </is>
      </c>
      <c r="E1035" t="n">
        <v>366</v>
      </c>
      <c r="F1035" t="b">
        <v>0</v>
      </c>
      <c r="G1035">
        <f>HYPERLINK("https://www.google.com/maps/search/?api=1&amp;query=25.1067918,44.68595378", "View Map")</f>
        <v/>
      </c>
    </row>
    <row r="1036">
      <c r="A1036" t="inlineStr">
        <is>
          <t>ﻭﺯﺍﺭﺓﺍﻻﻭﻗﺎﻑ ـ ﺍﻭﻗﺎﻑ ﺍﻟﺩﻭﺍﺩﻤﻲ .</t>
        </is>
      </c>
      <c r="B1036" t="inlineStr">
        <is>
          <t>KFM2020760208867</t>
        </is>
      </c>
      <c r="C1036" t="inlineStr">
        <is>
          <t>الدوادمي</t>
        </is>
      </c>
      <c r="D1036" t="inlineStr">
        <is>
          <t>مساءا</t>
        </is>
      </c>
      <c r="E1036" t="n">
        <v>366</v>
      </c>
      <c r="F1036" t="b">
        <v>0</v>
      </c>
      <c r="G1036">
        <f>HYPERLINK("https://www.google.com/maps/search/?api=1&amp;query=24.90250444,44.55066916", "View Map")</f>
        <v/>
      </c>
    </row>
    <row r="1037">
      <c r="A1037" t="inlineStr">
        <is>
          <t>ﻭﺯﺍﺭﺓﺍﻻﻭﻗﺎﻑ ـ ﺍﻭﻗﺎﻑ ﻋﻓﻴﻑ .</t>
        </is>
      </c>
      <c r="B1037" t="inlineStr">
        <is>
          <t>MMF2420701009792</t>
        </is>
      </c>
      <c r="C1037" t="inlineStr">
        <is>
          <t>عفيف</t>
        </is>
      </c>
      <c r="D1037" t="inlineStr">
        <is>
          <t>صباحا</t>
        </is>
      </c>
      <c r="E1037" t="n">
        <v>366</v>
      </c>
      <c r="F1037" t="b">
        <v>0</v>
      </c>
      <c r="G1037">
        <f>HYPERLINK("https://www.google.com/maps/search/?api=1&amp;query=23.89285494,42.88751978", "View Map")</f>
        <v/>
      </c>
    </row>
    <row r="1038">
      <c r="A1038" t="inlineStr">
        <is>
          <t xml:space="preserve">   مسجد فاهد النوفل / بالفيضه .</t>
        </is>
      </c>
      <c r="B1038" t="inlineStr">
        <is>
          <t>AES2120896566237</t>
        </is>
      </c>
      <c r="C1038" t="inlineStr">
        <is>
          <t>الدوادمي</t>
        </is>
      </c>
      <c r="D1038" t="inlineStr">
        <is>
          <t>مساءا</t>
        </is>
      </c>
      <c r="E1038" t="n">
        <v>365</v>
      </c>
      <c r="F1038" t="b">
        <v>0</v>
      </c>
      <c r="G1038">
        <f>HYPERLINK("https://www.google.com/maps/search/?api=1&amp;query=25.33327992,44.46429836", "View Map")</f>
        <v/>
      </c>
    </row>
    <row r="1039">
      <c r="A1039" t="inlineStr">
        <is>
          <t xml:space="preserve">   مسجد      العزيزية  الدوادمى .</t>
        </is>
      </c>
      <c r="B1039" t="inlineStr">
        <is>
          <t>KFM2020660212236</t>
        </is>
      </c>
      <c r="C1039" t="inlineStr">
        <is>
          <t>الدوادمي</t>
        </is>
      </c>
      <c r="D1039" t="inlineStr">
        <is>
          <t>مساءا</t>
        </is>
      </c>
      <c r="E1039" t="n">
        <v>364</v>
      </c>
      <c r="F1039" t="b">
        <v>0</v>
      </c>
      <c r="G1039">
        <f>HYPERLINK("https://www.google.com/maps/search/?api=1&amp;query=24.5107218,44.39540927", "View Map")</f>
        <v/>
      </c>
    </row>
    <row r="1040">
      <c r="A1040" t="inlineStr">
        <is>
          <t xml:space="preserve">      مسجد على شجاع .</t>
        </is>
      </c>
      <c r="B1040" t="inlineStr">
        <is>
          <t>KFM2020660233503</t>
        </is>
      </c>
      <c r="C1040" t="inlineStr">
        <is>
          <t>الدوادمي</t>
        </is>
      </c>
      <c r="D1040" t="inlineStr">
        <is>
          <t>مساءا</t>
        </is>
      </c>
      <c r="E1040" t="n">
        <v>363</v>
      </c>
      <c r="F1040" t="b">
        <v>1</v>
      </c>
      <c r="G1040">
        <f>HYPERLINK("https://www.google.com/maps/search/?api=1&amp;query=24.71006592,44.29490944", "View Map")</f>
        <v/>
      </c>
    </row>
    <row r="1041">
      <c r="A1041" t="inlineStr">
        <is>
          <t xml:space="preserve">   مسجد .</t>
        </is>
      </c>
      <c r="B1041" t="inlineStr">
        <is>
          <t>MMF2020800017057</t>
        </is>
      </c>
      <c r="C1041" t="inlineStr">
        <is>
          <t>الدوادمي</t>
        </is>
      </c>
      <c r="D1041" t="inlineStr">
        <is>
          <t>مساءا</t>
        </is>
      </c>
      <c r="E1041" t="n">
        <v>363</v>
      </c>
      <c r="F1041" t="b">
        <v>0</v>
      </c>
      <c r="G1041">
        <f>HYPERLINK("https://www.google.com/maps/search/?api=1&amp;query=24.50326151,44.36984799", "View Map")</f>
        <v/>
      </c>
    </row>
    <row r="1042">
      <c r="A1042" t="inlineStr">
        <is>
          <t xml:space="preserve">      مسجد ام المناشر/سفر عتيق وزاع .</t>
        </is>
      </c>
      <c r="B1042" t="inlineStr">
        <is>
          <t>KFM2020660208448</t>
        </is>
      </c>
      <c r="C1042" t="inlineStr">
        <is>
          <t>الدوادمي</t>
        </is>
      </c>
      <c r="D1042" t="inlineStr">
        <is>
          <t>مساءا</t>
        </is>
      </c>
      <c r="E1042" t="n">
        <v>363</v>
      </c>
      <c r="F1042" t="b">
        <v>0</v>
      </c>
      <c r="G1042">
        <f>HYPERLINK("https://www.google.com/maps/search/?api=1&amp;query=25.08583256,43.77471867", "View Map")</f>
        <v/>
      </c>
    </row>
    <row r="1043">
      <c r="A1043" t="inlineStr">
        <is>
          <t xml:space="preserve">    مسجد / أم طليحه .</t>
        </is>
      </c>
      <c r="B1043" t="inlineStr">
        <is>
          <t>MMF2420801283251</t>
        </is>
      </c>
      <c r="C1043" t="inlineStr">
        <is>
          <t>الدوادمي</t>
        </is>
      </c>
      <c r="D1043" t="inlineStr">
        <is>
          <t>مساءا</t>
        </is>
      </c>
      <c r="E1043" t="n">
        <v>362</v>
      </c>
      <c r="F1043" t="b">
        <v>0</v>
      </c>
      <c r="G1043">
        <f>HYPERLINK("https://www.google.com/maps/search/?api=1&amp;query=25.35853184,44.42208596", "View Map")</f>
        <v/>
      </c>
    </row>
    <row r="1044">
      <c r="A1044" t="inlineStr">
        <is>
          <t xml:space="preserve">  جامع سموالاميرعبدالله بن عبدالعزيز .</t>
        </is>
      </c>
      <c r="B1044" t="inlineStr">
        <is>
          <t>KFM2020760036600</t>
        </is>
      </c>
      <c r="C1044" t="inlineStr">
        <is>
          <t>الدوادمي</t>
        </is>
      </c>
      <c r="D1044" t="inlineStr">
        <is>
          <t>مساءا</t>
        </is>
      </c>
      <c r="E1044" t="n">
        <v>361</v>
      </c>
      <c r="F1044" t="b">
        <v>0</v>
      </c>
      <c r="G1044">
        <f>HYPERLINK("https://www.google.com/maps/search/?api=1&amp;query=24.58902733,44.38443533", "View Map")</f>
        <v/>
      </c>
    </row>
    <row r="1045">
      <c r="A1045" t="inlineStr">
        <is>
          <t xml:space="preserve">   مسجد/الرفيعه   وزارةالاوقاف .</t>
        </is>
      </c>
      <c r="B1045" t="inlineStr">
        <is>
          <t>AES2120896566376</t>
        </is>
      </c>
      <c r="C1045" t="inlineStr">
        <is>
          <t>الدوادمي</t>
        </is>
      </c>
      <c r="D1045" t="inlineStr">
        <is>
          <t>مساءا</t>
        </is>
      </c>
      <c r="E1045" t="n">
        <v>360</v>
      </c>
      <c r="F1045" t="b">
        <v>0</v>
      </c>
      <c r="G1045">
        <f>HYPERLINK("https://www.google.com/maps/search/?api=1&amp;query=24.66443002,43.6415956", "View Map")</f>
        <v/>
      </c>
    </row>
    <row r="1046">
      <c r="A1046" t="inlineStr">
        <is>
          <t xml:space="preserve">   مسجد/سعد المسعد .</t>
        </is>
      </c>
      <c r="B1046" t="inlineStr">
        <is>
          <t>AES2020896339386</t>
        </is>
      </c>
      <c r="C1046" t="inlineStr">
        <is>
          <t>الدوادمي</t>
        </is>
      </c>
      <c r="D1046" t="inlineStr">
        <is>
          <t>مساءا</t>
        </is>
      </c>
      <c r="E1046" t="n">
        <v>359</v>
      </c>
      <c r="F1046" t="b">
        <v>0</v>
      </c>
      <c r="G1046">
        <f>HYPERLINK("https://www.google.com/maps/search/?api=1&amp;query=25.1839448,44.60411606", "View Map")</f>
        <v/>
      </c>
    </row>
    <row r="1047">
      <c r="A1047" t="inlineStr">
        <is>
          <t xml:space="preserve">   مسجد/ندي  غازي هلال العتيبي .</t>
        </is>
      </c>
      <c r="B1047" t="inlineStr">
        <is>
          <t>KFM2020760204487</t>
        </is>
      </c>
      <c r="C1047" t="inlineStr">
        <is>
          <t>الدوادمي</t>
        </is>
      </c>
      <c r="D1047" t="inlineStr">
        <is>
          <t>مساءا</t>
        </is>
      </c>
      <c r="E1047" t="n">
        <v>358</v>
      </c>
      <c r="F1047" t="b">
        <v>0</v>
      </c>
      <c r="G1047">
        <f>HYPERLINK("https://www.google.com/maps/search/?api=1&amp;query=25.28116775,44.2146171", "View Map")</f>
        <v/>
      </c>
    </row>
    <row r="1048">
      <c r="A1048" t="inlineStr">
        <is>
          <t xml:space="preserve">   مسجد سوق الغنم والا علا ف .</t>
        </is>
      </c>
      <c r="B1048" t="inlineStr">
        <is>
          <t>SMR2020850105627</t>
        </is>
      </c>
      <c r="C1048" t="inlineStr">
        <is>
          <t>الدوادمي</t>
        </is>
      </c>
      <c r="D1048" t="inlineStr">
        <is>
          <t>مساءا</t>
        </is>
      </c>
      <c r="E1048" t="n">
        <v>355</v>
      </c>
      <c r="F1048" t="b">
        <v>1</v>
      </c>
      <c r="G1048">
        <f>HYPERLINK("https://www.google.com/maps/search/?api=1&amp;query=24.44964203,44.3728154", "View Map")</f>
        <v/>
      </c>
    </row>
    <row r="1049">
      <c r="A1049" t="inlineStr">
        <is>
          <t xml:space="preserve">   جامع اسنادالحوشان .</t>
        </is>
      </c>
      <c r="B1049" t="inlineStr">
        <is>
          <t>KFM2020660233600</t>
        </is>
      </c>
      <c r="C1049" t="inlineStr">
        <is>
          <t>الدوادمي</t>
        </is>
      </c>
      <c r="D1049" t="inlineStr">
        <is>
          <t>صباحا</t>
        </is>
      </c>
      <c r="E1049" t="n">
        <v>355</v>
      </c>
      <c r="F1049" t="b">
        <v>0</v>
      </c>
      <c r="G1049">
        <f>HYPERLINK("https://www.google.com/maps/search/?api=1&amp;query=25.20237146,44.61029181", "View Map")</f>
        <v/>
      </c>
    </row>
    <row r="1050">
      <c r="A1050" t="inlineStr">
        <is>
          <t xml:space="preserve">   مسجد/ حمد مترك العتيبي .</t>
        </is>
      </c>
      <c r="B1050" t="inlineStr">
        <is>
          <t>KFM2020660204322</t>
        </is>
      </c>
      <c r="C1050" t="inlineStr">
        <is>
          <t>الدوادمي</t>
        </is>
      </c>
      <c r="D1050" t="inlineStr">
        <is>
          <t>مساءا</t>
        </is>
      </c>
      <c r="E1050" t="n">
        <v>354</v>
      </c>
      <c r="F1050" t="b">
        <v>1</v>
      </c>
      <c r="G1050">
        <f>HYPERLINK("https://www.google.com/maps/search/?api=1&amp;query=25.22479899,44.27508962", "View Map")</f>
        <v/>
      </c>
    </row>
    <row r="1051">
      <c r="A1051" t="inlineStr">
        <is>
          <t xml:space="preserve">   مسجد      مركز      ///// .</t>
        </is>
      </c>
      <c r="B1051" t="inlineStr">
        <is>
          <t>KFM2020760051320</t>
        </is>
      </c>
      <c r="C1051" t="inlineStr">
        <is>
          <t>الدوادمي</t>
        </is>
      </c>
      <c r="D1051" t="inlineStr">
        <is>
          <t>مساءا</t>
        </is>
      </c>
      <c r="E1051" t="n">
        <v>354</v>
      </c>
      <c r="F1051" t="b">
        <v>0</v>
      </c>
      <c r="G1051">
        <f>HYPERLINK("https://www.google.com/maps/search/?api=1&amp;query=24.53516912,44.27753101", "View Map")</f>
        <v/>
      </c>
    </row>
    <row r="1052">
      <c r="A1052" t="inlineStr">
        <is>
          <t xml:space="preserve">      مسجد العوازم الجديد .</t>
        </is>
      </c>
      <c r="B1052" t="inlineStr">
        <is>
          <t>SMR2420761044713</t>
        </is>
      </c>
      <c r="C1052" t="inlineStr">
        <is>
          <t>عفيف</t>
        </is>
      </c>
      <c r="D1052" t="inlineStr">
        <is>
          <t>صباحا</t>
        </is>
      </c>
      <c r="E1052" t="n">
        <v>354</v>
      </c>
      <c r="F1052" t="b">
        <v>0</v>
      </c>
      <c r="G1052">
        <f>HYPERLINK("https://www.google.com/maps/search/?api=1&amp;query=23.91686527,42.92406133", "View Map")</f>
        <v/>
      </c>
    </row>
    <row r="1053">
      <c r="A1053" t="inlineStr">
        <is>
          <t xml:space="preserve">   مسجد      السيباني  في السيباني .</t>
        </is>
      </c>
      <c r="B1053" t="inlineStr">
        <is>
          <t>AES2020896527403</t>
        </is>
      </c>
      <c r="C1053" t="inlineStr">
        <is>
          <t>ضرما</t>
        </is>
      </c>
      <c r="D1053" t="inlineStr">
        <is>
          <t>صباحا</t>
        </is>
      </c>
      <c r="E1053" t="n">
        <v>352</v>
      </c>
      <c r="F1053" t="b">
        <v>0</v>
      </c>
      <c r="G1053">
        <f>HYPERLINK("https://www.google.com/maps/search/?api=1&amp;query=24.51650506,46.13180462", "View Map")</f>
        <v/>
      </c>
    </row>
    <row r="1054">
      <c r="A1054" t="inlineStr">
        <is>
          <t>ﻭﺯﺍﺭﺓﺍﻻﻭﻗﺎﻑ ـ ﺍﻭﻗﺎﻑ ﺍﻟﺩﻭﺍﺩﻤﻲ .</t>
        </is>
      </c>
      <c r="B1054" t="inlineStr">
        <is>
          <t>MMF2420801338773</t>
        </is>
      </c>
      <c r="C1054" t="inlineStr">
        <is>
          <t>الدوادمي</t>
        </is>
      </c>
      <c r="D1054" t="inlineStr">
        <is>
          <t>مساءا</t>
        </is>
      </c>
      <c r="E1054" t="n">
        <v>342</v>
      </c>
      <c r="F1054" t="b">
        <v>1</v>
      </c>
      <c r="G1054">
        <f>HYPERLINK("https://www.google.com/maps/search/?api=1&amp;query=24.55147967,44.4183243", "View Map")</f>
        <v/>
      </c>
    </row>
    <row r="1055">
      <c r="A1055" t="inlineStr">
        <is>
          <t xml:space="preserve">   جامع/ام رغل .</t>
        </is>
      </c>
      <c r="B1055" t="inlineStr">
        <is>
          <t>KFM2120660265078</t>
        </is>
      </c>
      <c r="C1055" t="inlineStr">
        <is>
          <t>الدوادمي</t>
        </is>
      </c>
      <c r="D1055" t="inlineStr">
        <is>
          <t>مساءا</t>
        </is>
      </c>
      <c r="E1055" t="n">
        <v>342</v>
      </c>
      <c r="F1055" t="b">
        <v>1</v>
      </c>
      <c r="G1055">
        <f>HYPERLINK("https://www.google.com/maps/search/?api=1&amp;query=25.13779276,44.59659303", "View Map")</f>
        <v/>
      </c>
    </row>
    <row r="1056">
      <c r="A1056" t="inlineStr">
        <is>
          <t xml:space="preserve">   مسجد      مخطط 622  الخطاب .</t>
        </is>
      </c>
      <c r="B1056" t="inlineStr">
        <is>
          <t>KFM2020760058274</t>
        </is>
      </c>
      <c r="C1056" t="inlineStr">
        <is>
          <t>الدوادمي</t>
        </is>
      </c>
      <c r="D1056" t="inlineStr">
        <is>
          <t>مساءا</t>
        </is>
      </c>
      <c r="E1056" t="n">
        <v>341</v>
      </c>
      <c r="F1056" t="b">
        <v>0</v>
      </c>
      <c r="G1056">
        <f>HYPERLINK("https://www.google.com/maps/search/?api=1&amp;query=24.53215614,44.4175065", "View Map")</f>
        <v/>
      </c>
    </row>
    <row r="1057">
      <c r="A1057" t="inlineStr">
        <is>
          <t xml:space="preserve">   مسجد-ابو سدر .</t>
        </is>
      </c>
      <c r="B1057" t="inlineStr">
        <is>
          <t>KFM2120660241397</t>
        </is>
      </c>
      <c r="C1057" t="inlineStr">
        <is>
          <t>الدوادمي</t>
        </is>
      </c>
      <c r="D1057" t="inlineStr">
        <is>
          <t>مساءا</t>
        </is>
      </c>
      <c r="E1057" t="n">
        <v>340</v>
      </c>
      <c r="F1057" t="b">
        <v>0</v>
      </c>
      <c r="G1057">
        <f>HYPERLINK("https://www.google.com/maps/search/?api=1&amp;query=24.9422491,44.65223755", "View Map")</f>
        <v/>
      </c>
    </row>
    <row r="1058">
      <c r="A1058" t="inlineStr">
        <is>
          <t xml:space="preserve">       مسجد الحفاير .</t>
        </is>
      </c>
      <c r="B1058" t="inlineStr">
        <is>
          <t>SMR2020850118882</t>
        </is>
      </c>
      <c r="C1058" t="inlineStr">
        <is>
          <t>الدوادمي</t>
        </is>
      </c>
      <c r="D1058" t="inlineStr">
        <is>
          <t>مساءا</t>
        </is>
      </c>
      <c r="E1058" t="n">
        <v>338</v>
      </c>
      <c r="F1058" t="b">
        <v>0</v>
      </c>
      <c r="G1058">
        <f>HYPERLINK("https://www.google.com/maps/search/?api=1&amp;query=24.49930694,44.60278719", "View Map")</f>
        <v/>
      </c>
    </row>
    <row r="1059">
      <c r="A1059" t="inlineStr">
        <is>
          <t xml:space="preserve">   مسجد/ محيميدبطيحان الحافي .</t>
        </is>
      </c>
      <c r="B1059" t="inlineStr">
        <is>
          <t>AES2120896573300</t>
        </is>
      </c>
      <c r="C1059" t="inlineStr">
        <is>
          <t>الدوادمي</t>
        </is>
      </c>
      <c r="D1059" t="inlineStr">
        <is>
          <t>مساءا</t>
        </is>
      </c>
      <c r="E1059" t="n">
        <v>335</v>
      </c>
      <c r="F1059" t="b">
        <v>0</v>
      </c>
      <c r="G1059">
        <f>HYPERLINK("https://www.google.com/maps/search/?api=1&amp;query=25.23670144,44.47159077", "View Map")</f>
        <v/>
      </c>
    </row>
    <row r="1060">
      <c r="A1060" t="inlineStr">
        <is>
          <t>مسجد /محمد رميح الحمادي .</t>
        </is>
      </c>
      <c r="B1060" t="inlineStr">
        <is>
          <t>SMR2020850094349</t>
        </is>
      </c>
      <c r="C1060" t="inlineStr">
        <is>
          <t>الدوادمي</t>
        </is>
      </c>
      <c r="D1060" t="inlineStr">
        <is>
          <t>مساءا</t>
        </is>
      </c>
      <c r="E1060" t="n">
        <v>334</v>
      </c>
      <c r="F1060" t="b">
        <v>0</v>
      </c>
      <c r="G1060">
        <f>HYPERLINK("https://www.google.com/maps/search/?api=1&amp;query=24.54344812,44.41959413", "View Map")</f>
        <v/>
      </c>
    </row>
    <row r="1061">
      <c r="A1061" t="inlineStr">
        <is>
          <t xml:space="preserve">   مسجد      منيفة/    والاوقاغ .</t>
        </is>
      </c>
      <c r="B1061" t="inlineStr">
        <is>
          <t>AES2120896573682</t>
        </is>
      </c>
      <c r="C1061" t="inlineStr">
        <is>
          <t>الدوادمي</t>
        </is>
      </c>
      <c r="D1061" t="inlineStr">
        <is>
          <t>مساءا</t>
        </is>
      </c>
      <c r="E1061" t="n">
        <v>333</v>
      </c>
      <c r="F1061" t="b">
        <v>0</v>
      </c>
      <c r="G1061">
        <f>HYPERLINK("https://www.google.com/maps/search/?api=1&amp;query=24.46394931,43.85534722", "View Map")</f>
        <v/>
      </c>
    </row>
    <row r="1062">
      <c r="A1062" t="inlineStr">
        <is>
          <t>ﻭﺯﺍﺭﺓﺍﻻﻭﻗﺎﻑ ـ ﺍﻭﻗﺎﻑ ﺴﺎﺠﺭ .</t>
        </is>
      </c>
      <c r="B1062" t="inlineStr">
        <is>
          <t>AEC2020720014772</t>
        </is>
      </c>
      <c r="C1062" t="inlineStr">
        <is>
          <t>الدوادمي</t>
        </is>
      </c>
      <c r="D1062" t="inlineStr">
        <is>
          <t>مساءا</t>
        </is>
      </c>
      <c r="E1062" t="n">
        <v>329</v>
      </c>
      <c r="F1062" t="b">
        <v>1</v>
      </c>
      <c r="G1062">
        <f>HYPERLINK("https://www.google.com/maps/search/?api=1&amp;query=25.17420934,44.61100612", "View Map")</f>
        <v/>
      </c>
    </row>
    <row r="1063">
      <c r="A1063" t="inlineStr">
        <is>
          <t xml:space="preserve">   مسجد عمر بن عبدالعزيز ( ض ،،،ع ) .</t>
        </is>
      </c>
      <c r="B1063" t="inlineStr">
        <is>
          <t>KFM2020660172371</t>
        </is>
      </c>
      <c r="C1063" t="inlineStr">
        <is>
          <t>الدوادمي</t>
        </is>
      </c>
      <c r="D1063" t="inlineStr">
        <is>
          <t>مساءا</t>
        </is>
      </c>
      <c r="E1063" t="n">
        <v>327</v>
      </c>
      <c r="F1063" t="b">
        <v>0</v>
      </c>
      <c r="G1063">
        <f>HYPERLINK("https://www.google.com/maps/search/?api=1&amp;query=24.66147873,44.83254547", "View Map")</f>
        <v/>
      </c>
    </row>
    <row r="1064">
      <c r="A1064" t="inlineStr">
        <is>
          <t xml:space="preserve">    المسجد القديم بالفيضه .</t>
        </is>
      </c>
      <c r="B1064" t="inlineStr">
        <is>
          <t>KFM2020660204369</t>
        </is>
      </c>
      <c r="C1064" t="inlineStr">
        <is>
          <t>الدوادمي</t>
        </is>
      </c>
      <c r="D1064" t="inlineStr">
        <is>
          <t>مساءا</t>
        </is>
      </c>
      <c r="E1064" t="n">
        <v>327</v>
      </c>
      <c r="F1064" t="b">
        <v>1</v>
      </c>
      <c r="G1064">
        <f>HYPERLINK("https://www.google.com/maps/search/?api=1&amp;query=25.33200267,44.46680135", "View Map")</f>
        <v/>
      </c>
    </row>
    <row r="1065">
      <c r="A1065" t="inlineStr">
        <is>
          <t xml:space="preserve"> مسجد في الاسترحات شرق جنوب الدوادمى .</t>
        </is>
      </c>
      <c r="B1065" t="inlineStr">
        <is>
          <t>KFM2020860328453</t>
        </is>
      </c>
      <c r="C1065" t="inlineStr">
        <is>
          <t>الدوادمي</t>
        </is>
      </c>
      <c r="D1065" t="inlineStr">
        <is>
          <t>مساءا</t>
        </is>
      </c>
      <c r="E1065" t="n">
        <v>326</v>
      </c>
      <c r="F1065" t="b">
        <v>0</v>
      </c>
      <c r="G1065">
        <f>HYPERLINK("https://www.google.com/maps/search/?api=1&amp;query=24.51227759,44.45019652", "View Map")</f>
        <v/>
      </c>
    </row>
    <row r="1066">
      <c r="A1066" t="inlineStr">
        <is>
          <t xml:space="preserve">   مسجد الاحسان .</t>
        </is>
      </c>
      <c r="B1066" t="inlineStr">
        <is>
          <t>KFM2020766098659</t>
        </is>
      </c>
      <c r="C1066" t="inlineStr">
        <is>
          <t>الدوادمي</t>
        </is>
      </c>
      <c r="D1066" t="inlineStr">
        <is>
          <t>مساءا</t>
        </is>
      </c>
      <c r="E1066" t="n">
        <v>325</v>
      </c>
      <c r="F1066" t="b">
        <v>0</v>
      </c>
      <c r="G1066">
        <f>HYPERLINK("https://www.google.com/maps/search/?api=1&amp;query=25.06097822,44.71016373", "View Map")</f>
        <v/>
      </c>
    </row>
    <row r="1067">
      <c r="A1067" t="inlineStr">
        <is>
          <t xml:space="preserve">   مسجد نايف الجعيد .</t>
        </is>
      </c>
      <c r="B1067" t="inlineStr">
        <is>
          <t>KFM2020660192455</t>
        </is>
      </c>
      <c r="C1067" t="inlineStr">
        <is>
          <t>الدوادمي</t>
        </is>
      </c>
      <c r="D1067" t="inlineStr">
        <is>
          <t>مساءا</t>
        </is>
      </c>
      <c r="E1067" t="n">
        <v>321</v>
      </c>
      <c r="F1067" t="b">
        <v>0</v>
      </c>
      <c r="G1067">
        <f>HYPERLINK("https://www.google.com/maps/search/?api=1&amp;query=24.55618761,44.4447462", "View Map")</f>
        <v/>
      </c>
    </row>
    <row r="1068">
      <c r="A1068" t="inlineStr">
        <is>
          <t xml:space="preserve">   مسجد      عبدالله   //////////// .</t>
        </is>
      </c>
      <c r="B1068" t="inlineStr">
        <is>
          <t>KFM2020660199731</t>
        </is>
      </c>
      <c r="C1068" t="inlineStr">
        <is>
          <t>الدوادمي</t>
        </is>
      </c>
      <c r="D1068" t="inlineStr">
        <is>
          <t>صباحا</t>
        </is>
      </c>
      <c r="E1068" t="n">
        <v>319</v>
      </c>
      <c r="F1068" t="b">
        <v>0</v>
      </c>
      <c r="G1068">
        <f>HYPERLINK("https://www.google.com/maps/search/?api=1&amp;query=24.49820233,44.38569096", "View Map")</f>
        <v/>
      </c>
    </row>
    <row r="1069">
      <c r="A1069" t="inlineStr">
        <is>
          <t xml:space="preserve">   مسجدالجذعان بـســاجــر .</t>
        </is>
      </c>
      <c r="B1069" t="inlineStr">
        <is>
          <t>AEC2020830300260</t>
        </is>
      </c>
      <c r="C1069" t="inlineStr">
        <is>
          <t>الدوادمي</t>
        </is>
      </c>
      <c r="D1069" t="inlineStr">
        <is>
          <t>مساءا</t>
        </is>
      </c>
      <c r="E1069" t="n">
        <v>318</v>
      </c>
      <c r="F1069" t="b">
        <v>0</v>
      </c>
      <c r="G1069">
        <f>HYPERLINK("https://www.google.com/maps/search/?api=1&amp;query=25.16956985,44.59913294", "View Map")</f>
        <v/>
      </c>
    </row>
    <row r="1070">
      <c r="A1070" t="inlineStr">
        <is>
          <t xml:space="preserve"> مسجـــد / نفجــان ســاير الرقــاص .</t>
        </is>
      </c>
      <c r="B1070" t="inlineStr">
        <is>
          <t>KFM2020766098777</t>
        </is>
      </c>
      <c r="C1070" t="inlineStr">
        <is>
          <t>الدوادمي</t>
        </is>
      </c>
      <c r="D1070" t="inlineStr">
        <is>
          <t>صباحا</t>
        </is>
      </c>
      <c r="E1070" t="n">
        <v>317</v>
      </c>
      <c r="F1070" t="b">
        <v>0</v>
      </c>
      <c r="G1070">
        <f>HYPERLINK("https://www.google.com/maps/search/?api=1&amp;query=25.07216834,44.69933647", "View Map")</f>
        <v/>
      </c>
    </row>
    <row r="1071">
      <c r="A1071" t="inlineStr">
        <is>
          <t xml:space="preserve">   مسجد الشيخ عبدالعزيز بن باز .</t>
        </is>
      </c>
      <c r="B1071" t="inlineStr">
        <is>
          <t>KFM2020660189674</t>
        </is>
      </c>
      <c r="C1071" t="inlineStr">
        <is>
          <t>الدوادمي</t>
        </is>
      </c>
      <c r="D1071" t="inlineStr">
        <is>
          <t>صباحا</t>
        </is>
      </c>
      <c r="E1071" t="n">
        <v>317</v>
      </c>
      <c r="F1071" t="b">
        <v>1</v>
      </c>
      <c r="G1071">
        <f>HYPERLINK("https://www.google.com/maps/search/?api=1&amp;query=24.50087887,44.39025447", "View Map")</f>
        <v/>
      </c>
    </row>
    <row r="1072">
      <c r="A1072" t="inlineStr">
        <is>
          <t xml:space="preserve">         مسجد/الخالدية .</t>
        </is>
      </c>
      <c r="B1072" t="inlineStr">
        <is>
          <t>KFM2020760145133</t>
        </is>
      </c>
      <c r="C1072" t="inlineStr">
        <is>
          <t>الدوادمي</t>
        </is>
      </c>
      <c r="D1072" t="inlineStr">
        <is>
          <t>مساءا</t>
        </is>
      </c>
      <c r="E1072" t="n">
        <v>314</v>
      </c>
      <c r="F1072" t="b">
        <v>1</v>
      </c>
      <c r="G1072">
        <f>HYPERLINK("https://www.google.com/maps/search/?api=1&amp;query=25.35644537,44.55655466", "View Map")</f>
        <v/>
      </c>
    </row>
    <row r="1073">
      <c r="A1073" t="inlineStr">
        <is>
          <t>مسجد ليليه حصين الحمادي .</t>
        </is>
      </c>
      <c r="B1073" t="inlineStr">
        <is>
          <t>ECC2020811108347</t>
        </is>
      </c>
      <c r="C1073" t="inlineStr">
        <is>
          <t>الدوادمي</t>
        </is>
      </c>
      <c r="D1073" t="inlineStr">
        <is>
          <t>مساءا</t>
        </is>
      </c>
      <c r="E1073" t="n">
        <v>314</v>
      </c>
      <c r="F1073" t="b">
        <v>0</v>
      </c>
      <c r="G1073">
        <f>HYPERLINK("https://www.google.com/maps/search/?api=1&amp;query=24.55012291,44.40381563", "View Map")</f>
        <v/>
      </c>
    </row>
    <row r="1074">
      <c r="A1074" t="inlineStr">
        <is>
          <t xml:space="preserve">   مسجد      حارة      المدني .</t>
        </is>
      </c>
      <c r="B1074" t="inlineStr">
        <is>
          <t>ECC2020810860027</t>
        </is>
      </c>
      <c r="C1074" t="inlineStr">
        <is>
          <t>الدوادمي</t>
        </is>
      </c>
      <c r="D1074" t="inlineStr">
        <is>
          <t>مساءا</t>
        </is>
      </c>
      <c r="E1074" t="n">
        <v>313</v>
      </c>
      <c r="F1074" t="b">
        <v>0</v>
      </c>
      <c r="G1074">
        <f>HYPERLINK("https://www.google.com/maps/search/?api=1&amp;query=24.51476268,44.39503251", "View Map")</f>
        <v/>
      </c>
    </row>
    <row r="1075">
      <c r="A1075" t="inlineStr">
        <is>
          <t xml:space="preserve">   جامع      صبحاء     القرنه .</t>
        </is>
      </c>
      <c r="B1075" t="inlineStr">
        <is>
          <t>SMR2020850030251</t>
        </is>
      </c>
      <c r="C1075" t="inlineStr">
        <is>
          <t>الدوادمي</t>
        </is>
      </c>
      <c r="D1075" t="inlineStr">
        <is>
          <t>مساءا</t>
        </is>
      </c>
      <c r="E1075" t="n">
        <v>312</v>
      </c>
      <c r="F1075" t="b">
        <v>0</v>
      </c>
      <c r="G1075">
        <f>HYPERLINK("https://www.google.com/maps/search/?api=1&amp;query=24.76705527,44.72902353", "View Map")</f>
        <v/>
      </c>
    </row>
    <row r="1076">
      <c r="A1076" t="inlineStr">
        <is>
          <t xml:space="preserve">   مسجد/شرق الاسفلت في ارطاوي الرقاص .</t>
        </is>
      </c>
      <c r="B1076" t="inlineStr">
        <is>
          <t>KFM2020766077764</t>
        </is>
      </c>
      <c r="C1076" t="inlineStr">
        <is>
          <t>الدوادمي</t>
        </is>
      </c>
      <c r="D1076" t="inlineStr">
        <is>
          <t>مساءا</t>
        </is>
      </c>
      <c r="E1076" t="n">
        <v>312</v>
      </c>
      <c r="F1076" t="b">
        <v>1</v>
      </c>
      <c r="G1076">
        <f>HYPERLINK("https://www.google.com/maps/search/?api=1&amp;query=25.06583061,44.70447139", "View Map")</f>
        <v/>
      </c>
    </row>
    <row r="1077">
      <c r="A1077" t="inlineStr">
        <is>
          <t xml:space="preserve">   مسجد      هجرة      نساح .</t>
        </is>
      </c>
      <c r="B1077" t="inlineStr">
        <is>
          <t>AEC2020830322482</t>
        </is>
      </c>
      <c r="C1077" t="inlineStr">
        <is>
          <t>المزاحمية</t>
        </is>
      </c>
      <c r="D1077" t="inlineStr">
        <is>
          <t>مساءا</t>
        </is>
      </c>
      <c r="E1077" t="n">
        <v>311</v>
      </c>
      <c r="F1077" t="b">
        <v>0</v>
      </c>
      <c r="G1077">
        <f>HYPERLINK("https://www.google.com/maps/search/?api=1&amp;query=23.87114164,46.06588625", "View Map")</f>
        <v/>
      </c>
    </row>
    <row r="1078">
      <c r="A1078" t="inlineStr">
        <is>
          <t xml:space="preserve">   مسجد.الحزم(السعيدان). .</t>
        </is>
      </c>
      <c r="B1078" t="inlineStr">
        <is>
          <t>KFM2020766098652</t>
        </is>
      </c>
      <c r="C1078" t="inlineStr">
        <is>
          <t>الدوادمي</t>
        </is>
      </c>
      <c r="D1078" t="inlineStr">
        <is>
          <t>مساءا</t>
        </is>
      </c>
      <c r="E1078" t="n">
        <v>309</v>
      </c>
      <c r="F1078" t="b">
        <v>0</v>
      </c>
      <c r="G1078">
        <f>HYPERLINK("https://www.google.com/maps/search/?api=1&amp;query=25.02958379,44.72767675", "View Map")</f>
        <v/>
      </c>
    </row>
    <row r="1079">
      <c r="A1079" t="inlineStr">
        <is>
          <t xml:space="preserve">   (مسجدالسلام)وزارة الأوقاف والمساجد .</t>
        </is>
      </c>
      <c r="B1079" t="inlineStr">
        <is>
          <t>KFM2120660241405</t>
        </is>
      </c>
      <c r="C1079" t="inlineStr">
        <is>
          <t>الدوادمي</t>
        </is>
      </c>
      <c r="D1079" t="inlineStr">
        <is>
          <t>مساءا</t>
        </is>
      </c>
      <c r="E1079" t="n">
        <v>309</v>
      </c>
      <c r="F1079" t="b">
        <v>0</v>
      </c>
      <c r="G1079">
        <f>HYPERLINK("https://www.google.com/maps/search/?api=1&amp;query=25.48754007,44.41580468", "View Map")</f>
        <v/>
      </c>
    </row>
    <row r="1080">
      <c r="A1080" t="inlineStr">
        <is>
          <t xml:space="preserve">   مسجد      الحي      الشمالي .</t>
        </is>
      </c>
      <c r="B1080" t="inlineStr">
        <is>
          <t>KFM2020760082719</t>
        </is>
      </c>
      <c r="C1080" t="inlineStr">
        <is>
          <t>الدوادمي</t>
        </is>
      </c>
      <c r="D1080" t="inlineStr">
        <is>
          <t>مساءا</t>
        </is>
      </c>
      <c r="E1080" t="n">
        <v>308</v>
      </c>
      <c r="F1080" t="b">
        <v>0</v>
      </c>
      <c r="G1080">
        <f>HYPERLINK("https://www.google.com/maps/search/?api=1&amp;query=24.49794927,44.37468373", "View Map")</f>
        <v/>
      </c>
    </row>
    <row r="1081">
      <c r="A1081" t="inlineStr">
        <is>
          <t xml:space="preserve">      مسجد الدمثى الجديد .</t>
        </is>
      </c>
      <c r="B1081" t="inlineStr">
        <is>
          <t>AES2120896566238</t>
        </is>
      </c>
      <c r="C1081" t="inlineStr">
        <is>
          <t>الدوادمي</t>
        </is>
      </c>
      <c r="D1081" t="inlineStr">
        <is>
          <t>مساءا</t>
        </is>
      </c>
      <c r="E1081" t="n">
        <v>308</v>
      </c>
      <c r="F1081" t="b">
        <v>0</v>
      </c>
      <c r="G1081">
        <f>HYPERLINK("https://www.google.com/maps/search/?api=1&amp;query=25.37801483,44.46428497", "View Map")</f>
        <v/>
      </c>
    </row>
    <row r="1082">
      <c r="A1082" t="inlineStr">
        <is>
          <t>ﻭﺯﺍﺭﺓﺍﻻﻭﻗﺎﻑ ـ ﺍﻭﻗﺎﻑ ﺴﺎﺠﺭ .</t>
        </is>
      </c>
      <c r="B1082" t="inlineStr">
        <is>
          <t>MMF2420801446154</t>
        </is>
      </c>
      <c r="C1082" t="inlineStr">
        <is>
          <t>الدوادمي</t>
        </is>
      </c>
      <c r="D1082" t="inlineStr">
        <is>
          <t>مساءا</t>
        </is>
      </c>
      <c r="E1082" t="n">
        <v>307</v>
      </c>
      <c r="F1082" t="b">
        <v>0</v>
      </c>
      <c r="G1082">
        <f>HYPERLINK("https://www.google.com/maps/search/?api=1&amp;query=25.40020482,44.15474261", "View Map")</f>
        <v/>
      </c>
    </row>
    <row r="1083">
      <c r="A1083" t="inlineStr">
        <is>
          <t xml:space="preserve">   مسجد الـطويل .</t>
        </is>
      </c>
      <c r="B1083" t="inlineStr">
        <is>
          <t>KFM2120660265086</t>
        </is>
      </c>
      <c r="C1083" t="inlineStr">
        <is>
          <t>الدوادمي</t>
        </is>
      </c>
      <c r="D1083" t="inlineStr">
        <is>
          <t>مساءا</t>
        </is>
      </c>
      <c r="E1083" t="n">
        <v>307</v>
      </c>
      <c r="F1083" t="b">
        <v>0</v>
      </c>
      <c r="G1083">
        <f>HYPERLINK("https://www.google.com/maps/search/?api=1&amp;query=25.10927012,44.6756092", "View Map")</f>
        <v/>
      </c>
    </row>
    <row r="1084">
      <c r="A1084" t="inlineStr">
        <is>
          <t>مسجد .</t>
        </is>
      </c>
      <c r="B1084" t="inlineStr">
        <is>
          <t>KFM2020660172464</t>
        </is>
      </c>
      <c r="C1084" t="inlineStr">
        <is>
          <t>الدوادمي</t>
        </is>
      </c>
      <c r="D1084" t="inlineStr">
        <is>
          <t>مساءا</t>
        </is>
      </c>
      <c r="E1084" t="n">
        <v>306</v>
      </c>
      <c r="F1084" t="b">
        <v>0</v>
      </c>
      <c r="G1084">
        <f>HYPERLINK("https://www.google.com/maps/search/?api=1&amp;query=24.54542547,44.42274401", "View Map")</f>
        <v/>
      </c>
    </row>
    <row r="1085">
      <c r="A1085" t="inlineStr">
        <is>
          <t xml:space="preserve">   جامع / أبن عثيمين .</t>
        </is>
      </c>
      <c r="B1085" t="inlineStr">
        <is>
          <t>KFM2020760135961</t>
        </is>
      </c>
      <c r="C1085" t="inlineStr">
        <is>
          <t>الدوادمي</t>
        </is>
      </c>
      <c r="D1085" t="inlineStr">
        <is>
          <t>مساءا</t>
        </is>
      </c>
      <c r="E1085" t="n">
        <v>305</v>
      </c>
      <c r="F1085" t="b">
        <v>1</v>
      </c>
      <c r="G1085">
        <f>HYPERLINK("https://www.google.com/maps/search/?api=1&amp;query=24.49734777,44.40767353", "View Map")</f>
        <v/>
      </c>
    </row>
    <row r="1086">
      <c r="A1086" t="inlineStr">
        <is>
          <t xml:space="preserve">   مسجد      عمر       عرجاء .</t>
        </is>
      </c>
      <c r="B1086" t="inlineStr">
        <is>
          <t>AES2120896609895</t>
        </is>
      </c>
      <c r="C1086" t="inlineStr">
        <is>
          <t>الدوادمي</t>
        </is>
      </c>
      <c r="D1086" t="inlineStr">
        <is>
          <t>مساءا</t>
        </is>
      </c>
      <c r="E1086" t="n">
        <v>303</v>
      </c>
      <c r="F1086" t="b">
        <v>0</v>
      </c>
      <c r="G1086">
        <f>HYPERLINK("https://www.google.com/maps/search/?api=1&amp;query=24.72268618,44.28525329", "View Map")</f>
        <v/>
      </c>
    </row>
    <row r="1087">
      <c r="A1087" t="inlineStr">
        <is>
          <t>مسجد .</t>
        </is>
      </c>
      <c r="B1087" t="inlineStr">
        <is>
          <t>KFM2020760135904</t>
        </is>
      </c>
      <c r="C1087" t="inlineStr">
        <is>
          <t>الدوادمي</t>
        </is>
      </c>
      <c r="D1087" t="inlineStr">
        <is>
          <t>مساءا</t>
        </is>
      </c>
      <c r="E1087" t="n">
        <v>302</v>
      </c>
      <c r="F1087" t="b">
        <v>0</v>
      </c>
      <c r="G1087">
        <f>HYPERLINK("https://www.google.com/maps/search/?api=1&amp;query=24.51929135,44.38986041", "View Map")</f>
        <v/>
      </c>
    </row>
    <row r="1088">
      <c r="A1088" t="inlineStr">
        <is>
          <t>مسجد الإقبال بالدوادمي مخطط 988</t>
        </is>
      </c>
      <c r="B1088" t="inlineStr">
        <is>
          <t>SMR2420761044813</t>
        </is>
      </c>
      <c r="C1088" t="inlineStr">
        <is>
          <t>الدوادمي</t>
        </is>
      </c>
      <c r="D1088" t="inlineStr">
        <is>
          <t>مساءا</t>
        </is>
      </c>
      <c r="E1088" t="n">
        <v>302</v>
      </c>
      <c r="F1088" t="b">
        <v>0</v>
      </c>
      <c r="G1088">
        <f>HYPERLINK("https://www.google.com/maps/search/?api=1&amp;query=24.55255824,44.40827228", "View Map")</f>
        <v/>
      </c>
    </row>
    <row r="1089">
      <c r="A1089" t="inlineStr">
        <is>
          <t>مسجد .</t>
        </is>
      </c>
      <c r="B1089" t="inlineStr">
        <is>
          <t>KFM2120660241339</t>
        </is>
      </c>
      <c r="C1089" t="inlineStr">
        <is>
          <t>الدوادمي</t>
        </is>
      </c>
      <c r="D1089" t="inlineStr">
        <is>
          <t>مساءا</t>
        </is>
      </c>
      <c r="E1089" t="n">
        <v>302</v>
      </c>
      <c r="F1089" t="b">
        <v>0</v>
      </c>
      <c r="G1089">
        <f>HYPERLINK("https://www.google.com/maps/search/?api=1&amp;query=24.51175657,44.37008994", "View Map")</f>
        <v/>
      </c>
    </row>
    <row r="1090">
      <c r="A1090" t="inlineStr">
        <is>
          <t xml:space="preserve">       مسجد الجامع بعريد5 .</t>
        </is>
      </c>
      <c r="B1090" t="inlineStr">
        <is>
          <t>SMR2020850108034</t>
        </is>
      </c>
      <c r="C1090" t="inlineStr">
        <is>
          <t>الدوادمي</t>
        </is>
      </c>
      <c r="D1090" t="inlineStr">
        <is>
          <t>مساءا</t>
        </is>
      </c>
      <c r="E1090" t="n">
        <v>301</v>
      </c>
      <c r="F1090" t="b">
        <v>1</v>
      </c>
      <c r="G1090">
        <f>HYPERLINK("https://www.google.com/maps/search/?api=1&amp;query=24.35622798,44.50191406", "View Map")</f>
        <v/>
      </c>
    </row>
    <row r="1091">
      <c r="A1091" t="inlineStr">
        <is>
          <t xml:space="preserve">   جامع/هجرة بن شميسان .</t>
        </is>
      </c>
      <c r="B1091" t="inlineStr">
        <is>
          <t>KFM2020660204125</t>
        </is>
      </c>
      <c r="C1091" t="inlineStr">
        <is>
          <t>الدوادمي</t>
        </is>
      </c>
      <c r="D1091" t="inlineStr">
        <is>
          <t>مساءا</t>
        </is>
      </c>
      <c r="E1091" t="n">
        <v>301</v>
      </c>
      <c r="F1091" t="b">
        <v>0</v>
      </c>
      <c r="G1091">
        <f>HYPERLINK("https://www.google.com/maps/search/?api=1&amp;query=24.55665292,44.36701657", "View Map")</f>
        <v/>
      </c>
    </row>
    <row r="1092">
      <c r="A1092" t="inlineStr">
        <is>
          <t>ﻭﺯﺍﺭﺓﺍﻻﻭﻗﺎﻑ ـ ﺍﻭﻗﺎﻑ ﺴﺎﺠﺭ .</t>
        </is>
      </c>
      <c r="B1092" t="inlineStr">
        <is>
          <t>KFM2020766096048</t>
        </is>
      </c>
      <c r="C1092" t="inlineStr">
        <is>
          <t>الدوادمي</t>
        </is>
      </c>
      <c r="D1092" t="inlineStr">
        <is>
          <t>مساءا</t>
        </is>
      </c>
      <c r="E1092" t="n">
        <v>300</v>
      </c>
      <c r="F1092" t="b">
        <v>0</v>
      </c>
      <c r="G1092">
        <f>HYPERLINK("https://www.google.com/maps/search/?api=1&amp;query=25.1022347,44.67725656", "View Map")</f>
        <v/>
      </c>
    </row>
    <row r="1093">
      <c r="A1093" t="inlineStr">
        <is>
          <t xml:space="preserve">   اوقاف الرين/ مسجد القيرة .</t>
        </is>
      </c>
      <c r="B1093" t="inlineStr">
        <is>
          <t>AES2120896588977</t>
        </is>
      </c>
      <c r="C1093" t="inlineStr">
        <is>
          <t>الرين</t>
        </is>
      </c>
      <c r="D1093" t="inlineStr">
        <is>
          <t>مساءا</t>
        </is>
      </c>
      <c r="E1093" t="n">
        <v>300</v>
      </c>
      <c r="F1093" t="b">
        <v>0</v>
      </c>
      <c r="G1093">
        <f>HYPERLINK("https://www.google.com/maps/search/?api=1&amp;query=23.34450336,45.4104844", "View Map")</f>
        <v/>
      </c>
    </row>
    <row r="1094">
      <c r="A1094" t="inlineStr">
        <is>
          <t xml:space="preserve">   جـامـع الخـالديــــه .</t>
        </is>
      </c>
      <c r="B1094" t="inlineStr">
        <is>
          <t>KFM2020660210723</t>
        </is>
      </c>
      <c r="C1094" t="inlineStr">
        <is>
          <t>الدوادمي</t>
        </is>
      </c>
      <c r="D1094" t="inlineStr">
        <is>
          <t>مساءا</t>
        </is>
      </c>
      <c r="E1094" t="n">
        <v>300</v>
      </c>
      <c r="F1094" t="b">
        <v>0</v>
      </c>
      <c r="G1094">
        <f>HYPERLINK("https://www.google.com/maps/search/?api=1&amp;query=25.39018816,44.15020275", "View Map")</f>
        <v/>
      </c>
    </row>
    <row r="1095">
      <c r="A1095" t="inlineStr">
        <is>
          <t xml:space="preserve">   مسجد      مثيب      //////////// .</t>
        </is>
      </c>
      <c r="B1095" t="inlineStr">
        <is>
          <t>KFM2020760058276</t>
        </is>
      </c>
      <c r="C1095" t="inlineStr">
        <is>
          <t>الدوادمي</t>
        </is>
      </c>
      <c r="D1095" t="inlineStr">
        <is>
          <t>مساءا</t>
        </is>
      </c>
      <c r="E1095" t="n">
        <v>299</v>
      </c>
      <c r="F1095" t="b">
        <v>0</v>
      </c>
      <c r="G1095">
        <f>HYPERLINK("https://www.google.com/maps/search/?api=1&amp;query=24.54001176,44.42102371", "View Map")</f>
        <v/>
      </c>
    </row>
    <row r="1096">
      <c r="A1096" t="inlineStr">
        <is>
          <t>ﻭﺯﺍﺭﺓﺍﻻﻭﻗﺎﻑ ـ ﺍﻭﻗﺎﻑ ﺍﻟﺩﻭﺍﺩﻤﻲ .</t>
        </is>
      </c>
      <c r="B1096" t="inlineStr">
        <is>
          <t>MMF2420801488732</t>
        </is>
      </c>
      <c r="C1096" t="inlineStr">
        <is>
          <t>الدوادمي</t>
        </is>
      </c>
      <c r="D1096" t="inlineStr">
        <is>
          <t>مساءا</t>
        </is>
      </c>
      <c r="E1096" t="n">
        <v>297</v>
      </c>
      <c r="F1096" t="b">
        <v>0</v>
      </c>
      <c r="G1096">
        <f>HYPERLINK("https://www.google.com/maps/search/?api=1&amp;query=24.53139212,44.39938289", "View Map")</f>
        <v/>
      </c>
    </row>
    <row r="1097">
      <c r="A1097" t="inlineStr">
        <is>
          <t xml:space="preserve">       مسجد كتاب بعرجاء .</t>
        </is>
      </c>
      <c r="B1097" t="inlineStr">
        <is>
          <t>ECC2320831018766</t>
        </is>
      </c>
      <c r="C1097" t="inlineStr">
        <is>
          <t>الدوادمي</t>
        </is>
      </c>
      <c r="D1097" t="inlineStr">
        <is>
          <t>مساءا</t>
        </is>
      </c>
      <c r="E1097" t="n">
        <v>296</v>
      </c>
      <c r="F1097" t="b">
        <v>0</v>
      </c>
      <c r="G1097">
        <f>HYPERLINK("https://www.google.com/maps/search/?api=1&amp;query=24.72128834,44.30772929", "View Map")</f>
        <v/>
      </c>
    </row>
    <row r="1098">
      <c r="A1098" t="inlineStr">
        <is>
          <t xml:space="preserve">   مسجد      مخطط      مشرع مزيد .</t>
        </is>
      </c>
      <c r="B1098" t="inlineStr">
        <is>
          <t>LYE2020810047002</t>
        </is>
      </c>
      <c r="C1098" t="inlineStr">
        <is>
          <t>الدوادمي</t>
        </is>
      </c>
      <c r="D1098" t="inlineStr">
        <is>
          <t>مساءا</t>
        </is>
      </c>
      <c r="E1098" t="n">
        <v>283</v>
      </c>
      <c r="F1098" t="b">
        <v>0</v>
      </c>
      <c r="G1098">
        <f>HYPERLINK("https://www.google.com/maps/search/?api=1&amp;query=24.53348459,44.40622392", "View Map")</f>
        <v/>
      </c>
    </row>
    <row r="1099">
      <c r="A1099" t="inlineStr">
        <is>
          <t xml:space="preserve">      مسجد الفيصليه .</t>
        </is>
      </c>
      <c r="B1099" t="inlineStr">
        <is>
          <t>KFM2020660172407</t>
        </is>
      </c>
      <c r="C1099" t="inlineStr">
        <is>
          <t>الدوادمي</t>
        </is>
      </c>
      <c r="D1099" t="inlineStr">
        <is>
          <t>صباحا</t>
        </is>
      </c>
      <c r="E1099" t="n">
        <v>283</v>
      </c>
      <c r="F1099" t="b">
        <v>0</v>
      </c>
      <c r="G1099">
        <f>HYPERLINK("https://www.google.com/maps/search/?api=1&amp;query=24.50208155,44.38422317", "View Map")</f>
        <v/>
      </c>
    </row>
    <row r="1100">
      <c r="A1100" t="inlineStr">
        <is>
          <t>ﻭﺯﺍﺭﺓﺍﻻﻭﻗﺎﻑ ـ ﺍﻭﻗﺎﻑ ﺴﺎﺠﺭ .</t>
        </is>
      </c>
      <c r="B1100" t="inlineStr">
        <is>
          <t>KFM2020660176273</t>
        </is>
      </c>
      <c r="C1100" t="inlineStr">
        <is>
          <t>الدوادمي</t>
        </is>
      </c>
      <c r="D1100" t="inlineStr">
        <is>
          <t>صباحا</t>
        </is>
      </c>
      <c r="E1100" t="n">
        <v>272</v>
      </c>
      <c r="F1100" t="b">
        <v>0</v>
      </c>
      <c r="G1100">
        <f>HYPERLINK("https://www.google.com/maps/search/?api=1&amp;query=25.16683454,44.60725864", "View Map")</f>
        <v/>
      </c>
    </row>
    <row r="1101">
      <c r="A1101" t="inlineStr">
        <is>
          <t xml:space="preserve">   مسجد البيان  بنفي .</t>
        </is>
      </c>
      <c r="B1101" t="inlineStr">
        <is>
          <t>KFM2020660128546</t>
        </is>
      </c>
      <c r="C1101" t="inlineStr">
        <is>
          <t>الدوادمي</t>
        </is>
      </c>
      <c r="D1101" t="inlineStr">
        <is>
          <t>صباحا</t>
        </is>
      </c>
      <c r="E1101" t="n">
        <v>268</v>
      </c>
      <c r="F1101" t="b">
        <v>0</v>
      </c>
      <c r="G1101">
        <f>HYPERLINK("https://www.google.com/maps/search/?api=1&amp;query=25.16281223,44.02974746", "View Map")</f>
        <v/>
      </c>
    </row>
    <row r="1102">
      <c r="A1102" t="inlineStr">
        <is>
          <t>ﻭﺯﺍﺭﺓﺍﻻﻭﻗﺎﻑ ـ ﺍﻭﻗﺎﻑ ﺍﻟﺩﻭﺍﺩﻤﻲ .</t>
        </is>
      </c>
      <c r="B1102" t="inlineStr">
        <is>
          <t>ECC2420841080113</t>
        </is>
      </c>
      <c r="C1102" t="inlineStr">
        <is>
          <t>الدوادمي</t>
        </is>
      </c>
      <c r="D1102" t="inlineStr">
        <is>
          <t>مساءا</t>
        </is>
      </c>
      <c r="E1102" t="n">
        <v>268</v>
      </c>
      <c r="F1102" t="b">
        <v>0</v>
      </c>
      <c r="G1102">
        <f>HYPERLINK("https://www.google.com/maps/search/?api=1&amp;query=24.65387584,44.32462482", "View Map")</f>
        <v/>
      </c>
    </row>
    <row r="1103">
      <c r="A1103" t="inlineStr">
        <is>
          <t xml:space="preserve">   مسجد مشرفه بعرجاء .</t>
        </is>
      </c>
      <c r="B1103" t="inlineStr">
        <is>
          <t>AES2120896609924</t>
        </is>
      </c>
      <c r="C1103" t="inlineStr">
        <is>
          <t>الدوادمي</t>
        </is>
      </c>
      <c r="D1103" t="inlineStr">
        <is>
          <t>صباحا</t>
        </is>
      </c>
      <c r="E1103" t="n">
        <v>266</v>
      </c>
      <c r="F1103" t="b">
        <v>0</v>
      </c>
      <c r="G1103">
        <f>HYPERLINK("https://www.google.com/maps/search/?api=1&amp;query=24.68610097,44.28720266", "View Map")</f>
        <v/>
      </c>
    </row>
    <row r="1104">
      <c r="A1104" t="inlineStr">
        <is>
          <t xml:space="preserve">   مسجد/ صالح راشد الفنيس .</t>
        </is>
      </c>
      <c r="B1104" t="inlineStr">
        <is>
          <t>KFM2020766077691</t>
        </is>
      </c>
      <c r="C1104" t="inlineStr">
        <is>
          <t>الدوادمي</t>
        </is>
      </c>
      <c r="D1104" t="inlineStr">
        <is>
          <t>صباحا</t>
        </is>
      </c>
      <c r="E1104" t="n">
        <v>265</v>
      </c>
      <c r="F1104" t="b">
        <v>0</v>
      </c>
      <c r="G1104">
        <f>HYPERLINK("https://www.google.com/maps/search/?api=1&amp;query=25.18516689,44.60081922", "View Map")</f>
        <v/>
      </c>
    </row>
    <row r="1105">
      <c r="A1105" t="inlineStr">
        <is>
          <t xml:space="preserve">   مسجد/// عايض دخيل الله المطيري .</t>
        </is>
      </c>
      <c r="B1105" t="inlineStr">
        <is>
          <t>AES2120896611746</t>
        </is>
      </c>
      <c r="C1105" t="inlineStr">
        <is>
          <t>المهد</t>
        </is>
      </c>
      <c r="D1105" t="inlineStr">
        <is>
          <t>مساءا</t>
        </is>
      </c>
      <c r="E1105" t="n">
        <v>262</v>
      </c>
      <c r="F1105" t="b">
        <v>0</v>
      </c>
      <c r="G1105">
        <f>HYPERLINK("https://www.google.com/maps/search/?api=1&amp;query=24.38615749,41.99920011", "View Map")</f>
        <v/>
      </c>
    </row>
    <row r="1106">
      <c r="A1106" t="inlineStr">
        <is>
          <t xml:space="preserve">   مسجدالحى  الجنوبى      بالدوادمى .</t>
        </is>
      </c>
      <c r="B1106" t="inlineStr">
        <is>
          <t>KFM2020660172412</t>
        </is>
      </c>
      <c r="C1106" t="inlineStr">
        <is>
          <t>الدوادمي</t>
        </is>
      </c>
      <c r="D1106" t="inlineStr">
        <is>
          <t>صباحا</t>
        </is>
      </c>
      <c r="E1106" t="n">
        <v>256</v>
      </c>
      <c r="F1106" t="b">
        <v>0</v>
      </c>
      <c r="G1106">
        <f>HYPERLINK("https://www.google.com/maps/search/?api=1&amp;query=24.53277053,44.4336796", "View Map")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2025-09-04T10:11:30Z</dcterms:created>
  <dcterms:modified xmlns:dcterms="http://purl.org/dc/terms/" xmlns:xsi="http://www.w3.org/2001/XMLSchema-instance" xsi:type="dcterms:W3CDTF">2025-09-04T10:11:33Z</dcterms:modified>
</cp:coreProperties>
</file>